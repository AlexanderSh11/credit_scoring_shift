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Сергей\Desktop\vs code\shift\credit_scoring\"/>
    </mc:Choice>
  </mc:AlternateContent>
  <xr:revisionPtr revIDLastSave="0" documentId="13_ncr:1_{BEB9DE9C-14F8-4995-A44F-A3D14CBF0DE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000_заявлений" sheetId="5" r:id="rId1"/>
    <sheet name="Расчет суммы займов 1" sheetId="1" r:id="rId2"/>
    <sheet name="Расчет суммы займов 2" sheetId="4" r:id="rId3"/>
  </sheets>
  <definedNames>
    <definedName name="ExternalData_2" localSheetId="0" hidden="1">'1000_заявлений'!$A$1:$L$1001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4" l="1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AF2" i="1"/>
  <c r="E9" i="4"/>
  <c r="M1007" i="4"/>
  <c r="L1007" i="4"/>
  <c r="K1007" i="4"/>
  <c r="J1007" i="4"/>
  <c r="I1007" i="4"/>
  <c r="H1007" i="4"/>
  <c r="G1007" i="4"/>
  <c r="R1007" i="4" s="1"/>
  <c r="F1007" i="4"/>
  <c r="E1007" i="4"/>
  <c r="D1007" i="4"/>
  <c r="C1007" i="4"/>
  <c r="B1007" i="4"/>
  <c r="N1007" i="4" s="1"/>
  <c r="A1007" i="4"/>
  <c r="L1006" i="4"/>
  <c r="K1006" i="4"/>
  <c r="J1006" i="4"/>
  <c r="I1006" i="4"/>
  <c r="H1006" i="4"/>
  <c r="G1006" i="4"/>
  <c r="R1006" i="4" s="1"/>
  <c r="F1006" i="4"/>
  <c r="E1006" i="4"/>
  <c r="D1006" i="4"/>
  <c r="C1006" i="4"/>
  <c r="B1006" i="4"/>
  <c r="N1006" i="4" s="1"/>
  <c r="A1006" i="4"/>
  <c r="R1005" i="4"/>
  <c r="L1005" i="4"/>
  <c r="K1005" i="4"/>
  <c r="J1005" i="4"/>
  <c r="I1005" i="4"/>
  <c r="H1005" i="4"/>
  <c r="G1005" i="4"/>
  <c r="F1005" i="4"/>
  <c r="E1005" i="4"/>
  <c r="D1005" i="4"/>
  <c r="C1005" i="4"/>
  <c r="B1005" i="4"/>
  <c r="N1005" i="4" s="1"/>
  <c r="O1005" i="4" s="1"/>
  <c r="A1005" i="4"/>
  <c r="M1004" i="4"/>
  <c r="L1004" i="4"/>
  <c r="K1004" i="4"/>
  <c r="J1004" i="4"/>
  <c r="I1004" i="4"/>
  <c r="H1004" i="4"/>
  <c r="G1004" i="4"/>
  <c r="R1004" i="4" s="1"/>
  <c r="F1004" i="4"/>
  <c r="E1004" i="4"/>
  <c r="D1004" i="4"/>
  <c r="C1004" i="4"/>
  <c r="B1004" i="4"/>
  <c r="N1004" i="4" s="1"/>
  <c r="A1004" i="4"/>
  <c r="L1003" i="4"/>
  <c r="K1003" i="4"/>
  <c r="J1003" i="4"/>
  <c r="I1003" i="4"/>
  <c r="H1003" i="4"/>
  <c r="G1003" i="4"/>
  <c r="R1003" i="4" s="1"/>
  <c r="F1003" i="4"/>
  <c r="E1003" i="4"/>
  <c r="D1003" i="4"/>
  <c r="C1003" i="4"/>
  <c r="B1003" i="4"/>
  <c r="N1003" i="4" s="1"/>
  <c r="A1003" i="4"/>
  <c r="R1002" i="4"/>
  <c r="L1002" i="4"/>
  <c r="K1002" i="4"/>
  <c r="J1002" i="4"/>
  <c r="I1002" i="4"/>
  <c r="H1002" i="4"/>
  <c r="G1002" i="4"/>
  <c r="F1002" i="4"/>
  <c r="E1002" i="4"/>
  <c r="D1002" i="4"/>
  <c r="C1002" i="4"/>
  <c r="B1002" i="4"/>
  <c r="N1002" i="4" s="1"/>
  <c r="O1002" i="4" s="1"/>
  <c r="A1002" i="4"/>
  <c r="M1001" i="4"/>
  <c r="U1001" i="4" s="1"/>
  <c r="V1001" i="4" s="1"/>
  <c r="L1001" i="4"/>
  <c r="K1001" i="4"/>
  <c r="J1001" i="4"/>
  <c r="I1001" i="4"/>
  <c r="H1001" i="4"/>
  <c r="G1001" i="4"/>
  <c r="R1001" i="4" s="1"/>
  <c r="F1001" i="4"/>
  <c r="E1001" i="4"/>
  <c r="D1001" i="4"/>
  <c r="C1001" i="4"/>
  <c r="B1001" i="4"/>
  <c r="N1001" i="4" s="1"/>
  <c r="A1001" i="4"/>
  <c r="L1000" i="4"/>
  <c r="K1000" i="4"/>
  <c r="J1000" i="4"/>
  <c r="I1000" i="4"/>
  <c r="H1000" i="4"/>
  <c r="G1000" i="4"/>
  <c r="R1000" i="4" s="1"/>
  <c r="F1000" i="4"/>
  <c r="E1000" i="4"/>
  <c r="D1000" i="4"/>
  <c r="C1000" i="4"/>
  <c r="B1000" i="4"/>
  <c r="N1000" i="4" s="1"/>
  <c r="A1000" i="4"/>
  <c r="R999" i="4"/>
  <c r="L999" i="4"/>
  <c r="K999" i="4"/>
  <c r="J999" i="4"/>
  <c r="I999" i="4"/>
  <c r="H999" i="4"/>
  <c r="G999" i="4"/>
  <c r="F999" i="4"/>
  <c r="E999" i="4"/>
  <c r="D999" i="4"/>
  <c r="C999" i="4"/>
  <c r="B999" i="4"/>
  <c r="N999" i="4" s="1"/>
  <c r="O999" i="4" s="1"/>
  <c r="A999" i="4"/>
  <c r="M998" i="4"/>
  <c r="L998" i="4"/>
  <c r="K998" i="4"/>
  <c r="J998" i="4"/>
  <c r="I998" i="4"/>
  <c r="H998" i="4"/>
  <c r="G998" i="4"/>
  <c r="R998" i="4" s="1"/>
  <c r="F998" i="4"/>
  <c r="E998" i="4"/>
  <c r="D998" i="4"/>
  <c r="C998" i="4"/>
  <c r="B998" i="4"/>
  <c r="N998" i="4" s="1"/>
  <c r="A998" i="4"/>
  <c r="L997" i="4"/>
  <c r="K997" i="4"/>
  <c r="J997" i="4"/>
  <c r="I997" i="4"/>
  <c r="H997" i="4"/>
  <c r="G997" i="4"/>
  <c r="R997" i="4" s="1"/>
  <c r="F997" i="4"/>
  <c r="E997" i="4"/>
  <c r="D997" i="4"/>
  <c r="C997" i="4"/>
  <c r="B997" i="4"/>
  <c r="N997" i="4" s="1"/>
  <c r="A997" i="4"/>
  <c r="R996" i="4"/>
  <c r="L996" i="4"/>
  <c r="K996" i="4"/>
  <c r="J996" i="4"/>
  <c r="I996" i="4"/>
  <c r="H996" i="4"/>
  <c r="G996" i="4"/>
  <c r="F996" i="4"/>
  <c r="E996" i="4"/>
  <c r="D996" i="4"/>
  <c r="C996" i="4"/>
  <c r="B996" i="4"/>
  <c r="N996" i="4" s="1"/>
  <c r="O996" i="4" s="1"/>
  <c r="A996" i="4"/>
  <c r="M995" i="4"/>
  <c r="U995" i="4" s="1"/>
  <c r="V995" i="4" s="1"/>
  <c r="L995" i="4"/>
  <c r="K995" i="4"/>
  <c r="J995" i="4"/>
  <c r="I995" i="4"/>
  <c r="H995" i="4"/>
  <c r="G995" i="4"/>
  <c r="R995" i="4" s="1"/>
  <c r="F995" i="4"/>
  <c r="E995" i="4"/>
  <c r="D995" i="4"/>
  <c r="C995" i="4"/>
  <c r="B995" i="4"/>
  <c r="N995" i="4" s="1"/>
  <c r="A995" i="4"/>
  <c r="R994" i="4"/>
  <c r="L994" i="4"/>
  <c r="K994" i="4"/>
  <c r="J994" i="4"/>
  <c r="I994" i="4"/>
  <c r="H994" i="4"/>
  <c r="G994" i="4"/>
  <c r="F994" i="4"/>
  <c r="E994" i="4"/>
  <c r="D994" i="4"/>
  <c r="C994" i="4"/>
  <c r="B994" i="4"/>
  <c r="N994" i="4" s="1"/>
  <c r="A994" i="4"/>
  <c r="R993" i="4"/>
  <c r="L993" i="4"/>
  <c r="K993" i="4"/>
  <c r="J993" i="4"/>
  <c r="I993" i="4"/>
  <c r="H993" i="4"/>
  <c r="G993" i="4"/>
  <c r="F993" i="4"/>
  <c r="E993" i="4"/>
  <c r="D993" i="4"/>
  <c r="C993" i="4"/>
  <c r="B993" i="4"/>
  <c r="N993" i="4" s="1"/>
  <c r="O993" i="4" s="1"/>
  <c r="A993" i="4"/>
  <c r="M992" i="4"/>
  <c r="L992" i="4"/>
  <c r="K992" i="4"/>
  <c r="J992" i="4"/>
  <c r="I992" i="4"/>
  <c r="H992" i="4"/>
  <c r="G992" i="4"/>
  <c r="R992" i="4" s="1"/>
  <c r="F992" i="4"/>
  <c r="E992" i="4"/>
  <c r="D992" i="4"/>
  <c r="C992" i="4"/>
  <c r="B992" i="4"/>
  <c r="N992" i="4" s="1"/>
  <c r="A992" i="4"/>
  <c r="R991" i="4"/>
  <c r="L991" i="4"/>
  <c r="K991" i="4"/>
  <c r="J991" i="4"/>
  <c r="I991" i="4"/>
  <c r="H991" i="4"/>
  <c r="G991" i="4"/>
  <c r="F991" i="4"/>
  <c r="E991" i="4"/>
  <c r="D991" i="4"/>
  <c r="C991" i="4"/>
  <c r="B991" i="4"/>
  <c r="N991" i="4" s="1"/>
  <c r="A991" i="4"/>
  <c r="R990" i="4"/>
  <c r="L990" i="4"/>
  <c r="K990" i="4"/>
  <c r="J990" i="4"/>
  <c r="I990" i="4"/>
  <c r="H990" i="4"/>
  <c r="G990" i="4"/>
  <c r="F990" i="4"/>
  <c r="E990" i="4"/>
  <c r="D990" i="4"/>
  <c r="C990" i="4"/>
  <c r="B990" i="4"/>
  <c r="N990" i="4" s="1"/>
  <c r="A990" i="4"/>
  <c r="M989" i="4"/>
  <c r="L989" i="4"/>
  <c r="K989" i="4"/>
  <c r="J989" i="4"/>
  <c r="I989" i="4"/>
  <c r="H989" i="4"/>
  <c r="G989" i="4"/>
  <c r="R989" i="4" s="1"/>
  <c r="F989" i="4"/>
  <c r="E989" i="4"/>
  <c r="D989" i="4"/>
  <c r="C989" i="4"/>
  <c r="B989" i="4"/>
  <c r="N989" i="4" s="1"/>
  <c r="A989" i="4"/>
  <c r="R988" i="4"/>
  <c r="L988" i="4"/>
  <c r="K988" i="4"/>
  <c r="J988" i="4"/>
  <c r="I988" i="4"/>
  <c r="H988" i="4"/>
  <c r="G988" i="4"/>
  <c r="F988" i="4"/>
  <c r="E988" i="4"/>
  <c r="D988" i="4"/>
  <c r="C988" i="4"/>
  <c r="B988" i="4"/>
  <c r="N988" i="4" s="1"/>
  <c r="A988" i="4"/>
  <c r="R987" i="4"/>
  <c r="L987" i="4"/>
  <c r="K987" i="4"/>
  <c r="J987" i="4"/>
  <c r="I987" i="4"/>
  <c r="H987" i="4"/>
  <c r="G987" i="4"/>
  <c r="F987" i="4"/>
  <c r="E987" i="4"/>
  <c r="D987" i="4"/>
  <c r="C987" i="4"/>
  <c r="B987" i="4"/>
  <c r="N987" i="4" s="1"/>
  <c r="O987" i="4" s="1"/>
  <c r="A987" i="4"/>
  <c r="M986" i="4"/>
  <c r="U986" i="4" s="1"/>
  <c r="V986" i="4" s="1"/>
  <c r="L986" i="4"/>
  <c r="K986" i="4"/>
  <c r="J986" i="4"/>
  <c r="I986" i="4"/>
  <c r="H986" i="4"/>
  <c r="G986" i="4"/>
  <c r="R986" i="4" s="1"/>
  <c r="F986" i="4"/>
  <c r="E986" i="4"/>
  <c r="D986" i="4"/>
  <c r="C986" i="4"/>
  <c r="B986" i="4"/>
  <c r="N986" i="4" s="1"/>
  <c r="A986" i="4"/>
  <c r="R985" i="4"/>
  <c r="L985" i="4"/>
  <c r="K985" i="4"/>
  <c r="J985" i="4"/>
  <c r="I985" i="4"/>
  <c r="H985" i="4"/>
  <c r="G985" i="4"/>
  <c r="F985" i="4"/>
  <c r="E985" i="4"/>
  <c r="D985" i="4"/>
  <c r="C985" i="4"/>
  <c r="B985" i="4"/>
  <c r="N985" i="4" s="1"/>
  <c r="A985" i="4"/>
  <c r="R984" i="4"/>
  <c r="L984" i="4"/>
  <c r="K984" i="4"/>
  <c r="J984" i="4"/>
  <c r="I984" i="4"/>
  <c r="H984" i="4"/>
  <c r="G984" i="4"/>
  <c r="F984" i="4"/>
  <c r="E984" i="4"/>
  <c r="D984" i="4"/>
  <c r="C984" i="4"/>
  <c r="B984" i="4"/>
  <c r="N984" i="4" s="1"/>
  <c r="A984" i="4"/>
  <c r="M983" i="4"/>
  <c r="U983" i="4" s="1"/>
  <c r="V983" i="4" s="1"/>
  <c r="L983" i="4"/>
  <c r="K983" i="4"/>
  <c r="J983" i="4"/>
  <c r="I983" i="4"/>
  <c r="H983" i="4"/>
  <c r="G983" i="4"/>
  <c r="R983" i="4" s="1"/>
  <c r="F983" i="4"/>
  <c r="E983" i="4"/>
  <c r="D983" i="4"/>
  <c r="C983" i="4"/>
  <c r="B983" i="4"/>
  <c r="N983" i="4" s="1"/>
  <c r="A983" i="4"/>
  <c r="R982" i="4"/>
  <c r="L982" i="4"/>
  <c r="K982" i="4"/>
  <c r="J982" i="4"/>
  <c r="I982" i="4"/>
  <c r="H982" i="4"/>
  <c r="G982" i="4"/>
  <c r="F982" i="4"/>
  <c r="E982" i="4"/>
  <c r="D982" i="4"/>
  <c r="C982" i="4"/>
  <c r="B982" i="4"/>
  <c r="N982" i="4" s="1"/>
  <c r="A982" i="4"/>
  <c r="R981" i="4"/>
  <c r="L981" i="4"/>
  <c r="K981" i="4"/>
  <c r="J981" i="4"/>
  <c r="I981" i="4"/>
  <c r="H981" i="4"/>
  <c r="G981" i="4"/>
  <c r="F981" i="4"/>
  <c r="E981" i="4"/>
  <c r="D981" i="4"/>
  <c r="C981" i="4"/>
  <c r="B981" i="4"/>
  <c r="N981" i="4" s="1"/>
  <c r="A981" i="4"/>
  <c r="M980" i="4"/>
  <c r="L980" i="4"/>
  <c r="K980" i="4"/>
  <c r="J980" i="4"/>
  <c r="I980" i="4"/>
  <c r="H980" i="4"/>
  <c r="G980" i="4"/>
  <c r="R980" i="4" s="1"/>
  <c r="F980" i="4"/>
  <c r="E980" i="4"/>
  <c r="D980" i="4"/>
  <c r="C980" i="4"/>
  <c r="B980" i="4"/>
  <c r="N980" i="4" s="1"/>
  <c r="A980" i="4"/>
  <c r="R979" i="4"/>
  <c r="L979" i="4"/>
  <c r="K979" i="4"/>
  <c r="J979" i="4"/>
  <c r="I979" i="4"/>
  <c r="H979" i="4"/>
  <c r="G979" i="4"/>
  <c r="F979" i="4"/>
  <c r="E979" i="4"/>
  <c r="D979" i="4"/>
  <c r="C979" i="4"/>
  <c r="B979" i="4"/>
  <c r="N979" i="4" s="1"/>
  <c r="A979" i="4"/>
  <c r="R978" i="4"/>
  <c r="L978" i="4"/>
  <c r="K978" i="4"/>
  <c r="J978" i="4"/>
  <c r="I978" i="4"/>
  <c r="H978" i="4"/>
  <c r="G978" i="4"/>
  <c r="F978" i="4"/>
  <c r="E978" i="4"/>
  <c r="D978" i="4"/>
  <c r="C978" i="4"/>
  <c r="B978" i="4"/>
  <c r="N978" i="4" s="1"/>
  <c r="O978" i="4" s="1"/>
  <c r="A978" i="4"/>
  <c r="M977" i="4"/>
  <c r="U977" i="4" s="1"/>
  <c r="V977" i="4" s="1"/>
  <c r="L977" i="4"/>
  <c r="K977" i="4"/>
  <c r="J977" i="4"/>
  <c r="I977" i="4"/>
  <c r="H977" i="4"/>
  <c r="G977" i="4"/>
  <c r="R977" i="4" s="1"/>
  <c r="F977" i="4"/>
  <c r="E977" i="4"/>
  <c r="D977" i="4"/>
  <c r="C977" i="4"/>
  <c r="B977" i="4"/>
  <c r="N977" i="4" s="1"/>
  <c r="A977" i="4"/>
  <c r="R976" i="4"/>
  <c r="L976" i="4"/>
  <c r="K976" i="4"/>
  <c r="J976" i="4"/>
  <c r="I976" i="4"/>
  <c r="H976" i="4"/>
  <c r="G976" i="4"/>
  <c r="F976" i="4"/>
  <c r="E976" i="4"/>
  <c r="D976" i="4"/>
  <c r="C976" i="4"/>
  <c r="B976" i="4"/>
  <c r="N976" i="4" s="1"/>
  <c r="A976" i="4"/>
  <c r="R975" i="4"/>
  <c r="L975" i="4"/>
  <c r="K975" i="4"/>
  <c r="J975" i="4"/>
  <c r="I975" i="4"/>
  <c r="H975" i="4"/>
  <c r="G975" i="4"/>
  <c r="F975" i="4"/>
  <c r="E975" i="4"/>
  <c r="D975" i="4"/>
  <c r="C975" i="4"/>
  <c r="B975" i="4"/>
  <c r="N975" i="4" s="1"/>
  <c r="O975" i="4" s="1"/>
  <c r="A975" i="4"/>
  <c r="M974" i="4"/>
  <c r="U974" i="4" s="1"/>
  <c r="V974" i="4" s="1"/>
  <c r="L974" i="4"/>
  <c r="K974" i="4"/>
  <c r="J974" i="4"/>
  <c r="I974" i="4"/>
  <c r="H974" i="4"/>
  <c r="G974" i="4"/>
  <c r="R974" i="4" s="1"/>
  <c r="F974" i="4"/>
  <c r="E974" i="4"/>
  <c r="D974" i="4"/>
  <c r="C974" i="4"/>
  <c r="B974" i="4"/>
  <c r="N974" i="4" s="1"/>
  <c r="A974" i="4"/>
  <c r="R973" i="4"/>
  <c r="L973" i="4"/>
  <c r="K973" i="4"/>
  <c r="J973" i="4"/>
  <c r="I973" i="4"/>
  <c r="H973" i="4"/>
  <c r="G973" i="4"/>
  <c r="F973" i="4"/>
  <c r="E973" i="4"/>
  <c r="D973" i="4"/>
  <c r="C973" i="4"/>
  <c r="B973" i="4"/>
  <c r="N973" i="4" s="1"/>
  <c r="A973" i="4"/>
  <c r="R972" i="4"/>
  <c r="L972" i="4"/>
  <c r="K972" i="4"/>
  <c r="J972" i="4"/>
  <c r="I972" i="4"/>
  <c r="H972" i="4"/>
  <c r="G972" i="4"/>
  <c r="F972" i="4"/>
  <c r="E972" i="4"/>
  <c r="D972" i="4"/>
  <c r="C972" i="4"/>
  <c r="B972" i="4"/>
  <c r="N972" i="4" s="1"/>
  <c r="A972" i="4"/>
  <c r="M971" i="4"/>
  <c r="U971" i="4" s="1"/>
  <c r="V971" i="4" s="1"/>
  <c r="L971" i="4"/>
  <c r="K971" i="4"/>
  <c r="J971" i="4"/>
  <c r="I971" i="4"/>
  <c r="H971" i="4"/>
  <c r="G971" i="4"/>
  <c r="R971" i="4" s="1"/>
  <c r="F971" i="4"/>
  <c r="E971" i="4"/>
  <c r="D971" i="4"/>
  <c r="C971" i="4"/>
  <c r="B971" i="4"/>
  <c r="N971" i="4" s="1"/>
  <c r="A971" i="4"/>
  <c r="R970" i="4"/>
  <c r="N970" i="4"/>
  <c r="L970" i="4"/>
  <c r="K970" i="4"/>
  <c r="J970" i="4"/>
  <c r="I970" i="4"/>
  <c r="H970" i="4"/>
  <c r="G970" i="4"/>
  <c r="F970" i="4"/>
  <c r="E970" i="4"/>
  <c r="D970" i="4"/>
  <c r="C970" i="4"/>
  <c r="B970" i="4"/>
  <c r="M970" i="4" s="1"/>
  <c r="U970" i="4" s="1"/>
  <c r="V970" i="4" s="1"/>
  <c r="A970" i="4"/>
  <c r="R969" i="4"/>
  <c r="L969" i="4"/>
  <c r="K969" i="4"/>
  <c r="J969" i="4"/>
  <c r="I969" i="4"/>
  <c r="H969" i="4"/>
  <c r="G969" i="4"/>
  <c r="F969" i="4"/>
  <c r="E969" i="4"/>
  <c r="D969" i="4"/>
  <c r="C969" i="4"/>
  <c r="B969" i="4"/>
  <c r="N969" i="4" s="1"/>
  <c r="A969" i="4"/>
  <c r="M968" i="4"/>
  <c r="U968" i="4" s="1"/>
  <c r="V968" i="4" s="1"/>
  <c r="L968" i="4"/>
  <c r="K968" i="4"/>
  <c r="J968" i="4"/>
  <c r="I968" i="4"/>
  <c r="H968" i="4"/>
  <c r="G968" i="4"/>
  <c r="R968" i="4" s="1"/>
  <c r="F968" i="4"/>
  <c r="E968" i="4"/>
  <c r="D968" i="4"/>
  <c r="C968" i="4"/>
  <c r="B968" i="4"/>
  <c r="N968" i="4" s="1"/>
  <c r="A968" i="4"/>
  <c r="R967" i="4"/>
  <c r="L967" i="4"/>
  <c r="K967" i="4"/>
  <c r="J967" i="4"/>
  <c r="I967" i="4"/>
  <c r="H967" i="4"/>
  <c r="G967" i="4"/>
  <c r="F967" i="4"/>
  <c r="E967" i="4"/>
  <c r="D967" i="4"/>
  <c r="C967" i="4"/>
  <c r="B967" i="4"/>
  <c r="A967" i="4"/>
  <c r="R966" i="4"/>
  <c r="L966" i="4"/>
  <c r="K966" i="4"/>
  <c r="J966" i="4"/>
  <c r="I966" i="4"/>
  <c r="H966" i="4"/>
  <c r="G966" i="4"/>
  <c r="F966" i="4"/>
  <c r="E966" i="4"/>
  <c r="D966" i="4"/>
  <c r="C966" i="4"/>
  <c r="B966" i="4"/>
  <c r="N966" i="4" s="1"/>
  <c r="A966" i="4"/>
  <c r="M965" i="4"/>
  <c r="U965" i="4" s="1"/>
  <c r="V965" i="4" s="1"/>
  <c r="L965" i="4"/>
  <c r="K965" i="4"/>
  <c r="J965" i="4"/>
  <c r="I965" i="4"/>
  <c r="H965" i="4"/>
  <c r="G965" i="4"/>
  <c r="R965" i="4" s="1"/>
  <c r="F965" i="4"/>
  <c r="E965" i="4"/>
  <c r="D965" i="4"/>
  <c r="C965" i="4"/>
  <c r="B965" i="4"/>
  <c r="N965" i="4" s="1"/>
  <c r="A965" i="4"/>
  <c r="R964" i="4"/>
  <c r="N964" i="4"/>
  <c r="L964" i="4"/>
  <c r="K964" i="4"/>
  <c r="J964" i="4"/>
  <c r="I964" i="4"/>
  <c r="H964" i="4"/>
  <c r="G964" i="4"/>
  <c r="F964" i="4"/>
  <c r="E964" i="4"/>
  <c r="D964" i="4"/>
  <c r="C964" i="4"/>
  <c r="B964" i="4"/>
  <c r="M964" i="4" s="1"/>
  <c r="U964" i="4" s="1"/>
  <c r="V964" i="4" s="1"/>
  <c r="A964" i="4"/>
  <c r="R963" i="4"/>
  <c r="L963" i="4"/>
  <c r="K963" i="4"/>
  <c r="J963" i="4"/>
  <c r="I963" i="4"/>
  <c r="H963" i="4"/>
  <c r="G963" i="4"/>
  <c r="F963" i="4"/>
  <c r="E963" i="4"/>
  <c r="D963" i="4"/>
  <c r="C963" i="4"/>
  <c r="B963" i="4"/>
  <c r="A963" i="4"/>
  <c r="M962" i="4"/>
  <c r="L962" i="4"/>
  <c r="K962" i="4"/>
  <c r="J962" i="4"/>
  <c r="I962" i="4"/>
  <c r="H962" i="4"/>
  <c r="G962" i="4"/>
  <c r="R962" i="4" s="1"/>
  <c r="F962" i="4"/>
  <c r="E962" i="4"/>
  <c r="D962" i="4"/>
  <c r="C962" i="4"/>
  <c r="B962" i="4"/>
  <c r="N962" i="4" s="1"/>
  <c r="A962" i="4"/>
  <c r="R961" i="4"/>
  <c r="N961" i="4"/>
  <c r="L961" i="4"/>
  <c r="K961" i="4"/>
  <c r="J961" i="4"/>
  <c r="I961" i="4"/>
  <c r="H961" i="4"/>
  <c r="G961" i="4"/>
  <c r="F961" i="4"/>
  <c r="E961" i="4"/>
  <c r="D961" i="4"/>
  <c r="C961" i="4"/>
  <c r="B961" i="4"/>
  <c r="M961" i="4" s="1"/>
  <c r="A961" i="4"/>
  <c r="R960" i="4"/>
  <c r="N960" i="4"/>
  <c r="L960" i="4"/>
  <c r="K960" i="4"/>
  <c r="J960" i="4"/>
  <c r="I960" i="4"/>
  <c r="H960" i="4"/>
  <c r="G960" i="4"/>
  <c r="F960" i="4"/>
  <c r="E960" i="4"/>
  <c r="D960" i="4"/>
  <c r="C960" i="4"/>
  <c r="B960" i="4"/>
  <c r="M960" i="4" s="1"/>
  <c r="U960" i="4" s="1"/>
  <c r="V960" i="4" s="1"/>
  <c r="A960" i="4"/>
  <c r="R959" i="4"/>
  <c r="L959" i="4"/>
  <c r="K959" i="4"/>
  <c r="J959" i="4"/>
  <c r="I959" i="4"/>
  <c r="H959" i="4"/>
  <c r="G959" i="4"/>
  <c r="F959" i="4"/>
  <c r="E959" i="4"/>
  <c r="D959" i="4"/>
  <c r="C959" i="4"/>
  <c r="B959" i="4"/>
  <c r="M959" i="4" s="1"/>
  <c r="A959" i="4"/>
  <c r="L958" i="4"/>
  <c r="K958" i="4"/>
  <c r="J958" i="4"/>
  <c r="I958" i="4"/>
  <c r="H958" i="4"/>
  <c r="G958" i="4"/>
  <c r="R958" i="4" s="1"/>
  <c r="F958" i="4"/>
  <c r="E958" i="4"/>
  <c r="D958" i="4"/>
  <c r="C958" i="4"/>
  <c r="B958" i="4"/>
  <c r="A958" i="4"/>
  <c r="R957" i="4"/>
  <c r="L957" i="4"/>
  <c r="K957" i="4"/>
  <c r="J957" i="4"/>
  <c r="I957" i="4"/>
  <c r="H957" i="4"/>
  <c r="G957" i="4"/>
  <c r="F957" i="4"/>
  <c r="E957" i="4"/>
  <c r="D957" i="4"/>
  <c r="C957" i="4"/>
  <c r="B957" i="4"/>
  <c r="A957" i="4"/>
  <c r="R956" i="4"/>
  <c r="N956" i="4"/>
  <c r="L956" i="4"/>
  <c r="K956" i="4"/>
  <c r="J956" i="4"/>
  <c r="I956" i="4"/>
  <c r="H956" i="4"/>
  <c r="G956" i="4"/>
  <c r="F956" i="4"/>
  <c r="E956" i="4"/>
  <c r="D956" i="4"/>
  <c r="C956" i="4"/>
  <c r="B956" i="4"/>
  <c r="M956" i="4" s="1"/>
  <c r="U956" i="4" s="1"/>
  <c r="V956" i="4" s="1"/>
  <c r="A956" i="4"/>
  <c r="R955" i="4"/>
  <c r="L955" i="4"/>
  <c r="K955" i="4"/>
  <c r="J955" i="4"/>
  <c r="I955" i="4"/>
  <c r="H955" i="4"/>
  <c r="G955" i="4"/>
  <c r="F955" i="4"/>
  <c r="E955" i="4"/>
  <c r="D955" i="4"/>
  <c r="C955" i="4"/>
  <c r="B955" i="4"/>
  <c r="M955" i="4" s="1"/>
  <c r="U955" i="4" s="1"/>
  <c r="V955" i="4" s="1"/>
  <c r="A955" i="4"/>
  <c r="R954" i="4"/>
  <c r="N954" i="4"/>
  <c r="L954" i="4"/>
  <c r="K954" i="4"/>
  <c r="J954" i="4"/>
  <c r="I954" i="4"/>
  <c r="H954" i="4"/>
  <c r="G954" i="4"/>
  <c r="F954" i="4"/>
  <c r="E954" i="4"/>
  <c r="D954" i="4"/>
  <c r="C954" i="4"/>
  <c r="B954" i="4"/>
  <c r="M954" i="4" s="1"/>
  <c r="A954" i="4"/>
  <c r="R953" i="4"/>
  <c r="L953" i="4"/>
  <c r="K953" i="4"/>
  <c r="J953" i="4"/>
  <c r="I953" i="4"/>
  <c r="H953" i="4"/>
  <c r="G953" i="4"/>
  <c r="F953" i="4"/>
  <c r="E953" i="4"/>
  <c r="D953" i="4"/>
  <c r="C953" i="4"/>
  <c r="B953" i="4"/>
  <c r="A953" i="4"/>
  <c r="R952" i="4"/>
  <c r="L952" i="4"/>
  <c r="K952" i="4"/>
  <c r="J952" i="4"/>
  <c r="I952" i="4"/>
  <c r="H952" i="4"/>
  <c r="G952" i="4"/>
  <c r="F952" i="4"/>
  <c r="E952" i="4"/>
  <c r="D952" i="4"/>
  <c r="C952" i="4"/>
  <c r="B952" i="4"/>
  <c r="A952" i="4"/>
  <c r="R951" i="4"/>
  <c r="L951" i="4"/>
  <c r="K951" i="4"/>
  <c r="J951" i="4"/>
  <c r="I951" i="4"/>
  <c r="H951" i="4"/>
  <c r="G951" i="4"/>
  <c r="F951" i="4"/>
  <c r="E951" i="4"/>
  <c r="D951" i="4"/>
  <c r="C951" i="4"/>
  <c r="B951" i="4"/>
  <c r="M951" i="4" s="1"/>
  <c r="A951" i="4"/>
  <c r="R950" i="4"/>
  <c r="L950" i="4"/>
  <c r="K950" i="4"/>
  <c r="J950" i="4"/>
  <c r="I950" i="4"/>
  <c r="H950" i="4"/>
  <c r="G950" i="4"/>
  <c r="F950" i="4"/>
  <c r="E950" i="4"/>
  <c r="D950" i="4"/>
  <c r="C950" i="4"/>
  <c r="B950" i="4"/>
  <c r="N950" i="4" s="1"/>
  <c r="A950" i="4"/>
  <c r="R949" i="4"/>
  <c r="L949" i="4"/>
  <c r="K949" i="4"/>
  <c r="J949" i="4"/>
  <c r="I949" i="4"/>
  <c r="H949" i="4"/>
  <c r="G949" i="4"/>
  <c r="F949" i="4"/>
  <c r="E949" i="4"/>
  <c r="D949" i="4"/>
  <c r="C949" i="4"/>
  <c r="B949" i="4"/>
  <c r="M949" i="4" s="1"/>
  <c r="A949" i="4"/>
  <c r="R948" i="4"/>
  <c r="N948" i="4"/>
  <c r="L948" i="4"/>
  <c r="K948" i="4"/>
  <c r="J948" i="4"/>
  <c r="I948" i="4"/>
  <c r="H948" i="4"/>
  <c r="G948" i="4"/>
  <c r="F948" i="4"/>
  <c r="E948" i="4"/>
  <c r="D948" i="4"/>
  <c r="C948" i="4"/>
  <c r="B948" i="4"/>
  <c r="M948" i="4" s="1"/>
  <c r="A948" i="4"/>
  <c r="M947" i="4"/>
  <c r="U947" i="4" s="1"/>
  <c r="V947" i="4" s="1"/>
  <c r="L947" i="4"/>
  <c r="K947" i="4"/>
  <c r="J947" i="4"/>
  <c r="I947" i="4"/>
  <c r="H947" i="4"/>
  <c r="G947" i="4"/>
  <c r="R947" i="4" s="1"/>
  <c r="F947" i="4"/>
  <c r="E947" i="4"/>
  <c r="D947" i="4"/>
  <c r="C947" i="4"/>
  <c r="B947" i="4"/>
  <c r="N947" i="4" s="1"/>
  <c r="A947" i="4"/>
  <c r="N946" i="4"/>
  <c r="L946" i="4"/>
  <c r="K946" i="4"/>
  <c r="J946" i="4"/>
  <c r="I946" i="4"/>
  <c r="H946" i="4"/>
  <c r="G946" i="4"/>
  <c r="R946" i="4" s="1"/>
  <c r="F946" i="4"/>
  <c r="E946" i="4"/>
  <c r="D946" i="4"/>
  <c r="C946" i="4"/>
  <c r="B946" i="4"/>
  <c r="M946" i="4" s="1"/>
  <c r="U946" i="4" s="1"/>
  <c r="V946" i="4" s="1"/>
  <c r="A946" i="4"/>
  <c r="R945" i="4"/>
  <c r="L945" i="4"/>
  <c r="K945" i="4"/>
  <c r="J945" i="4"/>
  <c r="I945" i="4"/>
  <c r="H945" i="4"/>
  <c r="G945" i="4"/>
  <c r="F945" i="4"/>
  <c r="E945" i="4"/>
  <c r="D945" i="4"/>
  <c r="C945" i="4"/>
  <c r="B945" i="4"/>
  <c r="A945" i="4"/>
  <c r="M944" i="4"/>
  <c r="U944" i="4" s="1"/>
  <c r="V944" i="4" s="1"/>
  <c r="L944" i="4"/>
  <c r="K944" i="4"/>
  <c r="J944" i="4"/>
  <c r="I944" i="4"/>
  <c r="H944" i="4"/>
  <c r="G944" i="4"/>
  <c r="R944" i="4" s="1"/>
  <c r="F944" i="4"/>
  <c r="E944" i="4"/>
  <c r="D944" i="4"/>
  <c r="C944" i="4"/>
  <c r="B944" i="4"/>
  <c r="N944" i="4" s="1"/>
  <c r="A944" i="4"/>
  <c r="L943" i="4"/>
  <c r="K943" i="4"/>
  <c r="J943" i="4"/>
  <c r="I943" i="4"/>
  <c r="H943" i="4"/>
  <c r="G943" i="4"/>
  <c r="R943" i="4" s="1"/>
  <c r="F943" i="4"/>
  <c r="E943" i="4"/>
  <c r="D943" i="4"/>
  <c r="C943" i="4"/>
  <c r="B943" i="4"/>
  <c r="M943" i="4" s="1"/>
  <c r="U943" i="4" s="1"/>
  <c r="V943" i="4" s="1"/>
  <c r="A943" i="4"/>
  <c r="R942" i="4"/>
  <c r="N942" i="4"/>
  <c r="L942" i="4"/>
  <c r="K942" i="4"/>
  <c r="J942" i="4"/>
  <c r="I942" i="4"/>
  <c r="H942" i="4"/>
  <c r="G942" i="4"/>
  <c r="F942" i="4"/>
  <c r="E942" i="4"/>
  <c r="D942" i="4"/>
  <c r="C942" i="4"/>
  <c r="B942" i="4"/>
  <c r="M942" i="4" s="1"/>
  <c r="U942" i="4" s="1"/>
  <c r="V942" i="4" s="1"/>
  <c r="A942" i="4"/>
  <c r="L941" i="4"/>
  <c r="K941" i="4"/>
  <c r="J941" i="4"/>
  <c r="I941" i="4"/>
  <c r="H941" i="4"/>
  <c r="G941" i="4"/>
  <c r="R941" i="4" s="1"/>
  <c r="F941" i="4"/>
  <c r="E941" i="4"/>
  <c r="D941" i="4"/>
  <c r="C941" i="4"/>
  <c r="B941" i="4"/>
  <c r="N941" i="4" s="1"/>
  <c r="A941" i="4"/>
  <c r="N940" i="4"/>
  <c r="L940" i="4"/>
  <c r="K940" i="4"/>
  <c r="J940" i="4"/>
  <c r="I940" i="4"/>
  <c r="H940" i="4"/>
  <c r="G940" i="4"/>
  <c r="R940" i="4" s="1"/>
  <c r="F940" i="4"/>
  <c r="E940" i="4"/>
  <c r="D940" i="4"/>
  <c r="C940" i="4"/>
  <c r="B940" i="4"/>
  <c r="M940" i="4" s="1"/>
  <c r="A940" i="4"/>
  <c r="R939" i="4"/>
  <c r="L939" i="4"/>
  <c r="K939" i="4"/>
  <c r="J939" i="4"/>
  <c r="I939" i="4"/>
  <c r="H939" i="4"/>
  <c r="G939" i="4"/>
  <c r="F939" i="4"/>
  <c r="E939" i="4"/>
  <c r="D939" i="4"/>
  <c r="C939" i="4"/>
  <c r="B939" i="4"/>
  <c r="M939" i="4" s="1"/>
  <c r="U939" i="4" s="1"/>
  <c r="V939" i="4" s="1"/>
  <c r="A939" i="4"/>
  <c r="M938" i="4"/>
  <c r="U938" i="4" s="1"/>
  <c r="V938" i="4" s="1"/>
  <c r="L938" i="4"/>
  <c r="K938" i="4"/>
  <c r="J938" i="4"/>
  <c r="I938" i="4"/>
  <c r="H938" i="4"/>
  <c r="G938" i="4"/>
  <c r="R938" i="4" s="1"/>
  <c r="F938" i="4"/>
  <c r="E938" i="4"/>
  <c r="D938" i="4"/>
  <c r="C938" i="4"/>
  <c r="B938" i="4"/>
  <c r="N938" i="4" s="1"/>
  <c r="A938" i="4"/>
  <c r="R937" i="4"/>
  <c r="M937" i="4"/>
  <c r="U937" i="4" s="1"/>
  <c r="V937" i="4" s="1"/>
  <c r="L937" i="4"/>
  <c r="K937" i="4"/>
  <c r="J937" i="4"/>
  <c r="I937" i="4"/>
  <c r="H937" i="4"/>
  <c r="G937" i="4"/>
  <c r="F937" i="4"/>
  <c r="E937" i="4"/>
  <c r="D937" i="4"/>
  <c r="C937" i="4"/>
  <c r="B937" i="4"/>
  <c r="N937" i="4" s="1"/>
  <c r="A937" i="4"/>
  <c r="R936" i="4"/>
  <c r="N936" i="4"/>
  <c r="L936" i="4"/>
  <c r="K936" i="4"/>
  <c r="J936" i="4"/>
  <c r="I936" i="4"/>
  <c r="H936" i="4"/>
  <c r="G936" i="4"/>
  <c r="F936" i="4"/>
  <c r="E936" i="4"/>
  <c r="D936" i="4"/>
  <c r="C936" i="4"/>
  <c r="B936" i="4"/>
  <c r="M936" i="4" s="1"/>
  <c r="U936" i="4" s="1"/>
  <c r="V936" i="4" s="1"/>
  <c r="A936" i="4"/>
  <c r="L935" i="4"/>
  <c r="K935" i="4"/>
  <c r="J935" i="4"/>
  <c r="I935" i="4"/>
  <c r="H935" i="4"/>
  <c r="G935" i="4"/>
  <c r="R935" i="4" s="1"/>
  <c r="F935" i="4"/>
  <c r="E935" i="4"/>
  <c r="D935" i="4"/>
  <c r="C935" i="4"/>
  <c r="B935" i="4"/>
  <c r="A935" i="4"/>
  <c r="R934" i="4"/>
  <c r="L934" i="4"/>
  <c r="K934" i="4"/>
  <c r="J934" i="4"/>
  <c r="I934" i="4"/>
  <c r="H934" i="4"/>
  <c r="G934" i="4"/>
  <c r="F934" i="4"/>
  <c r="E934" i="4"/>
  <c r="D934" i="4"/>
  <c r="C934" i="4"/>
  <c r="B934" i="4"/>
  <c r="N934" i="4" s="1"/>
  <c r="A934" i="4"/>
  <c r="N933" i="4"/>
  <c r="O933" i="4" s="1"/>
  <c r="L933" i="4"/>
  <c r="K933" i="4"/>
  <c r="J933" i="4"/>
  <c r="I933" i="4"/>
  <c r="H933" i="4"/>
  <c r="G933" i="4"/>
  <c r="R933" i="4" s="1"/>
  <c r="F933" i="4"/>
  <c r="E933" i="4"/>
  <c r="D933" i="4"/>
  <c r="C933" i="4"/>
  <c r="B933" i="4"/>
  <c r="M933" i="4" s="1"/>
  <c r="U933" i="4" s="1"/>
  <c r="V933" i="4" s="1"/>
  <c r="A933" i="4"/>
  <c r="R932" i="4"/>
  <c r="L932" i="4"/>
  <c r="K932" i="4"/>
  <c r="J932" i="4"/>
  <c r="I932" i="4"/>
  <c r="H932" i="4"/>
  <c r="G932" i="4"/>
  <c r="F932" i="4"/>
  <c r="E932" i="4"/>
  <c r="D932" i="4"/>
  <c r="C932" i="4"/>
  <c r="B932" i="4"/>
  <c r="N932" i="4" s="1"/>
  <c r="A932" i="4"/>
  <c r="R931" i="4"/>
  <c r="L931" i="4"/>
  <c r="K931" i="4"/>
  <c r="J931" i="4"/>
  <c r="I931" i="4"/>
  <c r="H931" i="4"/>
  <c r="G931" i="4"/>
  <c r="F931" i="4"/>
  <c r="E931" i="4"/>
  <c r="D931" i="4"/>
  <c r="C931" i="4"/>
  <c r="B931" i="4"/>
  <c r="A931" i="4"/>
  <c r="M930" i="4"/>
  <c r="U930" i="4" s="1"/>
  <c r="V930" i="4" s="1"/>
  <c r="L930" i="4"/>
  <c r="K930" i="4"/>
  <c r="J930" i="4"/>
  <c r="I930" i="4"/>
  <c r="H930" i="4"/>
  <c r="G930" i="4"/>
  <c r="R930" i="4" s="1"/>
  <c r="F930" i="4"/>
  <c r="E930" i="4"/>
  <c r="D930" i="4"/>
  <c r="C930" i="4"/>
  <c r="B930" i="4"/>
  <c r="N930" i="4" s="1"/>
  <c r="A930" i="4"/>
  <c r="R929" i="4"/>
  <c r="N929" i="4"/>
  <c r="L929" i="4"/>
  <c r="K929" i="4"/>
  <c r="J929" i="4"/>
  <c r="I929" i="4"/>
  <c r="H929" i="4"/>
  <c r="G929" i="4"/>
  <c r="F929" i="4"/>
  <c r="E929" i="4"/>
  <c r="D929" i="4"/>
  <c r="C929" i="4"/>
  <c r="B929" i="4"/>
  <c r="M929" i="4" s="1"/>
  <c r="U929" i="4" s="1"/>
  <c r="V929" i="4" s="1"/>
  <c r="A929" i="4"/>
  <c r="M928" i="4"/>
  <c r="U928" i="4" s="1"/>
  <c r="V928" i="4" s="1"/>
  <c r="L928" i="4"/>
  <c r="K928" i="4"/>
  <c r="J928" i="4"/>
  <c r="I928" i="4"/>
  <c r="H928" i="4"/>
  <c r="G928" i="4"/>
  <c r="R928" i="4" s="1"/>
  <c r="F928" i="4"/>
  <c r="E928" i="4"/>
  <c r="D928" i="4"/>
  <c r="C928" i="4"/>
  <c r="B928" i="4"/>
  <c r="N928" i="4" s="1"/>
  <c r="A928" i="4"/>
  <c r="R927" i="4"/>
  <c r="L927" i="4"/>
  <c r="K927" i="4"/>
  <c r="J927" i="4"/>
  <c r="I927" i="4"/>
  <c r="H927" i="4"/>
  <c r="G927" i="4"/>
  <c r="F927" i="4"/>
  <c r="E927" i="4"/>
  <c r="D927" i="4"/>
  <c r="C927" i="4"/>
  <c r="B927" i="4"/>
  <c r="M927" i="4" s="1"/>
  <c r="A927" i="4"/>
  <c r="R926" i="4"/>
  <c r="L926" i="4"/>
  <c r="K926" i="4"/>
  <c r="J926" i="4"/>
  <c r="I926" i="4"/>
  <c r="H926" i="4"/>
  <c r="G926" i="4"/>
  <c r="F926" i="4"/>
  <c r="E926" i="4"/>
  <c r="D926" i="4"/>
  <c r="C926" i="4"/>
  <c r="B926" i="4"/>
  <c r="M926" i="4" s="1"/>
  <c r="U926" i="4" s="1"/>
  <c r="V926" i="4" s="1"/>
  <c r="A926" i="4"/>
  <c r="R925" i="4"/>
  <c r="L925" i="4"/>
  <c r="K925" i="4"/>
  <c r="J925" i="4"/>
  <c r="I925" i="4"/>
  <c r="H925" i="4"/>
  <c r="G925" i="4"/>
  <c r="F925" i="4"/>
  <c r="E925" i="4"/>
  <c r="D925" i="4"/>
  <c r="C925" i="4"/>
  <c r="B925" i="4"/>
  <c r="N925" i="4" s="1"/>
  <c r="A925" i="4"/>
  <c r="M924" i="4"/>
  <c r="U924" i="4" s="1"/>
  <c r="V924" i="4" s="1"/>
  <c r="L924" i="4"/>
  <c r="K924" i="4"/>
  <c r="J924" i="4"/>
  <c r="I924" i="4"/>
  <c r="H924" i="4"/>
  <c r="G924" i="4"/>
  <c r="R924" i="4" s="1"/>
  <c r="F924" i="4"/>
  <c r="E924" i="4"/>
  <c r="D924" i="4"/>
  <c r="C924" i="4"/>
  <c r="B924" i="4"/>
  <c r="N924" i="4" s="1"/>
  <c r="A924" i="4"/>
  <c r="R923" i="4"/>
  <c r="L923" i="4"/>
  <c r="K923" i="4"/>
  <c r="J923" i="4"/>
  <c r="I923" i="4"/>
  <c r="H923" i="4"/>
  <c r="G923" i="4"/>
  <c r="F923" i="4"/>
  <c r="E923" i="4"/>
  <c r="D923" i="4"/>
  <c r="C923" i="4"/>
  <c r="B923" i="4"/>
  <c r="A923" i="4"/>
  <c r="R922" i="4"/>
  <c r="L922" i="4"/>
  <c r="K922" i="4"/>
  <c r="J922" i="4"/>
  <c r="I922" i="4"/>
  <c r="H922" i="4"/>
  <c r="G922" i="4"/>
  <c r="F922" i="4"/>
  <c r="E922" i="4"/>
  <c r="D922" i="4"/>
  <c r="C922" i="4"/>
  <c r="B922" i="4"/>
  <c r="A922" i="4"/>
  <c r="R921" i="4"/>
  <c r="N921" i="4"/>
  <c r="L921" i="4"/>
  <c r="K921" i="4"/>
  <c r="J921" i="4"/>
  <c r="I921" i="4"/>
  <c r="H921" i="4"/>
  <c r="G921" i="4"/>
  <c r="F921" i="4"/>
  <c r="E921" i="4"/>
  <c r="D921" i="4"/>
  <c r="C921" i="4"/>
  <c r="B921" i="4"/>
  <c r="M921" i="4" s="1"/>
  <c r="U921" i="4" s="1"/>
  <c r="V921" i="4" s="1"/>
  <c r="A921" i="4"/>
  <c r="R920" i="4"/>
  <c r="N920" i="4"/>
  <c r="L920" i="4"/>
  <c r="K920" i="4"/>
  <c r="J920" i="4"/>
  <c r="I920" i="4"/>
  <c r="H920" i="4"/>
  <c r="G920" i="4"/>
  <c r="F920" i="4"/>
  <c r="E920" i="4"/>
  <c r="D920" i="4"/>
  <c r="C920" i="4"/>
  <c r="B920" i="4"/>
  <c r="M920" i="4" s="1"/>
  <c r="U920" i="4" s="1"/>
  <c r="V920" i="4" s="1"/>
  <c r="A920" i="4"/>
  <c r="M919" i="4"/>
  <c r="U919" i="4" s="1"/>
  <c r="V919" i="4" s="1"/>
  <c r="L919" i="4"/>
  <c r="K919" i="4"/>
  <c r="J919" i="4"/>
  <c r="I919" i="4"/>
  <c r="H919" i="4"/>
  <c r="G919" i="4"/>
  <c r="R919" i="4" s="1"/>
  <c r="F919" i="4"/>
  <c r="E919" i="4"/>
  <c r="D919" i="4"/>
  <c r="C919" i="4"/>
  <c r="B919" i="4"/>
  <c r="N919" i="4" s="1"/>
  <c r="O919" i="4" s="1"/>
  <c r="A919" i="4"/>
  <c r="R918" i="4"/>
  <c r="N918" i="4"/>
  <c r="L918" i="4"/>
  <c r="K918" i="4"/>
  <c r="J918" i="4"/>
  <c r="I918" i="4"/>
  <c r="H918" i="4"/>
  <c r="G918" i="4"/>
  <c r="F918" i="4"/>
  <c r="E918" i="4"/>
  <c r="D918" i="4"/>
  <c r="C918" i="4"/>
  <c r="B918" i="4"/>
  <c r="M918" i="4" s="1"/>
  <c r="U918" i="4" s="1"/>
  <c r="V918" i="4" s="1"/>
  <c r="A918" i="4"/>
  <c r="R917" i="4"/>
  <c r="N917" i="4"/>
  <c r="O917" i="4" s="1"/>
  <c r="L917" i="4"/>
  <c r="K917" i="4"/>
  <c r="J917" i="4"/>
  <c r="I917" i="4"/>
  <c r="H917" i="4"/>
  <c r="G917" i="4"/>
  <c r="F917" i="4"/>
  <c r="E917" i="4"/>
  <c r="D917" i="4"/>
  <c r="C917" i="4"/>
  <c r="B917" i="4"/>
  <c r="M917" i="4" s="1"/>
  <c r="A917" i="4"/>
  <c r="M916" i="4"/>
  <c r="L916" i="4"/>
  <c r="K916" i="4"/>
  <c r="J916" i="4"/>
  <c r="I916" i="4"/>
  <c r="H916" i="4"/>
  <c r="G916" i="4"/>
  <c r="R916" i="4" s="1"/>
  <c r="F916" i="4"/>
  <c r="E916" i="4"/>
  <c r="D916" i="4"/>
  <c r="C916" i="4"/>
  <c r="B916" i="4"/>
  <c r="N916" i="4" s="1"/>
  <c r="A916" i="4"/>
  <c r="M915" i="4"/>
  <c r="L915" i="4"/>
  <c r="K915" i="4"/>
  <c r="J915" i="4"/>
  <c r="I915" i="4"/>
  <c r="H915" i="4"/>
  <c r="G915" i="4"/>
  <c r="R915" i="4" s="1"/>
  <c r="F915" i="4"/>
  <c r="E915" i="4"/>
  <c r="D915" i="4"/>
  <c r="C915" i="4"/>
  <c r="B915" i="4"/>
  <c r="N915" i="4" s="1"/>
  <c r="A915" i="4"/>
  <c r="R914" i="4"/>
  <c r="L914" i="4"/>
  <c r="K914" i="4"/>
  <c r="J914" i="4"/>
  <c r="I914" i="4"/>
  <c r="H914" i="4"/>
  <c r="G914" i="4"/>
  <c r="F914" i="4"/>
  <c r="E914" i="4"/>
  <c r="D914" i="4"/>
  <c r="C914" i="4"/>
  <c r="B914" i="4"/>
  <c r="A914" i="4"/>
  <c r="R913" i="4"/>
  <c r="L913" i="4"/>
  <c r="K913" i="4"/>
  <c r="J913" i="4"/>
  <c r="I913" i="4"/>
  <c r="H913" i="4"/>
  <c r="G913" i="4"/>
  <c r="F913" i="4"/>
  <c r="E913" i="4"/>
  <c r="D913" i="4"/>
  <c r="C913" i="4"/>
  <c r="B913" i="4"/>
  <c r="M913" i="4" s="1"/>
  <c r="U913" i="4" s="1"/>
  <c r="V913" i="4" s="1"/>
  <c r="A913" i="4"/>
  <c r="L912" i="4"/>
  <c r="K912" i="4"/>
  <c r="J912" i="4"/>
  <c r="I912" i="4"/>
  <c r="H912" i="4"/>
  <c r="G912" i="4"/>
  <c r="R912" i="4" s="1"/>
  <c r="F912" i="4"/>
  <c r="E912" i="4"/>
  <c r="D912" i="4"/>
  <c r="C912" i="4"/>
  <c r="B912" i="4"/>
  <c r="N912" i="4" s="1"/>
  <c r="A912" i="4"/>
  <c r="R911" i="4"/>
  <c r="N911" i="4"/>
  <c r="L911" i="4"/>
  <c r="K911" i="4"/>
  <c r="J911" i="4"/>
  <c r="I911" i="4"/>
  <c r="H911" i="4"/>
  <c r="G911" i="4"/>
  <c r="F911" i="4"/>
  <c r="E911" i="4"/>
  <c r="D911" i="4"/>
  <c r="C911" i="4"/>
  <c r="B911" i="4"/>
  <c r="M911" i="4" s="1"/>
  <c r="U911" i="4" s="1"/>
  <c r="V911" i="4" s="1"/>
  <c r="A911" i="4"/>
  <c r="M910" i="4"/>
  <c r="U910" i="4" s="1"/>
  <c r="V910" i="4" s="1"/>
  <c r="L910" i="4"/>
  <c r="K910" i="4"/>
  <c r="J910" i="4"/>
  <c r="I910" i="4"/>
  <c r="H910" i="4"/>
  <c r="G910" i="4"/>
  <c r="R910" i="4" s="1"/>
  <c r="F910" i="4"/>
  <c r="E910" i="4"/>
  <c r="D910" i="4"/>
  <c r="C910" i="4"/>
  <c r="B910" i="4"/>
  <c r="N910" i="4" s="1"/>
  <c r="A910" i="4"/>
  <c r="R909" i="4"/>
  <c r="L909" i="4"/>
  <c r="K909" i="4"/>
  <c r="J909" i="4"/>
  <c r="I909" i="4"/>
  <c r="H909" i="4"/>
  <c r="G909" i="4"/>
  <c r="F909" i="4"/>
  <c r="E909" i="4"/>
  <c r="D909" i="4"/>
  <c r="C909" i="4"/>
  <c r="B909" i="4"/>
  <c r="M909" i="4" s="1"/>
  <c r="A909" i="4"/>
  <c r="M908" i="4"/>
  <c r="U908" i="4" s="1"/>
  <c r="V908" i="4" s="1"/>
  <c r="L908" i="4"/>
  <c r="K908" i="4"/>
  <c r="J908" i="4"/>
  <c r="I908" i="4"/>
  <c r="H908" i="4"/>
  <c r="G908" i="4"/>
  <c r="R908" i="4" s="1"/>
  <c r="F908" i="4"/>
  <c r="E908" i="4"/>
  <c r="D908" i="4"/>
  <c r="C908" i="4"/>
  <c r="B908" i="4"/>
  <c r="N908" i="4" s="1"/>
  <c r="A908" i="4"/>
  <c r="L907" i="4"/>
  <c r="K907" i="4"/>
  <c r="J907" i="4"/>
  <c r="I907" i="4"/>
  <c r="H907" i="4"/>
  <c r="G907" i="4"/>
  <c r="R907" i="4" s="1"/>
  <c r="F907" i="4"/>
  <c r="E907" i="4"/>
  <c r="D907" i="4"/>
  <c r="C907" i="4"/>
  <c r="B907" i="4"/>
  <c r="N907" i="4" s="1"/>
  <c r="A907" i="4"/>
  <c r="R906" i="4"/>
  <c r="L906" i="4"/>
  <c r="K906" i="4"/>
  <c r="J906" i="4"/>
  <c r="I906" i="4"/>
  <c r="H906" i="4"/>
  <c r="G906" i="4"/>
  <c r="F906" i="4"/>
  <c r="E906" i="4"/>
  <c r="D906" i="4"/>
  <c r="C906" i="4"/>
  <c r="B906" i="4"/>
  <c r="M906" i="4" s="1"/>
  <c r="U906" i="4" s="1"/>
  <c r="V906" i="4" s="1"/>
  <c r="A906" i="4"/>
  <c r="M905" i="4"/>
  <c r="U905" i="4" s="1"/>
  <c r="V905" i="4" s="1"/>
  <c r="L905" i="4"/>
  <c r="K905" i="4"/>
  <c r="J905" i="4"/>
  <c r="I905" i="4"/>
  <c r="H905" i="4"/>
  <c r="G905" i="4"/>
  <c r="R905" i="4" s="1"/>
  <c r="F905" i="4"/>
  <c r="E905" i="4"/>
  <c r="D905" i="4"/>
  <c r="C905" i="4"/>
  <c r="B905" i="4"/>
  <c r="N905" i="4" s="1"/>
  <c r="A905" i="4"/>
  <c r="L904" i="4"/>
  <c r="K904" i="4"/>
  <c r="J904" i="4"/>
  <c r="I904" i="4"/>
  <c r="H904" i="4"/>
  <c r="G904" i="4"/>
  <c r="R904" i="4" s="1"/>
  <c r="F904" i="4"/>
  <c r="E904" i="4"/>
  <c r="D904" i="4"/>
  <c r="C904" i="4"/>
  <c r="B904" i="4"/>
  <c r="M904" i="4" s="1"/>
  <c r="A904" i="4"/>
  <c r="R903" i="4"/>
  <c r="L903" i="4"/>
  <c r="K903" i="4"/>
  <c r="J903" i="4"/>
  <c r="I903" i="4"/>
  <c r="H903" i="4"/>
  <c r="G903" i="4"/>
  <c r="F903" i="4"/>
  <c r="E903" i="4"/>
  <c r="D903" i="4"/>
  <c r="C903" i="4"/>
  <c r="B903" i="4"/>
  <c r="A903" i="4"/>
  <c r="M902" i="4"/>
  <c r="U902" i="4" s="1"/>
  <c r="V902" i="4" s="1"/>
  <c r="L902" i="4"/>
  <c r="K902" i="4"/>
  <c r="J902" i="4"/>
  <c r="I902" i="4"/>
  <c r="H902" i="4"/>
  <c r="G902" i="4"/>
  <c r="R902" i="4" s="1"/>
  <c r="F902" i="4"/>
  <c r="E902" i="4"/>
  <c r="D902" i="4"/>
  <c r="C902" i="4"/>
  <c r="B902" i="4"/>
  <c r="N902" i="4" s="1"/>
  <c r="A902" i="4"/>
  <c r="L901" i="4"/>
  <c r="K901" i="4"/>
  <c r="J901" i="4"/>
  <c r="I901" i="4"/>
  <c r="H901" i="4"/>
  <c r="G901" i="4"/>
  <c r="R901" i="4" s="1"/>
  <c r="F901" i="4"/>
  <c r="E901" i="4"/>
  <c r="D901" i="4"/>
  <c r="C901" i="4"/>
  <c r="B901" i="4"/>
  <c r="N901" i="4" s="1"/>
  <c r="A901" i="4"/>
  <c r="R900" i="4"/>
  <c r="L900" i="4"/>
  <c r="K900" i="4"/>
  <c r="J900" i="4"/>
  <c r="I900" i="4"/>
  <c r="H900" i="4"/>
  <c r="G900" i="4"/>
  <c r="F900" i="4"/>
  <c r="E900" i="4"/>
  <c r="D900" i="4"/>
  <c r="C900" i="4"/>
  <c r="B900" i="4"/>
  <c r="M900" i="4" s="1"/>
  <c r="A900" i="4"/>
  <c r="M899" i="4"/>
  <c r="U899" i="4" s="1"/>
  <c r="V899" i="4" s="1"/>
  <c r="L899" i="4"/>
  <c r="K899" i="4"/>
  <c r="J899" i="4"/>
  <c r="I899" i="4"/>
  <c r="H899" i="4"/>
  <c r="G899" i="4"/>
  <c r="R899" i="4" s="1"/>
  <c r="F899" i="4"/>
  <c r="E899" i="4"/>
  <c r="D899" i="4"/>
  <c r="C899" i="4"/>
  <c r="B899" i="4"/>
  <c r="N899" i="4" s="1"/>
  <c r="A899" i="4"/>
  <c r="L898" i="4"/>
  <c r="K898" i="4"/>
  <c r="J898" i="4"/>
  <c r="I898" i="4"/>
  <c r="H898" i="4"/>
  <c r="G898" i="4"/>
  <c r="R898" i="4" s="1"/>
  <c r="F898" i="4"/>
  <c r="E898" i="4"/>
  <c r="D898" i="4"/>
  <c r="C898" i="4"/>
  <c r="B898" i="4"/>
  <c r="N898" i="4" s="1"/>
  <c r="A898" i="4"/>
  <c r="R897" i="4"/>
  <c r="L897" i="4"/>
  <c r="K897" i="4"/>
  <c r="J897" i="4"/>
  <c r="I897" i="4"/>
  <c r="H897" i="4"/>
  <c r="G897" i="4"/>
  <c r="F897" i="4"/>
  <c r="E897" i="4"/>
  <c r="D897" i="4"/>
  <c r="C897" i="4"/>
  <c r="B897" i="4"/>
  <c r="M897" i="4" s="1"/>
  <c r="A897" i="4"/>
  <c r="M896" i="4"/>
  <c r="L896" i="4"/>
  <c r="K896" i="4"/>
  <c r="J896" i="4"/>
  <c r="I896" i="4"/>
  <c r="H896" i="4"/>
  <c r="G896" i="4"/>
  <c r="R896" i="4" s="1"/>
  <c r="F896" i="4"/>
  <c r="E896" i="4"/>
  <c r="D896" i="4"/>
  <c r="C896" i="4"/>
  <c r="B896" i="4"/>
  <c r="N896" i="4" s="1"/>
  <c r="A896" i="4"/>
  <c r="L895" i="4"/>
  <c r="K895" i="4"/>
  <c r="J895" i="4"/>
  <c r="I895" i="4"/>
  <c r="H895" i="4"/>
  <c r="G895" i="4"/>
  <c r="R895" i="4" s="1"/>
  <c r="F895" i="4"/>
  <c r="E895" i="4"/>
  <c r="D895" i="4"/>
  <c r="C895" i="4"/>
  <c r="B895" i="4"/>
  <c r="N895" i="4" s="1"/>
  <c r="A895" i="4"/>
  <c r="R894" i="4"/>
  <c r="L894" i="4"/>
  <c r="K894" i="4"/>
  <c r="J894" i="4"/>
  <c r="I894" i="4"/>
  <c r="H894" i="4"/>
  <c r="G894" i="4"/>
  <c r="F894" i="4"/>
  <c r="E894" i="4"/>
  <c r="D894" i="4"/>
  <c r="C894" i="4"/>
  <c r="B894" i="4"/>
  <c r="N894" i="4" s="1"/>
  <c r="A894" i="4"/>
  <c r="R893" i="4"/>
  <c r="M893" i="4"/>
  <c r="L893" i="4"/>
  <c r="K893" i="4"/>
  <c r="J893" i="4"/>
  <c r="I893" i="4"/>
  <c r="H893" i="4"/>
  <c r="G893" i="4"/>
  <c r="F893" i="4"/>
  <c r="E893" i="4"/>
  <c r="D893" i="4"/>
  <c r="C893" i="4"/>
  <c r="B893" i="4"/>
  <c r="N893" i="4" s="1"/>
  <c r="O893" i="4" s="1"/>
  <c r="A893" i="4"/>
  <c r="L892" i="4"/>
  <c r="K892" i="4"/>
  <c r="J892" i="4"/>
  <c r="I892" i="4"/>
  <c r="H892" i="4"/>
  <c r="G892" i="4"/>
  <c r="R892" i="4" s="1"/>
  <c r="F892" i="4"/>
  <c r="E892" i="4"/>
  <c r="D892" i="4"/>
  <c r="C892" i="4"/>
  <c r="B892" i="4"/>
  <c r="N892" i="4" s="1"/>
  <c r="A892" i="4"/>
  <c r="M891" i="4"/>
  <c r="L891" i="4"/>
  <c r="K891" i="4"/>
  <c r="J891" i="4"/>
  <c r="I891" i="4"/>
  <c r="H891" i="4"/>
  <c r="G891" i="4"/>
  <c r="R891" i="4" s="1"/>
  <c r="F891" i="4"/>
  <c r="E891" i="4"/>
  <c r="D891" i="4"/>
  <c r="C891" i="4"/>
  <c r="B891" i="4"/>
  <c r="N891" i="4" s="1"/>
  <c r="A891" i="4"/>
  <c r="M890" i="4"/>
  <c r="L890" i="4"/>
  <c r="K890" i="4"/>
  <c r="J890" i="4"/>
  <c r="I890" i="4"/>
  <c r="H890" i="4"/>
  <c r="G890" i="4"/>
  <c r="R890" i="4" s="1"/>
  <c r="F890" i="4"/>
  <c r="E890" i="4"/>
  <c r="D890" i="4"/>
  <c r="C890" i="4"/>
  <c r="B890" i="4"/>
  <c r="N890" i="4" s="1"/>
  <c r="A890" i="4"/>
  <c r="L889" i="4"/>
  <c r="K889" i="4"/>
  <c r="J889" i="4"/>
  <c r="I889" i="4"/>
  <c r="H889" i="4"/>
  <c r="G889" i="4"/>
  <c r="R889" i="4" s="1"/>
  <c r="F889" i="4"/>
  <c r="E889" i="4"/>
  <c r="D889" i="4"/>
  <c r="C889" i="4"/>
  <c r="B889" i="4"/>
  <c r="N889" i="4" s="1"/>
  <c r="A889" i="4"/>
  <c r="R888" i="4"/>
  <c r="N888" i="4"/>
  <c r="L888" i="4"/>
  <c r="K888" i="4"/>
  <c r="J888" i="4"/>
  <c r="I888" i="4"/>
  <c r="H888" i="4"/>
  <c r="G888" i="4"/>
  <c r="F888" i="4"/>
  <c r="E888" i="4"/>
  <c r="D888" i="4"/>
  <c r="C888" i="4"/>
  <c r="B888" i="4"/>
  <c r="M888" i="4" s="1"/>
  <c r="U888" i="4" s="1"/>
  <c r="V888" i="4" s="1"/>
  <c r="A888" i="4"/>
  <c r="M887" i="4"/>
  <c r="L887" i="4"/>
  <c r="K887" i="4"/>
  <c r="J887" i="4"/>
  <c r="I887" i="4"/>
  <c r="H887" i="4"/>
  <c r="G887" i="4"/>
  <c r="R887" i="4" s="1"/>
  <c r="F887" i="4"/>
  <c r="E887" i="4"/>
  <c r="D887" i="4"/>
  <c r="C887" i="4"/>
  <c r="B887" i="4"/>
  <c r="N887" i="4" s="1"/>
  <c r="O887" i="4" s="1"/>
  <c r="A887" i="4"/>
  <c r="M886" i="4"/>
  <c r="U886" i="4" s="1"/>
  <c r="V886" i="4" s="1"/>
  <c r="L886" i="4"/>
  <c r="K886" i="4"/>
  <c r="J886" i="4"/>
  <c r="I886" i="4"/>
  <c r="H886" i="4"/>
  <c r="G886" i="4"/>
  <c r="R886" i="4" s="1"/>
  <c r="F886" i="4"/>
  <c r="E886" i="4"/>
  <c r="D886" i="4"/>
  <c r="C886" i="4"/>
  <c r="B886" i="4"/>
  <c r="N886" i="4" s="1"/>
  <c r="A886" i="4"/>
  <c r="M885" i="4"/>
  <c r="U885" i="4" s="1"/>
  <c r="V885" i="4" s="1"/>
  <c r="L885" i="4"/>
  <c r="K885" i="4"/>
  <c r="J885" i="4"/>
  <c r="I885" i="4"/>
  <c r="H885" i="4"/>
  <c r="G885" i="4"/>
  <c r="R885" i="4" s="1"/>
  <c r="F885" i="4"/>
  <c r="E885" i="4"/>
  <c r="D885" i="4"/>
  <c r="C885" i="4"/>
  <c r="B885" i="4"/>
  <c r="N885" i="4" s="1"/>
  <c r="O885" i="4" s="1"/>
  <c r="A885" i="4"/>
  <c r="R884" i="4"/>
  <c r="M884" i="4"/>
  <c r="L884" i="4"/>
  <c r="K884" i="4"/>
  <c r="J884" i="4"/>
  <c r="I884" i="4"/>
  <c r="H884" i="4"/>
  <c r="G884" i="4"/>
  <c r="F884" i="4"/>
  <c r="E884" i="4"/>
  <c r="D884" i="4"/>
  <c r="C884" i="4"/>
  <c r="B884" i="4"/>
  <c r="N884" i="4" s="1"/>
  <c r="A884" i="4"/>
  <c r="N883" i="4"/>
  <c r="L883" i="4"/>
  <c r="K883" i="4"/>
  <c r="J883" i="4"/>
  <c r="I883" i="4"/>
  <c r="H883" i="4"/>
  <c r="G883" i="4"/>
  <c r="R883" i="4" s="1"/>
  <c r="F883" i="4"/>
  <c r="E883" i="4"/>
  <c r="D883" i="4"/>
  <c r="C883" i="4"/>
  <c r="B883" i="4"/>
  <c r="M883" i="4" s="1"/>
  <c r="U883" i="4" s="1"/>
  <c r="V883" i="4" s="1"/>
  <c r="A883" i="4"/>
  <c r="L882" i="4"/>
  <c r="K882" i="4"/>
  <c r="J882" i="4"/>
  <c r="I882" i="4"/>
  <c r="H882" i="4"/>
  <c r="G882" i="4"/>
  <c r="R882" i="4" s="1"/>
  <c r="F882" i="4"/>
  <c r="E882" i="4"/>
  <c r="D882" i="4"/>
  <c r="C882" i="4"/>
  <c r="B882" i="4"/>
  <c r="A882" i="4"/>
  <c r="R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N881" i="4" s="1"/>
  <c r="A881" i="4"/>
  <c r="N880" i="4"/>
  <c r="L880" i="4"/>
  <c r="K880" i="4"/>
  <c r="J880" i="4"/>
  <c r="I880" i="4"/>
  <c r="H880" i="4"/>
  <c r="G880" i="4"/>
  <c r="R880" i="4" s="1"/>
  <c r="F880" i="4"/>
  <c r="E880" i="4"/>
  <c r="D880" i="4"/>
  <c r="C880" i="4"/>
  <c r="B880" i="4"/>
  <c r="M880" i="4" s="1"/>
  <c r="A880" i="4"/>
  <c r="R879" i="4"/>
  <c r="N879" i="4"/>
  <c r="L879" i="4"/>
  <c r="K879" i="4"/>
  <c r="J879" i="4"/>
  <c r="I879" i="4"/>
  <c r="H879" i="4"/>
  <c r="G879" i="4"/>
  <c r="F879" i="4"/>
  <c r="E879" i="4"/>
  <c r="D879" i="4"/>
  <c r="C879" i="4"/>
  <c r="B879" i="4"/>
  <c r="M879" i="4" s="1"/>
  <c r="A879" i="4"/>
  <c r="R878" i="4"/>
  <c r="L878" i="4"/>
  <c r="K878" i="4"/>
  <c r="J878" i="4"/>
  <c r="I878" i="4"/>
  <c r="H878" i="4"/>
  <c r="G878" i="4"/>
  <c r="F878" i="4"/>
  <c r="E878" i="4"/>
  <c r="D878" i="4"/>
  <c r="C878" i="4"/>
  <c r="B878" i="4"/>
  <c r="N878" i="4" s="1"/>
  <c r="A878" i="4"/>
  <c r="L877" i="4"/>
  <c r="K877" i="4"/>
  <c r="J877" i="4"/>
  <c r="I877" i="4"/>
  <c r="H877" i="4"/>
  <c r="G877" i="4"/>
  <c r="R877" i="4" s="1"/>
  <c r="F877" i="4"/>
  <c r="E877" i="4"/>
  <c r="D877" i="4"/>
  <c r="C877" i="4"/>
  <c r="B877" i="4"/>
  <c r="A877" i="4"/>
  <c r="R876" i="4"/>
  <c r="N876" i="4"/>
  <c r="L876" i="4"/>
  <c r="K876" i="4"/>
  <c r="J876" i="4"/>
  <c r="I876" i="4"/>
  <c r="H876" i="4"/>
  <c r="G876" i="4"/>
  <c r="F876" i="4"/>
  <c r="E876" i="4"/>
  <c r="D876" i="4"/>
  <c r="C876" i="4"/>
  <c r="B876" i="4"/>
  <c r="M876" i="4" s="1"/>
  <c r="A876" i="4"/>
  <c r="R875" i="4"/>
  <c r="L875" i="4"/>
  <c r="K875" i="4"/>
  <c r="J875" i="4"/>
  <c r="I875" i="4"/>
  <c r="H875" i="4"/>
  <c r="G875" i="4"/>
  <c r="F875" i="4"/>
  <c r="E875" i="4"/>
  <c r="D875" i="4"/>
  <c r="C875" i="4"/>
  <c r="B875" i="4"/>
  <c r="N875" i="4" s="1"/>
  <c r="O875" i="4" s="1"/>
  <c r="A875" i="4"/>
  <c r="M874" i="4"/>
  <c r="L874" i="4"/>
  <c r="K874" i="4"/>
  <c r="J874" i="4"/>
  <c r="I874" i="4"/>
  <c r="H874" i="4"/>
  <c r="G874" i="4"/>
  <c r="R874" i="4" s="1"/>
  <c r="F874" i="4"/>
  <c r="E874" i="4"/>
  <c r="D874" i="4"/>
  <c r="C874" i="4"/>
  <c r="B874" i="4"/>
  <c r="N874" i="4" s="1"/>
  <c r="A874" i="4"/>
  <c r="R873" i="4"/>
  <c r="L873" i="4"/>
  <c r="K873" i="4"/>
  <c r="J873" i="4"/>
  <c r="I873" i="4"/>
  <c r="H873" i="4"/>
  <c r="G873" i="4"/>
  <c r="F873" i="4"/>
  <c r="E873" i="4"/>
  <c r="D873" i="4"/>
  <c r="C873" i="4"/>
  <c r="B873" i="4"/>
  <c r="A873" i="4"/>
  <c r="R872" i="4"/>
  <c r="L872" i="4"/>
  <c r="K872" i="4"/>
  <c r="J872" i="4"/>
  <c r="I872" i="4"/>
  <c r="H872" i="4"/>
  <c r="G872" i="4"/>
  <c r="F872" i="4"/>
  <c r="E872" i="4"/>
  <c r="D872" i="4"/>
  <c r="C872" i="4"/>
  <c r="B872" i="4"/>
  <c r="M872" i="4" s="1"/>
  <c r="A872" i="4"/>
  <c r="R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N871" i="4" s="1"/>
  <c r="A871" i="4"/>
  <c r="R870" i="4"/>
  <c r="N870" i="4"/>
  <c r="L870" i="4"/>
  <c r="K870" i="4"/>
  <c r="J870" i="4"/>
  <c r="I870" i="4"/>
  <c r="H870" i="4"/>
  <c r="G870" i="4"/>
  <c r="F870" i="4"/>
  <c r="E870" i="4"/>
  <c r="D870" i="4"/>
  <c r="C870" i="4"/>
  <c r="B870" i="4"/>
  <c r="M870" i="4" s="1"/>
  <c r="A870" i="4"/>
  <c r="R869" i="4"/>
  <c r="N869" i="4"/>
  <c r="O869" i="4" s="1"/>
  <c r="L869" i="4"/>
  <c r="K869" i="4"/>
  <c r="J869" i="4"/>
  <c r="I869" i="4"/>
  <c r="H869" i="4"/>
  <c r="G869" i="4"/>
  <c r="F869" i="4"/>
  <c r="E869" i="4"/>
  <c r="D869" i="4"/>
  <c r="C869" i="4"/>
  <c r="B869" i="4"/>
  <c r="M869" i="4" s="1"/>
  <c r="A869" i="4"/>
  <c r="R868" i="4"/>
  <c r="L868" i="4"/>
  <c r="K868" i="4"/>
  <c r="J868" i="4"/>
  <c r="I868" i="4"/>
  <c r="H868" i="4"/>
  <c r="G868" i="4"/>
  <c r="F868" i="4"/>
  <c r="E868" i="4"/>
  <c r="D868" i="4"/>
  <c r="C868" i="4"/>
  <c r="B868" i="4"/>
  <c r="N868" i="4" s="1"/>
  <c r="A868" i="4"/>
  <c r="R867" i="4"/>
  <c r="L867" i="4"/>
  <c r="K867" i="4"/>
  <c r="J867" i="4"/>
  <c r="I867" i="4"/>
  <c r="H867" i="4"/>
  <c r="G867" i="4"/>
  <c r="F867" i="4"/>
  <c r="E867" i="4"/>
  <c r="D867" i="4"/>
  <c r="C867" i="4"/>
  <c r="B867" i="4"/>
  <c r="M867" i="4" s="1"/>
  <c r="A867" i="4"/>
  <c r="R866" i="4"/>
  <c r="N866" i="4"/>
  <c r="L866" i="4"/>
  <c r="K866" i="4"/>
  <c r="J866" i="4"/>
  <c r="I866" i="4"/>
  <c r="H866" i="4"/>
  <c r="G866" i="4"/>
  <c r="F866" i="4"/>
  <c r="E866" i="4"/>
  <c r="D866" i="4"/>
  <c r="C866" i="4"/>
  <c r="B866" i="4"/>
  <c r="M866" i="4" s="1"/>
  <c r="U866" i="4" s="1"/>
  <c r="V866" i="4" s="1"/>
  <c r="A866" i="4"/>
  <c r="R865" i="4"/>
  <c r="L865" i="4"/>
  <c r="K865" i="4"/>
  <c r="J865" i="4"/>
  <c r="I865" i="4"/>
  <c r="H865" i="4"/>
  <c r="G865" i="4"/>
  <c r="F865" i="4"/>
  <c r="E865" i="4"/>
  <c r="D865" i="4"/>
  <c r="C865" i="4"/>
  <c r="B865" i="4"/>
  <c r="M865" i="4" s="1"/>
  <c r="A865" i="4"/>
  <c r="M864" i="4"/>
  <c r="L864" i="4"/>
  <c r="K864" i="4"/>
  <c r="J864" i="4"/>
  <c r="I864" i="4"/>
  <c r="H864" i="4"/>
  <c r="G864" i="4"/>
  <c r="R864" i="4" s="1"/>
  <c r="F864" i="4"/>
  <c r="E864" i="4"/>
  <c r="D864" i="4"/>
  <c r="C864" i="4"/>
  <c r="B864" i="4"/>
  <c r="N864" i="4" s="1"/>
  <c r="A864" i="4"/>
  <c r="R863" i="4"/>
  <c r="L863" i="4"/>
  <c r="K863" i="4"/>
  <c r="J863" i="4"/>
  <c r="I863" i="4"/>
  <c r="H863" i="4"/>
  <c r="G863" i="4"/>
  <c r="F863" i="4"/>
  <c r="E863" i="4"/>
  <c r="D863" i="4"/>
  <c r="C863" i="4"/>
  <c r="B863" i="4"/>
  <c r="M863" i="4" s="1"/>
  <c r="A863" i="4"/>
  <c r="R862" i="4"/>
  <c r="L862" i="4"/>
  <c r="K862" i="4"/>
  <c r="J862" i="4"/>
  <c r="I862" i="4"/>
  <c r="H862" i="4"/>
  <c r="G862" i="4"/>
  <c r="F862" i="4"/>
  <c r="E862" i="4"/>
  <c r="D862" i="4"/>
  <c r="C862" i="4"/>
  <c r="B862" i="4"/>
  <c r="N862" i="4" s="1"/>
  <c r="O862" i="4" s="1"/>
  <c r="A862" i="4"/>
  <c r="R861" i="4"/>
  <c r="M861" i="4"/>
  <c r="U861" i="4" s="1"/>
  <c r="V861" i="4" s="1"/>
  <c r="L861" i="4"/>
  <c r="K861" i="4"/>
  <c r="J861" i="4"/>
  <c r="I861" i="4"/>
  <c r="H861" i="4"/>
  <c r="G861" i="4"/>
  <c r="F861" i="4"/>
  <c r="E861" i="4"/>
  <c r="D861" i="4"/>
  <c r="C861" i="4"/>
  <c r="B861" i="4"/>
  <c r="N861" i="4" s="1"/>
  <c r="A861" i="4"/>
  <c r="R860" i="4"/>
  <c r="N860" i="4"/>
  <c r="L860" i="4"/>
  <c r="K860" i="4"/>
  <c r="J860" i="4"/>
  <c r="I860" i="4"/>
  <c r="H860" i="4"/>
  <c r="G860" i="4"/>
  <c r="F860" i="4"/>
  <c r="E860" i="4"/>
  <c r="D860" i="4"/>
  <c r="C860" i="4"/>
  <c r="B860" i="4"/>
  <c r="M860" i="4" s="1"/>
  <c r="A860" i="4"/>
  <c r="M859" i="4"/>
  <c r="L859" i="4"/>
  <c r="K859" i="4"/>
  <c r="J859" i="4"/>
  <c r="I859" i="4"/>
  <c r="H859" i="4"/>
  <c r="G859" i="4"/>
  <c r="R859" i="4" s="1"/>
  <c r="F859" i="4"/>
  <c r="E859" i="4"/>
  <c r="D859" i="4"/>
  <c r="C859" i="4"/>
  <c r="B859" i="4"/>
  <c r="N859" i="4" s="1"/>
  <c r="A859" i="4"/>
  <c r="R858" i="4"/>
  <c r="L858" i="4"/>
  <c r="K858" i="4"/>
  <c r="J858" i="4"/>
  <c r="I858" i="4"/>
  <c r="H858" i="4"/>
  <c r="G858" i="4"/>
  <c r="F858" i="4"/>
  <c r="E858" i="4"/>
  <c r="D858" i="4"/>
  <c r="C858" i="4"/>
  <c r="B858" i="4"/>
  <c r="N858" i="4" s="1"/>
  <c r="A858" i="4"/>
  <c r="R857" i="4"/>
  <c r="L857" i="4"/>
  <c r="K857" i="4"/>
  <c r="J857" i="4"/>
  <c r="I857" i="4"/>
  <c r="H857" i="4"/>
  <c r="G857" i="4"/>
  <c r="F857" i="4"/>
  <c r="E857" i="4"/>
  <c r="D857" i="4"/>
  <c r="C857" i="4"/>
  <c r="B857" i="4"/>
  <c r="A857" i="4"/>
  <c r="R856" i="4"/>
  <c r="L856" i="4"/>
  <c r="K856" i="4"/>
  <c r="J856" i="4"/>
  <c r="I856" i="4"/>
  <c r="H856" i="4"/>
  <c r="G856" i="4"/>
  <c r="F856" i="4"/>
  <c r="E856" i="4"/>
  <c r="D856" i="4"/>
  <c r="C856" i="4"/>
  <c r="B856" i="4"/>
  <c r="N856" i="4" s="1"/>
  <c r="A856" i="4"/>
  <c r="R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N855" i="4" s="1"/>
  <c r="A855" i="4"/>
  <c r="L854" i="4"/>
  <c r="K854" i="4"/>
  <c r="J854" i="4"/>
  <c r="I854" i="4"/>
  <c r="H854" i="4"/>
  <c r="G854" i="4"/>
  <c r="R854" i="4" s="1"/>
  <c r="F854" i="4"/>
  <c r="E854" i="4"/>
  <c r="D854" i="4"/>
  <c r="C854" i="4"/>
  <c r="B854" i="4"/>
  <c r="A854" i="4"/>
  <c r="R853" i="4"/>
  <c r="L853" i="4"/>
  <c r="K853" i="4"/>
  <c r="J853" i="4"/>
  <c r="I853" i="4"/>
  <c r="H853" i="4"/>
  <c r="G853" i="4"/>
  <c r="F853" i="4"/>
  <c r="E853" i="4"/>
  <c r="D853" i="4"/>
  <c r="C853" i="4"/>
  <c r="B853" i="4"/>
  <c r="N853" i="4" s="1"/>
  <c r="A853" i="4"/>
  <c r="R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N852" i="4" s="1"/>
  <c r="A852" i="4"/>
  <c r="N851" i="4"/>
  <c r="L851" i="4"/>
  <c r="K851" i="4"/>
  <c r="J851" i="4"/>
  <c r="I851" i="4"/>
  <c r="H851" i="4"/>
  <c r="G851" i="4"/>
  <c r="R851" i="4" s="1"/>
  <c r="F851" i="4"/>
  <c r="E851" i="4"/>
  <c r="D851" i="4"/>
  <c r="C851" i="4"/>
  <c r="B851" i="4"/>
  <c r="M851" i="4" s="1"/>
  <c r="A851" i="4"/>
  <c r="R850" i="4"/>
  <c r="L850" i="4"/>
  <c r="K850" i="4"/>
  <c r="J850" i="4"/>
  <c r="I850" i="4"/>
  <c r="H850" i="4"/>
  <c r="G850" i="4"/>
  <c r="F850" i="4"/>
  <c r="E850" i="4"/>
  <c r="D850" i="4"/>
  <c r="C850" i="4"/>
  <c r="B850" i="4"/>
  <c r="N850" i="4" s="1"/>
  <c r="A850" i="4"/>
  <c r="R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N849" i="4" s="1"/>
  <c r="A849" i="4"/>
  <c r="L848" i="4"/>
  <c r="K848" i="4"/>
  <c r="J848" i="4"/>
  <c r="I848" i="4"/>
  <c r="H848" i="4"/>
  <c r="G848" i="4"/>
  <c r="R848" i="4" s="1"/>
  <c r="F848" i="4"/>
  <c r="E848" i="4"/>
  <c r="D848" i="4"/>
  <c r="C848" i="4"/>
  <c r="B848" i="4"/>
  <c r="M848" i="4" s="1"/>
  <c r="A848" i="4"/>
  <c r="R847" i="4"/>
  <c r="L847" i="4"/>
  <c r="K847" i="4"/>
  <c r="J847" i="4"/>
  <c r="I847" i="4"/>
  <c r="H847" i="4"/>
  <c r="G847" i="4"/>
  <c r="F847" i="4"/>
  <c r="E847" i="4"/>
  <c r="D847" i="4"/>
  <c r="C847" i="4"/>
  <c r="B847" i="4"/>
  <c r="N847" i="4" s="1"/>
  <c r="A847" i="4"/>
  <c r="R846" i="4"/>
  <c r="L846" i="4"/>
  <c r="K846" i="4"/>
  <c r="J846" i="4"/>
  <c r="I846" i="4"/>
  <c r="H846" i="4"/>
  <c r="G846" i="4"/>
  <c r="F846" i="4"/>
  <c r="E846" i="4"/>
  <c r="D846" i="4"/>
  <c r="C846" i="4"/>
  <c r="B846" i="4"/>
  <c r="N846" i="4" s="1"/>
  <c r="A846" i="4"/>
  <c r="R845" i="4"/>
  <c r="N845" i="4"/>
  <c r="L845" i="4"/>
  <c r="K845" i="4"/>
  <c r="J845" i="4"/>
  <c r="I845" i="4"/>
  <c r="H845" i="4"/>
  <c r="G845" i="4"/>
  <c r="F845" i="4"/>
  <c r="E845" i="4"/>
  <c r="D845" i="4"/>
  <c r="C845" i="4"/>
  <c r="B845" i="4"/>
  <c r="M845" i="4" s="1"/>
  <c r="U845" i="4" s="1"/>
  <c r="V845" i="4" s="1"/>
  <c r="A845" i="4"/>
  <c r="R844" i="4"/>
  <c r="L844" i="4"/>
  <c r="K844" i="4"/>
  <c r="J844" i="4"/>
  <c r="I844" i="4"/>
  <c r="H844" i="4"/>
  <c r="G844" i="4"/>
  <c r="F844" i="4"/>
  <c r="E844" i="4"/>
  <c r="D844" i="4"/>
  <c r="C844" i="4"/>
  <c r="B844" i="4"/>
  <c r="N844" i="4" s="1"/>
  <c r="A844" i="4"/>
  <c r="R843" i="4"/>
  <c r="L843" i="4"/>
  <c r="K843" i="4"/>
  <c r="J843" i="4"/>
  <c r="I843" i="4"/>
  <c r="H843" i="4"/>
  <c r="G843" i="4"/>
  <c r="F843" i="4"/>
  <c r="E843" i="4"/>
  <c r="D843" i="4"/>
  <c r="C843" i="4"/>
  <c r="B843" i="4"/>
  <c r="N843" i="4" s="1"/>
  <c r="A843" i="4"/>
  <c r="R842" i="4"/>
  <c r="L842" i="4"/>
  <c r="K842" i="4"/>
  <c r="J842" i="4"/>
  <c r="I842" i="4"/>
  <c r="H842" i="4"/>
  <c r="G842" i="4"/>
  <c r="F842" i="4"/>
  <c r="E842" i="4"/>
  <c r="D842" i="4"/>
  <c r="C842" i="4"/>
  <c r="B842" i="4"/>
  <c r="A842" i="4"/>
  <c r="R841" i="4"/>
  <c r="N841" i="4"/>
  <c r="L841" i="4"/>
  <c r="K841" i="4"/>
  <c r="J841" i="4"/>
  <c r="I841" i="4"/>
  <c r="H841" i="4"/>
  <c r="G841" i="4"/>
  <c r="F841" i="4"/>
  <c r="E841" i="4"/>
  <c r="D841" i="4"/>
  <c r="C841" i="4"/>
  <c r="B841" i="4"/>
  <c r="M841" i="4" s="1"/>
  <c r="A841" i="4"/>
  <c r="R840" i="4"/>
  <c r="L840" i="4"/>
  <c r="K840" i="4"/>
  <c r="J840" i="4"/>
  <c r="I840" i="4"/>
  <c r="H840" i="4"/>
  <c r="G840" i="4"/>
  <c r="F840" i="4"/>
  <c r="E840" i="4"/>
  <c r="D840" i="4"/>
  <c r="C840" i="4"/>
  <c r="B840" i="4"/>
  <c r="N840" i="4" s="1"/>
  <c r="A840" i="4"/>
  <c r="R839" i="4"/>
  <c r="N839" i="4"/>
  <c r="L839" i="4"/>
  <c r="K839" i="4"/>
  <c r="J839" i="4"/>
  <c r="I839" i="4"/>
  <c r="H839" i="4"/>
  <c r="G839" i="4"/>
  <c r="F839" i="4"/>
  <c r="E839" i="4"/>
  <c r="D839" i="4"/>
  <c r="C839" i="4"/>
  <c r="B839" i="4"/>
  <c r="M839" i="4" s="1"/>
  <c r="U839" i="4" s="1"/>
  <c r="V839" i="4" s="1"/>
  <c r="A839" i="4"/>
  <c r="R838" i="4"/>
  <c r="L838" i="4"/>
  <c r="K838" i="4"/>
  <c r="J838" i="4"/>
  <c r="I838" i="4"/>
  <c r="H838" i="4"/>
  <c r="G838" i="4"/>
  <c r="F838" i="4"/>
  <c r="E838" i="4"/>
  <c r="D838" i="4"/>
  <c r="C838" i="4"/>
  <c r="B838" i="4"/>
  <c r="M838" i="4" s="1"/>
  <c r="U838" i="4" s="1"/>
  <c r="V838" i="4" s="1"/>
  <c r="A838" i="4"/>
  <c r="R837" i="4"/>
  <c r="L837" i="4"/>
  <c r="K837" i="4"/>
  <c r="J837" i="4"/>
  <c r="I837" i="4"/>
  <c r="H837" i="4"/>
  <c r="G837" i="4"/>
  <c r="F837" i="4"/>
  <c r="E837" i="4"/>
  <c r="D837" i="4"/>
  <c r="C837" i="4"/>
  <c r="B837" i="4"/>
  <c r="A837" i="4"/>
  <c r="R836" i="4"/>
  <c r="N836" i="4"/>
  <c r="L836" i="4"/>
  <c r="K836" i="4"/>
  <c r="J836" i="4"/>
  <c r="I836" i="4"/>
  <c r="H836" i="4"/>
  <c r="G836" i="4"/>
  <c r="F836" i="4"/>
  <c r="E836" i="4"/>
  <c r="D836" i="4"/>
  <c r="C836" i="4"/>
  <c r="B836" i="4"/>
  <c r="M836" i="4" s="1"/>
  <c r="U836" i="4" s="1"/>
  <c r="V836" i="4" s="1"/>
  <c r="A836" i="4"/>
  <c r="R835" i="4"/>
  <c r="L835" i="4"/>
  <c r="K835" i="4"/>
  <c r="J835" i="4"/>
  <c r="I835" i="4"/>
  <c r="H835" i="4"/>
  <c r="G835" i="4"/>
  <c r="F835" i="4"/>
  <c r="E835" i="4"/>
  <c r="D835" i="4"/>
  <c r="C835" i="4"/>
  <c r="B835" i="4"/>
  <c r="A835" i="4"/>
  <c r="M834" i="4"/>
  <c r="L834" i="4"/>
  <c r="K834" i="4"/>
  <c r="J834" i="4"/>
  <c r="I834" i="4"/>
  <c r="H834" i="4"/>
  <c r="G834" i="4"/>
  <c r="R834" i="4" s="1"/>
  <c r="F834" i="4"/>
  <c r="E834" i="4"/>
  <c r="D834" i="4"/>
  <c r="C834" i="4"/>
  <c r="B834" i="4"/>
  <c r="N834" i="4" s="1"/>
  <c r="A834" i="4"/>
  <c r="R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N833" i="4" s="1"/>
  <c r="A833" i="4"/>
  <c r="R832" i="4"/>
  <c r="N832" i="4"/>
  <c r="L832" i="4"/>
  <c r="K832" i="4"/>
  <c r="J832" i="4"/>
  <c r="I832" i="4"/>
  <c r="H832" i="4"/>
  <c r="G832" i="4"/>
  <c r="F832" i="4"/>
  <c r="E832" i="4"/>
  <c r="D832" i="4"/>
  <c r="C832" i="4"/>
  <c r="B832" i="4"/>
  <c r="M832" i="4" s="1"/>
  <c r="A832" i="4"/>
  <c r="L831" i="4"/>
  <c r="K831" i="4"/>
  <c r="J831" i="4"/>
  <c r="I831" i="4"/>
  <c r="H831" i="4"/>
  <c r="G831" i="4"/>
  <c r="R831" i="4" s="1"/>
  <c r="F831" i="4"/>
  <c r="E831" i="4"/>
  <c r="D831" i="4"/>
  <c r="C831" i="4"/>
  <c r="B831" i="4"/>
  <c r="N831" i="4" s="1"/>
  <c r="A831" i="4"/>
  <c r="R830" i="4"/>
  <c r="L830" i="4"/>
  <c r="K830" i="4"/>
  <c r="J830" i="4"/>
  <c r="I830" i="4"/>
  <c r="H830" i="4"/>
  <c r="G830" i="4"/>
  <c r="F830" i="4"/>
  <c r="E830" i="4"/>
  <c r="D830" i="4"/>
  <c r="C830" i="4"/>
  <c r="B830" i="4"/>
  <c r="N830" i="4" s="1"/>
  <c r="A830" i="4"/>
  <c r="R829" i="4"/>
  <c r="L829" i="4"/>
  <c r="K829" i="4"/>
  <c r="J829" i="4"/>
  <c r="I829" i="4"/>
  <c r="H829" i="4"/>
  <c r="G829" i="4"/>
  <c r="F829" i="4"/>
  <c r="E829" i="4"/>
  <c r="D829" i="4"/>
  <c r="C829" i="4"/>
  <c r="B829" i="4"/>
  <c r="A829" i="4"/>
  <c r="R828" i="4"/>
  <c r="M828" i="4"/>
  <c r="U828" i="4" s="1"/>
  <c r="V828" i="4" s="1"/>
  <c r="L828" i="4"/>
  <c r="K828" i="4"/>
  <c r="J828" i="4"/>
  <c r="I828" i="4"/>
  <c r="H828" i="4"/>
  <c r="G828" i="4"/>
  <c r="F828" i="4"/>
  <c r="E828" i="4"/>
  <c r="D828" i="4"/>
  <c r="C828" i="4"/>
  <c r="B828" i="4"/>
  <c r="N828" i="4" s="1"/>
  <c r="A828" i="4"/>
  <c r="M827" i="4"/>
  <c r="U827" i="4" s="1"/>
  <c r="V827" i="4" s="1"/>
  <c r="L827" i="4"/>
  <c r="K827" i="4"/>
  <c r="J827" i="4"/>
  <c r="I827" i="4"/>
  <c r="H827" i="4"/>
  <c r="G827" i="4"/>
  <c r="R827" i="4" s="1"/>
  <c r="F827" i="4"/>
  <c r="E827" i="4"/>
  <c r="D827" i="4"/>
  <c r="C827" i="4"/>
  <c r="B827" i="4"/>
  <c r="N827" i="4" s="1"/>
  <c r="A827" i="4"/>
  <c r="R826" i="4"/>
  <c r="N826" i="4"/>
  <c r="L826" i="4"/>
  <c r="K826" i="4"/>
  <c r="J826" i="4"/>
  <c r="I826" i="4"/>
  <c r="H826" i="4"/>
  <c r="G826" i="4"/>
  <c r="F826" i="4"/>
  <c r="E826" i="4"/>
  <c r="D826" i="4"/>
  <c r="C826" i="4"/>
  <c r="B826" i="4"/>
  <c r="M826" i="4" s="1"/>
  <c r="U826" i="4" s="1"/>
  <c r="V826" i="4" s="1"/>
  <c r="A826" i="4"/>
  <c r="R825" i="4"/>
  <c r="L825" i="4"/>
  <c r="K825" i="4"/>
  <c r="J825" i="4"/>
  <c r="I825" i="4"/>
  <c r="H825" i="4"/>
  <c r="G825" i="4"/>
  <c r="F825" i="4"/>
  <c r="E825" i="4"/>
  <c r="D825" i="4"/>
  <c r="C825" i="4"/>
  <c r="B825" i="4"/>
  <c r="N825" i="4" s="1"/>
  <c r="A825" i="4"/>
  <c r="R824" i="4"/>
  <c r="L824" i="4"/>
  <c r="K824" i="4"/>
  <c r="J824" i="4"/>
  <c r="I824" i="4"/>
  <c r="H824" i="4"/>
  <c r="G824" i="4"/>
  <c r="F824" i="4"/>
  <c r="E824" i="4"/>
  <c r="D824" i="4"/>
  <c r="C824" i="4"/>
  <c r="B824" i="4"/>
  <c r="M824" i="4" s="1"/>
  <c r="U824" i="4" s="1"/>
  <c r="V824" i="4" s="1"/>
  <c r="A824" i="4"/>
  <c r="R823" i="4"/>
  <c r="L823" i="4"/>
  <c r="K823" i="4"/>
  <c r="J823" i="4"/>
  <c r="I823" i="4"/>
  <c r="H823" i="4"/>
  <c r="G823" i="4"/>
  <c r="F823" i="4"/>
  <c r="E823" i="4"/>
  <c r="D823" i="4"/>
  <c r="C823" i="4"/>
  <c r="B823" i="4"/>
  <c r="M823" i="4" s="1"/>
  <c r="U823" i="4" s="1"/>
  <c r="V823" i="4" s="1"/>
  <c r="A823" i="4"/>
  <c r="M822" i="4"/>
  <c r="L822" i="4"/>
  <c r="K822" i="4"/>
  <c r="J822" i="4"/>
  <c r="I822" i="4"/>
  <c r="H822" i="4"/>
  <c r="G822" i="4"/>
  <c r="R822" i="4" s="1"/>
  <c r="F822" i="4"/>
  <c r="E822" i="4"/>
  <c r="D822" i="4"/>
  <c r="C822" i="4"/>
  <c r="B822" i="4"/>
  <c r="N822" i="4" s="1"/>
  <c r="A822" i="4"/>
  <c r="M821" i="4"/>
  <c r="U821" i="4" s="1"/>
  <c r="V821" i="4" s="1"/>
  <c r="L821" i="4"/>
  <c r="K821" i="4"/>
  <c r="J821" i="4"/>
  <c r="I821" i="4"/>
  <c r="H821" i="4"/>
  <c r="G821" i="4"/>
  <c r="R821" i="4" s="1"/>
  <c r="F821" i="4"/>
  <c r="E821" i="4"/>
  <c r="D821" i="4"/>
  <c r="C821" i="4"/>
  <c r="B821" i="4"/>
  <c r="N821" i="4" s="1"/>
  <c r="A821" i="4"/>
  <c r="R820" i="4"/>
  <c r="N820" i="4"/>
  <c r="L820" i="4"/>
  <c r="K820" i="4"/>
  <c r="J820" i="4"/>
  <c r="I820" i="4"/>
  <c r="H820" i="4"/>
  <c r="G820" i="4"/>
  <c r="F820" i="4"/>
  <c r="E820" i="4"/>
  <c r="D820" i="4"/>
  <c r="C820" i="4"/>
  <c r="B820" i="4"/>
  <c r="M820" i="4" s="1"/>
  <c r="A820" i="4"/>
  <c r="R819" i="4"/>
  <c r="L819" i="4"/>
  <c r="K819" i="4"/>
  <c r="J819" i="4"/>
  <c r="I819" i="4"/>
  <c r="H819" i="4"/>
  <c r="G819" i="4"/>
  <c r="F819" i="4"/>
  <c r="E819" i="4"/>
  <c r="D819" i="4"/>
  <c r="C819" i="4"/>
  <c r="B819" i="4"/>
  <c r="A819" i="4"/>
  <c r="L818" i="4"/>
  <c r="K818" i="4"/>
  <c r="J818" i="4"/>
  <c r="I818" i="4"/>
  <c r="H818" i="4"/>
  <c r="G818" i="4"/>
  <c r="R818" i="4" s="1"/>
  <c r="F818" i="4"/>
  <c r="E818" i="4"/>
  <c r="D818" i="4"/>
  <c r="C818" i="4"/>
  <c r="B818" i="4"/>
  <c r="N818" i="4" s="1"/>
  <c r="A818" i="4"/>
  <c r="R817" i="4"/>
  <c r="L817" i="4"/>
  <c r="K817" i="4"/>
  <c r="J817" i="4"/>
  <c r="I817" i="4"/>
  <c r="H817" i="4"/>
  <c r="G817" i="4"/>
  <c r="F817" i="4"/>
  <c r="E817" i="4"/>
  <c r="D817" i="4"/>
  <c r="C817" i="4"/>
  <c r="B817" i="4"/>
  <c r="M817" i="4" s="1"/>
  <c r="A817" i="4"/>
  <c r="M816" i="4"/>
  <c r="L816" i="4"/>
  <c r="K816" i="4"/>
  <c r="J816" i="4"/>
  <c r="I816" i="4"/>
  <c r="H816" i="4"/>
  <c r="G816" i="4"/>
  <c r="R816" i="4" s="1"/>
  <c r="F816" i="4"/>
  <c r="E816" i="4"/>
  <c r="D816" i="4"/>
  <c r="C816" i="4"/>
  <c r="B816" i="4"/>
  <c r="N816" i="4" s="1"/>
  <c r="O816" i="4" s="1"/>
  <c r="A816" i="4"/>
  <c r="R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N815" i="4" s="1"/>
  <c r="A815" i="4"/>
  <c r="R814" i="4"/>
  <c r="N814" i="4"/>
  <c r="L814" i="4"/>
  <c r="K814" i="4"/>
  <c r="J814" i="4"/>
  <c r="I814" i="4"/>
  <c r="H814" i="4"/>
  <c r="G814" i="4"/>
  <c r="F814" i="4"/>
  <c r="E814" i="4"/>
  <c r="D814" i="4"/>
  <c r="C814" i="4"/>
  <c r="B814" i="4"/>
  <c r="M814" i="4" s="1"/>
  <c r="U814" i="4" s="1"/>
  <c r="V814" i="4" s="1"/>
  <c r="A814" i="4"/>
  <c r="L813" i="4"/>
  <c r="K813" i="4"/>
  <c r="J813" i="4"/>
  <c r="I813" i="4"/>
  <c r="H813" i="4"/>
  <c r="G813" i="4"/>
  <c r="R813" i="4" s="1"/>
  <c r="F813" i="4"/>
  <c r="E813" i="4"/>
  <c r="D813" i="4"/>
  <c r="C813" i="4"/>
  <c r="B813" i="4"/>
  <c r="N813" i="4" s="1"/>
  <c r="A813" i="4"/>
  <c r="R812" i="4"/>
  <c r="L812" i="4"/>
  <c r="K812" i="4"/>
  <c r="J812" i="4"/>
  <c r="I812" i="4"/>
  <c r="H812" i="4"/>
  <c r="G812" i="4"/>
  <c r="F812" i="4"/>
  <c r="E812" i="4"/>
  <c r="D812" i="4"/>
  <c r="C812" i="4"/>
  <c r="B812" i="4"/>
  <c r="N812" i="4" s="1"/>
  <c r="A812" i="4"/>
  <c r="R811" i="4"/>
  <c r="L811" i="4"/>
  <c r="K811" i="4"/>
  <c r="J811" i="4"/>
  <c r="I811" i="4"/>
  <c r="H811" i="4"/>
  <c r="G811" i="4"/>
  <c r="F811" i="4"/>
  <c r="E811" i="4"/>
  <c r="D811" i="4"/>
  <c r="C811" i="4"/>
  <c r="B811" i="4"/>
  <c r="A811" i="4"/>
  <c r="R810" i="4"/>
  <c r="M810" i="4"/>
  <c r="U810" i="4" s="1"/>
  <c r="V810" i="4" s="1"/>
  <c r="L810" i="4"/>
  <c r="K810" i="4"/>
  <c r="J810" i="4"/>
  <c r="I810" i="4"/>
  <c r="H810" i="4"/>
  <c r="G810" i="4"/>
  <c r="F810" i="4"/>
  <c r="E810" i="4"/>
  <c r="D810" i="4"/>
  <c r="C810" i="4"/>
  <c r="B810" i="4"/>
  <c r="N810" i="4" s="1"/>
  <c r="A810" i="4"/>
  <c r="M809" i="4"/>
  <c r="U809" i="4" s="1"/>
  <c r="V809" i="4" s="1"/>
  <c r="L809" i="4"/>
  <c r="K809" i="4"/>
  <c r="J809" i="4"/>
  <c r="I809" i="4"/>
  <c r="H809" i="4"/>
  <c r="G809" i="4"/>
  <c r="R809" i="4" s="1"/>
  <c r="F809" i="4"/>
  <c r="E809" i="4"/>
  <c r="D809" i="4"/>
  <c r="C809" i="4"/>
  <c r="B809" i="4"/>
  <c r="N809" i="4" s="1"/>
  <c r="O809" i="4" s="1"/>
  <c r="A809" i="4"/>
  <c r="M808" i="4"/>
  <c r="L808" i="4"/>
  <c r="K808" i="4"/>
  <c r="J808" i="4"/>
  <c r="I808" i="4"/>
  <c r="H808" i="4"/>
  <c r="G808" i="4"/>
  <c r="R808" i="4" s="1"/>
  <c r="F808" i="4"/>
  <c r="E808" i="4"/>
  <c r="D808" i="4"/>
  <c r="C808" i="4"/>
  <c r="B808" i="4"/>
  <c r="N808" i="4" s="1"/>
  <c r="A808" i="4"/>
  <c r="M807" i="4"/>
  <c r="U807" i="4" s="1"/>
  <c r="V807" i="4" s="1"/>
  <c r="L807" i="4"/>
  <c r="K807" i="4"/>
  <c r="J807" i="4"/>
  <c r="I807" i="4"/>
  <c r="H807" i="4"/>
  <c r="G807" i="4"/>
  <c r="R807" i="4" s="1"/>
  <c r="F807" i="4"/>
  <c r="E807" i="4"/>
  <c r="D807" i="4"/>
  <c r="C807" i="4"/>
  <c r="B807" i="4"/>
  <c r="N807" i="4" s="1"/>
  <c r="A807" i="4"/>
  <c r="M806" i="4"/>
  <c r="L806" i="4"/>
  <c r="K806" i="4"/>
  <c r="J806" i="4"/>
  <c r="I806" i="4"/>
  <c r="H806" i="4"/>
  <c r="G806" i="4"/>
  <c r="R806" i="4" s="1"/>
  <c r="F806" i="4"/>
  <c r="E806" i="4"/>
  <c r="D806" i="4"/>
  <c r="C806" i="4"/>
  <c r="B806" i="4"/>
  <c r="N806" i="4" s="1"/>
  <c r="O806" i="4" s="1"/>
  <c r="A806" i="4"/>
  <c r="M805" i="4"/>
  <c r="U805" i="4" s="1"/>
  <c r="V805" i="4" s="1"/>
  <c r="L805" i="4"/>
  <c r="K805" i="4"/>
  <c r="J805" i="4"/>
  <c r="I805" i="4"/>
  <c r="H805" i="4"/>
  <c r="G805" i="4"/>
  <c r="R805" i="4" s="1"/>
  <c r="F805" i="4"/>
  <c r="E805" i="4"/>
  <c r="D805" i="4"/>
  <c r="C805" i="4"/>
  <c r="B805" i="4"/>
  <c r="N805" i="4" s="1"/>
  <c r="A805" i="4"/>
  <c r="M804" i="4"/>
  <c r="L804" i="4"/>
  <c r="K804" i="4"/>
  <c r="J804" i="4"/>
  <c r="I804" i="4"/>
  <c r="H804" i="4"/>
  <c r="G804" i="4"/>
  <c r="R804" i="4" s="1"/>
  <c r="F804" i="4"/>
  <c r="E804" i="4"/>
  <c r="D804" i="4"/>
  <c r="C804" i="4"/>
  <c r="B804" i="4"/>
  <c r="N804" i="4" s="1"/>
  <c r="A804" i="4"/>
  <c r="M803" i="4"/>
  <c r="L803" i="4"/>
  <c r="K803" i="4"/>
  <c r="J803" i="4"/>
  <c r="I803" i="4"/>
  <c r="H803" i="4"/>
  <c r="G803" i="4"/>
  <c r="R803" i="4" s="1"/>
  <c r="F803" i="4"/>
  <c r="E803" i="4"/>
  <c r="D803" i="4"/>
  <c r="C803" i="4"/>
  <c r="B803" i="4"/>
  <c r="N803" i="4" s="1"/>
  <c r="A803" i="4"/>
  <c r="M802" i="4"/>
  <c r="U802" i="4" s="1"/>
  <c r="V802" i="4" s="1"/>
  <c r="L802" i="4"/>
  <c r="K802" i="4"/>
  <c r="J802" i="4"/>
  <c r="I802" i="4"/>
  <c r="H802" i="4"/>
  <c r="G802" i="4"/>
  <c r="R802" i="4" s="1"/>
  <c r="F802" i="4"/>
  <c r="E802" i="4"/>
  <c r="D802" i="4"/>
  <c r="C802" i="4"/>
  <c r="B802" i="4"/>
  <c r="N802" i="4" s="1"/>
  <c r="A802" i="4"/>
  <c r="M801" i="4"/>
  <c r="L801" i="4"/>
  <c r="K801" i="4"/>
  <c r="J801" i="4"/>
  <c r="I801" i="4"/>
  <c r="H801" i="4"/>
  <c r="G801" i="4"/>
  <c r="R801" i="4" s="1"/>
  <c r="F801" i="4"/>
  <c r="E801" i="4"/>
  <c r="D801" i="4"/>
  <c r="C801" i="4"/>
  <c r="B801" i="4"/>
  <c r="N801" i="4" s="1"/>
  <c r="A801" i="4"/>
  <c r="M800" i="4"/>
  <c r="U800" i="4" s="1"/>
  <c r="V800" i="4" s="1"/>
  <c r="L800" i="4"/>
  <c r="K800" i="4"/>
  <c r="J800" i="4"/>
  <c r="I800" i="4"/>
  <c r="H800" i="4"/>
  <c r="G800" i="4"/>
  <c r="R800" i="4" s="1"/>
  <c r="F800" i="4"/>
  <c r="E800" i="4"/>
  <c r="D800" i="4"/>
  <c r="C800" i="4"/>
  <c r="B800" i="4"/>
  <c r="N800" i="4" s="1"/>
  <c r="A800" i="4"/>
  <c r="M799" i="4"/>
  <c r="U799" i="4" s="1"/>
  <c r="V799" i="4" s="1"/>
  <c r="L799" i="4"/>
  <c r="K799" i="4"/>
  <c r="J799" i="4"/>
  <c r="I799" i="4"/>
  <c r="H799" i="4"/>
  <c r="G799" i="4"/>
  <c r="R799" i="4" s="1"/>
  <c r="F799" i="4"/>
  <c r="E799" i="4"/>
  <c r="D799" i="4"/>
  <c r="C799" i="4"/>
  <c r="B799" i="4"/>
  <c r="N799" i="4" s="1"/>
  <c r="A799" i="4"/>
  <c r="M798" i="4"/>
  <c r="U798" i="4" s="1"/>
  <c r="V798" i="4" s="1"/>
  <c r="L798" i="4"/>
  <c r="K798" i="4"/>
  <c r="J798" i="4"/>
  <c r="I798" i="4"/>
  <c r="H798" i="4"/>
  <c r="G798" i="4"/>
  <c r="R798" i="4" s="1"/>
  <c r="F798" i="4"/>
  <c r="E798" i="4"/>
  <c r="D798" i="4"/>
  <c r="C798" i="4"/>
  <c r="B798" i="4"/>
  <c r="N798" i="4" s="1"/>
  <c r="A798" i="4"/>
  <c r="M797" i="4"/>
  <c r="U797" i="4" s="1"/>
  <c r="V797" i="4" s="1"/>
  <c r="L797" i="4"/>
  <c r="K797" i="4"/>
  <c r="J797" i="4"/>
  <c r="I797" i="4"/>
  <c r="H797" i="4"/>
  <c r="G797" i="4"/>
  <c r="R797" i="4" s="1"/>
  <c r="F797" i="4"/>
  <c r="E797" i="4"/>
  <c r="D797" i="4"/>
  <c r="C797" i="4"/>
  <c r="B797" i="4"/>
  <c r="N797" i="4" s="1"/>
  <c r="O797" i="4" s="1"/>
  <c r="A797" i="4"/>
  <c r="M796" i="4"/>
  <c r="U796" i="4" s="1"/>
  <c r="V796" i="4" s="1"/>
  <c r="L796" i="4"/>
  <c r="K796" i="4"/>
  <c r="J796" i="4"/>
  <c r="I796" i="4"/>
  <c r="H796" i="4"/>
  <c r="G796" i="4"/>
  <c r="R796" i="4" s="1"/>
  <c r="F796" i="4"/>
  <c r="E796" i="4"/>
  <c r="D796" i="4"/>
  <c r="C796" i="4"/>
  <c r="B796" i="4"/>
  <c r="N796" i="4" s="1"/>
  <c r="A796" i="4"/>
  <c r="M795" i="4"/>
  <c r="U795" i="4" s="1"/>
  <c r="V795" i="4" s="1"/>
  <c r="L795" i="4"/>
  <c r="K795" i="4"/>
  <c r="J795" i="4"/>
  <c r="I795" i="4"/>
  <c r="H795" i="4"/>
  <c r="G795" i="4"/>
  <c r="R795" i="4" s="1"/>
  <c r="F795" i="4"/>
  <c r="E795" i="4"/>
  <c r="D795" i="4"/>
  <c r="C795" i="4"/>
  <c r="B795" i="4"/>
  <c r="N795" i="4" s="1"/>
  <c r="A795" i="4"/>
  <c r="M794" i="4"/>
  <c r="L794" i="4"/>
  <c r="K794" i="4"/>
  <c r="J794" i="4"/>
  <c r="I794" i="4"/>
  <c r="H794" i="4"/>
  <c r="G794" i="4"/>
  <c r="R794" i="4" s="1"/>
  <c r="F794" i="4"/>
  <c r="E794" i="4"/>
  <c r="D794" i="4"/>
  <c r="C794" i="4"/>
  <c r="B794" i="4"/>
  <c r="N794" i="4" s="1"/>
  <c r="A794" i="4"/>
  <c r="M793" i="4"/>
  <c r="U793" i="4" s="1"/>
  <c r="V793" i="4" s="1"/>
  <c r="L793" i="4"/>
  <c r="K793" i="4"/>
  <c r="J793" i="4"/>
  <c r="I793" i="4"/>
  <c r="H793" i="4"/>
  <c r="G793" i="4"/>
  <c r="R793" i="4" s="1"/>
  <c r="F793" i="4"/>
  <c r="E793" i="4"/>
  <c r="D793" i="4"/>
  <c r="C793" i="4"/>
  <c r="B793" i="4"/>
  <c r="N793" i="4" s="1"/>
  <c r="O793" i="4" s="1"/>
  <c r="A793" i="4"/>
  <c r="M792" i="4"/>
  <c r="U792" i="4" s="1"/>
  <c r="V792" i="4" s="1"/>
  <c r="L792" i="4"/>
  <c r="K792" i="4"/>
  <c r="J792" i="4"/>
  <c r="I792" i="4"/>
  <c r="H792" i="4"/>
  <c r="G792" i="4"/>
  <c r="R792" i="4" s="1"/>
  <c r="F792" i="4"/>
  <c r="E792" i="4"/>
  <c r="D792" i="4"/>
  <c r="C792" i="4"/>
  <c r="B792" i="4"/>
  <c r="N792" i="4" s="1"/>
  <c r="A792" i="4"/>
  <c r="M791" i="4"/>
  <c r="U791" i="4" s="1"/>
  <c r="V791" i="4" s="1"/>
  <c r="L791" i="4"/>
  <c r="K791" i="4"/>
  <c r="J791" i="4"/>
  <c r="I791" i="4"/>
  <c r="H791" i="4"/>
  <c r="G791" i="4"/>
  <c r="R791" i="4" s="1"/>
  <c r="F791" i="4"/>
  <c r="E791" i="4"/>
  <c r="D791" i="4"/>
  <c r="C791" i="4"/>
  <c r="B791" i="4"/>
  <c r="N791" i="4" s="1"/>
  <c r="A791" i="4"/>
  <c r="M790" i="4"/>
  <c r="L790" i="4"/>
  <c r="K790" i="4"/>
  <c r="J790" i="4"/>
  <c r="I790" i="4"/>
  <c r="H790" i="4"/>
  <c r="G790" i="4"/>
  <c r="R790" i="4" s="1"/>
  <c r="F790" i="4"/>
  <c r="E790" i="4"/>
  <c r="D790" i="4"/>
  <c r="C790" i="4"/>
  <c r="B790" i="4"/>
  <c r="N790" i="4" s="1"/>
  <c r="A790" i="4"/>
  <c r="M789" i="4"/>
  <c r="U789" i="4" s="1"/>
  <c r="V789" i="4" s="1"/>
  <c r="L789" i="4"/>
  <c r="K789" i="4"/>
  <c r="J789" i="4"/>
  <c r="I789" i="4"/>
  <c r="H789" i="4"/>
  <c r="G789" i="4"/>
  <c r="R789" i="4" s="1"/>
  <c r="F789" i="4"/>
  <c r="E789" i="4"/>
  <c r="D789" i="4"/>
  <c r="C789" i="4"/>
  <c r="B789" i="4"/>
  <c r="N789" i="4" s="1"/>
  <c r="A789" i="4"/>
  <c r="M788" i="4"/>
  <c r="L788" i="4"/>
  <c r="K788" i="4"/>
  <c r="J788" i="4"/>
  <c r="I788" i="4"/>
  <c r="H788" i="4"/>
  <c r="G788" i="4"/>
  <c r="R788" i="4" s="1"/>
  <c r="F788" i="4"/>
  <c r="E788" i="4"/>
  <c r="D788" i="4"/>
  <c r="C788" i="4"/>
  <c r="B788" i="4"/>
  <c r="N788" i="4" s="1"/>
  <c r="O788" i="4" s="1"/>
  <c r="A788" i="4"/>
  <c r="M787" i="4"/>
  <c r="L787" i="4"/>
  <c r="K787" i="4"/>
  <c r="J787" i="4"/>
  <c r="I787" i="4"/>
  <c r="H787" i="4"/>
  <c r="G787" i="4"/>
  <c r="R787" i="4" s="1"/>
  <c r="F787" i="4"/>
  <c r="E787" i="4"/>
  <c r="D787" i="4"/>
  <c r="C787" i="4"/>
  <c r="B787" i="4"/>
  <c r="N787" i="4" s="1"/>
  <c r="O787" i="4" s="1"/>
  <c r="A787" i="4"/>
  <c r="M786" i="4"/>
  <c r="U786" i="4" s="1"/>
  <c r="V786" i="4" s="1"/>
  <c r="L786" i="4"/>
  <c r="K786" i="4"/>
  <c r="J786" i="4"/>
  <c r="I786" i="4"/>
  <c r="H786" i="4"/>
  <c r="G786" i="4"/>
  <c r="R786" i="4" s="1"/>
  <c r="F786" i="4"/>
  <c r="E786" i="4"/>
  <c r="D786" i="4"/>
  <c r="C786" i="4"/>
  <c r="B786" i="4"/>
  <c r="N786" i="4" s="1"/>
  <c r="A786" i="4"/>
  <c r="M785" i="4"/>
  <c r="U785" i="4" s="1"/>
  <c r="V785" i="4" s="1"/>
  <c r="L785" i="4"/>
  <c r="K785" i="4"/>
  <c r="J785" i="4"/>
  <c r="I785" i="4"/>
  <c r="H785" i="4"/>
  <c r="G785" i="4"/>
  <c r="R785" i="4" s="1"/>
  <c r="F785" i="4"/>
  <c r="E785" i="4"/>
  <c r="D785" i="4"/>
  <c r="C785" i="4"/>
  <c r="B785" i="4"/>
  <c r="N785" i="4" s="1"/>
  <c r="A785" i="4"/>
  <c r="M784" i="4"/>
  <c r="L784" i="4"/>
  <c r="K784" i="4"/>
  <c r="J784" i="4"/>
  <c r="I784" i="4"/>
  <c r="H784" i="4"/>
  <c r="G784" i="4"/>
  <c r="R784" i="4" s="1"/>
  <c r="F784" i="4"/>
  <c r="E784" i="4"/>
  <c r="D784" i="4"/>
  <c r="C784" i="4"/>
  <c r="B784" i="4"/>
  <c r="N784" i="4" s="1"/>
  <c r="A784" i="4"/>
  <c r="M783" i="4"/>
  <c r="U783" i="4" s="1"/>
  <c r="V783" i="4" s="1"/>
  <c r="L783" i="4"/>
  <c r="K783" i="4"/>
  <c r="J783" i="4"/>
  <c r="I783" i="4"/>
  <c r="H783" i="4"/>
  <c r="G783" i="4"/>
  <c r="R783" i="4" s="1"/>
  <c r="F783" i="4"/>
  <c r="E783" i="4"/>
  <c r="D783" i="4"/>
  <c r="C783" i="4"/>
  <c r="B783" i="4"/>
  <c r="N783" i="4" s="1"/>
  <c r="A783" i="4"/>
  <c r="M782" i="4"/>
  <c r="L782" i="4"/>
  <c r="K782" i="4"/>
  <c r="J782" i="4"/>
  <c r="I782" i="4"/>
  <c r="H782" i="4"/>
  <c r="G782" i="4"/>
  <c r="R782" i="4" s="1"/>
  <c r="F782" i="4"/>
  <c r="E782" i="4"/>
  <c r="D782" i="4"/>
  <c r="C782" i="4"/>
  <c r="B782" i="4"/>
  <c r="N782" i="4" s="1"/>
  <c r="O782" i="4" s="1"/>
  <c r="A782" i="4"/>
  <c r="M781" i="4"/>
  <c r="L781" i="4"/>
  <c r="K781" i="4"/>
  <c r="J781" i="4"/>
  <c r="I781" i="4"/>
  <c r="H781" i="4"/>
  <c r="G781" i="4"/>
  <c r="R781" i="4" s="1"/>
  <c r="F781" i="4"/>
  <c r="E781" i="4"/>
  <c r="D781" i="4"/>
  <c r="C781" i="4"/>
  <c r="B781" i="4"/>
  <c r="N781" i="4" s="1"/>
  <c r="A781" i="4"/>
  <c r="M780" i="4"/>
  <c r="L780" i="4"/>
  <c r="K780" i="4"/>
  <c r="J780" i="4"/>
  <c r="I780" i="4"/>
  <c r="H780" i="4"/>
  <c r="G780" i="4"/>
  <c r="R780" i="4" s="1"/>
  <c r="F780" i="4"/>
  <c r="E780" i="4"/>
  <c r="D780" i="4"/>
  <c r="C780" i="4"/>
  <c r="B780" i="4"/>
  <c r="N780" i="4" s="1"/>
  <c r="A780" i="4"/>
  <c r="M779" i="4"/>
  <c r="U779" i="4" s="1"/>
  <c r="V779" i="4" s="1"/>
  <c r="L779" i="4"/>
  <c r="K779" i="4"/>
  <c r="J779" i="4"/>
  <c r="I779" i="4"/>
  <c r="H779" i="4"/>
  <c r="G779" i="4"/>
  <c r="R779" i="4" s="1"/>
  <c r="F779" i="4"/>
  <c r="E779" i="4"/>
  <c r="D779" i="4"/>
  <c r="C779" i="4"/>
  <c r="B779" i="4"/>
  <c r="N779" i="4" s="1"/>
  <c r="A779" i="4"/>
  <c r="M778" i="4"/>
  <c r="L778" i="4"/>
  <c r="K778" i="4"/>
  <c r="J778" i="4"/>
  <c r="I778" i="4"/>
  <c r="H778" i="4"/>
  <c r="G778" i="4"/>
  <c r="R778" i="4" s="1"/>
  <c r="F778" i="4"/>
  <c r="E778" i="4"/>
  <c r="D778" i="4"/>
  <c r="C778" i="4"/>
  <c r="B778" i="4"/>
  <c r="N778" i="4" s="1"/>
  <c r="A778" i="4"/>
  <c r="M777" i="4"/>
  <c r="U777" i="4" s="1"/>
  <c r="V777" i="4" s="1"/>
  <c r="L777" i="4"/>
  <c r="K777" i="4"/>
  <c r="J777" i="4"/>
  <c r="I777" i="4"/>
  <c r="H777" i="4"/>
  <c r="G777" i="4"/>
  <c r="R777" i="4" s="1"/>
  <c r="F777" i="4"/>
  <c r="E777" i="4"/>
  <c r="D777" i="4"/>
  <c r="C777" i="4"/>
  <c r="B777" i="4"/>
  <c r="N777" i="4" s="1"/>
  <c r="A777" i="4"/>
  <c r="M776" i="4"/>
  <c r="U776" i="4" s="1"/>
  <c r="V776" i="4" s="1"/>
  <c r="L776" i="4"/>
  <c r="K776" i="4"/>
  <c r="J776" i="4"/>
  <c r="I776" i="4"/>
  <c r="H776" i="4"/>
  <c r="G776" i="4"/>
  <c r="R776" i="4" s="1"/>
  <c r="F776" i="4"/>
  <c r="E776" i="4"/>
  <c r="D776" i="4"/>
  <c r="C776" i="4"/>
  <c r="B776" i="4"/>
  <c r="N776" i="4" s="1"/>
  <c r="A776" i="4"/>
  <c r="M775" i="4"/>
  <c r="L775" i="4"/>
  <c r="K775" i="4"/>
  <c r="J775" i="4"/>
  <c r="I775" i="4"/>
  <c r="H775" i="4"/>
  <c r="G775" i="4"/>
  <c r="R775" i="4" s="1"/>
  <c r="F775" i="4"/>
  <c r="E775" i="4"/>
  <c r="D775" i="4"/>
  <c r="C775" i="4"/>
  <c r="B775" i="4"/>
  <c r="N775" i="4" s="1"/>
  <c r="O775" i="4" s="1"/>
  <c r="A775" i="4"/>
  <c r="M774" i="4"/>
  <c r="U774" i="4" s="1"/>
  <c r="V774" i="4" s="1"/>
  <c r="L774" i="4"/>
  <c r="K774" i="4"/>
  <c r="J774" i="4"/>
  <c r="I774" i="4"/>
  <c r="H774" i="4"/>
  <c r="G774" i="4"/>
  <c r="R774" i="4" s="1"/>
  <c r="F774" i="4"/>
  <c r="E774" i="4"/>
  <c r="D774" i="4"/>
  <c r="C774" i="4"/>
  <c r="B774" i="4"/>
  <c r="N774" i="4" s="1"/>
  <c r="A774" i="4"/>
  <c r="M773" i="4"/>
  <c r="L773" i="4"/>
  <c r="K773" i="4"/>
  <c r="J773" i="4"/>
  <c r="I773" i="4"/>
  <c r="H773" i="4"/>
  <c r="G773" i="4"/>
  <c r="R773" i="4" s="1"/>
  <c r="F773" i="4"/>
  <c r="E773" i="4"/>
  <c r="D773" i="4"/>
  <c r="C773" i="4"/>
  <c r="B773" i="4"/>
  <c r="N773" i="4" s="1"/>
  <c r="O773" i="4" s="1"/>
  <c r="A773" i="4"/>
  <c r="M772" i="4"/>
  <c r="U772" i="4" s="1"/>
  <c r="V772" i="4" s="1"/>
  <c r="L772" i="4"/>
  <c r="K772" i="4"/>
  <c r="J772" i="4"/>
  <c r="I772" i="4"/>
  <c r="H772" i="4"/>
  <c r="G772" i="4"/>
  <c r="R772" i="4" s="1"/>
  <c r="F772" i="4"/>
  <c r="E772" i="4"/>
  <c r="D772" i="4"/>
  <c r="C772" i="4"/>
  <c r="B772" i="4"/>
  <c r="N772" i="4" s="1"/>
  <c r="A772" i="4"/>
  <c r="M771" i="4"/>
  <c r="L771" i="4"/>
  <c r="K771" i="4"/>
  <c r="J771" i="4"/>
  <c r="I771" i="4"/>
  <c r="H771" i="4"/>
  <c r="G771" i="4"/>
  <c r="R771" i="4" s="1"/>
  <c r="F771" i="4"/>
  <c r="E771" i="4"/>
  <c r="D771" i="4"/>
  <c r="C771" i="4"/>
  <c r="B771" i="4"/>
  <c r="N771" i="4" s="1"/>
  <c r="A771" i="4"/>
  <c r="M770" i="4"/>
  <c r="L770" i="4"/>
  <c r="K770" i="4"/>
  <c r="J770" i="4"/>
  <c r="I770" i="4"/>
  <c r="H770" i="4"/>
  <c r="G770" i="4"/>
  <c r="R770" i="4" s="1"/>
  <c r="F770" i="4"/>
  <c r="E770" i="4"/>
  <c r="D770" i="4"/>
  <c r="C770" i="4"/>
  <c r="B770" i="4"/>
  <c r="N770" i="4" s="1"/>
  <c r="A770" i="4"/>
  <c r="M769" i="4"/>
  <c r="L769" i="4"/>
  <c r="K769" i="4"/>
  <c r="J769" i="4"/>
  <c r="I769" i="4"/>
  <c r="H769" i="4"/>
  <c r="G769" i="4"/>
  <c r="R769" i="4" s="1"/>
  <c r="F769" i="4"/>
  <c r="E769" i="4"/>
  <c r="D769" i="4"/>
  <c r="C769" i="4"/>
  <c r="B769" i="4"/>
  <c r="N769" i="4" s="1"/>
  <c r="O769" i="4" s="1"/>
  <c r="A769" i="4"/>
  <c r="L768" i="4"/>
  <c r="K768" i="4"/>
  <c r="J768" i="4"/>
  <c r="I768" i="4"/>
  <c r="H768" i="4"/>
  <c r="G768" i="4"/>
  <c r="R768" i="4" s="1"/>
  <c r="F768" i="4"/>
  <c r="E768" i="4"/>
  <c r="D768" i="4"/>
  <c r="C768" i="4"/>
  <c r="B768" i="4"/>
  <c r="N768" i="4" s="1"/>
  <c r="A768" i="4"/>
  <c r="M767" i="4"/>
  <c r="U767" i="4" s="1"/>
  <c r="V767" i="4" s="1"/>
  <c r="L767" i="4"/>
  <c r="K767" i="4"/>
  <c r="J767" i="4"/>
  <c r="I767" i="4"/>
  <c r="H767" i="4"/>
  <c r="G767" i="4"/>
  <c r="R767" i="4" s="1"/>
  <c r="F767" i="4"/>
  <c r="E767" i="4"/>
  <c r="D767" i="4"/>
  <c r="C767" i="4"/>
  <c r="B767" i="4"/>
  <c r="N767" i="4" s="1"/>
  <c r="A767" i="4"/>
  <c r="M766" i="4"/>
  <c r="U766" i="4" s="1"/>
  <c r="V766" i="4" s="1"/>
  <c r="L766" i="4"/>
  <c r="K766" i="4"/>
  <c r="J766" i="4"/>
  <c r="I766" i="4"/>
  <c r="H766" i="4"/>
  <c r="G766" i="4"/>
  <c r="R766" i="4" s="1"/>
  <c r="F766" i="4"/>
  <c r="E766" i="4"/>
  <c r="D766" i="4"/>
  <c r="C766" i="4"/>
  <c r="B766" i="4"/>
  <c r="N766" i="4" s="1"/>
  <c r="A766" i="4"/>
  <c r="M765" i="4"/>
  <c r="U765" i="4" s="1"/>
  <c r="V765" i="4" s="1"/>
  <c r="L765" i="4"/>
  <c r="K765" i="4"/>
  <c r="J765" i="4"/>
  <c r="I765" i="4"/>
  <c r="H765" i="4"/>
  <c r="G765" i="4"/>
  <c r="R765" i="4" s="1"/>
  <c r="F765" i="4"/>
  <c r="E765" i="4"/>
  <c r="D765" i="4"/>
  <c r="C765" i="4"/>
  <c r="B765" i="4"/>
  <c r="N765" i="4" s="1"/>
  <c r="A765" i="4"/>
  <c r="M764" i="4"/>
  <c r="U764" i="4" s="1"/>
  <c r="V764" i="4" s="1"/>
  <c r="L764" i="4"/>
  <c r="K764" i="4"/>
  <c r="J764" i="4"/>
  <c r="I764" i="4"/>
  <c r="H764" i="4"/>
  <c r="G764" i="4"/>
  <c r="R764" i="4" s="1"/>
  <c r="F764" i="4"/>
  <c r="E764" i="4"/>
  <c r="D764" i="4"/>
  <c r="C764" i="4"/>
  <c r="B764" i="4"/>
  <c r="N764" i="4" s="1"/>
  <c r="A764" i="4"/>
  <c r="M763" i="4"/>
  <c r="L763" i="4"/>
  <c r="K763" i="4"/>
  <c r="J763" i="4"/>
  <c r="I763" i="4"/>
  <c r="H763" i="4"/>
  <c r="G763" i="4"/>
  <c r="R763" i="4" s="1"/>
  <c r="F763" i="4"/>
  <c r="E763" i="4"/>
  <c r="D763" i="4"/>
  <c r="C763" i="4"/>
  <c r="B763" i="4"/>
  <c r="N763" i="4" s="1"/>
  <c r="A763" i="4"/>
  <c r="L762" i="4"/>
  <c r="K762" i="4"/>
  <c r="J762" i="4"/>
  <c r="I762" i="4"/>
  <c r="H762" i="4"/>
  <c r="G762" i="4"/>
  <c r="R762" i="4" s="1"/>
  <c r="F762" i="4"/>
  <c r="E762" i="4"/>
  <c r="D762" i="4"/>
  <c r="C762" i="4"/>
  <c r="B762" i="4"/>
  <c r="N762" i="4" s="1"/>
  <c r="A762" i="4"/>
  <c r="R761" i="4"/>
  <c r="L761" i="4"/>
  <c r="K761" i="4"/>
  <c r="J761" i="4"/>
  <c r="I761" i="4"/>
  <c r="H761" i="4"/>
  <c r="G761" i="4"/>
  <c r="F761" i="4"/>
  <c r="E761" i="4"/>
  <c r="D761" i="4"/>
  <c r="C761" i="4"/>
  <c r="B761" i="4"/>
  <c r="N761" i="4" s="1"/>
  <c r="A761" i="4"/>
  <c r="M760" i="4"/>
  <c r="U760" i="4" s="1"/>
  <c r="V760" i="4" s="1"/>
  <c r="L760" i="4"/>
  <c r="K760" i="4"/>
  <c r="J760" i="4"/>
  <c r="I760" i="4"/>
  <c r="H760" i="4"/>
  <c r="G760" i="4"/>
  <c r="R760" i="4" s="1"/>
  <c r="F760" i="4"/>
  <c r="E760" i="4"/>
  <c r="D760" i="4"/>
  <c r="C760" i="4"/>
  <c r="B760" i="4"/>
  <c r="N760" i="4" s="1"/>
  <c r="O760" i="4" s="1"/>
  <c r="A760" i="4"/>
  <c r="M759" i="4"/>
  <c r="U759" i="4" s="1"/>
  <c r="V759" i="4" s="1"/>
  <c r="L759" i="4"/>
  <c r="K759" i="4"/>
  <c r="J759" i="4"/>
  <c r="I759" i="4"/>
  <c r="H759" i="4"/>
  <c r="G759" i="4"/>
  <c r="R759" i="4" s="1"/>
  <c r="F759" i="4"/>
  <c r="E759" i="4"/>
  <c r="D759" i="4"/>
  <c r="C759" i="4"/>
  <c r="B759" i="4"/>
  <c r="N759" i="4" s="1"/>
  <c r="A759" i="4"/>
  <c r="M758" i="4"/>
  <c r="L758" i="4"/>
  <c r="K758" i="4"/>
  <c r="J758" i="4"/>
  <c r="I758" i="4"/>
  <c r="H758" i="4"/>
  <c r="G758" i="4"/>
  <c r="R758" i="4" s="1"/>
  <c r="F758" i="4"/>
  <c r="E758" i="4"/>
  <c r="D758" i="4"/>
  <c r="C758" i="4"/>
  <c r="B758" i="4"/>
  <c r="N758" i="4" s="1"/>
  <c r="A758" i="4"/>
  <c r="R757" i="4"/>
  <c r="M757" i="4"/>
  <c r="L757" i="4"/>
  <c r="K757" i="4"/>
  <c r="J757" i="4"/>
  <c r="I757" i="4"/>
  <c r="H757" i="4"/>
  <c r="G757" i="4"/>
  <c r="F757" i="4"/>
  <c r="E757" i="4"/>
  <c r="D757" i="4"/>
  <c r="C757" i="4"/>
  <c r="B757" i="4"/>
  <c r="N757" i="4" s="1"/>
  <c r="A757" i="4"/>
  <c r="L756" i="4"/>
  <c r="K756" i="4"/>
  <c r="J756" i="4"/>
  <c r="I756" i="4"/>
  <c r="H756" i="4"/>
  <c r="G756" i="4"/>
  <c r="R756" i="4" s="1"/>
  <c r="F756" i="4"/>
  <c r="E756" i="4"/>
  <c r="D756" i="4"/>
  <c r="C756" i="4"/>
  <c r="B756" i="4"/>
  <c r="N756" i="4" s="1"/>
  <c r="A756" i="4"/>
  <c r="N755" i="4"/>
  <c r="L755" i="4"/>
  <c r="K755" i="4"/>
  <c r="J755" i="4"/>
  <c r="I755" i="4"/>
  <c r="H755" i="4"/>
  <c r="G755" i="4"/>
  <c r="R755" i="4" s="1"/>
  <c r="F755" i="4"/>
  <c r="E755" i="4"/>
  <c r="D755" i="4"/>
  <c r="C755" i="4"/>
  <c r="B755" i="4"/>
  <c r="M755" i="4" s="1"/>
  <c r="A755" i="4"/>
  <c r="M754" i="4"/>
  <c r="U754" i="4" s="1"/>
  <c r="V754" i="4" s="1"/>
  <c r="L754" i="4"/>
  <c r="K754" i="4"/>
  <c r="J754" i="4"/>
  <c r="I754" i="4"/>
  <c r="H754" i="4"/>
  <c r="G754" i="4"/>
  <c r="R754" i="4" s="1"/>
  <c r="F754" i="4"/>
  <c r="E754" i="4"/>
  <c r="D754" i="4"/>
  <c r="C754" i="4"/>
  <c r="B754" i="4"/>
  <c r="N754" i="4" s="1"/>
  <c r="O754" i="4" s="1"/>
  <c r="A754" i="4"/>
  <c r="M753" i="4"/>
  <c r="U753" i="4" s="1"/>
  <c r="V753" i="4" s="1"/>
  <c r="L753" i="4"/>
  <c r="K753" i="4"/>
  <c r="J753" i="4"/>
  <c r="I753" i="4"/>
  <c r="H753" i="4"/>
  <c r="G753" i="4"/>
  <c r="R753" i="4" s="1"/>
  <c r="F753" i="4"/>
  <c r="E753" i="4"/>
  <c r="D753" i="4"/>
  <c r="C753" i="4"/>
  <c r="B753" i="4"/>
  <c r="N753" i="4" s="1"/>
  <c r="A753" i="4"/>
  <c r="R752" i="4"/>
  <c r="M752" i="4"/>
  <c r="U752" i="4" s="1"/>
  <c r="V752" i="4" s="1"/>
  <c r="L752" i="4"/>
  <c r="K752" i="4"/>
  <c r="J752" i="4"/>
  <c r="I752" i="4"/>
  <c r="H752" i="4"/>
  <c r="G752" i="4"/>
  <c r="F752" i="4"/>
  <c r="E752" i="4"/>
  <c r="D752" i="4"/>
  <c r="C752" i="4"/>
  <c r="B752" i="4"/>
  <c r="N752" i="4" s="1"/>
  <c r="O752" i="4" s="1"/>
  <c r="A752" i="4"/>
  <c r="R751" i="4"/>
  <c r="L751" i="4"/>
  <c r="K751" i="4"/>
  <c r="J751" i="4"/>
  <c r="I751" i="4"/>
  <c r="H751" i="4"/>
  <c r="G751" i="4"/>
  <c r="F751" i="4"/>
  <c r="E751" i="4"/>
  <c r="D751" i="4"/>
  <c r="C751" i="4"/>
  <c r="B751" i="4"/>
  <c r="N751" i="4" s="1"/>
  <c r="A751" i="4"/>
  <c r="R750" i="4"/>
  <c r="L750" i="4"/>
  <c r="K750" i="4"/>
  <c r="J750" i="4"/>
  <c r="I750" i="4"/>
  <c r="H750" i="4"/>
  <c r="G750" i="4"/>
  <c r="F750" i="4"/>
  <c r="E750" i="4"/>
  <c r="D750" i="4"/>
  <c r="C750" i="4"/>
  <c r="B750" i="4"/>
  <c r="N750" i="4" s="1"/>
  <c r="A750" i="4"/>
  <c r="R749" i="4"/>
  <c r="L749" i="4"/>
  <c r="K749" i="4"/>
  <c r="J749" i="4"/>
  <c r="I749" i="4"/>
  <c r="H749" i="4"/>
  <c r="G749" i="4"/>
  <c r="F749" i="4"/>
  <c r="E749" i="4"/>
  <c r="D749" i="4"/>
  <c r="C749" i="4"/>
  <c r="B749" i="4"/>
  <c r="M749" i="4" s="1"/>
  <c r="A749" i="4"/>
  <c r="R748" i="4"/>
  <c r="L748" i="4"/>
  <c r="K748" i="4"/>
  <c r="J748" i="4"/>
  <c r="I748" i="4"/>
  <c r="H748" i="4"/>
  <c r="G748" i="4"/>
  <c r="F748" i="4"/>
  <c r="E748" i="4"/>
  <c r="D748" i="4"/>
  <c r="C748" i="4"/>
  <c r="B748" i="4"/>
  <c r="N748" i="4" s="1"/>
  <c r="A748" i="4"/>
  <c r="R747" i="4"/>
  <c r="L747" i="4"/>
  <c r="K747" i="4"/>
  <c r="J747" i="4"/>
  <c r="I747" i="4"/>
  <c r="H747" i="4"/>
  <c r="G747" i="4"/>
  <c r="F747" i="4"/>
  <c r="E747" i="4"/>
  <c r="D747" i="4"/>
  <c r="C747" i="4"/>
  <c r="B747" i="4"/>
  <c r="N747" i="4" s="1"/>
  <c r="A747" i="4"/>
  <c r="R746" i="4"/>
  <c r="L746" i="4"/>
  <c r="K746" i="4"/>
  <c r="J746" i="4"/>
  <c r="I746" i="4"/>
  <c r="H746" i="4"/>
  <c r="G746" i="4"/>
  <c r="F746" i="4"/>
  <c r="E746" i="4"/>
  <c r="D746" i="4"/>
  <c r="C746" i="4"/>
  <c r="B746" i="4"/>
  <c r="M746" i="4" s="1"/>
  <c r="A746" i="4"/>
  <c r="R745" i="4"/>
  <c r="L745" i="4"/>
  <c r="K745" i="4"/>
  <c r="J745" i="4"/>
  <c r="I745" i="4"/>
  <c r="H745" i="4"/>
  <c r="G745" i="4"/>
  <c r="F745" i="4"/>
  <c r="E745" i="4"/>
  <c r="D745" i="4"/>
  <c r="C745" i="4"/>
  <c r="B745" i="4"/>
  <c r="N745" i="4" s="1"/>
  <c r="A745" i="4"/>
  <c r="R744" i="4"/>
  <c r="L744" i="4"/>
  <c r="K744" i="4"/>
  <c r="J744" i="4"/>
  <c r="I744" i="4"/>
  <c r="H744" i="4"/>
  <c r="G744" i="4"/>
  <c r="F744" i="4"/>
  <c r="E744" i="4"/>
  <c r="D744" i="4"/>
  <c r="C744" i="4"/>
  <c r="B744" i="4"/>
  <c r="N744" i="4" s="1"/>
  <c r="A744" i="4"/>
  <c r="R743" i="4"/>
  <c r="N743" i="4"/>
  <c r="L743" i="4"/>
  <c r="K743" i="4"/>
  <c r="J743" i="4"/>
  <c r="I743" i="4"/>
  <c r="H743" i="4"/>
  <c r="G743" i="4"/>
  <c r="F743" i="4"/>
  <c r="E743" i="4"/>
  <c r="D743" i="4"/>
  <c r="C743" i="4"/>
  <c r="B743" i="4"/>
  <c r="M743" i="4" s="1"/>
  <c r="U743" i="4" s="1"/>
  <c r="V743" i="4" s="1"/>
  <c r="A743" i="4"/>
  <c r="R742" i="4"/>
  <c r="L742" i="4"/>
  <c r="K742" i="4"/>
  <c r="J742" i="4"/>
  <c r="I742" i="4"/>
  <c r="H742" i="4"/>
  <c r="G742" i="4"/>
  <c r="F742" i="4"/>
  <c r="E742" i="4"/>
  <c r="D742" i="4"/>
  <c r="C742" i="4"/>
  <c r="B742" i="4"/>
  <c r="N742" i="4" s="1"/>
  <c r="A742" i="4"/>
  <c r="R741" i="4"/>
  <c r="L741" i="4"/>
  <c r="K741" i="4"/>
  <c r="J741" i="4"/>
  <c r="I741" i="4"/>
  <c r="H741" i="4"/>
  <c r="G741" i="4"/>
  <c r="F741" i="4"/>
  <c r="E741" i="4"/>
  <c r="D741" i="4"/>
  <c r="C741" i="4"/>
  <c r="B741" i="4"/>
  <c r="N741" i="4" s="1"/>
  <c r="A741" i="4"/>
  <c r="R740" i="4"/>
  <c r="L740" i="4"/>
  <c r="K740" i="4"/>
  <c r="J740" i="4"/>
  <c r="I740" i="4"/>
  <c r="H740" i="4"/>
  <c r="G740" i="4"/>
  <c r="F740" i="4"/>
  <c r="E740" i="4"/>
  <c r="D740" i="4"/>
  <c r="C740" i="4"/>
  <c r="B740" i="4"/>
  <c r="A740" i="4"/>
  <c r="R739" i="4"/>
  <c r="L739" i="4"/>
  <c r="K739" i="4"/>
  <c r="J739" i="4"/>
  <c r="I739" i="4"/>
  <c r="H739" i="4"/>
  <c r="G739" i="4"/>
  <c r="F739" i="4"/>
  <c r="E739" i="4"/>
  <c r="D739" i="4"/>
  <c r="C739" i="4"/>
  <c r="B739" i="4"/>
  <c r="N739" i="4" s="1"/>
  <c r="A739" i="4"/>
  <c r="R738" i="4"/>
  <c r="L738" i="4"/>
  <c r="K738" i="4"/>
  <c r="J738" i="4"/>
  <c r="I738" i="4"/>
  <c r="H738" i="4"/>
  <c r="G738" i="4"/>
  <c r="F738" i="4"/>
  <c r="E738" i="4"/>
  <c r="D738" i="4"/>
  <c r="C738" i="4"/>
  <c r="B738" i="4"/>
  <c r="N738" i="4" s="1"/>
  <c r="A738" i="4"/>
  <c r="R737" i="4"/>
  <c r="N737" i="4"/>
  <c r="L737" i="4"/>
  <c r="K737" i="4"/>
  <c r="J737" i="4"/>
  <c r="I737" i="4"/>
  <c r="H737" i="4"/>
  <c r="G737" i="4"/>
  <c r="F737" i="4"/>
  <c r="E737" i="4"/>
  <c r="D737" i="4"/>
  <c r="C737" i="4"/>
  <c r="B737" i="4"/>
  <c r="M737" i="4" s="1"/>
  <c r="A737" i="4"/>
  <c r="R736" i="4"/>
  <c r="L736" i="4"/>
  <c r="K736" i="4"/>
  <c r="J736" i="4"/>
  <c r="I736" i="4"/>
  <c r="H736" i="4"/>
  <c r="G736" i="4"/>
  <c r="F736" i="4"/>
  <c r="E736" i="4"/>
  <c r="D736" i="4"/>
  <c r="C736" i="4"/>
  <c r="B736" i="4"/>
  <c r="N736" i="4" s="1"/>
  <c r="A736" i="4"/>
  <c r="R735" i="4"/>
  <c r="L735" i="4"/>
  <c r="K735" i="4"/>
  <c r="J735" i="4"/>
  <c r="I735" i="4"/>
  <c r="H735" i="4"/>
  <c r="G735" i="4"/>
  <c r="F735" i="4"/>
  <c r="E735" i="4"/>
  <c r="D735" i="4"/>
  <c r="C735" i="4"/>
  <c r="B735" i="4"/>
  <c r="N735" i="4" s="1"/>
  <c r="A735" i="4"/>
  <c r="R734" i="4"/>
  <c r="N734" i="4"/>
  <c r="L734" i="4"/>
  <c r="K734" i="4"/>
  <c r="J734" i="4"/>
  <c r="I734" i="4"/>
  <c r="H734" i="4"/>
  <c r="G734" i="4"/>
  <c r="F734" i="4"/>
  <c r="E734" i="4"/>
  <c r="D734" i="4"/>
  <c r="C734" i="4"/>
  <c r="B734" i="4"/>
  <c r="M734" i="4" s="1"/>
  <c r="U734" i="4" s="1"/>
  <c r="V734" i="4" s="1"/>
  <c r="A734" i="4"/>
  <c r="R733" i="4"/>
  <c r="L733" i="4"/>
  <c r="K733" i="4"/>
  <c r="J733" i="4"/>
  <c r="I733" i="4"/>
  <c r="H733" i="4"/>
  <c r="G733" i="4"/>
  <c r="F733" i="4"/>
  <c r="E733" i="4"/>
  <c r="D733" i="4"/>
  <c r="C733" i="4"/>
  <c r="B733" i="4"/>
  <c r="N733" i="4" s="1"/>
  <c r="A733" i="4"/>
  <c r="R732" i="4"/>
  <c r="L732" i="4"/>
  <c r="K732" i="4"/>
  <c r="J732" i="4"/>
  <c r="I732" i="4"/>
  <c r="H732" i="4"/>
  <c r="G732" i="4"/>
  <c r="F732" i="4"/>
  <c r="E732" i="4"/>
  <c r="D732" i="4"/>
  <c r="C732" i="4"/>
  <c r="B732" i="4"/>
  <c r="N732" i="4" s="1"/>
  <c r="A732" i="4"/>
  <c r="R731" i="4"/>
  <c r="L731" i="4"/>
  <c r="K731" i="4"/>
  <c r="J731" i="4"/>
  <c r="I731" i="4"/>
  <c r="H731" i="4"/>
  <c r="G731" i="4"/>
  <c r="F731" i="4"/>
  <c r="E731" i="4"/>
  <c r="D731" i="4"/>
  <c r="C731" i="4"/>
  <c r="B731" i="4"/>
  <c r="M731" i="4" s="1"/>
  <c r="U731" i="4" s="1"/>
  <c r="V731" i="4" s="1"/>
  <c r="A731" i="4"/>
  <c r="R730" i="4"/>
  <c r="L730" i="4"/>
  <c r="K730" i="4"/>
  <c r="J730" i="4"/>
  <c r="I730" i="4"/>
  <c r="H730" i="4"/>
  <c r="G730" i="4"/>
  <c r="F730" i="4"/>
  <c r="E730" i="4"/>
  <c r="D730" i="4"/>
  <c r="C730" i="4"/>
  <c r="B730" i="4"/>
  <c r="N730" i="4" s="1"/>
  <c r="A730" i="4"/>
  <c r="R729" i="4"/>
  <c r="L729" i="4"/>
  <c r="K729" i="4"/>
  <c r="J729" i="4"/>
  <c r="I729" i="4"/>
  <c r="H729" i="4"/>
  <c r="G729" i="4"/>
  <c r="F729" i="4"/>
  <c r="E729" i="4"/>
  <c r="D729" i="4"/>
  <c r="C729" i="4"/>
  <c r="B729" i="4"/>
  <c r="N729" i="4" s="1"/>
  <c r="A729" i="4"/>
  <c r="R728" i="4"/>
  <c r="L728" i="4"/>
  <c r="K728" i="4"/>
  <c r="J728" i="4"/>
  <c r="I728" i="4"/>
  <c r="H728" i="4"/>
  <c r="G728" i="4"/>
  <c r="F728" i="4"/>
  <c r="E728" i="4"/>
  <c r="D728" i="4"/>
  <c r="C728" i="4"/>
  <c r="B728" i="4"/>
  <c r="M728" i="4" s="1"/>
  <c r="A728" i="4"/>
  <c r="R727" i="4"/>
  <c r="L727" i="4"/>
  <c r="K727" i="4"/>
  <c r="J727" i="4"/>
  <c r="I727" i="4"/>
  <c r="H727" i="4"/>
  <c r="G727" i="4"/>
  <c r="F727" i="4"/>
  <c r="E727" i="4"/>
  <c r="D727" i="4"/>
  <c r="C727" i="4"/>
  <c r="B727" i="4"/>
  <c r="N727" i="4" s="1"/>
  <c r="A727" i="4"/>
  <c r="R726" i="4"/>
  <c r="L726" i="4"/>
  <c r="K726" i="4"/>
  <c r="J726" i="4"/>
  <c r="I726" i="4"/>
  <c r="H726" i="4"/>
  <c r="G726" i="4"/>
  <c r="F726" i="4"/>
  <c r="E726" i="4"/>
  <c r="D726" i="4"/>
  <c r="C726" i="4"/>
  <c r="B726" i="4"/>
  <c r="N726" i="4" s="1"/>
  <c r="A726" i="4"/>
  <c r="R725" i="4"/>
  <c r="N725" i="4"/>
  <c r="L725" i="4"/>
  <c r="K725" i="4"/>
  <c r="J725" i="4"/>
  <c r="I725" i="4"/>
  <c r="H725" i="4"/>
  <c r="G725" i="4"/>
  <c r="F725" i="4"/>
  <c r="E725" i="4"/>
  <c r="D725" i="4"/>
  <c r="C725" i="4"/>
  <c r="B725" i="4"/>
  <c r="M725" i="4" s="1"/>
  <c r="A725" i="4"/>
  <c r="R724" i="4"/>
  <c r="L724" i="4"/>
  <c r="K724" i="4"/>
  <c r="J724" i="4"/>
  <c r="I724" i="4"/>
  <c r="H724" i="4"/>
  <c r="G724" i="4"/>
  <c r="F724" i="4"/>
  <c r="E724" i="4"/>
  <c r="D724" i="4"/>
  <c r="C724" i="4"/>
  <c r="B724" i="4"/>
  <c r="N724" i="4" s="1"/>
  <c r="A724" i="4"/>
  <c r="R723" i="4"/>
  <c r="L723" i="4"/>
  <c r="K723" i="4"/>
  <c r="J723" i="4"/>
  <c r="I723" i="4"/>
  <c r="H723" i="4"/>
  <c r="G723" i="4"/>
  <c r="F723" i="4"/>
  <c r="E723" i="4"/>
  <c r="D723" i="4"/>
  <c r="C723" i="4"/>
  <c r="B723" i="4"/>
  <c r="N723" i="4" s="1"/>
  <c r="A723" i="4"/>
  <c r="R722" i="4"/>
  <c r="L722" i="4"/>
  <c r="K722" i="4"/>
  <c r="J722" i="4"/>
  <c r="I722" i="4"/>
  <c r="H722" i="4"/>
  <c r="G722" i="4"/>
  <c r="F722" i="4"/>
  <c r="E722" i="4"/>
  <c r="D722" i="4"/>
  <c r="C722" i="4"/>
  <c r="B722" i="4"/>
  <c r="A722" i="4"/>
  <c r="R721" i="4"/>
  <c r="L721" i="4"/>
  <c r="K721" i="4"/>
  <c r="J721" i="4"/>
  <c r="I721" i="4"/>
  <c r="H721" i="4"/>
  <c r="G721" i="4"/>
  <c r="F721" i="4"/>
  <c r="E721" i="4"/>
  <c r="D721" i="4"/>
  <c r="C721" i="4"/>
  <c r="B721" i="4"/>
  <c r="N721" i="4" s="1"/>
  <c r="A721" i="4"/>
  <c r="R720" i="4"/>
  <c r="L720" i="4"/>
  <c r="K720" i="4"/>
  <c r="J720" i="4"/>
  <c r="I720" i="4"/>
  <c r="H720" i="4"/>
  <c r="G720" i="4"/>
  <c r="F720" i="4"/>
  <c r="E720" i="4"/>
  <c r="D720" i="4"/>
  <c r="C720" i="4"/>
  <c r="B720" i="4"/>
  <c r="N720" i="4" s="1"/>
  <c r="A720" i="4"/>
  <c r="R719" i="4"/>
  <c r="N719" i="4"/>
  <c r="L719" i="4"/>
  <c r="K719" i="4"/>
  <c r="J719" i="4"/>
  <c r="I719" i="4"/>
  <c r="H719" i="4"/>
  <c r="G719" i="4"/>
  <c r="F719" i="4"/>
  <c r="E719" i="4"/>
  <c r="D719" i="4"/>
  <c r="C719" i="4"/>
  <c r="B719" i="4"/>
  <c r="M719" i="4" s="1"/>
  <c r="U719" i="4" s="1"/>
  <c r="V719" i="4" s="1"/>
  <c r="A719" i="4"/>
  <c r="R718" i="4"/>
  <c r="L718" i="4"/>
  <c r="K718" i="4"/>
  <c r="J718" i="4"/>
  <c r="I718" i="4"/>
  <c r="H718" i="4"/>
  <c r="G718" i="4"/>
  <c r="F718" i="4"/>
  <c r="E718" i="4"/>
  <c r="D718" i="4"/>
  <c r="C718" i="4"/>
  <c r="B718" i="4"/>
  <c r="N718" i="4" s="1"/>
  <c r="A718" i="4"/>
  <c r="R717" i="4"/>
  <c r="L717" i="4"/>
  <c r="K717" i="4"/>
  <c r="J717" i="4"/>
  <c r="I717" i="4"/>
  <c r="H717" i="4"/>
  <c r="G717" i="4"/>
  <c r="F717" i="4"/>
  <c r="E717" i="4"/>
  <c r="D717" i="4"/>
  <c r="C717" i="4"/>
  <c r="B717" i="4"/>
  <c r="N717" i="4" s="1"/>
  <c r="A717" i="4"/>
  <c r="R716" i="4"/>
  <c r="N716" i="4"/>
  <c r="L716" i="4"/>
  <c r="K716" i="4"/>
  <c r="J716" i="4"/>
  <c r="I716" i="4"/>
  <c r="H716" i="4"/>
  <c r="G716" i="4"/>
  <c r="F716" i="4"/>
  <c r="E716" i="4"/>
  <c r="D716" i="4"/>
  <c r="C716" i="4"/>
  <c r="B716" i="4"/>
  <c r="M716" i="4" s="1"/>
  <c r="A716" i="4"/>
  <c r="R715" i="4"/>
  <c r="L715" i="4"/>
  <c r="K715" i="4"/>
  <c r="J715" i="4"/>
  <c r="I715" i="4"/>
  <c r="H715" i="4"/>
  <c r="G715" i="4"/>
  <c r="F715" i="4"/>
  <c r="E715" i="4"/>
  <c r="D715" i="4"/>
  <c r="C715" i="4"/>
  <c r="B715" i="4"/>
  <c r="N715" i="4" s="1"/>
  <c r="A715" i="4"/>
  <c r="R714" i="4"/>
  <c r="L714" i="4"/>
  <c r="K714" i="4"/>
  <c r="J714" i="4"/>
  <c r="I714" i="4"/>
  <c r="H714" i="4"/>
  <c r="G714" i="4"/>
  <c r="F714" i="4"/>
  <c r="E714" i="4"/>
  <c r="D714" i="4"/>
  <c r="C714" i="4"/>
  <c r="B714" i="4"/>
  <c r="N714" i="4" s="1"/>
  <c r="A714" i="4"/>
  <c r="R713" i="4"/>
  <c r="L713" i="4"/>
  <c r="K713" i="4"/>
  <c r="J713" i="4"/>
  <c r="I713" i="4"/>
  <c r="H713" i="4"/>
  <c r="G713" i="4"/>
  <c r="F713" i="4"/>
  <c r="E713" i="4"/>
  <c r="D713" i="4"/>
  <c r="C713" i="4"/>
  <c r="B713" i="4"/>
  <c r="M713" i="4" s="1"/>
  <c r="U713" i="4" s="1"/>
  <c r="V713" i="4" s="1"/>
  <c r="A713" i="4"/>
  <c r="R712" i="4"/>
  <c r="L712" i="4"/>
  <c r="K712" i="4"/>
  <c r="J712" i="4"/>
  <c r="I712" i="4"/>
  <c r="H712" i="4"/>
  <c r="G712" i="4"/>
  <c r="F712" i="4"/>
  <c r="E712" i="4"/>
  <c r="D712" i="4"/>
  <c r="C712" i="4"/>
  <c r="B712" i="4"/>
  <c r="N712" i="4" s="1"/>
  <c r="A712" i="4"/>
  <c r="R711" i="4"/>
  <c r="L711" i="4"/>
  <c r="K711" i="4"/>
  <c r="J711" i="4"/>
  <c r="I711" i="4"/>
  <c r="H711" i="4"/>
  <c r="G711" i="4"/>
  <c r="F711" i="4"/>
  <c r="E711" i="4"/>
  <c r="D711" i="4"/>
  <c r="C711" i="4"/>
  <c r="B711" i="4"/>
  <c r="N711" i="4" s="1"/>
  <c r="A711" i="4"/>
  <c r="R710" i="4"/>
  <c r="L710" i="4"/>
  <c r="K710" i="4"/>
  <c r="J710" i="4"/>
  <c r="I710" i="4"/>
  <c r="H710" i="4"/>
  <c r="G710" i="4"/>
  <c r="F710" i="4"/>
  <c r="E710" i="4"/>
  <c r="D710" i="4"/>
  <c r="C710" i="4"/>
  <c r="B710" i="4"/>
  <c r="M710" i="4" s="1"/>
  <c r="U710" i="4" s="1"/>
  <c r="V710" i="4" s="1"/>
  <c r="A710" i="4"/>
  <c r="R709" i="4"/>
  <c r="L709" i="4"/>
  <c r="K709" i="4"/>
  <c r="J709" i="4"/>
  <c r="I709" i="4"/>
  <c r="H709" i="4"/>
  <c r="G709" i="4"/>
  <c r="F709" i="4"/>
  <c r="E709" i="4"/>
  <c r="D709" i="4"/>
  <c r="C709" i="4"/>
  <c r="B709" i="4"/>
  <c r="N709" i="4" s="1"/>
  <c r="A709" i="4"/>
  <c r="R708" i="4"/>
  <c r="L708" i="4"/>
  <c r="K708" i="4"/>
  <c r="J708" i="4"/>
  <c r="I708" i="4"/>
  <c r="H708" i="4"/>
  <c r="G708" i="4"/>
  <c r="F708" i="4"/>
  <c r="E708" i="4"/>
  <c r="D708" i="4"/>
  <c r="C708" i="4"/>
  <c r="B708" i="4"/>
  <c r="N708" i="4" s="1"/>
  <c r="A708" i="4"/>
  <c r="R707" i="4"/>
  <c r="L707" i="4"/>
  <c r="K707" i="4"/>
  <c r="J707" i="4"/>
  <c r="I707" i="4"/>
  <c r="H707" i="4"/>
  <c r="G707" i="4"/>
  <c r="F707" i="4"/>
  <c r="E707" i="4"/>
  <c r="D707" i="4"/>
  <c r="C707" i="4"/>
  <c r="B707" i="4"/>
  <c r="A707" i="4"/>
  <c r="R706" i="4"/>
  <c r="L706" i="4"/>
  <c r="K706" i="4"/>
  <c r="J706" i="4"/>
  <c r="I706" i="4"/>
  <c r="H706" i="4"/>
  <c r="G706" i="4"/>
  <c r="F706" i="4"/>
  <c r="E706" i="4"/>
  <c r="D706" i="4"/>
  <c r="C706" i="4"/>
  <c r="B706" i="4"/>
  <c r="M706" i="4" s="1"/>
  <c r="A706" i="4"/>
  <c r="R705" i="4"/>
  <c r="N705" i="4"/>
  <c r="L705" i="4"/>
  <c r="K705" i="4"/>
  <c r="J705" i="4"/>
  <c r="I705" i="4"/>
  <c r="H705" i="4"/>
  <c r="G705" i="4"/>
  <c r="F705" i="4"/>
  <c r="E705" i="4"/>
  <c r="D705" i="4"/>
  <c r="C705" i="4"/>
  <c r="B705" i="4"/>
  <c r="M705" i="4" s="1"/>
  <c r="A705" i="4"/>
  <c r="R704" i="4"/>
  <c r="N704" i="4"/>
  <c r="L704" i="4"/>
  <c r="K704" i="4"/>
  <c r="J704" i="4"/>
  <c r="I704" i="4"/>
  <c r="H704" i="4"/>
  <c r="G704" i="4"/>
  <c r="F704" i="4"/>
  <c r="E704" i="4"/>
  <c r="D704" i="4"/>
  <c r="C704" i="4"/>
  <c r="B704" i="4"/>
  <c r="M704" i="4" s="1"/>
  <c r="U704" i="4" s="1"/>
  <c r="V704" i="4" s="1"/>
  <c r="A704" i="4"/>
  <c r="R703" i="4"/>
  <c r="L703" i="4"/>
  <c r="K703" i="4"/>
  <c r="J703" i="4"/>
  <c r="I703" i="4"/>
  <c r="H703" i="4"/>
  <c r="G703" i="4"/>
  <c r="F703" i="4"/>
  <c r="E703" i="4"/>
  <c r="D703" i="4"/>
  <c r="C703" i="4"/>
  <c r="B703" i="4"/>
  <c r="A703" i="4"/>
  <c r="R702" i="4"/>
  <c r="N702" i="4"/>
  <c r="L702" i="4"/>
  <c r="K702" i="4"/>
  <c r="J702" i="4"/>
  <c r="I702" i="4"/>
  <c r="H702" i="4"/>
  <c r="G702" i="4"/>
  <c r="F702" i="4"/>
  <c r="E702" i="4"/>
  <c r="D702" i="4"/>
  <c r="C702" i="4"/>
  <c r="B702" i="4"/>
  <c r="M702" i="4" s="1"/>
  <c r="A702" i="4"/>
  <c r="R701" i="4"/>
  <c r="L701" i="4"/>
  <c r="K701" i="4"/>
  <c r="J701" i="4"/>
  <c r="I701" i="4"/>
  <c r="H701" i="4"/>
  <c r="G701" i="4"/>
  <c r="F701" i="4"/>
  <c r="E701" i="4"/>
  <c r="D701" i="4"/>
  <c r="C701" i="4"/>
  <c r="B701" i="4"/>
  <c r="M701" i="4" s="1"/>
  <c r="A701" i="4"/>
  <c r="R700" i="4"/>
  <c r="L700" i="4"/>
  <c r="K700" i="4"/>
  <c r="J700" i="4"/>
  <c r="I700" i="4"/>
  <c r="H700" i="4"/>
  <c r="G700" i="4"/>
  <c r="F700" i="4"/>
  <c r="E700" i="4"/>
  <c r="D700" i="4"/>
  <c r="C700" i="4"/>
  <c r="B700" i="4"/>
  <c r="M700" i="4" s="1"/>
  <c r="U700" i="4" s="1"/>
  <c r="V700" i="4" s="1"/>
  <c r="A700" i="4"/>
  <c r="R699" i="4"/>
  <c r="N699" i="4"/>
  <c r="L699" i="4"/>
  <c r="K699" i="4"/>
  <c r="J699" i="4"/>
  <c r="I699" i="4"/>
  <c r="H699" i="4"/>
  <c r="G699" i="4"/>
  <c r="F699" i="4"/>
  <c r="E699" i="4"/>
  <c r="D699" i="4"/>
  <c r="C699" i="4"/>
  <c r="B699" i="4"/>
  <c r="M699" i="4" s="1"/>
  <c r="U699" i="4" s="1"/>
  <c r="V699" i="4" s="1"/>
  <c r="A699" i="4"/>
  <c r="R698" i="4"/>
  <c r="N698" i="4"/>
  <c r="L698" i="4"/>
  <c r="K698" i="4"/>
  <c r="J698" i="4"/>
  <c r="I698" i="4"/>
  <c r="H698" i="4"/>
  <c r="G698" i="4"/>
  <c r="F698" i="4"/>
  <c r="E698" i="4"/>
  <c r="D698" i="4"/>
  <c r="C698" i="4"/>
  <c r="B698" i="4"/>
  <c r="M698" i="4" s="1"/>
  <c r="U698" i="4" s="1"/>
  <c r="V698" i="4" s="1"/>
  <c r="A698" i="4"/>
  <c r="R697" i="4"/>
  <c r="L697" i="4"/>
  <c r="K697" i="4"/>
  <c r="J697" i="4"/>
  <c r="I697" i="4"/>
  <c r="H697" i="4"/>
  <c r="G697" i="4"/>
  <c r="F697" i="4"/>
  <c r="E697" i="4"/>
  <c r="D697" i="4"/>
  <c r="C697" i="4"/>
  <c r="B697" i="4"/>
  <c r="A697" i="4"/>
  <c r="R696" i="4"/>
  <c r="N696" i="4"/>
  <c r="L696" i="4"/>
  <c r="K696" i="4"/>
  <c r="J696" i="4"/>
  <c r="I696" i="4"/>
  <c r="H696" i="4"/>
  <c r="G696" i="4"/>
  <c r="F696" i="4"/>
  <c r="E696" i="4"/>
  <c r="D696" i="4"/>
  <c r="C696" i="4"/>
  <c r="B696" i="4"/>
  <c r="M696" i="4" s="1"/>
  <c r="A696" i="4"/>
  <c r="R695" i="4"/>
  <c r="L695" i="4"/>
  <c r="K695" i="4"/>
  <c r="J695" i="4"/>
  <c r="I695" i="4"/>
  <c r="H695" i="4"/>
  <c r="G695" i="4"/>
  <c r="F695" i="4"/>
  <c r="E695" i="4"/>
  <c r="D695" i="4"/>
  <c r="C695" i="4"/>
  <c r="B695" i="4"/>
  <c r="M695" i="4" s="1"/>
  <c r="A695" i="4"/>
  <c r="R694" i="4"/>
  <c r="L694" i="4"/>
  <c r="K694" i="4"/>
  <c r="J694" i="4"/>
  <c r="I694" i="4"/>
  <c r="H694" i="4"/>
  <c r="G694" i="4"/>
  <c r="F694" i="4"/>
  <c r="E694" i="4"/>
  <c r="D694" i="4"/>
  <c r="C694" i="4"/>
  <c r="B694" i="4"/>
  <c r="M694" i="4" s="1"/>
  <c r="A694" i="4"/>
  <c r="R693" i="4"/>
  <c r="N693" i="4"/>
  <c r="L693" i="4"/>
  <c r="K693" i="4"/>
  <c r="J693" i="4"/>
  <c r="I693" i="4"/>
  <c r="H693" i="4"/>
  <c r="G693" i="4"/>
  <c r="F693" i="4"/>
  <c r="E693" i="4"/>
  <c r="D693" i="4"/>
  <c r="C693" i="4"/>
  <c r="B693" i="4"/>
  <c r="M693" i="4" s="1"/>
  <c r="U693" i="4" s="1"/>
  <c r="V693" i="4" s="1"/>
  <c r="A693" i="4"/>
  <c r="M692" i="4"/>
  <c r="L692" i="4"/>
  <c r="K692" i="4"/>
  <c r="J692" i="4"/>
  <c r="I692" i="4"/>
  <c r="H692" i="4"/>
  <c r="G692" i="4"/>
  <c r="R692" i="4" s="1"/>
  <c r="F692" i="4"/>
  <c r="E692" i="4"/>
  <c r="D692" i="4"/>
  <c r="C692" i="4"/>
  <c r="B692" i="4"/>
  <c r="N692" i="4" s="1"/>
  <c r="A692" i="4"/>
  <c r="R691" i="4"/>
  <c r="L691" i="4"/>
  <c r="K691" i="4"/>
  <c r="J691" i="4"/>
  <c r="I691" i="4"/>
  <c r="H691" i="4"/>
  <c r="G691" i="4"/>
  <c r="F691" i="4"/>
  <c r="E691" i="4"/>
  <c r="D691" i="4"/>
  <c r="C691" i="4"/>
  <c r="B691" i="4"/>
  <c r="M691" i="4" s="1"/>
  <c r="A691" i="4"/>
  <c r="M690" i="4"/>
  <c r="U690" i="4" s="1"/>
  <c r="V690" i="4" s="1"/>
  <c r="L690" i="4"/>
  <c r="K690" i="4"/>
  <c r="J690" i="4"/>
  <c r="I690" i="4"/>
  <c r="H690" i="4"/>
  <c r="G690" i="4"/>
  <c r="R690" i="4" s="1"/>
  <c r="F690" i="4"/>
  <c r="E690" i="4"/>
  <c r="D690" i="4"/>
  <c r="C690" i="4"/>
  <c r="B690" i="4"/>
  <c r="N690" i="4" s="1"/>
  <c r="O690" i="4" s="1"/>
  <c r="A690" i="4"/>
  <c r="R689" i="4"/>
  <c r="L689" i="4"/>
  <c r="K689" i="4"/>
  <c r="J689" i="4"/>
  <c r="I689" i="4"/>
  <c r="H689" i="4"/>
  <c r="G689" i="4"/>
  <c r="F689" i="4"/>
  <c r="E689" i="4"/>
  <c r="D689" i="4"/>
  <c r="C689" i="4"/>
  <c r="B689" i="4"/>
  <c r="N689" i="4" s="1"/>
  <c r="A689" i="4"/>
  <c r="R688" i="4"/>
  <c r="N688" i="4"/>
  <c r="L688" i="4"/>
  <c r="K688" i="4"/>
  <c r="J688" i="4"/>
  <c r="I688" i="4"/>
  <c r="H688" i="4"/>
  <c r="G688" i="4"/>
  <c r="F688" i="4"/>
  <c r="E688" i="4"/>
  <c r="D688" i="4"/>
  <c r="C688" i="4"/>
  <c r="B688" i="4"/>
  <c r="M688" i="4" s="1"/>
  <c r="U688" i="4" s="1"/>
  <c r="V688" i="4" s="1"/>
  <c r="A688" i="4"/>
  <c r="M687" i="4"/>
  <c r="U687" i="4" s="1"/>
  <c r="V687" i="4" s="1"/>
  <c r="L687" i="4"/>
  <c r="K687" i="4"/>
  <c r="J687" i="4"/>
  <c r="I687" i="4"/>
  <c r="H687" i="4"/>
  <c r="G687" i="4"/>
  <c r="R687" i="4" s="1"/>
  <c r="F687" i="4"/>
  <c r="E687" i="4"/>
  <c r="D687" i="4"/>
  <c r="C687" i="4"/>
  <c r="B687" i="4"/>
  <c r="N687" i="4" s="1"/>
  <c r="A687" i="4"/>
  <c r="R686" i="4"/>
  <c r="L686" i="4"/>
  <c r="K686" i="4"/>
  <c r="J686" i="4"/>
  <c r="I686" i="4"/>
  <c r="H686" i="4"/>
  <c r="G686" i="4"/>
  <c r="F686" i="4"/>
  <c r="E686" i="4"/>
  <c r="D686" i="4"/>
  <c r="C686" i="4"/>
  <c r="B686" i="4"/>
  <c r="N686" i="4" s="1"/>
  <c r="A686" i="4"/>
  <c r="R685" i="4"/>
  <c r="L685" i="4"/>
  <c r="K685" i="4"/>
  <c r="J685" i="4"/>
  <c r="I685" i="4"/>
  <c r="H685" i="4"/>
  <c r="G685" i="4"/>
  <c r="F685" i="4"/>
  <c r="E685" i="4"/>
  <c r="D685" i="4"/>
  <c r="C685" i="4"/>
  <c r="B685" i="4"/>
  <c r="A685" i="4"/>
  <c r="R684" i="4"/>
  <c r="L684" i="4"/>
  <c r="K684" i="4"/>
  <c r="J684" i="4"/>
  <c r="I684" i="4"/>
  <c r="H684" i="4"/>
  <c r="G684" i="4"/>
  <c r="F684" i="4"/>
  <c r="E684" i="4"/>
  <c r="D684" i="4"/>
  <c r="C684" i="4"/>
  <c r="B684" i="4"/>
  <c r="N684" i="4" s="1"/>
  <c r="A684" i="4"/>
  <c r="M683" i="4"/>
  <c r="L683" i="4"/>
  <c r="K683" i="4"/>
  <c r="J683" i="4"/>
  <c r="I683" i="4"/>
  <c r="H683" i="4"/>
  <c r="G683" i="4"/>
  <c r="R683" i="4" s="1"/>
  <c r="F683" i="4"/>
  <c r="E683" i="4"/>
  <c r="D683" i="4"/>
  <c r="C683" i="4"/>
  <c r="B683" i="4"/>
  <c r="N683" i="4" s="1"/>
  <c r="A683" i="4"/>
  <c r="R682" i="4"/>
  <c r="N682" i="4"/>
  <c r="L682" i="4"/>
  <c r="K682" i="4"/>
  <c r="J682" i="4"/>
  <c r="I682" i="4"/>
  <c r="H682" i="4"/>
  <c r="G682" i="4"/>
  <c r="F682" i="4"/>
  <c r="E682" i="4"/>
  <c r="D682" i="4"/>
  <c r="C682" i="4"/>
  <c r="B682" i="4"/>
  <c r="M682" i="4" s="1"/>
  <c r="A682" i="4"/>
  <c r="R681" i="4"/>
  <c r="L681" i="4"/>
  <c r="K681" i="4"/>
  <c r="J681" i="4"/>
  <c r="I681" i="4"/>
  <c r="H681" i="4"/>
  <c r="G681" i="4"/>
  <c r="F681" i="4"/>
  <c r="E681" i="4"/>
  <c r="D681" i="4"/>
  <c r="C681" i="4"/>
  <c r="B681" i="4"/>
  <c r="N681" i="4" s="1"/>
  <c r="A681" i="4"/>
  <c r="R680" i="4"/>
  <c r="L680" i="4"/>
  <c r="K680" i="4"/>
  <c r="J680" i="4"/>
  <c r="I680" i="4"/>
  <c r="H680" i="4"/>
  <c r="G680" i="4"/>
  <c r="F680" i="4"/>
  <c r="E680" i="4"/>
  <c r="D680" i="4"/>
  <c r="C680" i="4"/>
  <c r="B680" i="4"/>
  <c r="M680" i="4" s="1"/>
  <c r="U680" i="4" s="1"/>
  <c r="V680" i="4" s="1"/>
  <c r="A680" i="4"/>
  <c r="R679" i="4"/>
  <c r="N679" i="4"/>
  <c r="O679" i="4" s="1"/>
  <c r="L679" i="4"/>
  <c r="K679" i="4"/>
  <c r="J679" i="4"/>
  <c r="I679" i="4"/>
  <c r="H679" i="4"/>
  <c r="G679" i="4"/>
  <c r="F679" i="4"/>
  <c r="E679" i="4"/>
  <c r="D679" i="4"/>
  <c r="C679" i="4"/>
  <c r="B679" i="4"/>
  <c r="M679" i="4" s="1"/>
  <c r="A679" i="4"/>
  <c r="M678" i="4"/>
  <c r="U678" i="4" s="1"/>
  <c r="V678" i="4" s="1"/>
  <c r="L678" i="4"/>
  <c r="K678" i="4"/>
  <c r="J678" i="4"/>
  <c r="I678" i="4"/>
  <c r="H678" i="4"/>
  <c r="G678" i="4"/>
  <c r="R678" i="4" s="1"/>
  <c r="F678" i="4"/>
  <c r="E678" i="4"/>
  <c r="D678" i="4"/>
  <c r="C678" i="4"/>
  <c r="B678" i="4"/>
  <c r="N678" i="4" s="1"/>
  <c r="A678" i="4"/>
  <c r="M677" i="4"/>
  <c r="L677" i="4"/>
  <c r="K677" i="4"/>
  <c r="J677" i="4"/>
  <c r="I677" i="4"/>
  <c r="H677" i="4"/>
  <c r="G677" i="4"/>
  <c r="R677" i="4" s="1"/>
  <c r="F677" i="4"/>
  <c r="E677" i="4"/>
  <c r="D677" i="4"/>
  <c r="C677" i="4"/>
  <c r="B677" i="4"/>
  <c r="N677" i="4" s="1"/>
  <c r="A677" i="4"/>
  <c r="M676" i="4"/>
  <c r="U676" i="4" s="1"/>
  <c r="V676" i="4" s="1"/>
  <c r="L676" i="4"/>
  <c r="K676" i="4"/>
  <c r="J676" i="4"/>
  <c r="I676" i="4"/>
  <c r="H676" i="4"/>
  <c r="G676" i="4"/>
  <c r="R676" i="4" s="1"/>
  <c r="F676" i="4"/>
  <c r="E676" i="4"/>
  <c r="D676" i="4"/>
  <c r="C676" i="4"/>
  <c r="B676" i="4"/>
  <c r="N676" i="4" s="1"/>
  <c r="A676" i="4"/>
  <c r="N675" i="4"/>
  <c r="L675" i="4"/>
  <c r="K675" i="4"/>
  <c r="J675" i="4"/>
  <c r="I675" i="4"/>
  <c r="H675" i="4"/>
  <c r="G675" i="4"/>
  <c r="R675" i="4" s="1"/>
  <c r="F675" i="4"/>
  <c r="E675" i="4"/>
  <c r="D675" i="4"/>
  <c r="C675" i="4"/>
  <c r="B675" i="4"/>
  <c r="M675" i="4" s="1"/>
  <c r="U675" i="4" s="1"/>
  <c r="V675" i="4" s="1"/>
  <c r="A675" i="4"/>
  <c r="R674" i="4"/>
  <c r="M674" i="4"/>
  <c r="U674" i="4" s="1"/>
  <c r="V674" i="4" s="1"/>
  <c r="L674" i="4"/>
  <c r="K674" i="4"/>
  <c r="J674" i="4"/>
  <c r="I674" i="4"/>
  <c r="H674" i="4"/>
  <c r="G674" i="4"/>
  <c r="F674" i="4"/>
  <c r="E674" i="4"/>
  <c r="D674" i="4"/>
  <c r="C674" i="4"/>
  <c r="B674" i="4"/>
  <c r="N674" i="4" s="1"/>
  <c r="A674" i="4"/>
  <c r="M673" i="4"/>
  <c r="L673" i="4"/>
  <c r="K673" i="4"/>
  <c r="J673" i="4"/>
  <c r="I673" i="4"/>
  <c r="H673" i="4"/>
  <c r="G673" i="4"/>
  <c r="R673" i="4" s="1"/>
  <c r="F673" i="4"/>
  <c r="E673" i="4"/>
  <c r="D673" i="4"/>
  <c r="C673" i="4"/>
  <c r="B673" i="4"/>
  <c r="N673" i="4" s="1"/>
  <c r="A673" i="4"/>
  <c r="L672" i="4"/>
  <c r="K672" i="4"/>
  <c r="J672" i="4"/>
  <c r="I672" i="4"/>
  <c r="H672" i="4"/>
  <c r="G672" i="4"/>
  <c r="R672" i="4" s="1"/>
  <c r="F672" i="4"/>
  <c r="E672" i="4"/>
  <c r="D672" i="4"/>
  <c r="C672" i="4"/>
  <c r="B672" i="4"/>
  <c r="M672" i="4" s="1"/>
  <c r="A672" i="4"/>
  <c r="R671" i="4"/>
  <c r="M671" i="4"/>
  <c r="U671" i="4" s="1"/>
  <c r="V671" i="4" s="1"/>
  <c r="L671" i="4"/>
  <c r="K671" i="4"/>
  <c r="J671" i="4"/>
  <c r="I671" i="4"/>
  <c r="H671" i="4"/>
  <c r="G671" i="4"/>
  <c r="F671" i="4"/>
  <c r="E671" i="4"/>
  <c r="D671" i="4"/>
  <c r="C671" i="4"/>
  <c r="B671" i="4"/>
  <c r="N671" i="4" s="1"/>
  <c r="O671" i="4" s="1"/>
  <c r="A671" i="4"/>
  <c r="M670" i="4"/>
  <c r="U670" i="4" s="1"/>
  <c r="V670" i="4" s="1"/>
  <c r="L670" i="4"/>
  <c r="K670" i="4"/>
  <c r="J670" i="4"/>
  <c r="I670" i="4"/>
  <c r="H670" i="4"/>
  <c r="G670" i="4"/>
  <c r="R670" i="4" s="1"/>
  <c r="F670" i="4"/>
  <c r="E670" i="4"/>
  <c r="D670" i="4"/>
  <c r="C670" i="4"/>
  <c r="B670" i="4"/>
  <c r="N670" i="4" s="1"/>
  <c r="A670" i="4"/>
  <c r="N669" i="4"/>
  <c r="L669" i="4"/>
  <c r="K669" i="4"/>
  <c r="J669" i="4"/>
  <c r="I669" i="4"/>
  <c r="H669" i="4"/>
  <c r="G669" i="4"/>
  <c r="R669" i="4" s="1"/>
  <c r="F669" i="4"/>
  <c r="E669" i="4"/>
  <c r="D669" i="4"/>
  <c r="C669" i="4"/>
  <c r="B669" i="4"/>
  <c r="M669" i="4" s="1"/>
  <c r="A669" i="4"/>
  <c r="R668" i="4"/>
  <c r="M668" i="4"/>
  <c r="U668" i="4" s="1"/>
  <c r="V668" i="4" s="1"/>
  <c r="L668" i="4"/>
  <c r="K668" i="4"/>
  <c r="J668" i="4"/>
  <c r="I668" i="4"/>
  <c r="H668" i="4"/>
  <c r="G668" i="4"/>
  <c r="F668" i="4"/>
  <c r="E668" i="4"/>
  <c r="D668" i="4"/>
  <c r="C668" i="4"/>
  <c r="B668" i="4"/>
  <c r="N668" i="4" s="1"/>
  <c r="A668" i="4"/>
  <c r="M667" i="4"/>
  <c r="L667" i="4"/>
  <c r="K667" i="4"/>
  <c r="J667" i="4"/>
  <c r="I667" i="4"/>
  <c r="H667" i="4"/>
  <c r="G667" i="4"/>
  <c r="R667" i="4" s="1"/>
  <c r="F667" i="4"/>
  <c r="E667" i="4"/>
  <c r="D667" i="4"/>
  <c r="C667" i="4"/>
  <c r="B667" i="4"/>
  <c r="N667" i="4" s="1"/>
  <c r="A667" i="4"/>
  <c r="L666" i="4"/>
  <c r="K666" i="4"/>
  <c r="J666" i="4"/>
  <c r="I666" i="4"/>
  <c r="H666" i="4"/>
  <c r="G666" i="4"/>
  <c r="R666" i="4" s="1"/>
  <c r="F666" i="4"/>
  <c r="E666" i="4"/>
  <c r="D666" i="4"/>
  <c r="C666" i="4"/>
  <c r="B666" i="4"/>
  <c r="A666" i="4"/>
  <c r="R665" i="4"/>
  <c r="M665" i="4"/>
  <c r="U665" i="4" s="1"/>
  <c r="V665" i="4" s="1"/>
  <c r="L665" i="4"/>
  <c r="K665" i="4"/>
  <c r="J665" i="4"/>
  <c r="I665" i="4"/>
  <c r="H665" i="4"/>
  <c r="G665" i="4"/>
  <c r="F665" i="4"/>
  <c r="E665" i="4"/>
  <c r="D665" i="4"/>
  <c r="C665" i="4"/>
  <c r="B665" i="4"/>
  <c r="N665" i="4" s="1"/>
  <c r="O665" i="4" s="1"/>
  <c r="A665" i="4"/>
  <c r="M664" i="4"/>
  <c r="L664" i="4"/>
  <c r="K664" i="4"/>
  <c r="J664" i="4"/>
  <c r="I664" i="4"/>
  <c r="H664" i="4"/>
  <c r="G664" i="4"/>
  <c r="R664" i="4" s="1"/>
  <c r="F664" i="4"/>
  <c r="E664" i="4"/>
  <c r="D664" i="4"/>
  <c r="C664" i="4"/>
  <c r="B664" i="4"/>
  <c r="N664" i="4" s="1"/>
  <c r="A664" i="4"/>
  <c r="N663" i="4"/>
  <c r="L663" i="4"/>
  <c r="K663" i="4"/>
  <c r="J663" i="4"/>
  <c r="I663" i="4"/>
  <c r="H663" i="4"/>
  <c r="G663" i="4"/>
  <c r="R663" i="4" s="1"/>
  <c r="F663" i="4"/>
  <c r="E663" i="4"/>
  <c r="D663" i="4"/>
  <c r="C663" i="4"/>
  <c r="B663" i="4"/>
  <c r="M663" i="4" s="1"/>
  <c r="A663" i="4"/>
  <c r="R662" i="4"/>
  <c r="M662" i="4"/>
  <c r="U662" i="4" s="1"/>
  <c r="V662" i="4" s="1"/>
  <c r="L662" i="4"/>
  <c r="K662" i="4"/>
  <c r="J662" i="4"/>
  <c r="I662" i="4"/>
  <c r="H662" i="4"/>
  <c r="G662" i="4"/>
  <c r="F662" i="4"/>
  <c r="E662" i="4"/>
  <c r="D662" i="4"/>
  <c r="C662" i="4"/>
  <c r="B662" i="4"/>
  <c r="N662" i="4" s="1"/>
  <c r="A662" i="4"/>
  <c r="M661" i="4"/>
  <c r="U661" i="4" s="1"/>
  <c r="V661" i="4" s="1"/>
  <c r="L661" i="4"/>
  <c r="K661" i="4"/>
  <c r="J661" i="4"/>
  <c r="I661" i="4"/>
  <c r="H661" i="4"/>
  <c r="G661" i="4"/>
  <c r="R661" i="4" s="1"/>
  <c r="F661" i="4"/>
  <c r="E661" i="4"/>
  <c r="D661" i="4"/>
  <c r="C661" i="4"/>
  <c r="B661" i="4"/>
  <c r="N661" i="4" s="1"/>
  <c r="A661" i="4"/>
  <c r="L660" i="4"/>
  <c r="K660" i="4"/>
  <c r="J660" i="4"/>
  <c r="I660" i="4"/>
  <c r="H660" i="4"/>
  <c r="G660" i="4"/>
  <c r="R660" i="4" s="1"/>
  <c r="F660" i="4"/>
  <c r="E660" i="4"/>
  <c r="D660" i="4"/>
  <c r="C660" i="4"/>
  <c r="B660" i="4"/>
  <c r="M660" i="4" s="1"/>
  <c r="U660" i="4" s="1"/>
  <c r="V660" i="4" s="1"/>
  <c r="A660" i="4"/>
  <c r="R659" i="4"/>
  <c r="M659" i="4"/>
  <c r="L659" i="4"/>
  <c r="K659" i="4"/>
  <c r="J659" i="4"/>
  <c r="I659" i="4"/>
  <c r="H659" i="4"/>
  <c r="G659" i="4"/>
  <c r="F659" i="4"/>
  <c r="E659" i="4"/>
  <c r="D659" i="4"/>
  <c r="C659" i="4"/>
  <c r="B659" i="4"/>
  <c r="N659" i="4" s="1"/>
  <c r="O659" i="4" s="1"/>
  <c r="A659" i="4"/>
  <c r="M658" i="4"/>
  <c r="U658" i="4" s="1"/>
  <c r="V658" i="4" s="1"/>
  <c r="L658" i="4"/>
  <c r="K658" i="4"/>
  <c r="J658" i="4"/>
  <c r="I658" i="4"/>
  <c r="H658" i="4"/>
  <c r="G658" i="4"/>
  <c r="R658" i="4" s="1"/>
  <c r="F658" i="4"/>
  <c r="E658" i="4"/>
  <c r="D658" i="4"/>
  <c r="C658" i="4"/>
  <c r="B658" i="4"/>
  <c r="N658" i="4" s="1"/>
  <c r="A658" i="4"/>
  <c r="N657" i="4"/>
  <c r="L657" i="4"/>
  <c r="K657" i="4"/>
  <c r="J657" i="4"/>
  <c r="I657" i="4"/>
  <c r="H657" i="4"/>
  <c r="G657" i="4"/>
  <c r="R657" i="4" s="1"/>
  <c r="F657" i="4"/>
  <c r="E657" i="4"/>
  <c r="D657" i="4"/>
  <c r="C657" i="4"/>
  <c r="B657" i="4"/>
  <c r="M657" i="4" s="1"/>
  <c r="U657" i="4" s="1"/>
  <c r="V657" i="4" s="1"/>
  <c r="A657" i="4"/>
  <c r="U656" i="4"/>
  <c r="V656" i="4" s="1"/>
  <c r="R656" i="4"/>
  <c r="M656" i="4"/>
  <c r="L656" i="4"/>
  <c r="K656" i="4"/>
  <c r="J656" i="4"/>
  <c r="I656" i="4"/>
  <c r="H656" i="4"/>
  <c r="G656" i="4"/>
  <c r="F656" i="4"/>
  <c r="E656" i="4"/>
  <c r="D656" i="4"/>
  <c r="C656" i="4"/>
  <c r="B656" i="4"/>
  <c r="N656" i="4" s="1"/>
  <c r="A656" i="4"/>
  <c r="M655" i="4"/>
  <c r="U655" i="4" s="1"/>
  <c r="V655" i="4" s="1"/>
  <c r="L655" i="4"/>
  <c r="K655" i="4"/>
  <c r="J655" i="4"/>
  <c r="I655" i="4"/>
  <c r="H655" i="4"/>
  <c r="G655" i="4"/>
  <c r="R655" i="4" s="1"/>
  <c r="F655" i="4"/>
  <c r="E655" i="4"/>
  <c r="D655" i="4"/>
  <c r="C655" i="4"/>
  <c r="B655" i="4"/>
  <c r="N655" i="4" s="1"/>
  <c r="A655" i="4"/>
  <c r="L654" i="4"/>
  <c r="K654" i="4"/>
  <c r="J654" i="4"/>
  <c r="I654" i="4"/>
  <c r="H654" i="4"/>
  <c r="G654" i="4"/>
  <c r="R654" i="4" s="1"/>
  <c r="F654" i="4"/>
  <c r="E654" i="4"/>
  <c r="D654" i="4"/>
  <c r="C654" i="4"/>
  <c r="B654" i="4"/>
  <c r="M654" i="4" s="1"/>
  <c r="U654" i="4" s="1"/>
  <c r="V654" i="4" s="1"/>
  <c r="A654" i="4"/>
  <c r="R653" i="4"/>
  <c r="M653" i="4"/>
  <c r="U653" i="4" s="1"/>
  <c r="V653" i="4" s="1"/>
  <c r="L653" i="4"/>
  <c r="K653" i="4"/>
  <c r="J653" i="4"/>
  <c r="I653" i="4"/>
  <c r="H653" i="4"/>
  <c r="G653" i="4"/>
  <c r="F653" i="4"/>
  <c r="E653" i="4"/>
  <c r="D653" i="4"/>
  <c r="C653" i="4"/>
  <c r="B653" i="4"/>
  <c r="N653" i="4" s="1"/>
  <c r="O653" i="4" s="1"/>
  <c r="A653" i="4"/>
  <c r="M652" i="4"/>
  <c r="U652" i="4" s="1"/>
  <c r="V652" i="4" s="1"/>
  <c r="L652" i="4"/>
  <c r="K652" i="4"/>
  <c r="J652" i="4"/>
  <c r="I652" i="4"/>
  <c r="H652" i="4"/>
  <c r="G652" i="4"/>
  <c r="R652" i="4" s="1"/>
  <c r="F652" i="4"/>
  <c r="E652" i="4"/>
  <c r="D652" i="4"/>
  <c r="C652" i="4"/>
  <c r="B652" i="4"/>
  <c r="N652" i="4" s="1"/>
  <c r="A652" i="4"/>
  <c r="N651" i="4"/>
  <c r="L651" i="4"/>
  <c r="K651" i="4"/>
  <c r="J651" i="4"/>
  <c r="I651" i="4"/>
  <c r="H651" i="4"/>
  <c r="G651" i="4"/>
  <c r="R651" i="4" s="1"/>
  <c r="F651" i="4"/>
  <c r="E651" i="4"/>
  <c r="D651" i="4"/>
  <c r="C651" i="4"/>
  <c r="B651" i="4"/>
  <c r="M651" i="4" s="1"/>
  <c r="U651" i="4" s="1"/>
  <c r="V651" i="4" s="1"/>
  <c r="A651" i="4"/>
  <c r="R650" i="4"/>
  <c r="M650" i="4"/>
  <c r="U650" i="4" s="1"/>
  <c r="V650" i="4" s="1"/>
  <c r="L650" i="4"/>
  <c r="K650" i="4"/>
  <c r="J650" i="4"/>
  <c r="I650" i="4"/>
  <c r="H650" i="4"/>
  <c r="G650" i="4"/>
  <c r="F650" i="4"/>
  <c r="E650" i="4"/>
  <c r="D650" i="4"/>
  <c r="C650" i="4"/>
  <c r="B650" i="4"/>
  <c r="N650" i="4" s="1"/>
  <c r="A650" i="4"/>
  <c r="M649" i="4"/>
  <c r="L649" i="4"/>
  <c r="K649" i="4"/>
  <c r="J649" i="4"/>
  <c r="I649" i="4"/>
  <c r="H649" i="4"/>
  <c r="G649" i="4"/>
  <c r="R649" i="4" s="1"/>
  <c r="F649" i="4"/>
  <c r="E649" i="4"/>
  <c r="D649" i="4"/>
  <c r="C649" i="4"/>
  <c r="B649" i="4"/>
  <c r="N649" i="4" s="1"/>
  <c r="A649" i="4"/>
  <c r="L648" i="4"/>
  <c r="K648" i="4"/>
  <c r="J648" i="4"/>
  <c r="I648" i="4"/>
  <c r="H648" i="4"/>
  <c r="G648" i="4"/>
  <c r="R648" i="4" s="1"/>
  <c r="F648" i="4"/>
  <c r="E648" i="4"/>
  <c r="D648" i="4"/>
  <c r="C648" i="4"/>
  <c r="B648" i="4"/>
  <c r="A648" i="4"/>
  <c r="R647" i="4"/>
  <c r="M647" i="4"/>
  <c r="U647" i="4" s="1"/>
  <c r="V647" i="4" s="1"/>
  <c r="L647" i="4"/>
  <c r="K647" i="4"/>
  <c r="J647" i="4"/>
  <c r="I647" i="4"/>
  <c r="H647" i="4"/>
  <c r="G647" i="4"/>
  <c r="F647" i="4"/>
  <c r="E647" i="4"/>
  <c r="D647" i="4"/>
  <c r="C647" i="4"/>
  <c r="B647" i="4"/>
  <c r="N647" i="4" s="1"/>
  <c r="O647" i="4" s="1"/>
  <c r="A647" i="4"/>
  <c r="M646" i="4"/>
  <c r="L646" i="4"/>
  <c r="K646" i="4"/>
  <c r="J646" i="4"/>
  <c r="I646" i="4"/>
  <c r="H646" i="4"/>
  <c r="G646" i="4"/>
  <c r="R646" i="4" s="1"/>
  <c r="F646" i="4"/>
  <c r="E646" i="4"/>
  <c r="D646" i="4"/>
  <c r="C646" i="4"/>
  <c r="B646" i="4"/>
  <c r="N646" i="4" s="1"/>
  <c r="A646" i="4"/>
  <c r="N645" i="4"/>
  <c r="L645" i="4"/>
  <c r="K645" i="4"/>
  <c r="J645" i="4"/>
  <c r="I645" i="4"/>
  <c r="H645" i="4"/>
  <c r="G645" i="4"/>
  <c r="R645" i="4" s="1"/>
  <c r="F645" i="4"/>
  <c r="E645" i="4"/>
  <c r="D645" i="4"/>
  <c r="C645" i="4"/>
  <c r="B645" i="4"/>
  <c r="M645" i="4" s="1"/>
  <c r="U645" i="4" s="1"/>
  <c r="V645" i="4" s="1"/>
  <c r="A645" i="4"/>
  <c r="R644" i="4"/>
  <c r="M644" i="4"/>
  <c r="U644" i="4" s="1"/>
  <c r="V644" i="4" s="1"/>
  <c r="L644" i="4"/>
  <c r="K644" i="4"/>
  <c r="J644" i="4"/>
  <c r="I644" i="4"/>
  <c r="H644" i="4"/>
  <c r="G644" i="4"/>
  <c r="F644" i="4"/>
  <c r="E644" i="4"/>
  <c r="D644" i="4"/>
  <c r="C644" i="4"/>
  <c r="B644" i="4"/>
  <c r="N644" i="4" s="1"/>
  <c r="A644" i="4"/>
  <c r="M643" i="4"/>
  <c r="L643" i="4"/>
  <c r="K643" i="4"/>
  <c r="J643" i="4"/>
  <c r="I643" i="4"/>
  <c r="H643" i="4"/>
  <c r="G643" i="4"/>
  <c r="R643" i="4" s="1"/>
  <c r="F643" i="4"/>
  <c r="E643" i="4"/>
  <c r="D643" i="4"/>
  <c r="C643" i="4"/>
  <c r="B643" i="4"/>
  <c r="N643" i="4" s="1"/>
  <c r="A643" i="4"/>
  <c r="L642" i="4"/>
  <c r="K642" i="4"/>
  <c r="J642" i="4"/>
  <c r="I642" i="4"/>
  <c r="H642" i="4"/>
  <c r="G642" i="4"/>
  <c r="R642" i="4" s="1"/>
  <c r="F642" i="4"/>
  <c r="E642" i="4"/>
  <c r="D642" i="4"/>
  <c r="C642" i="4"/>
  <c r="B642" i="4"/>
  <c r="M642" i="4" s="1"/>
  <c r="U642" i="4" s="1"/>
  <c r="V642" i="4" s="1"/>
  <c r="A642" i="4"/>
  <c r="R641" i="4"/>
  <c r="M641" i="4"/>
  <c r="L641" i="4"/>
  <c r="K641" i="4"/>
  <c r="J641" i="4"/>
  <c r="I641" i="4"/>
  <c r="H641" i="4"/>
  <c r="G641" i="4"/>
  <c r="F641" i="4"/>
  <c r="E641" i="4"/>
  <c r="D641" i="4"/>
  <c r="C641" i="4"/>
  <c r="B641" i="4"/>
  <c r="N641" i="4" s="1"/>
  <c r="O641" i="4" s="1"/>
  <c r="A641" i="4"/>
  <c r="M640" i="4"/>
  <c r="L640" i="4"/>
  <c r="K640" i="4"/>
  <c r="J640" i="4"/>
  <c r="I640" i="4"/>
  <c r="H640" i="4"/>
  <c r="G640" i="4"/>
  <c r="R640" i="4" s="1"/>
  <c r="F640" i="4"/>
  <c r="E640" i="4"/>
  <c r="D640" i="4"/>
  <c r="C640" i="4"/>
  <c r="B640" i="4"/>
  <c r="N640" i="4" s="1"/>
  <c r="A640" i="4"/>
  <c r="N639" i="4"/>
  <c r="L639" i="4"/>
  <c r="K639" i="4"/>
  <c r="J639" i="4"/>
  <c r="I639" i="4"/>
  <c r="H639" i="4"/>
  <c r="G639" i="4"/>
  <c r="R639" i="4" s="1"/>
  <c r="F639" i="4"/>
  <c r="E639" i="4"/>
  <c r="D639" i="4"/>
  <c r="C639" i="4"/>
  <c r="B639" i="4"/>
  <c r="M639" i="4" s="1"/>
  <c r="U639" i="4" s="1"/>
  <c r="V639" i="4" s="1"/>
  <c r="A639" i="4"/>
  <c r="U638" i="4"/>
  <c r="V638" i="4" s="1"/>
  <c r="R638" i="4"/>
  <c r="M638" i="4"/>
  <c r="L638" i="4"/>
  <c r="K638" i="4"/>
  <c r="J638" i="4"/>
  <c r="I638" i="4"/>
  <c r="H638" i="4"/>
  <c r="G638" i="4"/>
  <c r="F638" i="4"/>
  <c r="E638" i="4"/>
  <c r="D638" i="4"/>
  <c r="C638" i="4"/>
  <c r="B638" i="4"/>
  <c r="N638" i="4" s="1"/>
  <c r="A638" i="4"/>
  <c r="M637" i="4"/>
  <c r="L637" i="4"/>
  <c r="K637" i="4"/>
  <c r="J637" i="4"/>
  <c r="I637" i="4"/>
  <c r="H637" i="4"/>
  <c r="G637" i="4"/>
  <c r="R637" i="4" s="1"/>
  <c r="F637" i="4"/>
  <c r="E637" i="4"/>
  <c r="D637" i="4"/>
  <c r="C637" i="4"/>
  <c r="B637" i="4"/>
  <c r="N637" i="4" s="1"/>
  <c r="A637" i="4"/>
  <c r="N636" i="4"/>
  <c r="L636" i="4"/>
  <c r="K636" i="4"/>
  <c r="J636" i="4"/>
  <c r="I636" i="4"/>
  <c r="H636" i="4"/>
  <c r="G636" i="4"/>
  <c r="R636" i="4" s="1"/>
  <c r="F636" i="4"/>
  <c r="E636" i="4"/>
  <c r="D636" i="4"/>
  <c r="C636" i="4"/>
  <c r="B636" i="4"/>
  <c r="M636" i="4" s="1"/>
  <c r="A636" i="4"/>
  <c r="R635" i="4"/>
  <c r="M635" i="4"/>
  <c r="U635" i="4" s="1"/>
  <c r="V635" i="4" s="1"/>
  <c r="L635" i="4"/>
  <c r="K635" i="4"/>
  <c r="J635" i="4"/>
  <c r="I635" i="4"/>
  <c r="H635" i="4"/>
  <c r="G635" i="4"/>
  <c r="F635" i="4"/>
  <c r="E635" i="4"/>
  <c r="D635" i="4"/>
  <c r="C635" i="4"/>
  <c r="B635" i="4"/>
  <c r="N635" i="4" s="1"/>
  <c r="O635" i="4" s="1"/>
  <c r="A635" i="4"/>
  <c r="M634" i="4"/>
  <c r="L634" i="4"/>
  <c r="K634" i="4"/>
  <c r="J634" i="4"/>
  <c r="I634" i="4"/>
  <c r="H634" i="4"/>
  <c r="G634" i="4"/>
  <c r="R634" i="4" s="1"/>
  <c r="F634" i="4"/>
  <c r="E634" i="4"/>
  <c r="D634" i="4"/>
  <c r="C634" i="4"/>
  <c r="B634" i="4"/>
  <c r="N634" i="4" s="1"/>
  <c r="A634" i="4"/>
  <c r="L633" i="4"/>
  <c r="K633" i="4"/>
  <c r="J633" i="4"/>
  <c r="I633" i="4"/>
  <c r="H633" i="4"/>
  <c r="G633" i="4"/>
  <c r="R633" i="4" s="1"/>
  <c r="F633" i="4"/>
  <c r="E633" i="4"/>
  <c r="D633" i="4"/>
  <c r="C633" i="4"/>
  <c r="B633" i="4"/>
  <c r="M633" i="4" s="1"/>
  <c r="A633" i="4"/>
  <c r="R632" i="4"/>
  <c r="M632" i="4"/>
  <c r="L632" i="4"/>
  <c r="K632" i="4"/>
  <c r="J632" i="4"/>
  <c r="I632" i="4"/>
  <c r="H632" i="4"/>
  <c r="G632" i="4"/>
  <c r="F632" i="4"/>
  <c r="E632" i="4"/>
  <c r="D632" i="4"/>
  <c r="C632" i="4"/>
  <c r="B632" i="4"/>
  <c r="N632" i="4" s="1"/>
  <c r="A632" i="4"/>
  <c r="M631" i="4"/>
  <c r="L631" i="4"/>
  <c r="K631" i="4"/>
  <c r="J631" i="4"/>
  <c r="I631" i="4"/>
  <c r="H631" i="4"/>
  <c r="G631" i="4"/>
  <c r="R631" i="4" s="1"/>
  <c r="F631" i="4"/>
  <c r="E631" i="4"/>
  <c r="D631" i="4"/>
  <c r="C631" i="4"/>
  <c r="B631" i="4"/>
  <c r="N631" i="4" s="1"/>
  <c r="A631" i="4"/>
  <c r="N630" i="4"/>
  <c r="L630" i="4"/>
  <c r="K630" i="4"/>
  <c r="J630" i="4"/>
  <c r="I630" i="4"/>
  <c r="H630" i="4"/>
  <c r="G630" i="4"/>
  <c r="R630" i="4" s="1"/>
  <c r="F630" i="4"/>
  <c r="E630" i="4"/>
  <c r="D630" i="4"/>
  <c r="C630" i="4"/>
  <c r="B630" i="4"/>
  <c r="M630" i="4" s="1"/>
  <c r="A630" i="4"/>
  <c r="M629" i="4"/>
  <c r="U629" i="4" s="1"/>
  <c r="V629" i="4" s="1"/>
  <c r="L629" i="4"/>
  <c r="K629" i="4"/>
  <c r="J629" i="4"/>
  <c r="I629" i="4"/>
  <c r="H629" i="4"/>
  <c r="G629" i="4"/>
  <c r="R629" i="4" s="1"/>
  <c r="F629" i="4"/>
  <c r="E629" i="4"/>
  <c r="D629" i="4"/>
  <c r="C629" i="4"/>
  <c r="B629" i="4"/>
  <c r="N629" i="4" s="1"/>
  <c r="A629" i="4"/>
  <c r="R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N628" i="4" s="1"/>
  <c r="A628" i="4"/>
  <c r="L627" i="4"/>
  <c r="K627" i="4"/>
  <c r="J627" i="4"/>
  <c r="I627" i="4"/>
  <c r="H627" i="4"/>
  <c r="G627" i="4"/>
  <c r="R627" i="4" s="1"/>
  <c r="F627" i="4"/>
  <c r="E627" i="4"/>
  <c r="D627" i="4"/>
  <c r="C627" i="4"/>
  <c r="B627" i="4"/>
  <c r="N627" i="4" s="1"/>
  <c r="A627" i="4"/>
  <c r="R626" i="4"/>
  <c r="L626" i="4"/>
  <c r="K626" i="4"/>
  <c r="J626" i="4"/>
  <c r="I626" i="4"/>
  <c r="H626" i="4"/>
  <c r="G626" i="4"/>
  <c r="F626" i="4"/>
  <c r="E626" i="4"/>
  <c r="D626" i="4"/>
  <c r="C626" i="4"/>
  <c r="B626" i="4"/>
  <c r="M626" i="4" s="1"/>
  <c r="A626" i="4"/>
  <c r="M625" i="4"/>
  <c r="L625" i="4"/>
  <c r="K625" i="4"/>
  <c r="J625" i="4"/>
  <c r="I625" i="4"/>
  <c r="H625" i="4"/>
  <c r="G625" i="4"/>
  <c r="R625" i="4" s="1"/>
  <c r="F625" i="4"/>
  <c r="E625" i="4"/>
  <c r="D625" i="4"/>
  <c r="C625" i="4"/>
  <c r="B625" i="4"/>
  <c r="N625" i="4" s="1"/>
  <c r="O625" i="4" s="1"/>
  <c r="A625" i="4"/>
  <c r="R624" i="4"/>
  <c r="N624" i="4"/>
  <c r="L624" i="4"/>
  <c r="K624" i="4"/>
  <c r="J624" i="4"/>
  <c r="I624" i="4"/>
  <c r="H624" i="4"/>
  <c r="G624" i="4"/>
  <c r="F624" i="4"/>
  <c r="E624" i="4"/>
  <c r="D624" i="4"/>
  <c r="C624" i="4"/>
  <c r="B624" i="4"/>
  <c r="M624" i="4" s="1"/>
  <c r="A624" i="4"/>
  <c r="R623" i="4"/>
  <c r="L623" i="4"/>
  <c r="K623" i="4"/>
  <c r="J623" i="4"/>
  <c r="I623" i="4"/>
  <c r="H623" i="4"/>
  <c r="G623" i="4"/>
  <c r="F623" i="4"/>
  <c r="E623" i="4"/>
  <c r="D623" i="4"/>
  <c r="C623" i="4"/>
  <c r="B623" i="4"/>
  <c r="N623" i="4" s="1"/>
  <c r="A623" i="4"/>
  <c r="R622" i="4"/>
  <c r="L622" i="4"/>
  <c r="K622" i="4"/>
  <c r="J622" i="4"/>
  <c r="I622" i="4"/>
  <c r="H622" i="4"/>
  <c r="G622" i="4"/>
  <c r="F622" i="4"/>
  <c r="E622" i="4"/>
  <c r="D622" i="4"/>
  <c r="C622" i="4"/>
  <c r="B622" i="4"/>
  <c r="N622" i="4" s="1"/>
  <c r="A622" i="4"/>
  <c r="R621" i="4"/>
  <c r="L621" i="4"/>
  <c r="K621" i="4"/>
  <c r="J621" i="4"/>
  <c r="I621" i="4"/>
  <c r="H621" i="4"/>
  <c r="G621" i="4"/>
  <c r="F621" i="4"/>
  <c r="E621" i="4"/>
  <c r="D621" i="4"/>
  <c r="C621" i="4"/>
  <c r="B621" i="4"/>
  <c r="M621" i="4" s="1"/>
  <c r="A621" i="4"/>
  <c r="R620" i="4"/>
  <c r="L620" i="4"/>
  <c r="K620" i="4"/>
  <c r="J620" i="4"/>
  <c r="I620" i="4"/>
  <c r="H620" i="4"/>
  <c r="G620" i="4"/>
  <c r="F620" i="4"/>
  <c r="E620" i="4"/>
  <c r="D620" i="4"/>
  <c r="C620" i="4"/>
  <c r="B620" i="4"/>
  <c r="N620" i="4" s="1"/>
  <c r="A620" i="4"/>
  <c r="R619" i="4"/>
  <c r="L619" i="4"/>
  <c r="K619" i="4"/>
  <c r="J619" i="4"/>
  <c r="I619" i="4"/>
  <c r="H619" i="4"/>
  <c r="G619" i="4"/>
  <c r="F619" i="4"/>
  <c r="E619" i="4"/>
  <c r="D619" i="4"/>
  <c r="C619" i="4"/>
  <c r="B619" i="4"/>
  <c r="N619" i="4" s="1"/>
  <c r="A619" i="4"/>
  <c r="R618" i="4"/>
  <c r="N618" i="4"/>
  <c r="L618" i="4"/>
  <c r="K618" i="4"/>
  <c r="J618" i="4"/>
  <c r="I618" i="4"/>
  <c r="H618" i="4"/>
  <c r="G618" i="4"/>
  <c r="F618" i="4"/>
  <c r="E618" i="4"/>
  <c r="D618" i="4"/>
  <c r="C618" i="4"/>
  <c r="B618" i="4"/>
  <c r="M618" i="4" s="1"/>
  <c r="U618" i="4" s="1"/>
  <c r="V618" i="4" s="1"/>
  <c r="A618" i="4"/>
  <c r="R617" i="4"/>
  <c r="L617" i="4"/>
  <c r="K617" i="4"/>
  <c r="J617" i="4"/>
  <c r="I617" i="4"/>
  <c r="H617" i="4"/>
  <c r="G617" i="4"/>
  <c r="F617" i="4"/>
  <c r="E617" i="4"/>
  <c r="D617" i="4"/>
  <c r="C617" i="4"/>
  <c r="B617" i="4"/>
  <c r="N617" i="4" s="1"/>
  <c r="A617" i="4"/>
  <c r="R616" i="4"/>
  <c r="L616" i="4"/>
  <c r="K616" i="4"/>
  <c r="J616" i="4"/>
  <c r="I616" i="4"/>
  <c r="H616" i="4"/>
  <c r="G616" i="4"/>
  <c r="F616" i="4"/>
  <c r="E616" i="4"/>
  <c r="D616" i="4"/>
  <c r="C616" i="4"/>
  <c r="B616" i="4"/>
  <c r="N616" i="4" s="1"/>
  <c r="A616" i="4"/>
  <c r="R615" i="4"/>
  <c r="L615" i="4"/>
  <c r="K615" i="4"/>
  <c r="J615" i="4"/>
  <c r="I615" i="4"/>
  <c r="H615" i="4"/>
  <c r="G615" i="4"/>
  <c r="F615" i="4"/>
  <c r="E615" i="4"/>
  <c r="D615" i="4"/>
  <c r="C615" i="4"/>
  <c r="B615" i="4"/>
  <c r="M615" i="4" s="1"/>
  <c r="U615" i="4" s="1"/>
  <c r="V615" i="4" s="1"/>
  <c r="A615" i="4"/>
  <c r="R614" i="4"/>
  <c r="L614" i="4"/>
  <c r="K614" i="4"/>
  <c r="J614" i="4"/>
  <c r="I614" i="4"/>
  <c r="H614" i="4"/>
  <c r="G614" i="4"/>
  <c r="F614" i="4"/>
  <c r="E614" i="4"/>
  <c r="D614" i="4"/>
  <c r="C614" i="4"/>
  <c r="B614" i="4"/>
  <c r="N614" i="4" s="1"/>
  <c r="A614" i="4"/>
  <c r="R613" i="4"/>
  <c r="L613" i="4"/>
  <c r="K613" i="4"/>
  <c r="J613" i="4"/>
  <c r="I613" i="4"/>
  <c r="H613" i="4"/>
  <c r="G613" i="4"/>
  <c r="F613" i="4"/>
  <c r="E613" i="4"/>
  <c r="D613" i="4"/>
  <c r="C613" i="4"/>
  <c r="B613" i="4"/>
  <c r="N613" i="4" s="1"/>
  <c r="A613" i="4"/>
  <c r="R612" i="4"/>
  <c r="N612" i="4"/>
  <c r="L612" i="4"/>
  <c r="K612" i="4"/>
  <c r="J612" i="4"/>
  <c r="I612" i="4"/>
  <c r="H612" i="4"/>
  <c r="G612" i="4"/>
  <c r="F612" i="4"/>
  <c r="E612" i="4"/>
  <c r="D612" i="4"/>
  <c r="C612" i="4"/>
  <c r="B612" i="4"/>
  <c r="M612" i="4" s="1"/>
  <c r="U612" i="4" s="1"/>
  <c r="V612" i="4" s="1"/>
  <c r="A612" i="4"/>
  <c r="R611" i="4"/>
  <c r="L611" i="4"/>
  <c r="K611" i="4"/>
  <c r="J611" i="4"/>
  <c r="I611" i="4"/>
  <c r="H611" i="4"/>
  <c r="G611" i="4"/>
  <c r="F611" i="4"/>
  <c r="E611" i="4"/>
  <c r="D611" i="4"/>
  <c r="C611" i="4"/>
  <c r="B611" i="4"/>
  <c r="N611" i="4" s="1"/>
  <c r="A611" i="4"/>
  <c r="R610" i="4"/>
  <c r="L610" i="4"/>
  <c r="K610" i="4"/>
  <c r="J610" i="4"/>
  <c r="I610" i="4"/>
  <c r="H610" i="4"/>
  <c r="G610" i="4"/>
  <c r="F610" i="4"/>
  <c r="E610" i="4"/>
  <c r="D610" i="4"/>
  <c r="C610" i="4"/>
  <c r="B610" i="4"/>
  <c r="N610" i="4" s="1"/>
  <c r="A610" i="4"/>
  <c r="R609" i="4"/>
  <c r="L609" i="4"/>
  <c r="K609" i="4"/>
  <c r="J609" i="4"/>
  <c r="I609" i="4"/>
  <c r="H609" i="4"/>
  <c r="G609" i="4"/>
  <c r="F609" i="4"/>
  <c r="E609" i="4"/>
  <c r="D609" i="4"/>
  <c r="C609" i="4"/>
  <c r="B609" i="4"/>
  <c r="A609" i="4"/>
  <c r="R608" i="4"/>
  <c r="L608" i="4"/>
  <c r="K608" i="4"/>
  <c r="J608" i="4"/>
  <c r="I608" i="4"/>
  <c r="H608" i="4"/>
  <c r="G608" i="4"/>
  <c r="F608" i="4"/>
  <c r="E608" i="4"/>
  <c r="D608" i="4"/>
  <c r="C608" i="4"/>
  <c r="B608" i="4"/>
  <c r="N608" i="4" s="1"/>
  <c r="A608" i="4"/>
  <c r="R607" i="4"/>
  <c r="L607" i="4"/>
  <c r="K607" i="4"/>
  <c r="J607" i="4"/>
  <c r="I607" i="4"/>
  <c r="H607" i="4"/>
  <c r="G607" i="4"/>
  <c r="F607" i="4"/>
  <c r="E607" i="4"/>
  <c r="D607" i="4"/>
  <c r="C607" i="4"/>
  <c r="B607" i="4"/>
  <c r="N607" i="4" s="1"/>
  <c r="A607" i="4"/>
  <c r="R606" i="4"/>
  <c r="N606" i="4"/>
  <c r="L606" i="4"/>
  <c r="K606" i="4"/>
  <c r="J606" i="4"/>
  <c r="I606" i="4"/>
  <c r="H606" i="4"/>
  <c r="G606" i="4"/>
  <c r="F606" i="4"/>
  <c r="E606" i="4"/>
  <c r="D606" i="4"/>
  <c r="C606" i="4"/>
  <c r="B606" i="4"/>
  <c r="M606" i="4" s="1"/>
  <c r="A606" i="4"/>
  <c r="R605" i="4"/>
  <c r="L605" i="4"/>
  <c r="K605" i="4"/>
  <c r="J605" i="4"/>
  <c r="I605" i="4"/>
  <c r="H605" i="4"/>
  <c r="G605" i="4"/>
  <c r="F605" i="4"/>
  <c r="E605" i="4"/>
  <c r="D605" i="4"/>
  <c r="C605" i="4"/>
  <c r="B605" i="4"/>
  <c r="N605" i="4" s="1"/>
  <c r="A605" i="4"/>
  <c r="R604" i="4"/>
  <c r="L604" i="4"/>
  <c r="K604" i="4"/>
  <c r="J604" i="4"/>
  <c r="I604" i="4"/>
  <c r="H604" i="4"/>
  <c r="G604" i="4"/>
  <c r="F604" i="4"/>
  <c r="E604" i="4"/>
  <c r="D604" i="4"/>
  <c r="C604" i="4"/>
  <c r="B604" i="4"/>
  <c r="N604" i="4" s="1"/>
  <c r="A604" i="4"/>
  <c r="R603" i="4"/>
  <c r="L603" i="4"/>
  <c r="K603" i="4"/>
  <c r="J603" i="4"/>
  <c r="I603" i="4"/>
  <c r="H603" i="4"/>
  <c r="G603" i="4"/>
  <c r="F603" i="4"/>
  <c r="E603" i="4"/>
  <c r="D603" i="4"/>
  <c r="C603" i="4"/>
  <c r="B603" i="4"/>
  <c r="M603" i="4" s="1"/>
  <c r="U603" i="4" s="1"/>
  <c r="V603" i="4" s="1"/>
  <c r="A603" i="4"/>
  <c r="R602" i="4"/>
  <c r="L602" i="4"/>
  <c r="K602" i="4"/>
  <c r="J602" i="4"/>
  <c r="I602" i="4"/>
  <c r="H602" i="4"/>
  <c r="G602" i="4"/>
  <c r="F602" i="4"/>
  <c r="E602" i="4"/>
  <c r="D602" i="4"/>
  <c r="C602" i="4"/>
  <c r="B602" i="4"/>
  <c r="N602" i="4" s="1"/>
  <c r="A602" i="4"/>
  <c r="R601" i="4"/>
  <c r="L601" i="4"/>
  <c r="K601" i="4"/>
  <c r="J601" i="4"/>
  <c r="I601" i="4"/>
  <c r="H601" i="4"/>
  <c r="G601" i="4"/>
  <c r="F601" i="4"/>
  <c r="E601" i="4"/>
  <c r="D601" i="4"/>
  <c r="C601" i="4"/>
  <c r="B601" i="4"/>
  <c r="N601" i="4" s="1"/>
  <c r="A601" i="4"/>
  <c r="R600" i="4"/>
  <c r="N600" i="4"/>
  <c r="L600" i="4"/>
  <c r="K600" i="4"/>
  <c r="J600" i="4"/>
  <c r="I600" i="4"/>
  <c r="H600" i="4"/>
  <c r="G600" i="4"/>
  <c r="F600" i="4"/>
  <c r="E600" i="4"/>
  <c r="D600" i="4"/>
  <c r="C600" i="4"/>
  <c r="B600" i="4"/>
  <c r="M600" i="4" s="1"/>
  <c r="A600" i="4"/>
  <c r="R599" i="4"/>
  <c r="L599" i="4"/>
  <c r="K599" i="4"/>
  <c r="J599" i="4"/>
  <c r="I599" i="4"/>
  <c r="H599" i="4"/>
  <c r="G599" i="4"/>
  <c r="F599" i="4"/>
  <c r="E599" i="4"/>
  <c r="D599" i="4"/>
  <c r="C599" i="4"/>
  <c r="B599" i="4"/>
  <c r="N599" i="4" s="1"/>
  <c r="A599" i="4"/>
  <c r="R598" i="4"/>
  <c r="L598" i="4"/>
  <c r="K598" i="4"/>
  <c r="J598" i="4"/>
  <c r="I598" i="4"/>
  <c r="H598" i="4"/>
  <c r="G598" i="4"/>
  <c r="F598" i="4"/>
  <c r="E598" i="4"/>
  <c r="D598" i="4"/>
  <c r="C598" i="4"/>
  <c r="B598" i="4"/>
  <c r="N598" i="4" s="1"/>
  <c r="A598" i="4"/>
  <c r="R597" i="4"/>
  <c r="L597" i="4"/>
  <c r="K597" i="4"/>
  <c r="J597" i="4"/>
  <c r="I597" i="4"/>
  <c r="H597" i="4"/>
  <c r="G597" i="4"/>
  <c r="F597" i="4"/>
  <c r="E597" i="4"/>
  <c r="D597" i="4"/>
  <c r="C597" i="4"/>
  <c r="B597" i="4"/>
  <c r="M597" i="4" s="1"/>
  <c r="A597" i="4"/>
  <c r="R596" i="4"/>
  <c r="L596" i="4"/>
  <c r="K596" i="4"/>
  <c r="J596" i="4"/>
  <c r="I596" i="4"/>
  <c r="H596" i="4"/>
  <c r="G596" i="4"/>
  <c r="F596" i="4"/>
  <c r="E596" i="4"/>
  <c r="D596" i="4"/>
  <c r="C596" i="4"/>
  <c r="B596" i="4"/>
  <c r="N596" i="4" s="1"/>
  <c r="A596" i="4"/>
  <c r="R595" i="4"/>
  <c r="L595" i="4"/>
  <c r="K595" i="4"/>
  <c r="J595" i="4"/>
  <c r="I595" i="4"/>
  <c r="H595" i="4"/>
  <c r="G595" i="4"/>
  <c r="F595" i="4"/>
  <c r="E595" i="4"/>
  <c r="D595" i="4"/>
  <c r="C595" i="4"/>
  <c r="B595" i="4"/>
  <c r="N595" i="4" s="1"/>
  <c r="A595" i="4"/>
  <c r="R594" i="4"/>
  <c r="N594" i="4"/>
  <c r="L594" i="4"/>
  <c r="K594" i="4"/>
  <c r="J594" i="4"/>
  <c r="I594" i="4"/>
  <c r="H594" i="4"/>
  <c r="G594" i="4"/>
  <c r="F594" i="4"/>
  <c r="E594" i="4"/>
  <c r="D594" i="4"/>
  <c r="C594" i="4"/>
  <c r="B594" i="4"/>
  <c r="M594" i="4" s="1"/>
  <c r="U594" i="4" s="1"/>
  <c r="V594" i="4" s="1"/>
  <c r="A594" i="4"/>
  <c r="R593" i="4"/>
  <c r="L593" i="4"/>
  <c r="K593" i="4"/>
  <c r="J593" i="4"/>
  <c r="I593" i="4"/>
  <c r="H593" i="4"/>
  <c r="G593" i="4"/>
  <c r="F593" i="4"/>
  <c r="E593" i="4"/>
  <c r="D593" i="4"/>
  <c r="C593" i="4"/>
  <c r="B593" i="4"/>
  <c r="N593" i="4" s="1"/>
  <c r="A593" i="4"/>
  <c r="R592" i="4"/>
  <c r="L592" i="4"/>
  <c r="K592" i="4"/>
  <c r="J592" i="4"/>
  <c r="I592" i="4"/>
  <c r="H592" i="4"/>
  <c r="G592" i="4"/>
  <c r="F592" i="4"/>
  <c r="E592" i="4"/>
  <c r="D592" i="4"/>
  <c r="C592" i="4"/>
  <c r="B592" i="4"/>
  <c r="N592" i="4" s="1"/>
  <c r="A592" i="4"/>
  <c r="R591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R590" i="4"/>
  <c r="L590" i="4"/>
  <c r="K590" i="4"/>
  <c r="J590" i="4"/>
  <c r="I590" i="4"/>
  <c r="H590" i="4"/>
  <c r="G590" i="4"/>
  <c r="F590" i="4"/>
  <c r="E590" i="4"/>
  <c r="D590" i="4"/>
  <c r="C590" i="4"/>
  <c r="B590" i="4"/>
  <c r="N590" i="4" s="1"/>
  <c r="A590" i="4"/>
  <c r="R589" i="4"/>
  <c r="L589" i="4"/>
  <c r="K589" i="4"/>
  <c r="J589" i="4"/>
  <c r="I589" i="4"/>
  <c r="H589" i="4"/>
  <c r="G589" i="4"/>
  <c r="F589" i="4"/>
  <c r="E589" i="4"/>
  <c r="D589" i="4"/>
  <c r="C589" i="4"/>
  <c r="B589" i="4"/>
  <c r="N589" i="4" s="1"/>
  <c r="A589" i="4"/>
  <c r="R588" i="4"/>
  <c r="N588" i="4"/>
  <c r="L588" i="4"/>
  <c r="K588" i="4"/>
  <c r="J588" i="4"/>
  <c r="I588" i="4"/>
  <c r="H588" i="4"/>
  <c r="G588" i="4"/>
  <c r="F588" i="4"/>
  <c r="E588" i="4"/>
  <c r="D588" i="4"/>
  <c r="C588" i="4"/>
  <c r="B588" i="4"/>
  <c r="M588" i="4" s="1"/>
  <c r="U588" i="4" s="1"/>
  <c r="V588" i="4" s="1"/>
  <c r="A588" i="4"/>
  <c r="R587" i="4"/>
  <c r="L587" i="4"/>
  <c r="K587" i="4"/>
  <c r="J587" i="4"/>
  <c r="I587" i="4"/>
  <c r="H587" i="4"/>
  <c r="G587" i="4"/>
  <c r="F587" i="4"/>
  <c r="E587" i="4"/>
  <c r="D587" i="4"/>
  <c r="C587" i="4"/>
  <c r="B587" i="4"/>
  <c r="N587" i="4" s="1"/>
  <c r="A587" i="4"/>
  <c r="R586" i="4"/>
  <c r="L586" i="4"/>
  <c r="K586" i="4"/>
  <c r="J586" i="4"/>
  <c r="I586" i="4"/>
  <c r="H586" i="4"/>
  <c r="G586" i="4"/>
  <c r="F586" i="4"/>
  <c r="E586" i="4"/>
  <c r="D586" i="4"/>
  <c r="C586" i="4"/>
  <c r="B586" i="4"/>
  <c r="N586" i="4" s="1"/>
  <c r="A586" i="4"/>
  <c r="R585" i="4"/>
  <c r="L585" i="4"/>
  <c r="K585" i="4"/>
  <c r="J585" i="4"/>
  <c r="I585" i="4"/>
  <c r="H585" i="4"/>
  <c r="G585" i="4"/>
  <c r="F585" i="4"/>
  <c r="E585" i="4"/>
  <c r="D585" i="4"/>
  <c r="C585" i="4"/>
  <c r="B585" i="4"/>
  <c r="M585" i="4" s="1"/>
  <c r="A585" i="4"/>
  <c r="R584" i="4"/>
  <c r="L584" i="4"/>
  <c r="K584" i="4"/>
  <c r="J584" i="4"/>
  <c r="I584" i="4"/>
  <c r="H584" i="4"/>
  <c r="G584" i="4"/>
  <c r="F584" i="4"/>
  <c r="E584" i="4"/>
  <c r="D584" i="4"/>
  <c r="C584" i="4"/>
  <c r="B584" i="4"/>
  <c r="N584" i="4" s="1"/>
  <c r="A584" i="4"/>
  <c r="R583" i="4"/>
  <c r="L583" i="4"/>
  <c r="K583" i="4"/>
  <c r="J583" i="4"/>
  <c r="I583" i="4"/>
  <c r="H583" i="4"/>
  <c r="G583" i="4"/>
  <c r="F583" i="4"/>
  <c r="E583" i="4"/>
  <c r="D583" i="4"/>
  <c r="C583" i="4"/>
  <c r="B583" i="4"/>
  <c r="N583" i="4" s="1"/>
  <c r="A583" i="4"/>
  <c r="R582" i="4"/>
  <c r="N582" i="4"/>
  <c r="L582" i="4"/>
  <c r="K582" i="4"/>
  <c r="J582" i="4"/>
  <c r="I582" i="4"/>
  <c r="H582" i="4"/>
  <c r="G582" i="4"/>
  <c r="F582" i="4"/>
  <c r="E582" i="4"/>
  <c r="D582" i="4"/>
  <c r="C582" i="4"/>
  <c r="B582" i="4"/>
  <c r="M582" i="4" s="1"/>
  <c r="U582" i="4" s="1"/>
  <c r="V582" i="4" s="1"/>
  <c r="A582" i="4"/>
  <c r="R581" i="4"/>
  <c r="L581" i="4"/>
  <c r="K581" i="4"/>
  <c r="J581" i="4"/>
  <c r="I581" i="4"/>
  <c r="H581" i="4"/>
  <c r="G581" i="4"/>
  <c r="F581" i="4"/>
  <c r="E581" i="4"/>
  <c r="D581" i="4"/>
  <c r="C581" i="4"/>
  <c r="B581" i="4"/>
  <c r="M581" i="4" s="1"/>
  <c r="A581" i="4"/>
  <c r="R580" i="4"/>
  <c r="L580" i="4"/>
  <c r="K580" i="4"/>
  <c r="J580" i="4"/>
  <c r="I580" i="4"/>
  <c r="H580" i="4"/>
  <c r="G580" i="4"/>
  <c r="F580" i="4"/>
  <c r="E580" i="4"/>
  <c r="D580" i="4"/>
  <c r="C580" i="4"/>
  <c r="B580" i="4"/>
  <c r="N580" i="4" s="1"/>
  <c r="A580" i="4"/>
  <c r="R579" i="4"/>
  <c r="L579" i="4"/>
  <c r="K579" i="4"/>
  <c r="J579" i="4"/>
  <c r="I579" i="4"/>
  <c r="H579" i="4"/>
  <c r="G579" i="4"/>
  <c r="F579" i="4"/>
  <c r="E579" i="4"/>
  <c r="D579" i="4"/>
  <c r="C579" i="4"/>
  <c r="B579" i="4"/>
  <c r="M579" i="4" s="1"/>
  <c r="U579" i="4" s="1"/>
  <c r="V579" i="4" s="1"/>
  <c r="A579" i="4"/>
  <c r="R578" i="4"/>
  <c r="N578" i="4"/>
  <c r="L578" i="4"/>
  <c r="K578" i="4"/>
  <c r="J578" i="4"/>
  <c r="I578" i="4"/>
  <c r="H578" i="4"/>
  <c r="G578" i="4"/>
  <c r="F578" i="4"/>
  <c r="E578" i="4"/>
  <c r="D578" i="4"/>
  <c r="C578" i="4"/>
  <c r="B578" i="4"/>
  <c r="M578" i="4" s="1"/>
  <c r="U578" i="4" s="1"/>
  <c r="V578" i="4" s="1"/>
  <c r="A578" i="4"/>
  <c r="R577" i="4"/>
  <c r="L577" i="4"/>
  <c r="K577" i="4"/>
  <c r="J577" i="4"/>
  <c r="I577" i="4"/>
  <c r="H577" i="4"/>
  <c r="G577" i="4"/>
  <c r="F577" i="4"/>
  <c r="E577" i="4"/>
  <c r="D577" i="4"/>
  <c r="C577" i="4"/>
  <c r="B577" i="4"/>
  <c r="M577" i="4" s="1"/>
  <c r="U577" i="4" s="1"/>
  <c r="V577" i="4" s="1"/>
  <c r="A577" i="4"/>
  <c r="R576" i="4"/>
  <c r="N576" i="4"/>
  <c r="L576" i="4"/>
  <c r="K576" i="4"/>
  <c r="J576" i="4"/>
  <c r="I576" i="4"/>
  <c r="H576" i="4"/>
  <c r="G576" i="4"/>
  <c r="F576" i="4"/>
  <c r="E576" i="4"/>
  <c r="D576" i="4"/>
  <c r="C576" i="4"/>
  <c r="B576" i="4"/>
  <c r="M576" i="4" s="1"/>
  <c r="A576" i="4"/>
  <c r="R575" i="4"/>
  <c r="L575" i="4"/>
  <c r="K575" i="4"/>
  <c r="J575" i="4"/>
  <c r="I575" i="4"/>
  <c r="H575" i="4"/>
  <c r="G575" i="4"/>
  <c r="F575" i="4"/>
  <c r="E575" i="4"/>
  <c r="D575" i="4"/>
  <c r="C575" i="4"/>
  <c r="B575" i="4"/>
  <c r="A575" i="4"/>
  <c r="R574" i="4"/>
  <c r="N574" i="4"/>
  <c r="L574" i="4"/>
  <c r="K574" i="4"/>
  <c r="J574" i="4"/>
  <c r="I574" i="4"/>
  <c r="H574" i="4"/>
  <c r="G574" i="4"/>
  <c r="F574" i="4"/>
  <c r="E574" i="4"/>
  <c r="D574" i="4"/>
  <c r="C574" i="4"/>
  <c r="B574" i="4"/>
  <c r="M574" i="4" s="1"/>
  <c r="U574" i="4" s="1"/>
  <c r="V574" i="4" s="1"/>
  <c r="A574" i="4"/>
  <c r="R573" i="4"/>
  <c r="L573" i="4"/>
  <c r="K573" i="4"/>
  <c r="J573" i="4"/>
  <c r="I573" i="4"/>
  <c r="H573" i="4"/>
  <c r="G573" i="4"/>
  <c r="F573" i="4"/>
  <c r="E573" i="4"/>
  <c r="D573" i="4"/>
  <c r="C573" i="4"/>
  <c r="B573" i="4"/>
  <c r="M573" i="4" s="1"/>
  <c r="A573" i="4"/>
  <c r="R572" i="4"/>
  <c r="N572" i="4"/>
  <c r="L572" i="4"/>
  <c r="K572" i="4"/>
  <c r="J572" i="4"/>
  <c r="I572" i="4"/>
  <c r="H572" i="4"/>
  <c r="G572" i="4"/>
  <c r="F572" i="4"/>
  <c r="E572" i="4"/>
  <c r="D572" i="4"/>
  <c r="C572" i="4"/>
  <c r="B572" i="4"/>
  <c r="M572" i="4" s="1"/>
  <c r="A572" i="4"/>
  <c r="R571" i="4"/>
  <c r="L571" i="4"/>
  <c r="K571" i="4"/>
  <c r="J571" i="4"/>
  <c r="I571" i="4"/>
  <c r="H571" i="4"/>
  <c r="G571" i="4"/>
  <c r="F571" i="4"/>
  <c r="E571" i="4"/>
  <c r="D571" i="4"/>
  <c r="C571" i="4"/>
  <c r="B571" i="4"/>
  <c r="M571" i="4" s="1"/>
  <c r="A571" i="4"/>
  <c r="R570" i="4"/>
  <c r="N570" i="4"/>
  <c r="L570" i="4"/>
  <c r="K570" i="4"/>
  <c r="J570" i="4"/>
  <c r="I570" i="4"/>
  <c r="H570" i="4"/>
  <c r="G570" i="4"/>
  <c r="F570" i="4"/>
  <c r="E570" i="4"/>
  <c r="D570" i="4"/>
  <c r="C570" i="4"/>
  <c r="B570" i="4"/>
  <c r="M570" i="4" s="1"/>
  <c r="A570" i="4"/>
  <c r="R569" i="4"/>
  <c r="L569" i="4"/>
  <c r="K569" i="4"/>
  <c r="J569" i="4"/>
  <c r="I569" i="4"/>
  <c r="H569" i="4"/>
  <c r="G569" i="4"/>
  <c r="F569" i="4"/>
  <c r="E569" i="4"/>
  <c r="D569" i="4"/>
  <c r="C569" i="4"/>
  <c r="B569" i="4"/>
  <c r="A569" i="4"/>
  <c r="R568" i="4"/>
  <c r="N568" i="4"/>
  <c r="L568" i="4"/>
  <c r="K568" i="4"/>
  <c r="J568" i="4"/>
  <c r="I568" i="4"/>
  <c r="H568" i="4"/>
  <c r="G568" i="4"/>
  <c r="F568" i="4"/>
  <c r="E568" i="4"/>
  <c r="D568" i="4"/>
  <c r="C568" i="4"/>
  <c r="B568" i="4"/>
  <c r="M568" i="4" s="1"/>
  <c r="A568" i="4"/>
  <c r="R567" i="4"/>
  <c r="L567" i="4"/>
  <c r="K567" i="4"/>
  <c r="J567" i="4"/>
  <c r="I567" i="4"/>
  <c r="H567" i="4"/>
  <c r="G567" i="4"/>
  <c r="F567" i="4"/>
  <c r="E567" i="4"/>
  <c r="D567" i="4"/>
  <c r="C567" i="4"/>
  <c r="B567" i="4"/>
  <c r="M567" i="4" s="1"/>
  <c r="U567" i="4" s="1"/>
  <c r="V567" i="4" s="1"/>
  <c r="A567" i="4"/>
  <c r="R566" i="4"/>
  <c r="N566" i="4"/>
  <c r="L566" i="4"/>
  <c r="K566" i="4"/>
  <c r="J566" i="4"/>
  <c r="I566" i="4"/>
  <c r="H566" i="4"/>
  <c r="G566" i="4"/>
  <c r="F566" i="4"/>
  <c r="E566" i="4"/>
  <c r="D566" i="4"/>
  <c r="C566" i="4"/>
  <c r="B566" i="4"/>
  <c r="M566" i="4" s="1"/>
  <c r="A566" i="4"/>
  <c r="R565" i="4"/>
  <c r="L565" i="4"/>
  <c r="K565" i="4"/>
  <c r="J565" i="4"/>
  <c r="I565" i="4"/>
  <c r="H565" i="4"/>
  <c r="G565" i="4"/>
  <c r="F565" i="4"/>
  <c r="E565" i="4"/>
  <c r="D565" i="4"/>
  <c r="C565" i="4"/>
  <c r="B565" i="4"/>
  <c r="M565" i="4" s="1"/>
  <c r="A565" i="4"/>
  <c r="R564" i="4"/>
  <c r="N564" i="4"/>
  <c r="L564" i="4"/>
  <c r="K564" i="4"/>
  <c r="J564" i="4"/>
  <c r="I564" i="4"/>
  <c r="H564" i="4"/>
  <c r="G564" i="4"/>
  <c r="F564" i="4"/>
  <c r="E564" i="4"/>
  <c r="D564" i="4"/>
  <c r="C564" i="4"/>
  <c r="B564" i="4"/>
  <c r="M564" i="4" s="1"/>
  <c r="U564" i="4" s="1"/>
  <c r="V564" i="4" s="1"/>
  <c r="A564" i="4"/>
  <c r="R563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R562" i="4"/>
  <c r="M562" i="4"/>
  <c r="U562" i="4" s="1"/>
  <c r="V562" i="4" s="1"/>
  <c r="L562" i="4"/>
  <c r="K562" i="4"/>
  <c r="J562" i="4"/>
  <c r="I562" i="4"/>
  <c r="H562" i="4"/>
  <c r="G562" i="4"/>
  <c r="F562" i="4"/>
  <c r="E562" i="4"/>
  <c r="D562" i="4"/>
  <c r="C562" i="4"/>
  <c r="B562" i="4"/>
  <c r="N562" i="4" s="1"/>
  <c r="A562" i="4"/>
  <c r="M561" i="4"/>
  <c r="L561" i="4"/>
  <c r="K561" i="4"/>
  <c r="J561" i="4"/>
  <c r="I561" i="4"/>
  <c r="H561" i="4"/>
  <c r="G561" i="4"/>
  <c r="R561" i="4" s="1"/>
  <c r="F561" i="4"/>
  <c r="E561" i="4"/>
  <c r="D561" i="4"/>
  <c r="C561" i="4"/>
  <c r="B561" i="4"/>
  <c r="N561" i="4" s="1"/>
  <c r="A561" i="4"/>
  <c r="R560" i="4"/>
  <c r="N560" i="4"/>
  <c r="L560" i="4"/>
  <c r="K560" i="4"/>
  <c r="J560" i="4"/>
  <c r="I560" i="4"/>
  <c r="H560" i="4"/>
  <c r="G560" i="4"/>
  <c r="F560" i="4"/>
  <c r="E560" i="4"/>
  <c r="D560" i="4"/>
  <c r="C560" i="4"/>
  <c r="B560" i="4"/>
  <c r="M560" i="4" s="1"/>
  <c r="A560" i="4"/>
  <c r="R559" i="4"/>
  <c r="L559" i="4"/>
  <c r="K559" i="4"/>
  <c r="J559" i="4"/>
  <c r="I559" i="4"/>
  <c r="H559" i="4"/>
  <c r="G559" i="4"/>
  <c r="F559" i="4"/>
  <c r="E559" i="4"/>
  <c r="D559" i="4"/>
  <c r="C559" i="4"/>
  <c r="B559" i="4"/>
  <c r="N559" i="4" s="1"/>
  <c r="A559" i="4"/>
  <c r="R558" i="4"/>
  <c r="L558" i="4"/>
  <c r="K558" i="4"/>
  <c r="J558" i="4"/>
  <c r="I558" i="4"/>
  <c r="H558" i="4"/>
  <c r="G558" i="4"/>
  <c r="F558" i="4"/>
  <c r="E558" i="4"/>
  <c r="D558" i="4"/>
  <c r="C558" i="4"/>
  <c r="B558" i="4"/>
  <c r="M558" i="4" s="1"/>
  <c r="A558" i="4"/>
  <c r="R557" i="4"/>
  <c r="L557" i="4"/>
  <c r="K557" i="4"/>
  <c r="J557" i="4"/>
  <c r="I557" i="4"/>
  <c r="H557" i="4"/>
  <c r="G557" i="4"/>
  <c r="F557" i="4"/>
  <c r="E557" i="4"/>
  <c r="D557" i="4"/>
  <c r="C557" i="4"/>
  <c r="B557" i="4"/>
  <c r="M557" i="4" s="1"/>
  <c r="U557" i="4" s="1"/>
  <c r="V557" i="4" s="1"/>
  <c r="A557" i="4"/>
  <c r="M556" i="4"/>
  <c r="U556" i="4" s="1"/>
  <c r="V556" i="4" s="1"/>
  <c r="L556" i="4"/>
  <c r="K556" i="4"/>
  <c r="J556" i="4"/>
  <c r="I556" i="4"/>
  <c r="H556" i="4"/>
  <c r="G556" i="4"/>
  <c r="R556" i="4" s="1"/>
  <c r="F556" i="4"/>
  <c r="E556" i="4"/>
  <c r="D556" i="4"/>
  <c r="C556" i="4"/>
  <c r="B556" i="4"/>
  <c r="N556" i="4" s="1"/>
  <c r="A556" i="4"/>
  <c r="M555" i="4"/>
  <c r="L555" i="4"/>
  <c r="K555" i="4"/>
  <c r="J555" i="4"/>
  <c r="I555" i="4"/>
  <c r="H555" i="4"/>
  <c r="G555" i="4"/>
  <c r="R555" i="4" s="1"/>
  <c r="F555" i="4"/>
  <c r="E555" i="4"/>
  <c r="D555" i="4"/>
  <c r="C555" i="4"/>
  <c r="B555" i="4"/>
  <c r="N555" i="4" s="1"/>
  <c r="A555" i="4"/>
  <c r="R554" i="4"/>
  <c r="N554" i="4"/>
  <c r="L554" i="4"/>
  <c r="K554" i="4"/>
  <c r="J554" i="4"/>
  <c r="I554" i="4"/>
  <c r="H554" i="4"/>
  <c r="G554" i="4"/>
  <c r="F554" i="4"/>
  <c r="E554" i="4"/>
  <c r="D554" i="4"/>
  <c r="C554" i="4"/>
  <c r="B554" i="4"/>
  <c r="M554" i="4" s="1"/>
  <c r="A554" i="4"/>
  <c r="R553" i="4"/>
  <c r="L553" i="4"/>
  <c r="K553" i="4"/>
  <c r="J553" i="4"/>
  <c r="I553" i="4"/>
  <c r="H553" i="4"/>
  <c r="G553" i="4"/>
  <c r="F553" i="4"/>
  <c r="E553" i="4"/>
  <c r="D553" i="4"/>
  <c r="C553" i="4"/>
  <c r="B553" i="4"/>
  <c r="A553" i="4"/>
  <c r="L552" i="4"/>
  <c r="K552" i="4"/>
  <c r="J552" i="4"/>
  <c r="I552" i="4"/>
  <c r="H552" i="4"/>
  <c r="G552" i="4"/>
  <c r="R552" i="4" s="1"/>
  <c r="F552" i="4"/>
  <c r="E552" i="4"/>
  <c r="D552" i="4"/>
  <c r="C552" i="4"/>
  <c r="B552" i="4"/>
  <c r="N552" i="4" s="1"/>
  <c r="A552" i="4"/>
  <c r="R551" i="4"/>
  <c r="L551" i="4"/>
  <c r="K551" i="4"/>
  <c r="J551" i="4"/>
  <c r="I551" i="4"/>
  <c r="H551" i="4"/>
  <c r="G551" i="4"/>
  <c r="F551" i="4"/>
  <c r="E551" i="4"/>
  <c r="D551" i="4"/>
  <c r="C551" i="4"/>
  <c r="B551" i="4"/>
  <c r="M551" i="4" s="1"/>
  <c r="U551" i="4" s="1"/>
  <c r="V551" i="4" s="1"/>
  <c r="A551" i="4"/>
  <c r="M550" i="4"/>
  <c r="L550" i="4"/>
  <c r="K550" i="4"/>
  <c r="J550" i="4"/>
  <c r="I550" i="4"/>
  <c r="H550" i="4"/>
  <c r="G550" i="4"/>
  <c r="R550" i="4" s="1"/>
  <c r="F550" i="4"/>
  <c r="E550" i="4"/>
  <c r="D550" i="4"/>
  <c r="C550" i="4"/>
  <c r="B550" i="4"/>
  <c r="N550" i="4" s="1"/>
  <c r="O550" i="4" s="1"/>
  <c r="A550" i="4"/>
  <c r="R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N549" i="4" s="1"/>
  <c r="A549" i="4"/>
  <c r="M548" i="4"/>
  <c r="U548" i="4" s="1"/>
  <c r="V548" i="4" s="1"/>
  <c r="L548" i="4"/>
  <c r="K548" i="4"/>
  <c r="J548" i="4"/>
  <c r="I548" i="4"/>
  <c r="H548" i="4"/>
  <c r="G548" i="4"/>
  <c r="R548" i="4" s="1"/>
  <c r="F548" i="4"/>
  <c r="E548" i="4"/>
  <c r="D548" i="4"/>
  <c r="C548" i="4"/>
  <c r="B548" i="4"/>
  <c r="N548" i="4" s="1"/>
  <c r="O548" i="4" s="1"/>
  <c r="A548" i="4"/>
  <c r="M547" i="4"/>
  <c r="L547" i="4"/>
  <c r="K547" i="4"/>
  <c r="J547" i="4"/>
  <c r="I547" i="4"/>
  <c r="H547" i="4"/>
  <c r="G547" i="4"/>
  <c r="R547" i="4" s="1"/>
  <c r="F547" i="4"/>
  <c r="E547" i="4"/>
  <c r="D547" i="4"/>
  <c r="C547" i="4"/>
  <c r="B547" i="4"/>
  <c r="N547" i="4" s="1"/>
  <c r="A547" i="4"/>
  <c r="M546" i="4"/>
  <c r="L546" i="4"/>
  <c r="K546" i="4"/>
  <c r="J546" i="4"/>
  <c r="I546" i="4"/>
  <c r="H546" i="4"/>
  <c r="G546" i="4"/>
  <c r="R546" i="4" s="1"/>
  <c r="F546" i="4"/>
  <c r="E546" i="4"/>
  <c r="D546" i="4"/>
  <c r="C546" i="4"/>
  <c r="B546" i="4"/>
  <c r="N546" i="4" s="1"/>
  <c r="A546" i="4"/>
  <c r="M545" i="4"/>
  <c r="U545" i="4" s="1"/>
  <c r="V545" i="4" s="1"/>
  <c r="L545" i="4"/>
  <c r="K545" i="4"/>
  <c r="J545" i="4"/>
  <c r="I545" i="4"/>
  <c r="H545" i="4"/>
  <c r="G545" i="4"/>
  <c r="R545" i="4" s="1"/>
  <c r="F545" i="4"/>
  <c r="E545" i="4"/>
  <c r="D545" i="4"/>
  <c r="C545" i="4"/>
  <c r="B545" i="4"/>
  <c r="N545" i="4" s="1"/>
  <c r="O545" i="4" s="1"/>
  <c r="A545" i="4"/>
  <c r="M544" i="4"/>
  <c r="U544" i="4" s="1"/>
  <c r="V544" i="4" s="1"/>
  <c r="L544" i="4"/>
  <c r="K544" i="4"/>
  <c r="J544" i="4"/>
  <c r="I544" i="4"/>
  <c r="H544" i="4"/>
  <c r="G544" i="4"/>
  <c r="R544" i="4" s="1"/>
  <c r="F544" i="4"/>
  <c r="E544" i="4"/>
  <c r="D544" i="4"/>
  <c r="C544" i="4"/>
  <c r="B544" i="4"/>
  <c r="N544" i="4" s="1"/>
  <c r="A544" i="4"/>
  <c r="M543" i="4"/>
  <c r="L543" i="4"/>
  <c r="K543" i="4"/>
  <c r="J543" i="4"/>
  <c r="I543" i="4"/>
  <c r="H543" i="4"/>
  <c r="G543" i="4"/>
  <c r="R543" i="4" s="1"/>
  <c r="F543" i="4"/>
  <c r="E543" i="4"/>
  <c r="D543" i="4"/>
  <c r="C543" i="4"/>
  <c r="B543" i="4"/>
  <c r="N543" i="4" s="1"/>
  <c r="A543" i="4"/>
  <c r="M542" i="4"/>
  <c r="U542" i="4" s="1"/>
  <c r="V542" i="4" s="1"/>
  <c r="L542" i="4"/>
  <c r="K542" i="4"/>
  <c r="J542" i="4"/>
  <c r="I542" i="4"/>
  <c r="H542" i="4"/>
  <c r="G542" i="4"/>
  <c r="R542" i="4" s="1"/>
  <c r="F542" i="4"/>
  <c r="E542" i="4"/>
  <c r="D542" i="4"/>
  <c r="C542" i="4"/>
  <c r="B542" i="4"/>
  <c r="N542" i="4" s="1"/>
  <c r="O542" i="4" s="1"/>
  <c r="A542" i="4"/>
  <c r="M541" i="4"/>
  <c r="U541" i="4" s="1"/>
  <c r="V541" i="4" s="1"/>
  <c r="L541" i="4"/>
  <c r="K541" i="4"/>
  <c r="J541" i="4"/>
  <c r="I541" i="4"/>
  <c r="H541" i="4"/>
  <c r="G541" i="4"/>
  <c r="R541" i="4" s="1"/>
  <c r="F541" i="4"/>
  <c r="E541" i="4"/>
  <c r="D541" i="4"/>
  <c r="C541" i="4"/>
  <c r="B541" i="4"/>
  <c r="N541" i="4" s="1"/>
  <c r="A541" i="4"/>
  <c r="M540" i="4"/>
  <c r="L540" i="4"/>
  <c r="K540" i="4"/>
  <c r="J540" i="4"/>
  <c r="I540" i="4"/>
  <c r="H540" i="4"/>
  <c r="G540" i="4"/>
  <c r="R540" i="4" s="1"/>
  <c r="F540" i="4"/>
  <c r="E540" i="4"/>
  <c r="D540" i="4"/>
  <c r="C540" i="4"/>
  <c r="B540" i="4"/>
  <c r="N540" i="4" s="1"/>
  <c r="A540" i="4"/>
  <c r="M539" i="4"/>
  <c r="L539" i="4"/>
  <c r="K539" i="4"/>
  <c r="J539" i="4"/>
  <c r="I539" i="4"/>
  <c r="H539" i="4"/>
  <c r="G539" i="4"/>
  <c r="R539" i="4" s="1"/>
  <c r="F539" i="4"/>
  <c r="E539" i="4"/>
  <c r="D539" i="4"/>
  <c r="C539" i="4"/>
  <c r="B539" i="4"/>
  <c r="N539" i="4" s="1"/>
  <c r="O539" i="4" s="1"/>
  <c r="A539" i="4"/>
  <c r="M538" i="4"/>
  <c r="U538" i="4" s="1"/>
  <c r="V538" i="4" s="1"/>
  <c r="L538" i="4"/>
  <c r="K538" i="4"/>
  <c r="J538" i="4"/>
  <c r="I538" i="4"/>
  <c r="H538" i="4"/>
  <c r="G538" i="4"/>
  <c r="R538" i="4" s="1"/>
  <c r="F538" i="4"/>
  <c r="E538" i="4"/>
  <c r="D538" i="4"/>
  <c r="C538" i="4"/>
  <c r="B538" i="4"/>
  <c r="N538" i="4" s="1"/>
  <c r="A538" i="4"/>
  <c r="M537" i="4"/>
  <c r="U537" i="4" s="1"/>
  <c r="V537" i="4" s="1"/>
  <c r="L537" i="4"/>
  <c r="K537" i="4"/>
  <c r="J537" i="4"/>
  <c r="I537" i="4"/>
  <c r="H537" i="4"/>
  <c r="G537" i="4"/>
  <c r="R537" i="4" s="1"/>
  <c r="F537" i="4"/>
  <c r="E537" i="4"/>
  <c r="D537" i="4"/>
  <c r="C537" i="4"/>
  <c r="B537" i="4"/>
  <c r="N537" i="4" s="1"/>
  <c r="A537" i="4"/>
  <c r="M536" i="4"/>
  <c r="L536" i="4"/>
  <c r="K536" i="4"/>
  <c r="J536" i="4"/>
  <c r="I536" i="4"/>
  <c r="H536" i="4"/>
  <c r="G536" i="4"/>
  <c r="R536" i="4" s="1"/>
  <c r="F536" i="4"/>
  <c r="E536" i="4"/>
  <c r="D536" i="4"/>
  <c r="C536" i="4"/>
  <c r="B536" i="4"/>
  <c r="N536" i="4" s="1"/>
  <c r="O536" i="4" s="1"/>
  <c r="A536" i="4"/>
  <c r="M535" i="4"/>
  <c r="U535" i="4" s="1"/>
  <c r="V535" i="4" s="1"/>
  <c r="L535" i="4"/>
  <c r="K535" i="4"/>
  <c r="J535" i="4"/>
  <c r="I535" i="4"/>
  <c r="H535" i="4"/>
  <c r="G535" i="4"/>
  <c r="R535" i="4" s="1"/>
  <c r="F535" i="4"/>
  <c r="E535" i="4"/>
  <c r="D535" i="4"/>
  <c r="C535" i="4"/>
  <c r="B535" i="4"/>
  <c r="N535" i="4" s="1"/>
  <c r="A535" i="4"/>
  <c r="M534" i="4"/>
  <c r="L534" i="4"/>
  <c r="K534" i="4"/>
  <c r="J534" i="4"/>
  <c r="I534" i="4"/>
  <c r="H534" i="4"/>
  <c r="G534" i="4"/>
  <c r="R534" i="4" s="1"/>
  <c r="F534" i="4"/>
  <c r="E534" i="4"/>
  <c r="D534" i="4"/>
  <c r="C534" i="4"/>
  <c r="B534" i="4"/>
  <c r="N534" i="4" s="1"/>
  <c r="A534" i="4"/>
  <c r="M533" i="4"/>
  <c r="U533" i="4" s="1"/>
  <c r="V533" i="4" s="1"/>
  <c r="L533" i="4"/>
  <c r="K533" i="4"/>
  <c r="J533" i="4"/>
  <c r="I533" i="4"/>
  <c r="H533" i="4"/>
  <c r="G533" i="4"/>
  <c r="R533" i="4" s="1"/>
  <c r="F533" i="4"/>
  <c r="E533" i="4"/>
  <c r="D533" i="4"/>
  <c r="C533" i="4"/>
  <c r="B533" i="4"/>
  <c r="N533" i="4" s="1"/>
  <c r="O533" i="4" s="1"/>
  <c r="A533" i="4"/>
  <c r="M532" i="4"/>
  <c r="U532" i="4" s="1"/>
  <c r="V532" i="4" s="1"/>
  <c r="L532" i="4"/>
  <c r="K532" i="4"/>
  <c r="J532" i="4"/>
  <c r="I532" i="4"/>
  <c r="H532" i="4"/>
  <c r="G532" i="4"/>
  <c r="R532" i="4" s="1"/>
  <c r="F532" i="4"/>
  <c r="E532" i="4"/>
  <c r="D532" i="4"/>
  <c r="C532" i="4"/>
  <c r="B532" i="4"/>
  <c r="N532" i="4" s="1"/>
  <c r="A532" i="4"/>
  <c r="M531" i="4"/>
  <c r="L531" i="4"/>
  <c r="K531" i="4"/>
  <c r="J531" i="4"/>
  <c r="I531" i="4"/>
  <c r="H531" i="4"/>
  <c r="G531" i="4"/>
  <c r="R531" i="4" s="1"/>
  <c r="F531" i="4"/>
  <c r="E531" i="4"/>
  <c r="D531" i="4"/>
  <c r="C531" i="4"/>
  <c r="B531" i="4"/>
  <c r="N531" i="4" s="1"/>
  <c r="A531" i="4"/>
  <c r="M530" i="4"/>
  <c r="U530" i="4" s="1"/>
  <c r="V530" i="4" s="1"/>
  <c r="L530" i="4"/>
  <c r="K530" i="4"/>
  <c r="J530" i="4"/>
  <c r="I530" i="4"/>
  <c r="H530" i="4"/>
  <c r="G530" i="4"/>
  <c r="R530" i="4" s="1"/>
  <c r="F530" i="4"/>
  <c r="E530" i="4"/>
  <c r="D530" i="4"/>
  <c r="C530" i="4"/>
  <c r="B530" i="4"/>
  <c r="N530" i="4" s="1"/>
  <c r="A530" i="4"/>
  <c r="M529" i="4"/>
  <c r="U529" i="4" s="1"/>
  <c r="V529" i="4" s="1"/>
  <c r="L529" i="4"/>
  <c r="K529" i="4"/>
  <c r="J529" i="4"/>
  <c r="I529" i="4"/>
  <c r="H529" i="4"/>
  <c r="G529" i="4"/>
  <c r="R529" i="4" s="1"/>
  <c r="F529" i="4"/>
  <c r="E529" i="4"/>
  <c r="D529" i="4"/>
  <c r="C529" i="4"/>
  <c r="B529" i="4"/>
  <c r="N529" i="4" s="1"/>
  <c r="A529" i="4"/>
  <c r="M528" i="4"/>
  <c r="U528" i="4" s="1"/>
  <c r="V528" i="4" s="1"/>
  <c r="L528" i="4"/>
  <c r="K528" i="4"/>
  <c r="J528" i="4"/>
  <c r="I528" i="4"/>
  <c r="H528" i="4"/>
  <c r="G528" i="4"/>
  <c r="R528" i="4" s="1"/>
  <c r="F528" i="4"/>
  <c r="E528" i="4"/>
  <c r="D528" i="4"/>
  <c r="C528" i="4"/>
  <c r="B528" i="4"/>
  <c r="N528" i="4" s="1"/>
  <c r="A528" i="4"/>
  <c r="M527" i="4"/>
  <c r="U527" i="4" s="1"/>
  <c r="V527" i="4" s="1"/>
  <c r="L527" i="4"/>
  <c r="K527" i="4"/>
  <c r="J527" i="4"/>
  <c r="I527" i="4"/>
  <c r="H527" i="4"/>
  <c r="G527" i="4"/>
  <c r="R527" i="4" s="1"/>
  <c r="F527" i="4"/>
  <c r="E527" i="4"/>
  <c r="D527" i="4"/>
  <c r="C527" i="4"/>
  <c r="B527" i="4"/>
  <c r="N527" i="4" s="1"/>
  <c r="O527" i="4" s="1"/>
  <c r="A527" i="4"/>
  <c r="M526" i="4"/>
  <c r="L526" i="4"/>
  <c r="K526" i="4"/>
  <c r="J526" i="4"/>
  <c r="I526" i="4"/>
  <c r="H526" i="4"/>
  <c r="G526" i="4"/>
  <c r="R526" i="4" s="1"/>
  <c r="F526" i="4"/>
  <c r="E526" i="4"/>
  <c r="D526" i="4"/>
  <c r="C526" i="4"/>
  <c r="B526" i="4"/>
  <c r="N526" i="4" s="1"/>
  <c r="A526" i="4"/>
  <c r="M525" i="4"/>
  <c r="U525" i="4" s="1"/>
  <c r="V525" i="4" s="1"/>
  <c r="L525" i="4"/>
  <c r="K525" i="4"/>
  <c r="J525" i="4"/>
  <c r="I525" i="4"/>
  <c r="H525" i="4"/>
  <c r="G525" i="4"/>
  <c r="R525" i="4" s="1"/>
  <c r="F525" i="4"/>
  <c r="E525" i="4"/>
  <c r="D525" i="4"/>
  <c r="C525" i="4"/>
  <c r="B525" i="4"/>
  <c r="N525" i="4" s="1"/>
  <c r="A525" i="4"/>
  <c r="M524" i="4"/>
  <c r="U524" i="4" s="1"/>
  <c r="V524" i="4" s="1"/>
  <c r="L524" i="4"/>
  <c r="K524" i="4"/>
  <c r="J524" i="4"/>
  <c r="I524" i="4"/>
  <c r="H524" i="4"/>
  <c r="G524" i="4"/>
  <c r="R524" i="4" s="1"/>
  <c r="F524" i="4"/>
  <c r="E524" i="4"/>
  <c r="D524" i="4"/>
  <c r="C524" i="4"/>
  <c r="B524" i="4"/>
  <c r="N524" i="4" s="1"/>
  <c r="A524" i="4"/>
  <c r="M523" i="4"/>
  <c r="U523" i="4" s="1"/>
  <c r="V523" i="4" s="1"/>
  <c r="L523" i="4"/>
  <c r="K523" i="4"/>
  <c r="J523" i="4"/>
  <c r="I523" i="4"/>
  <c r="H523" i="4"/>
  <c r="G523" i="4"/>
  <c r="R523" i="4" s="1"/>
  <c r="F523" i="4"/>
  <c r="E523" i="4"/>
  <c r="D523" i="4"/>
  <c r="C523" i="4"/>
  <c r="B523" i="4"/>
  <c r="N523" i="4" s="1"/>
  <c r="A523" i="4"/>
  <c r="M522" i="4"/>
  <c r="L522" i="4"/>
  <c r="K522" i="4"/>
  <c r="J522" i="4"/>
  <c r="I522" i="4"/>
  <c r="H522" i="4"/>
  <c r="G522" i="4"/>
  <c r="R522" i="4" s="1"/>
  <c r="F522" i="4"/>
  <c r="E522" i="4"/>
  <c r="D522" i="4"/>
  <c r="C522" i="4"/>
  <c r="B522" i="4"/>
  <c r="N522" i="4" s="1"/>
  <c r="A522" i="4"/>
  <c r="M521" i="4"/>
  <c r="U521" i="4" s="1"/>
  <c r="V521" i="4" s="1"/>
  <c r="L521" i="4"/>
  <c r="K521" i="4"/>
  <c r="J521" i="4"/>
  <c r="I521" i="4"/>
  <c r="H521" i="4"/>
  <c r="G521" i="4"/>
  <c r="R521" i="4" s="1"/>
  <c r="F521" i="4"/>
  <c r="E521" i="4"/>
  <c r="D521" i="4"/>
  <c r="C521" i="4"/>
  <c r="B521" i="4"/>
  <c r="N521" i="4" s="1"/>
  <c r="A521" i="4"/>
  <c r="M520" i="4"/>
  <c r="L520" i="4"/>
  <c r="K520" i="4"/>
  <c r="J520" i="4"/>
  <c r="I520" i="4"/>
  <c r="H520" i="4"/>
  <c r="G520" i="4"/>
  <c r="R520" i="4" s="1"/>
  <c r="F520" i="4"/>
  <c r="E520" i="4"/>
  <c r="D520" i="4"/>
  <c r="C520" i="4"/>
  <c r="B520" i="4"/>
  <c r="N520" i="4" s="1"/>
  <c r="A520" i="4"/>
  <c r="U519" i="4"/>
  <c r="V519" i="4" s="1"/>
  <c r="M519" i="4"/>
  <c r="L519" i="4"/>
  <c r="K519" i="4"/>
  <c r="J519" i="4"/>
  <c r="I519" i="4"/>
  <c r="H519" i="4"/>
  <c r="G519" i="4"/>
  <c r="R519" i="4" s="1"/>
  <c r="F519" i="4"/>
  <c r="E519" i="4"/>
  <c r="D519" i="4"/>
  <c r="C519" i="4"/>
  <c r="B519" i="4"/>
  <c r="N519" i="4" s="1"/>
  <c r="A519" i="4"/>
  <c r="M518" i="4"/>
  <c r="U518" i="4" s="1"/>
  <c r="V518" i="4" s="1"/>
  <c r="L518" i="4"/>
  <c r="K518" i="4"/>
  <c r="J518" i="4"/>
  <c r="I518" i="4"/>
  <c r="H518" i="4"/>
  <c r="G518" i="4"/>
  <c r="R518" i="4" s="1"/>
  <c r="F518" i="4"/>
  <c r="E518" i="4"/>
  <c r="D518" i="4"/>
  <c r="C518" i="4"/>
  <c r="B518" i="4"/>
  <c r="N518" i="4" s="1"/>
  <c r="O518" i="4" s="1"/>
  <c r="A518" i="4"/>
  <c r="M517" i="4"/>
  <c r="L517" i="4"/>
  <c r="K517" i="4"/>
  <c r="J517" i="4"/>
  <c r="I517" i="4"/>
  <c r="H517" i="4"/>
  <c r="G517" i="4"/>
  <c r="R517" i="4" s="1"/>
  <c r="F517" i="4"/>
  <c r="E517" i="4"/>
  <c r="D517" i="4"/>
  <c r="C517" i="4"/>
  <c r="B517" i="4"/>
  <c r="N517" i="4" s="1"/>
  <c r="A517" i="4"/>
  <c r="M516" i="4"/>
  <c r="U516" i="4" s="1"/>
  <c r="V516" i="4" s="1"/>
  <c r="L516" i="4"/>
  <c r="K516" i="4"/>
  <c r="J516" i="4"/>
  <c r="I516" i="4"/>
  <c r="H516" i="4"/>
  <c r="G516" i="4"/>
  <c r="R516" i="4" s="1"/>
  <c r="F516" i="4"/>
  <c r="E516" i="4"/>
  <c r="D516" i="4"/>
  <c r="C516" i="4"/>
  <c r="B516" i="4"/>
  <c r="N516" i="4" s="1"/>
  <c r="A516" i="4"/>
  <c r="M515" i="4"/>
  <c r="L515" i="4"/>
  <c r="K515" i="4"/>
  <c r="J515" i="4"/>
  <c r="I515" i="4"/>
  <c r="H515" i="4"/>
  <c r="G515" i="4"/>
  <c r="R515" i="4" s="1"/>
  <c r="F515" i="4"/>
  <c r="E515" i="4"/>
  <c r="D515" i="4"/>
  <c r="C515" i="4"/>
  <c r="B515" i="4"/>
  <c r="N515" i="4" s="1"/>
  <c r="A515" i="4"/>
  <c r="M514" i="4"/>
  <c r="U514" i="4" s="1"/>
  <c r="V514" i="4" s="1"/>
  <c r="L514" i="4"/>
  <c r="K514" i="4"/>
  <c r="J514" i="4"/>
  <c r="I514" i="4"/>
  <c r="H514" i="4"/>
  <c r="G514" i="4"/>
  <c r="R514" i="4" s="1"/>
  <c r="F514" i="4"/>
  <c r="E514" i="4"/>
  <c r="D514" i="4"/>
  <c r="C514" i="4"/>
  <c r="B514" i="4"/>
  <c r="N514" i="4" s="1"/>
  <c r="A514" i="4"/>
  <c r="M513" i="4"/>
  <c r="U513" i="4" s="1"/>
  <c r="V513" i="4" s="1"/>
  <c r="L513" i="4"/>
  <c r="K513" i="4"/>
  <c r="J513" i="4"/>
  <c r="I513" i="4"/>
  <c r="H513" i="4"/>
  <c r="G513" i="4"/>
  <c r="R513" i="4" s="1"/>
  <c r="F513" i="4"/>
  <c r="E513" i="4"/>
  <c r="D513" i="4"/>
  <c r="C513" i="4"/>
  <c r="B513" i="4"/>
  <c r="N513" i="4" s="1"/>
  <c r="A513" i="4"/>
  <c r="M512" i="4"/>
  <c r="L512" i="4"/>
  <c r="K512" i="4"/>
  <c r="J512" i="4"/>
  <c r="I512" i="4"/>
  <c r="H512" i="4"/>
  <c r="G512" i="4"/>
  <c r="R512" i="4" s="1"/>
  <c r="F512" i="4"/>
  <c r="E512" i="4"/>
  <c r="D512" i="4"/>
  <c r="C512" i="4"/>
  <c r="B512" i="4"/>
  <c r="N512" i="4" s="1"/>
  <c r="A512" i="4"/>
  <c r="M511" i="4"/>
  <c r="U511" i="4" s="1"/>
  <c r="V511" i="4" s="1"/>
  <c r="L511" i="4"/>
  <c r="K511" i="4"/>
  <c r="J511" i="4"/>
  <c r="I511" i="4"/>
  <c r="H511" i="4"/>
  <c r="G511" i="4"/>
  <c r="R511" i="4" s="1"/>
  <c r="F511" i="4"/>
  <c r="E511" i="4"/>
  <c r="D511" i="4"/>
  <c r="C511" i="4"/>
  <c r="B511" i="4"/>
  <c r="N511" i="4" s="1"/>
  <c r="A511" i="4"/>
  <c r="U510" i="4"/>
  <c r="V510" i="4" s="1"/>
  <c r="M510" i="4"/>
  <c r="L510" i="4"/>
  <c r="K510" i="4"/>
  <c r="J510" i="4"/>
  <c r="I510" i="4"/>
  <c r="H510" i="4"/>
  <c r="G510" i="4"/>
  <c r="R510" i="4" s="1"/>
  <c r="F510" i="4"/>
  <c r="E510" i="4"/>
  <c r="D510" i="4"/>
  <c r="C510" i="4"/>
  <c r="B510" i="4"/>
  <c r="N510" i="4" s="1"/>
  <c r="A510" i="4"/>
  <c r="M509" i="4"/>
  <c r="L509" i="4"/>
  <c r="K509" i="4"/>
  <c r="J509" i="4"/>
  <c r="I509" i="4"/>
  <c r="H509" i="4"/>
  <c r="G509" i="4"/>
  <c r="R509" i="4" s="1"/>
  <c r="F509" i="4"/>
  <c r="E509" i="4"/>
  <c r="D509" i="4"/>
  <c r="C509" i="4"/>
  <c r="B509" i="4"/>
  <c r="N509" i="4" s="1"/>
  <c r="O509" i="4" s="1"/>
  <c r="A509" i="4"/>
  <c r="M508" i="4"/>
  <c r="L508" i="4"/>
  <c r="K508" i="4"/>
  <c r="J508" i="4"/>
  <c r="I508" i="4"/>
  <c r="H508" i="4"/>
  <c r="G508" i="4"/>
  <c r="R508" i="4" s="1"/>
  <c r="F508" i="4"/>
  <c r="E508" i="4"/>
  <c r="D508" i="4"/>
  <c r="C508" i="4"/>
  <c r="B508" i="4"/>
  <c r="N508" i="4" s="1"/>
  <c r="A508" i="4"/>
  <c r="M507" i="4"/>
  <c r="L507" i="4"/>
  <c r="K507" i="4"/>
  <c r="J507" i="4"/>
  <c r="I507" i="4"/>
  <c r="H507" i="4"/>
  <c r="G507" i="4"/>
  <c r="R507" i="4" s="1"/>
  <c r="F507" i="4"/>
  <c r="E507" i="4"/>
  <c r="D507" i="4"/>
  <c r="C507" i="4"/>
  <c r="B507" i="4"/>
  <c r="N507" i="4" s="1"/>
  <c r="A507" i="4"/>
  <c r="M506" i="4"/>
  <c r="U506" i="4" s="1"/>
  <c r="V506" i="4" s="1"/>
  <c r="L506" i="4"/>
  <c r="K506" i="4"/>
  <c r="J506" i="4"/>
  <c r="I506" i="4"/>
  <c r="H506" i="4"/>
  <c r="G506" i="4"/>
  <c r="R506" i="4" s="1"/>
  <c r="F506" i="4"/>
  <c r="E506" i="4"/>
  <c r="D506" i="4"/>
  <c r="C506" i="4"/>
  <c r="B506" i="4"/>
  <c r="N506" i="4" s="1"/>
  <c r="A506" i="4"/>
  <c r="M505" i="4"/>
  <c r="U505" i="4" s="1"/>
  <c r="V505" i="4" s="1"/>
  <c r="L505" i="4"/>
  <c r="K505" i="4"/>
  <c r="J505" i="4"/>
  <c r="I505" i="4"/>
  <c r="H505" i="4"/>
  <c r="G505" i="4"/>
  <c r="R505" i="4" s="1"/>
  <c r="F505" i="4"/>
  <c r="E505" i="4"/>
  <c r="D505" i="4"/>
  <c r="C505" i="4"/>
  <c r="B505" i="4"/>
  <c r="N505" i="4" s="1"/>
  <c r="A505" i="4"/>
  <c r="M504" i="4"/>
  <c r="U504" i="4" s="1"/>
  <c r="V504" i="4" s="1"/>
  <c r="L504" i="4"/>
  <c r="K504" i="4"/>
  <c r="J504" i="4"/>
  <c r="I504" i="4"/>
  <c r="H504" i="4"/>
  <c r="G504" i="4"/>
  <c r="R504" i="4" s="1"/>
  <c r="F504" i="4"/>
  <c r="E504" i="4"/>
  <c r="D504" i="4"/>
  <c r="C504" i="4"/>
  <c r="B504" i="4"/>
  <c r="N504" i="4" s="1"/>
  <c r="A504" i="4"/>
  <c r="M503" i="4"/>
  <c r="L503" i="4"/>
  <c r="K503" i="4"/>
  <c r="J503" i="4"/>
  <c r="I503" i="4"/>
  <c r="H503" i="4"/>
  <c r="G503" i="4"/>
  <c r="R503" i="4" s="1"/>
  <c r="F503" i="4"/>
  <c r="E503" i="4"/>
  <c r="D503" i="4"/>
  <c r="C503" i="4"/>
  <c r="B503" i="4"/>
  <c r="N503" i="4" s="1"/>
  <c r="A503" i="4"/>
  <c r="M502" i="4"/>
  <c r="U502" i="4" s="1"/>
  <c r="V502" i="4" s="1"/>
  <c r="L502" i="4"/>
  <c r="K502" i="4"/>
  <c r="J502" i="4"/>
  <c r="I502" i="4"/>
  <c r="H502" i="4"/>
  <c r="G502" i="4"/>
  <c r="R502" i="4" s="1"/>
  <c r="F502" i="4"/>
  <c r="E502" i="4"/>
  <c r="D502" i="4"/>
  <c r="C502" i="4"/>
  <c r="B502" i="4"/>
  <c r="N502" i="4" s="1"/>
  <c r="A502" i="4"/>
  <c r="M501" i="4"/>
  <c r="U501" i="4" s="1"/>
  <c r="V501" i="4" s="1"/>
  <c r="L501" i="4"/>
  <c r="K501" i="4"/>
  <c r="J501" i="4"/>
  <c r="I501" i="4"/>
  <c r="H501" i="4"/>
  <c r="G501" i="4"/>
  <c r="R501" i="4" s="1"/>
  <c r="F501" i="4"/>
  <c r="E501" i="4"/>
  <c r="D501" i="4"/>
  <c r="C501" i="4"/>
  <c r="B501" i="4"/>
  <c r="N501" i="4" s="1"/>
  <c r="A501" i="4"/>
  <c r="M500" i="4"/>
  <c r="L500" i="4"/>
  <c r="K500" i="4"/>
  <c r="J500" i="4"/>
  <c r="I500" i="4"/>
  <c r="H500" i="4"/>
  <c r="G500" i="4"/>
  <c r="R500" i="4" s="1"/>
  <c r="F500" i="4"/>
  <c r="E500" i="4"/>
  <c r="D500" i="4"/>
  <c r="C500" i="4"/>
  <c r="B500" i="4"/>
  <c r="N500" i="4" s="1"/>
  <c r="O500" i="4" s="1"/>
  <c r="A500" i="4"/>
  <c r="M499" i="4"/>
  <c r="U499" i="4" s="1"/>
  <c r="V499" i="4" s="1"/>
  <c r="L499" i="4"/>
  <c r="K499" i="4"/>
  <c r="J499" i="4"/>
  <c r="I499" i="4"/>
  <c r="H499" i="4"/>
  <c r="G499" i="4"/>
  <c r="R499" i="4" s="1"/>
  <c r="F499" i="4"/>
  <c r="E499" i="4"/>
  <c r="D499" i="4"/>
  <c r="C499" i="4"/>
  <c r="B499" i="4"/>
  <c r="N499" i="4" s="1"/>
  <c r="A499" i="4"/>
  <c r="M498" i="4"/>
  <c r="U498" i="4" s="1"/>
  <c r="V498" i="4" s="1"/>
  <c r="L498" i="4"/>
  <c r="K498" i="4"/>
  <c r="J498" i="4"/>
  <c r="I498" i="4"/>
  <c r="H498" i="4"/>
  <c r="G498" i="4"/>
  <c r="R498" i="4" s="1"/>
  <c r="F498" i="4"/>
  <c r="E498" i="4"/>
  <c r="D498" i="4"/>
  <c r="C498" i="4"/>
  <c r="B498" i="4"/>
  <c r="N498" i="4" s="1"/>
  <c r="A498" i="4"/>
  <c r="M497" i="4"/>
  <c r="L497" i="4"/>
  <c r="K497" i="4"/>
  <c r="J497" i="4"/>
  <c r="I497" i="4"/>
  <c r="H497" i="4"/>
  <c r="G497" i="4"/>
  <c r="R497" i="4" s="1"/>
  <c r="F497" i="4"/>
  <c r="E497" i="4"/>
  <c r="D497" i="4"/>
  <c r="C497" i="4"/>
  <c r="B497" i="4"/>
  <c r="N497" i="4" s="1"/>
  <c r="A497" i="4"/>
  <c r="M496" i="4"/>
  <c r="L496" i="4"/>
  <c r="K496" i="4"/>
  <c r="J496" i="4"/>
  <c r="I496" i="4"/>
  <c r="H496" i="4"/>
  <c r="G496" i="4"/>
  <c r="R496" i="4" s="1"/>
  <c r="F496" i="4"/>
  <c r="E496" i="4"/>
  <c r="D496" i="4"/>
  <c r="C496" i="4"/>
  <c r="B496" i="4"/>
  <c r="N496" i="4" s="1"/>
  <c r="A496" i="4"/>
  <c r="M495" i="4"/>
  <c r="L495" i="4"/>
  <c r="K495" i="4"/>
  <c r="J495" i="4"/>
  <c r="I495" i="4"/>
  <c r="H495" i="4"/>
  <c r="G495" i="4"/>
  <c r="R495" i="4" s="1"/>
  <c r="F495" i="4"/>
  <c r="E495" i="4"/>
  <c r="D495" i="4"/>
  <c r="C495" i="4"/>
  <c r="B495" i="4"/>
  <c r="N495" i="4" s="1"/>
  <c r="A495" i="4"/>
  <c r="M494" i="4"/>
  <c r="L494" i="4"/>
  <c r="K494" i="4"/>
  <c r="J494" i="4"/>
  <c r="I494" i="4"/>
  <c r="H494" i="4"/>
  <c r="G494" i="4"/>
  <c r="R494" i="4" s="1"/>
  <c r="F494" i="4"/>
  <c r="E494" i="4"/>
  <c r="D494" i="4"/>
  <c r="C494" i="4"/>
  <c r="B494" i="4"/>
  <c r="N494" i="4" s="1"/>
  <c r="A494" i="4"/>
  <c r="M493" i="4"/>
  <c r="L493" i="4"/>
  <c r="K493" i="4"/>
  <c r="J493" i="4"/>
  <c r="I493" i="4"/>
  <c r="H493" i="4"/>
  <c r="G493" i="4"/>
  <c r="R493" i="4" s="1"/>
  <c r="F493" i="4"/>
  <c r="E493" i="4"/>
  <c r="D493" i="4"/>
  <c r="C493" i="4"/>
  <c r="B493" i="4"/>
  <c r="N493" i="4" s="1"/>
  <c r="A493" i="4"/>
  <c r="M492" i="4"/>
  <c r="U492" i="4" s="1"/>
  <c r="V492" i="4" s="1"/>
  <c r="L492" i="4"/>
  <c r="K492" i="4"/>
  <c r="J492" i="4"/>
  <c r="I492" i="4"/>
  <c r="H492" i="4"/>
  <c r="G492" i="4"/>
  <c r="R492" i="4" s="1"/>
  <c r="F492" i="4"/>
  <c r="E492" i="4"/>
  <c r="D492" i="4"/>
  <c r="C492" i="4"/>
  <c r="B492" i="4"/>
  <c r="N492" i="4" s="1"/>
  <c r="A492" i="4"/>
  <c r="M491" i="4"/>
  <c r="U491" i="4" s="1"/>
  <c r="V491" i="4" s="1"/>
  <c r="L491" i="4"/>
  <c r="K491" i="4"/>
  <c r="J491" i="4"/>
  <c r="I491" i="4"/>
  <c r="H491" i="4"/>
  <c r="G491" i="4"/>
  <c r="R491" i="4" s="1"/>
  <c r="F491" i="4"/>
  <c r="E491" i="4"/>
  <c r="D491" i="4"/>
  <c r="C491" i="4"/>
  <c r="B491" i="4"/>
  <c r="N491" i="4" s="1"/>
  <c r="O491" i="4" s="1"/>
  <c r="A491" i="4"/>
  <c r="M490" i="4"/>
  <c r="U490" i="4" s="1"/>
  <c r="V490" i="4" s="1"/>
  <c r="L490" i="4"/>
  <c r="K490" i="4"/>
  <c r="J490" i="4"/>
  <c r="I490" i="4"/>
  <c r="H490" i="4"/>
  <c r="G490" i="4"/>
  <c r="R490" i="4" s="1"/>
  <c r="F490" i="4"/>
  <c r="E490" i="4"/>
  <c r="D490" i="4"/>
  <c r="C490" i="4"/>
  <c r="B490" i="4"/>
  <c r="N490" i="4" s="1"/>
  <c r="A490" i="4"/>
  <c r="M489" i="4"/>
  <c r="U489" i="4" s="1"/>
  <c r="V489" i="4" s="1"/>
  <c r="L489" i="4"/>
  <c r="K489" i="4"/>
  <c r="J489" i="4"/>
  <c r="I489" i="4"/>
  <c r="H489" i="4"/>
  <c r="G489" i="4"/>
  <c r="R489" i="4" s="1"/>
  <c r="F489" i="4"/>
  <c r="E489" i="4"/>
  <c r="D489" i="4"/>
  <c r="C489" i="4"/>
  <c r="B489" i="4"/>
  <c r="N489" i="4" s="1"/>
  <c r="A489" i="4"/>
  <c r="M488" i="4"/>
  <c r="L488" i="4"/>
  <c r="K488" i="4"/>
  <c r="J488" i="4"/>
  <c r="I488" i="4"/>
  <c r="H488" i="4"/>
  <c r="G488" i="4"/>
  <c r="R488" i="4" s="1"/>
  <c r="F488" i="4"/>
  <c r="E488" i="4"/>
  <c r="D488" i="4"/>
  <c r="C488" i="4"/>
  <c r="B488" i="4"/>
  <c r="N488" i="4" s="1"/>
  <c r="A488" i="4"/>
  <c r="M487" i="4"/>
  <c r="L487" i="4"/>
  <c r="K487" i="4"/>
  <c r="J487" i="4"/>
  <c r="I487" i="4"/>
  <c r="H487" i="4"/>
  <c r="G487" i="4"/>
  <c r="R487" i="4" s="1"/>
  <c r="F487" i="4"/>
  <c r="E487" i="4"/>
  <c r="D487" i="4"/>
  <c r="C487" i="4"/>
  <c r="B487" i="4"/>
  <c r="N487" i="4" s="1"/>
  <c r="A487" i="4"/>
  <c r="U486" i="4"/>
  <c r="V486" i="4" s="1"/>
  <c r="M486" i="4"/>
  <c r="L486" i="4"/>
  <c r="K486" i="4"/>
  <c r="J486" i="4"/>
  <c r="I486" i="4"/>
  <c r="H486" i="4"/>
  <c r="G486" i="4"/>
  <c r="R486" i="4" s="1"/>
  <c r="F486" i="4"/>
  <c r="E486" i="4"/>
  <c r="D486" i="4"/>
  <c r="C486" i="4"/>
  <c r="B486" i="4"/>
  <c r="N486" i="4" s="1"/>
  <c r="A486" i="4"/>
  <c r="M485" i="4"/>
  <c r="L485" i="4"/>
  <c r="K485" i="4"/>
  <c r="J485" i="4"/>
  <c r="I485" i="4"/>
  <c r="H485" i="4"/>
  <c r="G485" i="4"/>
  <c r="R485" i="4" s="1"/>
  <c r="F485" i="4"/>
  <c r="E485" i="4"/>
  <c r="D485" i="4"/>
  <c r="C485" i="4"/>
  <c r="O485" i="4" s="1"/>
  <c r="B485" i="4"/>
  <c r="N485" i="4" s="1"/>
  <c r="A485" i="4"/>
  <c r="M484" i="4"/>
  <c r="U484" i="4" s="1"/>
  <c r="V484" i="4" s="1"/>
  <c r="L484" i="4"/>
  <c r="K484" i="4"/>
  <c r="J484" i="4"/>
  <c r="I484" i="4"/>
  <c r="H484" i="4"/>
  <c r="G484" i="4"/>
  <c r="R484" i="4" s="1"/>
  <c r="F484" i="4"/>
  <c r="E484" i="4"/>
  <c r="D484" i="4"/>
  <c r="C484" i="4"/>
  <c r="B484" i="4"/>
  <c r="N484" i="4" s="1"/>
  <c r="A484" i="4"/>
  <c r="M483" i="4"/>
  <c r="L483" i="4"/>
  <c r="K483" i="4"/>
  <c r="J483" i="4"/>
  <c r="I483" i="4"/>
  <c r="H483" i="4"/>
  <c r="G483" i="4"/>
  <c r="R483" i="4" s="1"/>
  <c r="F483" i="4"/>
  <c r="E483" i="4"/>
  <c r="D483" i="4"/>
  <c r="C483" i="4"/>
  <c r="B483" i="4"/>
  <c r="N483" i="4" s="1"/>
  <c r="A483" i="4"/>
  <c r="M482" i="4"/>
  <c r="U482" i="4" s="1"/>
  <c r="V482" i="4" s="1"/>
  <c r="L482" i="4"/>
  <c r="K482" i="4"/>
  <c r="J482" i="4"/>
  <c r="I482" i="4"/>
  <c r="H482" i="4"/>
  <c r="G482" i="4"/>
  <c r="R482" i="4" s="1"/>
  <c r="F482" i="4"/>
  <c r="E482" i="4"/>
  <c r="D482" i="4"/>
  <c r="C482" i="4"/>
  <c r="B482" i="4"/>
  <c r="N482" i="4" s="1"/>
  <c r="O482" i="4" s="1"/>
  <c r="A482" i="4"/>
  <c r="M481" i="4"/>
  <c r="U481" i="4" s="1"/>
  <c r="V481" i="4" s="1"/>
  <c r="L481" i="4"/>
  <c r="K481" i="4"/>
  <c r="J481" i="4"/>
  <c r="I481" i="4"/>
  <c r="H481" i="4"/>
  <c r="G481" i="4"/>
  <c r="R481" i="4" s="1"/>
  <c r="F481" i="4"/>
  <c r="E481" i="4"/>
  <c r="D481" i="4"/>
  <c r="C481" i="4"/>
  <c r="B481" i="4"/>
  <c r="N481" i="4" s="1"/>
  <c r="A481" i="4"/>
  <c r="M480" i="4"/>
  <c r="U480" i="4" s="1"/>
  <c r="V480" i="4" s="1"/>
  <c r="L480" i="4"/>
  <c r="K480" i="4"/>
  <c r="J480" i="4"/>
  <c r="I480" i="4"/>
  <c r="H480" i="4"/>
  <c r="G480" i="4"/>
  <c r="R480" i="4" s="1"/>
  <c r="F480" i="4"/>
  <c r="E480" i="4"/>
  <c r="D480" i="4"/>
  <c r="C480" i="4"/>
  <c r="B480" i="4"/>
  <c r="N480" i="4" s="1"/>
  <c r="A480" i="4"/>
  <c r="M479" i="4"/>
  <c r="U479" i="4" s="1"/>
  <c r="V479" i="4" s="1"/>
  <c r="L479" i="4"/>
  <c r="K479" i="4"/>
  <c r="J479" i="4"/>
  <c r="I479" i="4"/>
  <c r="H479" i="4"/>
  <c r="G479" i="4"/>
  <c r="R479" i="4" s="1"/>
  <c r="F479" i="4"/>
  <c r="E479" i="4"/>
  <c r="D479" i="4"/>
  <c r="C479" i="4"/>
  <c r="B479" i="4"/>
  <c r="N479" i="4" s="1"/>
  <c r="O479" i="4" s="1"/>
  <c r="A479" i="4"/>
  <c r="M478" i="4"/>
  <c r="L478" i="4"/>
  <c r="K478" i="4"/>
  <c r="J478" i="4"/>
  <c r="I478" i="4"/>
  <c r="H478" i="4"/>
  <c r="G478" i="4"/>
  <c r="R478" i="4" s="1"/>
  <c r="F478" i="4"/>
  <c r="E478" i="4"/>
  <c r="D478" i="4"/>
  <c r="C478" i="4"/>
  <c r="B478" i="4"/>
  <c r="N478" i="4" s="1"/>
  <c r="A478" i="4"/>
  <c r="M477" i="4"/>
  <c r="U477" i="4" s="1"/>
  <c r="V477" i="4" s="1"/>
  <c r="L477" i="4"/>
  <c r="K477" i="4"/>
  <c r="J477" i="4"/>
  <c r="I477" i="4"/>
  <c r="H477" i="4"/>
  <c r="G477" i="4"/>
  <c r="R477" i="4" s="1"/>
  <c r="F477" i="4"/>
  <c r="E477" i="4"/>
  <c r="D477" i="4"/>
  <c r="C477" i="4"/>
  <c r="B477" i="4"/>
  <c r="N477" i="4" s="1"/>
  <c r="A477" i="4"/>
  <c r="M476" i="4"/>
  <c r="U476" i="4" s="1"/>
  <c r="V476" i="4" s="1"/>
  <c r="L476" i="4"/>
  <c r="K476" i="4"/>
  <c r="J476" i="4"/>
  <c r="I476" i="4"/>
  <c r="H476" i="4"/>
  <c r="G476" i="4"/>
  <c r="R476" i="4" s="1"/>
  <c r="F476" i="4"/>
  <c r="E476" i="4"/>
  <c r="D476" i="4"/>
  <c r="C476" i="4"/>
  <c r="B476" i="4"/>
  <c r="N476" i="4" s="1"/>
  <c r="A476" i="4"/>
  <c r="M475" i="4"/>
  <c r="U475" i="4" s="1"/>
  <c r="V475" i="4" s="1"/>
  <c r="L475" i="4"/>
  <c r="K475" i="4"/>
  <c r="J475" i="4"/>
  <c r="I475" i="4"/>
  <c r="H475" i="4"/>
  <c r="G475" i="4"/>
  <c r="R475" i="4" s="1"/>
  <c r="F475" i="4"/>
  <c r="E475" i="4"/>
  <c r="D475" i="4"/>
  <c r="C475" i="4"/>
  <c r="B475" i="4"/>
  <c r="N475" i="4" s="1"/>
  <c r="A475" i="4"/>
  <c r="M474" i="4"/>
  <c r="U474" i="4" s="1"/>
  <c r="V474" i="4" s="1"/>
  <c r="L474" i="4"/>
  <c r="K474" i="4"/>
  <c r="J474" i="4"/>
  <c r="I474" i="4"/>
  <c r="H474" i="4"/>
  <c r="G474" i="4"/>
  <c r="R474" i="4" s="1"/>
  <c r="F474" i="4"/>
  <c r="E474" i="4"/>
  <c r="D474" i="4"/>
  <c r="C474" i="4"/>
  <c r="B474" i="4"/>
  <c r="N474" i="4" s="1"/>
  <c r="A474" i="4"/>
  <c r="M473" i="4"/>
  <c r="U473" i="4" s="1"/>
  <c r="V473" i="4" s="1"/>
  <c r="L473" i="4"/>
  <c r="K473" i="4"/>
  <c r="J473" i="4"/>
  <c r="I473" i="4"/>
  <c r="H473" i="4"/>
  <c r="G473" i="4"/>
  <c r="R473" i="4" s="1"/>
  <c r="F473" i="4"/>
  <c r="E473" i="4"/>
  <c r="D473" i="4"/>
  <c r="C473" i="4"/>
  <c r="B473" i="4"/>
  <c r="N473" i="4" s="1"/>
  <c r="O473" i="4" s="1"/>
  <c r="A473" i="4"/>
  <c r="M472" i="4"/>
  <c r="L472" i="4"/>
  <c r="K472" i="4"/>
  <c r="J472" i="4"/>
  <c r="I472" i="4"/>
  <c r="H472" i="4"/>
  <c r="G472" i="4"/>
  <c r="R472" i="4" s="1"/>
  <c r="F472" i="4"/>
  <c r="E472" i="4"/>
  <c r="D472" i="4"/>
  <c r="C472" i="4"/>
  <c r="B472" i="4"/>
  <c r="N472" i="4" s="1"/>
  <c r="A472" i="4"/>
  <c r="M471" i="4"/>
  <c r="U471" i="4" s="1"/>
  <c r="V471" i="4" s="1"/>
  <c r="L471" i="4"/>
  <c r="K471" i="4"/>
  <c r="J471" i="4"/>
  <c r="I471" i="4"/>
  <c r="H471" i="4"/>
  <c r="G471" i="4"/>
  <c r="R471" i="4" s="1"/>
  <c r="F471" i="4"/>
  <c r="E471" i="4"/>
  <c r="D471" i="4"/>
  <c r="C471" i="4"/>
  <c r="B471" i="4"/>
  <c r="N471" i="4" s="1"/>
  <c r="A471" i="4"/>
  <c r="M470" i="4"/>
  <c r="U470" i="4" s="1"/>
  <c r="V470" i="4" s="1"/>
  <c r="L470" i="4"/>
  <c r="K470" i="4"/>
  <c r="J470" i="4"/>
  <c r="I470" i="4"/>
  <c r="H470" i="4"/>
  <c r="G470" i="4"/>
  <c r="R470" i="4" s="1"/>
  <c r="F470" i="4"/>
  <c r="E470" i="4"/>
  <c r="D470" i="4"/>
  <c r="C470" i="4"/>
  <c r="B470" i="4"/>
  <c r="N470" i="4" s="1"/>
  <c r="O470" i="4" s="1"/>
  <c r="A470" i="4"/>
  <c r="M469" i="4"/>
  <c r="L469" i="4"/>
  <c r="K469" i="4"/>
  <c r="J469" i="4"/>
  <c r="I469" i="4"/>
  <c r="H469" i="4"/>
  <c r="G469" i="4"/>
  <c r="R469" i="4" s="1"/>
  <c r="F469" i="4"/>
  <c r="E469" i="4"/>
  <c r="D469" i="4"/>
  <c r="C469" i="4"/>
  <c r="B469" i="4"/>
  <c r="N469" i="4" s="1"/>
  <c r="A469" i="4"/>
  <c r="M468" i="4"/>
  <c r="L468" i="4"/>
  <c r="K468" i="4"/>
  <c r="J468" i="4"/>
  <c r="I468" i="4"/>
  <c r="H468" i="4"/>
  <c r="G468" i="4"/>
  <c r="R468" i="4" s="1"/>
  <c r="F468" i="4"/>
  <c r="E468" i="4"/>
  <c r="D468" i="4"/>
  <c r="C468" i="4"/>
  <c r="B468" i="4"/>
  <c r="N468" i="4" s="1"/>
  <c r="A468" i="4"/>
  <c r="M467" i="4"/>
  <c r="U467" i="4" s="1"/>
  <c r="V467" i="4" s="1"/>
  <c r="L467" i="4"/>
  <c r="K467" i="4"/>
  <c r="J467" i="4"/>
  <c r="I467" i="4"/>
  <c r="H467" i="4"/>
  <c r="G467" i="4"/>
  <c r="R467" i="4" s="1"/>
  <c r="F467" i="4"/>
  <c r="E467" i="4"/>
  <c r="D467" i="4"/>
  <c r="C467" i="4"/>
  <c r="B467" i="4"/>
  <c r="N467" i="4" s="1"/>
  <c r="A467" i="4"/>
  <c r="M466" i="4"/>
  <c r="U466" i="4" s="1"/>
  <c r="V466" i="4" s="1"/>
  <c r="L466" i="4"/>
  <c r="K466" i="4"/>
  <c r="J466" i="4"/>
  <c r="I466" i="4"/>
  <c r="H466" i="4"/>
  <c r="G466" i="4"/>
  <c r="R466" i="4" s="1"/>
  <c r="F466" i="4"/>
  <c r="E466" i="4"/>
  <c r="D466" i="4"/>
  <c r="C466" i="4"/>
  <c r="B466" i="4"/>
  <c r="N466" i="4" s="1"/>
  <c r="A466" i="4"/>
  <c r="M465" i="4"/>
  <c r="L465" i="4"/>
  <c r="K465" i="4"/>
  <c r="J465" i="4"/>
  <c r="I465" i="4"/>
  <c r="H465" i="4"/>
  <c r="G465" i="4"/>
  <c r="R465" i="4" s="1"/>
  <c r="F465" i="4"/>
  <c r="E465" i="4"/>
  <c r="D465" i="4"/>
  <c r="C465" i="4"/>
  <c r="B465" i="4"/>
  <c r="N465" i="4" s="1"/>
  <c r="A465" i="4"/>
  <c r="M464" i="4"/>
  <c r="L464" i="4"/>
  <c r="K464" i="4"/>
  <c r="J464" i="4"/>
  <c r="I464" i="4"/>
  <c r="H464" i="4"/>
  <c r="G464" i="4"/>
  <c r="R464" i="4" s="1"/>
  <c r="F464" i="4"/>
  <c r="E464" i="4"/>
  <c r="D464" i="4"/>
  <c r="C464" i="4"/>
  <c r="B464" i="4"/>
  <c r="N464" i="4" s="1"/>
  <c r="A464" i="4"/>
  <c r="M463" i="4"/>
  <c r="U463" i="4" s="1"/>
  <c r="V463" i="4" s="1"/>
  <c r="L463" i="4"/>
  <c r="K463" i="4"/>
  <c r="J463" i="4"/>
  <c r="I463" i="4"/>
  <c r="H463" i="4"/>
  <c r="G463" i="4"/>
  <c r="R463" i="4" s="1"/>
  <c r="F463" i="4"/>
  <c r="E463" i="4"/>
  <c r="D463" i="4"/>
  <c r="C463" i="4"/>
  <c r="B463" i="4"/>
  <c r="N463" i="4" s="1"/>
  <c r="A463" i="4"/>
  <c r="M462" i="4"/>
  <c r="U462" i="4" s="1"/>
  <c r="V462" i="4" s="1"/>
  <c r="L462" i="4"/>
  <c r="K462" i="4"/>
  <c r="J462" i="4"/>
  <c r="I462" i="4"/>
  <c r="H462" i="4"/>
  <c r="G462" i="4"/>
  <c r="R462" i="4" s="1"/>
  <c r="F462" i="4"/>
  <c r="E462" i="4"/>
  <c r="D462" i="4"/>
  <c r="C462" i="4"/>
  <c r="B462" i="4"/>
  <c r="N462" i="4" s="1"/>
  <c r="A462" i="4"/>
  <c r="M461" i="4"/>
  <c r="L461" i="4"/>
  <c r="K461" i="4"/>
  <c r="J461" i="4"/>
  <c r="I461" i="4"/>
  <c r="H461" i="4"/>
  <c r="G461" i="4"/>
  <c r="R461" i="4" s="1"/>
  <c r="F461" i="4"/>
  <c r="E461" i="4"/>
  <c r="D461" i="4"/>
  <c r="C461" i="4"/>
  <c r="B461" i="4"/>
  <c r="N461" i="4" s="1"/>
  <c r="O461" i="4" s="1"/>
  <c r="A461" i="4"/>
  <c r="M460" i="4"/>
  <c r="U460" i="4" s="1"/>
  <c r="V460" i="4" s="1"/>
  <c r="L460" i="4"/>
  <c r="K460" i="4"/>
  <c r="J460" i="4"/>
  <c r="I460" i="4"/>
  <c r="H460" i="4"/>
  <c r="G460" i="4"/>
  <c r="R460" i="4" s="1"/>
  <c r="F460" i="4"/>
  <c r="E460" i="4"/>
  <c r="D460" i="4"/>
  <c r="C460" i="4"/>
  <c r="B460" i="4"/>
  <c r="N460" i="4" s="1"/>
  <c r="A460" i="4"/>
  <c r="M459" i="4"/>
  <c r="L459" i="4"/>
  <c r="K459" i="4"/>
  <c r="J459" i="4"/>
  <c r="I459" i="4"/>
  <c r="H459" i="4"/>
  <c r="G459" i="4"/>
  <c r="R459" i="4" s="1"/>
  <c r="F459" i="4"/>
  <c r="E459" i="4"/>
  <c r="D459" i="4"/>
  <c r="C459" i="4"/>
  <c r="B459" i="4"/>
  <c r="N459" i="4" s="1"/>
  <c r="A459" i="4"/>
  <c r="M458" i="4"/>
  <c r="U458" i="4" s="1"/>
  <c r="V458" i="4" s="1"/>
  <c r="L458" i="4"/>
  <c r="K458" i="4"/>
  <c r="J458" i="4"/>
  <c r="I458" i="4"/>
  <c r="H458" i="4"/>
  <c r="G458" i="4"/>
  <c r="R458" i="4" s="1"/>
  <c r="F458" i="4"/>
  <c r="E458" i="4"/>
  <c r="D458" i="4"/>
  <c r="C458" i="4"/>
  <c r="B458" i="4"/>
  <c r="N458" i="4" s="1"/>
  <c r="A458" i="4"/>
  <c r="M457" i="4"/>
  <c r="U457" i="4" s="1"/>
  <c r="V457" i="4" s="1"/>
  <c r="L457" i="4"/>
  <c r="K457" i="4"/>
  <c r="J457" i="4"/>
  <c r="I457" i="4"/>
  <c r="H457" i="4"/>
  <c r="G457" i="4"/>
  <c r="R457" i="4" s="1"/>
  <c r="F457" i="4"/>
  <c r="E457" i="4"/>
  <c r="D457" i="4"/>
  <c r="C457" i="4"/>
  <c r="B457" i="4"/>
  <c r="N457" i="4" s="1"/>
  <c r="A457" i="4"/>
  <c r="M456" i="4"/>
  <c r="U456" i="4" s="1"/>
  <c r="V456" i="4" s="1"/>
  <c r="L456" i="4"/>
  <c r="K456" i="4"/>
  <c r="J456" i="4"/>
  <c r="I456" i="4"/>
  <c r="H456" i="4"/>
  <c r="G456" i="4"/>
  <c r="R456" i="4" s="1"/>
  <c r="F456" i="4"/>
  <c r="E456" i="4"/>
  <c r="D456" i="4"/>
  <c r="C456" i="4"/>
  <c r="B456" i="4"/>
  <c r="N456" i="4" s="1"/>
  <c r="A456" i="4"/>
  <c r="M455" i="4"/>
  <c r="U455" i="4" s="1"/>
  <c r="V455" i="4" s="1"/>
  <c r="L455" i="4"/>
  <c r="K455" i="4"/>
  <c r="J455" i="4"/>
  <c r="I455" i="4"/>
  <c r="H455" i="4"/>
  <c r="G455" i="4"/>
  <c r="R455" i="4" s="1"/>
  <c r="F455" i="4"/>
  <c r="E455" i="4"/>
  <c r="D455" i="4"/>
  <c r="C455" i="4"/>
  <c r="B455" i="4"/>
  <c r="N455" i="4" s="1"/>
  <c r="A455" i="4"/>
  <c r="M454" i="4"/>
  <c r="L454" i="4"/>
  <c r="K454" i="4"/>
  <c r="J454" i="4"/>
  <c r="I454" i="4"/>
  <c r="H454" i="4"/>
  <c r="G454" i="4"/>
  <c r="R454" i="4" s="1"/>
  <c r="F454" i="4"/>
  <c r="E454" i="4"/>
  <c r="D454" i="4"/>
  <c r="C454" i="4"/>
  <c r="B454" i="4"/>
  <c r="N454" i="4" s="1"/>
  <c r="A454" i="4"/>
  <c r="M453" i="4"/>
  <c r="U453" i="4" s="1"/>
  <c r="V453" i="4" s="1"/>
  <c r="L453" i="4"/>
  <c r="K453" i="4"/>
  <c r="J453" i="4"/>
  <c r="I453" i="4"/>
  <c r="H453" i="4"/>
  <c r="G453" i="4"/>
  <c r="R453" i="4" s="1"/>
  <c r="F453" i="4"/>
  <c r="E453" i="4"/>
  <c r="D453" i="4"/>
  <c r="C453" i="4"/>
  <c r="B453" i="4"/>
  <c r="N453" i="4" s="1"/>
  <c r="O453" i="4" s="1"/>
  <c r="A453" i="4"/>
  <c r="M452" i="4"/>
  <c r="U452" i="4" s="1"/>
  <c r="V452" i="4" s="1"/>
  <c r="L452" i="4"/>
  <c r="K452" i="4"/>
  <c r="J452" i="4"/>
  <c r="I452" i="4"/>
  <c r="H452" i="4"/>
  <c r="G452" i="4"/>
  <c r="R452" i="4" s="1"/>
  <c r="F452" i="4"/>
  <c r="E452" i="4"/>
  <c r="D452" i="4"/>
  <c r="C452" i="4"/>
  <c r="B452" i="4"/>
  <c r="N452" i="4" s="1"/>
  <c r="A452" i="4"/>
  <c r="M451" i="4"/>
  <c r="U451" i="4" s="1"/>
  <c r="V451" i="4" s="1"/>
  <c r="L451" i="4"/>
  <c r="K451" i="4"/>
  <c r="J451" i="4"/>
  <c r="I451" i="4"/>
  <c r="H451" i="4"/>
  <c r="G451" i="4"/>
  <c r="R451" i="4" s="1"/>
  <c r="F451" i="4"/>
  <c r="E451" i="4"/>
  <c r="D451" i="4"/>
  <c r="C451" i="4"/>
  <c r="B451" i="4"/>
  <c r="N451" i="4" s="1"/>
  <c r="A451" i="4"/>
  <c r="M450" i="4"/>
  <c r="L450" i="4"/>
  <c r="K450" i="4"/>
  <c r="J450" i="4"/>
  <c r="I450" i="4"/>
  <c r="H450" i="4"/>
  <c r="G450" i="4"/>
  <c r="R450" i="4" s="1"/>
  <c r="F450" i="4"/>
  <c r="E450" i="4"/>
  <c r="D450" i="4"/>
  <c r="C450" i="4"/>
  <c r="B450" i="4"/>
  <c r="N450" i="4" s="1"/>
  <c r="A450" i="4"/>
  <c r="M449" i="4"/>
  <c r="U449" i="4" s="1"/>
  <c r="V449" i="4" s="1"/>
  <c r="L449" i="4"/>
  <c r="K449" i="4"/>
  <c r="J449" i="4"/>
  <c r="I449" i="4"/>
  <c r="H449" i="4"/>
  <c r="G449" i="4"/>
  <c r="R449" i="4" s="1"/>
  <c r="F449" i="4"/>
  <c r="E449" i="4"/>
  <c r="D449" i="4"/>
  <c r="C449" i="4"/>
  <c r="B449" i="4"/>
  <c r="N449" i="4" s="1"/>
  <c r="A449" i="4"/>
  <c r="M448" i="4"/>
  <c r="L448" i="4"/>
  <c r="K448" i="4"/>
  <c r="J448" i="4"/>
  <c r="I448" i="4"/>
  <c r="H448" i="4"/>
  <c r="G448" i="4"/>
  <c r="R448" i="4" s="1"/>
  <c r="F448" i="4"/>
  <c r="E448" i="4"/>
  <c r="D448" i="4"/>
  <c r="C448" i="4"/>
  <c r="B448" i="4"/>
  <c r="N448" i="4" s="1"/>
  <c r="A448" i="4"/>
  <c r="M447" i="4"/>
  <c r="L447" i="4"/>
  <c r="K447" i="4"/>
  <c r="J447" i="4"/>
  <c r="I447" i="4"/>
  <c r="H447" i="4"/>
  <c r="G447" i="4"/>
  <c r="R447" i="4" s="1"/>
  <c r="F447" i="4"/>
  <c r="E447" i="4"/>
  <c r="D447" i="4"/>
  <c r="C447" i="4"/>
  <c r="B447" i="4"/>
  <c r="N447" i="4" s="1"/>
  <c r="A447" i="4"/>
  <c r="M446" i="4"/>
  <c r="L446" i="4"/>
  <c r="K446" i="4"/>
  <c r="J446" i="4"/>
  <c r="I446" i="4"/>
  <c r="H446" i="4"/>
  <c r="G446" i="4"/>
  <c r="R446" i="4" s="1"/>
  <c r="F446" i="4"/>
  <c r="E446" i="4"/>
  <c r="D446" i="4"/>
  <c r="C446" i="4"/>
  <c r="B446" i="4"/>
  <c r="N446" i="4" s="1"/>
  <c r="O446" i="4" s="1"/>
  <c r="A446" i="4"/>
  <c r="M445" i="4"/>
  <c r="L445" i="4"/>
  <c r="K445" i="4"/>
  <c r="J445" i="4"/>
  <c r="I445" i="4"/>
  <c r="H445" i="4"/>
  <c r="G445" i="4"/>
  <c r="R445" i="4" s="1"/>
  <c r="F445" i="4"/>
  <c r="E445" i="4"/>
  <c r="D445" i="4"/>
  <c r="C445" i="4"/>
  <c r="B445" i="4"/>
  <c r="N445" i="4" s="1"/>
  <c r="A445" i="4"/>
  <c r="M444" i="4"/>
  <c r="U444" i="4" s="1"/>
  <c r="V444" i="4" s="1"/>
  <c r="L444" i="4"/>
  <c r="K444" i="4"/>
  <c r="J444" i="4"/>
  <c r="I444" i="4"/>
  <c r="H444" i="4"/>
  <c r="G444" i="4"/>
  <c r="R444" i="4" s="1"/>
  <c r="F444" i="4"/>
  <c r="E444" i="4"/>
  <c r="D444" i="4"/>
  <c r="C444" i="4"/>
  <c r="B444" i="4"/>
  <c r="N444" i="4" s="1"/>
  <c r="A444" i="4"/>
  <c r="M443" i="4"/>
  <c r="U443" i="4" s="1"/>
  <c r="V443" i="4" s="1"/>
  <c r="L443" i="4"/>
  <c r="K443" i="4"/>
  <c r="J443" i="4"/>
  <c r="I443" i="4"/>
  <c r="H443" i="4"/>
  <c r="G443" i="4"/>
  <c r="R443" i="4" s="1"/>
  <c r="F443" i="4"/>
  <c r="E443" i="4"/>
  <c r="D443" i="4"/>
  <c r="C443" i="4"/>
  <c r="B443" i="4"/>
  <c r="N443" i="4" s="1"/>
  <c r="A443" i="4"/>
  <c r="M442" i="4"/>
  <c r="U442" i="4" s="1"/>
  <c r="V442" i="4" s="1"/>
  <c r="L442" i="4"/>
  <c r="K442" i="4"/>
  <c r="J442" i="4"/>
  <c r="I442" i="4"/>
  <c r="H442" i="4"/>
  <c r="G442" i="4"/>
  <c r="R442" i="4" s="1"/>
  <c r="F442" i="4"/>
  <c r="E442" i="4"/>
  <c r="D442" i="4"/>
  <c r="C442" i="4"/>
  <c r="B442" i="4"/>
  <c r="N442" i="4" s="1"/>
  <c r="O442" i="4" s="1"/>
  <c r="A442" i="4"/>
  <c r="M441" i="4"/>
  <c r="U441" i="4" s="1"/>
  <c r="V441" i="4" s="1"/>
  <c r="L441" i="4"/>
  <c r="K441" i="4"/>
  <c r="J441" i="4"/>
  <c r="I441" i="4"/>
  <c r="H441" i="4"/>
  <c r="G441" i="4"/>
  <c r="R441" i="4" s="1"/>
  <c r="F441" i="4"/>
  <c r="E441" i="4"/>
  <c r="D441" i="4"/>
  <c r="C441" i="4"/>
  <c r="B441" i="4"/>
  <c r="N441" i="4" s="1"/>
  <c r="O441" i="4" s="1"/>
  <c r="A441" i="4"/>
  <c r="M440" i="4"/>
  <c r="L440" i="4"/>
  <c r="K440" i="4"/>
  <c r="J440" i="4"/>
  <c r="I440" i="4"/>
  <c r="H440" i="4"/>
  <c r="G440" i="4"/>
  <c r="R440" i="4" s="1"/>
  <c r="F440" i="4"/>
  <c r="E440" i="4"/>
  <c r="D440" i="4"/>
  <c r="C440" i="4"/>
  <c r="B440" i="4"/>
  <c r="N440" i="4" s="1"/>
  <c r="O440" i="4" s="1"/>
  <c r="A440" i="4"/>
  <c r="M439" i="4"/>
  <c r="U439" i="4" s="1"/>
  <c r="V439" i="4" s="1"/>
  <c r="L439" i="4"/>
  <c r="K439" i="4"/>
  <c r="J439" i="4"/>
  <c r="I439" i="4"/>
  <c r="H439" i="4"/>
  <c r="G439" i="4"/>
  <c r="R439" i="4" s="1"/>
  <c r="F439" i="4"/>
  <c r="E439" i="4"/>
  <c r="D439" i="4"/>
  <c r="C439" i="4"/>
  <c r="B439" i="4"/>
  <c r="N439" i="4" s="1"/>
  <c r="O439" i="4" s="1"/>
  <c r="A439" i="4"/>
  <c r="M438" i="4"/>
  <c r="U438" i="4" s="1"/>
  <c r="V438" i="4" s="1"/>
  <c r="L438" i="4"/>
  <c r="K438" i="4"/>
  <c r="J438" i="4"/>
  <c r="I438" i="4"/>
  <c r="H438" i="4"/>
  <c r="G438" i="4"/>
  <c r="R438" i="4" s="1"/>
  <c r="F438" i="4"/>
  <c r="E438" i="4"/>
  <c r="D438" i="4"/>
  <c r="C438" i="4"/>
  <c r="B438" i="4"/>
  <c r="N438" i="4" s="1"/>
  <c r="O438" i="4" s="1"/>
  <c r="A438" i="4"/>
  <c r="L437" i="4"/>
  <c r="K437" i="4"/>
  <c r="J437" i="4"/>
  <c r="I437" i="4"/>
  <c r="H437" i="4"/>
  <c r="G437" i="4"/>
  <c r="R437" i="4" s="1"/>
  <c r="F437" i="4"/>
  <c r="E437" i="4"/>
  <c r="D437" i="4"/>
  <c r="C437" i="4"/>
  <c r="B437" i="4"/>
  <c r="N437" i="4" s="1"/>
  <c r="A437" i="4"/>
  <c r="R436" i="4"/>
  <c r="M436" i="4"/>
  <c r="U436" i="4" s="1"/>
  <c r="V436" i="4" s="1"/>
  <c r="L436" i="4"/>
  <c r="K436" i="4"/>
  <c r="J436" i="4"/>
  <c r="I436" i="4"/>
  <c r="H436" i="4"/>
  <c r="G436" i="4"/>
  <c r="F436" i="4"/>
  <c r="E436" i="4"/>
  <c r="D436" i="4"/>
  <c r="C436" i="4"/>
  <c r="O436" i="4" s="1"/>
  <c r="B436" i="4"/>
  <c r="N436" i="4" s="1"/>
  <c r="A436" i="4"/>
  <c r="N435" i="4"/>
  <c r="L435" i="4"/>
  <c r="K435" i="4"/>
  <c r="J435" i="4"/>
  <c r="I435" i="4"/>
  <c r="H435" i="4"/>
  <c r="G435" i="4"/>
  <c r="R435" i="4" s="1"/>
  <c r="F435" i="4"/>
  <c r="E435" i="4"/>
  <c r="D435" i="4"/>
  <c r="C435" i="4"/>
  <c r="B435" i="4"/>
  <c r="M435" i="4" s="1"/>
  <c r="A435" i="4"/>
  <c r="R434" i="4"/>
  <c r="L434" i="4"/>
  <c r="K434" i="4"/>
  <c r="J434" i="4"/>
  <c r="I434" i="4"/>
  <c r="H434" i="4"/>
  <c r="G434" i="4"/>
  <c r="F434" i="4"/>
  <c r="E434" i="4"/>
  <c r="D434" i="4"/>
  <c r="C434" i="4"/>
  <c r="B434" i="4"/>
  <c r="N434" i="4" s="1"/>
  <c r="A434" i="4"/>
  <c r="M433" i="4"/>
  <c r="L433" i="4"/>
  <c r="K433" i="4"/>
  <c r="J433" i="4"/>
  <c r="I433" i="4"/>
  <c r="H433" i="4"/>
  <c r="G433" i="4"/>
  <c r="R433" i="4" s="1"/>
  <c r="F433" i="4"/>
  <c r="E433" i="4"/>
  <c r="D433" i="4"/>
  <c r="C433" i="4"/>
  <c r="B433" i="4"/>
  <c r="N433" i="4" s="1"/>
  <c r="O433" i="4" s="1"/>
  <c r="A433" i="4"/>
  <c r="L432" i="4"/>
  <c r="K432" i="4"/>
  <c r="J432" i="4"/>
  <c r="I432" i="4"/>
  <c r="H432" i="4"/>
  <c r="G432" i="4"/>
  <c r="R432" i="4" s="1"/>
  <c r="F432" i="4"/>
  <c r="E432" i="4"/>
  <c r="D432" i="4"/>
  <c r="C432" i="4"/>
  <c r="B432" i="4"/>
  <c r="N432" i="4" s="1"/>
  <c r="O432" i="4" s="1"/>
  <c r="A432" i="4"/>
  <c r="R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N431" i="4" s="1"/>
  <c r="A431" i="4"/>
  <c r="M430" i="4"/>
  <c r="L430" i="4"/>
  <c r="K430" i="4"/>
  <c r="J430" i="4"/>
  <c r="I430" i="4"/>
  <c r="H430" i="4"/>
  <c r="G430" i="4"/>
  <c r="R430" i="4" s="1"/>
  <c r="F430" i="4"/>
  <c r="E430" i="4"/>
  <c r="D430" i="4"/>
  <c r="C430" i="4"/>
  <c r="B430" i="4"/>
  <c r="N430" i="4" s="1"/>
  <c r="O430" i="4" s="1"/>
  <c r="A430" i="4"/>
  <c r="L429" i="4"/>
  <c r="K429" i="4"/>
  <c r="J429" i="4"/>
  <c r="I429" i="4"/>
  <c r="H429" i="4"/>
  <c r="G429" i="4"/>
  <c r="R429" i="4" s="1"/>
  <c r="F429" i="4"/>
  <c r="E429" i="4"/>
  <c r="D429" i="4"/>
  <c r="C429" i="4"/>
  <c r="B429" i="4"/>
  <c r="N429" i="4" s="1"/>
  <c r="A429" i="4"/>
  <c r="M428" i="4"/>
  <c r="U428" i="4" s="1"/>
  <c r="V428" i="4" s="1"/>
  <c r="L428" i="4"/>
  <c r="K428" i="4"/>
  <c r="J428" i="4"/>
  <c r="I428" i="4"/>
  <c r="H428" i="4"/>
  <c r="G428" i="4"/>
  <c r="R428" i="4" s="1"/>
  <c r="F428" i="4"/>
  <c r="E428" i="4"/>
  <c r="D428" i="4"/>
  <c r="C428" i="4"/>
  <c r="B428" i="4"/>
  <c r="N428" i="4" s="1"/>
  <c r="A428" i="4"/>
  <c r="M427" i="4"/>
  <c r="U427" i="4" s="1"/>
  <c r="V427" i="4" s="1"/>
  <c r="L427" i="4"/>
  <c r="K427" i="4"/>
  <c r="J427" i="4"/>
  <c r="I427" i="4"/>
  <c r="H427" i="4"/>
  <c r="G427" i="4"/>
  <c r="R427" i="4" s="1"/>
  <c r="F427" i="4"/>
  <c r="E427" i="4"/>
  <c r="D427" i="4"/>
  <c r="C427" i="4"/>
  <c r="B427" i="4"/>
  <c r="N427" i="4" s="1"/>
  <c r="O427" i="4" s="1"/>
  <c r="A427" i="4"/>
  <c r="R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N426" i="4" s="1"/>
  <c r="A426" i="4"/>
  <c r="R425" i="4"/>
  <c r="L425" i="4"/>
  <c r="K425" i="4"/>
  <c r="J425" i="4"/>
  <c r="I425" i="4"/>
  <c r="H425" i="4"/>
  <c r="G425" i="4"/>
  <c r="F425" i="4"/>
  <c r="E425" i="4"/>
  <c r="D425" i="4"/>
  <c r="C425" i="4"/>
  <c r="B425" i="4"/>
  <c r="N425" i="4" s="1"/>
  <c r="A425" i="4"/>
  <c r="L424" i="4"/>
  <c r="K424" i="4"/>
  <c r="J424" i="4"/>
  <c r="I424" i="4"/>
  <c r="H424" i="4"/>
  <c r="G424" i="4"/>
  <c r="R424" i="4" s="1"/>
  <c r="F424" i="4"/>
  <c r="E424" i="4"/>
  <c r="D424" i="4"/>
  <c r="C424" i="4"/>
  <c r="B424" i="4"/>
  <c r="M424" i="4" s="1"/>
  <c r="A424" i="4"/>
  <c r="R423" i="4"/>
  <c r="M423" i="4"/>
  <c r="U423" i="4" s="1"/>
  <c r="V423" i="4" s="1"/>
  <c r="L423" i="4"/>
  <c r="K423" i="4"/>
  <c r="J423" i="4"/>
  <c r="I423" i="4"/>
  <c r="H423" i="4"/>
  <c r="G423" i="4"/>
  <c r="F423" i="4"/>
  <c r="E423" i="4"/>
  <c r="D423" i="4"/>
  <c r="C423" i="4"/>
  <c r="B423" i="4"/>
  <c r="N423" i="4" s="1"/>
  <c r="A423" i="4"/>
  <c r="R422" i="4"/>
  <c r="L422" i="4"/>
  <c r="K422" i="4"/>
  <c r="J422" i="4"/>
  <c r="I422" i="4"/>
  <c r="H422" i="4"/>
  <c r="G422" i="4"/>
  <c r="F422" i="4"/>
  <c r="E422" i="4"/>
  <c r="D422" i="4"/>
  <c r="C422" i="4"/>
  <c r="B422" i="4"/>
  <c r="N422" i="4" s="1"/>
  <c r="A422" i="4"/>
  <c r="N421" i="4"/>
  <c r="L421" i="4"/>
  <c r="K421" i="4"/>
  <c r="J421" i="4"/>
  <c r="I421" i="4"/>
  <c r="H421" i="4"/>
  <c r="G421" i="4"/>
  <c r="R421" i="4" s="1"/>
  <c r="F421" i="4"/>
  <c r="E421" i="4"/>
  <c r="D421" i="4"/>
  <c r="C421" i="4"/>
  <c r="B421" i="4"/>
  <c r="M421" i="4" s="1"/>
  <c r="U421" i="4" s="1"/>
  <c r="V421" i="4" s="1"/>
  <c r="A421" i="4"/>
  <c r="R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N420" i="4" s="1"/>
  <c r="A420" i="4"/>
  <c r="R419" i="4"/>
  <c r="L419" i="4"/>
  <c r="K419" i="4"/>
  <c r="J419" i="4"/>
  <c r="I419" i="4"/>
  <c r="H419" i="4"/>
  <c r="G419" i="4"/>
  <c r="F419" i="4"/>
  <c r="E419" i="4"/>
  <c r="D419" i="4"/>
  <c r="C419" i="4"/>
  <c r="B419" i="4"/>
  <c r="N419" i="4" s="1"/>
  <c r="A419" i="4"/>
  <c r="L418" i="4"/>
  <c r="K418" i="4"/>
  <c r="J418" i="4"/>
  <c r="I418" i="4"/>
  <c r="H418" i="4"/>
  <c r="G418" i="4"/>
  <c r="R418" i="4" s="1"/>
  <c r="F418" i="4"/>
  <c r="E418" i="4"/>
  <c r="D418" i="4"/>
  <c r="C418" i="4"/>
  <c r="B418" i="4"/>
  <c r="A418" i="4"/>
  <c r="R417" i="4"/>
  <c r="M417" i="4"/>
  <c r="U417" i="4" s="1"/>
  <c r="V417" i="4" s="1"/>
  <c r="L417" i="4"/>
  <c r="K417" i="4"/>
  <c r="J417" i="4"/>
  <c r="I417" i="4"/>
  <c r="H417" i="4"/>
  <c r="G417" i="4"/>
  <c r="F417" i="4"/>
  <c r="E417" i="4"/>
  <c r="D417" i="4"/>
  <c r="C417" i="4"/>
  <c r="B417" i="4"/>
  <c r="N417" i="4" s="1"/>
  <c r="A417" i="4"/>
  <c r="R416" i="4"/>
  <c r="L416" i="4"/>
  <c r="K416" i="4"/>
  <c r="J416" i="4"/>
  <c r="I416" i="4"/>
  <c r="H416" i="4"/>
  <c r="G416" i="4"/>
  <c r="F416" i="4"/>
  <c r="E416" i="4"/>
  <c r="D416" i="4"/>
  <c r="C416" i="4"/>
  <c r="B416" i="4"/>
  <c r="N416" i="4" s="1"/>
  <c r="A416" i="4"/>
  <c r="N415" i="4"/>
  <c r="L415" i="4"/>
  <c r="K415" i="4"/>
  <c r="J415" i="4"/>
  <c r="I415" i="4"/>
  <c r="H415" i="4"/>
  <c r="G415" i="4"/>
  <c r="R415" i="4" s="1"/>
  <c r="F415" i="4"/>
  <c r="E415" i="4"/>
  <c r="D415" i="4"/>
  <c r="C415" i="4"/>
  <c r="B415" i="4"/>
  <c r="M415" i="4" s="1"/>
  <c r="A415" i="4"/>
  <c r="R414" i="4"/>
  <c r="M414" i="4"/>
  <c r="U414" i="4" s="1"/>
  <c r="V414" i="4" s="1"/>
  <c r="L414" i="4"/>
  <c r="K414" i="4"/>
  <c r="J414" i="4"/>
  <c r="I414" i="4"/>
  <c r="H414" i="4"/>
  <c r="G414" i="4"/>
  <c r="F414" i="4"/>
  <c r="E414" i="4"/>
  <c r="D414" i="4"/>
  <c r="C414" i="4"/>
  <c r="B414" i="4"/>
  <c r="N414" i="4" s="1"/>
  <c r="A414" i="4"/>
  <c r="R413" i="4"/>
  <c r="L413" i="4"/>
  <c r="K413" i="4"/>
  <c r="J413" i="4"/>
  <c r="I413" i="4"/>
  <c r="H413" i="4"/>
  <c r="G413" i="4"/>
  <c r="F413" i="4"/>
  <c r="E413" i="4"/>
  <c r="D413" i="4"/>
  <c r="C413" i="4"/>
  <c r="B413" i="4"/>
  <c r="N413" i="4" s="1"/>
  <c r="A413" i="4"/>
  <c r="L412" i="4"/>
  <c r="K412" i="4"/>
  <c r="J412" i="4"/>
  <c r="I412" i="4"/>
  <c r="H412" i="4"/>
  <c r="G412" i="4"/>
  <c r="R412" i="4" s="1"/>
  <c r="F412" i="4"/>
  <c r="E412" i="4"/>
  <c r="D412" i="4"/>
  <c r="C412" i="4"/>
  <c r="B412" i="4"/>
  <c r="M412" i="4" s="1"/>
  <c r="U412" i="4" s="1"/>
  <c r="V412" i="4" s="1"/>
  <c r="A412" i="4"/>
  <c r="R411" i="4"/>
  <c r="M411" i="4"/>
  <c r="U411" i="4" s="1"/>
  <c r="V411" i="4" s="1"/>
  <c r="L411" i="4"/>
  <c r="K411" i="4"/>
  <c r="J411" i="4"/>
  <c r="I411" i="4"/>
  <c r="H411" i="4"/>
  <c r="G411" i="4"/>
  <c r="F411" i="4"/>
  <c r="E411" i="4"/>
  <c r="D411" i="4"/>
  <c r="C411" i="4"/>
  <c r="B411" i="4"/>
  <c r="N411" i="4" s="1"/>
  <c r="A411" i="4"/>
  <c r="R410" i="4"/>
  <c r="L410" i="4"/>
  <c r="K410" i="4"/>
  <c r="J410" i="4"/>
  <c r="I410" i="4"/>
  <c r="H410" i="4"/>
  <c r="G410" i="4"/>
  <c r="F410" i="4"/>
  <c r="E410" i="4"/>
  <c r="D410" i="4"/>
  <c r="C410" i="4"/>
  <c r="B410" i="4"/>
  <c r="N410" i="4" s="1"/>
  <c r="A410" i="4"/>
  <c r="N409" i="4"/>
  <c r="L409" i="4"/>
  <c r="K409" i="4"/>
  <c r="J409" i="4"/>
  <c r="I409" i="4"/>
  <c r="H409" i="4"/>
  <c r="G409" i="4"/>
  <c r="R409" i="4" s="1"/>
  <c r="F409" i="4"/>
  <c r="E409" i="4"/>
  <c r="D409" i="4"/>
  <c r="C409" i="4"/>
  <c r="B409" i="4"/>
  <c r="M409" i="4" s="1"/>
  <c r="A409" i="4"/>
  <c r="R408" i="4"/>
  <c r="M408" i="4"/>
  <c r="U408" i="4" s="1"/>
  <c r="V408" i="4" s="1"/>
  <c r="L408" i="4"/>
  <c r="K408" i="4"/>
  <c r="J408" i="4"/>
  <c r="I408" i="4"/>
  <c r="H408" i="4"/>
  <c r="G408" i="4"/>
  <c r="F408" i="4"/>
  <c r="E408" i="4"/>
  <c r="D408" i="4"/>
  <c r="C408" i="4"/>
  <c r="B408" i="4"/>
  <c r="N408" i="4" s="1"/>
  <c r="A408" i="4"/>
  <c r="R407" i="4"/>
  <c r="L407" i="4"/>
  <c r="K407" i="4"/>
  <c r="J407" i="4"/>
  <c r="I407" i="4"/>
  <c r="H407" i="4"/>
  <c r="G407" i="4"/>
  <c r="F407" i="4"/>
  <c r="E407" i="4"/>
  <c r="D407" i="4"/>
  <c r="C407" i="4"/>
  <c r="B407" i="4"/>
  <c r="N407" i="4" s="1"/>
  <c r="A407" i="4"/>
  <c r="L406" i="4"/>
  <c r="K406" i="4"/>
  <c r="J406" i="4"/>
  <c r="I406" i="4"/>
  <c r="H406" i="4"/>
  <c r="G406" i="4"/>
  <c r="R406" i="4" s="1"/>
  <c r="F406" i="4"/>
  <c r="E406" i="4"/>
  <c r="D406" i="4"/>
  <c r="C406" i="4"/>
  <c r="B406" i="4"/>
  <c r="M406" i="4" s="1"/>
  <c r="U406" i="4" s="1"/>
  <c r="V406" i="4" s="1"/>
  <c r="A406" i="4"/>
  <c r="R405" i="4"/>
  <c r="M405" i="4"/>
  <c r="U405" i="4" s="1"/>
  <c r="V405" i="4" s="1"/>
  <c r="L405" i="4"/>
  <c r="K405" i="4"/>
  <c r="J405" i="4"/>
  <c r="I405" i="4"/>
  <c r="H405" i="4"/>
  <c r="G405" i="4"/>
  <c r="F405" i="4"/>
  <c r="E405" i="4"/>
  <c r="D405" i="4"/>
  <c r="C405" i="4"/>
  <c r="B405" i="4"/>
  <c r="N405" i="4" s="1"/>
  <c r="A405" i="4"/>
  <c r="R404" i="4"/>
  <c r="L404" i="4"/>
  <c r="K404" i="4"/>
  <c r="J404" i="4"/>
  <c r="I404" i="4"/>
  <c r="H404" i="4"/>
  <c r="G404" i="4"/>
  <c r="F404" i="4"/>
  <c r="E404" i="4"/>
  <c r="D404" i="4"/>
  <c r="C404" i="4"/>
  <c r="B404" i="4"/>
  <c r="N404" i="4" s="1"/>
  <c r="A404" i="4"/>
  <c r="N403" i="4"/>
  <c r="L403" i="4"/>
  <c r="K403" i="4"/>
  <c r="J403" i="4"/>
  <c r="I403" i="4"/>
  <c r="H403" i="4"/>
  <c r="G403" i="4"/>
  <c r="R403" i="4" s="1"/>
  <c r="F403" i="4"/>
  <c r="E403" i="4"/>
  <c r="D403" i="4"/>
  <c r="C403" i="4"/>
  <c r="B403" i="4"/>
  <c r="M403" i="4" s="1"/>
  <c r="A403" i="4"/>
  <c r="R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N402" i="4" s="1"/>
  <c r="A402" i="4"/>
  <c r="R401" i="4"/>
  <c r="L401" i="4"/>
  <c r="K401" i="4"/>
  <c r="J401" i="4"/>
  <c r="I401" i="4"/>
  <c r="H401" i="4"/>
  <c r="G401" i="4"/>
  <c r="F401" i="4"/>
  <c r="E401" i="4"/>
  <c r="D401" i="4"/>
  <c r="C401" i="4"/>
  <c r="B401" i="4"/>
  <c r="N401" i="4" s="1"/>
  <c r="A401" i="4"/>
  <c r="L400" i="4"/>
  <c r="K400" i="4"/>
  <c r="J400" i="4"/>
  <c r="I400" i="4"/>
  <c r="H400" i="4"/>
  <c r="G400" i="4"/>
  <c r="R400" i="4" s="1"/>
  <c r="F400" i="4"/>
  <c r="E400" i="4"/>
  <c r="D400" i="4"/>
  <c r="C400" i="4"/>
  <c r="B400" i="4"/>
  <c r="A400" i="4"/>
  <c r="R399" i="4"/>
  <c r="M399" i="4"/>
  <c r="U399" i="4" s="1"/>
  <c r="V399" i="4" s="1"/>
  <c r="L399" i="4"/>
  <c r="K399" i="4"/>
  <c r="J399" i="4"/>
  <c r="I399" i="4"/>
  <c r="H399" i="4"/>
  <c r="G399" i="4"/>
  <c r="F399" i="4"/>
  <c r="E399" i="4"/>
  <c r="D399" i="4"/>
  <c r="C399" i="4"/>
  <c r="B399" i="4"/>
  <c r="N399" i="4" s="1"/>
  <c r="A399" i="4"/>
  <c r="R398" i="4"/>
  <c r="L398" i="4"/>
  <c r="K398" i="4"/>
  <c r="J398" i="4"/>
  <c r="I398" i="4"/>
  <c r="H398" i="4"/>
  <c r="G398" i="4"/>
  <c r="F398" i="4"/>
  <c r="E398" i="4"/>
  <c r="D398" i="4"/>
  <c r="C398" i="4"/>
  <c r="B398" i="4"/>
  <c r="N398" i="4" s="1"/>
  <c r="A398" i="4"/>
  <c r="N397" i="4"/>
  <c r="L397" i="4"/>
  <c r="K397" i="4"/>
  <c r="J397" i="4"/>
  <c r="I397" i="4"/>
  <c r="H397" i="4"/>
  <c r="G397" i="4"/>
  <c r="R397" i="4" s="1"/>
  <c r="F397" i="4"/>
  <c r="E397" i="4"/>
  <c r="D397" i="4"/>
  <c r="C397" i="4"/>
  <c r="B397" i="4"/>
  <c r="M397" i="4" s="1"/>
  <c r="A397" i="4"/>
  <c r="R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N396" i="4" s="1"/>
  <c r="A396" i="4"/>
  <c r="R395" i="4"/>
  <c r="L395" i="4"/>
  <c r="K395" i="4"/>
  <c r="J395" i="4"/>
  <c r="I395" i="4"/>
  <c r="H395" i="4"/>
  <c r="G395" i="4"/>
  <c r="F395" i="4"/>
  <c r="E395" i="4"/>
  <c r="D395" i="4"/>
  <c r="C395" i="4"/>
  <c r="B395" i="4"/>
  <c r="N395" i="4" s="1"/>
  <c r="A395" i="4"/>
  <c r="L394" i="4"/>
  <c r="K394" i="4"/>
  <c r="J394" i="4"/>
  <c r="I394" i="4"/>
  <c r="H394" i="4"/>
  <c r="G394" i="4"/>
  <c r="R394" i="4" s="1"/>
  <c r="F394" i="4"/>
  <c r="E394" i="4"/>
  <c r="D394" i="4"/>
  <c r="C394" i="4"/>
  <c r="B394" i="4"/>
  <c r="M394" i="4" s="1"/>
  <c r="A394" i="4"/>
  <c r="R393" i="4"/>
  <c r="M393" i="4"/>
  <c r="U393" i="4" s="1"/>
  <c r="V393" i="4" s="1"/>
  <c r="L393" i="4"/>
  <c r="K393" i="4"/>
  <c r="J393" i="4"/>
  <c r="I393" i="4"/>
  <c r="H393" i="4"/>
  <c r="G393" i="4"/>
  <c r="F393" i="4"/>
  <c r="E393" i="4"/>
  <c r="D393" i="4"/>
  <c r="C393" i="4"/>
  <c r="B393" i="4"/>
  <c r="N393" i="4" s="1"/>
  <c r="A393" i="4"/>
  <c r="R392" i="4"/>
  <c r="L392" i="4"/>
  <c r="K392" i="4"/>
  <c r="J392" i="4"/>
  <c r="I392" i="4"/>
  <c r="H392" i="4"/>
  <c r="G392" i="4"/>
  <c r="F392" i="4"/>
  <c r="E392" i="4"/>
  <c r="D392" i="4"/>
  <c r="C392" i="4"/>
  <c r="B392" i="4"/>
  <c r="N392" i="4" s="1"/>
  <c r="A392" i="4"/>
  <c r="N391" i="4"/>
  <c r="L391" i="4"/>
  <c r="K391" i="4"/>
  <c r="J391" i="4"/>
  <c r="I391" i="4"/>
  <c r="H391" i="4"/>
  <c r="G391" i="4"/>
  <c r="R391" i="4" s="1"/>
  <c r="F391" i="4"/>
  <c r="E391" i="4"/>
  <c r="D391" i="4"/>
  <c r="C391" i="4"/>
  <c r="B391" i="4"/>
  <c r="M391" i="4" s="1"/>
  <c r="U391" i="4" s="1"/>
  <c r="V391" i="4" s="1"/>
  <c r="A391" i="4"/>
  <c r="R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N390" i="4" s="1"/>
  <c r="A390" i="4"/>
  <c r="R389" i="4"/>
  <c r="L389" i="4"/>
  <c r="K389" i="4"/>
  <c r="J389" i="4"/>
  <c r="I389" i="4"/>
  <c r="H389" i="4"/>
  <c r="G389" i="4"/>
  <c r="F389" i="4"/>
  <c r="E389" i="4"/>
  <c r="D389" i="4"/>
  <c r="C389" i="4"/>
  <c r="B389" i="4"/>
  <c r="N389" i="4" s="1"/>
  <c r="A389" i="4"/>
  <c r="L388" i="4"/>
  <c r="K388" i="4"/>
  <c r="J388" i="4"/>
  <c r="I388" i="4"/>
  <c r="H388" i="4"/>
  <c r="G388" i="4"/>
  <c r="R388" i="4" s="1"/>
  <c r="F388" i="4"/>
  <c r="E388" i="4"/>
  <c r="D388" i="4"/>
  <c r="C388" i="4"/>
  <c r="B388" i="4"/>
  <c r="M388" i="4" s="1"/>
  <c r="U388" i="4" s="1"/>
  <c r="V388" i="4" s="1"/>
  <c r="A388" i="4"/>
  <c r="R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N387" i="4" s="1"/>
  <c r="A387" i="4"/>
  <c r="R386" i="4"/>
  <c r="L386" i="4"/>
  <c r="K386" i="4"/>
  <c r="J386" i="4"/>
  <c r="I386" i="4"/>
  <c r="H386" i="4"/>
  <c r="G386" i="4"/>
  <c r="F386" i="4"/>
  <c r="E386" i="4"/>
  <c r="D386" i="4"/>
  <c r="C386" i="4"/>
  <c r="B386" i="4"/>
  <c r="N386" i="4" s="1"/>
  <c r="A386" i="4"/>
  <c r="N385" i="4"/>
  <c r="L385" i="4"/>
  <c r="K385" i="4"/>
  <c r="J385" i="4"/>
  <c r="I385" i="4"/>
  <c r="H385" i="4"/>
  <c r="G385" i="4"/>
  <c r="R385" i="4" s="1"/>
  <c r="F385" i="4"/>
  <c r="E385" i="4"/>
  <c r="D385" i="4"/>
  <c r="C385" i="4"/>
  <c r="B385" i="4"/>
  <c r="M385" i="4" s="1"/>
  <c r="U385" i="4" s="1"/>
  <c r="V385" i="4" s="1"/>
  <c r="A385" i="4"/>
  <c r="R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N384" i="4" s="1"/>
  <c r="A384" i="4"/>
  <c r="R383" i="4"/>
  <c r="L383" i="4"/>
  <c r="K383" i="4"/>
  <c r="J383" i="4"/>
  <c r="I383" i="4"/>
  <c r="H383" i="4"/>
  <c r="G383" i="4"/>
  <c r="F383" i="4"/>
  <c r="E383" i="4"/>
  <c r="D383" i="4"/>
  <c r="C383" i="4"/>
  <c r="B383" i="4"/>
  <c r="N383" i="4" s="1"/>
  <c r="A383" i="4"/>
  <c r="L382" i="4"/>
  <c r="K382" i="4"/>
  <c r="J382" i="4"/>
  <c r="I382" i="4"/>
  <c r="H382" i="4"/>
  <c r="G382" i="4"/>
  <c r="R382" i="4" s="1"/>
  <c r="F382" i="4"/>
  <c r="E382" i="4"/>
  <c r="D382" i="4"/>
  <c r="C382" i="4"/>
  <c r="B382" i="4"/>
  <c r="A382" i="4"/>
  <c r="R381" i="4"/>
  <c r="M381" i="4"/>
  <c r="U381" i="4" s="1"/>
  <c r="V381" i="4" s="1"/>
  <c r="L381" i="4"/>
  <c r="K381" i="4"/>
  <c r="J381" i="4"/>
  <c r="I381" i="4"/>
  <c r="H381" i="4"/>
  <c r="G381" i="4"/>
  <c r="F381" i="4"/>
  <c r="E381" i="4"/>
  <c r="D381" i="4"/>
  <c r="C381" i="4"/>
  <c r="B381" i="4"/>
  <c r="N381" i="4" s="1"/>
  <c r="A381" i="4"/>
  <c r="R380" i="4"/>
  <c r="L380" i="4"/>
  <c r="K380" i="4"/>
  <c r="J380" i="4"/>
  <c r="I380" i="4"/>
  <c r="H380" i="4"/>
  <c r="G380" i="4"/>
  <c r="F380" i="4"/>
  <c r="E380" i="4"/>
  <c r="D380" i="4"/>
  <c r="C380" i="4"/>
  <c r="B380" i="4"/>
  <c r="N380" i="4" s="1"/>
  <c r="A380" i="4"/>
  <c r="N379" i="4"/>
  <c r="L379" i="4"/>
  <c r="K379" i="4"/>
  <c r="J379" i="4"/>
  <c r="I379" i="4"/>
  <c r="H379" i="4"/>
  <c r="G379" i="4"/>
  <c r="R379" i="4" s="1"/>
  <c r="F379" i="4"/>
  <c r="E379" i="4"/>
  <c r="D379" i="4"/>
  <c r="C379" i="4"/>
  <c r="B379" i="4"/>
  <c r="M379" i="4" s="1"/>
  <c r="U379" i="4" s="1"/>
  <c r="V379" i="4" s="1"/>
  <c r="A379" i="4"/>
  <c r="R378" i="4"/>
  <c r="M378" i="4"/>
  <c r="U378" i="4" s="1"/>
  <c r="V378" i="4" s="1"/>
  <c r="L378" i="4"/>
  <c r="K378" i="4"/>
  <c r="J378" i="4"/>
  <c r="I378" i="4"/>
  <c r="H378" i="4"/>
  <c r="G378" i="4"/>
  <c r="F378" i="4"/>
  <c r="E378" i="4"/>
  <c r="D378" i="4"/>
  <c r="C378" i="4"/>
  <c r="B378" i="4"/>
  <c r="N378" i="4" s="1"/>
  <c r="A378" i="4"/>
  <c r="R377" i="4"/>
  <c r="L377" i="4"/>
  <c r="K377" i="4"/>
  <c r="J377" i="4"/>
  <c r="I377" i="4"/>
  <c r="H377" i="4"/>
  <c r="G377" i="4"/>
  <c r="F377" i="4"/>
  <c r="E377" i="4"/>
  <c r="D377" i="4"/>
  <c r="C377" i="4"/>
  <c r="B377" i="4"/>
  <c r="N377" i="4" s="1"/>
  <c r="A377" i="4"/>
  <c r="L376" i="4"/>
  <c r="K376" i="4"/>
  <c r="J376" i="4"/>
  <c r="I376" i="4"/>
  <c r="H376" i="4"/>
  <c r="G376" i="4"/>
  <c r="R376" i="4" s="1"/>
  <c r="F376" i="4"/>
  <c r="E376" i="4"/>
  <c r="D376" i="4"/>
  <c r="C376" i="4"/>
  <c r="B376" i="4"/>
  <c r="M376" i="4" s="1"/>
  <c r="A376" i="4"/>
  <c r="R375" i="4"/>
  <c r="M375" i="4"/>
  <c r="U375" i="4" s="1"/>
  <c r="V375" i="4" s="1"/>
  <c r="L375" i="4"/>
  <c r="K375" i="4"/>
  <c r="J375" i="4"/>
  <c r="I375" i="4"/>
  <c r="H375" i="4"/>
  <c r="G375" i="4"/>
  <c r="F375" i="4"/>
  <c r="E375" i="4"/>
  <c r="D375" i="4"/>
  <c r="C375" i="4"/>
  <c r="B375" i="4"/>
  <c r="N375" i="4" s="1"/>
  <c r="A375" i="4"/>
  <c r="R374" i="4"/>
  <c r="L374" i="4"/>
  <c r="K374" i="4"/>
  <c r="J374" i="4"/>
  <c r="I374" i="4"/>
  <c r="H374" i="4"/>
  <c r="G374" i="4"/>
  <c r="F374" i="4"/>
  <c r="E374" i="4"/>
  <c r="D374" i="4"/>
  <c r="C374" i="4"/>
  <c r="B374" i="4"/>
  <c r="N374" i="4" s="1"/>
  <c r="A374" i="4"/>
  <c r="N373" i="4"/>
  <c r="L373" i="4"/>
  <c r="K373" i="4"/>
  <c r="J373" i="4"/>
  <c r="I373" i="4"/>
  <c r="H373" i="4"/>
  <c r="G373" i="4"/>
  <c r="R373" i="4" s="1"/>
  <c r="F373" i="4"/>
  <c r="E373" i="4"/>
  <c r="D373" i="4"/>
  <c r="C373" i="4"/>
  <c r="B373" i="4"/>
  <c r="M373" i="4" s="1"/>
  <c r="A373" i="4"/>
  <c r="R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N372" i="4" s="1"/>
  <c r="A372" i="4"/>
  <c r="R371" i="4"/>
  <c r="L371" i="4"/>
  <c r="K371" i="4"/>
  <c r="J371" i="4"/>
  <c r="I371" i="4"/>
  <c r="H371" i="4"/>
  <c r="G371" i="4"/>
  <c r="F371" i="4"/>
  <c r="E371" i="4"/>
  <c r="D371" i="4"/>
  <c r="C371" i="4"/>
  <c r="B371" i="4"/>
  <c r="N371" i="4" s="1"/>
  <c r="A371" i="4"/>
  <c r="L370" i="4"/>
  <c r="K370" i="4"/>
  <c r="J370" i="4"/>
  <c r="I370" i="4"/>
  <c r="H370" i="4"/>
  <c r="G370" i="4"/>
  <c r="R370" i="4" s="1"/>
  <c r="F370" i="4"/>
  <c r="E370" i="4"/>
  <c r="D370" i="4"/>
  <c r="C370" i="4"/>
  <c r="B370" i="4"/>
  <c r="M370" i="4" s="1"/>
  <c r="U370" i="4" s="1"/>
  <c r="V370" i="4" s="1"/>
  <c r="A370" i="4"/>
  <c r="R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N369" i="4" s="1"/>
  <c r="A369" i="4"/>
  <c r="R368" i="4"/>
  <c r="L368" i="4"/>
  <c r="K368" i="4"/>
  <c r="J368" i="4"/>
  <c r="I368" i="4"/>
  <c r="H368" i="4"/>
  <c r="G368" i="4"/>
  <c r="F368" i="4"/>
  <c r="E368" i="4"/>
  <c r="D368" i="4"/>
  <c r="C368" i="4"/>
  <c r="B368" i="4"/>
  <c r="N368" i="4" s="1"/>
  <c r="A368" i="4"/>
  <c r="N367" i="4"/>
  <c r="L367" i="4"/>
  <c r="K367" i="4"/>
  <c r="J367" i="4"/>
  <c r="I367" i="4"/>
  <c r="H367" i="4"/>
  <c r="G367" i="4"/>
  <c r="R367" i="4" s="1"/>
  <c r="F367" i="4"/>
  <c r="E367" i="4"/>
  <c r="D367" i="4"/>
  <c r="C367" i="4"/>
  <c r="B367" i="4"/>
  <c r="M367" i="4" s="1"/>
  <c r="A367" i="4"/>
  <c r="R366" i="4"/>
  <c r="M366" i="4"/>
  <c r="U366" i="4" s="1"/>
  <c r="V366" i="4" s="1"/>
  <c r="L366" i="4"/>
  <c r="K366" i="4"/>
  <c r="J366" i="4"/>
  <c r="I366" i="4"/>
  <c r="H366" i="4"/>
  <c r="G366" i="4"/>
  <c r="F366" i="4"/>
  <c r="E366" i="4"/>
  <c r="D366" i="4"/>
  <c r="C366" i="4"/>
  <c r="B366" i="4"/>
  <c r="N366" i="4" s="1"/>
  <c r="A366" i="4"/>
  <c r="R365" i="4"/>
  <c r="L365" i="4"/>
  <c r="K365" i="4"/>
  <c r="J365" i="4"/>
  <c r="I365" i="4"/>
  <c r="H365" i="4"/>
  <c r="G365" i="4"/>
  <c r="F365" i="4"/>
  <c r="E365" i="4"/>
  <c r="D365" i="4"/>
  <c r="C365" i="4"/>
  <c r="B365" i="4"/>
  <c r="N365" i="4" s="1"/>
  <c r="A365" i="4"/>
  <c r="L364" i="4"/>
  <c r="K364" i="4"/>
  <c r="J364" i="4"/>
  <c r="I364" i="4"/>
  <c r="H364" i="4"/>
  <c r="G364" i="4"/>
  <c r="R364" i="4" s="1"/>
  <c r="F364" i="4"/>
  <c r="E364" i="4"/>
  <c r="D364" i="4"/>
  <c r="C364" i="4"/>
  <c r="B364" i="4"/>
  <c r="A364" i="4"/>
  <c r="R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N363" i="4" s="1"/>
  <c r="A363" i="4"/>
  <c r="R362" i="4"/>
  <c r="L362" i="4"/>
  <c r="K362" i="4"/>
  <c r="J362" i="4"/>
  <c r="I362" i="4"/>
  <c r="H362" i="4"/>
  <c r="G362" i="4"/>
  <c r="F362" i="4"/>
  <c r="E362" i="4"/>
  <c r="D362" i="4"/>
  <c r="C362" i="4"/>
  <c r="B362" i="4"/>
  <c r="N362" i="4" s="1"/>
  <c r="A362" i="4"/>
  <c r="N361" i="4"/>
  <c r="L361" i="4"/>
  <c r="K361" i="4"/>
  <c r="J361" i="4"/>
  <c r="I361" i="4"/>
  <c r="H361" i="4"/>
  <c r="G361" i="4"/>
  <c r="R361" i="4" s="1"/>
  <c r="F361" i="4"/>
  <c r="E361" i="4"/>
  <c r="D361" i="4"/>
  <c r="C361" i="4"/>
  <c r="B361" i="4"/>
  <c r="M361" i="4" s="1"/>
  <c r="U361" i="4" s="1"/>
  <c r="V361" i="4" s="1"/>
  <c r="A361" i="4"/>
  <c r="R360" i="4"/>
  <c r="M360" i="4"/>
  <c r="U360" i="4" s="1"/>
  <c r="V360" i="4" s="1"/>
  <c r="L360" i="4"/>
  <c r="K360" i="4"/>
  <c r="J360" i="4"/>
  <c r="I360" i="4"/>
  <c r="H360" i="4"/>
  <c r="G360" i="4"/>
  <c r="F360" i="4"/>
  <c r="E360" i="4"/>
  <c r="D360" i="4"/>
  <c r="C360" i="4"/>
  <c r="B360" i="4"/>
  <c r="N360" i="4" s="1"/>
  <c r="A360" i="4"/>
  <c r="R359" i="4"/>
  <c r="L359" i="4"/>
  <c r="K359" i="4"/>
  <c r="J359" i="4"/>
  <c r="I359" i="4"/>
  <c r="H359" i="4"/>
  <c r="G359" i="4"/>
  <c r="F359" i="4"/>
  <c r="E359" i="4"/>
  <c r="D359" i="4"/>
  <c r="C359" i="4"/>
  <c r="B359" i="4"/>
  <c r="N359" i="4" s="1"/>
  <c r="A359" i="4"/>
  <c r="L358" i="4"/>
  <c r="K358" i="4"/>
  <c r="J358" i="4"/>
  <c r="I358" i="4"/>
  <c r="H358" i="4"/>
  <c r="G358" i="4"/>
  <c r="R358" i="4" s="1"/>
  <c r="F358" i="4"/>
  <c r="E358" i="4"/>
  <c r="D358" i="4"/>
  <c r="C358" i="4"/>
  <c r="B358" i="4"/>
  <c r="M358" i="4" s="1"/>
  <c r="A358" i="4"/>
  <c r="R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N357" i="4" s="1"/>
  <c r="A357" i="4"/>
  <c r="R356" i="4"/>
  <c r="L356" i="4"/>
  <c r="K356" i="4"/>
  <c r="J356" i="4"/>
  <c r="I356" i="4"/>
  <c r="H356" i="4"/>
  <c r="G356" i="4"/>
  <c r="F356" i="4"/>
  <c r="E356" i="4"/>
  <c r="D356" i="4"/>
  <c r="C356" i="4"/>
  <c r="B356" i="4"/>
  <c r="N356" i="4" s="1"/>
  <c r="A356" i="4"/>
  <c r="N355" i="4"/>
  <c r="L355" i="4"/>
  <c r="K355" i="4"/>
  <c r="J355" i="4"/>
  <c r="I355" i="4"/>
  <c r="H355" i="4"/>
  <c r="G355" i="4"/>
  <c r="R355" i="4" s="1"/>
  <c r="F355" i="4"/>
  <c r="E355" i="4"/>
  <c r="D355" i="4"/>
  <c r="C355" i="4"/>
  <c r="B355" i="4"/>
  <c r="M355" i="4" s="1"/>
  <c r="U355" i="4" s="1"/>
  <c r="V355" i="4" s="1"/>
  <c r="A355" i="4"/>
  <c r="R354" i="4"/>
  <c r="M354" i="4"/>
  <c r="U354" i="4" s="1"/>
  <c r="V354" i="4" s="1"/>
  <c r="L354" i="4"/>
  <c r="K354" i="4"/>
  <c r="J354" i="4"/>
  <c r="I354" i="4"/>
  <c r="H354" i="4"/>
  <c r="G354" i="4"/>
  <c r="F354" i="4"/>
  <c r="E354" i="4"/>
  <c r="D354" i="4"/>
  <c r="C354" i="4"/>
  <c r="B354" i="4"/>
  <c r="N354" i="4" s="1"/>
  <c r="A354" i="4"/>
  <c r="R353" i="4"/>
  <c r="L353" i="4"/>
  <c r="K353" i="4"/>
  <c r="J353" i="4"/>
  <c r="I353" i="4"/>
  <c r="H353" i="4"/>
  <c r="G353" i="4"/>
  <c r="F353" i="4"/>
  <c r="E353" i="4"/>
  <c r="D353" i="4"/>
  <c r="C353" i="4"/>
  <c r="B353" i="4"/>
  <c r="N353" i="4" s="1"/>
  <c r="A353" i="4"/>
  <c r="L352" i="4"/>
  <c r="K352" i="4"/>
  <c r="J352" i="4"/>
  <c r="I352" i="4"/>
  <c r="H352" i="4"/>
  <c r="G352" i="4"/>
  <c r="R352" i="4" s="1"/>
  <c r="F352" i="4"/>
  <c r="E352" i="4"/>
  <c r="D352" i="4"/>
  <c r="C352" i="4"/>
  <c r="B352" i="4"/>
  <c r="M352" i="4" s="1"/>
  <c r="A352" i="4"/>
  <c r="R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N351" i="4" s="1"/>
  <c r="A351" i="4"/>
  <c r="R350" i="4"/>
  <c r="L350" i="4"/>
  <c r="K350" i="4"/>
  <c r="J350" i="4"/>
  <c r="I350" i="4"/>
  <c r="H350" i="4"/>
  <c r="G350" i="4"/>
  <c r="F350" i="4"/>
  <c r="E350" i="4"/>
  <c r="D350" i="4"/>
  <c r="C350" i="4"/>
  <c r="B350" i="4"/>
  <c r="N350" i="4" s="1"/>
  <c r="A350" i="4"/>
  <c r="N349" i="4"/>
  <c r="L349" i="4"/>
  <c r="K349" i="4"/>
  <c r="J349" i="4"/>
  <c r="I349" i="4"/>
  <c r="H349" i="4"/>
  <c r="G349" i="4"/>
  <c r="R349" i="4" s="1"/>
  <c r="F349" i="4"/>
  <c r="E349" i="4"/>
  <c r="D349" i="4"/>
  <c r="C349" i="4"/>
  <c r="B349" i="4"/>
  <c r="M349" i="4" s="1"/>
  <c r="U349" i="4" s="1"/>
  <c r="V349" i="4" s="1"/>
  <c r="A349" i="4"/>
  <c r="R348" i="4"/>
  <c r="M348" i="4"/>
  <c r="U348" i="4" s="1"/>
  <c r="V348" i="4" s="1"/>
  <c r="L348" i="4"/>
  <c r="K348" i="4"/>
  <c r="J348" i="4"/>
  <c r="I348" i="4"/>
  <c r="H348" i="4"/>
  <c r="G348" i="4"/>
  <c r="F348" i="4"/>
  <c r="E348" i="4"/>
  <c r="D348" i="4"/>
  <c r="C348" i="4"/>
  <c r="B348" i="4"/>
  <c r="N348" i="4" s="1"/>
  <c r="A348" i="4"/>
  <c r="R347" i="4"/>
  <c r="L347" i="4"/>
  <c r="K347" i="4"/>
  <c r="J347" i="4"/>
  <c r="I347" i="4"/>
  <c r="H347" i="4"/>
  <c r="G347" i="4"/>
  <c r="F347" i="4"/>
  <c r="E347" i="4"/>
  <c r="D347" i="4"/>
  <c r="C347" i="4"/>
  <c r="B347" i="4"/>
  <c r="N347" i="4" s="1"/>
  <c r="A347" i="4"/>
  <c r="L346" i="4"/>
  <c r="K346" i="4"/>
  <c r="J346" i="4"/>
  <c r="I346" i="4"/>
  <c r="H346" i="4"/>
  <c r="G346" i="4"/>
  <c r="R346" i="4" s="1"/>
  <c r="F346" i="4"/>
  <c r="E346" i="4"/>
  <c r="D346" i="4"/>
  <c r="C346" i="4"/>
  <c r="B346" i="4"/>
  <c r="M346" i="4" s="1"/>
  <c r="A346" i="4"/>
  <c r="M345" i="4"/>
  <c r="U345" i="4" s="1"/>
  <c r="V345" i="4" s="1"/>
  <c r="L345" i="4"/>
  <c r="K345" i="4"/>
  <c r="J345" i="4"/>
  <c r="I345" i="4"/>
  <c r="H345" i="4"/>
  <c r="G345" i="4"/>
  <c r="R345" i="4" s="1"/>
  <c r="F345" i="4"/>
  <c r="E345" i="4"/>
  <c r="D345" i="4"/>
  <c r="C345" i="4"/>
  <c r="B345" i="4"/>
  <c r="N345" i="4" s="1"/>
  <c r="A345" i="4"/>
  <c r="R344" i="4"/>
  <c r="L344" i="4"/>
  <c r="K344" i="4"/>
  <c r="J344" i="4"/>
  <c r="I344" i="4"/>
  <c r="H344" i="4"/>
  <c r="G344" i="4"/>
  <c r="F344" i="4"/>
  <c r="E344" i="4"/>
  <c r="D344" i="4"/>
  <c r="C344" i="4"/>
  <c r="B344" i="4"/>
  <c r="N344" i="4" s="1"/>
  <c r="A344" i="4"/>
  <c r="N343" i="4"/>
  <c r="L343" i="4"/>
  <c r="K343" i="4"/>
  <c r="J343" i="4"/>
  <c r="I343" i="4"/>
  <c r="H343" i="4"/>
  <c r="G343" i="4"/>
  <c r="R343" i="4" s="1"/>
  <c r="F343" i="4"/>
  <c r="E343" i="4"/>
  <c r="D343" i="4"/>
  <c r="C343" i="4"/>
  <c r="O343" i="4" s="1"/>
  <c r="B343" i="4"/>
  <c r="M343" i="4" s="1"/>
  <c r="U343" i="4" s="1"/>
  <c r="V343" i="4" s="1"/>
  <c r="A343" i="4"/>
  <c r="R342" i="4"/>
  <c r="M342" i="4"/>
  <c r="U342" i="4" s="1"/>
  <c r="V342" i="4" s="1"/>
  <c r="L342" i="4"/>
  <c r="K342" i="4"/>
  <c r="J342" i="4"/>
  <c r="I342" i="4"/>
  <c r="H342" i="4"/>
  <c r="G342" i="4"/>
  <c r="F342" i="4"/>
  <c r="E342" i="4"/>
  <c r="D342" i="4"/>
  <c r="C342" i="4"/>
  <c r="B342" i="4"/>
  <c r="N342" i="4" s="1"/>
  <c r="A342" i="4"/>
  <c r="R341" i="4"/>
  <c r="L341" i="4"/>
  <c r="K341" i="4"/>
  <c r="J341" i="4"/>
  <c r="I341" i="4"/>
  <c r="H341" i="4"/>
  <c r="G341" i="4"/>
  <c r="F341" i="4"/>
  <c r="E341" i="4"/>
  <c r="D341" i="4"/>
  <c r="C341" i="4"/>
  <c r="B341" i="4"/>
  <c r="N341" i="4" s="1"/>
  <c r="A341" i="4"/>
  <c r="L340" i="4"/>
  <c r="K340" i="4"/>
  <c r="J340" i="4"/>
  <c r="I340" i="4"/>
  <c r="H340" i="4"/>
  <c r="G340" i="4"/>
  <c r="R340" i="4" s="1"/>
  <c r="F340" i="4"/>
  <c r="E340" i="4"/>
  <c r="D340" i="4"/>
  <c r="C340" i="4"/>
  <c r="B340" i="4"/>
  <c r="A340" i="4"/>
  <c r="M339" i="4"/>
  <c r="U339" i="4" s="1"/>
  <c r="V339" i="4" s="1"/>
  <c r="L339" i="4"/>
  <c r="K339" i="4"/>
  <c r="J339" i="4"/>
  <c r="I339" i="4"/>
  <c r="H339" i="4"/>
  <c r="G339" i="4"/>
  <c r="R339" i="4" s="1"/>
  <c r="F339" i="4"/>
  <c r="E339" i="4"/>
  <c r="D339" i="4"/>
  <c r="C339" i="4"/>
  <c r="B339" i="4"/>
  <c r="N339" i="4" s="1"/>
  <c r="A339" i="4"/>
  <c r="R338" i="4"/>
  <c r="L338" i="4"/>
  <c r="K338" i="4"/>
  <c r="J338" i="4"/>
  <c r="I338" i="4"/>
  <c r="H338" i="4"/>
  <c r="G338" i="4"/>
  <c r="F338" i="4"/>
  <c r="E338" i="4"/>
  <c r="D338" i="4"/>
  <c r="C338" i="4"/>
  <c r="B338" i="4"/>
  <c r="N338" i="4" s="1"/>
  <c r="A338" i="4"/>
  <c r="L337" i="4"/>
  <c r="K337" i="4"/>
  <c r="J337" i="4"/>
  <c r="I337" i="4"/>
  <c r="H337" i="4"/>
  <c r="G337" i="4"/>
  <c r="R337" i="4" s="1"/>
  <c r="F337" i="4"/>
  <c r="E337" i="4"/>
  <c r="D337" i="4"/>
  <c r="C337" i="4"/>
  <c r="B337" i="4"/>
  <c r="N337" i="4" s="1"/>
  <c r="A337" i="4"/>
  <c r="M336" i="4"/>
  <c r="L336" i="4"/>
  <c r="K336" i="4"/>
  <c r="J336" i="4"/>
  <c r="I336" i="4"/>
  <c r="H336" i="4"/>
  <c r="G336" i="4"/>
  <c r="R336" i="4" s="1"/>
  <c r="F336" i="4"/>
  <c r="E336" i="4"/>
  <c r="D336" i="4"/>
  <c r="C336" i="4"/>
  <c r="B336" i="4"/>
  <c r="N336" i="4" s="1"/>
  <c r="A336" i="4"/>
  <c r="R335" i="4"/>
  <c r="L335" i="4"/>
  <c r="K335" i="4"/>
  <c r="J335" i="4"/>
  <c r="I335" i="4"/>
  <c r="H335" i="4"/>
  <c r="G335" i="4"/>
  <c r="F335" i="4"/>
  <c r="E335" i="4"/>
  <c r="D335" i="4"/>
  <c r="C335" i="4"/>
  <c r="B335" i="4"/>
  <c r="N335" i="4" s="1"/>
  <c r="O335" i="4" s="1"/>
  <c r="P335" i="4" s="1"/>
  <c r="A335" i="4"/>
  <c r="N334" i="4"/>
  <c r="L334" i="4"/>
  <c r="K334" i="4"/>
  <c r="J334" i="4"/>
  <c r="I334" i="4"/>
  <c r="H334" i="4"/>
  <c r="G334" i="4"/>
  <c r="R334" i="4" s="1"/>
  <c r="F334" i="4"/>
  <c r="E334" i="4"/>
  <c r="D334" i="4"/>
  <c r="C334" i="4"/>
  <c r="B334" i="4"/>
  <c r="M334" i="4" s="1"/>
  <c r="A334" i="4"/>
  <c r="R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N333" i="4" s="1"/>
  <c r="A333" i="4"/>
  <c r="R332" i="4"/>
  <c r="L332" i="4"/>
  <c r="K332" i="4"/>
  <c r="J332" i="4"/>
  <c r="I332" i="4"/>
  <c r="H332" i="4"/>
  <c r="G332" i="4"/>
  <c r="F332" i="4"/>
  <c r="E332" i="4"/>
  <c r="D332" i="4"/>
  <c r="C332" i="4"/>
  <c r="B332" i="4"/>
  <c r="N332" i="4" s="1"/>
  <c r="A332" i="4"/>
  <c r="L331" i="4"/>
  <c r="K331" i="4"/>
  <c r="J331" i="4"/>
  <c r="I331" i="4"/>
  <c r="H331" i="4"/>
  <c r="G331" i="4"/>
  <c r="R331" i="4" s="1"/>
  <c r="F331" i="4"/>
  <c r="E331" i="4"/>
  <c r="D331" i="4"/>
  <c r="C331" i="4"/>
  <c r="B331" i="4"/>
  <c r="N331" i="4" s="1"/>
  <c r="A331" i="4"/>
  <c r="R330" i="4"/>
  <c r="M330" i="4"/>
  <c r="U330" i="4" s="1"/>
  <c r="V330" i="4" s="1"/>
  <c r="L330" i="4"/>
  <c r="K330" i="4"/>
  <c r="J330" i="4"/>
  <c r="I330" i="4"/>
  <c r="H330" i="4"/>
  <c r="G330" i="4"/>
  <c r="F330" i="4"/>
  <c r="E330" i="4"/>
  <c r="D330" i="4"/>
  <c r="C330" i="4"/>
  <c r="B330" i="4"/>
  <c r="N330" i="4" s="1"/>
  <c r="A330" i="4"/>
  <c r="R329" i="4"/>
  <c r="L329" i="4"/>
  <c r="K329" i="4"/>
  <c r="J329" i="4"/>
  <c r="I329" i="4"/>
  <c r="H329" i="4"/>
  <c r="G329" i="4"/>
  <c r="F329" i="4"/>
  <c r="E329" i="4"/>
  <c r="D329" i="4"/>
  <c r="C329" i="4"/>
  <c r="B329" i="4"/>
  <c r="N329" i="4" s="1"/>
  <c r="A329" i="4"/>
  <c r="L328" i="4"/>
  <c r="K328" i="4"/>
  <c r="J328" i="4"/>
  <c r="I328" i="4"/>
  <c r="H328" i="4"/>
  <c r="G328" i="4"/>
  <c r="R328" i="4" s="1"/>
  <c r="F328" i="4"/>
  <c r="E328" i="4"/>
  <c r="D328" i="4"/>
  <c r="C328" i="4"/>
  <c r="B328" i="4"/>
  <c r="N328" i="4" s="1"/>
  <c r="A328" i="4"/>
  <c r="M327" i="4"/>
  <c r="U327" i="4" s="1"/>
  <c r="V327" i="4" s="1"/>
  <c r="L327" i="4"/>
  <c r="K327" i="4"/>
  <c r="J327" i="4"/>
  <c r="I327" i="4"/>
  <c r="H327" i="4"/>
  <c r="G327" i="4"/>
  <c r="R327" i="4" s="1"/>
  <c r="F327" i="4"/>
  <c r="E327" i="4"/>
  <c r="D327" i="4"/>
  <c r="C327" i="4"/>
  <c r="B327" i="4"/>
  <c r="N327" i="4" s="1"/>
  <c r="A327" i="4"/>
  <c r="R326" i="4"/>
  <c r="L326" i="4"/>
  <c r="K326" i="4"/>
  <c r="J326" i="4"/>
  <c r="I326" i="4"/>
  <c r="H326" i="4"/>
  <c r="G326" i="4"/>
  <c r="F326" i="4"/>
  <c r="E326" i="4"/>
  <c r="D326" i="4"/>
  <c r="C326" i="4"/>
  <c r="B326" i="4"/>
  <c r="N326" i="4" s="1"/>
  <c r="O326" i="4" s="1"/>
  <c r="P326" i="4" s="1"/>
  <c r="A326" i="4"/>
  <c r="L325" i="4"/>
  <c r="K325" i="4"/>
  <c r="J325" i="4"/>
  <c r="I325" i="4"/>
  <c r="H325" i="4"/>
  <c r="G325" i="4"/>
  <c r="R325" i="4" s="1"/>
  <c r="F325" i="4"/>
  <c r="E325" i="4"/>
  <c r="D325" i="4"/>
  <c r="C325" i="4"/>
  <c r="B325" i="4"/>
  <c r="A325" i="4"/>
  <c r="R324" i="4"/>
  <c r="M324" i="4"/>
  <c r="U324" i="4" s="1"/>
  <c r="V324" i="4" s="1"/>
  <c r="L324" i="4"/>
  <c r="K324" i="4"/>
  <c r="J324" i="4"/>
  <c r="I324" i="4"/>
  <c r="H324" i="4"/>
  <c r="G324" i="4"/>
  <c r="F324" i="4"/>
  <c r="E324" i="4"/>
  <c r="D324" i="4"/>
  <c r="C324" i="4"/>
  <c r="B324" i="4"/>
  <c r="N324" i="4" s="1"/>
  <c r="A324" i="4"/>
  <c r="R323" i="4"/>
  <c r="L323" i="4"/>
  <c r="K323" i="4"/>
  <c r="J323" i="4"/>
  <c r="I323" i="4"/>
  <c r="H323" i="4"/>
  <c r="G323" i="4"/>
  <c r="F323" i="4"/>
  <c r="E323" i="4"/>
  <c r="D323" i="4"/>
  <c r="C323" i="4"/>
  <c r="B323" i="4"/>
  <c r="N323" i="4" s="1"/>
  <c r="A323" i="4"/>
  <c r="L322" i="4"/>
  <c r="K322" i="4"/>
  <c r="J322" i="4"/>
  <c r="I322" i="4"/>
  <c r="H322" i="4"/>
  <c r="G322" i="4"/>
  <c r="R322" i="4" s="1"/>
  <c r="F322" i="4"/>
  <c r="E322" i="4"/>
  <c r="D322" i="4"/>
  <c r="C322" i="4"/>
  <c r="B322" i="4"/>
  <c r="N322" i="4" s="1"/>
  <c r="A322" i="4"/>
  <c r="R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N321" i="4" s="1"/>
  <c r="A321" i="4"/>
  <c r="R320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M319" i="4"/>
  <c r="L319" i="4"/>
  <c r="K319" i="4"/>
  <c r="J319" i="4"/>
  <c r="I319" i="4"/>
  <c r="H319" i="4"/>
  <c r="G319" i="4"/>
  <c r="R319" i="4" s="1"/>
  <c r="F319" i="4"/>
  <c r="E319" i="4"/>
  <c r="D319" i="4"/>
  <c r="C319" i="4"/>
  <c r="B319" i="4"/>
  <c r="N319" i="4" s="1"/>
  <c r="A319" i="4"/>
  <c r="M318" i="4"/>
  <c r="U318" i="4" s="1"/>
  <c r="V318" i="4" s="1"/>
  <c r="L318" i="4"/>
  <c r="K318" i="4"/>
  <c r="J318" i="4"/>
  <c r="I318" i="4"/>
  <c r="H318" i="4"/>
  <c r="G318" i="4"/>
  <c r="R318" i="4" s="1"/>
  <c r="F318" i="4"/>
  <c r="E318" i="4"/>
  <c r="D318" i="4"/>
  <c r="C318" i="4"/>
  <c r="B318" i="4"/>
  <c r="N318" i="4" s="1"/>
  <c r="A318" i="4"/>
  <c r="R317" i="4"/>
  <c r="N317" i="4"/>
  <c r="L317" i="4"/>
  <c r="K317" i="4"/>
  <c r="J317" i="4"/>
  <c r="I317" i="4"/>
  <c r="H317" i="4"/>
  <c r="G317" i="4"/>
  <c r="F317" i="4"/>
  <c r="E317" i="4"/>
  <c r="D317" i="4"/>
  <c r="C317" i="4"/>
  <c r="B317" i="4"/>
  <c r="M317" i="4" s="1"/>
  <c r="U317" i="4" s="1"/>
  <c r="V317" i="4" s="1"/>
  <c r="A317" i="4"/>
  <c r="L316" i="4"/>
  <c r="K316" i="4"/>
  <c r="J316" i="4"/>
  <c r="I316" i="4"/>
  <c r="H316" i="4"/>
  <c r="G316" i="4"/>
  <c r="R316" i="4" s="1"/>
  <c r="F316" i="4"/>
  <c r="E316" i="4"/>
  <c r="D316" i="4"/>
  <c r="C316" i="4"/>
  <c r="B316" i="4"/>
  <c r="M316" i="4" s="1"/>
  <c r="A316" i="4"/>
  <c r="L315" i="4"/>
  <c r="K315" i="4"/>
  <c r="J315" i="4"/>
  <c r="I315" i="4"/>
  <c r="H315" i="4"/>
  <c r="G315" i="4"/>
  <c r="R315" i="4" s="1"/>
  <c r="F315" i="4"/>
  <c r="E315" i="4"/>
  <c r="D315" i="4"/>
  <c r="C315" i="4"/>
  <c r="B315" i="4"/>
  <c r="N315" i="4" s="1"/>
  <c r="A315" i="4"/>
  <c r="R314" i="4"/>
  <c r="L314" i="4"/>
  <c r="K314" i="4"/>
  <c r="J314" i="4"/>
  <c r="I314" i="4"/>
  <c r="H314" i="4"/>
  <c r="G314" i="4"/>
  <c r="F314" i="4"/>
  <c r="E314" i="4"/>
  <c r="D314" i="4"/>
  <c r="C314" i="4"/>
  <c r="B314" i="4"/>
  <c r="M314" i="4" s="1"/>
  <c r="A314" i="4"/>
  <c r="R313" i="4"/>
  <c r="M313" i="4"/>
  <c r="U313" i="4" s="1"/>
  <c r="V313" i="4" s="1"/>
  <c r="L313" i="4"/>
  <c r="K313" i="4"/>
  <c r="J313" i="4"/>
  <c r="I313" i="4"/>
  <c r="H313" i="4"/>
  <c r="G313" i="4"/>
  <c r="F313" i="4"/>
  <c r="E313" i="4"/>
  <c r="D313" i="4"/>
  <c r="C313" i="4"/>
  <c r="B313" i="4"/>
  <c r="N313" i="4" s="1"/>
  <c r="A313" i="4"/>
  <c r="R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N312" i="4" s="1"/>
  <c r="A312" i="4"/>
  <c r="R311" i="4"/>
  <c r="N311" i="4"/>
  <c r="L311" i="4"/>
  <c r="K311" i="4"/>
  <c r="J311" i="4"/>
  <c r="I311" i="4"/>
  <c r="H311" i="4"/>
  <c r="G311" i="4"/>
  <c r="F311" i="4"/>
  <c r="E311" i="4"/>
  <c r="D311" i="4"/>
  <c r="C311" i="4"/>
  <c r="B311" i="4"/>
  <c r="M311" i="4" s="1"/>
  <c r="A311" i="4"/>
  <c r="L310" i="4"/>
  <c r="K310" i="4"/>
  <c r="J310" i="4"/>
  <c r="I310" i="4"/>
  <c r="H310" i="4"/>
  <c r="G310" i="4"/>
  <c r="R310" i="4" s="1"/>
  <c r="F310" i="4"/>
  <c r="E310" i="4"/>
  <c r="D310" i="4"/>
  <c r="C310" i="4"/>
  <c r="B310" i="4"/>
  <c r="N310" i="4" s="1"/>
  <c r="A310" i="4"/>
  <c r="R309" i="4"/>
  <c r="L309" i="4"/>
  <c r="K309" i="4"/>
  <c r="J309" i="4"/>
  <c r="I309" i="4"/>
  <c r="H309" i="4"/>
  <c r="G309" i="4"/>
  <c r="F309" i="4"/>
  <c r="E309" i="4"/>
  <c r="D309" i="4"/>
  <c r="C309" i="4"/>
  <c r="B309" i="4"/>
  <c r="N309" i="4" s="1"/>
  <c r="A309" i="4"/>
  <c r="R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R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N307" i="4" s="1"/>
  <c r="A307" i="4"/>
  <c r="M306" i="4"/>
  <c r="U306" i="4" s="1"/>
  <c r="V306" i="4" s="1"/>
  <c r="L306" i="4"/>
  <c r="K306" i="4"/>
  <c r="J306" i="4"/>
  <c r="I306" i="4"/>
  <c r="H306" i="4"/>
  <c r="G306" i="4"/>
  <c r="R306" i="4" s="1"/>
  <c r="F306" i="4"/>
  <c r="E306" i="4"/>
  <c r="D306" i="4"/>
  <c r="C306" i="4"/>
  <c r="B306" i="4"/>
  <c r="N306" i="4" s="1"/>
  <c r="A306" i="4"/>
  <c r="R305" i="4"/>
  <c r="N305" i="4"/>
  <c r="L305" i="4"/>
  <c r="K305" i="4"/>
  <c r="J305" i="4"/>
  <c r="I305" i="4"/>
  <c r="H305" i="4"/>
  <c r="G305" i="4"/>
  <c r="F305" i="4"/>
  <c r="E305" i="4"/>
  <c r="D305" i="4"/>
  <c r="C305" i="4"/>
  <c r="O305" i="4" s="1"/>
  <c r="P305" i="4" s="1"/>
  <c r="B305" i="4"/>
  <c r="M305" i="4" s="1"/>
  <c r="A305" i="4"/>
  <c r="R304" i="4"/>
  <c r="L304" i="4"/>
  <c r="K304" i="4"/>
  <c r="J304" i="4"/>
  <c r="I304" i="4"/>
  <c r="H304" i="4"/>
  <c r="G304" i="4"/>
  <c r="F304" i="4"/>
  <c r="E304" i="4"/>
  <c r="D304" i="4"/>
  <c r="C304" i="4"/>
  <c r="B304" i="4"/>
  <c r="N304" i="4" s="1"/>
  <c r="A304" i="4"/>
  <c r="L303" i="4"/>
  <c r="K303" i="4"/>
  <c r="J303" i="4"/>
  <c r="I303" i="4"/>
  <c r="H303" i="4"/>
  <c r="G303" i="4"/>
  <c r="R303" i="4" s="1"/>
  <c r="F303" i="4"/>
  <c r="E303" i="4"/>
  <c r="D303" i="4"/>
  <c r="C303" i="4"/>
  <c r="B303" i="4"/>
  <c r="M303" i="4" s="1"/>
  <c r="A303" i="4"/>
  <c r="R302" i="4"/>
  <c r="L302" i="4"/>
  <c r="K302" i="4"/>
  <c r="J302" i="4"/>
  <c r="I302" i="4"/>
  <c r="H302" i="4"/>
  <c r="G302" i="4"/>
  <c r="F302" i="4"/>
  <c r="E302" i="4"/>
  <c r="D302" i="4"/>
  <c r="C302" i="4"/>
  <c r="B302" i="4"/>
  <c r="M302" i="4" s="1"/>
  <c r="A302" i="4"/>
  <c r="M301" i="4"/>
  <c r="U301" i="4" s="1"/>
  <c r="V301" i="4" s="1"/>
  <c r="L301" i="4"/>
  <c r="K301" i="4"/>
  <c r="J301" i="4"/>
  <c r="I301" i="4"/>
  <c r="H301" i="4"/>
  <c r="G301" i="4"/>
  <c r="R301" i="4" s="1"/>
  <c r="F301" i="4"/>
  <c r="E301" i="4"/>
  <c r="D301" i="4"/>
  <c r="C301" i="4"/>
  <c r="B301" i="4"/>
  <c r="N301" i="4" s="1"/>
  <c r="A301" i="4"/>
  <c r="R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N300" i="4" s="1"/>
  <c r="A300" i="4"/>
  <c r="R299" i="4"/>
  <c r="N299" i="4"/>
  <c r="L299" i="4"/>
  <c r="K299" i="4"/>
  <c r="J299" i="4"/>
  <c r="I299" i="4"/>
  <c r="H299" i="4"/>
  <c r="G299" i="4"/>
  <c r="F299" i="4"/>
  <c r="E299" i="4"/>
  <c r="D299" i="4"/>
  <c r="C299" i="4"/>
  <c r="B299" i="4"/>
  <c r="M299" i="4" s="1"/>
  <c r="U299" i="4" s="1"/>
  <c r="V299" i="4" s="1"/>
  <c r="A299" i="4"/>
  <c r="L298" i="4"/>
  <c r="K298" i="4"/>
  <c r="J298" i="4"/>
  <c r="I298" i="4"/>
  <c r="H298" i="4"/>
  <c r="G298" i="4"/>
  <c r="R298" i="4" s="1"/>
  <c r="F298" i="4"/>
  <c r="E298" i="4"/>
  <c r="D298" i="4"/>
  <c r="C298" i="4"/>
  <c r="B298" i="4"/>
  <c r="M298" i="4" s="1"/>
  <c r="U298" i="4" s="1"/>
  <c r="V298" i="4" s="1"/>
  <c r="A298" i="4"/>
  <c r="L297" i="4"/>
  <c r="K297" i="4"/>
  <c r="J297" i="4"/>
  <c r="I297" i="4"/>
  <c r="H297" i="4"/>
  <c r="G297" i="4"/>
  <c r="R297" i="4" s="1"/>
  <c r="F297" i="4"/>
  <c r="E297" i="4"/>
  <c r="D297" i="4"/>
  <c r="C297" i="4"/>
  <c r="B297" i="4"/>
  <c r="N297" i="4" s="1"/>
  <c r="A297" i="4"/>
  <c r="R296" i="4"/>
  <c r="L296" i="4"/>
  <c r="K296" i="4"/>
  <c r="J296" i="4"/>
  <c r="I296" i="4"/>
  <c r="H296" i="4"/>
  <c r="G296" i="4"/>
  <c r="F296" i="4"/>
  <c r="E296" i="4"/>
  <c r="D296" i="4"/>
  <c r="C296" i="4"/>
  <c r="B296" i="4"/>
  <c r="M296" i="4" s="1"/>
  <c r="A296" i="4"/>
  <c r="R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N295" i="4" s="1"/>
  <c r="A295" i="4"/>
  <c r="R294" i="4"/>
  <c r="M294" i="4"/>
  <c r="U294" i="4" s="1"/>
  <c r="V294" i="4" s="1"/>
  <c r="L294" i="4"/>
  <c r="K294" i="4"/>
  <c r="J294" i="4"/>
  <c r="I294" i="4"/>
  <c r="H294" i="4"/>
  <c r="G294" i="4"/>
  <c r="F294" i="4"/>
  <c r="E294" i="4"/>
  <c r="D294" i="4"/>
  <c r="C294" i="4"/>
  <c r="B294" i="4"/>
  <c r="N294" i="4" s="1"/>
  <c r="A294" i="4"/>
  <c r="R293" i="4"/>
  <c r="N293" i="4"/>
  <c r="L293" i="4"/>
  <c r="K293" i="4"/>
  <c r="J293" i="4"/>
  <c r="I293" i="4"/>
  <c r="H293" i="4"/>
  <c r="G293" i="4"/>
  <c r="F293" i="4"/>
  <c r="E293" i="4"/>
  <c r="D293" i="4"/>
  <c r="C293" i="4"/>
  <c r="B293" i="4"/>
  <c r="M293" i="4" s="1"/>
  <c r="U293" i="4" s="1"/>
  <c r="V293" i="4" s="1"/>
  <c r="A293" i="4"/>
  <c r="L292" i="4"/>
  <c r="K292" i="4"/>
  <c r="J292" i="4"/>
  <c r="I292" i="4"/>
  <c r="H292" i="4"/>
  <c r="G292" i="4"/>
  <c r="R292" i="4" s="1"/>
  <c r="F292" i="4"/>
  <c r="E292" i="4"/>
  <c r="D292" i="4"/>
  <c r="C292" i="4"/>
  <c r="B292" i="4"/>
  <c r="N292" i="4" s="1"/>
  <c r="A292" i="4"/>
  <c r="M291" i="4"/>
  <c r="U291" i="4" s="1"/>
  <c r="V291" i="4" s="1"/>
  <c r="L291" i="4"/>
  <c r="K291" i="4"/>
  <c r="J291" i="4"/>
  <c r="I291" i="4"/>
  <c r="H291" i="4"/>
  <c r="G291" i="4"/>
  <c r="R291" i="4" s="1"/>
  <c r="F291" i="4"/>
  <c r="E291" i="4"/>
  <c r="D291" i="4"/>
  <c r="C291" i="4"/>
  <c r="B291" i="4"/>
  <c r="N291" i="4" s="1"/>
  <c r="A291" i="4"/>
  <c r="M290" i="4"/>
  <c r="L290" i="4"/>
  <c r="K290" i="4"/>
  <c r="J290" i="4"/>
  <c r="I290" i="4"/>
  <c r="H290" i="4"/>
  <c r="G290" i="4"/>
  <c r="R290" i="4" s="1"/>
  <c r="F290" i="4"/>
  <c r="E290" i="4"/>
  <c r="D290" i="4"/>
  <c r="C290" i="4"/>
  <c r="B290" i="4"/>
  <c r="N290" i="4" s="1"/>
  <c r="A290" i="4"/>
  <c r="M289" i="4"/>
  <c r="U289" i="4" s="1"/>
  <c r="V289" i="4" s="1"/>
  <c r="L289" i="4"/>
  <c r="K289" i="4"/>
  <c r="J289" i="4"/>
  <c r="I289" i="4"/>
  <c r="H289" i="4"/>
  <c r="G289" i="4"/>
  <c r="R289" i="4" s="1"/>
  <c r="F289" i="4"/>
  <c r="E289" i="4"/>
  <c r="D289" i="4"/>
  <c r="C289" i="4"/>
  <c r="B289" i="4"/>
  <c r="N289" i="4" s="1"/>
  <c r="O289" i="4" s="1"/>
  <c r="A289" i="4"/>
  <c r="M288" i="4"/>
  <c r="U288" i="4" s="1"/>
  <c r="V288" i="4" s="1"/>
  <c r="L288" i="4"/>
  <c r="K288" i="4"/>
  <c r="J288" i="4"/>
  <c r="I288" i="4"/>
  <c r="H288" i="4"/>
  <c r="G288" i="4"/>
  <c r="R288" i="4" s="1"/>
  <c r="F288" i="4"/>
  <c r="E288" i="4"/>
  <c r="D288" i="4"/>
  <c r="C288" i="4"/>
  <c r="B288" i="4"/>
  <c r="N288" i="4" s="1"/>
  <c r="A288" i="4"/>
  <c r="M287" i="4"/>
  <c r="U287" i="4" s="1"/>
  <c r="V287" i="4" s="1"/>
  <c r="L287" i="4"/>
  <c r="K287" i="4"/>
  <c r="J287" i="4"/>
  <c r="I287" i="4"/>
  <c r="H287" i="4"/>
  <c r="G287" i="4"/>
  <c r="R287" i="4" s="1"/>
  <c r="F287" i="4"/>
  <c r="E287" i="4"/>
  <c r="D287" i="4"/>
  <c r="C287" i="4"/>
  <c r="B287" i="4"/>
  <c r="N287" i="4" s="1"/>
  <c r="A287" i="4"/>
  <c r="M286" i="4"/>
  <c r="L286" i="4"/>
  <c r="K286" i="4"/>
  <c r="J286" i="4"/>
  <c r="I286" i="4"/>
  <c r="H286" i="4"/>
  <c r="G286" i="4"/>
  <c r="R286" i="4" s="1"/>
  <c r="F286" i="4"/>
  <c r="E286" i="4"/>
  <c r="D286" i="4"/>
  <c r="C286" i="4"/>
  <c r="B286" i="4"/>
  <c r="N286" i="4" s="1"/>
  <c r="A286" i="4"/>
  <c r="M285" i="4"/>
  <c r="L285" i="4"/>
  <c r="K285" i="4"/>
  <c r="J285" i="4"/>
  <c r="I285" i="4"/>
  <c r="H285" i="4"/>
  <c r="G285" i="4"/>
  <c r="R285" i="4" s="1"/>
  <c r="F285" i="4"/>
  <c r="E285" i="4"/>
  <c r="D285" i="4"/>
  <c r="C285" i="4"/>
  <c r="B285" i="4"/>
  <c r="N285" i="4" s="1"/>
  <c r="A285" i="4"/>
  <c r="M284" i="4"/>
  <c r="U284" i="4" s="1"/>
  <c r="V284" i="4" s="1"/>
  <c r="L284" i="4"/>
  <c r="K284" i="4"/>
  <c r="J284" i="4"/>
  <c r="I284" i="4"/>
  <c r="H284" i="4"/>
  <c r="G284" i="4"/>
  <c r="R284" i="4" s="1"/>
  <c r="F284" i="4"/>
  <c r="E284" i="4"/>
  <c r="D284" i="4"/>
  <c r="C284" i="4"/>
  <c r="B284" i="4"/>
  <c r="N284" i="4" s="1"/>
  <c r="A284" i="4"/>
  <c r="M283" i="4"/>
  <c r="U283" i="4" s="1"/>
  <c r="V283" i="4" s="1"/>
  <c r="L283" i="4"/>
  <c r="K283" i="4"/>
  <c r="J283" i="4"/>
  <c r="I283" i="4"/>
  <c r="H283" i="4"/>
  <c r="G283" i="4"/>
  <c r="R283" i="4" s="1"/>
  <c r="F283" i="4"/>
  <c r="E283" i="4"/>
  <c r="D283" i="4"/>
  <c r="C283" i="4"/>
  <c r="B283" i="4"/>
  <c r="N283" i="4" s="1"/>
  <c r="O283" i="4" s="1"/>
  <c r="A283" i="4"/>
  <c r="M282" i="4"/>
  <c r="U282" i="4" s="1"/>
  <c r="V282" i="4" s="1"/>
  <c r="L282" i="4"/>
  <c r="K282" i="4"/>
  <c r="J282" i="4"/>
  <c r="I282" i="4"/>
  <c r="H282" i="4"/>
  <c r="G282" i="4"/>
  <c r="R282" i="4" s="1"/>
  <c r="F282" i="4"/>
  <c r="E282" i="4"/>
  <c r="D282" i="4"/>
  <c r="C282" i="4"/>
  <c r="B282" i="4"/>
  <c r="N282" i="4" s="1"/>
  <c r="A282" i="4"/>
  <c r="M281" i="4"/>
  <c r="L281" i="4"/>
  <c r="K281" i="4"/>
  <c r="J281" i="4"/>
  <c r="I281" i="4"/>
  <c r="H281" i="4"/>
  <c r="G281" i="4"/>
  <c r="R281" i="4" s="1"/>
  <c r="F281" i="4"/>
  <c r="E281" i="4"/>
  <c r="D281" i="4"/>
  <c r="C281" i="4"/>
  <c r="B281" i="4"/>
  <c r="N281" i="4" s="1"/>
  <c r="A281" i="4"/>
  <c r="M280" i="4"/>
  <c r="L280" i="4"/>
  <c r="K280" i="4"/>
  <c r="J280" i="4"/>
  <c r="I280" i="4"/>
  <c r="H280" i="4"/>
  <c r="G280" i="4"/>
  <c r="R280" i="4" s="1"/>
  <c r="F280" i="4"/>
  <c r="E280" i="4"/>
  <c r="D280" i="4"/>
  <c r="C280" i="4"/>
  <c r="B280" i="4"/>
  <c r="N280" i="4" s="1"/>
  <c r="A280" i="4"/>
  <c r="M279" i="4"/>
  <c r="L279" i="4"/>
  <c r="K279" i="4"/>
  <c r="J279" i="4"/>
  <c r="I279" i="4"/>
  <c r="H279" i="4"/>
  <c r="G279" i="4"/>
  <c r="R279" i="4" s="1"/>
  <c r="F279" i="4"/>
  <c r="E279" i="4"/>
  <c r="D279" i="4"/>
  <c r="C279" i="4"/>
  <c r="B279" i="4"/>
  <c r="N279" i="4" s="1"/>
  <c r="A279" i="4"/>
  <c r="M278" i="4"/>
  <c r="L278" i="4"/>
  <c r="K278" i="4"/>
  <c r="J278" i="4"/>
  <c r="I278" i="4"/>
  <c r="H278" i="4"/>
  <c r="G278" i="4"/>
  <c r="R278" i="4" s="1"/>
  <c r="F278" i="4"/>
  <c r="E278" i="4"/>
  <c r="D278" i="4"/>
  <c r="C278" i="4"/>
  <c r="B278" i="4"/>
  <c r="N278" i="4" s="1"/>
  <c r="A278" i="4"/>
  <c r="M277" i="4"/>
  <c r="U277" i="4" s="1"/>
  <c r="V277" i="4" s="1"/>
  <c r="L277" i="4"/>
  <c r="K277" i="4"/>
  <c r="J277" i="4"/>
  <c r="I277" i="4"/>
  <c r="H277" i="4"/>
  <c r="G277" i="4"/>
  <c r="R277" i="4" s="1"/>
  <c r="F277" i="4"/>
  <c r="E277" i="4"/>
  <c r="D277" i="4"/>
  <c r="C277" i="4"/>
  <c r="B277" i="4"/>
  <c r="N277" i="4" s="1"/>
  <c r="O277" i="4" s="1"/>
  <c r="A277" i="4"/>
  <c r="M276" i="4"/>
  <c r="U276" i="4" s="1"/>
  <c r="V276" i="4" s="1"/>
  <c r="L276" i="4"/>
  <c r="K276" i="4"/>
  <c r="J276" i="4"/>
  <c r="I276" i="4"/>
  <c r="H276" i="4"/>
  <c r="G276" i="4"/>
  <c r="R276" i="4" s="1"/>
  <c r="F276" i="4"/>
  <c r="E276" i="4"/>
  <c r="D276" i="4"/>
  <c r="C276" i="4"/>
  <c r="B276" i="4"/>
  <c r="N276" i="4" s="1"/>
  <c r="A276" i="4"/>
  <c r="M275" i="4"/>
  <c r="U275" i="4" s="1"/>
  <c r="V275" i="4" s="1"/>
  <c r="L275" i="4"/>
  <c r="K275" i="4"/>
  <c r="J275" i="4"/>
  <c r="I275" i="4"/>
  <c r="H275" i="4"/>
  <c r="G275" i="4"/>
  <c r="R275" i="4" s="1"/>
  <c r="F275" i="4"/>
  <c r="E275" i="4"/>
  <c r="D275" i="4"/>
  <c r="C275" i="4"/>
  <c r="B275" i="4"/>
  <c r="N275" i="4" s="1"/>
  <c r="A275" i="4"/>
  <c r="M274" i="4"/>
  <c r="U274" i="4" s="1"/>
  <c r="V274" i="4" s="1"/>
  <c r="L274" i="4"/>
  <c r="K274" i="4"/>
  <c r="J274" i="4"/>
  <c r="I274" i="4"/>
  <c r="H274" i="4"/>
  <c r="G274" i="4"/>
  <c r="R274" i="4" s="1"/>
  <c r="F274" i="4"/>
  <c r="E274" i="4"/>
  <c r="D274" i="4"/>
  <c r="C274" i="4"/>
  <c r="B274" i="4"/>
  <c r="N274" i="4" s="1"/>
  <c r="A274" i="4"/>
  <c r="M273" i="4"/>
  <c r="U273" i="4" s="1"/>
  <c r="V273" i="4" s="1"/>
  <c r="L273" i="4"/>
  <c r="K273" i="4"/>
  <c r="J273" i="4"/>
  <c r="I273" i="4"/>
  <c r="H273" i="4"/>
  <c r="G273" i="4"/>
  <c r="R273" i="4" s="1"/>
  <c r="F273" i="4"/>
  <c r="E273" i="4"/>
  <c r="D273" i="4"/>
  <c r="C273" i="4"/>
  <c r="B273" i="4"/>
  <c r="N273" i="4" s="1"/>
  <c r="A273" i="4"/>
  <c r="M272" i="4"/>
  <c r="L272" i="4"/>
  <c r="K272" i="4"/>
  <c r="J272" i="4"/>
  <c r="I272" i="4"/>
  <c r="H272" i="4"/>
  <c r="G272" i="4"/>
  <c r="R272" i="4" s="1"/>
  <c r="F272" i="4"/>
  <c r="E272" i="4"/>
  <c r="D272" i="4"/>
  <c r="C272" i="4"/>
  <c r="B272" i="4"/>
  <c r="N272" i="4" s="1"/>
  <c r="A272" i="4"/>
  <c r="M271" i="4"/>
  <c r="U271" i="4" s="1"/>
  <c r="V271" i="4" s="1"/>
  <c r="L271" i="4"/>
  <c r="K271" i="4"/>
  <c r="J271" i="4"/>
  <c r="I271" i="4"/>
  <c r="H271" i="4"/>
  <c r="G271" i="4"/>
  <c r="R271" i="4" s="1"/>
  <c r="F271" i="4"/>
  <c r="E271" i="4"/>
  <c r="D271" i="4"/>
  <c r="C271" i="4"/>
  <c r="B271" i="4"/>
  <c r="N271" i="4" s="1"/>
  <c r="O271" i="4" s="1"/>
  <c r="A271" i="4"/>
  <c r="M270" i="4"/>
  <c r="U270" i="4" s="1"/>
  <c r="V270" i="4" s="1"/>
  <c r="L270" i="4"/>
  <c r="K270" i="4"/>
  <c r="J270" i="4"/>
  <c r="I270" i="4"/>
  <c r="H270" i="4"/>
  <c r="G270" i="4"/>
  <c r="R270" i="4" s="1"/>
  <c r="F270" i="4"/>
  <c r="E270" i="4"/>
  <c r="D270" i="4"/>
  <c r="C270" i="4"/>
  <c r="B270" i="4"/>
  <c r="N270" i="4" s="1"/>
  <c r="A270" i="4"/>
  <c r="M269" i="4"/>
  <c r="U269" i="4" s="1"/>
  <c r="V269" i="4" s="1"/>
  <c r="L269" i="4"/>
  <c r="K269" i="4"/>
  <c r="J269" i="4"/>
  <c r="I269" i="4"/>
  <c r="H269" i="4"/>
  <c r="G269" i="4"/>
  <c r="R269" i="4" s="1"/>
  <c r="F269" i="4"/>
  <c r="E269" i="4"/>
  <c r="D269" i="4"/>
  <c r="C269" i="4"/>
  <c r="B269" i="4"/>
  <c r="N269" i="4" s="1"/>
  <c r="A269" i="4"/>
  <c r="M268" i="4"/>
  <c r="U268" i="4" s="1"/>
  <c r="V268" i="4" s="1"/>
  <c r="L268" i="4"/>
  <c r="K268" i="4"/>
  <c r="J268" i="4"/>
  <c r="I268" i="4"/>
  <c r="H268" i="4"/>
  <c r="G268" i="4"/>
  <c r="R268" i="4" s="1"/>
  <c r="F268" i="4"/>
  <c r="E268" i="4"/>
  <c r="D268" i="4"/>
  <c r="C268" i="4"/>
  <c r="B268" i="4"/>
  <c r="N268" i="4" s="1"/>
  <c r="A268" i="4"/>
  <c r="M267" i="4"/>
  <c r="L267" i="4"/>
  <c r="K267" i="4"/>
  <c r="J267" i="4"/>
  <c r="I267" i="4"/>
  <c r="H267" i="4"/>
  <c r="G267" i="4"/>
  <c r="R267" i="4" s="1"/>
  <c r="F267" i="4"/>
  <c r="E267" i="4"/>
  <c r="D267" i="4"/>
  <c r="C267" i="4"/>
  <c r="B267" i="4"/>
  <c r="N267" i="4" s="1"/>
  <c r="A267" i="4"/>
  <c r="M266" i="4"/>
  <c r="U266" i="4" s="1"/>
  <c r="V266" i="4" s="1"/>
  <c r="L266" i="4"/>
  <c r="K266" i="4"/>
  <c r="J266" i="4"/>
  <c r="I266" i="4"/>
  <c r="H266" i="4"/>
  <c r="G266" i="4"/>
  <c r="R266" i="4" s="1"/>
  <c r="F266" i="4"/>
  <c r="E266" i="4"/>
  <c r="D266" i="4"/>
  <c r="C266" i="4"/>
  <c r="B266" i="4"/>
  <c r="N266" i="4" s="1"/>
  <c r="A266" i="4"/>
  <c r="M265" i="4"/>
  <c r="L265" i="4"/>
  <c r="K265" i="4"/>
  <c r="J265" i="4"/>
  <c r="I265" i="4"/>
  <c r="H265" i="4"/>
  <c r="G265" i="4"/>
  <c r="R265" i="4" s="1"/>
  <c r="F265" i="4"/>
  <c r="E265" i="4"/>
  <c r="D265" i="4"/>
  <c r="C265" i="4"/>
  <c r="B265" i="4"/>
  <c r="N265" i="4" s="1"/>
  <c r="O265" i="4" s="1"/>
  <c r="A265" i="4"/>
  <c r="M264" i="4"/>
  <c r="U264" i="4" s="1"/>
  <c r="V264" i="4" s="1"/>
  <c r="L264" i="4"/>
  <c r="K264" i="4"/>
  <c r="J264" i="4"/>
  <c r="I264" i="4"/>
  <c r="H264" i="4"/>
  <c r="G264" i="4"/>
  <c r="R264" i="4" s="1"/>
  <c r="F264" i="4"/>
  <c r="E264" i="4"/>
  <c r="D264" i="4"/>
  <c r="C264" i="4"/>
  <c r="B264" i="4"/>
  <c r="N264" i="4" s="1"/>
  <c r="A264" i="4"/>
  <c r="M263" i="4"/>
  <c r="U263" i="4" s="1"/>
  <c r="V263" i="4" s="1"/>
  <c r="L263" i="4"/>
  <c r="K263" i="4"/>
  <c r="J263" i="4"/>
  <c r="I263" i="4"/>
  <c r="H263" i="4"/>
  <c r="G263" i="4"/>
  <c r="R263" i="4" s="1"/>
  <c r="F263" i="4"/>
  <c r="E263" i="4"/>
  <c r="D263" i="4"/>
  <c r="C263" i="4"/>
  <c r="B263" i="4"/>
  <c r="N263" i="4" s="1"/>
  <c r="A263" i="4"/>
  <c r="M262" i="4"/>
  <c r="U262" i="4" s="1"/>
  <c r="V262" i="4" s="1"/>
  <c r="L262" i="4"/>
  <c r="K262" i="4"/>
  <c r="J262" i="4"/>
  <c r="I262" i="4"/>
  <c r="H262" i="4"/>
  <c r="G262" i="4"/>
  <c r="R262" i="4" s="1"/>
  <c r="F262" i="4"/>
  <c r="E262" i="4"/>
  <c r="D262" i="4"/>
  <c r="C262" i="4"/>
  <c r="B262" i="4"/>
  <c r="N262" i="4" s="1"/>
  <c r="A262" i="4"/>
  <c r="M261" i="4"/>
  <c r="U261" i="4" s="1"/>
  <c r="V261" i="4" s="1"/>
  <c r="L261" i="4"/>
  <c r="K261" i="4"/>
  <c r="J261" i="4"/>
  <c r="I261" i="4"/>
  <c r="H261" i="4"/>
  <c r="G261" i="4"/>
  <c r="R261" i="4" s="1"/>
  <c r="F261" i="4"/>
  <c r="E261" i="4"/>
  <c r="D261" i="4"/>
  <c r="C261" i="4"/>
  <c r="B261" i="4"/>
  <c r="N261" i="4" s="1"/>
  <c r="A261" i="4"/>
  <c r="M260" i="4"/>
  <c r="U260" i="4" s="1"/>
  <c r="V260" i="4" s="1"/>
  <c r="L260" i="4"/>
  <c r="K260" i="4"/>
  <c r="J260" i="4"/>
  <c r="I260" i="4"/>
  <c r="H260" i="4"/>
  <c r="G260" i="4"/>
  <c r="R260" i="4" s="1"/>
  <c r="F260" i="4"/>
  <c r="E260" i="4"/>
  <c r="D260" i="4"/>
  <c r="C260" i="4"/>
  <c r="B260" i="4"/>
  <c r="N260" i="4" s="1"/>
  <c r="A260" i="4"/>
  <c r="M259" i="4"/>
  <c r="L259" i="4"/>
  <c r="K259" i="4"/>
  <c r="J259" i="4"/>
  <c r="I259" i="4"/>
  <c r="H259" i="4"/>
  <c r="G259" i="4"/>
  <c r="R259" i="4" s="1"/>
  <c r="F259" i="4"/>
  <c r="E259" i="4"/>
  <c r="D259" i="4"/>
  <c r="C259" i="4"/>
  <c r="B259" i="4"/>
  <c r="N259" i="4" s="1"/>
  <c r="O259" i="4" s="1"/>
  <c r="A259" i="4"/>
  <c r="M258" i="4"/>
  <c r="L258" i="4"/>
  <c r="K258" i="4"/>
  <c r="J258" i="4"/>
  <c r="I258" i="4"/>
  <c r="H258" i="4"/>
  <c r="G258" i="4"/>
  <c r="R258" i="4" s="1"/>
  <c r="F258" i="4"/>
  <c r="E258" i="4"/>
  <c r="D258" i="4"/>
  <c r="C258" i="4"/>
  <c r="B258" i="4"/>
  <c r="N258" i="4" s="1"/>
  <c r="A258" i="4"/>
  <c r="M257" i="4"/>
  <c r="L257" i="4"/>
  <c r="K257" i="4"/>
  <c r="J257" i="4"/>
  <c r="I257" i="4"/>
  <c r="H257" i="4"/>
  <c r="G257" i="4"/>
  <c r="R257" i="4" s="1"/>
  <c r="F257" i="4"/>
  <c r="E257" i="4"/>
  <c r="D257" i="4"/>
  <c r="C257" i="4"/>
  <c r="B257" i="4"/>
  <c r="N257" i="4" s="1"/>
  <c r="A257" i="4"/>
  <c r="M256" i="4"/>
  <c r="L256" i="4"/>
  <c r="K256" i="4"/>
  <c r="J256" i="4"/>
  <c r="I256" i="4"/>
  <c r="H256" i="4"/>
  <c r="G256" i="4"/>
  <c r="R256" i="4" s="1"/>
  <c r="F256" i="4"/>
  <c r="E256" i="4"/>
  <c r="D256" i="4"/>
  <c r="C256" i="4"/>
  <c r="B256" i="4"/>
  <c r="N256" i="4" s="1"/>
  <c r="A256" i="4"/>
  <c r="M255" i="4"/>
  <c r="U255" i="4" s="1"/>
  <c r="V255" i="4" s="1"/>
  <c r="L255" i="4"/>
  <c r="K255" i="4"/>
  <c r="J255" i="4"/>
  <c r="I255" i="4"/>
  <c r="H255" i="4"/>
  <c r="G255" i="4"/>
  <c r="R255" i="4" s="1"/>
  <c r="F255" i="4"/>
  <c r="E255" i="4"/>
  <c r="D255" i="4"/>
  <c r="C255" i="4"/>
  <c r="B255" i="4"/>
  <c r="N255" i="4" s="1"/>
  <c r="A255" i="4"/>
  <c r="M254" i="4"/>
  <c r="U254" i="4" s="1"/>
  <c r="V254" i="4" s="1"/>
  <c r="L254" i="4"/>
  <c r="K254" i="4"/>
  <c r="J254" i="4"/>
  <c r="I254" i="4"/>
  <c r="H254" i="4"/>
  <c r="G254" i="4"/>
  <c r="R254" i="4" s="1"/>
  <c r="F254" i="4"/>
  <c r="E254" i="4"/>
  <c r="D254" i="4"/>
  <c r="C254" i="4"/>
  <c r="B254" i="4"/>
  <c r="N254" i="4" s="1"/>
  <c r="A254" i="4"/>
  <c r="M253" i="4"/>
  <c r="L253" i="4"/>
  <c r="K253" i="4"/>
  <c r="J253" i="4"/>
  <c r="I253" i="4"/>
  <c r="H253" i="4"/>
  <c r="G253" i="4"/>
  <c r="R253" i="4" s="1"/>
  <c r="F253" i="4"/>
  <c r="E253" i="4"/>
  <c r="D253" i="4"/>
  <c r="C253" i="4"/>
  <c r="B253" i="4"/>
  <c r="N253" i="4" s="1"/>
  <c r="O253" i="4" s="1"/>
  <c r="A253" i="4"/>
  <c r="M252" i="4"/>
  <c r="L252" i="4"/>
  <c r="K252" i="4"/>
  <c r="J252" i="4"/>
  <c r="I252" i="4"/>
  <c r="H252" i="4"/>
  <c r="G252" i="4"/>
  <c r="R252" i="4" s="1"/>
  <c r="F252" i="4"/>
  <c r="E252" i="4"/>
  <c r="D252" i="4"/>
  <c r="C252" i="4"/>
  <c r="B252" i="4"/>
  <c r="N252" i="4" s="1"/>
  <c r="A252" i="4"/>
  <c r="M251" i="4"/>
  <c r="U251" i="4" s="1"/>
  <c r="V251" i="4" s="1"/>
  <c r="L251" i="4"/>
  <c r="K251" i="4"/>
  <c r="J251" i="4"/>
  <c r="I251" i="4"/>
  <c r="H251" i="4"/>
  <c r="G251" i="4"/>
  <c r="R251" i="4" s="1"/>
  <c r="F251" i="4"/>
  <c r="E251" i="4"/>
  <c r="D251" i="4"/>
  <c r="C251" i="4"/>
  <c r="B251" i="4"/>
  <c r="N251" i="4" s="1"/>
  <c r="A251" i="4"/>
  <c r="M250" i="4"/>
  <c r="U250" i="4" s="1"/>
  <c r="V250" i="4" s="1"/>
  <c r="L250" i="4"/>
  <c r="K250" i="4"/>
  <c r="J250" i="4"/>
  <c r="I250" i="4"/>
  <c r="H250" i="4"/>
  <c r="G250" i="4"/>
  <c r="R250" i="4" s="1"/>
  <c r="F250" i="4"/>
  <c r="E250" i="4"/>
  <c r="D250" i="4"/>
  <c r="C250" i="4"/>
  <c r="B250" i="4"/>
  <c r="N250" i="4" s="1"/>
  <c r="A250" i="4"/>
  <c r="M249" i="4"/>
  <c r="L249" i="4"/>
  <c r="K249" i="4"/>
  <c r="J249" i="4"/>
  <c r="I249" i="4"/>
  <c r="H249" i="4"/>
  <c r="G249" i="4"/>
  <c r="R249" i="4" s="1"/>
  <c r="F249" i="4"/>
  <c r="E249" i="4"/>
  <c r="D249" i="4"/>
  <c r="C249" i="4"/>
  <c r="B249" i="4"/>
  <c r="N249" i="4" s="1"/>
  <c r="A249" i="4"/>
  <c r="M248" i="4"/>
  <c r="L248" i="4"/>
  <c r="K248" i="4"/>
  <c r="J248" i="4"/>
  <c r="I248" i="4"/>
  <c r="H248" i="4"/>
  <c r="G248" i="4"/>
  <c r="R248" i="4" s="1"/>
  <c r="F248" i="4"/>
  <c r="E248" i="4"/>
  <c r="D248" i="4"/>
  <c r="C248" i="4"/>
  <c r="B248" i="4"/>
  <c r="N248" i="4" s="1"/>
  <c r="A248" i="4"/>
  <c r="M247" i="4"/>
  <c r="L247" i="4"/>
  <c r="K247" i="4"/>
  <c r="J247" i="4"/>
  <c r="I247" i="4"/>
  <c r="H247" i="4"/>
  <c r="G247" i="4"/>
  <c r="R247" i="4" s="1"/>
  <c r="F247" i="4"/>
  <c r="E247" i="4"/>
  <c r="D247" i="4"/>
  <c r="C247" i="4"/>
  <c r="B247" i="4"/>
  <c r="N247" i="4" s="1"/>
  <c r="O247" i="4" s="1"/>
  <c r="A247" i="4"/>
  <c r="M246" i="4"/>
  <c r="L246" i="4"/>
  <c r="K246" i="4"/>
  <c r="J246" i="4"/>
  <c r="I246" i="4"/>
  <c r="H246" i="4"/>
  <c r="G246" i="4"/>
  <c r="R246" i="4" s="1"/>
  <c r="F246" i="4"/>
  <c r="E246" i="4"/>
  <c r="D246" i="4"/>
  <c r="C246" i="4"/>
  <c r="B246" i="4"/>
  <c r="N246" i="4" s="1"/>
  <c r="A246" i="4"/>
  <c r="M245" i="4"/>
  <c r="L245" i="4"/>
  <c r="K245" i="4"/>
  <c r="J245" i="4"/>
  <c r="I245" i="4"/>
  <c r="H245" i="4"/>
  <c r="G245" i="4"/>
  <c r="R245" i="4" s="1"/>
  <c r="F245" i="4"/>
  <c r="E245" i="4"/>
  <c r="D245" i="4"/>
  <c r="C245" i="4"/>
  <c r="B245" i="4"/>
  <c r="N245" i="4" s="1"/>
  <c r="A245" i="4"/>
  <c r="M244" i="4"/>
  <c r="U244" i="4" s="1"/>
  <c r="V244" i="4" s="1"/>
  <c r="L244" i="4"/>
  <c r="K244" i="4"/>
  <c r="J244" i="4"/>
  <c r="I244" i="4"/>
  <c r="H244" i="4"/>
  <c r="G244" i="4"/>
  <c r="R244" i="4" s="1"/>
  <c r="F244" i="4"/>
  <c r="E244" i="4"/>
  <c r="D244" i="4"/>
  <c r="C244" i="4"/>
  <c r="B244" i="4"/>
  <c r="N244" i="4" s="1"/>
  <c r="A244" i="4"/>
  <c r="M243" i="4"/>
  <c r="U243" i="4" s="1"/>
  <c r="V243" i="4" s="1"/>
  <c r="L243" i="4"/>
  <c r="K243" i="4"/>
  <c r="J243" i="4"/>
  <c r="I243" i="4"/>
  <c r="H243" i="4"/>
  <c r="G243" i="4"/>
  <c r="R243" i="4" s="1"/>
  <c r="F243" i="4"/>
  <c r="E243" i="4"/>
  <c r="D243" i="4"/>
  <c r="C243" i="4"/>
  <c r="B243" i="4"/>
  <c r="N243" i="4" s="1"/>
  <c r="A243" i="4"/>
  <c r="M242" i="4"/>
  <c r="U242" i="4" s="1"/>
  <c r="V242" i="4" s="1"/>
  <c r="L242" i="4"/>
  <c r="K242" i="4"/>
  <c r="J242" i="4"/>
  <c r="I242" i="4"/>
  <c r="H242" i="4"/>
  <c r="G242" i="4"/>
  <c r="R242" i="4" s="1"/>
  <c r="F242" i="4"/>
  <c r="E242" i="4"/>
  <c r="D242" i="4"/>
  <c r="C242" i="4"/>
  <c r="B242" i="4"/>
  <c r="N242" i="4" s="1"/>
  <c r="A242" i="4"/>
  <c r="M241" i="4"/>
  <c r="U241" i="4" s="1"/>
  <c r="V241" i="4" s="1"/>
  <c r="L241" i="4"/>
  <c r="K241" i="4"/>
  <c r="J241" i="4"/>
  <c r="I241" i="4"/>
  <c r="H241" i="4"/>
  <c r="G241" i="4"/>
  <c r="R241" i="4" s="1"/>
  <c r="F241" i="4"/>
  <c r="E241" i="4"/>
  <c r="D241" i="4"/>
  <c r="C241" i="4"/>
  <c r="B241" i="4"/>
  <c r="N241" i="4" s="1"/>
  <c r="O241" i="4" s="1"/>
  <c r="A241" i="4"/>
  <c r="M240" i="4"/>
  <c r="U240" i="4" s="1"/>
  <c r="V240" i="4" s="1"/>
  <c r="L240" i="4"/>
  <c r="K240" i="4"/>
  <c r="J240" i="4"/>
  <c r="I240" i="4"/>
  <c r="H240" i="4"/>
  <c r="G240" i="4"/>
  <c r="R240" i="4" s="1"/>
  <c r="F240" i="4"/>
  <c r="E240" i="4"/>
  <c r="D240" i="4"/>
  <c r="C240" i="4"/>
  <c r="B240" i="4"/>
  <c r="N240" i="4" s="1"/>
  <c r="A240" i="4"/>
  <c r="M239" i="4"/>
  <c r="L239" i="4"/>
  <c r="K239" i="4"/>
  <c r="J239" i="4"/>
  <c r="I239" i="4"/>
  <c r="H239" i="4"/>
  <c r="G239" i="4"/>
  <c r="R239" i="4" s="1"/>
  <c r="F239" i="4"/>
  <c r="E239" i="4"/>
  <c r="D239" i="4"/>
  <c r="C239" i="4"/>
  <c r="B239" i="4"/>
  <c r="N239" i="4" s="1"/>
  <c r="A239" i="4"/>
  <c r="M238" i="4"/>
  <c r="L238" i="4"/>
  <c r="K238" i="4"/>
  <c r="J238" i="4"/>
  <c r="I238" i="4"/>
  <c r="H238" i="4"/>
  <c r="G238" i="4"/>
  <c r="R238" i="4" s="1"/>
  <c r="F238" i="4"/>
  <c r="E238" i="4"/>
  <c r="D238" i="4"/>
  <c r="C238" i="4"/>
  <c r="B238" i="4"/>
  <c r="N238" i="4" s="1"/>
  <c r="A238" i="4"/>
  <c r="M237" i="4"/>
  <c r="L237" i="4"/>
  <c r="K237" i="4"/>
  <c r="J237" i="4"/>
  <c r="I237" i="4"/>
  <c r="H237" i="4"/>
  <c r="G237" i="4"/>
  <c r="R237" i="4" s="1"/>
  <c r="F237" i="4"/>
  <c r="E237" i="4"/>
  <c r="D237" i="4"/>
  <c r="C237" i="4"/>
  <c r="B237" i="4"/>
  <c r="N237" i="4" s="1"/>
  <c r="A237" i="4"/>
  <c r="M236" i="4"/>
  <c r="L236" i="4"/>
  <c r="K236" i="4"/>
  <c r="J236" i="4"/>
  <c r="I236" i="4"/>
  <c r="H236" i="4"/>
  <c r="G236" i="4"/>
  <c r="R236" i="4" s="1"/>
  <c r="F236" i="4"/>
  <c r="E236" i="4"/>
  <c r="D236" i="4"/>
  <c r="C236" i="4"/>
  <c r="B236" i="4"/>
  <c r="N236" i="4" s="1"/>
  <c r="A236" i="4"/>
  <c r="M235" i="4"/>
  <c r="U235" i="4" s="1"/>
  <c r="V235" i="4" s="1"/>
  <c r="L235" i="4"/>
  <c r="K235" i="4"/>
  <c r="J235" i="4"/>
  <c r="I235" i="4"/>
  <c r="H235" i="4"/>
  <c r="G235" i="4"/>
  <c r="R235" i="4" s="1"/>
  <c r="F235" i="4"/>
  <c r="E235" i="4"/>
  <c r="D235" i="4"/>
  <c r="C235" i="4"/>
  <c r="B235" i="4"/>
  <c r="N235" i="4" s="1"/>
  <c r="O235" i="4" s="1"/>
  <c r="A235" i="4"/>
  <c r="M234" i="4"/>
  <c r="U234" i="4" s="1"/>
  <c r="V234" i="4" s="1"/>
  <c r="L234" i="4"/>
  <c r="K234" i="4"/>
  <c r="J234" i="4"/>
  <c r="I234" i="4"/>
  <c r="H234" i="4"/>
  <c r="G234" i="4"/>
  <c r="R234" i="4" s="1"/>
  <c r="F234" i="4"/>
  <c r="E234" i="4"/>
  <c r="D234" i="4"/>
  <c r="C234" i="4"/>
  <c r="B234" i="4"/>
  <c r="N234" i="4" s="1"/>
  <c r="A234" i="4"/>
  <c r="M233" i="4"/>
  <c r="U233" i="4" s="1"/>
  <c r="V233" i="4" s="1"/>
  <c r="L233" i="4"/>
  <c r="K233" i="4"/>
  <c r="J233" i="4"/>
  <c r="I233" i="4"/>
  <c r="H233" i="4"/>
  <c r="G233" i="4"/>
  <c r="R233" i="4" s="1"/>
  <c r="F233" i="4"/>
  <c r="E233" i="4"/>
  <c r="D233" i="4"/>
  <c r="C233" i="4"/>
  <c r="B233" i="4"/>
  <c r="N233" i="4" s="1"/>
  <c r="A233" i="4"/>
  <c r="M232" i="4"/>
  <c r="U232" i="4" s="1"/>
  <c r="V232" i="4" s="1"/>
  <c r="L232" i="4"/>
  <c r="K232" i="4"/>
  <c r="J232" i="4"/>
  <c r="I232" i="4"/>
  <c r="H232" i="4"/>
  <c r="G232" i="4"/>
  <c r="R232" i="4" s="1"/>
  <c r="F232" i="4"/>
  <c r="E232" i="4"/>
  <c r="D232" i="4"/>
  <c r="C232" i="4"/>
  <c r="B232" i="4"/>
  <c r="N232" i="4" s="1"/>
  <c r="A232" i="4"/>
  <c r="M231" i="4"/>
  <c r="U231" i="4" s="1"/>
  <c r="V231" i="4" s="1"/>
  <c r="L231" i="4"/>
  <c r="K231" i="4"/>
  <c r="J231" i="4"/>
  <c r="I231" i="4"/>
  <c r="H231" i="4"/>
  <c r="G231" i="4"/>
  <c r="R231" i="4" s="1"/>
  <c r="F231" i="4"/>
  <c r="E231" i="4"/>
  <c r="D231" i="4"/>
  <c r="C231" i="4"/>
  <c r="B231" i="4"/>
  <c r="N231" i="4" s="1"/>
  <c r="A231" i="4"/>
  <c r="M230" i="4"/>
  <c r="L230" i="4"/>
  <c r="K230" i="4"/>
  <c r="J230" i="4"/>
  <c r="I230" i="4"/>
  <c r="H230" i="4"/>
  <c r="G230" i="4"/>
  <c r="R230" i="4" s="1"/>
  <c r="F230" i="4"/>
  <c r="E230" i="4"/>
  <c r="D230" i="4"/>
  <c r="C230" i="4"/>
  <c r="B230" i="4"/>
  <c r="N230" i="4" s="1"/>
  <c r="A230" i="4"/>
  <c r="M229" i="4"/>
  <c r="U229" i="4" s="1"/>
  <c r="V229" i="4" s="1"/>
  <c r="L229" i="4"/>
  <c r="K229" i="4"/>
  <c r="J229" i="4"/>
  <c r="I229" i="4"/>
  <c r="H229" i="4"/>
  <c r="G229" i="4"/>
  <c r="R229" i="4" s="1"/>
  <c r="F229" i="4"/>
  <c r="E229" i="4"/>
  <c r="D229" i="4"/>
  <c r="C229" i="4"/>
  <c r="B229" i="4"/>
  <c r="N229" i="4" s="1"/>
  <c r="O229" i="4" s="1"/>
  <c r="A229" i="4"/>
  <c r="M228" i="4"/>
  <c r="U228" i="4" s="1"/>
  <c r="V228" i="4" s="1"/>
  <c r="L228" i="4"/>
  <c r="K228" i="4"/>
  <c r="J228" i="4"/>
  <c r="I228" i="4"/>
  <c r="H228" i="4"/>
  <c r="G228" i="4"/>
  <c r="R228" i="4" s="1"/>
  <c r="F228" i="4"/>
  <c r="E228" i="4"/>
  <c r="D228" i="4"/>
  <c r="C228" i="4"/>
  <c r="B228" i="4"/>
  <c r="N228" i="4" s="1"/>
  <c r="A228" i="4"/>
  <c r="M227" i="4"/>
  <c r="L227" i="4"/>
  <c r="K227" i="4"/>
  <c r="J227" i="4"/>
  <c r="I227" i="4"/>
  <c r="H227" i="4"/>
  <c r="G227" i="4"/>
  <c r="R227" i="4" s="1"/>
  <c r="F227" i="4"/>
  <c r="E227" i="4"/>
  <c r="D227" i="4"/>
  <c r="C227" i="4"/>
  <c r="B227" i="4"/>
  <c r="N227" i="4" s="1"/>
  <c r="A227" i="4"/>
  <c r="M226" i="4"/>
  <c r="U226" i="4" s="1"/>
  <c r="V226" i="4" s="1"/>
  <c r="L226" i="4"/>
  <c r="K226" i="4"/>
  <c r="J226" i="4"/>
  <c r="I226" i="4"/>
  <c r="H226" i="4"/>
  <c r="G226" i="4"/>
  <c r="R226" i="4" s="1"/>
  <c r="F226" i="4"/>
  <c r="E226" i="4"/>
  <c r="D226" i="4"/>
  <c r="C226" i="4"/>
  <c r="B226" i="4"/>
  <c r="N226" i="4" s="1"/>
  <c r="A226" i="4"/>
  <c r="M225" i="4"/>
  <c r="U225" i="4" s="1"/>
  <c r="V225" i="4" s="1"/>
  <c r="L225" i="4"/>
  <c r="K225" i="4"/>
  <c r="J225" i="4"/>
  <c r="I225" i="4"/>
  <c r="H225" i="4"/>
  <c r="G225" i="4"/>
  <c r="R225" i="4" s="1"/>
  <c r="F225" i="4"/>
  <c r="E225" i="4"/>
  <c r="D225" i="4"/>
  <c r="C225" i="4"/>
  <c r="B225" i="4"/>
  <c r="N225" i="4" s="1"/>
  <c r="A225" i="4"/>
  <c r="M224" i="4"/>
  <c r="L224" i="4"/>
  <c r="K224" i="4"/>
  <c r="J224" i="4"/>
  <c r="I224" i="4"/>
  <c r="H224" i="4"/>
  <c r="G224" i="4"/>
  <c r="R224" i="4" s="1"/>
  <c r="F224" i="4"/>
  <c r="E224" i="4"/>
  <c r="D224" i="4"/>
  <c r="C224" i="4"/>
  <c r="B224" i="4"/>
  <c r="N224" i="4" s="1"/>
  <c r="A224" i="4"/>
  <c r="M223" i="4"/>
  <c r="L223" i="4"/>
  <c r="K223" i="4"/>
  <c r="J223" i="4"/>
  <c r="I223" i="4"/>
  <c r="H223" i="4"/>
  <c r="G223" i="4"/>
  <c r="R223" i="4" s="1"/>
  <c r="F223" i="4"/>
  <c r="E223" i="4"/>
  <c r="D223" i="4"/>
  <c r="C223" i="4"/>
  <c r="B223" i="4"/>
  <c r="N223" i="4" s="1"/>
  <c r="O223" i="4" s="1"/>
  <c r="A223" i="4"/>
  <c r="M222" i="4"/>
  <c r="U222" i="4" s="1"/>
  <c r="V222" i="4" s="1"/>
  <c r="L222" i="4"/>
  <c r="K222" i="4"/>
  <c r="J222" i="4"/>
  <c r="I222" i="4"/>
  <c r="H222" i="4"/>
  <c r="G222" i="4"/>
  <c r="R222" i="4" s="1"/>
  <c r="F222" i="4"/>
  <c r="E222" i="4"/>
  <c r="D222" i="4"/>
  <c r="C222" i="4"/>
  <c r="B222" i="4"/>
  <c r="N222" i="4" s="1"/>
  <c r="A222" i="4"/>
  <c r="M221" i="4"/>
  <c r="L221" i="4"/>
  <c r="K221" i="4"/>
  <c r="J221" i="4"/>
  <c r="I221" i="4"/>
  <c r="H221" i="4"/>
  <c r="G221" i="4"/>
  <c r="R221" i="4" s="1"/>
  <c r="F221" i="4"/>
  <c r="E221" i="4"/>
  <c r="D221" i="4"/>
  <c r="C221" i="4"/>
  <c r="B221" i="4"/>
  <c r="N221" i="4" s="1"/>
  <c r="A221" i="4"/>
  <c r="M220" i="4"/>
  <c r="U220" i="4" s="1"/>
  <c r="V220" i="4" s="1"/>
  <c r="L220" i="4"/>
  <c r="K220" i="4"/>
  <c r="J220" i="4"/>
  <c r="I220" i="4"/>
  <c r="H220" i="4"/>
  <c r="G220" i="4"/>
  <c r="R220" i="4" s="1"/>
  <c r="F220" i="4"/>
  <c r="E220" i="4"/>
  <c r="D220" i="4"/>
  <c r="C220" i="4"/>
  <c r="B220" i="4"/>
  <c r="N220" i="4" s="1"/>
  <c r="A220" i="4"/>
  <c r="M219" i="4"/>
  <c r="L219" i="4"/>
  <c r="K219" i="4"/>
  <c r="J219" i="4"/>
  <c r="I219" i="4"/>
  <c r="H219" i="4"/>
  <c r="G219" i="4"/>
  <c r="R219" i="4" s="1"/>
  <c r="F219" i="4"/>
  <c r="E219" i="4"/>
  <c r="D219" i="4"/>
  <c r="C219" i="4"/>
  <c r="B219" i="4"/>
  <c r="N219" i="4" s="1"/>
  <c r="A219" i="4"/>
  <c r="M218" i="4"/>
  <c r="L218" i="4"/>
  <c r="K218" i="4"/>
  <c r="J218" i="4"/>
  <c r="I218" i="4"/>
  <c r="H218" i="4"/>
  <c r="G218" i="4"/>
  <c r="R218" i="4" s="1"/>
  <c r="F218" i="4"/>
  <c r="E218" i="4"/>
  <c r="D218" i="4"/>
  <c r="C218" i="4"/>
  <c r="B218" i="4"/>
  <c r="N218" i="4" s="1"/>
  <c r="O218" i="4" s="1"/>
  <c r="A218" i="4"/>
  <c r="M217" i="4"/>
  <c r="U217" i="4" s="1"/>
  <c r="V217" i="4" s="1"/>
  <c r="L217" i="4"/>
  <c r="K217" i="4"/>
  <c r="J217" i="4"/>
  <c r="I217" i="4"/>
  <c r="H217" i="4"/>
  <c r="G217" i="4"/>
  <c r="R217" i="4" s="1"/>
  <c r="F217" i="4"/>
  <c r="E217" i="4"/>
  <c r="D217" i="4"/>
  <c r="C217" i="4"/>
  <c r="B217" i="4"/>
  <c r="N217" i="4" s="1"/>
  <c r="A217" i="4"/>
  <c r="M216" i="4"/>
  <c r="L216" i="4"/>
  <c r="K216" i="4"/>
  <c r="J216" i="4"/>
  <c r="I216" i="4"/>
  <c r="H216" i="4"/>
  <c r="G216" i="4"/>
  <c r="R216" i="4" s="1"/>
  <c r="F216" i="4"/>
  <c r="E216" i="4"/>
  <c r="D216" i="4"/>
  <c r="C216" i="4"/>
  <c r="B216" i="4"/>
  <c r="N216" i="4" s="1"/>
  <c r="O216" i="4" s="1"/>
  <c r="A216" i="4"/>
  <c r="M215" i="4"/>
  <c r="U215" i="4" s="1"/>
  <c r="V215" i="4" s="1"/>
  <c r="L215" i="4"/>
  <c r="K215" i="4"/>
  <c r="J215" i="4"/>
  <c r="I215" i="4"/>
  <c r="H215" i="4"/>
  <c r="G215" i="4"/>
  <c r="R215" i="4" s="1"/>
  <c r="F215" i="4"/>
  <c r="E215" i="4"/>
  <c r="D215" i="4"/>
  <c r="C215" i="4"/>
  <c r="B215" i="4"/>
  <c r="N215" i="4" s="1"/>
  <c r="A215" i="4"/>
  <c r="M214" i="4"/>
  <c r="U214" i="4" s="1"/>
  <c r="V214" i="4" s="1"/>
  <c r="L214" i="4"/>
  <c r="K214" i="4"/>
  <c r="J214" i="4"/>
  <c r="I214" i="4"/>
  <c r="H214" i="4"/>
  <c r="G214" i="4"/>
  <c r="R214" i="4" s="1"/>
  <c r="F214" i="4"/>
  <c r="E214" i="4"/>
  <c r="D214" i="4"/>
  <c r="C214" i="4"/>
  <c r="B214" i="4"/>
  <c r="N214" i="4" s="1"/>
  <c r="O214" i="4" s="1"/>
  <c r="A214" i="4"/>
  <c r="M213" i="4"/>
  <c r="U213" i="4" s="1"/>
  <c r="V213" i="4" s="1"/>
  <c r="L213" i="4"/>
  <c r="K213" i="4"/>
  <c r="J213" i="4"/>
  <c r="I213" i="4"/>
  <c r="H213" i="4"/>
  <c r="G213" i="4"/>
  <c r="R213" i="4" s="1"/>
  <c r="F213" i="4"/>
  <c r="E213" i="4"/>
  <c r="D213" i="4"/>
  <c r="C213" i="4"/>
  <c r="B213" i="4"/>
  <c r="N213" i="4" s="1"/>
  <c r="A213" i="4"/>
  <c r="M212" i="4"/>
  <c r="L212" i="4"/>
  <c r="K212" i="4"/>
  <c r="J212" i="4"/>
  <c r="I212" i="4"/>
  <c r="H212" i="4"/>
  <c r="G212" i="4"/>
  <c r="R212" i="4" s="1"/>
  <c r="F212" i="4"/>
  <c r="E212" i="4"/>
  <c r="D212" i="4"/>
  <c r="C212" i="4"/>
  <c r="B212" i="4"/>
  <c r="N212" i="4" s="1"/>
  <c r="O212" i="4" s="1"/>
  <c r="A212" i="4"/>
  <c r="M211" i="4"/>
  <c r="L211" i="4"/>
  <c r="K211" i="4"/>
  <c r="J211" i="4"/>
  <c r="I211" i="4"/>
  <c r="H211" i="4"/>
  <c r="G211" i="4"/>
  <c r="R211" i="4" s="1"/>
  <c r="F211" i="4"/>
  <c r="E211" i="4"/>
  <c r="D211" i="4"/>
  <c r="C211" i="4"/>
  <c r="B211" i="4"/>
  <c r="N211" i="4" s="1"/>
  <c r="A211" i="4"/>
  <c r="M210" i="4"/>
  <c r="L210" i="4"/>
  <c r="K210" i="4"/>
  <c r="J210" i="4"/>
  <c r="I210" i="4"/>
  <c r="H210" i="4"/>
  <c r="G210" i="4"/>
  <c r="R210" i="4" s="1"/>
  <c r="F210" i="4"/>
  <c r="E210" i="4"/>
  <c r="D210" i="4"/>
  <c r="C210" i="4"/>
  <c r="B210" i="4"/>
  <c r="N210" i="4" s="1"/>
  <c r="A210" i="4"/>
  <c r="M209" i="4"/>
  <c r="U209" i="4" s="1"/>
  <c r="V209" i="4" s="1"/>
  <c r="L209" i="4"/>
  <c r="K209" i="4"/>
  <c r="J209" i="4"/>
  <c r="I209" i="4"/>
  <c r="H209" i="4"/>
  <c r="G209" i="4"/>
  <c r="R209" i="4" s="1"/>
  <c r="F209" i="4"/>
  <c r="E209" i="4"/>
  <c r="D209" i="4"/>
  <c r="C209" i="4"/>
  <c r="B209" i="4"/>
  <c r="N209" i="4" s="1"/>
  <c r="O209" i="4" s="1"/>
  <c r="A209" i="4"/>
  <c r="M208" i="4"/>
  <c r="U208" i="4" s="1"/>
  <c r="V208" i="4" s="1"/>
  <c r="L208" i="4"/>
  <c r="K208" i="4"/>
  <c r="J208" i="4"/>
  <c r="I208" i="4"/>
  <c r="H208" i="4"/>
  <c r="G208" i="4"/>
  <c r="R208" i="4" s="1"/>
  <c r="F208" i="4"/>
  <c r="E208" i="4"/>
  <c r="D208" i="4"/>
  <c r="C208" i="4"/>
  <c r="B208" i="4"/>
  <c r="N208" i="4" s="1"/>
  <c r="A208" i="4"/>
  <c r="M207" i="4"/>
  <c r="L207" i="4"/>
  <c r="K207" i="4"/>
  <c r="J207" i="4"/>
  <c r="I207" i="4"/>
  <c r="H207" i="4"/>
  <c r="G207" i="4"/>
  <c r="R207" i="4" s="1"/>
  <c r="F207" i="4"/>
  <c r="E207" i="4"/>
  <c r="D207" i="4"/>
  <c r="C207" i="4"/>
  <c r="B207" i="4"/>
  <c r="N207" i="4" s="1"/>
  <c r="A207" i="4"/>
  <c r="M206" i="4"/>
  <c r="U206" i="4" s="1"/>
  <c r="V206" i="4" s="1"/>
  <c r="L206" i="4"/>
  <c r="K206" i="4"/>
  <c r="J206" i="4"/>
  <c r="I206" i="4"/>
  <c r="H206" i="4"/>
  <c r="G206" i="4"/>
  <c r="R206" i="4" s="1"/>
  <c r="F206" i="4"/>
  <c r="E206" i="4"/>
  <c r="D206" i="4"/>
  <c r="C206" i="4"/>
  <c r="B206" i="4"/>
  <c r="N206" i="4" s="1"/>
  <c r="O206" i="4" s="1"/>
  <c r="A206" i="4"/>
  <c r="M205" i="4"/>
  <c r="U205" i="4" s="1"/>
  <c r="V205" i="4" s="1"/>
  <c r="L205" i="4"/>
  <c r="K205" i="4"/>
  <c r="J205" i="4"/>
  <c r="I205" i="4"/>
  <c r="H205" i="4"/>
  <c r="G205" i="4"/>
  <c r="R205" i="4" s="1"/>
  <c r="F205" i="4"/>
  <c r="E205" i="4"/>
  <c r="D205" i="4"/>
  <c r="C205" i="4"/>
  <c r="B205" i="4"/>
  <c r="N205" i="4" s="1"/>
  <c r="A205" i="4"/>
  <c r="M204" i="4"/>
  <c r="U204" i="4" s="1"/>
  <c r="V204" i="4" s="1"/>
  <c r="L204" i="4"/>
  <c r="K204" i="4"/>
  <c r="J204" i="4"/>
  <c r="I204" i="4"/>
  <c r="H204" i="4"/>
  <c r="G204" i="4"/>
  <c r="R204" i="4" s="1"/>
  <c r="F204" i="4"/>
  <c r="E204" i="4"/>
  <c r="D204" i="4"/>
  <c r="C204" i="4"/>
  <c r="B204" i="4"/>
  <c r="N204" i="4" s="1"/>
  <c r="A204" i="4"/>
  <c r="L203" i="4"/>
  <c r="K203" i="4"/>
  <c r="J203" i="4"/>
  <c r="I203" i="4"/>
  <c r="H203" i="4"/>
  <c r="G203" i="4"/>
  <c r="R203" i="4" s="1"/>
  <c r="F203" i="4"/>
  <c r="E203" i="4"/>
  <c r="D203" i="4"/>
  <c r="C203" i="4"/>
  <c r="B203" i="4"/>
  <c r="N203" i="4" s="1"/>
  <c r="A203" i="4"/>
  <c r="L202" i="4"/>
  <c r="K202" i="4"/>
  <c r="J202" i="4"/>
  <c r="I202" i="4"/>
  <c r="H202" i="4"/>
  <c r="G202" i="4"/>
  <c r="R202" i="4" s="1"/>
  <c r="F202" i="4"/>
  <c r="E202" i="4"/>
  <c r="D202" i="4"/>
  <c r="C202" i="4"/>
  <c r="B202" i="4"/>
  <c r="M202" i="4" s="1"/>
  <c r="A202" i="4"/>
  <c r="M201" i="4"/>
  <c r="U201" i="4" s="1"/>
  <c r="V201" i="4" s="1"/>
  <c r="L201" i="4"/>
  <c r="K201" i="4"/>
  <c r="J201" i="4"/>
  <c r="I201" i="4"/>
  <c r="H201" i="4"/>
  <c r="G201" i="4"/>
  <c r="R201" i="4" s="1"/>
  <c r="F201" i="4"/>
  <c r="E201" i="4"/>
  <c r="D201" i="4"/>
  <c r="C201" i="4"/>
  <c r="B201" i="4"/>
  <c r="N201" i="4" s="1"/>
  <c r="O201" i="4" s="1"/>
  <c r="A201" i="4"/>
  <c r="M200" i="4"/>
  <c r="L200" i="4"/>
  <c r="K200" i="4"/>
  <c r="J200" i="4"/>
  <c r="I200" i="4"/>
  <c r="H200" i="4"/>
  <c r="G200" i="4"/>
  <c r="R200" i="4" s="1"/>
  <c r="F200" i="4"/>
  <c r="E200" i="4"/>
  <c r="D200" i="4"/>
  <c r="C200" i="4"/>
  <c r="B200" i="4"/>
  <c r="N200" i="4" s="1"/>
  <c r="A200" i="4"/>
  <c r="M199" i="4"/>
  <c r="L199" i="4"/>
  <c r="K199" i="4"/>
  <c r="J199" i="4"/>
  <c r="I199" i="4"/>
  <c r="H199" i="4"/>
  <c r="G199" i="4"/>
  <c r="R199" i="4" s="1"/>
  <c r="F199" i="4"/>
  <c r="E199" i="4"/>
  <c r="D199" i="4"/>
  <c r="C199" i="4"/>
  <c r="B199" i="4"/>
  <c r="N199" i="4" s="1"/>
  <c r="O199" i="4" s="1"/>
  <c r="A199" i="4"/>
  <c r="R198" i="4"/>
  <c r="M198" i="4"/>
  <c r="U198" i="4" s="1"/>
  <c r="V198" i="4" s="1"/>
  <c r="L198" i="4"/>
  <c r="K198" i="4"/>
  <c r="J198" i="4"/>
  <c r="I198" i="4"/>
  <c r="H198" i="4"/>
  <c r="G198" i="4"/>
  <c r="F198" i="4"/>
  <c r="E198" i="4"/>
  <c r="D198" i="4"/>
  <c r="C198" i="4"/>
  <c r="B198" i="4"/>
  <c r="N198" i="4" s="1"/>
  <c r="A198" i="4"/>
  <c r="L197" i="4"/>
  <c r="K197" i="4"/>
  <c r="J197" i="4"/>
  <c r="I197" i="4"/>
  <c r="H197" i="4"/>
  <c r="G197" i="4"/>
  <c r="R197" i="4" s="1"/>
  <c r="F197" i="4"/>
  <c r="E197" i="4"/>
  <c r="D197" i="4"/>
  <c r="C197" i="4"/>
  <c r="B197" i="4"/>
  <c r="M197" i="4" s="1"/>
  <c r="U197" i="4" s="1"/>
  <c r="V197" i="4" s="1"/>
  <c r="A197" i="4"/>
  <c r="L196" i="4"/>
  <c r="K196" i="4"/>
  <c r="J196" i="4"/>
  <c r="I196" i="4"/>
  <c r="H196" i="4"/>
  <c r="G196" i="4"/>
  <c r="R196" i="4" s="1"/>
  <c r="F196" i="4"/>
  <c r="E196" i="4"/>
  <c r="D196" i="4"/>
  <c r="C196" i="4"/>
  <c r="B196" i="4"/>
  <c r="N196" i="4" s="1"/>
  <c r="A196" i="4"/>
  <c r="R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N195" i="4" s="1"/>
  <c r="O195" i="4" s="1"/>
  <c r="A195" i="4"/>
  <c r="M194" i="4"/>
  <c r="U194" i="4" s="1"/>
  <c r="V194" i="4" s="1"/>
  <c r="L194" i="4"/>
  <c r="K194" i="4"/>
  <c r="J194" i="4"/>
  <c r="I194" i="4"/>
  <c r="H194" i="4"/>
  <c r="G194" i="4"/>
  <c r="R194" i="4" s="1"/>
  <c r="F194" i="4"/>
  <c r="E194" i="4"/>
  <c r="D194" i="4"/>
  <c r="C194" i="4"/>
  <c r="B194" i="4"/>
  <c r="N194" i="4" s="1"/>
  <c r="A194" i="4"/>
  <c r="R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N193" i="4" s="1"/>
  <c r="A193" i="4"/>
  <c r="M192" i="4"/>
  <c r="U192" i="4" s="1"/>
  <c r="V192" i="4" s="1"/>
  <c r="L192" i="4"/>
  <c r="K192" i="4"/>
  <c r="J192" i="4"/>
  <c r="I192" i="4"/>
  <c r="H192" i="4"/>
  <c r="G192" i="4"/>
  <c r="R192" i="4" s="1"/>
  <c r="F192" i="4"/>
  <c r="E192" i="4"/>
  <c r="D192" i="4"/>
  <c r="C192" i="4"/>
  <c r="B192" i="4"/>
  <c r="N192" i="4" s="1"/>
  <c r="A192" i="4"/>
  <c r="M191" i="4"/>
  <c r="L191" i="4"/>
  <c r="K191" i="4"/>
  <c r="J191" i="4"/>
  <c r="I191" i="4"/>
  <c r="H191" i="4"/>
  <c r="G191" i="4"/>
  <c r="R191" i="4" s="1"/>
  <c r="F191" i="4"/>
  <c r="E191" i="4"/>
  <c r="D191" i="4"/>
  <c r="C191" i="4"/>
  <c r="B191" i="4"/>
  <c r="N191" i="4" s="1"/>
  <c r="A191" i="4"/>
  <c r="M190" i="4"/>
  <c r="U190" i="4" s="1"/>
  <c r="V190" i="4" s="1"/>
  <c r="L190" i="4"/>
  <c r="K190" i="4"/>
  <c r="J190" i="4"/>
  <c r="I190" i="4"/>
  <c r="H190" i="4"/>
  <c r="G190" i="4"/>
  <c r="R190" i="4" s="1"/>
  <c r="F190" i="4"/>
  <c r="E190" i="4"/>
  <c r="D190" i="4"/>
  <c r="C190" i="4"/>
  <c r="B190" i="4"/>
  <c r="N190" i="4" s="1"/>
  <c r="O190" i="4" s="1"/>
  <c r="A190" i="4"/>
  <c r="M189" i="4"/>
  <c r="U189" i="4" s="1"/>
  <c r="V189" i="4" s="1"/>
  <c r="L189" i="4"/>
  <c r="K189" i="4"/>
  <c r="J189" i="4"/>
  <c r="I189" i="4"/>
  <c r="H189" i="4"/>
  <c r="G189" i="4"/>
  <c r="R189" i="4" s="1"/>
  <c r="F189" i="4"/>
  <c r="E189" i="4"/>
  <c r="D189" i="4"/>
  <c r="C189" i="4"/>
  <c r="B189" i="4"/>
  <c r="N189" i="4" s="1"/>
  <c r="A189" i="4"/>
  <c r="M188" i="4"/>
  <c r="U188" i="4" s="1"/>
  <c r="V188" i="4" s="1"/>
  <c r="L188" i="4"/>
  <c r="K188" i="4"/>
  <c r="J188" i="4"/>
  <c r="I188" i="4"/>
  <c r="H188" i="4"/>
  <c r="G188" i="4"/>
  <c r="R188" i="4" s="1"/>
  <c r="F188" i="4"/>
  <c r="E188" i="4"/>
  <c r="D188" i="4"/>
  <c r="C188" i="4"/>
  <c r="B188" i="4"/>
  <c r="N188" i="4" s="1"/>
  <c r="A188" i="4"/>
  <c r="M187" i="4"/>
  <c r="L187" i="4"/>
  <c r="K187" i="4"/>
  <c r="J187" i="4"/>
  <c r="I187" i="4"/>
  <c r="H187" i="4"/>
  <c r="G187" i="4"/>
  <c r="R187" i="4" s="1"/>
  <c r="F187" i="4"/>
  <c r="E187" i="4"/>
  <c r="D187" i="4"/>
  <c r="C187" i="4"/>
  <c r="B187" i="4"/>
  <c r="N187" i="4" s="1"/>
  <c r="O187" i="4" s="1"/>
  <c r="A187" i="4"/>
  <c r="M186" i="4"/>
  <c r="L186" i="4"/>
  <c r="K186" i="4"/>
  <c r="J186" i="4"/>
  <c r="I186" i="4"/>
  <c r="H186" i="4"/>
  <c r="G186" i="4"/>
  <c r="R186" i="4" s="1"/>
  <c r="F186" i="4"/>
  <c r="E186" i="4"/>
  <c r="D186" i="4"/>
  <c r="C186" i="4"/>
  <c r="B186" i="4"/>
  <c r="N186" i="4" s="1"/>
  <c r="A186" i="4"/>
  <c r="M185" i="4"/>
  <c r="L185" i="4"/>
  <c r="K185" i="4"/>
  <c r="J185" i="4"/>
  <c r="I185" i="4"/>
  <c r="H185" i="4"/>
  <c r="G185" i="4"/>
  <c r="R185" i="4" s="1"/>
  <c r="F185" i="4"/>
  <c r="E185" i="4"/>
  <c r="D185" i="4"/>
  <c r="C185" i="4"/>
  <c r="B185" i="4"/>
  <c r="N185" i="4" s="1"/>
  <c r="A185" i="4"/>
  <c r="M184" i="4"/>
  <c r="L184" i="4"/>
  <c r="K184" i="4"/>
  <c r="J184" i="4"/>
  <c r="I184" i="4"/>
  <c r="H184" i="4"/>
  <c r="G184" i="4"/>
  <c r="R184" i="4" s="1"/>
  <c r="F184" i="4"/>
  <c r="E184" i="4"/>
  <c r="D184" i="4"/>
  <c r="C184" i="4"/>
  <c r="B184" i="4"/>
  <c r="N184" i="4" s="1"/>
  <c r="A184" i="4"/>
  <c r="M183" i="4"/>
  <c r="L183" i="4"/>
  <c r="K183" i="4"/>
  <c r="J183" i="4"/>
  <c r="I183" i="4"/>
  <c r="H183" i="4"/>
  <c r="G183" i="4"/>
  <c r="R183" i="4" s="1"/>
  <c r="F183" i="4"/>
  <c r="E183" i="4"/>
  <c r="D183" i="4"/>
  <c r="C183" i="4"/>
  <c r="B183" i="4"/>
  <c r="N183" i="4" s="1"/>
  <c r="A183" i="4"/>
  <c r="M182" i="4"/>
  <c r="U182" i="4" s="1"/>
  <c r="V182" i="4" s="1"/>
  <c r="L182" i="4"/>
  <c r="K182" i="4"/>
  <c r="J182" i="4"/>
  <c r="I182" i="4"/>
  <c r="H182" i="4"/>
  <c r="G182" i="4"/>
  <c r="R182" i="4" s="1"/>
  <c r="F182" i="4"/>
  <c r="E182" i="4"/>
  <c r="D182" i="4"/>
  <c r="C182" i="4"/>
  <c r="B182" i="4"/>
  <c r="N182" i="4" s="1"/>
  <c r="A182" i="4"/>
  <c r="M181" i="4"/>
  <c r="U181" i="4" s="1"/>
  <c r="V181" i="4" s="1"/>
  <c r="L181" i="4"/>
  <c r="K181" i="4"/>
  <c r="J181" i="4"/>
  <c r="I181" i="4"/>
  <c r="H181" i="4"/>
  <c r="G181" i="4"/>
  <c r="R181" i="4" s="1"/>
  <c r="F181" i="4"/>
  <c r="E181" i="4"/>
  <c r="D181" i="4"/>
  <c r="C181" i="4"/>
  <c r="B181" i="4"/>
  <c r="N181" i="4" s="1"/>
  <c r="A181" i="4"/>
  <c r="M180" i="4"/>
  <c r="U180" i="4" s="1"/>
  <c r="V180" i="4" s="1"/>
  <c r="L180" i="4"/>
  <c r="K180" i="4"/>
  <c r="J180" i="4"/>
  <c r="I180" i="4"/>
  <c r="H180" i="4"/>
  <c r="G180" i="4"/>
  <c r="R180" i="4" s="1"/>
  <c r="F180" i="4"/>
  <c r="E180" i="4"/>
  <c r="D180" i="4"/>
  <c r="C180" i="4"/>
  <c r="B180" i="4"/>
  <c r="N180" i="4" s="1"/>
  <c r="A180" i="4"/>
  <c r="M179" i="4"/>
  <c r="U179" i="4" s="1"/>
  <c r="V179" i="4" s="1"/>
  <c r="L179" i="4"/>
  <c r="K179" i="4"/>
  <c r="J179" i="4"/>
  <c r="I179" i="4"/>
  <c r="H179" i="4"/>
  <c r="G179" i="4"/>
  <c r="R179" i="4" s="1"/>
  <c r="F179" i="4"/>
  <c r="E179" i="4"/>
  <c r="D179" i="4"/>
  <c r="C179" i="4"/>
  <c r="B179" i="4"/>
  <c r="N179" i="4" s="1"/>
  <c r="A179" i="4"/>
  <c r="M178" i="4"/>
  <c r="U178" i="4" s="1"/>
  <c r="V178" i="4" s="1"/>
  <c r="L178" i="4"/>
  <c r="K178" i="4"/>
  <c r="J178" i="4"/>
  <c r="I178" i="4"/>
  <c r="H178" i="4"/>
  <c r="G178" i="4"/>
  <c r="R178" i="4" s="1"/>
  <c r="F178" i="4"/>
  <c r="E178" i="4"/>
  <c r="D178" i="4"/>
  <c r="C178" i="4"/>
  <c r="B178" i="4"/>
  <c r="N178" i="4" s="1"/>
  <c r="A178" i="4"/>
  <c r="M177" i="4"/>
  <c r="U177" i="4" s="1"/>
  <c r="V177" i="4" s="1"/>
  <c r="L177" i="4"/>
  <c r="K177" i="4"/>
  <c r="J177" i="4"/>
  <c r="I177" i="4"/>
  <c r="H177" i="4"/>
  <c r="G177" i="4"/>
  <c r="R177" i="4" s="1"/>
  <c r="F177" i="4"/>
  <c r="E177" i="4"/>
  <c r="D177" i="4"/>
  <c r="C177" i="4"/>
  <c r="B177" i="4"/>
  <c r="N177" i="4" s="1"/>
  <c r="A177" i="4"/>
  <c r="M176" i="4"/>
  <c r="U176" i="4" s="1"/>
  <c r="V176" i="4" s="1"/>
  <c r="L176" i="4"/>
  <c r="K176" i="4"/>
  <c r="J176" i="4"/>
  <c r="I176" i="4"/>
  <c r="H176" i="4"/>
  <c r="G176" i="4"/>
  <c r="R176" i="4" s="1"/>
  <c r="F176" i="4"/>
  <c r="E176" i="4"/>
  <c r="D176" i="4"/>
  <c r="C176" i="4"/>
  <c r="B176" i="4"/>
  <c r="N176" i="4" s="1"/>
  <c r="A176" i="4"/>
  <c r="M175" i="4"/>
  <c r="L175" i="4"/>
  <c r="K175" i="4"/>
  <c r="J175" i="4"/>
  <c r="I175" i="4"/>
  <c r="H175" i="4"/>
  <c r="G175" i="4"/>
  <c r="R175" i="4" s="1"/>
  <c r="F175" i="4"/>
  <c r="E175" i="4"/>
  <c r="D175" i="4"/>
  <c r="C175" i="4"/>
  <c r="B175" i="4"/>
  <c r="N175" i="4" s="1"/>
  <c r="A175" i="4"/>
  <c r="M174" i="4"/>
  <c r="L174" i="4"/>
  <c r="K174" i="4"/>
  <c r="J174" i="4"/>
  <c r="I174" i="4"/>
  <c r="H174" i="4"/>
  <c r="G174" i="4"/>
  <c r="R174" i="4" s="1"/>
  <c r="F174" i="4"/>
  <c r="E174" i="4"/>
  <c r="D174" i="4"/>
  <c r="C174" i="4"/>
  <c r="B174" i="4"/>
  <c r="N174" i="4" s="1"/>
  <c r="A174" i="4"/>
  <c r="M173" i="4"/>
  <c r="U173" i="4" s="1"/>
  <c r="V173" i="4" s="1"/>
  <c r="L173" i="4"/>
  <c r="K173" i="4"/>
  <c r="J173" i="4"/>
  <c r="I173" i="4"/>
  <c r="H173" i="4"/>
  <c r="G173" i="4"/>
  <c r="R173" i="4" s="1"/>
  <c r="F173" i="4"/>
  <c r="E173" i="4"/>
  <c r="D173" i="4"/>
  <c r="C173" i="4"/>
  <c r="B173" i="4"/>
  <c r="N173" i="4" s="1"/>
  <c r="A173" i="4"/>
  <c r="M172" i="4"/>
  <c r="U172" i="4" s="1"/>
  <c r="V172" i="4" s="1"/>
  <c r="L172" i="4"/>
  <c r="K172" i="4"/>
  <c r="J172" i="4"/>
  <c r="I172" i="4"/>
  <c r="H172" i="4"/>
  <c r="G172" i="4"/>
  <c r="R172" i="4" s="1"/>
  <c r="F172" i="4"/>
  <c r="E172" i="4"/>
  <c r="D172" i="4"/>
  <c r="C172" i="4"/>
  <c r="B172" i="4"/>
  <c r="N172" i="4" s="1"/>
  <c r="A172" i="4"/>
  <c r="M171" i="4"/>
  <c r="L171" i="4"/>
  <c r="K171" i="4"/>
  <c r="J171" i="4"/>
  <c r="I171" i="4"/>
  <c r="H171" i="4"/>
  <c r="G171" i="4"/>
  <c r="R171" i="4" s="1"/>
  <c r="F171" i="4"/>
  <c r="E171" i="4"/>
  <c r="D171" i="4"/>
  <c r="C171" i="4"/>
  <c r="B171" i="4"/>
  <c r="N171" i="4" s="1"/>
  <c r="A171" i="4"/>
  <c r="M170" i="4"/>
  <c r="U170" i="4" s="1"/>
  <c r="V170" i="4" s="1"/>
  <c r="L170" i="4"/>
  <c r="K170" i="4"/>
  <c r="J170" i="4"/>
  <c r="I170" i="4"/>
  <c r="H170" i="4"/>
  <c r="G170" i="4"/>
  <c r="R170" i="4" s="1"/>
  <c r="F170" i="4"/>
  <c r="E170" i="4"/>
  <c r="D170" i="4"/>
  <c r="C170" i="4"/>
  <c r="B170" i="4"/>
  <c r="N170" i="4" s="1"/>
  <c r="A170" i="4"/>
  <c r="M169" i="4"/>
  <c r="U169" i="4" s="1"/>
  <c r="V169" i="4" s="1"/>
  <c r="L169" i="4"/>
  <c r="K169" i="4"/>
  <c r="J169" i="4"/>
  <c r="I169" i="4"/>
  <c r="H169" i="4"/>
  <c r="G169" i="4"/>
  <c r="R169" i="4" s="1"/>
  <c r="F169" i="4"/>
  <c r="E169" i="4"/>
  <c r="D169" i="4"/>
  <c r="C169" i="4"/>
  <c r="B169" i="4"/>
  <c r="N169" i="4" s="1"/>
  <c r="A169" i="4"/>
  <c r="M168" i="4"/>
  <c r="L168" i="4"/>
  <c r="K168" i="4"/>
  <c r="J168" i="4"/>
  <c r="I168" i="4"/>
  <c r="H168" i="4"/>
  <c r="G168" i="4"/>
  <c r="R168" i="4" s="1"/>
  <c r="F168" i="4"/>
  <c r="E168" i="4"/>
  <c r="D168" i="4"/>
  <c r="C168" i="4"/>
  <c r="B168" i="4"/>
  <c r="N168" i="4" s="1"/>
  <c r="A168" i="4"/>
  <c r="M167" i="4"/>
  <c r="U167" i="4" s="1"/>
  <c r="V167" i="4" s="1"/>
  <c r="L167" i="4"/>
  <c r="K167" i="4"/>
  <c r="J167" i="4"/>
  <c r="I167" i="4"/>
  <c r="H167" i="4"/>
  <c r="G167" i="4"/>
  <c r="R167" i="4" s="1"/>
  <c r="F167" i="4"/>
  <c r="E167" i="4"/>
  <c r="D167" i="4"/>
  <c r="C167" i="4"/>
  <c r="B167" i="4"/>
  <c r="N167" i="4" s="1"/>
  <c r="A167" i="4"/>
  <c r="M166" i="4"/>
  <c r="U166" i="4" s="1"/>
  <c r="V166" i="4" s="1"/>
  <c r="L166" i="4"/>
  <c r="K166" i="4"/>
  <c r="J166" i="4"/>
  <c r="I166" i="4"/>
  <c r="H166" i="4"/>
  <c r="G166" i="4"/>
  <c r="R166" i="4" s="1"/>
  <c r="F166" i="4"/>
  <c r="E166" i="4"/>
  <c r="D166" i="4"/>
  <c r="C166" i="4"/>
  <c r="B166" i="4"/>
  <c r="N166" i="4" s="1"/>
  <c r="A166" i="4"/>
  <c r="M165" i="4"/>
  <c r="U165" i="4" s="1"/>
  <c r="V165" i="4" s="1"/>
  <c r="L165" i="4"/>
  <c r="K165" i="4"/>
  <c r="J165" i="4"/>
  <c r="I165" i="4"/>
  <c r="H165" i="4"/>
  <c r="G165" i="4"/>
  <c r="R165" i="4" s="1"/>
  <c r="F165" i="4"/>
  <c r="E165" i="4"/>
  <c r="D165" i="4"/>
  <c r="C165" i="4"/>
  <c r="B165" i="4"/>
  <c r="N165" i="4" s="1"/>
  <c r="A165" i="4"/>
  <c r="M164" i="4"/>
  <c r="U164" i="4" s="1"/>
  <c r="V164" i="4" s="1"/>
  <c r="L164" i="4"/>
  <c r="K164" i="4"/>
  <c r="J164" i="4"/>
  <c r="I164" i="4"/>
  <c r="H164" i="4"/>
  <c r="G164" i="4"/>
  <c r="R164" i="4" s="1"/>
  <c r="F164" i="4"/>
  <c r="E164" i="4"/>
  <c r="D164" i="4"/>
  <c r="C164" i="4"/>
  <c r="B164" i="4"/>
  <c r="N164" i="4" s="1"/>
  <c r="A164" i="4"/>
  <c r="M163" i="4"/>
  <c r="U163" i="4" s="1"/>
  <c r="V163" i="4" s="1"/>
  <c r="L163" i="4"/>
  <c r="K163" i="4"/>
  <c r="J163" i="4"/>
  <c r="I163" i="4"/>
  <c r="H163" i="4"/>
  <c r="G163" i="4"/>
  <c r="R163" i="4" s="1"/>
  <c r="F163" i="4"/>
  <c r="E163" i="4"/>
  <c r="D163" i="4"/>
  <c r="C163" i="4"/>
  <c r="B163" i="4"/>
  <c r="N163" i="4" s="1"/>
  <c r="A163" i="4"/>
  <c r="M162" i="4"/>
  <c r="L162" i="4"/>
  <c r="K162" i="4"/>
  <c r="J162" i="4"/>
  <c r="I162" i="4"/>
  <c r="H162" i="4"/>
  <c r="G162" i="4"/>
  <c r="R162" i="4" s="1"/>
  <c r="F162" i="4"/>
  <c r="E162" i="4"/>
  <c r="D162" i="4"/>
  <c r="C162" i="4"/>
  <c r="B162" i="4"/>
  <c r="N162" i="4" s="1"/>
  <c r="A162" i="4"/>
  <c r="U161" i="4"/>
  <c r="V161" i="4" s="1"/>
  <c r="M161" i="4"/>
  <c r="L161" i="4"/>
  <c r="K161" i="4"/>
  <c r="J161" i="4"/>
  <c r="I161" i="4"/>
  <c r="H161" i="4"/>
  <c r="G161" i="4"/>
  <c r="R161" i="4" s="1"/>
  <c r="F161" i="4"/>
  <c r="E161" i="4"/>
  <c r="D161" i="4"/>
  <c r="C161" i="4"/>
  <c r="B161" i="4"/>
  <c r="N161" i="4" s="1"/>
  <c r="A161" i="4"/>
  <c r="M160" i="4"/>
  <c r="L160" i="4"/>
  <c r="K160" i="4"/>
  <c r="J160" i="4"/>
  <c r="I160" i="4"/>
  <c r="H160" i="4"/>
  <c r="G160" i="4"/>
  <c r="R160" i="4" s="1"/>
  <c r="F160" i="4"/>
  <c r="E160" i="4"/>
  <c r="D160" i="4"/>
  <c r="C160" i="4"/>
  <c r="B160" i="4"/>
  <c r="N160" i="4" s="1"/>
  <c r="A160" i="4"/>
  <c r="M159" i="4"/>
  <c r="U159" i="4" s="1"/>
  <c r="V159" i="4" s="1"/>
  <c r="L159" i="4"/>
  <c r="K159" i="4"/>
  <c r="J159" i="4"/>
  <c r="I159" i="4"/>
  <c r="H159" i="4"/>
  <c r="G159" i="4"/>
  <c r="R159" i="4" s="1"/>
  <c r="F159" i="4"/>
  <c r="E159" i="4"/>
  <c r="D159" i="4"/>
  <c r="C159" i="4"/>
  <c r="B159" i="4"/>
  <c r="N159" i="4" s="1"/>
  <c r="A159" i="4"/>
  <c r="M158" i="4"/>
  <c r="L158" i="4"/>
  <c r="K158" i="4"/>
  <c r="J158" i="4"/>
  <c r="I158" i="4"/>
  <c r="H158" i="4"/>
  <c r="G158" i="4"/>
  <c r="R158" i="4" s="1"/>
  <c r="F158" i="4"/>
  <c r="E158" i="4"/>
  <c r="D158" i="4"/>
  <c r="C158" i="4"/>
  <c r="B158" i="4"/>
  <c r="N158" i="4" s="1"/>
  <c r="A158" i="4"/>
  <c r="M157" i="4"/>
  <c r="L157" i="4"/>
  <c r="K157" i="4"/>
  <c r="J157" i="4"/>
  <c r="I157" i="4"/>
  <c r="H157" i="4"/>
  <c r="G157" i="4"/>
  <c r="R157" i="4" s="1"/>
  <c r="F157" i="4"/>
  <c r="E157" i="4"/>
  <c r="D157" i="4"/>
  <c r="C157" i="4"/>
  <c r="B157" i="4"/>
  <c r="N157" i="4" s="1"/>
  <c r="O157" i="4" s="1"/>
  <c r="A157" i="4"/>
  <c r="M156" i="4"/>
  <c r="L156" i="4"/>
  <c r="K156" i="4"/>
  <c r="J156" i="4"/>
  <c r="I156" i="4"/>
  <c r="H156" i="4"/>
  <c r="G156" i="4"/>
  <c r="R156" i="4" s="1"/>
  <c r="F156" i="4"/>
  <c r="E156" i="4"/>
  <c r="D156" i="4"/>
  <c r="C156" i="4"/>
  <c r="B156" i="4"/>
  <c r="N156" i="4" s="1"/>
  <c r="A156" i="4"/>
  <c r="M155" i="4"/>
  <c r="U155" i="4" s="1"/>
  <c r="V155" i="4" s="1"/>
  <c r="L155" i="4"/>
  <c r="K155" i="4"/>
  <c r="J155" i="4"/>
  <c r="I155" i="4"/>
  <c r="H155" i="4"/>
  <c r="G155" i="4"/>
  <c r="R155" i="4" s="1"/>
  <c r="F155" i="4"/>
  <c r="E155" i="4"/>
  <c r="D155" i="4"/>
  <c r="C155" i="4"/>
  <c r="B155" i="4"/>
  <c r="N155" i="4" s="1"/>
  <c r="A155" i="4"/>
  <c r="M154" i="4"/>
  <c r="L154" i="4"/>
  <c r="K154" i="4"/>
  <c r="J154" i="4"/>
  <c r="I154" i="4"/>
  <c r="H154" i="4"/>
  <c r="G154" i="4"/>
  <c r="R154" i="4" s="1"/>
  <c r="F154" i="4"/>
  <c r="E154" i="4"/>
  <c r="D154" i="4"/>
  <c r="C154" i="4"/>
  <c r="B154" i="4"/>
  <c r="N154" i="4" s="1"/>
  <c r="O154" i="4" s="1"/>
  <c r="A154" i="4"/>
  <c r="M153" i="4"/>
  <c r="U153" i="4" s="1"/>
  <c r="V153" i="4" s="1"/>
  <c r="L153" i="4"/>
  <c r="K153" i="4"/>
  <c r="J153" i="4"/>
  <c r="I153" i="4"/>
  <c r="H153" i="4"/>
  <c r="G153" i="4"/>
  <c r="R153" i="4" s="1"/>
  <c r="F153" i="4"/>
  <c r="E153" i="4"/>
  <c r="D153" i="4"/>
  <c r="C153" i="4"/>
  <c r="B153" i="4"/>
  <c r="N153" i="4" s="1"/>
  <c r="A153" i="4"/>
  <c r="M152" i="4"/>
  <c r="U152" i="4" s="1"/>
  <c r="V152" i="4" s="1"/>
  <c r="L152" i="4"/>
  <c r="K152" i="4"/>
  <c r="J152" i="4"/>
  <c r="I152" i="4"/>
  <c r="H152" i="4"/>
  <c r="G152" i="4"/>
  <c r="R152" i="4" s="1"/>
  <c r="F152" i="4"/>
  <c r="E152" i="4"/>
  <c r="D152" i="4"/>
  <c r="C152" i="4"/>
  <c r="B152" i="4"/>
  <c r="N152" i="4" s="1"/>
  <c r="A152" i="4"/>
  <c r="M151" i="4"/>
  <c r="U151" i="4" s="1"/>
  <c r="V151" i="4" s="1"/>
  <c r="L151" i="4"/>
  <c r="K151" i="4"/>
  <c r="J151" i="4"/>
  <c r="I151" i="4"/>
  <c r="H151" i="4"/>
  <c r="G151" i="4"/>
  <c r="R151" i="4" s="1"/>
  <c r="F151" i="4"/>
  <c r="E151" i="4"/>
  <c r="D151" i="4"/>
  <c r="C151" i="4"/>
  <c r="B151" i="4"/>
  <c r="N151" i="4" s="1"/>
  <c r="O151" i="4" s="1"/>
  <c r="A151" i="4"/>
  <c r="M150" i="4"/>
  <c r="L150" i="4"/>
  <c r="K150" i="4"/>
  <c r="J150" i="4"/>
  <c r="I150" i="4"/>
  <c r="H150" i="4"/>
  <c r="G150" i="4"/>
  <c r="R150" i="4" s="1"/>
  <c r="F150" i="4"/>
  <c r="E150" i="4"/>
  <c r="D150" i="4"/>
  <c r="C150" i="4"/>
  <c r="B150" i="4"/>
  <c r="N150" i="4" s="1"/>
  <c r="A150" i="4"/>
  <c r="M149" i="4"/>
  <c r="U149" i="4" s="1"/>
  <c r="V149" i="4" s="1"/>
  <c r="L149" i="4"/>
  <c r="K149" i="4"/>
  <c r="J149" i="4"/>
  <c r="I149" i="4"/>
  <c r="H149" i="4"/>
  <c r="G149" i="4"/>
  <c r="R149" i="4" s="1"/>
  <c r="F149" i="4"/>
  <c r="E149" i="4"/>
  <c r="D149" i="4"/>
  <c r="C149" i="4"/>
  <c r="B149" i="4"/>
  <c r="N149" i="4" s="1"/>
  <c r="A149" i="4"/>
  <c r="M148" i="4"/>
  <c r="L148" i="4"/>
  <c r="K148" i="4"/>
  <c r="J148" i="4"/>
  <c r="I148" i="4"/>
  <c r="H148" i="4"/>
  <c r="G148" i="4"/>
  <c r="R148" i="4" s="1"/>
  <c r="F148" i="4"/>
  <c r="E148" i="4"/>
  <c r="D148" i="4"/>
  <c r="C148" i="4"/>
  <c r="B148" i="4"/>
  <c r="N148" i="4" s="1"/>
  <c r="O148" i="4" s="1"/>
  <c r="A148" i="4"/>
  <c r="M147" i="4"/>
  <c r="U147" i="4" s="1"/>
  <c r="V147" i="4" s="1"/>
  <c r="L147" i="4"/>
  <c r="K147" i="4"/>
  <c r="J147" i="4"/>
  <c r="I147" i="4"/>
  <c r="H147" i="4"/>
  <c r="G147" i="4"/>
  <c r="R147" i="4" s="1"/>
  <c r="F147" i="4"/>
  <c r="E147" i="4"/>
  <c r="D147" i="4"/>
  <c r="C147" i="4"/>
  <c r="B147" i="4"/>
  <c r="N147" i="4" s="1"/>
  <c r="A147" i="4"/>
  <c r="M146" i="4"/>
  <c r="U146" i="4" s="1"/>
  <c r="V146" i="4" s="1"/>
  <c r="L146" i="4"/>
  <c r="K146" i="4"/>
  <c r="J146" i="4"/>
  <c r="I146" i="4"/>
  <c r="H146" i="4"/>
  <c r="G146" i="4"/>
  <c r="R146" i="4" s="1"/>
  <c r="F146" i="4"/>
  <c r="E146" i="4"/>
  <c r="D146" i="4"/>
  <c r="C146" i="4"/>
  <c r="B146" i="4"/>
  <c r="N146" i="4" s="1"/>
  <c r="A146" i="4"/>
  <c r="M145" i="4"/>
  <c r="L145" i="4"/>
  <c r="K145" i="4"/>
  <c r="J145" i="4"/>
  <c r="I145" i="4"/>
  <c r="H145" i="4"/>
  <c r="G145" i="4"/>
  <c r="R145" i="4" s="1"/>
  <c r="F145" i="4"/>
  <c r="E145" i="4"/>
  <c r="D145" i="4"/>
  <c r="C145" i="4"/>
  <c r="B145" i="4"/>
  <c r="N145" i="4" s="1"/>
  <c r="O145" i="4" s="1"/>
  <c r="A145" i="4"/>
  <c r="M144" i="4"/>
  <c r="U144" i="4" s="1"/>
  <c r="V144" i="4" s="1"/>
  <c r="L144" i="4"/>
  <c r="K144" i="4"/>
  <c r="J144" i="4"/>
  <c r="I144" i="4"/>
  <c r="H144" i="4"/>
  <c r="G144" i="4"/>
  <c r="R144" i="4" s="1"/>
  <c r="F144" i="4"/>
  <c r="E144" i="4"/>
  <c r="D144" i="4"/>
  <c r="C144" i="4"/>
  <c r="B144" i="4"/>
  <c r="N144" i="4" s="1"/>
  <c r="A144" i="4"/>
  <c r="M143" i="4"/>
  <c r="L143" i="4"/>
  <c r="K143" i="4"/>
  <c r="J143" i="4"/>
  <c r="I143" i="4"/>
  <c r="H143" i="4"/>
  <c r="G143" i="4"/>
  <c r="R143" i="4" s="1"/>
  <c r="F143" i="4"/>
  <c r="E143" i="4"/>
  <c r="D143" i="4"/>
  <c r="C143" i="4"/>
  <c r="B143" i="4"/>
  <c r="N143" i="4" s="1"/>
  <c r="A143" i="4"/>
  <c r="M142" i="4"/>
  <c r="L142" i="4"/>
  <c r="K142" i="4"/>
  <c r="J142" i="4"/>
  <c r="I142" i="4"/>
  <c r="H142" i="4"/>
  <c r="G142" i="4"/>
  <c r="R142" i="4" s="1"/>
  <c r="F142" i="4"/>
  <c r="E142" i="4"/>
  <c r="D142" i="4"/>
  <c r="C142" i="4"/>
  <c r="B142" i="4"/>
  <c r="N142" i="4" s="1"/>
  <c r="A142" i="4"/>
  <c r="M141" i="4"/>
  <c r="L141" i="4"/>
  <c r="K141" i="4"/>
  <c r="J141" i="4"/>
  <c r="I141" i="4"/>
  <c r="H141" i="4"/>
  <c r="G141" i="4"/>
  <c r="R141" i="4" s="1"/>
  <c r="F141" i="4"/>
  <c r="E141" i="4"/>
  <c r="D141" i="4"/>
  <c r="C141" i="4"/>
  <c r="B141" i="4"/>
  <c r="N141" i="4" s="1"/>
  <c r="A141" i="4"/>
  <c r="M140" i="4"/>
  <c r="U140" i="4" s="1"/>
  <c r="V140" i="4" s="1"/>
  <c r="L140" i="4"/>
  <c r="K140" i="4"/>
  <c r="J140" i="4"/>
  <c r="I140" i="4"/>
  <c r="H140" i="4"/>
  <c r="G140" i="4"/>
  <c r="R140" i="4" s="1"/>
  <c r="F140" i="4"/>
  <c r="E140" i="4"/>
  <c r="D140" i="4"/>
  <c r="C140" i="4"/>
  <c r="B140" i="4"/>
  <c r="N140" i="4" s="1"/>
  <c r="A140" i="4"/>
  <c r="M139" i="4"/>
  <c r="L139" i="4"/>
  <c r="K139" i="4"/>
  <c r="J139" i="4"/>
  <c r="I139" i="4"/>
  <c r="H139" i="4"/>
  <c r="G139" i="4"/>
  <c r="R139" i="4" s="1"/>
  <c r="F139" i="4"/>
  <c r="E139" i="4"/>
  <c r="D139" i="4"/>
  <c r="C139" i="4"/>
  <c r="B139" i="4"/>
  <c r="N139" i="4" s="1"/>
  <c r="A139" i="4"/>
  <c r="M138" i="4"/>
  <c r="U138" i="4" s="1"/>
  <c r="V138" i="4" s="1"/>
  <c r="L138" i="4"/>
  <c r="K138" i="4"/>
  <c r="J138" i="4"/>
  <c r="I138" i="4"/>
  <c r="H138" i="4"/>
  <c r="G138" i="4"/>
  <c r="R138" i="4" s="1"/>
  <c r="F138" i="4"/>
  <c r="E138" i="4"/>
  <c r="D138" i="4"/>
  <c r="C138" i="4"/>
  <c r="B138" i="4"/>
  <c r="N138" i="4" s="1"/>
  <c r="A138" i="4"/>
  <c r="M137" i="4"/>
  <c r="U137" i="4" s="1"/>
  <c r="V137" i="4" s="1"/>
  <c r="L137" i="4"/>
  <c r="K137" i="4"/>
  <c r="J137" i="4"/>
  <c r="I137" i="4"/>
  <c r="H137" i="4"/>
  <c r="G137" i="4"/>
  <c r="R137" i="4" s="1"/>
  <c r="F137" i="4"/>
  <c r="E137" i="4"/>
  <c r="D137" i="4"/>
  <c r="C137" i="4"/>
  <c r="B137" i="4"/>
  <c r="N137" i="4" s="1"/>
  <c r="A137" i="4"/>
  <c r="M136" i="4"/>
  <c r="U136" i="4" s="1"/>
  <c r="V136" i="4" s="1"/>
  <c r="L136" i="4"/>
  <c r="K136" i="4"/>
  <c r="J136" i="4"/>
  <c r="I136" i="4"/>
  <c r="H136" i="4"/>
  <c r="G136" i="4"/>
  <c r="R136" i="4" s="1"/>
  <c r="F136" i="4"/>
  <c r="E136" i="4"/>
  <c r="D136" i="4"/>
  <c r="C136" i="4"/>
  <c r="B136" i="4"/>
  <c r="N136" i="4" s="1"/>
  <c r="A136" i="4"/>
  <c r="M135" i="4"/>
  <c r="L135" i="4"/>
  <c r="K135" i="4"/>
  <c r="J135" i="4"/>
  <c r="I135" i="4"/>
  <c r="H135" i="4"/>
  <c r="G135" i="4"/>
  <c r="R135" i="4" s="1"/>
  <c r="F135" i="4"/>
  <c r="E135" i="4"/>
  <c r="D135" i="4"/>
  <c r="C135" i="4"/>
  <c r="B135" i="4"/>
  <c r="N135" i="4" s="1"/>
  <c r="A135" i="4"/>
  <c r="M134" i="4"/>
  <c r="L134" i="4"/>
  <c r="K134" i="4"/>
  <c r="J134" i="4"/>
  <c r="I134" i="4"/>
  <c r="H134" i="4"/>
  <c r="G134" i="4"/>
  <c r="R134" i="4" s="1"/>
  <c r="F134" i="4"/>
  <c r="E134" i="4"/>
  <c r="D134" i="4"/>
  <c r="C134" i="4"/>
  <c r="B134" i="4"/>
  <c r="N134" i="4" s="1"/>
  <c r="A134" i="4"/>
  <c r="M133" i="4"/>
  <c r="L133" i="4"/>
  <c r="K133" i="4"/>
  <c r="J133" i="4"/>
  <c r="I133" i="4"/>
  <c r="H133" i="4"/>
  <c r="G133" i="4"/>
  <c r="R133" i="4" s="1"/>
  <c r="F133" i="4"/>
  <c r="E133" i="4"/>
  <c r="D133" i="4"/>
  <c r="C133" i="4"/>
  <c r="B133" i="4"/>
  <c r="N133" i="4" s="1"/>
  <c r="A133" i="4"/>
  <c r="M132" i="4"/>
  <c r="U132" i="4" s="1"/>
  <c r="V132" i="4" s="1"/>
  <c r="L132" i="4"/>
  <c r="K132" i="4"/>
  <c r="J132" i="4"/>
  <c r="I132" i="4"/>
  <c r="H132" i="4"/>
  <c r="G132" i="4"/>
  <c r="R132" i="4" s="1"/>
  <c r="F132" i="4"/>
  <c r="E132" i="4"/>
  <c r="D132" i="4"/>
  <c r="C132" i="4"/>
  <c r="B132" i="4"/>
  <c r="N132" i="4" s="1"/>
  <c r="A132" i="4"/>
  <c r="M131" i="4"/>
  <c r="L131" i="4"/>
  <c r="K131" i="4"/>
  <c r="J131" i="4"/>
  <c r="I131" i="4"/>
  <c r="H131" i="4"/>
  <c r="G131" i="4"/>
  <c r="R131" i="4" s="1"/>
  <c r="F131" i="4"/>
  <c r="E131" i="4"/>
  <c r="D131" i="4"/>
  <c r="C131" i="4"/>
  <c r="B131" i="4"/>
  <c r="N131" i="4" s="1"/>
  <c r="A131" i="4"/>
  <c r="M130" i="4"/>
  <c r="L130" i="4"/>
  <c r="K130" i="4"/>
  <c r="J130" i="4"/>
  <c r="I130" i="4"/>
  <c r="H130" i="4"/>
  <c r="G130" i="4"/>
  <c r="R130" i="4" s="1"/>
  <c r="F130" i="4"/>
  <c r="E130" i="4"/>
  <c r="D130" i="4"/>
  <c r="C130" i="4"/>
  <c r="B130" i="4"/>
  <c r="N130" i="4" s="1"/>
  <c r="O130" i="4" s="1"/>
  <c r="A130" i="4"/>
  <c r="M129" i="4"/>
  <c r="L129" i="4"/>
  <c r="K129" i="4"/>
  <c r="J129" i="4"/>
  <c r="I129" i="4"/>
  <c r="H129" i="4"/>
  <c r="G129" i="4"/>
  <c r="R129" i="4" s="1"/>
  <c r="F129" i="4"/>
  <c r="E129" i="4"/>
  <c r="D129" i="4"/>
  <c r="C129" i="4"/>
  <c r="B129" i="4"/>
  <c r="N129" i="4" s="1"/>
  <c r="A129" i="4"/>
  <c r="M128" i="4"/>
  <c r="U128" i="4" s="1"/>
  <c r="V128" i="4" s="1"/>
  <c r="L128" i="4"/>
  <c r="K128" i="4"/>
  <c r="J128" i="4"/>
  <c r="I128" i="4"/>
  <c r="H128" i="4"/>
  <c r="G128" i="4"/>
  <c r="R128" i="4" s="1"/>
  <c r="F128" i="4"/>
  <c r="E128" i="4"/>
  <c r="D128" i="4"/>
  <c r="C128" i="4"/>
  <c r="B128" i="4"/>
  <c r="N128" i="4" s="1"/>
  <c r="A128" i="4"/>
  <c r="M127" i="4"/>
  <c r="L127" i="4"/>
  <c r="K127" i="4"/>
  <c r="J127" i="4"/>
  <c r="I127" i="4"/>
  <c r="H127" i="4"/>
  <c r="G127" i="4"/>
  <c r="R127" i="4" s="1"/>
  <c r="F127" i="4"/>
  <c r="E127" i="4"/>
  <c r="D127" i="4"/>
  <c r="C127" i="4"/>
  <c r="B127" i="4"/>
  <c r="N127" i="4" s="1"/>
  <c r="O127" i="4" s="1"/>
  <c r="A127" i="4"/>
  <c r="M126" i="4"/>
  <c r="L126" i="4"/>
  <c r="K126" i="4"/>
  <c r="J126" i="4"/>
  <c r="I126" i="4"/>
  <c r="H126" i="4"/>
  <c r="G126" i="4"/>
  <c r="R126" i="4" s="1"/>
  <c r="F126" i="4"/>
  <c r="E126" i="4"/>
  <c r="D126" i="4"/>
  <c r="C126" i="4"/>
  <c r="B126" i="4"/>
  <c r="N126" i="4" s="1"/>
  <c r="A126" i="4"/>
  <c r="M125" i="4"/>
  <c r="L125" i="4"/>
  <c r="K125" i="4"/>
  <c r="J125" i="4"/>
  <c r="I125" i="4"/>
  <c r="H125" i="4"/>
  <c r="G125" i="4"/>
  <c r="R125" i="4" s="1"/>
  <c r="F125" i="4"/>
  <c r="E125" i="4"/>
  <c r="D125" i="4"/>
  <c r="C125" i="4"/>
  <c r="B125" i="4"/>
  <c r="N125" i="4" s="1"/>
  <c r="A125" i="4"/>
  <c r="M124" i="4"/>
  <c r="U124" i="4" s="1"/>
  <c r="V124" i="4" s="1"/>
  <c r="L124" i="4"/>
  <c r="K124" i="4"/>
  <c r="J124" i="4"/>
  <c r="I124" i="4"/>
  <c r="H124" i="4"/>
  <c r="G124" i="4"/>
  <c r="R124" i="4" s="1"/>
  <c r="F124" i="4"/>
  <c r="E124" i="4"/>
  <c r="D124" i="4"/>
  <c r="C124" i="4"/>
  <c r="B124" i="4"/>
  <c r="N124" i="4" s="1"/>
  <c r="O124" i="4" s="1"/>
  <c r="A124" i="4"/>
  <c r="M123" i="4"/>
  <c r="U123" i="4" s="1"/>
  <c r="V123" i="4" s="1"/>
  <c r="L123" i="4"/>
  <c r="K123" i="4"/>
  <c r="J123" i="4"/>
  <c r="I123" i="4"/>
  <c r="H123" i="4"/>
  <c r="G123" i="4"/>
  <c r="R123" i="4" s="1"/>
  <c r="F123" i="4"/>
  <c r="E123" i="4"/>
  <c r="D123" i="4"/>
  <c r="C123" i="4"/>
  <c r="B123" i="4"/>
  <c r="N123" i="4" s="1"/>
  <c r="A123" i="4"/>
  <c r="M122" i="4"/>
  <c r="U122" i="4" s="1"/>
  <c r="V122" i="4" s="1"/>
  <c r="L122" i="4"/>
  <c r="K122" i="4"/>
  <c r="J122" i="4"/>
  <c r="I122" i="4"/>
  <c r="H122" i="4"/>
  <c r="G122" i="4"/>
  <c r="R122" i="4" s="1"/>
  <c r="F122" i="4"/>
  <c r="E122" i="4"/>
  <c r="D122" i="4"/>
  <c r="C122" i="4"/>
  <c r="B122" i="4"/>
  <c r="N122" i="4" s="1"/>
  <c r="A122" i="4"/>
  <c r="M121" i="4"/>
  <c r="U121" i="4" s="1"/>
  <c r="V121" i="4" s="1"/>
  <c r="L121" i="4"/>
  <c r="K121" i="4"/>
  <c r="J121" i="4"/>
  <c r="I121" i="4"/>
  <c r="H121" i="4"/>
  <c r="G121" i="4"/>
  <c r="R121" i="4" s="1"/>
  <c r="F121" i="4"/>
  <c r="E121" i="4"/>
  <c r="D121" i="4"/>
  <c r="C121" i="4"/>
  <c r="B121" i="4"/>
  <c r="N121" i="4" s="1"/>
  <c r="O121" i="4" s="1"/>
  <c r="A121" i="4"/>
  <c r="M120" i="4"/>
  <c r="U120" i="4" s="1"/>
  <c r="V120" i="4" s="1"/>
  <c r="L120" i="4"/>
  <c r="K120" i="4"/>
  <c r="J120" i="4"/>
  <c r="I120" i="4"/>
  <c r="H120" i="4"/>
  <c r="G120" i="4"/>
  <c r="R120" i="4" s="1"/>
  <c r="F120" i="4"/>
  <c r="E120" i="4"/>
  <c r="D120" i="4"/>
  <c r="C120" i="4"/>
  <c r="B120" i="4"/>
  <c r="N120" i="4" s="1"/>
  <c r="A120" i="4"/>
  <c r="M119" i="4"/>
  <c r="L119" i="4"/>
  <c r="K119" i="4"/>
  <c r="J119" i="4"/>
  <c r="I119" i="4"/>
  <c r="H119" i="4"/>
  <c r="G119" i="4"/>
  <c r="R119" i="4" s="1"/>
  <c r="F119" i="4"/>
  <c r="E119" i="4"/>
  <c r="D119" i="4"/>
  <c r="C119" i="4"/>
  <c r="B119" i="4"/>
  <c r="N119" i="4" s="1"/>
  <c r="A119" i="4"/>
  <c r="M118" i="4"/>
  <c r="U118" i="4" s="1"/>
  <c r="V118" i="4" s="1"/>
  <c r="L118" i="4"/>
  <c r="K118" i="4"/>
  <c r="J118" i="4"/>
  <c r="I118" i="4"/>
  <c r="H118" i="4"/>
  <c r="G118" i="4"/>
  <c r="R118" i="4" s="1"/>
  <c r="F118" i="4"/>
  <c r="E118" i="4"/>
  <c r="D118" i="4"/>
  <c r="C118" i="4"/>
  <c r="B118" i="4"/>
  <c r="N118" i="4" s="1"/>
  <c r="O118" i="4" s="1"/>
  <c r="A118" i="4"/>
  <c r="M117" i="4"/>
  <c r="U117" i="4" s="1"/>
  <c r="V117" i="4" s="1"/>
  <c r="L117" i="4"/>
  <c r="K117" i="4"/>
  <c r="J117" i="4"/>
  <c r="I117" i="4"/>
  <c r="H117" i="4"/>
  <c r="G117" i="4"/>
  <c r="R117" i="4" s="1"/>
  <c r="F117" i="4"/>
  <c r="E117" i="4"/>
  <c r="D117" i="4"/>
  <c r="C117" i="4"/>
  <c r="B117" i="4"/>
  <c r="N117" i="4" s="1"/>
  <c r="A117" i="4"/>
  <c r="M116" i="4"/>
  <c r="L116" i="4"/>
  <c r="K116" i="4"/>
  <c r="J116" i="4"/>
  <c r="I116" i="4"/>
  <c r="H116" i="4"/>
  <c r="G116" i="4"/>
  <c r="R116" i="4" s="1"/>
  <c r="F116" i="4"/>
  <c r="E116" i="4"/>
  <c r="D116" i="4"/>
  <c r="C116" i="4"/>
  <c r="B116" i="4"/>
  <c r="N116" i="4" s="1"/>
  <c r="A116" i="4"/>
  <c r="M115" i="4"/>
  <c r="U115" i="4" s="1"/>
  <c r="V115" i="4" s="1"/>
  <c r="L115" i="4"/>
  <c r="K115" i="4"/>
  <c r="J115" i="4"/>
  <c r="I115" i="4"/>
  <c r="H115" i="4"/>
  <c r="G115" i="4"/>
  <c r="R115" i="4" s="1"/>
  <c r="F115" i="4"/>
  <c r="E115" i="4"/>
  <c r="D115" i="4"/>
  <c r="C115" i="4"/>
  <c r="B115" i="4"/>
  <c r="N115" i="4" s="1"/>
  <c r="A115" i="4"/>
  <c r="M114" i="4"/>
  <c r="U114" i="4" s="1"/>
  <c r="V114" i="4" s="1"/>
  <c r="L114" i="4"/>
  <c r="K114" i="4"/>
  <c r="J114" i="4"/>
  <c r="I114" i="4"/>
  <c r="H114" i="4"/>
  <c r="G114" i="4"/>
  <c r="R114" i="4" s="1"/>
  <c r="F114" i="4"/>
  <c r="E114" i="4"/>
  <c r="D114" i="4"/>
  <c r="C114" i="4"/>
  <c r="B114" i="4"/>
  <c r="N114" i="4" s="1"/>
  <c r="A114" i="4"/>
  <c r="M113" i="4"/>
  <c r="U113" i="4" s="1"/>
  <c r="V113" i="4" s="1"/>
  <c r="L113" i="4"/>
  <c r="K113" i="4"/>
  <c r="J113" i="4"/>
  <c r="I113" i="4"/>
  <c r="H113" i="4"/>
  <c r="G113" i="4"/>
  <c r="R113" i="4" s="1"/>
  <c r="F113" i="4"/>
  <c r="E113" i="4"/>
  <c r="D113" i="4"/>
  <c r="C113" i="4"/>
  <c r="B113" i="4"/>
  <c r="N113" i="4" s="1"/>
  <c r="A113" i="4"/>
  <c r="M112" i="4"/>
  <c r="U112" i="4" s="1"/>
  <c r="V112" i="4" s="1"/>
  <c r="L112" i="4"/>
  <c r="K112" i="4"/>
  <c r="J112" i="4"/>
  <c r="I112" i="4"/>
  <c r="H112" i="4"/>
  <c r="G112" i="4"/>
  <c r="R112" i="4" s="1"/>
  <c r="F112" i="4"/>
  <c r="E112" i="4"/>
  <c r="D112" i="4"/>
  <c r="C112" i="4"/>
  <c r="B112" i="4"/>
  <c r="N112" i="4" s="1"/>
  <c r="A112" i="4"/>
  <c r="M111" i="4"/>
  <c r="L111" i="4"/>
  <c r="K111" i="4"/>
  <c r="J111" i="4"/>
  <c r="I111" i="4"/>
  <c r="H111" i="4"/>
  <c r="G111" i="4"/>
  <c r="R111" i="4" s="1"/>
  <c r="F111" i="4"/>
  <c r="E111" i="4"/>
  <c r="D111" i="4"/>
  <c r="C111" i="4"/>
  <c r="B111" i="4"/>
  <c r="N111" i="4" s="1"/>
  <c r="A111" i="4"/>
  <c r="M110" i="4"/>
  <c r="L110" i="4"/>
  <c r="K110" i="4"/>
  <c r="J110" i="4"/>
  <c r="I110" i="4"/>
  <c r="H110" i="4"/>
  <c r="G110" i="4"/>
  <c r="R110" i="4" s="1"/>
  <c r="F110" i="4"/>
  <c r="E110" i="4"/>
  <c r="D110" i="4"/>
  <c r="C110" i="4"/>
  <c r="B110" i="4"/>
  <c r="N110" i="4" s="1"/>
  <c r="A110" i="4"/>
  <c r="M109" i="4"/>
  <c r="L109" i="4"/>
  <c r="K109" i="4"/>
  <c r="J109" i="4"/>
  <c r="I109" i="4"/>
  <c r="H109" i="4"/>
  <c r="G109" i="4"/>
  <c r="R109" i="4" s="1"/>
  <c r="F109" i="4"/>
  <c r="E109" i="4"/>
  <c r="D109" i="4"/>
  <c r="C109" i="4"/>
  <c r="B109" i="4"/>
  <c r="N109" i="4" s="1"/>
  <c r="A109" i="4"/>
  <c r="M108" i="4"/>
  <c r="U108" i="4" s="1"/>
  <c r="V108" i="4" s="1"/>
  <c r="L108" i="4"/>
  <c r="K108" i="4"/>
  <c r="J108" i="4"/>
  <c r="I108" i="4"/>
  <c r="H108" i="4"/>
  <c r="G108" i="4"/>
  <c r="R108" i="4" s="1"/>
  <c r="F108" i="4"/>
  <c r="E108" i="4"/>
  <c r="D108" i="4"/>
  <c r="C108" i="4"/>
  <c r="B108" i="4"/>
  <c r="N108" i="4" s="1"/>
  <c r="A108" i="4"/>
  <c r="M107" i="4"/>
  <c r="U107" i="4" s="1"/>
  <c r="V107" i="4" s="1"/>
  <c r="L107" i="4"/>
  <c r="K107" i="4"/>
  <c r="J107" i="4"/>
  <c r="I107" i="4"/>
  <c r="H107" i="4"/>
  <c r="G107" i="4"/>
  <c r="R107" i="4" s="1"/>
  <c r="F107" i="4"/>
  <c r="E107" i="4"/>
  <c r="D107" i="4"/>
  <c r="C107" i="4"/>
  <c r="B107" i="4"/>
  <c r="N107" i="4" s="1"/>
  <c r="A107" i="4"/>
  <c r="M106" i="4"/>
  <c r="L106" i="4"/>
  <c r="K106" i="4"/>
  <c r="J106" i="4"/>
  <c r="I106" i="4"/>
  <c r="H106" i="4"/>
  <c r="G106" i="4"/>
  <c r="R106" i="4" s="1"/>
  <c r="F106" i="4"/>
  <c r="E106" i="4"/>
  <c r="D106" i="4"/>
  <c r="C106" i="4"/>
  <c r="B106" i="4"/>
  <c r="N106" i="4" s="1"/>
  <c r="A106" i="4"/>
  <c r="M105" i="4"/>
  <c r="L105" i="4"/>
  <c r="K105" i="4"/>
  <c r="J105" i="4"/>
  <c r="I105" i="4"/>
  <c r="H105" i="4"/>
  <c r="G105" i="4"/>
  <c r="R105" i="4" s="1"/>
  <c r="F105" i="4"/>
  <c r="E105" i="4"/>
  <c r="D105" i="4"/>
  <c r="C105" i="4"/>
  <c r="B105" i="4"/>
  <c r="N105" i="4" s="1"/>
  <c r="A105" i="4"/>
  <c r="M104" i="4"/>
  <c r="L104" i="4"/>
  <c r="K104" i="4"/>
  <c r="J104" i="4"/>
  <c r="I104" i="4"/>
  <c r="H104" i="4"/>
  <c r="G104" i="4"/>
  <c r="R104" i="4" s="1"/>
  <c r="F104" i="4"/>
  <c r="E104" i="4"/>
  <c r="D104" i="4"/>
  <c r="C104" i="4"/>
  <c r="B104" i="4"/>
  <c r="N104" i="4" s="1"/>
  <c r="A104" i="4"/>
  <c r="M103" i="4"/>
  <c r="L103" i="4"/>
  <c r="K103" i="4"/>
  <c r="J103" i="4"/>
  <c r="I103" i="4"/>
  <c r="H103" i="4"/>
  <c r="G103" i="4"/>
  <c r="R103" i="4" s="1"/>
  <c r="F103" i="4"/>
  <c r="E103" i="4"/>
  <c r="D103" i="4"/>
  <c r="C103" i="4"/>
  <c r="B103" i="4"/>
  <c r="N103" i="4" s="1"/>
  <c r="A103" i="4"/>
  <c r="M102" i="4"/>
  <c r="U102" i="4" s="1"/>
  <c r="V102" i="4" s="1"/>
  <c r="L102" i="4"/>
  <c r="K102" i="4"/>
  <c r="J102" i="4"/>
  <c r="I102" i="4"/>
  <c r="H102" i="4"/>
  <c r="G102" i="4"/>
  <c r="R102" i="4" s="1"/>
  <c r="F102" i="4"/>
  <c r="E102" i="4"/>
  <c r="D102" i="4"/>
  <c r="C102" i="4"/>
  <c r="B102" i="4"/>
  <c r="N102" i="4" s="1"/>
  <c r="A102" i="4"/>
  <c r="M101" i="4"/>
  <c r="U101" i="4" s="1"/>
  <c r="V101" i="4" s="1"/>
  <c r="L101" i="4"/>
  <c r="K101" i="4"/>
  <c r="J101" i="4"/>
  <c r="I101" i="4"/>
  <c r="H101" i="4"/>
  <c r="G101" i="4"/>
  <c r="R101" i="4" s="1"/>
  <c r="F101" i="4"/>
  <c r="E101" i="4"/>
  <c r="D101" i="4"/>
  <c r="C101" i="4"/>
  <c r="B101" i="4"/>
  <c r="N101" i="4" s="1"/>
  <c r="A101" i="4"/>
  <c r="M100" i="4"/>
  <c r="U100" i="4" s="1"/>
  <c r="V100" i="4" s="1"/>
  <c r="L100" i="4"/>
  <c r="K100" i="4"/>
  <c r="J100" i="4"/>
  <c r="I100" i="4"/>
  <c r="H100" i="4"/>
  <c r="G100" i="4"/>
  <c r="R100" i="4" s="1"/>
  <c r="F100" i="4"/>
  <c r="E100" i="4"/>
  <c r="D100" i="4"/>
  <c r="C100" i="4"/>
  <c r="B100" i="4"/>
  <c r="N100" i="4" s="1"/>
  <c r="A100" i="4"/>
  <c r="M99" i="4"/>
  <c r="L99" i="4"/>
  <c r="K99" i="4"/>
  <c r="J99" i="4"/>
  <c r="I99" i="4"/>
  <c r="H99" i="4"/>
  <c r="G99" i="4"/>
  <c r="R99" i="4" s="1"/>
  <c r="F99" i="4"/>
  <c r="E99" i="4"/>
  <c r="D99" i="4"/>
  <c r="C99" i="4"/>
  <c r="B99" i="4"/>
  <c r="N99" i="4" s="1"/>
  <c r="A99" i="4"/>
  <c r="M98" i="4"/>
  <c r="L98" i="4"/>
  <c r="K98" i="4"/>
  <c r="J98" i="4"/>
  <c r="I98" i="4"/>
  <c r="H98" i="4"/>
  <c r="G98" i="4"/>
  <c r="R98" i="4" s="1"/>
  <c r="F98" i="4"/>
  <c r="E98" i="4"/>
  <c r="D98" i="4"/>
  <c r="C98" i="4"/>
  <c r="B98" i="4"/>
  <c r="N98" i="4" s="1"/>
  <c r="A98" i="4"/>
  <c r="M97" i="4"/>
  <c r="L97" i="4"/>
  <c r="K97" i="4"/>
  <c r="J97" i="4"/>
  <c r="I97" i="4"/>
  <c r="H97" i="4"/>
  <c r="G97" i="4"/>
  <c r="R97" i="4" s="1"/>
  <c r="F97" i="4"/>
  <c r="E97" i="4"/>
  <c r="D97" i="4"/>
  <c r="C97" i="4"/>
  <c r="B97" i="4"/>
  <c r="N97" i="4" s="1"/>
  <c r="O97" i="4" s="1"/>
  <c r="A97" i="4"/>
  <c r="M96" i="4"/>
  <c r="L96" i="4"/>
  <c r="K96" i="4"/>
  <c r="J96" i="4"/>
  <c r="I96" i="4"/>
  <c r="H96" i="4"/>
  <c r="G96" i="4"/>
  <c r="R96" i="4" s="1"/>
  <c r="F96" i="4"/>
  <c r="E96" i="4"/>
  <c r="D96" i="4"/>
  <c r="C96" i="4"/>
  <c r="B96" i="4"/>
  <c r="N96" i="4" s="1"/>
  <c r="A96" i="4"/>
  <c r="M95" i="4"/>
  <c r="U95" i="4" s="1"/>
  <c r="V95" i="4" s="1"/>
  <c r="L95" i="4"/>
  <c r="K95" i="4"/>
  <c r="J95" i="4"/>
  <c r="I95" i="4"/>
  <c r="H95" i="4"/>
  <c r="G95" i="4"/>
  <c r="R95" i="4" s="1"/>
  <c r="F95" i="4"/>
  <c r="E95" i="4"/>
  <c r="D95" i="4"/>
  <c r="C95" i="4"/>
  <c r="B95" i="4"/>
  <c r="N95" i="4" s="1"/>
  <c r="A95" i="4"/>
  <c r="M94" i="4"/>
  <c r="U94" i="4" s="1"/>
  <c r="V94" i="4" s="1"/>
  <c r="L94" i="4"/>
  <c r="K94" i="4"/>
  <c r="J94" i="4"/>
  <c r="I94" i="4"/>
  <c r="H94" i="4"/>
  <c r="G94" i="4"/>
  <c r="R94" i="4" s="1"/>
  <c r="F94" i="4"/>
  <c r="E94" i="4"/>
  <c r="D94" i="4"/>
  <c r="C94" i="4"/>
  <c r="B94" i="4"/>
  <c r="N94" i="4" s="1"/>
  <c r="O94" i="4" s="1"/>
  <c r="A94" i="4"/>
  <c r="M93" i="4"/>
  <c r="L93" i="4"/>
  <c r="K93" i="4"/>
  <c r="J93" i="4"/>
  <c r="I93" i="4"/>
  <c r="H93" i="4"/>
  <c r="G93" i="4"/>
  <c r="R93" i="4" s="1"/>
  <c r="F93" i="4"/>
  <c r="E93" i="4"/>
  <c r="D93" i="4"/>
  <c r="C93" i="4"/>
  <c r="B93" i="4"/>
  <c r="N93" i="4" s="1"/>
  <c r="A93" i="4"/>
  <c r="M92" i="4"/>
  <c r="U92" i="4" s="1"/>
  <c r="V92" i="4" s="1"/>
  <c r="L92" i="4"/>
  <c r="K92" i="4"/>
  <c r="J92" i="4"/>
  <c r="I92" i="4"/>
  <c r="H92" i="4"/>
  <c r="G92" i="4"/>
  <c r="R92" i="4" s="1"/>
  <c r="F92" i="4"/>
  <c r="E92" i="4"/>
  <c r="D92" i="4"/>
  <c r="C92" i="4"/>
  <c r="B92" i="4"/>
  <c r="N92" i="4" s="1"/>
  <c r="A92" i="4"/>
  <c r="M91" i="4"/>
  <c r="L91" i="4"/>
  <c r="K91" i="4"/>
  <c r="J91" i="4"/>
  <c r="I91" i="4"/>
  <c r="H91" i="4"/>
  <c r="G91" i="4"/>
  <c r="R91" i="4" s="1"/>
  <c r="F91" i="4"/>
  <c r="E91" i="4"/>
  <c r="D91" i="4"/>
  <c r="C91" i="4"/>
  <c r="B91" i="4"/>
  <c r="N91" i="4" s="1"/>
  <c r="O91" i="4" s="1"/>
  <c r="A91" i="4"/>
  <c r="M90" i="4"/>
  <c r="U90" i="4" s="1"/>
  <c r="V90" i="4" s="1"/>
  <c r="L90" i="4"/>
  <c r="K90" i="4"/>
  <c r="J90" i="4"/>
  <c r="I90" i="4"/>
  <c r="H90" i="4"/>
  <c r="G90" i="4"/>
  <c r="R90" i="4" s="1"/>
  <c r="F90" i="4"/>
  <c r="E90" i="4"/>
  <c r="D90" i="4"/>
  <c r="C90" i="4"/>
  <c r="B90" i="4"/>
  <c r="N90" i="4" s="1"/>
  <c r="A90" i="4"/>
  <c r="M89" i="4"/>
  <c r="U89" i="4" s="1"/>
  <c r="V89" i="4" s="1"/>
  <c r="L89" i="4"/>
  <c r="K89" i="4"/>
  <c r="J89" i="4"/>
  <c r="I89" i="4"/>
  <c r="H89" i="4"/>
  <c r="G89" i="4"/>
  <c r="R89" i="4" s="1"/>
  <c r="F89" i="4"/>
  <c r="E89" i="4"/>
  <c r="D89" i="4"/>
  <c r="C89" i="4"/>
  <c r="B89" i="4"/>
  <c r="N89" i="4" s="1"/>
  <c r="A89" i="4"/>
  <c r="M88" i="4"/>
  <c r="U88" i="4" s="1"/>
  <c r="V88" i="4" s="1"/>
  <c r="L88" i="4"/>
  <c r="K88" i="4"/>
  <c r="J88" i="4"/>
  <c r="I88" i="4"/>
  <c r="H88" i="4"/>
  <c r="G88" i="4"/>
  <c r="R88" i="4" s="1"/>
  <c r="F88" i="4"/>
  <c r="E88" i="4"/>
  <c r="D88" i="4"/>
  <c r="C88" i="4"/>
  <c r="B88" i="4"/>
  <c r="N88" i="4" s="1"/>
  <c r="O88" i="4" s="1"/>
  <c r="A88" i="4"/>
  <c r="M87" i="4"/>
  <c r="U87" i="4" s="1"/>
  <c r="V87" i="4" s="1"/>
  <c r="L87" i="4"/>
  <c r="K87" i="4"/>
  <c r="J87" i="4"/>
  <c r="I87" i="4"/>
  <c r="H87" i="4"/>
  <c r="G87" i="4"/>
  <c r="R87" i="4" s="1"/>
  <c r="F87" i="4"/>
  <c r="E87" i="4"/>
  <c r="D87" i="4"/>
  <c r="C87" i="4"/>
  <c r="B87" i="4"/>
  <c r="N87" i="4" s="1"/>
  <c r="A87" i="4"/>
  <c r="M86" i="4"/>
  <c r="U86" i="4" s="1"/>
  <c r="V86" i="4" s="1"/>
  <c r="L86" i="4"/>
  <c r="K86" i="4"/>
  <c r="J86" i="4"/>
  <c r="I86" i="4"/>
  <c r="H86" i="4"/>
  <c r="G86" i="4"/>
  <c r="R86" i="4" s="1"/>
  <c r="F86" i="4"/>
  <c r="E86" i="4"/>
  <c r="D86" i="4"/>
  <c r="C86" i="4"/>
  <c r="B86" i="4"/>
  <c r="N86" i="4" s="1"/>
  <c r="O86" i="4" s="1"/>
  <c r="A86" i="4"/>
  <c r="M85" i="4"/>
  <c r="L85" i="4"/>
  <c r="K85" i="4"/>
  <c r="J85" i="4"/>
  <c r="I85" i="4"/>
  <c r="H85" i="4"/>
  <c r="G85" i="4"/>
  <c r="R85" i="4" s="1"/>
  <c r="F85" i="4"/>
  <c r="E85" i="4"/>
  <c r="D85" i="4"/>
  <c r="C85" i="4"/>
  <c r="B85" i="4"/>
  <c r="N85" i="4" s="1"/>
  <c r="O85" i="4" s="1"/>
  <c r="A85" i="4"/>
  <c r="M84" i="4"/>
  <c r="L84" i="4"/>
  <c r="K84" i="4"/>
  <c r="J84" i="4"/>
  <c r="I84" i="4"/>
  <c r="H84" i="4"/>
  <c r="G84" i="4"/>
  <c r="R84" i="4" s="1"/>
  <c r="F84" i="4"/>
  <c r="E84" i="4"/>
  <c r="D84" i="4"/>
  <c r="C84" i="4"/>
  <c r="B84" i="4"/>
  <c r="N84" i="4" s="1"/>
  <c r="A84" i="4"/>
  <c r="M83" i="4"/>
  <c r="U83" i="4" s="1"/>
  <c r="V83" i="4" s="1"/>
  <c r="L83" i="4"/>
  <c r="K83" i="4"/>
  <c r="J83" i="4"/>
  <c r="I83" i="4"/>
  <c r="H83" i="4"/>
  <c r="G83" i="4"/>
  <c r="R83" i="4" s="1"/>
  <c r="F83" i="4"/>
  <c r="E83" i="4"/>
  <c r="D83" i="4"/>
  <c r="C83" i="4"/>
  <c r="B83" i="4"/>
  <c r="N83" i="4" s="1"/>
  <c r="A83" i="4"/>
  <c r="M82" i="4"/>
  <c r="U82" i="4" s="1"/>
  <c r="V82" i="4" s="1"/>
  <c r="L82" i="4"/>
  <c r="K82" i="4"/>
  <c r="J82" i="4"/>
  <c r="I82" i="4"/>
  <c r="H82" i="4"/>
  <c r="G82" i="4"/>
  <c r="R82" i="4" s="1"/>
  <c r="F82" i="4"/>
  <c r="E82" i="4"/>
  <c r="D82" i="4"/>
  <c r="C82" i="4"/>
  <c r="B82" i="4"/>
  <c r="N82" i="4" s="1"/>
  <c r="A82" i="4"/>
  <c r="M81" i="4"/>
  <c r="U81" i="4" s="1"/>
  <c r="V81" i="4" s="1"/>
  <c r="L81" i="4"/>
  <c r="K81" i="4"/>
  <c r="J81" i="4"/>
  <c r="I81" i="4"/>
  <c r="H81" i="4"/>
  <c r="G81" i="4"/>
  <c r="R81" i="4" s="1"/>
  <c r="F81" i="4"/>
  <c r="E81" i="4"/>
  <c r="D81" i="4"/>
  <c r="C81" i="4"/>
  <c r="B81" i="4"/>
  <c r="N81" i="4" s="1"/>
  <c r="A81" i="4"/>
  <c r="M80" i="4"/>
  <c r="L80" i="4"/>
  <c r="K80" i="4"/>
  <c r="J80" i="4"/>
  <c r="I80" i="4"/>
  <c r="H80" i="4"/>
  <c r="G80" i="4"/>
  <c r="R80" i="4" s="1"/>
  <c r="F80" i="4"/>
  <c r="E80" i="4"/>
  <c r="D80" i="4"/>
  <c r="C80" i="4"/>
  <c r="B80" i="4"/>
  <c r="N80" i="4" s="1"/>
  <c r="O80" i="4" s="1"/>
  <c r="A80" i="4"/>
  <c r="M79" i="4"/>
  <c r="L79" i="4"/>
  <c r="K79" i="4"/>
  <c r="J79" i="4"/>
  <c r="I79" i="4"/>
  <c r="H79" i="4"/>
  <c r="G79" i="4"/>
  <c r="R79" i="4" s="1"/>
  <c r="F79" i="4"/>
  <c r="E79" i="4"/>
  <c r="D79" i="4"/>
  <c r="C79" i="4"/>
  <c r="B79" i="4"/>
  <c r="N79" i="4" s="1"/>
  <c r="O79" i="4" s="1"/>
  <c r="A79" i="4"/>
  <c r="M78" i="4"/>
  <c r="U78" i="4" s="1"/>
  <c r="V78" i="4" s="1"/>
  <c r="L78" i="4"/>
  <c r="K78" i="4"/>
  <c r="J78" i="4"/>
  <c r="I78" i="4"/>
  <c r="H78" i="4"/>
  <c r="G78" i="4"/>
  <c r="R78" i="4" s="1"/>
  <c r="F78" i="4"/>
  <c r="E78" i="4"/>
  <c r="D78" i="4"/>
  <c r="C78" i="4"/>
  <c r="B78" i="4"/>
  <c r="N78" i="4" s="1"/>
  <c r="A78" i="4"/>
  <c r="M77" i="4"/>
  <c r="L77" i="4"/>
  <c r="K77" i="4"/>
  <c r="J77" i="4"/>
  <c r="I77" i="4"/>
  <c r="H77" i="4"/>
  <c r="G77" i="4"/>
  <c r="R77" i="4" s="1"/>
  <c r="F77" i="4"/>
  <c r="E77" i="4"/>
  <c r="D77" i="4"/>
  <c r="C77" i="4"/>
  <c r="B77" i="4"/>
  <c r="N77" i="4" s="1"/>
  <c r="A77" i="4"/>
  <c r="M76" i="4"/>
  <c r="U76" i="4" s="1"/>
  <c r="V76" i="4" s="1"/>
  <c r="L76" i="4"/>
  <c r="K76" i="4"/>
  <c r="J76" i="4"/>
  <c r="I76" i="4"/>
  <c r="H76" i="4"/>
  <c r="G76" i="4"/>
  <c r="R76" i="4" s="1"/>
  <c r="F76" i="4"/>
  <c r="E76" i="4"/>
  <c r="D76" i="4"/>
  <c r="C76" i="4"/>
  <c r="B76" i="4"/>
  <c r="N76" i="4" s="1"/>
  <c r="A76" i="4"/>
  <c r="M75" i="4"/>
  <c r="L75" i="4"/>
  <c r="K75" i="4"/>
  <c r="J75" i="4"/>
  <c r="I75" i="4"/>
  <c r="H75" i="4"/>
  <c r="G75" i="4"/>
  <c r="R75" i="4" s="1"/>
  <c r="F75" i="4"/>
  <c r="E75" i="4"/>
  <c r="D75" i="4"/>
  <c r="C75" i="4"/>
  <c r="B75" i="4"/>
  <c r="N75" i="4" s="1"/>
  <c r="A75" i="4"/>
  <c r="M74" i="4"/>
  <c r="L74" i="4"/>
  <c r="K74" i="4"/>
  <c r="J74" i="4"/>
  <c r="I74" i="4"/>
  <c r="H74" i="4"/>
  <c r="G74" i="4"/>
  <c r="R74" i="4" s="1"/>
  <c r="F74" i="4"/>
  <c r="E74" i="4"/>
  <c r="D74" i="4"/>
  <c r="C74" i="4"/>
  <c r="B74" i="4"/>
  <c r="N74" i="4" s="1"/>
  <c r="A74" i="4"/>
  <c r="M73" i="4"/>
  <c r="L73" i="4"/>
  <c r="K73" i="4"/>
  <c r="J73" i="4"/>
  <c r="I73" i="4"/>
  <c r="H73" i="4"/>
  <c r="G73" i="4"/>
  <c r="R73" i="4" s="1"/>
  <c r="F73" i="4"/>
  <c r="E73" i="4"/>
  <c r="D73" i="4"/>
  <c r="C73" i="4"/>
  <c r="B73" i="4"/>
  <c r="N73" i="4" s="1"/>
  <c r="O73" i="4" s="1"/>
  <c r="A73" i="4"/>
  <c r="M72" i="4"/>
  <c r="U72" i="4" s="1"/>
  <c r="V72" i="4" s="1"/>
  <c r="L72" i="4"/>
  <c r="K72" i="4"/>
  <c r="J72" i="4"/>
  <c r="I72" i="4"/>
  <c r="H72" i="4"/>
  <c r="G72" i="4"/>
  <c r="R72" i="4" s="1"/>
  <c r="F72" i="4"/>
  <c r="E72" i="4"/>
  <c r="D72" i="4"/>
  <c r="C72" i="4"/>
  <c r="B72" i="4"/>
  <c r="N72" i="4" s="1"/>
  <c r="A72" i="4"/>
  <c r="M71" i="4"/>
  <c r="L71" i="4"/>
  <c r="K71" i="4"/>
  <c r="J71" i="4"/>
  <c r="I71" i="4"/>
  <c r="H71" i="4"/>
  <c r="G71" i="4"/>
  <c r="R71" i="4" s="1"/>
  <c r="F71" i="4"/>
  <c r="E71" i="4"/>
  <c r="D71" i="4"/>
  <c r="C71" i="4"/>
  <c r="B71" i="4"/>
  <c r="N71" i="4" s="1"/>
  <c r="O71" i="4" s="1"/>
  <c r="A71" i="4"/>
  <c r="M70" i="4"/>
  <c r="U70" i="4" s="1"/>
  <c r="V70" i="4" s="1"/>
  <c r="L70" i="4"/>
  <c r="K70" i="4"/>
  <c r="J70" i="4"/>
  <c r="I70" i="4"/>
  <c r="H70" i="4"/>
  <c r="G70" i="4"/>
  <c r="R70" i="4" s="1"/>
  <c r="F70" i="4"/>
  <c r="E70" i="4"/>
  <c r="D70" i="4"/>
  <c r="C70" i="4"/>
  <c r="B70" i="4"/>
  <c r="N70" i="4" s="1"/>
  <c r="A70" i="4"/>
  <c r="M69" i="4"/>
  <c r="L69" i="4"/>
  <c r="K69" i="4"/>
  <c r="J69" i="4"/>
  <c r="I69" i="4"/>
  <c r="H69" i="4"/>
  <c r="G69" i="4"/>
  <c r="R69" i="4" s="1"/>
  <c r="F69" i="4"/>
  <c r="E69" i="4"/>
  <c r="D69" i="4"/>
  <c r="C69" i="4"/>
  <c r="B69" i="4"/>
  <c r="N69" i="4" s="1"/>
  <c r="O69" i="4" s="1"/>
  <c r="A69" i="4"/>
  <c r="M68" i="4"/>
  <c r="U68" i="4" s="1"/>
  <c r="V68" i="4" s="1"/>
  <c r="L68" i="4"/>
  <c r="K68" i="4"/>
  <c r="J68" i="4"/>
  <c r="I68" i="4"/>
  <c r="H68" i="4"/>
  <c r="G68" i="4"/>
  <c r="R68" i="4" s="1"/>
  <c r="F68" i="4"/>
  <c r="E68" i="4"/>
  <c r="D68" i="4"/>
  <c r="C68" i="4"/>
  <c r="B68" i="4"/>
  <c r="N68" i="4" s="1"/>
  <c r="A68" i="4"/>
  <c r="L67" i="4"/>
  <c r="K67" i="4"/>
  <c r="J67" i="4"/>
  <c r="I67" i="4"/>
  <c r="H67" i="4"/>
  <c r="G67" i="4"/>
  <c r="R67" i="4" s="1"/>
  <c r="F67" i="4"/>
  <c r="E67" i="4"/>
  <c r="D67" i="4"/>
  <c r="C67" i="4"/>
  <c r="B67" i="4"/>
  <c r="N67" i="4" s="1"/>
  <c r="O67" i="4" s="1"/>
  <c r="A67" i="4"/>
  <c r="R66" i="4"/>
  <c r="L66" i="4"/>
  <c r="K66" i="4"/>
  <c r="J66" i="4"/>
  <c r="I66" i="4"/>
  <c r="H66" i="4"/>
  <c r="G66" i="4"/>
  <c r="F66" i="4"/>
  <c r="E66" i="4"/>
  <c r="D66" i="4"/>
  <c r="C66" i="4"/>
  <c r="B66" i="4"/>
  <c r="N66" i="4" s="1"/>
  <c r="A66" i="4"/>
  <c r="R65" i="4"/>
  <c r="M65" i="4"/>
  <c r="U65" i="4" s="1"/>
  <c r="V65" i="4" s="1"/>
  <c r="L65" i="4"/>
  <c r="K65" i="4"/>
  <c r="J65" i="4"/>
  <c r="I65" i="4"/>
  <c r="H65" i="4"/>
  <c r="G65" i="4"/>
  <c r="F65" i="4"/>
  <c r="E65" i="4"/>
  <c r="D65" i="4"/>
  <c r="C65" i="4"/>
  <c r="B65" i="4"/>
  <c r="N65" i="4" s="1"/>
  <c r="O65" i="4" s="1"/>
  <c r="A65" i="4"/>
  <c r="R64" i="4"/>
  <c r="L64" i="4"/>
  <c r="K64" i="4"/>
  <c r="J64" i="4"/>
  <c r="I64" i="4"/>
  <c r="H64" i="4"/>
  <c r="G64" i="4"/>
  <c r="F64" i="4"/>
  <c r="E64" i="4"/>
  <c r="D64" i="4"/>
  <c r="C64" i="4"/>
  <c r="B64" i="4"/>
  <c r="N64" i="4" s="1"/>
  <c r="A64" i="4"/>
  <c r="R63" i="4"/>
  <c r="L63" i="4"/>
  <c r="K63" i="4"/>
  <c r="J63" i="4"/>
  <c r="I63" i="4"/>
  <c r="H63" i="4"/>
  <c r="G63" i="4"/>
  <c r="F63" i="4"/>
  <c r="E63" i="4"/>
  <c r="D63" i="4"/>
  <c r="C63" i="4"/>
  <c r="B63" i="4"/>
  <c r="N63" i="4" s="1"/>
  <c r="A63" i="4"/>
  <c r="R62" i="4"/>
  <c r="L62" i="4"/>
  <c r="K62" i="4"/>
  <c r="J62" i="4"/>
  <c r="I62" i="4"/>
  <c r="H62" i="4"/>
  <c r="G62" i="4"/>
  <c r="F62" i="4"/>
  <c r="E62" i="4"/>
  <c r="D62" i="4"/>
  <c r="C62" i="4"/>
  <c r="B62" i="4"/>
  <c r="M62" i="4" s="1"/>
  <c r="U62" i="4" s="1"/>
  <c r="V62" i="4" s="1"/>
  <c r="A62" i="4"/>
  <c r="R61" i="4"/>
  <c r="L61" i="4"/>
  <c r="K61" i="4"/>
  <c r="J61" i="4"/>
  <c r="I61" i="4"/>
  <c r="H61" i="4"/>
  <c r="G61" i="4"/>
  <c r="F61" i="4"/>
  <c r="E61" i="4"/>
  <c r="D61" i="4"/>
  <c r="C61" i="4"/>
  <c r="B61" i="4"/>
  <c r="N61" i="4" s="1"/>
  <c r="A61" i="4"/>
  <c r="R60" i="4"/>
  <c r="L60" i="4"/>
  <c r="K60" i="4"/>
  <c r="J60" i="4"/>
  <c r="I60" i="4"/>
  <c r="H60" i="4"/>
  <c r="G60" i="4"/>
  <c r="F60" i="4"/>
  <c r="E60" i="4"/>
  <c r="D60" i="4"/>
  <c r="C60" i="4"/>
  <c r="B60" i="4"/>
  <c r="N60" i="4" s="1"/>
  <c r="A60" i="4"/>
  <c r="R59" i="4"/>
  <c r="L59" i="4"/>
  <c r="K59" i="4"/>
  <c r="J59" i="4"/>
  <c r="I59" i="4"/>
  <c r="H59" i="4"/>
  <c r="G59" i="4"/>
  <c r="F59" i="4"/>
  <c r="E59" i="4"/>
  <c r="D59" i="4"/>
  <c r="C59" i="4"/>
  <c r="B59" i="4"/>
  <c r="M59" i="4" s="1"/>
  <c r="U59" i="4" s="1"/>
  <c r="V59" i="4" s="1"/>
  <c r="A59" i="4"/>
  <c r="R58" i="4"/>
  <c r="L58" i="4"/>
  <c r="K58" i="4"/>
  <c r="J58" i="4"/>
  <c r="I58" i="4"/>
  <c r="H58" i="4"/>
  <c r="G58" i="4"/>
  <c r="F58" i="4"/>
  <c r="E58" i="4"/>
  <c r="D58" i="4"/>
  <c r="C58" i="4"/>
  <c r="B58" i="4"/>
  <c r="N58" i="4" s="1"/>
  <c r="A58" i="4"/>
  <c r="R57" i="4"/>
  <c r="L57" i="4"/>
  <c r="K57" i="4"/>
  <c r="J57" i="4"/>
  <c r="I57" i="4"/>
  <c r="H57" i="4"/>
  <c r="G57" i="4"/>
  <c r="F57" i="4"/>
  <c r="E57" i="4"/>
  <c r="D57" i="4"/>
  <c r="C57" i="4"/>
  <c r="B57" i="4"/>
  <c r="N57" i="4" s="1"/>
  <c r="A57" i="4"/>
  <c r="R56" i="4"/>
  <c r="L56" i="4"/>
  <c r="K56" i="4"/>
  <c r="J56" i="4"/>
  <c r="I56" i="4"/>
  <c r="H56" i="4"/>
  <c r="G56" i="4"/>
  <c r="F56" i="4"/>
  <c r="E56" i="4"/>
  <c r="D56" i="4"/>
  <c r="C56" i="4"/>
  <c r="B56" i="4"/>
  <c r="M56" i="4" s="1"/>
  <c r="U56" i="4" s="1"/>
  <c r="V56" i="4" s="1"/>
  <c r="A56" i="4"/>
  <c r="R55" i="4"/>
  <c r="L55" i="4"/>
  <c r="K55" i="4"/>
  <c r="J55" i="4"/>
  <c r="I55" i="4"/>
  <c r="H55" i="4"/>
  <c r="G55" i="4"/>
  <c r="F55" i="4"/>
  <c r="E55" i="4"/>
  <c r="D55" i="4"/>
  <c r="C55" i="4"/>
  <c r="B55" i="4"/>
  <c r="N55" i="4" s="1"/>
  <c r="A55" i="4"/>
  <c r="R54" i="4"/>
  <c r="L54" i="4"/>
  <c r="K54" i="4"/>
  <c r="J54" i="4"/>
  <c r="I54" i="4"/>
  <c r="H54" i="4"/>
  <c r="G54" i="4"/>
  <c r="F54" i="4"/>
  <c r="E54" i="4"/>
  <c r="D54" i="4"/>
  <c r="C54" i="4"/>
  <c r="B54" i="4"/>
  <c r="N54" i="4" s="1"/>
  <c r="A54" i="4"/>
  <c r="R53" i="4"/>
  <c r="L53" i="4"/>
  <c r="K53" i="4"/>
  <c r="J53" i="4"/>
  <c r="I53" i="4"/>
  <c r="H53" i="4"/>
  <c r="G53" i="4"/>
  <c r="F53" i="4"/>
  <c r="E53" i="4"/>
  <c r="D53" i="4"/>
  <c r="C53" i="4"/>
  <c r="B53" i="4"/>
  <c r="M53" i="4" s="1"/>
  <c r="U53" i="4" s="1"/>
  <c r="V53" i="4" s="1"/>
  <c r="A53" i="4"/>
  <c r="R52" i="4"/>
  <c r="L52" i="4"/>
  <c r="K52" i="4"/>
  <c r="J52" i="4"/>
  <c r="I52" i="4"/>
  <c r="H52" i="4"/>
  <c r="G52" i="4"/>
  <c r="F52" i="4"/>
  <c r="E52" i="4"/>
  <c r="D52" i="4"/>
  <c r="C52" i="4"/>
  <c r="B52" i="4"/>
  <c r="N52" i="4" s="1"/>
  <c r="A52" i="4"/>
  <c r="R51" i="4"/>
  <c r="L51" i="4"/>
  <c r="K51" i="4"/>
  <c r="J51" i="4"/>
  <c r="I51" i="4"/>
  <c r="H51" i="4"/>
  <c r="G51" i="4"/>
  <c r="F51" i="4"/>
  <c r="E51" i="4"/>
  <c r="D51" i="4"/>
  <c r="C51" i="4"/>
  <c r="B51" i="4"/>
  <c r="N51" i="4" s="1"/>
  <c r="A51" i="4"/>
  <c r="R50" i="4"/>
  <c r="L50" i="4"/>
  <c r="K50" i="4"/>
  <c r="J50" i="4"/>
  <c r="I50" i="4"/>
  <c r="H50" i="4"/>
  <c r="G50" i="4"/>
  <c r="F50" i="4"/>
  <c r="E50" i="4"/>
  <c r="D50" i="4"/>
  <c r="C50" i="4"/>
  <c r="B50" i="4"/>
  <c r="M50" i="4" s="1"/>
  <c r="U50" i="4" s="1"/>
  <c r="V50" i="4" s="1"/>
  <c r="A50" i="4"/>
  <c r="R49" i="4"/>
  <c r="L49" i="4"/>
  <c r="K49" i="4"/>
  <c r="J49" i="4"/>
  <c r="I49" i="4"/>
  <c r="H49" i="4"/>
  <c r="G49" i="4"/>
  <c r="F49" i="4"/>
  <c r="E49" i="4"/>
  <c r="D49" i="4"/>
  <c r="C49" i="4"/>
  <c r="B49" i="4"/>
  <c r="N49" i="4" s="1"/>
  <c r="A49" i="4"/>
  <c r="R48" i="4"/>
  <c r="L48" i="4"/>
  <c r="K48" i="4"/>
  <c r="J48" i="4"/>
  <c r="I48" i="4"/>
  <c r="H48" i="4"/>
  <c r="G48" i="4"/>
  <c r="F48" i="4"/>
  <c r="E48" i="4"/>
  <c r="D48" i="4"/>
  <c r="C48" i="4"/>
  <c r="B48" i="4"/>
  <c r="N48" i="4" s="1"/>
  <c r="A48" i="4"/>
  <c r="R47" i="4"/>
  <c r="L47" i="4"/>
  <c r="K47" i="4"/>
  <c r="J47" i="4"/>
  <c r="I47" i="4"/>
  <c r="H47" i="4"/>
  <c r="G47" i="4"/>
  <c r="F47" i="4"/>
  <c r="E47" i="4"/>
  <c r="D47" i="4"/>
  <c r="C47" i="4"/>
  <c r="B47" i="4"/>
  <c r="M47" i="4" s="1"/>
  <c r="U47" i="4" s="1"/>
  <c r="V47" i="4" s="1"/>
  <c r="A47" i="4"/>
  <c r="R46" i="4"/>
  <c r="L46" i="4"/>
  <c r="K46" i="4"/>
  <c r="J46" i="4"/>
  <c r="I46" i="4"/>
  <c r="H46" i="4"/>
  <c r="G46" i="4"/>
  <c r="F46" i="4"/>
  <c r="E46" i="4"/>
  <c r="D46" i="4"/>
  <c r="C46" i="4"/>
  <c r="B46" i="4"/>
  <c r="N46" i="4" s="1"/>
  <c r="A46" i="4"/>
  <c r="R45" i="4"/>
  <c r="L45" i="4"/>
  <c r="K45" i="4"/>
  <c r="J45" i="4"/>
  <c r="I45" i="4"/>
  <c r="H45" i="4"/>
  <c r="G45" i="4"/>
  <c r="F45" i="4"/>
  <c r="E45" i="4"/>
  <c r="D45" i="4"/>
  <c r="C45" i="4"/>
  <c r="B45" i="4"/>
  <c r="N45" i="4" s="1"/>
  <c r="A45" i="4"/>
  <c r="R44" i="4"/>
  <c r="L44" i="4"/>
  <c r="K44" i="4"/>
  <c r="J44" i="4"/>
  <c r="I44" i="4"/>
  <c r="H44" i="4"/>
  <c r="G44" i="4"/>
  <c r="F44" i="4"/>
  <c r="E44" i="4"/>
  <c r="D44" i="4"/>
  <c r="C44" i="4"/>
  <c r="B44" i="4"/>
  <c r="M44" i="4" s="1"/>
  <c r="A44" i="4"/>
  <c r="R43" i="4"/>
  <c r="L43" i="4"/>
  <c r="K43" i="4"/>
  <c r="J43" i="4"/>
  <c r="I43" i="4"/>
  <c r="H43" i="4"/>
  <c r="G43" i="4"/>
  <c r="F43" i="4"/>
  <c r="E43" i="4"/>
  <c r="D43" i="4"/>
  <c r="C43" i="4"/>
  <c r="B43" i="4"/>
  <c r="N43" i="4" s="1"/>
  <c r="A43" i="4"/>
  <c r="R42" i="4"/>
  <c r="L42" i="4"/>
  <c r="K42" i="4"/>
  <c r="J42" i="4"/>
  <c r="I42" i="4"/>
  <c r="H42" i="4"/>
  <c r="G42" i="4"/>
  <c r="F42" i="4"/>
  <c r="E42" i="4"/>
  <c r="D42" i="4"/>
  <c r="C42" i="4"/>
  <c r="B42" i="4"/>
  <c r="N42" i="4" s="1"/>
  <c r="A42" i="4"/>
  <c r="R41" i="4"/>
  <c r="L41" i="4"/>
  <c r="K41" i="4"/>
  <c r="J41" i="4"/>
  <c r="I41" i="4"/>
  <c r="H41" i="4"/>
  <c r="G41" i="4"/>
  <c r="F41" i="4"/>
  <c r="E41" i="4"/>
  <c r="D41" i="4"/>
  <c r="C41" i="4"/>
  <c r="B41" i="4"/>
  <c r="M41" i="4" s="1"/>
  <c r="U41" i="4" s="1"/>
  <c r="V41" i="4" s="1"/>
  <c r="A41" i="4"/>
  <c r="R40" i="4"/>
  <c r="L40" i="4"/>
  <c r="K40" i="4"/>
  <c r="J40" i="4"/>
  <c r="I40" i="4"/>
  <c r="H40" i="4"/>
  <c r="G40" i="4"/>
  <c r="F40" i="4"/>
  <c r="E40" i="4"/>
  <c r="D40" i="4"/>
  <c r="C40" i="4"/>
  <c r="B40" i="4"/>
  <c r="N40" i="4" s="1"/>
  <c r="A40" i="4"/>
  <c r="R39" i="4"/>
  <c r="L39" i="4"/>
  <c r="K39" i="4"/>
  <c r="J39" i="4"/>
  <c r="I39" i="4"/>
  <c r="H39" i="4"/>
  <c r="G39" i="4"/>
  <c r="F39" i="4"/>
  <c r="E39" i="4"/>
  <c r="D39" i="4"/>
  <c r="C39" i="4"/>
  <c r="B39" i="4"/>
  <c r="N39" i="4" s="1"/>
  <c r="A39" i="4"/>
  <c r="R38" i="4"/>
  <c r="L38" i="4"/>
  <c r="K38" i="4"/>
  <c r="J38" i="4"/>
  <c r="I38" i="4"/>
  <c r="H38" i="4"/>
  <c r="G38" i="4"/>
  <c r="F38" i="4"/>
  <c r="E38" i="4"/>
  <c r="D38" i="4"/>
  <c r="C38" i="4"/>
  <c r="B38" i="4"/>
  <c r="M38" i="4" s="1"/>
  <c r="U38" i="4" s="1"/>
  <c r="V38" i="4" s="1"/>
  <c r="A38" i="4"/>
  <c r="R37" i="4"/>
  <c r="L37" i="4"/>
  <c r="K37" i="4"/>
  <c r="J37" i="4"/>
  <c r="I37" i="4"/>
  <c r="H37" i="4"/>
  <c r="G37" i="4"/>
  <c r="F37" i="4"/>
  <c r="E37" i="4"/>
  <c r="D37" i="4"/>
  <c r="C37" i="4"/>
  <c r="B37" i="4"/>
  <c r="N37" i="4" s="1"/>
  <c r="A37" i="4"/>
  <c r="R36" i="4"/>
  <c r="L36" i="4"/>
  <c r="K36" i="4"/>
  <c r="J36" i="4"/>
  <c r="I36" i="4"/>
  <c r="H36" i="4"/>
  <c r="G36" i="4"/>
  <c r="F36" i="4"/>
  <c r="E36" i="4"/>
  <c r="D36" i="4"/>
  <c r="C36" i="4"/>
  <c r="B36" i="4"/>
  <c r="N36" i="4" s="1"/>
  <c r="A36" i="4"/>
  <c r="R35" i="4"/>
  <c r="L35" i="4"/>
  <c r="K35" i="4"/>
  <c r="J35" i="4"/>
  <c r="I35" i="4"/>
  <c r="H35" i="4"/>
  <c r="G35" i="4"/>
  <c r="F35" i="4"/>
  <c r="E35" i="4"/>
  <c r="D35" i="4"/>
  <c r="C35" i="4"/>
  <c r="B35" i="4"/>
  <c r="M35" i="4" s="1"/>
  <c r="U35" i="4" s="1"/>
  <c r="V35" i="4" s="1"/>
  <c r="A35" i="4"/>
  <c r="M34" i="4"/>
  <c r="U34" i="4" s="1"/>
  <c r="V34" i="4" s="1"/>
  <c r="L34" i="4"/>
  <c r="K34" i="4"/>
  <c r="J34" i="4"/>
  <c r="I34" i="4"/>
  <c r="H34" i="4"/>
  <c r="G34" i="4"/>
  <c r="R34" i="4" s="1"/>
  <c r="F34" i="4"/>
  <c r="E34" i="4"/>
  <c r="D34" i="4"/>
  <c r="C34" i="4"/>
  <c r="B34" i="4"/>
  <c r="N34" i="4" s="1"/>
  <c r="A34" i="4"/>
  <c r="R33" i="4"/>
  <c r="L33" i="4"/>
  <c r="K33" i="4"/>
  <c r="J33" i="4"/>
  <c r="I33" i="4"/>
  <c r="H33" i="4"/>
  <c r="G33" i="4"/>
  <c r="F33" i="4"/>
  <c r="E33" i="4"/>
  <c r="D33" i="4"/>
  <c r="C33" i="4"/>
  <c r="B33" i="4"/>
  <c r="N33" i="4" s="1"/>
  <c r="A33" i="4"/>
  <c r="M32" i="4"/>
  <c r="U32" i="4" s="1"/>
  <c r="V32" i="4" s="1"/>
  <c r="L32" i="4"/>
  <c r="K32" i="4"/>
  <c r="J32" i="4"/>
  <c r="I32" i="4"/>
  <c r="H32" i="4"/>
  <c r="G32" i="4"/>
  <c r="R32" i="4" s="1"/>
  <c r="F32" i="4"/>
  <c r="E32" i="4"/>
  <c r="D32" i="4"/>
  <c r="C32" i="4"/>
  <c r="B32" i="4"/>
  <c r="N32" i="4" s="1"/>
  <c r="A32" i="4"/>
  <c r="R31" i="4"/>
  <c r="L31" i="4"/>
  <c r="K31" i="4"/>
  <c r="J31" i="4"/>
  <c r="I31" i="4"/>
  <c r="H31" i="4"/>
  <c r="G31" i="4"/>
  <c r="F31" i="4"/>
  <c r="E31" i="4"/>
  <c r="D31" i="4"/>
  <c r="C31" i="4"/>
  <c r="B31" i="4"/>
  <c r="N31" i="4" s="1"/>
  <c r="A31" i="4"/>
  <c r="M30" i="4"/>
  <c r="L30" i="4"/>
  <c r="K30" i="4"/>
  <c r="J30" i="4"/>
  <c r="I30" i="4"/>
  <c r="H30" i="4"/>
  <c r="G30" i="4"/>
  <c r="R30" i="4" s="1"/>
  <c r="F30" i="4"/>
  <c r="E30" i="4"/>
  <c r="D30" i="4"/>
  <c r="C30" i="4"/>
  <c r="B30" i="4"/>
  <c r="N30" i="4" s="1"/>
  <c r="A30" i="4"/>
  <c r="R29" i="4"/>
  <c r="L29" i="4"/>
  <c r="K29" i="4"/>
  <c r="J29" i="4"/>
  <c r="I29" i="4"/>
  <c r="H29" i="4"/>
  <c r="G29" i="4"/>
  <c r="F29" i="4"/>
  <c r="E29" i="4"/>
  <c r="D29" i="4"/>
  <c r="C29" i="4"/>
  <c r="B29" i="4"/>
  <c r="M29" i="4" s="1"/>
  <c r="A29" i="4"/>
  <c r="M28" i="4"/>
  <c r="L28" i="4"/>
  <c r="K28" i="4"/>
  <c r="J28" i="4"/>
  <c r="I28" i="4"/>
  <c r="H28" i="4"/>
  <c r="G28" i="4"/>
  <c r="R28" i="4" s="1"/>
  <c r="F28" i="4"/>
  <c r="E28" i="4"/>
  <c r="D28" i="4"/>
  <c r="C28" i="4"/>
  <c r="B28" i="4"/>
  <c r="N28" i="4" s="1"/>
  <c r="A28" i="4"/>
  <c r="R27" i="4"/>
  <c r="L27" i="4"/>
  <c r="K27" i="4"/>
  <c r="J27" i="4"/>
  <c r="I27" i="4"/>
  <c r="H27" i="4"/>
  <c r="G27" i="4"/>
  <c r="F27" i="4"/>
  <c r="E27" i="4"/>
  <c r="D27" i="4"/>
  <c r="C27" i="4"/>
  <c r="B27" i="4"/>
  <c r="N27" i="4" s="1"/>
  <c r="A27" i="4"/>
  <c r="M26" i="4"/>
  <c r="L26" i="4"/>
  <c r="K26" i="4"/>
  <c r="J26" i="4"/>
  <c r="I26" i="4"/>
  <c r="H26" i="4"/>
  <c r="G26" i="4"/>
  <c r="R26" i="4" s="1"/>
  <c r="F26" i="4"/>
  <c r="E26" i="4"/>
  <c r="D26" i="4"/>
  <c r="C26" i="4"/>
  <c r="B26" i="4"/>
  <c r="N26" i="4" s="1"/>
  <c r="A26" i="4"/>
  <c r="R25" i="4"/>
  <c r="L25" i="4"/>
  <c r="K25" i="4"/>
  <c r="J25" i="4"/>
  <c r="I25" i="4"/>
  <c r="H25" i="4"/>
  <c r="G25" i="4"/>
  <c r="F25" i="4"/>
  <c r="E25" i="4"/>
  <c r="D25" i="4"/>
  <c r="C25" i="4"/>
  <c r="B25" i="4"/>
  <c r="N25" i="4" s="1"/>
  <c r="A25" i="4"/>
  <c r="M24" i="4"/>
  <c r="L24" i="4"/>
  <c r="K24" i="4"/>
  <c r="J24" i="4"/>
  <c r="I24" i="4"/>
  <c r="H24" i="4"/>
  <c r="G24" i="4"/>
  <c r="R24" i="4" s="1"/>
  <c r="F24" i="4"/>
  <c r="E24" i="4"/>
  <c r="D24" i="4"/>
  <c r="C24" i="4"/>
  <c r="B24" i="4"/>
  <c r="N24" i="4" s="1"/>
  <c r="A24" i="4"/>
  <c r="R23" i="4"/>
  <c r="L23" i="4"/>
  <c r="K23" i="4"/>
  <c r="J23" i="4"/>
  <c r="I23" i="4"/>
  <c r="H23" i="4"/>
  <c r="G23" i="4"/>
  <c r="F23" i="4"/>
  <c r="E23" i="4"/>
  <c r="D23" i="4"/>
  <c r="C23" i="4"/>
  <c r="B23" i="4"/>
  <c r="M23" i="4" s="1"/>
  <c r="U23" i="4" s="1"/>
  <c r="V23" i="4" s="1"/>
  <c r="A23" i="4"/>
  <c r="M22" i="4"/>
  <c r="U22" i="4" s="1"/>
  <c r="V22" i="4" s="1"/>
  <c r="L22" i="4"/>
  <c r="K22" i="4"/>
  <c r="J22" i="4"/>
  <c r="I22" i="4"/>
  <c r="H22" i="4"/>
  <c r="G22" i="4"/>
  <c r="R22" i="4" s="1"/>
  <c r="F22" i="4"/>
  <c r="E22" i="4"/>
  <c r="D22" i="4"/>
  <c r="C22" i="4"/>
  <c r="B22" i="4"/>
  <c r="N22" i="4" s="1"/>
  <c r="A22" i="4"/>
  <c r="R21" i="4"/>
  <c r="L21" i="4"/>
  <c r="K21" i="4"/>
  <c r="J21" i="4"/>
  <c r="I21" i="4"/>
  <c r="H21" i="4"/>
  <c r="G21" i="4"/>
  <c r="F21" i="4"/>
  <c r="E21" i="4"/>
  <c r="D21" i="4"/>
  <c r="C21" i="4"/>
  <c r="B21" i="4"/>
  <c r="N21" i="4" s="1"/>
  <c r="A21" i="4"/>
  <c r="M20" i="4"/>
  <c r="U20" i="4" s="1"/>
  <c r="V20" i="4" s="1"/>
  <c r="L20" i="4"/>
  <c r="K20" i="4"/>
  <c r="J20" i="4"/>
  <c r="I20" i="4"/>
  <c r="H20" i="4"/>
  <c r="G20" i="4"/>
  <c r="R20" i="4" s="1"/>
  <c r="F20" i="4"/>
  <c r="E20" i="4"/>
  <c r="D20" i="4"/>
  <c r="C20" i="4"/>
  <c r="B20" i="4"/>
  <c r="N20" i="4" s="1"/>
  <c r="A20" i="4"/>
  <c r="R19" i="4"/>
  <c r="L19" i="4"/>
  <c r="K19" i="4"/>
  <c r="J19" i="4"/>
  <c r="I19" i="4"/>
  <c r="H19" i="4"/>
  <c r="G19" i="4"/>
  <c r="F19" i="4"/>
  <c r="E19" i="4"/>
  <c r="D19" i="4"/>
  <c r="C19" i="4"/>
  <c r="B19" i="4"/>
  <c r="N19" i="4" s="1"/>
  <c r="A19" i="4"/>
  <c r="M18" i="4"/>
  <c r="U18" i="4" s="1"/>
  <c r="V18" i="4" s="1"/>
  <c r="L18" i="4"/>
  <c r="K18" i="4"/>
  <c r="J18" i="4"/>
  <c r="I18" i="4"/>
  <c r="H18" i="4"/>
  <c r="G18" i="4"/>
  <c r="R18" i="4" s="1"/>
  <c r="F18" i="4"/>
  <c r="E18" i="4"/>
  <c r="D18" i="4"/>
  <c r="C18" i="4"/>
  <c r="B18" i="4"/>
  <c r="N18" i="4" s="1"/>
  <c r="A18" i="4"/>
  <c r="R17" i="4"/>
  <c r="L17" i="4"/>
  <c r="K17" i="4"/>
  <c r="J17" i="4"/>
  <c r="I17" i="4"/>
  <c r="H17" i="4"/>
  <c r="G17" i="4"/>
  <c r="F17" i="4"/>
  <c r="E17" i="4"/>
  <c r="D17" i="4"/>
  <c r="C17" i="4"/>
  <c r="B17" i="4"/>
  <c r="M17" i="4" s="1"/>
  <c r="U17" i="4" s="1"/>
  <c r="V17" i="4" s="1"/>
  <c r="A17" i="4"/>
  <c r="M16" i="4"/>
  <c r="L16" i="4"/>
  <c r="K16" i="4"/>
  <c r="J16" i="4"/>
  <c r="I16" i="4"/>
  <c r="H16" i="4"/>
  <c r="G16" i="4"/>
  <c r="R16" i="4" s="1"/>
  <c r="F16" i="4"/>
  <c r="E16" i="4"/>
  <c r="D16" i="4"/>
  <c r="C16" i="4"/>
  <c r="B16" i="4"/>
  <c r="N16" i="4" s="1"/>
  <c r="A16" i="4"/>
  <c r="R15" i="4"/>
  <c r="L15" i="4"/>
  <c r="K15" i="4"/>
  <c r="J15" i="4"/>
  <c r="I15" i="4"/>
  <c r="H15" i="4"/>
  <c r="G15" i="4"/>
  <c r="F15" i="4"/>
  <c r="E15" i="4"/>
  <c r="D15" i="4"/>
  <c r="C15" i="4"/>
  <c r="B15" i="4"/>
  <c r="N15" i="4" s="1"/>
  <c r="A15" i="4"/>
  <c r="M14" i="4"/>
  <c r="U14" i="4" s="1"/>
  <c r="V14" i="4" s="1"/>
  <c r="L14" i="4"/>
  <c r="K14" i="4"/>
  <c r="J14" i="4"/>
  <c r="I14" i="4"/>
  <c r="H14" i="4"/>
  <c r="G14" i="4"/>
  <c r="R14" i="4" s="1"/>
  <c r="F14" i="4"/>
  <c r="E14" i="4"/>
  <c r="D14" i="4"/>
  <c r="C14" i="4"/>
  <c r="B14" i="4"/>
  <c r="N14" i="4" s="1"/>
  <c r="A14" i="4"/>
  <c r="R13" i="4"/>
  <c r="L13" i="4"/>
  <c r="K13" i="4"/>
  <c r="J13" i="4"/>
  <c r="I13" i="4"/>
  <c r="H13" i="4"/>
  <c r="G13" i="4"/>
  <c r="F13" i="4"/>
  <c r="E13" i="4"/>
  <c r="D13" i="4"/>
  <c r="C13" i="4"/>
  <c r="B13" i="4"/>
  <c r="N13" i="4" s="1"/>
  <c r="A13" i="4"/>
  <c r="M12" i="4"/>
  <c r="L12" i="4"/>
  <c r="K12" i="4"/>
  <c r="J12" i="4"/>
  <c r="I12" i="4"/>
  <c r="H12" i="4"/>
  <c r="G12" i="4"/>
  <c r="R12" i="4" s="1"/>
  <c r="F12" i="4"/>
  <c r="E12" i="4"/>
  <c r="D12" i="4"/>
  <c r="C12" i="4"/>
  <c r="B12" i="4"/>
  <c r="N12" i="4" s="1"/>
  <c r="A12" i="4"/>
  <c r="R11" i="4"/>
  <c r="L11" i="4"/>
  <c r="K11" i="4"/>
  <c r="J11" i="4"/>
  <c r="I11" i="4"/>
  <c r="H11" i="4"/>
  <c r="G11" i="4"/>
  <c r="F11" i="4"/>
  <c r="E11" i="4"/>
  <c r="D11" i="4"/>
  <c r="C11" i="4"/>
  <c r="B11" i="4"/>
  <c r="M11" i="4" s="1"/>
  <c r="U11" i="4" s="1"/>
  <c r="V11" i="4" s="1"/>
  <c r="A11" i="4"/>
  <c r="M10" i="4"/>
  <c r="L10" i="4"/>
  <c r="K10" i="4"/>
  <c r="J10" i="4"/>
  <c r="I10" i="4"/>
  <c r="H10" i="4"/>
  <c r="G10" i="4"/>
  <c r="R10" i="4" s="1"/>
  <c r="F10" i="4"/>
  <c r="E10" i="4"/>
  <c r="D10" i="4"/>
  <c r="C10" i="4"/>
  <c r="B10" i="4"/>
  <c r="N10" i="4" s="1"/>
  <c r="A10" i="4"/>
  <c r="R9" i="4"/>
  <c r="L9" i="4"/>
  <c r="K9" i="4"/>
  <c r="J9" i="4"/>
  <c r="I9" i="4"/>
  <c r="H9" i="4"/>
  <c r="G9" i="4"/>
  <c r="F9" i="4"/>
  <c r="D9" i="4"/>
  <c r="C9" i="4"/>
  <c r="B9" i="4"/>
  <c r="N9" i="4" s="1"/>
  <c r="O9" i="4" s="1"/>
  <c r="A9" i="4"/>
  <c r="M8" i="4"/>
  <c r="L8" i="4"/>
  <c r="K8" i="4"/>
  <c r="J8" i="4"/>
  <c r="I8" i="4"/>
  <c r="H8" i="4"/>
  <c r="G8" i="4"/>
  <c r="R8" i="4" s="1"/>
  <c r="F8" i="4"/>
  <c r="E8" i="4"/>
  <c r="D8" i="4"/>
  <c r="C8" i="4"/>
  <c r="B8" i="4"/>
  <c r="N8" i="4" s="1"/>
  <c r="A8" i="4"/>
  <c r="D4" i="4"/>
  <c r="B9" i="1"/>
  <c r="C9" i="1"/>
  <c r="D9" i="1"/>
  <c r="E9" i="1"/>
  <c r="F9" i="1"/>
  <c r="G9" i="1"/>
  <c r="R9" i="1" s="1"/>
  <c r="H9" i="1"/>
  <c r="I9" i="1"/>
  <c r="J9" i="1"/>
  <c r="K9" i="1"/>
  <c r="L9" i="1"/>
  <c r="B10" i="1"/>
  <c r="C10" i="1"/>
  <c r="D10" i="1"/>
  <c r="E10" i="1"/>
  <c r="F10" i="1"/>
  <c r="G10" i="1"/>
  <c r="R10" i="1" s="1"/>
  <c r="H10" i="1"/>
  <c r="I10" i="1"/>
  <c r="J10" i="1"/>
  <c r="K10" i="1"/>
  <c r="L10" i="1"/>
  <c r="B11" i="1"/>
  <c r="C11" i="1"/>
  <c r="D11" i="1"/>
  <c r="E11" i="1"/>
  <c r="F11" i="1"/>
  <c r="G11" i="1"/>
  <c r="R11" i="1" s="1"/>
  <c r="H11" i="1"/>
  <c r="I11" i="1"/>
  <c r="J11" i="1"/>
  <c r="K11" i="1"/>
  <c r="L11" i="1"/>
  <c r="B12" i="1"/>
  <c r="C12" i="1"/>
  <c r="D12" i="1"/>
  <c r="E12" i="1"/>
  <c r="F12" i="1"/>
  <c r="G12" i="1"/>
  <c r="R12" i="1" s="1"/>
  <c r="H12" i="1"/>
  <c r="I12" i="1"/>
  <c r="J12" i="1"/>
  <c r="K12" i="1"/>
  <c r="L12" i="1"/>
  <c r="B13" i="1"/>
  <c r="C13" i="1"/>
  <c r="D13" i="1"/>
  <c r="E13" i="1"/>
  <c r="F13" i="1"/>
  <c r="G13" i="1"/>
  <c r="R13" i="1" s="1"/>
  <c r="H13" i="1"/>
  <c r="I13" i="1"/>
  <c r="J13" i="1"/>
  <c r="K13" i="1"/>
  <c r="L13" i="1"/>
  <c r="B14" i="1"/>
  <c r="C14" i="1"/>
  <c r="D14" i="1"/>
  <c r="E14" i="1"/>
  <c r="F14" i="1"/>
  <c r="G14" i="1"/>
  <c r="R14" i="1" s="1"/>
  <c r="H14" i="1"/>
  <c r="I14" i="1"/>
  <c r="J14" i="1"/>
  <c r="K14" i="1"/>
  <c r="L14" i="1"/>
  <c r="B15" i="1"/>
  <c r="N15" i="1" s="1"/>
  <c r="C15" i="1"/>
  <c r="D15" i="1"/>
  <c r="E15" i="1"/>
  <c r="F15" i="1"/>
  <c r="G15" i="1"/>
  <c r="R15" i="1" s="1"/>
  <c r="H15" i="1"/>
  <c r="I15" i="1"/>
  <c r="J15" i="1"/>
  <c r="K15" i="1"/>
  <c r="L15" i="1"/>
  <c r="B16" i="1"/>
  <c r="C16" i="1"/>
  <c r="D16" i="1"/>
  <c r="E16" i="1"/>
  <c r="F16" i="1"/>
  <c r="G16" i="1"/>
  <c r="R16" i="1" s="1"/>
  <c r="H16" i="1"/>
  <c r="I16" i="1"/>
  <c r="J16" i="1"/>
  <c r="K16" i="1"/>
  <c r="L16" i="1"/>
  <c r="B17" i="1"/>
  <c r="C17" i="1"/>
  <c r="D17" i="1"/>
  <c r="E17" i="1"/>
  <c r="F17" i="1"/>
  <c r="G17" i="1"/>
  <c r="R17" i="1" s="1"/>
  <c r="H17" i="1"/>
  <c r="I17" i="1"/>
  <c r="J17" i="1"/>
  <c r="K17" i="1"/>
  <c r="L17" i="1"/>
  <c r="B18" i="1"/>
  <c r="C18" i="1"/>
  <c r="D18" i="1"/>
  <c r="E18" i="1"/>
  <c r="F18" i="1"/>
  <c r="G18" i="1"/>
  <c r="R18" i="1" s="1"/>
  <c r="H18" i="1"/>
  <c r="I18" i="1"/>
  <c r="J18" i="1"/>
  <c r="K18" i="1"/>
  <c r="L18" i="1"/>
  <c r="B19" i="1"/>
  <c r="C19" i="1"/>
  <c r="D19" i="1"/>
  <c r="E19" i="1"/>
  <c r="F19" i="1"/>
  <c r="G19" i="1"/>
  <c r="R19" i="1" s="1"/>
  <c r="H19" i="1"/>
  <c r="I19" i="1"/>
  <c r="J19" i="1"/>
  <c r="K19" i="1"/>
  <c r="L19" i="1"/>
  <c r="B20" i="1"/>
  <c r="C20" i="1"/>
  <c r="D20" i="1"/>
  <c r="E20" i="1"/>
  <c r="F20" i="1"/>
  <c r="G20" i="1"/>
  <c r="R20" i="1" s="1"/>
  <c r="H20" i="1"/>
  <c r="I20" i="1"/>
  <c r="J20" i="1"/>
  <c r="K20" i="1"/>
  <c r="L20" i="1"/>
  <c r="B21" i="1"/>
  <c r="C21" i="1"/>
  <c r="D21" i="1"/>
  <c r="E21" i="1"/>
  <c r="F21" i="1"/>
  <c r="G21" i="1"/>
  <c r="R21" i="1" s="1"/>
  <c r="H21" i="1"/>
  <c r="I21" i="1"/>
  <c r="J21" i="1"/>
  <c r="K21" i="1"/>
  <c r="L21" i="1"/>
  <c r="B22" i="1"/>
  <c r="C22" i="1"/>
  <c r="D22" i="1"/>
  <c r="E22" i="1"/>
  <c r="F22" i="1"/>
  <c r="G22" i="1"/>
  <c r="R22" i="1" s="1"/>
  <c r="H22" i="1"/>
  <c r="I22" i="1"/>
  <c r="J22" i="1"/>
  <c r="K22" i="1"/>
  <c r="L22" i="1"/>
  <c r="B23" i="1"/>
  <c r="C23" i="1"/>
  <c r="D23" i="1"/>
  <c r="E23" i="1"/>
  <c r="F23" i="1"/>
  <c r="G23" i="1"/>
  <c r="R23" i="1" s="1"/>
  <c r="H23" i="1"/>
  <c r="I23" i="1"/>
  <c r="J23" i="1"/>
  <c r="K23" i="1"/>
  <c r="L23" i="1"/>
  <c r="B24" i="1"/>
  <c r="N24" i="1" s="1"/>
  <c r="O24" i="1" s="1"/>
  <c r="P24" i="1" s="1"/>
  <c r="C24" i="1"/>
  <c r="D24" i="1"/>
  <c r="E24" i="1"/>
  <c r="F24" i="1"/>
  <c r="G24" i="1"/>
  <c r="R24" i="1" s="1"/>
  <c r="H24" i="1"/>
  <c r="I24" i="1"/>
  <c r="J24" i="1"/>
  <c r="K24" i="1"/>
  <c r="L24" i="1"/>
  <c r="B25" i="1"/>
  <c r="C25" i="1"/>
  <c r="D25" i="1"/>
  <c r="E25" i="1"/>
  <c r="F25" i="1"/>
  <c r="G25" i="1"/>
  <c r="R25" i="1" s="1"/>
  <c r="H25" i="1"/>
  <c r="I25" i="1"/>
  <c r="J25" i="1"/>
  <c r="K25" i="1"/>
  <c r="L25" i="1"/>
  <c r="B26" i="1"/>
  <c r="C26" i="1"/>
  <c r="D26" i="1"/>
  <c r="E26" i="1"/>
  <c r="F26" i="1"/>
  <c r="G26" i="1"/>
  <c r="R26" i="1" s="1"/>
  <c r="H26" i="1"/>
  <c r="I26" i="1"/>
  <c r="J26" i="1"/>
  <c r="K26" i="1"/>
  <c r="L26" i="1"/>
  <c r="B27" i="1"/>
  <c r="C27" i="1"/>
  <c r="D27" i="1"/>
  <c r="E27" i="1"/>
  <c r="F27" i="1"/>
  <c r="G27" i="1"/>
  <c r="R27" i="1" s="1"/>
  <c r="H27" i="1"/>
  <c r="I27" i="1"/>
  <c r="J27" i="1"/>
  <c r="K27" i="1"/>
  <c r="L27" i="1"/>
  <c r="B28" i="1"/>
  <c r="C28" i="1"/>
  <c r="D28" i="1"/>
  <c r="E28" i="1"/>
  <c r="F28" i="1"/>
  <c r="G28" i="1"/>
  <c r="R28" i="1" s="1"/>
  <c r="H28" i="1"/>
  <c r="I28" i="1"/>
  <c r="J28" i="1"/>
  <c r="K28" i="1"/>
  <c r="L28" i="1"/>
  <c r="B29" i="1"/>
  <c r="C29" i="1"/>
  <c r="D29" i="1"/>
  <c r="E29" i="1"/>
  <c r="F29" i="1"/>
  <c r="G29" i="1"/>
  <c r="R29" i="1" s="1"/>
  <c r="H29" i="1"/>
  <c r="I29" i="1"/>
  <c r="J29" i="1"/>
  <c r="K29" i="1"/>
  <c r="L29" i="1"/>
  <c r="B30" i="1"/>
  <c r="C30" i="1"/>
  <c r="D30" i="1"/>
  <c r="E30" i="1"/>
  <c r="F30" i="1"/>
  <c r="G30" i="1"/>
  <c r="R30" i="1" s="1"/>
  <c r="H30" i="1"/>
  <c r="I30" i="1"/>
  <c r="J30" i="1"/>
  <c r="K30" i="1"/>
  <c r="L30" i="1"/>
  <c r="B31" i="1"/>
  <c r="C31" i="1"/>
  <c r="D31" i="1"/>
  <c r="E31" i="1"/>
  <c r="F31" i="1"/>
  <c r="G31" i="1"/>
  <c r="R31" i="1" s="1"/>
  <c r="H31" i="1"/>
  <c r="I31" i="1"/>
  <c r="J31" i="1"/>
  <c r="K31" i="1"/>
  <c r="L31" i="1"/>
  <c r="B32" i="1"/>
  <c r="C32" i="1"/>
  <c r="D32" i="1"/>
  <c r="E32" i="1"/>
  <c r="F32" i="1"/>
  <c r="G32" i="1"/>
  <c r="R32" i="1" s="1"/>
  <c r="H32" i="1"/>
  <c r="I32" i="1"/>
  <c r="J32" i="1"/>
  <c r="K32" i="1"/>
  <c r="L32" i="1"/>
  <c r="B33" i="1"/>
  <c r="C33" i="1"/>
  <c r="D33" i="1"/>
  <c r="E33" i="1"/>
  <c r="F33" i="1"/>
  <c r="G33" i="1"/>
  <c r="R33" i="1" s="1"/>
  <c r="H33" i="1"/>
  <c r="I33" i="1"/>
  <c r="J33" i="1"/>
  <c r="K33" i="1"/>
  <c r="L33" i="1"/>
  <c r="B34" i="1"/>
  <c r="C34" i="1"/>
  <c r="D34" i="1"/>
  <c r="E34" i="1"/>
  <c r="F34" i="1"/>
  <c r="G34" i="1"/>
  <c r="R34" i="1" s="1"/>
  <c r="H34" i="1"/>
  <c r="I34" i="1"/>
  <c r="J34" i="1"/>
  <c r="K34" i="1"/>
  <c r="L34" i="1"/>
  <c r="B35" i="1"/>
  <c r="C35" i="1"/>
  <c r="D35" i="1"/>
  <c r="E35" i="1"/>
  <c r="F35" i="1"/>
  <c r="G35" i="1"/>
  <c r="R35" i="1" s="1"/>
  <c r="H35" i="1"/>
  <c r="I35" i="1"/>
  <c r="J35" i="1"/>
  <c r="K35" i="1"/>
  <c r="L35" i="1"/>
  <c r="B36" i="1"/>
  <c r="C36" i="1"/>
  <c r="D36" i="1"/>
  <c r="E36" i="1"/>
  <c r="F36" i="1"/>
  <c r="G36" i="1"/>
  <c r="R36" i="1" s="1"/>
  <c r="H36" i="1"/>
  <c r="I36" i="1"/>
  <c r="J36" i="1"/>
  <c r="K36" i="1"/>
  <c r="L36" i="1"/>
  <c r="B37" i="1"/>
  <c r="C37" i="1"/>
  <c r="D37" i="1"/>
  <c r="E37" i="1"/>
  <c r="F37" i="1"/>
  <c r="G37" i="1"/>
  <c r="R37" i="1" s="1"/>
  <c r="H37" i="1"/>
  <c r="I37" i="1"/>
  <c r="J37" i="1"/>
  <c r="K37" i="1"/>
  <c r="L37" i="1"/>
  <c r="B38" i="1"/>
  <c r="C38" i="1"/>
  <c r="D38" i="1"/>
  <c r="E38" i="1"/>
  <c r="F38" i="1"/>
  <c r="G38" i="1"/>
  <c r="R38" i="1" s="1"/>
  <c r="H38" i="1"/>
  <c r="I38" i="1"/>
  <c r="J38" i="1"/>
  <c r="K38" i="1"/>
  <c r="L38" i="1"/>
  <c r="B39" i="1"/>
  <c r="C39" i="1"/>
  <c r="D39" i="1"/>
  <c r="E39" i="1"/>
  <c r="F39" i="1"/>
  <c r="G39" i="1"/>
  <c r="R39" i="1" s="1"/>
  <c r="H39" i="1"/>
  <c r="I39" i="1"/>
  <c r="J39" i="1"/>
  <c r="K39" i="1"/>
  <c r="L39" i="1"/>
  <c r="B40" i="1"/>
  <c r="C40" i="1"/>
  <c r="D40" i="1"/>
  <c r="E40" i="1"/>
  <c r="F40" i="1"/>
  <c r="G40" i="1"/>
  <c r="R40" i="1" s="1"/>
  <c r="H40" i="1"/>
  <c r="I40" i="1"/>
  <c r="J40" i="1"/>
  <c r="K40" i="1"/>
  <c r="L40" i="1"/>
  <c r="B41" i="1"/>
  <c r="C41" i="1"/>
  <c r="D41" i="1"/>
  <c r="E41" i="1"/>
  <c r="F41" i="1"/>
  <c r="G41" i="1"/>
  <c r="R41" i="1" s="1"/>
  <c r="H41" i="1"/>
  <c r="I41" i="1"/>
  <c r="J41" i="1"/>
  <c r="K41" i="1"/>
  <c r="L41" i="1"/>
  <c r="B42" i="1"/>
  <c r="C42" i="1"/>
  <c r="D42" i="1"/>
  <c r="E42" i="1"/>
  <c r="F42" i="1"/>
  <c r="G42" i="1"/>
  <c r="R42" i="1" s="1"/>
  <c r="H42" i="1"/>
  <c r="I42" i="1"/>
  <c r="J42" i="1"/>
  <c r="K42" i="1"/>
  <c r="L42" i="1"/>
  <c r="B43" i="1"/>
  <c r="C43" i="1"/>
  <c r="D43" i="1"/>
  <c r="E43" i="1"/>
  <c r="F43" i="1"/>
  <c r="G43" i="1"/>
  <c r="R43" i="1" s="1"/>
  <c r="H43" i="1"/>
  <c r="I43" i="1"/>
  <c r="J43" i="1"/>
  <c r="K43" i="1"/>
  <c r="L43" i="1"/>
  <c r="B44" i="1"/>
  <c r="C44" i="1"/>
  <c r="D44" i="1"/>
  <c r="E44" i="1"/>
  <c r="F44" i="1"/>
  <c r="G44" i="1"/>
  <c r="R44" i="1" s="1"/>
  <c r="H44" i="1"/>
  <c r="I44" i="1"/>
  <c r="J44" i="1"/>
  <c r="K44" i="1"/>
  <c r="L44" i="1"/>
  <c r="B45" i="1"/>
  <c r="C45" i="1"/>
  <c r="D45" i="1"/>
  <c r="E45" i="1"/>
  <c r="F45" i="1"/>
  <c r="G45" i="1"/>
  <c r="R45" i="1" s="1"/>
  <c r="H45" i="1"/>
  <c r="I45" i="1"/>
  <c r="J45" i="1"/>
  <c r="K45" i="1"/>
  <c r="L45" i="1"/>
  <c r="B46" i="1"/>
  <c r="C46" i="1"/>
  <c r="D46" i="1"/>
  <c r="E46" i="1"/>
  <c r="F46" i="1"/>
  <c r="G46" i="1"/>
  <c r="R46" i="1" s="1"/>
  <c r="H46" i="1"/>
  <c r="I46" i="1"/>
  <c r="J46" i="1"/>
  <c r="K46" i="1"/>
  <c r="L46" i="1"/>
  <c r="B47" i="1"/>
  <c r="C47" i="1"/>
  <c r="D47" i="1"/>
  <c r="E47" i="1"/>
  <c r="F47" i="1"/>
  <c r="G47" i="1"/>
  <c r="R47" i="1" s="1"/>
  <c r="H47" i="1"/>
  <c r="I47" i="1"/>
  <c r="J47" i="1"/>
  <c r="K47" i="1"/>
  <c r="L47" i="1"/>
  <c r="B48" i="1"/>
  <c r="C48" i="1"/>
  <c r="D48" i="1"/>
  <c r="E48" i="1"/>
  <c r="F48" i="1"/>
  <c r="G48" i="1"/>
  <c r="R48" i="1" s="1"/>
  <c r="H48" i="1"/>
  <c r="I48" i="1"/>
  <c r="J48" i="1"/>
  <c r="K48" i="1"/>
  <c r="L48" i="1"/>
  <c r="B49" i="1"/>
  <c r="C49" i="1"/>
  <c r="D49" i="1"/>
  <c r="E49" i="1"/>
  <c r="F49" i="1"/>
  <c r="G49" i="1"/>
  <c r="R49" i="1" s="1"/>
  <c r="H49" i="1"/>
  <c r="I49" i="1"/>
  <c r="J49" i="1"/>
  <c r="K49" i="1"/>
  <c r="L49" i="1"/>
  <c r="B50" i="1"/>
  <c r="C50" i="1"/>
  <c r="D50" i="1"/>
  <c r="E50" i="1"/>
  <c r="F50" i="1"/>
  <c r="G50" i="1"/>
  <c r="R50" i="1" s="1"/>
  <c r="H50" i="1"/>
  <c r="I50" i="1"/>
  <c r="J50" i="1"/>
  <c r="K50" i="1"/>
  <c r="L50" i="1"/>
  <c r="B51" i="1"/>
  <c r="C51" i="1"/>
  <c r="D51" i="1"/>
  <c r="E51" i="1"/>
  <c r="F51" i="1"/>
  <c r="G51" i="1"/>
  <c r="R51" i="1" s="1"/>
  <c r="H51" i="1"/>
  <c r="I51" i="1"/>
  <c r="J51" i="1"/>
  <c r="K51" i="1"/>
  <c r="L51" i="1"/>
  <c r="B52" i="1"/>
  <c r="C52" i="1"/>
  <c r="D52" i="1"/>
  <c r="E52" i="1"/>
  <c r="F52" i="1"/>
  <c r="G52" i="1"/>
  <c r="R52" i="1" s="1"/>
  <c r="H52" i="1"/>
  <c r="I52" i="1"/>
  <c r="J52" i="1"/>
  <c r="K52" i="1"/>
  <c r="L52" i="1"/>
  <c r="B53" i="1"/>
  <c r="C53" i="1"/>
  <c r="D53" i="1"/>
  <c r="E53" i="1"/>
  <c r="F53" i="1"/>
  <c r="G53" i="1"/>
  <c r="R53" i="1" s="1"/>
  <c r="H53" i="1"/>
  <c r="I53" i="1"/>
  <c r="J53" i="1"/>
  <c r="K53" i="1"/>
  <c r="L53" i="1"/>
  <c r="B54" i="1"/>
  <c r="C54" i="1"/>
  <c r="D54" i="1"/>
  <c r="E54" i="1"/>
  <c r="F54" i="1"/>
  <c r="G54" i="1"/>
  <c r="R54" i="1" s="1"/>
  <c r="H54" i="1"/>
  <c r="I54" i="1"/>
  <c r="J54" i="1"/>
  <c r="K54" i="1"/>
  <c r="L54" i="1"/>
  <c r="B55" i="1"/>
  <c r="C55" i="1"/>
  <c r="D55" i="1"/>
  <c r="E55" i="1"/>
  <c r="F55" i="1"/>
  <c r="G55" i="1"/>
  <c r="R55" i="1" s="1"/>
  <c r="H55" i="1"/>
  <c r="I55" i="1"/>
  <c r="J55" i="1"/>
  <c r="K55" i="1"/>
  <c r="L55" i="1"/>
  <c r="B56" i="1"/>
  <c r="C56" i="1"/>
  <c r="D56" i="1"/>
  <c r="E56" i="1"/>
  <c r="F56" i="1"/>
  <c r="G56" i="1"/>
  <c r="R56" i="1" s="1"/>
  <c r="H56" i="1"/>
  <c r="I56" i="1"/>
  <c r="J56" i="1"/>
  <c r="K56" i="1"/>
  <c r="L56" i="1"/>
  <c r="B57" i="1"/>
  <c r="C57" i="1"/>
  <c r="D57" i="1"/>
  <c r="E57" i="1"/>
  <c r="F57" i="1"/>
  <c r="G57" i="1"/>
  <c r="R57" i="1" s="1"/>
  <c r="H57" i="1"/>
  <c r="I57" i="1"/>
  <c r="J57" i="1"/>
  <c r="K57" i="1"/>
  <c r="L57" i="1"/>
  <c r="B58" i="1"/>
  <c r="C58" i="1"/>
  <c r="D58" i="1"/>
  <c r="E58" i="1"/>
  <c r="F58" i="1"/>
  <c r="G58" i="1"/>
  <c r="R58" i="1" s="1"/>
  <c r="H58" i="1"/>
  <c r="I58" i="1"/>
  <c r="J58" i="1"/>
  <c r="K58" i="1"/>
  <c r="L58" i="1"/>
  <c r="B59" i="1"/>
  <c r="C59" i="1"/>
  <c r="D59" i="1"/>
  <c r="E59" i="1"/>
  <c r="F59" i="1"/>
  <c r="G59" i="1"/>
  <c r="R59" i="1" s="1"/>
  <c r="H59" i="1"/>
  <c r="I59" i="1"/>
  <c r="J59" i="1"/>
  <c r="K59" i="1"/>
  <c r="L59" i="1"/>
  <c r="B60" i="1"/>
  <c r="C60" i="1"/>
  <c r="D60" i="1"/>
  <c r="E60" i="1"/>
  <c r="F60" i="1"/>
  <c r="G60" i="1"/>
  <c r="R60" i="1" s="1"/>
  <c r="H60" i="1"/>
  <c r="I60" i="1"/>
  <c r="J60" i="1"/>
  <c r="K60" i="1"/>
  <c r="L60" i="1"/>
  <c r="B61" i="1"/>
  <c r="C61" i="1"/>
  <c r="D61" i="1"/>
  <c r="E61" i="1"/>
  <c r="F61" i="1"/>
  <c r="G61" i="1"/>
  <c r="R61" i="1" s="1"/>
  <c r="H61" i="1"/>
  <c r="I61" i="1"/>
  <c r="J61" i="1"/>
  <c r="K61" i="1"/>
  <c r="L61" i="1"/>
  <c r="B62" i="1"/>
  <c r="C62" i="1"/>
  <c r="D62" i="1"/>
  <c r="E62" i="1"/>
  <c r="F62" i="1"/>
  <c r="G62" i="1"/>
  <c r="R62" i="1" s="1"/>
  <c r="H62" i="1"/>
  <c r="I62" i="1"/>
  <c r="J62" i="1"/>
  <c r="K62" i="1"/>
  <c r="L62" i="1"/>
  <c r="B63" i="1"/>
  <c r="C63" i="1"/>
  <c r="D63" i="1"/>
  <c r="E63" i="1"/>
  <c r="F63" i="1"/>
  <c r="G63" i="1"/>
  <c r="R63" i="1" s="1"/>
  <c r="H63" i="1"/>
  <c r="I63" i="1"/>
  <c r="J63" i="1"/>
  <c r="K63" i="1"/>
  <c r="L63" i="1"/>
  <c r="B64" i="1"/>
  <c r="C64" i="1"/>
  <c r="D64" i="1"/>
  <c r="E64" i="1"/>
  <c r="F64" i="1"/>
  <c r="G64" i="1"/>
  <c r="R64" i="1" s="1"/>
  <c r="H64" i="1"/>
  <c r="I64" i="1"/>
  <c r="J64" i="1"/>
  <c r="K64" i="1"/>
  <c r="L64" i="1"/>
  <c r="B65" i="1"/>
  <c r="C65" i="1"/>
  <c r="D65" i="1"/>
  <c r="E65" i="1"/>
  <c r="F65" i="1"/>
  <c r="G65" i="1"/>
  <c r="R65" i="1" s="1"/>
  <c r="H65" i="1"/>
  <c r="I65" i="1"/>
  <c r="J65" i="1"/>
  <c r="K65" i="1"/>
  <c r="L65" i="1"/>
  <c r="B66" i="1"/>
  <c r="C66" i="1"/>
  <c r="D66" i="1"/>
  <c r="E66" i="1"/>
  <c r="F66" i="1"/>
  <c r="G66" i="1"/>
  <c r="R66" i="1" s="1"/>
  <c r="H66" i="1"/>
  <c r="I66" i="1"/>
  <c r="J66" i="1"/>
  <c r="K66" i="1"/>
  <c r="L66" i="1"/>
  <c r="B67" i="1"/>
  <c r="C67" i="1"/>
  <c r="D67" i="1"/>
  <c r="E67" i="1"/>
  <c r="F67" i="1"/>
  <c r="G67" i="1"/>
  <c r="R67" i="1" s="1"/>
  <c r="H67" i="1"/>
  <c r="I67" i="1"/>
  <c r="J67" i="1"/>
  <c r="K67" i="1"/>
  <c r="L67" i="1"/>
  <c r="B68" i="1"/>
  <c r="C68" i="1"/>
  <c r="D68" i="1"/>
  <c r="E68" i="1"/>
  <c r="F68" i="1"/>
  <c r="G68" i="1"/>
  <c r="R68" i="1" s="1"/>
  <c r="H68" i="1"/>
  <c r="I68" i="1"/>
  <c r="J68" i="1"/>
  <c r="K68" i="1"/>
  <c r="L68" i="1"/>
  <c r="B69" i="1"/>
  <c r="C69" i="1"/>
  <c r="D69" i="1"/>
  <c r="E69" i="1"/>
  <c r="F69" i="1"/>
  <c r="G69" i="1"/>
  <c r="R69" i="1" s="1"/>
  <c r="H69" i="1"/>
  <c r="I69" i="1"/>
  <c r="J69" i="1"/>
  <c r="K69" i="1"/>
  <c r="L69" i="1"/>
  <c r="B70" i="1"/>
  <c r="C70" i="1"/>
  <c r="D70" i="1"/>
  <c r="E70" i="1"/>
  <c r="F70" i="1"/>
  <c r="G70" i="1"/>
  <c r="R70" i="1" s="1"/>
  <c r="H70" i="1"/>
  <c r="I70" i="1"/>
  <c r="J70" i="1"/>
  <c r="K70" i="1"/>
  <c r="L70" i="1"/>
  <c r="B71" i="1"/>
  <c r="C71" i="1"/>
  <c r="D71" i="1"/>
  <c r="E71" i="1"/>
  <c r="F71" i="1"/>
  <c r="G71" i="1"/>
  <c r="R71" i="1" s="1"/>
  <c r="H71" i="1"/>
  <c r="I71" i="1"/>
  <c r="J71" i="1"/>
  <c r="K71" i="1"/>
  <c r="L71" i="1"/>
  <c r="B72" i="1"/>
  <c r="C72" i="1"/>
  <c r="D72" i="1"/>
  <c r="E72" i="1"/>
  <c r="F72" i="1"/>
  <c r="G72" i="1"/>
  <c r="R72" i="1" s="1"/>
  <c r="H72" i="1"/>
  <c r="I72" i="1"/>
  <c r="J72" i="1"/>
  <c r="K72" i="1"/>
  <c r="L72" i="1"/>
  <c r="B73" i="1"/>
  <c r="C73" i="1"/>
  <c r="D73" i="1"/>
  <c r="E73" i="1"/>
  <c r="F73" i="1"/>
  <c r="G73" i="1"/>
  <c r="R73" i="1" s="1"/>
  <c r="H73" i="1"/>
  <c r="I73" i="1"/>
  <c r="J73" i="1"/>
  <c r="K73" i="1"/>
  <c r="L73" i="1"/>
  <c r="B74" i="1"/>
  <c r="C74" i="1"/>
  <c r="D74" i="1"/>
  <c r="E74" i="1"/>
  <c r="F74" i="1"/>
  <c r="G74" i="1"/>
  <c r="R74" i="1" s="1"/>
  <c r="H74" i="1"/>
  <c r="I74" i="1"/>
  <c r="J74" i="1"/>
  <c r="K74" i="1"/>
  <c r="L74" i="1"/>
  <c r="B75" i="1"/>
  <c r="C75" i="1"/>
  <c r="D75" i="1"/>
  <c r="E75" i="1"/>
  <c r="F75" i="1"/>
  <c r="G75" i="1"/>
  <c r="R75" i="1" s="1"/>
  <c r="H75" i="1"/>
  <c r="I75" i="1"/>
  <c r="J75" i="1"/>
  <c r="K75" i="1"/>
  <c r="L75" i="1"/>
  <c r="B76" i="1"/>
  <c r="C76" i="1"/>
  <c r="D76" i="1"/>
  <c r="E76" i="1"/>
  <c r="F76" i="1"/>
  <c r="G76" i="1"/>
  <c r="R76" i="1" s="1"/>
  <c r="H76" i="1"/>
  <c r="I76" i="1"/>
  <c r="J76" i="1"/>
  <c r="K76" i="1"/>
  <c r="L76" i="1"/>
  <c r="B77" i="1"/>
  <c r="C77" i="1"/>
  <c r="D77" i="1"/>
  <c r="E77" i="1"/>
  <c r="F77" i="1"/>
  <c r="G77" i="1"/>
  <c r="R77" i="1" s="1"/>
  <c r="H77" i="1"/>
  <c r="I77" i="1"/>
  <c r="J77" i="1"/>
  <c r="K77" i="1"/>
  <c r="L77" i="1"/>
  <c r="B78" i="1"/>
  <c r="C78" i="1"/>
  <c r="D78" i="1"/>
  <c r="E78" i="1"/>
  <c r="F78" i="1"/>
  <c r="G78" i="1"/>
  <c r="R78" i="1" s="1"/>
  <c r="H78" i="1"/>
  <c r="I78" i="1"/>
  <c r="J78" i="1"/>
  <c r="K78" i="1"/>
  <c r="L78" i="1"/>
  <c r="B79" i="1"/>
  <c r="C79" i="1"/>
  <c r="D79" i="1"/>
  <c r="E79" i="1"/>
  <c r="F79" i="1"/>
  <c r="G79" i="1"/>
  <c r="R79" i="1" s="1"/>
  <c r="H79" i="1"/>
  <c r="I79" i="1"/>
  <c r="J79" i="1"/>
  <c r="K79" i="1"/>
  <c r="L79" i="1"/>
  <c r="B80" i="1"/>
  <c r="C80" i="1"/>
  <c r="D80" i="1"/>
  <c r="E80" i="1"/>
  <c r="F80" i="1"/>
  <c r="G80" i="1"/>
  <c r="R80" i="1" s="1"/>
  <c r="H80" i="1"/>
  <c r="I80" i="1"/>
  <c r="J80" i="1"/>
  <c r="K80" i="1"/>
  <c r="L80" i="1"/>
  <c r="B81" i="1"/>
  <c r="C81" i="1"/>
  <c r="D81" i="1"/>
  <c r="E81" i="1"/>
  <c r="F81" i="1"/>
  <c r="G81" i="1"/>
  <c r="R81" i="1" s="1"/>
  <c r="H81" i="1"/>
  <c r="I81" i="1"/>
  <c r="J81" i="1"/>
  <c r="K81" i="1"/>
  <c r="L81" i="1"/>
  <c r="B82" i="1"/>
  <c r="C82" i="1"/>
  <c r="D82" i="1"/>
  <c r="E82" i="1"/>
  <c r="F82" i="1"/>
  <c r="G82" i="1"/>
  <c r="R82" i="1" s="1"/>
  <c r="H82" i="1"/>
  <c r="I82" i="1"/>
  <c r="J82" i="1"/>
  <c r="K82" i="1"/>
  <c r="L82" i="1"/>
  <c r="B83" i="1"/>
  <c r="C83" i="1"/>
  <c r="D83" i="1"/>
  <c r="E83" i="1"/>
  <c r="F83" i="1"/>
  <c r="G83" i="1"/>
  <c r="R83" i="1" s="1"/>
  <c r="H83" i="1"/>
  <c r="I83" i="1"/>
  <c r="J83" i="1"/>
  <c r="K83" i="1"/>
  <c r="L83" i="1"/>
  <c r="B84" i="1"/>
  <c r="C84" i="1"/>
  <c r="D84" i="1"/>
  <c r="E84" i="1"/>
  <c r="F84" i="1"/>
  <c r="G84" i="1"/>
  <c r="R84" i="1" s="1"/>
  <c r="H84" i="1"/>
  <c r="I84" i="1"/>
  <c r="J84" i="1"/>
  <c r="K84" i="1"/>
  <c r="L84" i="1"/>
  <c r="B85" i="1"/>
  <c r="C85" i="1"/>
  <c r="D85" i="1"/>
  <c r="E85" i="1"/>
  <c r="F85" i="1"/>
  <c r="G85" i="1"/>
  <c r="R85" i="1" s="1"/>
  <c r="H85" i="1"/>
  <c r="I85" i="1"/>
  <c r="J85" i="1"/>
  <c r="K85" i="1"/>
  <c r="L85" i="1"/>
  <c r="B86" i="1"/>
  <c r="C86" i="1"/>
  <c r="D86" i="1"/>
  <c r="E86" i="1"/>
  <c r="F86" i="1"/>
  <c r="G86" i="1"/>
  <c r="R86" i="1" s="1"/>
  <c r="H86" i="1"/>
  <c r="I86" i="1"/>
  <c r="J86" i="1"/>
  <c r="K86" i="1"/>
  <c r="L86" i="1"/>
  <c r="B87" i="1"/>
  <c r="C87" i="1"/>
  <c r="D87" i="1"/>
  <c r="E87" i="1"/>
  <c r="F87" i="1"/>
  <c r="G87" i="1"/>
  <c r="R87" i="1" s="1"/>
  <c r="H87" i="1"/>
  <c r="I87" i="1"/>
  <c r="J87" i="1"/>
  <c r="K87" i="1"/>
  <c r="L87" i="1"/>
  <c r="B88" i="1"/>
  <c r="C88" i="1"/>
  <c r="D88" i="1"/>
  <c r="E88" i="1"/>
  <c r="F88" i="1"/>
  <c r="G88" i="1"/>
  <c r="R88" i="1" s="1"/>
  <c r="H88" i="1"/>
  <c r="I88" i="1"/>
  <c r="J88" i="1"/>
  <c r="K88" i="1"/>
  <c r="L88" i="1"/>
  <c r="B89" i="1"/>
  <c r="C89" i="1"/>
  <c r="D89" i="1"/>
  <c r="E89" i="1"/>
  <c r="F89" i="1"/>
  <c r="G89" i="1"/>
  <c r="R89" i="1" s="1"/>
  <c r="H89" i="1"/>
  <c r="I89" i="1"/>
  <c r="J89" i="1"/>
  <c r="K89" i="1"/>
  <c r="L89" i="1"/>
  <c r="B90" i="1"/>
  <c r="C90" i="1"/>
  <c r="D90" i="1"/>
  <c r="E90" i="1"/>
  <c r="F90" i="1"/>
  <c r="G90" i="1"/>
  <c r="R90" i="1" s="1"/>
  <c r="H90" i="1"/>
  <c r="I90" i="1"/>
  <c r="J90" i="1"/>
  <c r="K90" i="1"/>
  <c r="L90" i="1"/>
  <c r="B91" i="1"/>
  <c r="C91" i="1"/>
  <c r="D91" i="1"/>
  <c r="E91" i="1"/>
  <c r="F91" i="1"/>
  <c r="G91" i="1"/>
  <c r="R91" i="1" s="1"/>
  <c r="H91" i="1"/>
  <c r="I91" i="1"/>
  <c r="J91" i="1"/>
  <c r="K91" i="1"/>
  <c r="L91" i="1"/>
  <c r="B92" i="1"/>
  <c r="C92" i="1"/>
  <c r="D92" i="1"/>
  <c r="E92" i="1"/>
  <c r="F92" i="1"/>
  <c r="G92" i="1"/>
  <c r="R92" i="1" s="1"/>
  <c r="H92" i="1"/>
  <c r="I92" i="1"/>
  <c r="J92" i="1"/>
  <c r="K92" i="1"/>
  <c r="L92" i="1"/>
  <c r="B93" i="1"/>
  <c r="C93" i="1"/>
  <c r="D93" i="1"/>
  <c r="E93" i="1"/>
  <c r="F93" i="1"/>
  <c r="G93" i="1"/>
  <c r="R93" i="1" s="1"/>
  <c r="H93" i="1"/>
  <c r="I93" i="1"/>
  <c r="J93" i="1"/>
  <c r="K93" i="1"/>
  <c r="L93" i="1"/>
  <c r="B94" i="1"/>
  <c r="C94" i="1"/>
  <c r="D94" i="1"/>
  <c r="E94" i="1"/>
  <c r="F94" i="1"/>
  <c r="G94" i="1"/>
  <c r="R94" i="1" s="1"/>
  <c r="H94" i="1"/>
  <c r="I94" i="1"/>
  <c r="J94" i="1"/>
  <c r="K94" i="1"/>
  <c r="L94" i="1"/>
  <c r="B95" i="1"/>
  <c r="C95" i="1"/>
  <c r="D95" i="1"/>
  <c r="E95" i="1"/>
  <c r="F95" i="1"/>
  <c r="G95" i="1"/>
  <c r="R95" i="1" s="1"/>
  <c r="H95" i="1"/>
  <c r="I95" i="1"/>
  <c r="J95" i="1"/>
  <c r="K95" i="1"/>
  <c r="L95" i="1"/>
  <c r="B96" i="1"/>
  <c r="C96" i="1"/>
  <c r="D96" i="1"/>
  <c r="E96" i="1"/>
  <c r="F96" i="1"/>
  <c r="G96" i="1"/>
  <c r="R96" i="1" s="1"/>
  <c r="H96" i="1"/>
  <c r="I96" i="1"/>
  <c r="J96" i="1"/>
  <c r="K96" i="1"/>
  <c r="L96" i="1"/>
  <c r="B97" i="1"/>
  <c r="C97" i="1"/>
  <c r="D97" i="1"/>
  <c r="E97" i="1"/>
  <c r="F97" i="1"/>
  <c r="G97" i="1"/>
  <c r="R97" i="1" s="1"/>
  <c r="H97" i="1"/>
  <c r="I97" i="1"/>
  <c r="J97" i="1"/>
  <c r="K97" i="1"/>
  <c r="L97" i="1"/>
  <c r="B98" i="1"/>
  <c r="C98" i="1"/>
  <c r="D98" i="1"/>
  <c r="E98" i="1"/>
  <c r="F98" i="1"/>
  <c r="G98" i="1"/>
  <c r="R98" i="1" s="1"/>
  <c r="H98" i="1"/>
  <c r="I98" i="1"/>
  <c r="J98" i="1"/>
  <c r="K98" i="1"/>
  <c r="L98" i="1"/>
  <c r="B99" i="1"/>
  <c r="C99" i="1"/>
  <c r="D99" i="1"/>
  <c r="E99" i="1"/>
  <c r="F99" i="1"/>
  <c r="G99" i="1"/>
  <c r="R99" i="1" s="1"/>
  <c r="H99" i="1"/>
  <c r="I99" i="1"/>
  <c r="J99" i="1"/>
  <c r="K99" i="1"/>
  <c r="L99" i="1"/>
  <c r="B100" i="1"/>
  <c r="C100" i="1"/>
  <c r="D100" i="1"/>
  <c r="E100" i="1"/>
  <c r="F100" i="1"/>
  <c r="G100" i="1"/>
  <c r="R100" i="1" s="1"/>
  <c r="H100" i="1"/>
  <c r="I100" i="1"/>
  <c r="J100" i="1"/>
  <c r="K100" i="1"/>
  <c r="L100" i="1"/>
  <c r="B101" i="1"/>
  <c r="C101" i="1"/>
  <c r="D101" i="1"/>
  <c r="E101" i="1"/>
  <c r="F101" i="1"/>
  <c r="G101" i="1"/>
  <c r="R101" i="1" s="1"/>
  <c r="H101" i="1"/>
  <c r="I101" i="1"/>
  <c r="J101" i="1"/>
  <c r="K101" i="1"/>
  <c r="L101" i="1"/>
  <c r="B102" i="1"/>
  <c r="C102" i="1"/>
  <c r="D102" i="1"/>
  <c r="E102" i="1"/>
  <c r="F102" i="1"/>
  <c r="G102" i="1"/>
  <c r="R102" i="1" s="1"/>
  <c r="H102" i="1"/>
  <c r="I102" i="1"/>
  <c r="J102" i="1"/>
  <c r="K102" i="1"/>
  <c r="L102" i="1"/>
  <c r="B103" i="1"/>
  <c r="C103" i="1"/>
  <c r="D103" i="1"/>
  <c r="E103" i="1"/>
  <c r="F103" i="1"/>
  <c r="G103" i="1"/>
  <c r="R103" i="1" s="1"/>
  <c r="H103" i="1"/>
  <c r="I103" i="1"/>
  <c r="J103" i="1"/>
  <c r="K103" i="1"/>
  <c r="L103" i="1"/>
  <c r="B104" i="1"/>
  <c r="C104" i="1"/>
  <c r="D104" i="1"/>
  <c r="E104" i="1"/>
  <c r="F104" i="1"/>
  <c r="G104" i="1"/>
  <c r="R104" i="1" s="1"/>
  <c r="H104" i="1"/>
  <c r="I104" i="1"/>
  <c r="J104" i="1"/>
  <c r="K104" i="1"/>
  <c r="L104" i="1"/>
  <c r="B105" i="1"/>
  <c r="C105" i="1"/>
  <c r="D105" i="1"/>
  <c r="E105" i="1"/>
  <c r="F105" i="1"/>
  <c r="G105" i="1"/>
  <c r="R105" i="1" s="1"/>
  <c r="H105" i="1"/>
  <c r="I105" i="1"/>
  <c r="J105" i="1"/>
  <c r="K105" i="1"/>
  <c r="L105" i="1"/>
  <c r="B106" i="1"/>
  <c r="C106" i="1"/>
  <c r="D106" i="1"/>
  <c r="E106" i="1"/>
  <c r="F106" i="1"/>
  <c r="G106" i="1"/>
  <c r="R106" i="1" s="1"/>
  <c r="H106" i="1"/>
  <c r="I106" i="1"/>
  <c r="J106" i="1"/>
  <c r="K106" i="1"/>
  <c r="L106" i="1"/>
  <c r="B107" i="1"/>
  <c r="C107" i="1"/>
  <c r="D107" i="1"/>
  <c r="E107" i="1"/>
  <c r="F107" i="1"/>
  <c r="G107" i="1"/>
  <c r="R107" i="1" s="1"/>
  <c r="H107" i="1"/>
  <c r="I107" i="1"/>
  <c r="J107" i="1"/>
  <c r="K107" i="1"/>
  <c r="L107" i="1"/>
  <c r="B108" i="1"/>
  <c r="C108" i="1"/>
  <c r="D108" i="1"/>
  <c r="E108" i="1"/>
  <c r="F108" i="1"/>
  <c r="G108" i="1"/>
  <c r="R108" i="1" s="1"/>
  <c r="H108" i="1"/>
  <c r="I108" i="1"/>
  <c r="J108" i="1"/>
  <c r="K108" i="1"/>
  <c r="L108" i="1"/>
  <c r="B109" i="1"/>
  <c r="C109" i="1"/>
  <c r="D109" i="1"/>
  <c r="E109" i="1"/>
  <c r="F109" i="1"/>
  <c r="G109" i="1"/>
  <c r="R109" i="1" s="1"/>
  <c r="H109" i="1"/>
  <c r="I109" i="1"/>
  <c r="J109" i="1"/>
  <c r="K109" i="1"/>
  <c r="L109" i="1"/>
  <c r="B110" i="1"/>
  <c r="C110" i="1"/>
  <c r="D110" i="1"/>
  <c r="E110" i="1"/>
  <c r="F110" i="1"/>
  <c r="G110" i="1"/>
  <c r="R110" i="1" s="1"/>
  <c r="H110" i="1"/>
  <c r="I110" i="1"/>
  <c r="J110" i="1"/>
  <c r="K110" i="1"/>
  <c r="L110" i="1"/>
  <c r="B111" i="1"/>
  <c r="C111" i="1"/>
  <c r="D111" i="1"/>
  <c r="E111" i="1"/>
  <c r="F111" i="1"/>
  <c r="G111" i="1"/>
  <c r="R111" i="1" s="1"/>
  <c r="H111" i="1"/>
  <c r="I111" i="1"/>
  <c r="J111" i="1"/>
  <c r="K111" i="1"/>
  <c r="L111" i="1"/>
  <c r="B112" i="1"/>
  <c r="C112" i="1"/>
  <c r="D112" i="1"/>
  <c r="E112" i="1"/>
  <c r="F112" i="1"/>
  <c r="G112" i="1"/>
  <c r="R112" i="1" s="1"/>
  <c r="H112" i="1"/>
  <c r="I112" i="1"/>
  <c r="J112" i="1"/>
  <c r="K112" i="1"/>
  <c r="L112" i="1"/>
  <c r="B113" i="1"/>
  <c r="C113" i="1"/>
  <c r="D113" i="1"/>
  <c r="E113" i="1"/>
  <c r="F113" i="1"/>
  <c r="G113" i="1"/>
  <c r="R113" i="1" s="1"/>
  <c r="H113" i="1"/>
  <c r="I113" i="1"/>
  <c r="J113" i="1"/>
  <c r="K113" i="1"/>
  <c r="L113" i="1"/>
  <c r="B114" i="1"/>
  <c r="C114" i="1"/>
  <c r="D114" i="1"/>
  <c r="E114" i="1"/>
  <c r="F114" i="1"/>
  <c r="G114" i="1"/>
  <c r="R114" i="1" s="1"/>
  <c r="H114" i="1"/>
  <c r="I114" i="1"/>
  <c r="J114" i="1"/>
  <c r="K114" i="1"/>
  <c r="L114" i="1"/>
  <c r="B115" i="1"/>
  <c r="C115" i="1"/>
  <c r="D115" i="1"/>
  <c r="E115" i="1"/>
  <c r="F115" i="1"/>
  <c r="G115" i="1"/>
  <c r="R115" i="1" s="1"/>
  <c r="H115" i="1"/>
  <c r="I115" i="1"/>
  <c r="J115" i="1"/>
  <c r="K115" i="1"/>
  <c r="L115" i="1"/>
  <c r="B116" i="1"/>
  <c r="C116" i="1"/>
  <c r="D116" i="1"/>
  <c r="E116" i="1"/>
  <c r="F116" i="1"/>
  <c r="G116" i="1"/>
  <c r="R116" i="1" s="1"/>
  <c r="H116" i="1"/>
  <c r="I116" i="1"/>
  <c r="J116" i="1"/>
  <c r="K116" i="1"/>
  <c r="L116" i="1"/>
  <c r="B117" i="1"/>
  <c r="C117" i="1"/>
  <c r="D117" i="1"/>
  <c r="E117" i="1"/>
  <c r="F117" i="1"/>
  <c r="G117" i="1"/>
  <c r="R117" i="1" s="1"/>
  <c r="H117" i="1"/>
  <c r="I117" i="1"/>
  <c r="J117" i="1"/>
  <c r="K117" i="1"/>
  <c r="L117" i="1"/>
  <c r="B118" i="1"/>
  <c r="C118" i="1"/>
  <c r="D118" i="1"/>
  <c r="E118" i="1"/>
  <c r="F118" i="1"/>
  <c r="G118" i="1"/>
  <c r="R118" i="1" s="1"/>
  <c r="H118" i="1"/>
  <c r="I118" i="1"/>
  <c r="J118" i="1"/>
  <c r="K118" i="1"/>
  <c r="L118" i="1"/>
  <c r="B119" i="1"/>
  <c r="C119" i="1"/>
  <c r="D119" i="1"/>
  <c r="E119" i="1"/>
  <c r="F119" i="1"/>
  <c r="G119" i="1"/>
  <c r="R119" i="1" s="1"/>
  <c r="H119" i="1"/>
  <c r="I119" i="1"/>
  <c r="J119" i="1"/>
  <c r="K119" i="1"/>
  <c r="L119" i="1"/>
  <c r="B120" i="1"/>
  <c r="C120" i="1"/>
  <c r="D120" i="1"/>
  <c r="E120" i="1"/>
  <c r="F120" i="1"/>
  <c r="G120" i="1"/>
  <c r="R120" i="1" s="1"/>
  <c r="H120" i="1"/>
  <c r="I120" i="1"/>
  <c r="J120" i="1"/>
  <c r="K120" i="1"/>
  <c r="L120" i="1"/>
  <c r="B121" i="1"/>
  <c r="C121" i="1"/>
  <c r="D121" i="1"/>
  <c r="E121" i="1"/>
  <c r="F121" i="1"/>
  <c r="G121" i="1"/>
  <c r="R121" i="1" s="1"/>
  <c r="H121" i="1"/>
  <c r="I121" i="1"/>
  <c r="J121" i="1"/>
  <c r="K121" i="1"/>
  <c r="L121" i="1"/>
  <c r="B122" i="1"/>
  <c r="C122" i="1"/>
  <c r="D122" i="1"/>
  <c r="E122" i="1"/>
  <c r="F122" i="1"/>
  <c r="G122" i="1"/>
  <c r="R122" i="1" s="1"/>
  <c r="H122" i="1"/>
  <c r="I122" i="1"/>
  <c r="J122" i="1"/>
  <c r="K122" i="1"/>
  <c r="L122" i="1"/>
  <c r="B123" i="1"/>
  <c r="C123" i="1"/>
  <c r="D123" i="1"/>
  <c r="E123" i="1"/>
  <c r="F123" i="1"/>
  <c r="G123" i="1"/>
  <c r="R123" i="1" s="1"/>
  <c r="H123" i="1"/>
  <c r="I123" i="1"/>
  <c r="J123" i="1"/>
  <c r="K123" i="1"/>
  <c r="L123" i="1"/>
  <c r="B124" i="1"/>
  <c r="C124" i="1"/>
  <c r="D124" i="1"/>
  <c r="E124" i="1"/>
  <c r="F124" i="1"/>
  <c r="G124" i="1"/>
  <c r="R124" i="1" s="1"/>
  <c r="H124" i="1"/>
  <c r="I124" i="1"/>
  <c r="J124" i="1"/>
  <c r="K124" i="1"/>
  <c r="L124" i="1"/>
  <c r="B125" i="1"/>
  <c r="C125" i="1"/>
  <c r="D125" i="1"/>
  <c r="E125" i="1"/>
  <c r="F125" i="1"/>
  <c r="G125" i="1"/>
  <c r="R125" i="1" s="1"/>
  <c r="H125" i="1"/>
  <c r="I125" i="1"/>
  <c r="J125" i="1"/>
  <c r="K125" i="1"/>
  <c r="L125" i="1"/>
  <c r="B126" i="1"/>
  <c r="C126" i="1"/>
  <c r="D126" i="1"/>
  <c r="E126" i="1"/>
  <c r="F126" i="1"/>
  <c r="G126" i="1"/>
  <c r="R126" i="1" s="1"/>
  <c r="H126" i="1"/>
  <c r="I126" i="1"/>
  <c r="J126" i="1"/>
  <c r="K126" i="1"/>
  <c r="L126" i="1"/>
  <c r="B127" i="1"/>
  <c r="C127" i="1"/>
  <c r="D127" i="1"/>
  <c r="E127" i="1"/>
  <c r="F127" i="1"/>
  <c r="G127" i="1"/>
  <c r="R127" i="1" s="1"/>
  <c r="H127" i="1"/>
  <c r="I127" i="1"/>
  <c r="J127" i="1"/>
  <c r="K127" i="1"/>
  <c r="L127" i="1"/>
  <c r="B128" i="1"/>
  <c r="C128" i="1"/>
  <c r="D128" i="1"/>
  <c r="E128" i="1"/>
  <c r="F128" i="1"/>
  <c r="G128" i="1"/>
  <c r="R128" i="1" s="1"/>
  <c r="H128" i="1"/>
  <c r="I128" i="1"/>
  <c r="J128" i="1"/>
  <c r="K128" i="1"/>
  <c r="L128" i="1"/>
  <c r="B129" i="1"/>
  <c r="C129" i="1"/>
  <c r="D129" i="1"/>
  <c r="E129" i="1"/>
  <c r="F129" i="1"/>
  <c r="G129" i="1"/>
  <c r="R129" i="1" s="1"/>
  <c r="H129" i="1"/>
  <c r="I129" i="1"/>
  <c r="J129" i="1"/>
  <c r="K129" i="1"/>
  <c r="L129" i="1"/>
  <c r="B130" i="1"/>
  <c r="C130" i="1"/>
  <c r="D130" i="1"/>
  <c r="E130" i="1"/>
  <c r="F130" i="1"/>
  <c r="G130" i="1"/>
  <c r="R130" i="1" s="1"/>
  <c r="H130" i="1"/>
  <c r="I130" i="1"/>
  <c r="J130" i="1"/>
  <c r="K130" i="1"/>
  <c r="L130" i="1"/>
  <c r="B131" i="1"/>
  <c r="C131" i="1"/>
  <c r="D131" i="1"/>
  <c r="E131" i="1"/>
  <c r="F131" i="1"/>
  <c r="G131" i="1"/>
  <c r="R131" i="1" s="1"/>
  <c r="H131" i="1"/>
  <c r="I131" i="1"/>
  <c r="J131" i="1"/>
  <c r="K131" i="1"/>
  <c r="L131" i="1"/>
  <c r="B132" i="1"/>
  <c r="C132" i="1"/>
  <c r="D132" i="1"/>
  <c r="E132" i="1"/>
  <c r="F132" i="1"/>
  <c r="G132" i="1"/>
  <c r="R132" i="1" s="1"/>
  <c r="H132" i="1"/>
  <c r="I132" i="1"/>
  <c r="J132" i="1"/>
  <c r="K132" i="1"/>
  <c r="L132" i="1"/>
  <c r="B133" i="1"/>
  <c r="C133" i="1"/>
  <c r="D133" i="1"/>
  <c r="E133" i="1"/>
  <c r="F133" i="1"/>
  <c r="G133" i="1"/>
  <c r="R133" i="1" s="1"/>
  <c r="H133" i="1"/>
  <c r="I133" i="1"/>
  <c r="J133" i="1"/>
  <c r="K133" i="1"/>
  <c r="L133" i="1"/>
  <c r="B134" i="1"/>
  <c r="C134" i="1"/>
  <c r="D134" i="1"/>
  <c r="E134" i="1"/>
  <c r="F134" i="1"/>
  <c r="G134" i="1"/>
  <c r="R134" i="1" s="1"/>
  <c r="H134" i="1"/>
  <c r="I134" i="1"/>
  <c r="J134" i="1"/>
  <c r="K134" i="1"/>
  <c r="L134" i="1"/>
  <c r="B135" i="1"/>
  <c r="C135" i="1"/>
  <c r="D135" i="1"/>
  <c r="E135" i="1"/>
  <c r="F135" i="1"/>
  <c r="G135" i="1"/>
  <c r="R135" i="1" s="1"/>
  <c r="H135" i="1"/>
  <c r="I135" i="1"/>
  <c r="J135" i="1"/>
  <c r="K135" i="1"/>
  <c r="L135" i="1"/>
  <c r="B136" i="1"/>
  <c r="C136" i="1"/>
  <c r="D136" i="1"/>
  <c r="E136" i="1"/>
  <c r="F136" i="1"/>
  <c r="G136" i="1"/>
  <c r="R136" i="1" s="1"/>
  <c r="H136" i="1"/>
  <c r="I136" i="1"/>
  <c r="J136" i="1"/>
  <c r="K136" i="1"/>
  <c r="L136" i="1"/>
  <c r="B137" i="1"/>
  <c r="C137" i="1"/>
  <c r="D137" i="1"/>
  <c r="E137" i="1"/>
  <c r="F137" i="1"/>
  <c r="G137" i="1"/>
  <c r="R137" i="1" s="1"/>
  <c r="H137" i="1"/>
  <c r="I137" i="1"/>
  <c r="J137" i="1"/>
  <c r="K137" i="1"/>
  <c r="L137" i="1"/>
  <c r="B138" i="1"/>
  <c r="C138" i="1"/>
  <c r="D138" i="1"/>
  <c r="E138" i="1"/>
  <c r="F138" i="1"/>
  <c r="G138" i="1"/>
  <c r="R138" i="1" s="1"/>
  <c r="H138" i="1"/>
  <c r="I138" i="1"/>
  <c r="J138" i="1"/>
  <c r="K138" i="1"/>
  <c r="L138" i="1"/>
  <c r="B139" i="1"/>
  <c r="C139" i="1"/>
  <c r="D139" i="1"/>
  <c r="E139" i="1"/>
  <c r="F139" i="1"/>
  <c r="G139" i="1"/>
  <c r="R139" i="1" s="1"/>
  <c r="H139" i="1"/>
  <c r="I139" i="1"/>
  <c r="J139" i="1"/>
  <c r="K139" i="1"/>
  <c r="L139" i="1"/>
  <c r="B140" i="1"/>
  <c r="C140" i="1"/>
  <c r="D140" i="1"/>
  <c r="E140" i="1"/>
  <c r="F140" i="1"/>
  <c r="G140" i="1"/>
  <c r="R140" i="1" s="1"/>
  <c r="H140" i="1"/>
  <c r="I140" i="1"/>
  <c r="J140" i="1"/>
  <c r="K140" i="1"/>
  <c r="L140" i="1"/>
  <c r="B141" i="1"/>
  <c r="C141" i="1"/>
  <c r="D141" i="1"/>
  <c r="E141" i="1"/>
  <c r="F141" i="1"/>
  <c r="G141" i="1"/>
  <c r="R141" i="1" s="1"/>
  <c r="H141" i="1"/>
  <c r="I141" i="1"/>
  <c r="J141" i="1"/>
  <c r="K141" i="1"/>
  <c r="L141" i="1"/>
  <c r="B142" i="1"/>
  <c r="C142" i="1"/>
  <c r="D142" i="1"/>
  <c r="E142" i="1"/>
  <c r="F142" i="1"/>
  <c r="G142" i="1"/>
  <c r="R142" i="1" s="1"/>
  <c r="H142" i="1"/>
  <c r="I142" i="1"/>
  <c r="J142" i="1"/>
  <c r="K142" i="1"/>
  <c r="L142" i="1"/>
  <c r="B143" i="1"/>
  <c r="C143" i="1"/>
  <c r="D143" i="1"/>
  <c r="E143" i="1"/>
  <c r="F143" i="1"/>
  <c r="G143" i="1"/>
  <c r="R143" i="1" s="1"/>
  <c r="H143" i="1"/>
  <c r="I143" i="1"/>
  <c r="J143" i="1"/>
  <c r="K143" i="1"/>
  <c r="L143" i="1"/>
  <c r="B144" i="1"/>
  <c r="C144" i="1"/>
  <c r="D144" i="1"/>
  <c r="E144" i="1"/>
  <c r="F144" i="1"/>
  <c r="G144" i="1"/>
  <c r="R144" i="1" s="1"/>
  <c r="H144" i="1"/>
  <c r="I144" i="1"/>
  <c r="J144" i="1"/>
  <c r="K144" i="1"/>
  <c r="L144" i="1"/>
  <c r="B145" i="1"/>
  <c r="C145" i="1"/>
  <c r="D145" i="1"/>
  <c r="E145" i="1"/>
  <c r="F145" i="1"/>
  <c r="G145" i="1"/>
  <c r="R145" i="1" s="1"/>
  <c r="H145" i="1"/>
  <c r="I145" i="1"/>
  <c r="J145" i="1"/>
  <c r="K145" i="1"/>
  <c r="L145" i="1"/>
  <c r="B146" i="1"/>
  <c r="C146" i="1"/>
  <c r="D146" i="1"/>
  <c r="E146" i="1"/>
  <c r="F146" i="1"/>
  <c r="G146" i="1"/>
  <c r="R146" i="1" s="1"/>
  <c r="H146" i="1"/>
  <c r="I146" i="1"/>
  <c r="J146" i="1"/>
  <c r="K146" i="1"/>
  <c r="L146" i="1"/>
  <c r="B147" i="1"/>
  <c r="C147" i="1"/>
  <c r="D147" i="1"/>
  <c r="E147" i="1"/>
  <c r="F147" i="1"/>
  <c r="G147" i="1"/>
  <c r="R147" i="1" s="1"/>
  <c r="H147" i="1"/>
  <c r="I147" i="1"/>
  <c r="J147" i="1"/>
  <c r="K147" i="1"/>
  <c r="L147" i="1"/>
  <c r="B148" i="1"/>
  <c r="C148" i="1"/>
  <c r="D148" i="1"/>
  <c r="E148" i="1"/>
  <c r="F148" i="1"/>
  <c r="G148" i="1"/>
  <c r="R148" i="1" s="1"/>
  <c r="H148" i="1"/>
  <c r="I148" i="1"/>
  <c r="J148" i="1"/>
  <c r="K148" i="1"/>
  <c r="L148" i="1"/>
  <c r="B149" i="1"/>
  <c r="C149" i="1"/>
  <c r="D149" i="1"/>
  <c r="E149" i="1"/>
  <c r="F149" i="1"/>
  <c r="G149" i="1"/>
  <c r="R149" i="1" s="1"/>
  <c r="H149" i="1"/>
  <c r="I149" i="1"/>
  <c r="J149" i="1"/>
  <c r="K149" i="1"/>
  <c r="L149" i="1"/>
  <c r="B150" i="1"/>
  <c r="C150" i="1"/>
  <c r="D150" i="1"/>
  <c r="E150" i="1"/>
  <c r="F150" i="1"/>
  <c r="G150" i="1"/>
  <c r="R150" i="1" s="1"/>
  <c r="H150" i="1"/>
  <c r="I150" i="1"/>
  <c r="J150" i="1"/>
  <c r="K150" i="1"/>
  <c r="L150" i="1"/>
  <c r="B151" i="1"/>
  <c r="C151" i="1"/>
  <c r="D151" i="1"/>
  <c r="E151" i="1"/>
  <c r="F151" i="1"/>
  <c r="G151" i="1"/>
  <c r="R151" i="1" s="1"/>
  <c r="H151" i="1"/>
  <c r="I151" i="1"/>
  <c r="J151" i="1"/>
  <c r="K151" i="1"/>
  <c r="L151" i="1"/>
  <c r="B152" i="1"/>
  <c r="C152" i="1"/>
  <c r="D152" i="1"/>
  <c r="E152" i="1"/>
  <c r="F152" i="1"/>
  <c r="G152" i="1"/>
  <c r="R152" i="1" s="1"/>
  <c r="H152" i="1"/>
  <c r="I152" i="1"/>
  <c r="J152" i="1"/>
  <c r="K152" i="1"/>
  <c r="L152" i="1"/>
  <c r="B153" i="1"/>
  <c r="C153" i="1"/>
  <c r="D153" i="1"/>
  <c r="E153" i="1"/>
  <c r="F153" i="1"/>
  <c r="G153" i="1"/>
  <c r="R153" i="1" s="1"/>
  <c r="H153" i="1"/>
  <c r="I153" i="1"/>
  <c r="J153" i="1"/>
  <c r="K153" i="1"/>
  <c r="L153" i="1"/>
  <c r="B154" i="1"/>
  <c r="C154" i="1"/>
  <c r="D154" i="1"/>
  <c r="E154" i="1"/>
  <c r="F154" i="1"/>
  <c r="G154" i="1"/>
  <c r="R154" i="1" s="1"/>
  <c r="H154" i="1"/>
  <c r="I154" i="1"/>
  <c r="J154" i="1"/>
  <c r="K154" i="1"/>
  <c r="L154" i="1"/>
  <c r="B155" i="1"/>
  <c r="C155" i="1"/>
  <c r="D155" i="1"/>
  <c r="E155" i="1"/>
  <c r="F155" i="1"/>
  <c r="G155" i="1"/>
  <c r="R155" i="1" s="1"/>
  <c r="H155" i="1"/>
  <c r="I155" i="1"/>
  <c r="J155" i="1"/>
  <c r="K155" i="1"/>
  <c r="L155" i="1"/>
  <c r="B156" i="1"/>
  <c r="C156" i="1"/>
  <c r="D156" i="1"/>
  <c r="E156" i="1"/>
  <c r="F156" i="1"/>
  <c r="G156" i="1"/>
  <c r="R156" i="1" s="1"/>
  <c r="H156" i="1"/>
  <c r="I156" i="1"/>
  <c r="J156" i="1"/>
  <c r="K156" i="1"/>
  <c r="L156" i="1"/>
  <c r="B157" i="1"/>
  <c r="C157" i="1"/>
  <c r="D157" i="1"/>
  <c r="E157" i="1"/>
  <c r="F157" i="1"/>
  <c r="G157" i="1"/>
  <c r="R157" i="1" s="1"/>
  <c r="H157" i="1"/>
  <c r="I157" i="1"/>
  <c r="J157" i="1"/>
  <c r="K157" i="1"/>
  <c r="L157" i="1"/>
  <c r="B158" i="1"/>
  <c r="C158" i="1"/>
  <c r="D158" i="1"/>
  <c r="E158" i="1"/>
  <c r="F158" i="1"/>
  <c r="G158" i="1"/>
  <c r="R158" i="1" s="1"/>
  <c r="H158" i="1"/>
  <c r="I158" i="1"/>
  <c r="J158" i="1"/>
  <c r="K158" i="1"/>
  <c r="L158" i="1"/>
  <c r="B159" i="1"/>
  <c r="C159" i="1"/>
  <c r="D159" i="1"/>
  <c r="E159" i="1"/>
  <c r="F159" i="1"/>
  <c r="G159" i="1"/>
  <c r="R159" i="1" s="1"/>
  <c r="H159" i="1"/>
  <c r="I159" i="1"/>
  <c r="J159" i="1"/>
  <c r="K159" i="1"/>
  <c r="L159" i="1"/>
  <c r="B160" i="1"/>
  <c r="C160" i="1"/>
  <c r="D160" i="1"/>
  <c r="E160" i="1"/>
  <c r="F160" i="1"/>
  <c r="G160" i="1"/>
  <c r="R160" i="1" s="1"/>
  <c r="H160" i="1"/>
  <c r="I160" i="1"/>
  <c r="J160" i="1"/>
  <c r="K160" i="1"/>
  <c r="L160" i="1"/>
  <c r="B161" i="1"/>
  <c r="C161" i="1"/>
  <c r="D161" i="1"/>
  <c r="E161" i="1"/>
  <c r="F161" i="1"/>
  <c r="G161" i="1"/>
  <c r="R161" i="1" s="1"/>
  <c r="H161" i="1"/>
  <c r="I161" i="1"/>
  <c r="J161" i="1"/>
  <c r="K161" i="1"/>
  <c r="L161" i="1"/>
  <c r="B162" i="1"/>
  <c r="C162" i="1"/>
  <c r="D162" i="1"/>
  <c r="E162" i="1"/>
  <c r="F162" i="1"/>
  <c r="G162" i="1"/>
  <c r="R162" i="1" s="1"/>
  <c r="H162" i="1"/>
  <c r="I162" i="1"/>
  <c r="J162" i="1"/>
  <c r="K162" i="1"/>
  <c r="L162" i="1"/>
  <c r="B163" i="1"/>
  <c r="C163" i="1"/>
  <c r="D163" i="1"/>
  <c r="E163" i="1"/>
  <c r="F163" i="1"/>
  <c r="G163" i="1"/>
  <c r="R163" i="1" s="1"/>
  <c r="H163" i="1"/>
  <c r="I163" i="1"/>
  <c r="J163" i="1"/>
  <c r="K163" i="1"/>
  <c r="L163" i="1"/>
  <c r="B164" i="1"/>
  <c r="C164" i="1"/>
  <c r="D164" i="1"/>
  <c r="E164" i="1"/>
  <c r="F164" i="1"/>
  <c r="G164" i="1"/>
  <c r="R164" i="1" s="1"/>
  <c r="H164" i="1"/>
  <c r="I164" i="1"/>
  <c r="J164" i="1"/>
  <c r="K164" i="1"/>
  <c r="L164" i="1"/>
  <c r="B165" i="1"/>
  <c r="C165" i="1"/>
  <c r="D165" i="1"/>
  <c r="E165" i="1"/>
  <c r="F165" i="1"/>
  <c r="G165" i="1"/>
  <c r="R165" i="1" s="1"/>
  <c r="H165" i="1"/>
  <c r="I165" i="1"/>
  <c r="J165" i="1"/>
  <c r="K165" i="1"/>
  <c r="L165" i="1"/>
  <c r="B166" i="1"/>
  <c r="C166" i="1"/>
  <c r="D166" i="1"/>
  <c r="E166" i="1"/>
  <c r="F166" i="1"/>
  <c r="G166" i="1"/>
  <c r="R166" i="1" s="1"/>
  <c r="H166" i="1"/>
  <c r="I166" i="1"/>
  <c r="J166" i="1"/>
  <c r="K166" i="1"/>
  <c r="L166" i="1"/>
  <c r="B167" i="1"/>
  <c r="C167" i="1"/>
  <c r="D167" i="1"/>
  <c r="E167" i="1"/>
  <c r="F167" i="1"/>
  <c r="G167" i="1"/>
  <c r="R167" i="1" s="1"/>
  <c r="H167" i="1"/>
  <c r="I167" i="1"/>
  <c r="J167" i="1"/>
  <c r="K167" i="1"/>
  <c r="L167" i="1"/>
  <c r="B168" i="1"/>
  <c r="C168" i="1"/>
  <c r="D168" i="1"/>
  <c r="E168" i="1"/>
  <c r="F168" i="1"/>
  <c r="G168" i="1"/>
  <c r="R168" i="1" s="1"/>
  <c r="H168" i="1"/>
  <c r="I168" i="1"/>
  <c r="J168" i="1"/>
  <c r="K168" i="1"/>
  <c r="L168" i="1"/>
  <c r="B169" i="1"/>
  <c r="C169" i="1"/>
  <c r="D169" i="1"/>
  <c r="E169" i="1"/>
  <c r="F169" i="1"/>
  <c r="G169" i="1"/>
  <c r="R169" i="1" s="1"/>
  <c r="H169" i="1"/>
  <c r="I169" i="1"/>
  <c r="J169" i="1"/>
  <c r="K169" i="1"/>
  <c r="L169" i="1"/>
  <c r="B170" i="1"/>
  <c r="C170" i="1"/>
  <c r="D170" i="1"/>
  <c r="E170" i="1"/>
  <c r="F170" i="1"/>
  <c r="G170" i="1"/>
  <c r="R170" i="1" s="1"/>
  <c r="H170" i="1"/>
  <c r="I170" i="1"/>
  <c r="J170" i="1"/>
  <c r="K170" i="1"/>
  <c r="L170" i="1"/>
  <c r="B171" i="1"/>
  <c r="C171" i="1"/>
  <c r="D171" i="1"/>
  <c r="E171" i="1"/>
  <c r="F171" i="1"/>
  <c r="G171" i="1"/>
  <c r="R171" i="1" s="1"/>
  <c r="H171" i="1"/>
  <c r="I171" i="1"/>
  <c r="J171" i="1"/>
  <c r="K171" i="1"/>
  <c r="L171" i="1"/>
  <c r="B172" i="1"/>
  <c r="C172" i="1"/>
  <c r="D172" i="1"/>
  <c r="E172" i="1"/>
  <c r="F172" i="1"/>
  <c r="G172" i="1"/>
  <c r="R172" i="1" s="1"/>
  <c r="H172" i="1"/>
  <c r="I172" i="1"/>
  <c r="J172" i="1"/>
  <c r="K172" i="1"/>
  <c r="L172" i="1"/>
  <c r="B173" i="1"/>
  <c r="C173" i="1"/>
  <c r="D173" i="1"/>
  <c r="E173" i="1"/>
  <c r="F173" i="1"/>
  <c r="G173" i="1"/>
  <c r="R173" i="1" s="1"/>
  <c r="H173" i="1"/>
  <c r="I173" i="1"/>
  <c r="J173" i="1"/>
  <c r="K173" i="1"/>
  <c r="L173" i="1"/>
  <c r="B174" i="1"/>
  <c r="C174" i="1"/>
  <c r="D174" i="1"/>
  <c r="E174" i="1"/>
  <c r="F174" i="1"/>
  <c r="G174" i="1"/>
  <c r="R174" i="1" s="1"/>
  <c r="H174" i="1"/>
  <c r="I174" i="1"/>
  <c r="J174" i="1"/>
  <c r="K174" i="1"/>
  <c r="L174" i="1"/>
  <c r="B175" i="1"/>
  <c r="C175" i="1"/>
  <c r="D175" i="1"/>
  <c r="E175" i="1"/>
  <c r="F175" i="1"/>
  <c r="G175" i="1"/>
  <c r="R175" i="1" s="1"/>
  <c r="H175" i="1"/>
  <c r="I175" i="1"/>
  <c r="J175" i="1"/>
  <c r="K175" i="1"/>
  <c r="L175" i="1"/>
  <c r="B176" i="1"/>
  <c r="C176" i="1"/>
  <c r="D176" i="1"/>
  <c r="E176" i="1"/>
  <c r="F176" i="1"/>
  <c r="G176" i="1"/>
  <c r="R176" i="1" s="1"/>
  <c r="H176" i="1"/>
  <c r="I176" i="1"/>
  <c r="J176" i="1"/>
  <c r="K176" i="1"/>
  <c r="L176" i="1"/>
  <c r="B177" i="1"/>
  <c r="C177" i="1"/>
  <c r="D177" i="1"/>
  <c r="E177" i="1"/>
  <c r="F177" i="1"/>
  <c r="G177" i="1"/>
  <c r="R177" i="1" s="1"/>
  <c r="H177" i="1"/>
  <c r="I177" i="1"/>
  <c r="J177" i="1"/>
  <c r="K177" i="1"/>
  <c r="L177" i="1"/>
  <c r="B178" i="1"/>
  <c r="C178" i="1"/>
  <c r="D178" i="1"/>
  <c r="E178" i="1"/>
  <c r="F178" i="1"/>
  <c r="G178" i="1"/>
  <c r="R178" i="1" s="1"/>
  <c r="H178" i="1"/>
  <c r="I178" i="1"/>
  <c r="J178" i="1"/>
  <c r="K178" i="1"/>
  <c r="L178" i="1"/>
  <c r="B179" i="1"/>
  <c r="C179" i="1"/>
  <c r="D179" i="1"/>
  <c r="E179" i="1"/>
  <c r="F179" i="1"/>
  <c r="G179" i="1"/>
  <c r="R179" i="1" s="1"/>
  <c r="H179" i="1"/>
  <c r="I179" i="1"/>
  <c r="J179" i="1"/>
  <c r="K179" i="1"/>
  <c r="L179" i="1"/>
  <c r="B180" i="1"/>
  <c r="C180" i="1"/>
  <c r="D180" i="1"/>
  <c r="E180" i="1"/>
  <c r="F180" i="1"/>
  <c r="G180" i="1"/>
  <c r="R180" i="1" s="1"/>
  <c r="H180" i="1"/>
  <c r="I180" i="1"/>
  <c r="J180" i="1"/>
  <c r="K180" i="1"/>
  <c r="L180" i="1"/>
  <c r="B181" i="1"/>
  <c r="C181" i="1"/>
  <c r="D181" i="1"/>
  <c r="E181" i="1"/>
  <c r="F181" i="1"/>
  <c r="G181" i="1"/>
  <c r="R181" i="1" s="1"/>
  <c r="H181" i="1"/>
  <c r="I181" i="1"/>
  <c r="J181" i="1"/>
  <c r="K181" i="1"/>
  <c r="L181" i="1"/>
  <c r="B182" i="1"/>
  <c r="C182" i="1"/>
  <c r="D182" i="1"/>
  <c r="E182" i="1"/>
  <c r="F182" i="1"/>
  <c r="G182" i="1"/>
  <c r="R182" i="1" s="1"/>
  <c r="H182" i="1"/>
  <c r="I182" i="1"/>
  <c r="J182" i="1"/>
  <c r="K182" i="1"/>
  <c r="L182" i="1"/>
  <c r="B183" i="1"/>
  <c r="C183" i="1"/>
  <c r="D183" i="1"/>
  <c r="E183" i="1"/>
  <c r="F183" i="1"/>
  <c r="G183" i="1"/>
  <c r="R183" i="1" s="1"/>
  <c r="H183" i="1"/>
  <c r="I183" i="1"/>
  <c r="J183" i="1"/>
  <c r="K183" i="1"/>
  <c r="L183" i="1"/>
  <c r="B184" i="1"/>
  <c r="C184" i="1"/>
  <c r="D184" i="1"/>
  <c r="E184" i="1"/>
  <c r="F184" i="1"/>
  <c r="G184" i="1"/>
  <c r="R184" i="1" s="1"/>
  <c r="H184" i="1"/>
  <c r="I184" i="1"/>
  <c r="J184" i="1"/>
  <c r="K184" i="1"/>
  <c r="L184" i="1"/>
  <c r="B185" i="1"/>
  <c r="C185" i="1"/>
  <c r="D185" i="1"/>
  <c r="E185" i="1"/>
  <c r="F185" i="1"/>
  <c r="G185" i="1"/>
  <c r="R185" i="1" s="1"/>
  <c r="H185" i="1"/>
  <c r="I185" i="1"/>
  <c r="J185" i="1"/>
  <c r="K185" i="1"/>
  <c r="L185" i="1"/>
  <c r="B186" i="1"/>
  <c r="C186" i="1"/>
  <c r="D186" i="1"/>
  <c r="E186" i="1"/>
  <c r="F186" i="1"/>
  <c r="G186" i="1"/>
  <c r="R186" i="1" s="1"/>
  <c r="H186" i="1"/>
  <c r="I186" i="1"/>
  <c r="J186" i="1"/>
  <c r="K186" i="1"/>
  <c r="L186" i="1"/>
  <c r="B187" i="1"/>
  <c r="C187" i="1"/>
  <c r="D187" i="1"/>
  <c r="E187" i="1"/>
  <c r="F187" i="1"/>
  <c r="G187" i="1"/>
  <c r="R187" i="1" s="1"/>
  <c r="H187" i="1"/>
  <c r="I187" i="1"/>
  <c r="J187" i="1"/>
  <c r="K187" i="1"/>
  <c r="L187" i="1"/>
  <c r="B188" i="1"/>
  <c r="C188" i="1"/>
  <c r="D188" i="1"/>
  <c r="E188" i="1"/>
  <c r="F188" i="1"/>
  <c r="G188" i="1"/>
  <c r="R188" i="1" s="1"/>
  <c r="H188" i="1"/>
  <c r="I188" i="1"/>
  <c r="J188" i="1"/>
  <c r="K188" i="1"/>
  <c r="L188" i="1"/>
  <c r="B189" i="1"/>
  <c r="C189" i="1"/>
  <c r="D189" i="1"/>
  <c r="E189" i="1"/>
  <c r="F189" i="1"/>
  <c r="G189" i="1"/>
  <c r="R189" i="1" s="1"/>
  <c r="H189" i="1"/>
  <c r="I189" i="1"/>
  <c r="J189" i="1"/>
  <c r="K189" i="1"/>
  <c r="L189" i="1"/>
  <c r="B190" i="1"/>
  <c r="C190" i="1"/>
  <c r="D190" i="1"/>
  <c r="E190" i="1"/>
  <c r="F190" i="1"/>
  <c r="G190" i="1"/>
  <c r="R190" i="1" s="1"/>
  <c r="H190" i="1"/>
  <c r="I190" i="1"/>
  <c r="J190" i="1"/>
  <c r="K190" i="1"/>
  <c r="L190" i="1"/>
  <c r="B191" i="1"/>
  <c r="C191" i="1"/>
  <c r="D191" i="1"/>
  <c r="E191" i="1"/>
  <c r="F191" i="1"/>
  <c r="G191" i="1"/>
  <c r="R191" i="1" s="1"/>
  <c r="H191" i="1"/>
  <c r="I191" i="1"/>
  <c r="J191" i="1"/>
  <c r="K191" i="1"/>
  <c r="L191" i="1"/>
  <c r="B192" i="1"/>
  <c r="C192" i="1"/>
  <c r="D192" i="1"/>
  <c r="E192" i="1"/>
  <c r="F192" i="1"/>
  <c r="G192" i="1"/>
  <c r="R192" i="1" s="1"/>
  <c r="H192" i="1"/>
  <c r="I192" i="1"/>
  <c r="J192" i="1"/>
  <c r="K192" i="1"/>
  <c r="L192" i="1"/>
  <c r="B193" i="1"/>
  <c r="C193" i="1"/>
  <c r="D193" i="1"/>
  <c r="E193" i="1"/>
  <c r="F193" i="1"/>
  <c r="G193" i="1"/>
  <c r="R193" i="1" s="1"/>
  <c r="H193" i="1"/>
  <c r="I193" i="1"/>
  <c r="J193" i="1"/>
  <c r="K193" i="1"/>
  <c r="L193" i="1"/>
  <c r="B194" i="1"/>
  <c r="C194" i="1"/>
  <c r="D194" i="1"/>
  <c r="E194" i="1"/>
  <c r="F194" i="1"/>
  <c r="G194" i="1"/>
  <c r="R194" i="1" s="1"/>
  <c r="H194" i="1"/>
  <c r="I194" i="1"/>
  <c r="J194" i="1"/>
  <c r="K194" i="1"/>
  <c r="L194" i="1"/>
  <c r="B195" i="1"/>
  <c r="C195" i="1"/>
  <c r="D195" i="1"/>
  <c r="E195" i="1"/>
  <c r="F195" i="1"/>
  <c r="G195" i="1"/>
  <c r="R195" i="1" s="1"/>
  <c r="H195" i="1"/>
  <c r="I195" i="1"/>
  <c r="J195" i="1"/>
  <c r="K195" i="1"/>
  <c r="L195" i="1"/>
  <c r="B196" i="1"/>
  <c r="C196" i="1"/>
  <c r="D196" i="1"/>
  <c r="E196" i="1"/>
  <c r="F196" i="1"/>
  <c r="G196" i="1"/>
  <c r="R196" i="1" s="1"/>
  <c r="H196" i="1"/>
  <c r="I196" i="1"/>
  <c r="J196" i="1"/>
  <c r="K196" i="1"/>
  <c r="L196" i="1"/>
  <c r="B197" i="1"/>
  <c r="C197" i="1"/>
  <c r="D197" i="1"/>
  <c r="E197" i="1"/>
  <c r="F197" i="1"/>
  <c r="G197" i="1"/>
  <c r="R197" i="1" s="1"/>
  <c r="H197" i="1"/>
  <c r="I197" i="1"/>
  <c r="J197" i="1"/>
  <c r="K197" i="1"/>
  <c r="L197" i="1"/>
  <c r="B198" i="1"/>
  <c r="C198" i="1"/>
  <c r="D198" i="1"/>
  <c r="E198" i="1"/>
  <c r="F198" i="1"/>
  <c r="G198" i="1"/>
  <c r="R198" i="1" s="1"/>
  <c r="H198" i="1"/>
  <c r="I198" i="1"/>
  <c r="J198" i="1"/>
  <c r="K198" i="1"/>
  <c r="L198" i="1"/>
  <c r="B199" i="1"/>
  <c r="C199" i="1"/>
  <c r="D199" i="1"/>
  <c r="E199" i="1"/>
  <c r="F199" i="1"/>
  <c r="G199" i="1"/>
  <c r="R199" i="1" s="1"/>
  <c r="H199" i="1"/>
  <c r="I199" i="1"/>
  <c r="J199" i="1"/>
  <c r="K199" i="1"/>
  <c r="L199" i="1"/>
  <c r="B200" i="1"/>
  <c r="C200" i="1"/>
  <c r="D200" i="1"/>
  <c r="E200" i="1"/>
  <c r="F200" i="1"/>
  <c r="G200" i="1"/>
  <c r="R200" i="1" s="1"/>
  <c r="H200" i="1"/>
  <c r="I200" i="1"/>
  <c r="J200" i="1"/>
  <c r="K200" i="1"/>
  <c r="L200" i="1"/>
  <c r="B201" i="1"/>
  <c r="C201" i="1"/>
  <c r="D201" i="1"/>
  <c r="E201" i="1"/>
  <c r="F201" i="1"/>
  <c r="G201" i="1"/>
  <c r="R201" i="1" s="1"/>
  <c r="H201" i="1"/>
  <c r="I201" i="1"/>
  <c r="J201" i="1"/>
  <c r="K201" i="1"/>
  <c r="L201" i="1"/>
  <c r="B202" i="1"/>
  <c r="C202" i="1"/>
  <c r="D202" i="1"/>
  <c r="E202" i="1"/>
  <c r="F202" i="1"/>
  <c r="G202" i="1"/>
  <c r="R202" i="1" s="1"/>
  <c r="H202" i="1"/>
  <c r="I202" i="1"/>
  <c r="J202" i="1"/>
  <c r="K202" i="1"/>
  <c r="L202" i="1"/>
  <c r="B203" i="1"/>
  <c r="C203" i="1"/>
  <c r="D203" i="1"/>
  <c r="E203" i="1"/>
  <c r="F203" i="1"/>
  <c r="G203" i="1"/>
  <c r="R203" i="1" s="1"/>
  <c r="H203" i="1"/>
  <c r="I203" i="1"/>
  <c r="J203" i="1"/>
  <c r="K203" i="1"/>
  <c r="L203" i="1"/>
  <c r="B204" i="1"/>
  <c r="C204" i="1"/>
  <c r="D204" i="1"/>
  <c r="E204" i="1"/>
  <c r="F204" i="1"/>
  <c r="G204" i="1"/>
  <c r="R204" i="1" s="1"/>
  <c r="H204" i="1"/>
  <c r="I204" i="1"/>
  <c r="J204" i="1"/>
  <c r="K204" i="1"/>
  <c r="L204" i="1"/>
  <c r="B205" i="1"/>
  <c r="C205" i="1"/>
  <c r="D205" i="1"/>
  <c r="E205" i="1"/>
  <c r="F205" i="1"/>
  <c r="G205" i="1"/>
  <c r="R205" i="1" s="1"/>
  <c r="H205" i="1"/>
  <c r="I205" i="1"/>
  <c r="J205" i="1"/>
  <c r="K205" i="1"/>
  <c r="L205" i="1"/>
  <c r="B206" i="1"/>
  <c r="C206" i="1"/>
  <c r="D206" i="1"/>
  <c r="E206" i="1"/>
  <c r="F206" i="1"/>
  <c r="G206" i="1"/>
  <c r="R206" i="1" s="1"/>
  <c r="H206" i="1"/>
  <c r="I206" i="1"/>
  <c r="J206" i="1"/>
  <c r="K206" i="1"/>
  <c r="L206" i="1"/>
  <c r="B207" i="1"/>
  <c r="C207" i="1"/>
  <c r="D207" i="1"/>
  <c r="E207" i="1"/>
  <c r="F207" i="1"/>
  <c r="G207" i="1"/>
  <c r="R207" i="1" s="1"/>
  <c r="H207" i="1"/>
  <c r="I207" i="1"/>
  <c r="J207" i="1"/>
  <c r="K207" i="1"/>
  <c r="L207" i="1"/>
  <c r="B208" i="1"/>
  <c r="C208" i="1"/>
  <c r="D208" i="1"/>
  <c r="E208" i="1"/>
  <c r="F208" i="1"/>
  <c r="G208" i="1"/>
  <c r="R208" i="1" s="1"/>
  <c r="H208" i="1"/>
  <c r="I208" i="1"/>
  <c r="J208" i="1"/>
  <c r="K208" i="1"/>
  <c r="L208" i="1"/>
  <c r="B209" i="1"/>
  <c r="C209" i="1"/>
  <c r="D209" i="1"/>
  <c r="E209" i="1"/>
  <c r="F209" i="1"/>
  <c r="G209" i="1"/>
  <c r="R209" i="1" s="1"/>
  <c r="H209" i="1"/>
  <c r="I209" i="1"/>
  <c r="J209" i="1"/>
  <c r="K209" i="1"/>
  <c r="L209" i="1"/>
  <c r="B210" i="1"/>
  <c r="C210" i="1"/>
  <c r="D210" i="1"/>
  <c r="E210" i="1"/>
  <c r="F210" i="1"/>
  <c r="G210" i="1"/>
  <c r="R210" i="1" s="1"/>
  <c r="H210" i="1"/>
  <c r="I210" i="1"/>
  <c r="J210" i="1"/>
  <c r="K210" i="1"/>
  <c r="L210" i="1"/>
  <c r="B211" i="1"/>
  <c r="C211" i="1"/>
  <c r="D211" i="1"/>
  <c r="E211" i="1"/>
  <c r="F211" i="1"/>
  <c r="G211" i="1"/>
  <c r="R211" i="1" s="1"/>
  <c r="H211" i="1"/>
  <c r="I211" i="1"/>
  <c r="J211" i="1"/>
  <c r="K211" i="1"/>
  <c r="L211" i="1"/>
  <c r="B212" i="1"/>
  <c r="C212" i="1"/>
  <c r="D212" i="1"/>
  <c r="E212" i="1"/>
  <c r="F212" i="1"/>
  <c r="G212" i="1"/>
  <c r="R212" i="1" s="1"/>
  <c r="H212" i="1"/>
  <c r="I212" i="1"/>
  <c r="J212" i="1"/>
  <c r="K212" i="1"/>
  <c r="L212" i="1"/>
  <c r="B213" i="1"/>
  <c r="C213" i="1"/>
  <c r="D213" i="1"/>
  <c r="E213" i="1"/>
  <c r="F213" i="1"/>
  <c r="G213" i="1"/>
  <c r="R213" i="1" s="1"/>
  <c r="H213" i="1"/>
  <c r="I213" i="1"/>
  <c r="J213" i="1"/>
  <c r="K213" i="1"/>
  <c r="L213" i="1"/>
  <c r="B214" i="1"/>
  <c r="C214" i="1"/>
  <c r="D214" i="1"/>
  <c r="E214" i="1"/>
  <c r="F214" i="1"/>
  <c r="G214" i="1"/>
  <c r="R214" i="1" s="1"/>
  <c r="H214" i="1"/>
  <c r="I214" i="1"/>
  <c r="J214" i="1"/>
  <c r="K214" i="1"/>
  <c r="L214" i="1"/>
  <c r="B215" i="1"/>
  <c r="C215" i="1"/>
  <c r="D215" i="1"/>
  <c r="E215" i="1"/>
  <c r="F215" i="1"/>
  <c r="G215" i="1"/>
  <c r="R215" i="1" s="1"/>
  <c r="H215" i="1"/>
  <c r="I215" i="1"/>
  <c r="J215" i="1"/>
  <c r="K215" i="1"/>
  <c r="L215" i="1"/>
  <c r="B216" i="1"/>
  <c r="C216" i="1"/>
  <c r="D216" i="1"/>
  <c r="E216" i="1"/>
  <c r="F216" i="1"/>
  <c r="G216" i="1"/>
  <c r="R216" i="1" s="1"/>
  <c r="H216" i="1"/>
  <c r="I216" i="1"/>
  <c r="J216" i="1"/>
  <c r="K216" i="1"/>
  <c r="L216" i="1"/>
  <c r="B217" i="1"/>
  <c r="C217" i="1"/>
  <c r="D217" i="1"/>
  <c r="E217" i="1"/>
  <c r="F217" i="1"/>
  <c r="G217" i="1"/>
  <c r="R217" i="1" s="1"/>
  <c r="H217" i="1"/>
  <c r="I217" i="1"/>
  <c r="J217" i="1"/>
  <c r="K217" i="1"/>
  <c r="L217" i="1"/>
  <c r="B218" i="1"/>
  <c r="C218" i="1"/>
  <c r="D218" i="1"/>
  <c r="E218" i="1"/>
  <c r="F218" i="1"/>
  <c r="G218" i="1"/>
  <c r="R218" i="1" s="1"/>
  <c r="H218" i="1"/>
  <c r="I218" i="1"/>
  <c r="J218" i="1"/>
  <c r="K218" i="1"/>
  <c r="L218" i="1"/>
  <c r="B219" i="1"/>
  <c r="C219" i="1"/>
  <c r="D219" i="1"/>
  <c r="E219" i="1"/>
  <c r="F219" i="1"/>
  <c r="G219" i="1"/>
  <c r="R219" i="1" s="1"/>
  <c r="H219" i="1"/>
  <c r="I219" i="1"/>
  <c r="J219" i="1"/>
  <c r="K219" i="1"/>
  <c r="L219" i="1"/>
  <c r="B220" i="1"/>
  <c r="C220" i="1"/>
  <c r="D220" i="1"/>
  <c r="E220" i="1"/>
  <c r="F220" i="1"/>
  <c r="G220" i="1"/>
  <c r="R220" i="1" s="1"/>
  <c r="H220" i="1"/>
  <c r="I220" i="1"/>
  <c r="J220" i="1"/>
  <c r="K220" i="1"/>
  <c r="L220" i="1"/>
  <c r="B221" i="1"/>
  <c r="C221" i="1"/>
  <c r="D221" i="1"/>
  <c r="E221" i="1"/>
  <c r="F221" i="1"/>
  <c r="G221" i="1"/>
  <c r="R221" i="1" s="1"/>
  <c r="H221" i="1"/>
  <c r="I221" i="1"/>
  <c r="J221" i="1"/>
  <c r="K221" i="1"/>
  <c r="L221" i="1"/>
  <c r="B222" i="1"/>
  <c r="C222" i="1"/>
  <c r="D222" i="1"/>
  <c r="E222" i="1"/>
  <c r="F222" i="1"/>
  <c r="G222" i="1"/>
  <c r="R222" i="1" s="1"/>
  <c r="H222" i="1"/>
  <c r="I222" i="1"/>
  <c r="J222" i="1"/>
  <c r="K222" i="1"/>
  <c r="L222" i="1"/>
  <c r="B223" i="1"/>
  <c r="C223" i="1"/>
  <c r="D223" i="1"/>
  <c r="E223" i="1"/>
  <c r="F223" i="1"/>
  <c r="G223" i="1"/>
  <c r="R223" i="1" s="1"/>
  <c r="H223" i="1"/>
  <c r="I223" i="1"/>
  <c r="J223" i="1"/>
  <c r="K223" i="1"/>
  <c r="L223" i="1"/>
  <c r="B224" i="1"/>
  <c r="C224" i="1"/>
  <c r="D224" i="1"/>
  <c r="E224" i="1"/>
  <c r="F224" i="1"/>
  <c r="G224" i="1"/>
  <c r="R224" i="1" s="1"/>
  <c r="H224" i="1"/>
  <c r="I224" i="1"/>
  <c r="J224" i="1"/>
  <c r="K224" i="1"/>
  <c r="L224" i="1"/>
  <c r="B225" i="1"/>
  <c r="C225" i="1"/>
  <c r="D225" i="1"/>
  <c r="E225" i="1"/>
  <c r="F225" i="1"/>
  <c r="G225" i="1"/>
  <c r="R225" i="1" s="1"/>
  <c r="H225" i="1"/>
  <c r="I225" i="1"/>
  <c r="J225" i="1"/>
  <c r="K225" i="1"/>
  <c r="L225" i="1"/>
  <c r="B226" i="1"/>
  <c r="C226" i="1"/>
  <c r="D226" i="1"/>
  <c r="E226" i="1"/>
  <c r="F226" i="1"/>
  <c r="G226" i="1"/>
  <c r="R226" i="1" s="1"/>
  <c r="H226" i="1"/>
  <c r="I226" i="1"/>
  <c r="J226" i="1"/>
  <c r="K226" i="1"/>
  <c r="L226" i="1"/>
  <c r="B227" i="1"/>
  <c r="C227" i="1"/>
  <c r="D227" i="1"/>
  <c r="E227" i="1"/>
  <c r="F227" i="1"/>
  <c r="G227" i="1"/>
  <c r="R227" i="1" s="1"/>
  <c r="H227" i="1"/>
  <c r="I227" i="1"/>
  <c r="J227" i="1"/>
  <c r="K227" i="1"/>
  <c r="L227" i="1"/>
  <c r="B228" i="1"/>
  <c r="C228" i="1"/>
  <c r="D228" i="1"/>
  <c r="E228" i="1"/>
  <c r="F228" i="1"/>
  <c r="G228" i="1"/>
  <c r="R228" i="1" s="1"/>
  <c r="H228" i="1"/>
  <c r="I228" i="1"/>
  <c r="J228" i="1"/>
  <c r="K228" i="1"/>
  <c r="L228" i="1"/>
  <c r="B229" i="1"/>
  <c r="C229" i="1"/>
  <c r="D229" i="1"/>
  <c r="E229" i="1"/>
  <c r="F229" i="1"/>
  <c r="G229" i="1"/>
  <c r="R229" i="1" s="1"/>
  <c r="H229" i="1"/>
  <c r="I229" i="1"/>
  <c r="J229" i="1"/>
  <c r="K229" i="1"/>
  <c r="L229" i="1"/>
  <c r="B230" i="1"/>
  <c r="C230" i="1"/>
  <c r="D230" i="1"/>
  <c r="E230" i="1"/>
  <c r="F230" i="1"/>
  <c r="G230" i="1"/>
  <c r="R230" i="1" s="1"/>
  <c r="H230" i="1"/>
  <c r="I230" i="1"/>
  <c r="J230" i="1"/>
  <c r="K230" i="1"/>
  <c r="L230" i="1"/>
  <c r="B231" i="1"/>
  <c r="C231" i="1"/>
  <c r="D231" i="1"/>
  <c r="E231" i="1"/>
  <c r="F231" i="1"/>
  <c r="G231" i="1"/>
  <c r="R231" i="1" s="1"/>
  <c r="H231" i="1"/>
  <c r="I231" i="1"/>
  <c r="J231" i="1"/>
  <c r="K231" i="1"/>
  <c r="L231" i="1"/>
  <c r="B232" i="1"/>
  <c r="C232" i="1"/>
  <c r="D232" i="1"/>
  <c r="E232" i="1"/>
  <c r="F232" i="1"/>
  <c r="G232" i="1"/>
  <c r="R232" i="1" s="1"/>
  <c r="H232" i="1"/>
  <c r="I232" i="1"/>
  <c r="J232" i="1"/>
  <c r="K232" i="1"/>
  <c r="L232" i="1"/>
  <c r="B233" i="1"/>
  <c r="C233" i="1"/>
  <c r="D233" i="1"/>
  <c r="E233" i="1"/>
  <c r="F233" i="1"/>
  <c r="G233" i="1"/>
  <c r="R233" i="1" s="1"/>
  <c r="H233" i="1"/>
  <c r="I233" i="1"/>
  <c r="J233" i="1"/>
  <c r="K233" i="1"/>
  <c r="L233" i="1"/>
  <c r="B234" i="1"/>
  <c r="C234" i="1"/>
  <c r="D234" i="1"/>
  <c r="E234" i="1"/>
  <c r="F234" i="1"/>
  <c r="G234" i="1"/>
  <c r="R234" i="1" s="1"/>
  <c r="H234" i="1"/>
  <c r="I234" i="1"/>
  <c r="J234" i="1"/>
  <c r="K234" i="1"/>
  <c r="L234" i="1"/>
  <c r="B235" i="1"/>
  <c r="C235" i="1"/>
  <c r="D235" i="1"/>
  <c r="E235" i="1"/>
  <c r="F235" i="1"/>
  <c r="G235" i="1"/>
  <c r="R235" i="1" s="1"/>
  <c r="H235" i="1"/>
  <c r="I235" i="1"/>
  <c r="J235" i="1"/>
  <c r="K235" i="1"/>
  <c r="L235" i="1"/>
  <c r="B236" i="1"/>
  <c r="C236" i="1"/>
  <c r="D236" i="1"/>
  <c r="E236" i="1"/>
  <c r="F236" i="1"/>
  <c r="G236" i="1"/>
  <c r="R236" i="1" s="1"/>
  <c r="H236" i="1"/>
  <c r="I236" i="1"/>
  <c r="J236" i="1"/>
  <c r="K236" i="1"/>
  <c r="L236" i="1"/>
  <c r="B237" i="1"/>
  <c r="C237" i="1"/>
  <c r="D237" i="1"/>
  <c r="E237" i="1"/>
  <c r="F237" i="1"/>
  <c r="G237" i="1"/>
  <c r="R237" i="1" s="1"/>
  <c r="H237" i="1"/>
  <c r="I237" i="1"/>
  <c r="J237" i="1"/>
  <c r="K237" i="1"/>
  <c r="L237" i="1"/>
  <c r="B238" i="1"/>
  <c r="C238" i="1"/>
  <c r="D238" i="1"/>
  <c r="E238" i="1"/>
  <c r="F238" i="1"/>
  <c r="G238" i="1"/>
  <c r="R238" i="1" s="1"/>
  <c r="H238" i="1"/>
  <c r="I238" i="1"/>
  <c r="J238" i="1"/>
  <c r="K238" i="1"/>
  <c r="L238" i="1"/>
  <c r="B239" i="1"/>
  <c r="C239" i="1"/>
  <c r="D239" i="1"/>
  <c r="E239" i="1"/>
  <c r="F239" i="1"/>
  <c r="G239" i="1"/>
  <c r="R239" i="1" s="1"/>
  <c r="H239" i="1"/>
  <c r="I239" i="1"/>
  <c r="J239" i="1"/>
  <c r="K239" i="1"/>
  <c r="L239" i="1"/>
  <c r="B240" i="1"/>
  <c r="C240" i="1"/>
  <c r="D240" i="1"/>
  <c r="E240" i="1"/>
  <c r="F240" i="1"/>
  <c r="G240" i="1"/>
  <c r="R240" i="1" s="1"/>
  <c r="H240" i="1"/>
  <c r="I240" i="1"/>
  <c r="J240" i="1"/>
  <c r="K240" i="1"/>
  <c r="L240" i="1"/>
  <c r="B241" i="1"/>
  <c r="C241" i="1"/>
  <c r="D241" i="1"/>
  <c r="E241" i="1"/>
  <c r="F241" i="1"/>
  <c r="G241" i="1"/>
  <c r="R241" i="1" s="1"/>
  <c r="H241" i="1"/>
  <c r="I241" i="1"/>
  <c r="J241" i="1"/>
  <c r="K241" i="1"/>
  <c r="L241" i="1"/>
  <c r="B242" i="1"/>
  <c r="C242" i="1"/>
  <c r="D242" i="1"/>
  <c r="E242" i="1"/>
  <c r="F242" i="1"/>
  <c r="G242" i="1"/>
  <c r="R242" i="1" s="1"/>
  <c r="H242" i="1"/>
  <c r="I242" i="1"/>
  <c r="J242" i="1"/>
  <c r="K242" i="1"/>
  <c r="L242" i="1"/>
  <c r="B243" i="1"/>
  <c r="C243" i="1"/>
  <c r="D243" i="1"/>
  <c r="E243" i="1"/>
  <c r="F243" i="1"/>
  <c r="G243" i="1"/>
  <c r="R243" i="1" s="1"/>
  <c r="H243" i="1"/>
  <c r="I243" i="1"/>
  <c r="J243" i="1"/>
  <c r="K243" i="1"/>
  <c r="L243" i="1"/>
  <c r="B244" i="1"/>
  <c r="C244" i="1"/>
  <c r="D244" i="1"/>
  <c r="E244" i="1"/>
  <c r="F244" i="1"/>
  <c r="G244" i="1"/>
  <c r="R244" i="1" s="1"/>
  <c r="H244" i="1"/>
  <c r="I244" i="1"/>
  <c r="J244" i="1"/>
  <c r="K244" i="1"/>
  <c r="L244" i="1"/>
  <c r="B245" i="1"/>
  <c r="C245" i="1"/>
  <c r="D245" i="1"/>
  <c r="E245" i="1"/>
  <c r="F245" i="1"/>
  <c r="G245" i="1"/>
  <c r="R245" i="1" s="1"/>
  <c r="H245" i="1"/>
  <c r="I245" i="1"/>
  <c r="J245" i="1"/>
  <c r="K245" i="1"/>
  <c r="L245" i="1"/>
  <c r="B246" i="1"/>
  <c r="C246" i="1"/>
  <c r="D246" i="1"/>
  <c r="E246" i="1"/>
  <c r="F246" i="1"/>
  <c r="G246" i="1"/>
  <c r="R246" i="1" s="1"/>
  <c r="H246" i="1"/>
  <c r="I246" i="1"/>
  <c r="J246" i="1"/>
  <c r="K246" i="1"/>
  <c r="L246" i="1"/>
  <c r="B247" i="1"/>
  <c r="C247" i="1"/>
  <c r="D247" i="1"/>
  <c r="E247" i="1"/>
  <c r="F247" i="1"/>
  <c r="G247" i="1"/>
  <c r="R247" i="1" s="1"/>
  <c r="H247" i="1"/>
  <c r="I247" i="1"/>
  <c r="J247" i="1"/>
  <c r="K247" i="1"/>
  <c r="L247" i="1"/>
  <c r="B248" i="1"/>
  <c r="C248" i="1"/>
  <c r="D248" i="1"/>
  <c r="E248" i="1"/>
  <c r="F248" i="1"/>
  <c r="G248" i="1"/>
  <c r="R248" i="1" s="1"/>
  <c r="H248" i="1"/>
  <c r="I248" i="1"/>
  <c r="J248" i="1"/>
  <c r="K248" i="1"/>
  <c r="L248" i="1"/>
  <c r="B249" i="1"/>
  <c r="C249" i="1"/>
  <c r="D249" i="1"/>
  <c r="E249" i="1"/>
  <c r="F249" i="1"/>
  <c r="G249" i="1"/>
  <c r="R249" i="1" s="1"/>
  <c r="H249" i="1"/>
  <c r="I249" i="1"/>
  <c r="J249" i="1"/>
  <c r="K249" i="1"/>
  <c r="L249" i="1"/>
  <c r="B250" i="1"/>
  <c r="C250" i="1"/>
  <c r="D250" i="1"/>
  <c r="E250" i="1"/>
  <c r="F250" i="1"/>
  <c r="G250" i="1"/>
  <c r="R250" i="1" s="1"/>
  <c r="H250" i="1"/>
  <c r="I250" i="1"/>
  <c r="J250" i="1"/>
  <c r="K250" i="1"/>
  <c r="L250" i="1"/>
  <c r="B251" i="1"/>
  <c r="C251" i="1"/>
  <c r="D251" i="1"/>
  <c r="E251" i="1"/>
  <c r="F251" i="1"/>
  <c r="G251" i="1"/>
  <c r="R251" i="1" s="1"/>
  <c r="H251" i="1"/>
  <c r="I251" i="1"/>
  <c r="J251" i="1"/>
  <c r="K251" i="1"/>
  <c r="L251" i="1"/>
  <c r="B252" i="1"/>
  <c r="C252" i="1"/>
  <c r="D252" i="1"/>
  <c r="E252" i="1"/>
  <c r="F252" i="1"/>
  <c r="G252" i="1"/>
  <c r="R252" i="1" s="1"/>
  <c r="H252" i="1"/>
  <c r="I252" i="1"/>
  <c r="J252" i="1"/>
  <c r="K252" i="1"/>
  <c r="L252" i="1"/>
  <c r="B253" i="1"/>
  <c r="C253" i="1"/>
  <c r="D253" i="1"/>
  <c r="E253" i="1"/>
  <c r="F253" i="1"/>
  <c r="G253" i="1"/>
  <c r="R253" i="1" s="1"/>
  <c r="H253" i="1"/>
  <c r="I253" i="1"/>
  <c r="J253" i="1"/>
  <c r="K253" i="1"/>
  <c r="L253" i="1"/>
  <c r="B254" i="1"/>
  <c r="C254" i="1"/>
  <c r="D254" i="1"/>
  <c r="E254" i="1"/>
  <c r="F254" i="1"/>
  <c r="G254" i="1"/>
  <c r="R254" i="1" s="1"/>
  <c r="H254" i="1"/>
  <c r="I254" i="1"/>
  <c r="J254" i="1"/>
  <c r="K254" i="1"/>
  <c r="L254" i="1"/>
  <c r="B255" i="1"/>
  <c r="C255" i="1"/>
  <c r="D255" i="1"/>
  <c r="E255" i="1"/>
  <c r="F255" i="1"/>
  <c r="G255" i="1"/>
  <c r="R255" i="1" s="1"/>
  <c r="H255" i="1"/>
  <c r="I255" i="1"/>
  <c r="J255" i="1"/>
  <c r="K255" i="1"/>
  <c r="L255" i="1"/>
  <c r="B256" i="1"/>
  <c r="C256" i="1"/>
  <c r="D256" i="1"/>
  <c r="E256" i="1"/>
  <c r="F256" i="1"/>
  <c r="G256" i="1"/>
  <c r="R256" i="1" s="1"/>
  <c r="H256" i="1"/>
  <c r="I256" i="1"/>
  <c r="J256" i="1"/>
  <c r="K256" i="1"/>
  <c r="L256" i="1"/>
  <c r="B257" i="1"/>
  <c r="C257" i="1"/>
  <c r="D257" i="1"/>
  <c r="E257" i="1"/>
  <c r="F257" i="1"/>
  <c r="G257" i="1"/>
  <c r="R257" i="1" s="1"/>
  <c r="H257" i="1"/>
  <c r="I257" i="1"/>
  <c r="J257" i="1"/>
  <c r="K257" i="1"/>
  <c r="L257" i="1"/>
  <c r="B258" i="1"/>
  <c r="C258" i="1"/>
  <c r="D258" i="1"/>
  <c r="E258" i="1"/>
  <c r="F258" i="1"/>
  <c r="G258" i="1"/>
  <c r="R258" i="1" s="1"/>
  <c r="H258" i="1"/>
  <c r="I258" i="1"/>
  <c r="J258" i="1"/>
  <c r="K258" i="1"/>
  <c r="L258" i="1"/>
  <c r="B259" i="1"/>
  <c r="C259" i="1"/>
  <c r="D259" i="1"/>
  <c r="E259" i="1"/>
  <c r="F259" i="1"/>
  <c r="G259" i="1"/>
  <c r="R259" i="1" s="1"/>
  <c r="H259" i="1"/>
  <c r="I259" i="1"/>
  <c r="J259" i="1"/>
  <c r="K259" i="1"/>
  <c r="L259" i="1"/>
  <c r="B260" i="1"/>
  <c r="C260" i="1"/>
  <c r="D260" i="1"/>
  <c r="E260" i="1"/>
  <c r="F260" i="1"/>
  <c r="G260" i="1"/>
  <c r="R260" i="1" s="1"/>
  <c r="H260" i="1"/>
  <c r="I260" i="1"/>
  <c r="J260" i="1"/>
  <c r="K260" i="1"/>
  <c r="L260" i="1"/>
  <c r="B261" i="1"/>
  <c r="C261" i="1"/>
  <c r="D261" i="1"/>
  <c r="E261" i="1"/>
  <c r="F261" i="1"/>
  <c r="G261" i="1"/>
  <c r="R261" i="1" s="1"/>
  <c r="H261" i="1"/>
  <c r="I261" i="1"/>
  <c r="J261" i="1"/>
  <c r="K261" i="1"/>
  <c r="L261" i="1"/>
  <c r="B262" i="1"/>
  <c r="C262" i="1"/>
  <c r="D262" i="1"/>
  <c r="E262" i="1"/>
  <c r="F262" i="1"/>
  <c r="G262" i="1"/>
  <c r="R262" i="1" s="1"/>
  <c r="H262" i="1"/>
  <c r="I262" i="1"/>
  <c r="J262" i="1"/>
  <c r="K262" i="1"/>
  <c r="L262" i="1"/>
  <c r="B263" i="1"/>
  <c r="C263" i="1"/>
  <c r="D263" i="1"/>
  <c r="E263" i="1"/>
  <c r="F263" i="1"/>
  <c r="G263" i="1"/>
  <c r="R263" i="1" s="1"/>
  <c r="H263" i="1"/>
  <c r="I263" i="1"/>
  <c r="J263" i="1"/>
  <c r="K263" i="1"/>
  <c r="L263" i="1"/>
  <c r="B264" i="1"/>
  <c r="C264" i="1"/>
  <c r="D264" i="1"/>
  <c r="E264" i="1"/>
  <c r="F264" i="1"/>
  <c r="G264" i="1"/>
  <c r="R264" i="1" s="1"/>
  <c r="H264" i="1"/>
  <c r="I264" i="1"/>
  <c r="J264" i="1"/>
  <c r="K264" i="1"/>
  <c r="L264" i="1"/>
  <c r="B265" i="1"/>
  <c r="C265" i="1"/>
  <c r="D265" i="1"/>
  <c r="E265" i="1"/>
  <c r="F265" i="1"/>
  <c r="G265" i="1"/>
  <c r="R265" i="1" s="1"/>
  <c r="H265" i="1"/>
  <c r="I265" i="1"/>
  <c r="J265" i="1"/>
  <c r="K265" i="1"/>
  <c r="L265" i="1"/>
  <c r="B266" i="1"/>
  <c r="C266" i="1"/>
  <c r="D266" i="1"/>
  <c r="E266" i="1"/>
  <c r="F266" i="1"/>
  <c r="G266" i="1"/>
  <c r="R266" i="1" s="1"/>
  <c r="H266" i="1"/>
  <c r="I266" i="1"/>
  <c r="J266" i="1"/>
  <c r="K266" i="1"/>
  <c r="L266" i="1"/>
  <c r="B267" i="1"/>
  <c r="C267" i="1"/>
  <c r="D267" i="1"/>
  <c r="E267" i="1"/>
  <c r="F267" i="1"/>
  <c r="G267" i="1"/>
  <c r="R267" i="1" s="1"/>
  <c r="H267" i="1"/>
  <c r="I267" i="1"/>
  <c r="J267" i="1"/>
  <c r="K267" i="1"/>
  <c r="L267" i="1"/>
  <c r="B268" i="1"/>
  <c r="C268" i="1"/>
  <c r="D268" i="1"/>
  <c r="E268" i="1"/>
  <c r="F268" i="1"/>
  <c r="G268" i="1"/>
  <c r="R268" i="1" s="1"/>
  <c r="H268" i="1"/>
  <c r="I268" i="1"/>
  <c r="J268" i="1"/>
  <c r="K268" i="1"/>
  <c r="L268" i="1"/>
  <c r="B269" i="1"/>
  <c r="C269" i="1"/>
  <c r="D269" i="1"/>
  <c r="E269" i="1"/>
  <c r="F269" i="1"/>
  <c r="G269" i="1"/>
  <c r="R269" i="1" s="1"/>
  <c r="H269" i="1"/>
  <c r="I269" i="1"/>
  <c r="J269" i="1"/>
  <c r="K269" i="1"/>
  <c r="L269" i="1"/>
  <c r="B270" i="1"/>
  <c r="C270" i="1"/>
  <c r="D270" i="1"/>
  <c r="E270" i="1"/>
  <c r="F270" i="1"/>
  <c r="G270" i="1"/>
  <c r="R270" i="1" s="1"/>
  <c r="H270" i="1"/>
  <c r="I270" i="1"/>
  <c r="J270" i="1"/>
  <c r="K270" i="1"/>
  <c r="L270" i="1"/>
  <c r="B271" i="1"/>
  <c r="C271" i="1"/>
  <c r="D271" i="1"/>
  <c r="E271" i="1"/>
  <c r="F271" i="1"/>
  <c r="G271" i="1"/>
  <c r="R271" i="1" s="1"/>
  <c r="H271" i="1"/>
  <c r="I271" i="1"/>
  <c r="J271" i="1"/>
  <c r="K271" i="1"/>
  <c r="L271" i="1"/>
  <c r="B272" i="1"/>
  <c r="C272" i="1"/>
  <c r="D272" i="1"/>
  <c r="E272" i="1"/>
  <c r="F272" i="1"/>
  <c r="G272" i="1"/>
  <c r="R272" i="1" s="1"/>
  <c r="H272" i="1"/>
  <c r="I272" i="1"/>
  <c r="J272" i="1"/>
  <c r="K272" i="1"/>
  <c r="L272" i="1"/>
  <c r="B273" i="1"/>
  <c r="C273" i="1"/>
  <c r="D273" i="1"/>
  <c r="E273" i="1"/>
  <c r="F273" i="1"/>
  <c r="G273" i="1"/>
  <c r="R273" i="1" s="1"/>
  <c r="H273" i="1"/>
  <c r="I273" i="1"/>
  <c r="J273" i="1"/>
  <c r="K273" i="1"/>
  <c r="L273" i="1"/>
  <c r="B274" i="1"/>
  <c r="C274" i="1"/>
  <c r="D274" i="1"/>
  <c r="E274" i="1"/>
  <c r="F274" i="1"/>
  <c r="G274" i="1"/>
  <c r="R274" i="1" s="1"/>
  <c r="H274" i="1"/>
  <c r="I274" i="1"/>
  <c r="J274" i="1"/>
  <c r="K274" i="1"/>
  <c r="L274" i="1"/>
  <c r="B275" i="1"/>
  <c r="C275" i="1"/>
  <c r="D275" i="1"/>
  <c r="E275" i="1"/>
  <c r="F275" i="1"/>
  <c r="G275" i="1"/>
  <c r="R275" i="1" s="1"/>
  <c r="H275" i="1"/>
  <c r="I275" i="1"/>
  <c r="J275" i="1"/>
  <c r="K275" i="1"/>
  <c r="L275" i="1"/>
  <c r="B276" i="1"/>
  <c r="C276" i="1"/>
  <c r="D276" i="1"/>
  <c r="E276" i="1"/>
  <c r="F276" i="1"/>
  <c r="G276" i="1"/>
  <c r="R276" i="1" s="1"/>
  <c r="H276" i="1"/>
  <c r="I276" i="1"/>
  <c r="J276" i="1"/>
  <c r="K276" i="1"/>
  <c r="L276" i="1"/>
  <c r="B277" i="1"/>
  <c r="C277" i="1"/>
  <c r="D277" i="1"/>
  <c r="E277" i="1"/>
  <c r="F277" i="1"/>
  <c r="G277" i="1"/>
  <c r="R277" i="1" s="1"/>
  <c r="H277" i="1"/>
  <c r="I277" i="1"/>
  <c r="J277" i="1"/>
  <c r="K277" i="1"/>
  <c r="L277" i="1"/>
  <c r="B278" i="1"/>
  <c r="C278" i="1"/>
  <c r="D278" i="1"/>
  <c r="E278" i="1"/>
  <c r="F278" i="1"/>
  <c r="G278" i="1"/>
  <c r="R278" i="1" s="1"/>
  <c r="H278" i="1"/>
  <c r="I278" i="1"/>
  <c r="J278" i="1"/>
  <c r="K278" i="1"/>
  <c r="L278" i="1"/>
  <c r="B279" i="1"/>
  <c r="C279" i="1"/>
  <c r="D279" i="1"/>
  <c r="E279" i="1"/>
  <c r="F279" i="1"/>
  <c r="G279" i="1"/>
  <c r="R279" i="1" s="1"/>
  <c r="H279" i="1"/>
  <c r="I279" i="1"/>
  <c r="J279" i="1"/>
  <c r="K279" i="1"/>
  <c r="L279" i="1"/>
  <c r="B280" i="1"/>
  <c r="C280" i="1"/>
  <c r="D280" i="1"/>
  <c r="E280" i="1"/>
  <c r="F280" i="1"/>
  <c r="G280" i="1"/>
  <c r="R280" i="1" s="1"/>
  <c r="H280" i="1"/>
  <c r="I280" i="1"/>
  <c r="J280" i="1"/>
  <c r="K280" i="1"/>
  <c r="L280" i="1"/>
  <c r="B281" i="1"/>
  <c r="C281" i="1"/>
  <c r="D281" i="1"/>
  <c r="E281" i="1"/>
  <c r="F281" i="1"/>
  <c r="G281" i="1"/>
  <c r="R281" i="1" s="1"/>
  <c r="H281" i="1"/>
  <c r="I281" i="1"/>
  <c r="J281" i="1"/>
  <c r="K281" i="1"/>
  <c r="L281" i="1"/>
  <c r="B282" i="1"/>
  <c r="C282" i="1"/>
  <c r="D282" i="1"/>
  <c r="E282" i="1"/>
  <c r="F282" i="1"/>
  <c r="G282" i="1"/>
  <c r="R282" i="1" s="1"/>
  <c r="H282" i="1"/>
  <c r="I282" i="1"/>
  <c r="J282" i="1"/>
  <c r="K282" i="1"/>
  <c r="L282" i="1"/>
  <c r="B283" i="1"/>
  <c r="C283" i="1"/>
  <c r="D283" i="1"/>
  <c r="E283" i="1"/>
  <c r="F283" i="1"/>
  <c r="G283" i="1"/>
  <c r="R283" i="1" s="1"/>
  <c r="H283" i="1"/>
  <c r="I283" i="1"/>
  <c r="J283" i="1"/>
  <c r="K283" i="1"/>
  <c r="L283" i="1"/>
  <c r="B284" i="1"/>
  <c r="C284" i="1"/>
  <c r="D284" i="1"/>
  <c r="E284" i="1"/>
  <c r="F284" i="1"/>
  <c r="G284" i="1"/>
  <c r="R284" i="1" s="1"/>
  <c r="H284" i="1"/>
  <c r="I284" i="1"/>
  <c r="J284" i="1"/>
  <c r="K284" i="1"/>
  <c r="L284" i="1"/>
  <c r="B285" i="1"/>
  <c r="C285" i="1"/>
  <c r="D285" i="1"/>
  <c r="E285" i="1"/>
  <c r="F285" i="1"/>
  <c r="G285" i="1"/>
  <c r="R285" i="1" s="1"/>
  <c r="H285" i="1"/>
  <c r="I285" i="1"/>
  <c r="J285" i="1"/>
  <c r="K285" i="1"/>
  <c r="L285" i="1"/>
  <c r="B286" i="1"/>
  <c r="C286" i="1"/>
  <c r="D286" i="1"/>
  <c r="E286" i="1"/>
  <c r="F286" i="1"/>
  <c r="G286" i="1"/>
  <c r="R286" i="1" s="1"/>
  <c r="H286" i="1"/>
  <c r="I286" i="1"/>
  <c r="J286" i="1"/>
  <c r="K286" i="1"/>
  <c r="L286" i="1"/>
  <c r="B287" i="1"/>
  <c r="C287" i="1"/>
  <c r="D287" i="1"/>
  <c r="E287" i="1"/>
  <c r="F287" i="1"/>
  <c r="G287" i="1"/>
  <c r="R287" i="1" s="1"/>
  <c r="H287" i="1"/>
  <c r="I287" i="1"/>
  <c r="J287" i="1"/>
  <c r="K287" i="1"/>
  <c r="L287" i="1"/>
  <c r="B288" i="1"/>
  <c r="C288" i="1"/>
  <c r="D288" i="1"/>
  <c r="E288" i="1"/>
  <c r="F288" i="1"/>
  <c r="G288" i="1"/>
  <c r="R288" i="1" s="1"/>
  <c r="H288" i="1"/>
  <c r="I288" i="1"/>
  <c r="J288" i="1"/>
  <c r="K288" i="1"/>
  <c r="L288" i="1"/>
  <c r="B289" i="1"/>
  <c r="C289" i="1"/>
  <c r="D289" i="1"/>
  <c r="E289" i="1"/>
  <c r="F289" i="1"/>
  <c r="G289" i="1"/>
  <c r="R289" i="1" s="1"/>
  <c r="H289" i="1"/>
  <c r="I289" i="1"/>
  <c r="J289" i="1"/>
  <c r="K289" i="1"/>
  <c r="L289" i="1"/>
  <c r="B290" i="1"/>
  <c r="C290" i="1"/>
  <c r="D290" i="1"/>
  <c r="E290" i="1"/>
  <c r="F290" i="1"/>
  <c r="G290" i="1"/>
  <c r="R290" i="1" s="1"/>
  <c r="H290" i="1"/>
  <c r="I290" i="1"/>
  <c r="J290" i="1"/>
  <c r="K290" i="1"/>
  <c r="L290" i="1"/>
  <c r="B291" i="1"/>
  <c r="C291" i="1"/>
  <c r="D291" i="1"/>
  <c r="E291" i="1"/>
  <c r="F291" i="1"/>
  <c r="G291" i="1"/>
  <c r="R291" i="1" s="1"/>
  <c r="H291" i="1"/>
  <c r="I291" i="1"/>
  <c r="J291" i="1"/>
  <c r="K291" i="1"/>
  <c r="L291" i="1"/>
  <c r="B292" i="1"/>
  <c r="C292" i="1"/>
  <c r="D292" i="1"/>
  <c r="E292" i="1"/>
  <c r="F292" i="1"/>
  <c r="G292" i="1"/>
  <c r="R292" i="1" s="1"/>
  <c r="H292" i="1"/>
  <c r="I292" i="1"/>
  <c r="J292" i="1"/>
  <c r="K292" i="1"/>
  <c r="L292" i="1"/>
  <c r="B293" i="1"/>
  <c r="C293" i="1"/>
  <c r="D293" i="1"/>
  <c r="E293" i="1"/>
  <c r="F293" i="1"/>
  <c r="G293" i="1"/>
  <c r="R293" i="1" s="1"/>
  <c r="H293" i="1"/>
  <c r="I293" i="1"/>
  <c r="J293" i="1"/>
  <c r="K293" i="1"/>
  <c r="L293" i="1"/>
  <c r="B294" i="1"/>
  <c r="C294" i="1"/>
  <c r="D294" i="1"/>
  <c r="E294" i="1"/>
  <c r="F294" i="1"/>
  <c r="G294" i="1"/>
  <c r="R294" i="1" s="1"/>
  <c r="H294" i="1"/>
  <c r="I294" i="1"/>
  <c r="J294" i="1"/>
  <c r="K294" i="1"/>
  <c r="L294" i="1"/>
  <c r="B295" i="1"/>
  <c r="C295" i="1"/>
  <c r="D295" i="1"/>
  <c r="E295" i="1"/>
  <c r="F295" i="1"/>
  <c r="G295" i="1"/>
  <c r="R295" i="1" s="1"/>
  <c r="H295" i="1"/>
  <c r="I295" i="1"/>
  <c r="J295" i="1"/>
  <c r="K295" i="1"/>
  <c r="L295" i="1"/>
  <c r="B296" i="1"/>
  <c r="C296" i="1"/>
  <c r="D296" i="1"/>
  <c r="E296" i="1"/>
  <c r="F296" i="1"/>
  <c r="G296" i="1"/>
  <c r="R296" i="1" s="1"/>
  <c r="H296" i="1"/>
  <c r="I296" i="1"/>
  <c r="J296" i="1"/>
  <c r="K296" i="1"/>
  <c r="L296" i="1"/>
  <c r="B297" i="1"/>
  <c r="C297" i="1"/>
  <c r="D297" i="1"/>
  <c r="E297" i="1"/>
  <c r="F297" i="1"/>
  <c r="G297" i="1"/>
  <c r="R297" i="1" s="1"/>
  <c r="H297" i="1"/>
  <c r="I297" i="1"/>
  <c r="J297" i="1"/>
  <c r="K297" i="1"/>
  <c r="L297" i="1"/>
  <c r="B298" i="1"/>
  <c r="C298" i="1"/>
  <c r="D298" i="1"/>
  <c r="E298" i="1"/>
  <c r="F298" i="1"/>
  <c r="G298" i="1"/>
  <c r="R298" i="1" s="1"/>
  <c r="H298" i="1"/>
  <c r="I298" i="1"/>
  <c r="J298" i="1"/>
  <c r="K298" i="1"/>
  <c r="L298" i="1"/>
  <c r="B299" i="1"/>
  <c r="C299" i="1"/>
  <c r="D299" i="1"/>
  <c r="E299" i="1"/>
  <c r="F299" i="1"/>
  <c r="G299" i="1"/>
  <c r="R299" i="1" s="1"/>
  <c r="H299" i="1"/>
  <c r="I299" i="1"/>
  <c r="J299" i="1"/>
  <c r="K299" i="1"/>
  <c r="L299" i="1"/>
  <c r="B300" i="1"/>
  <c r="C300" i="1"/>
  <c r="D300" i="1"/>
  <c r="E300" i="1"/>
  <c r="F300" i="1"/>
  <c r="G300" i="1"/>
  <c r="R300" i="1" s="1"/>
  <c r="H300" i="1"/>
  <c r="I300" i="1"/>
  <c r="J300" i="1"/>
  <c r="K300" i="1"/>
  <c r="L300" i="1"/>
  <c r="B301" i="1"/>
  <c r="C301" i="1"/>
  <c r="D301" i="1"/>
  <c r="E301" i="1"/>
  <c r="F301" i="1"/>
  <c r="G301" i="1"/>
  <c r="R301" i="1" s="1"/>
  <c r="H301" i="1"/>
  <c r="I301" i="1"/>
  <c r="J301" i="1"/>
  <c r="K301" i="1"/>
  <c r="L301" i="1"/>
  <c r="B302" i="1"/>
  <c r="C302" i="1"/>
  <c r="D302" i="1"/>
  <c r="E302" i="1"/>
  <c r="F302" i="1"/>
  <c r="G302" i="1"/>
  <c r="R302" i="1" s="1"/>
  <c r="H302" i="1"/>
  <c r="I302" i="1"/>
  <c r="J302" i="1"/>
  <c r="K302" i="1"/>
  <c r="L302" i="1"/>
  <c r="B303" i="1"/>
  <c r="C303" i="1"/>
  <c r="D303" i="1"/>
  <c r="E303" i="1"/>
  <c r="F303" i="1"/>
  <c r="G303" i="1"/>
  <c r="R303" i="1" s="1"/>
  <c r="H303" i="1"/>
  <c r="I303" i="1"/>
  <c r="J303" i="1"/>
  <c r="K303" i="1"/>
  <c r="L303" i="1"/>
  <c r="B304" i="1"/>
  <c r="C304" i="1"/>
  <c r="D304" i="1"/>
  <c r="E304" i="1"/>
  <c r="F304" i="1"/>
  <c r="G304" i="1"/>
  <c r="R304" i="1" s="1"/>
  <c r="H304" i="1"/>
  <c r="I304" i="1"/>
  <c r="J304" i="1"/>
  <c r="K304" i="1"/>
  <c r="L304" i="1"/>
  <c r="B305" i="1"/>
  <c r="C305" i="1"/>
  <c r="D305" i="1"/>
  <c r="E305" i="1"/>
  <c r="F305" i="1"/>
  <c r="G305" i="1"/>
  <c r="R305" i="1" s="1"/>
  <c r="H305" i="1"/>
  <c r="I305" i="1"/>
  <c r="J305" i="1"/>
  <c r="K305" i="1"/>
  <c r="L305" i="1"/>
  <c r="B306" i="1"/>
  <c r="C306" i="1"/>
  <c r="D306" i="1"/>
  <c r="E306" i="1"/>
  <c r="F306" i="1"/>
  <c r="G306" i="1"/>
  <c r="R306" i="1" s="1"/>
  <c r="H306" i="1"/>
  <c r="I306" i="1"/>
  <c r="J306" i="1"/>
  <c r="K306" i="1"/>
  <c r="L306" i="1"/>
  <c r="B307" i="1"/>
  <c r="C307" i="1"/>
  <c r="D307" i="1"/>
  <c r="E307" i="1"/>
  <c r="F307" i="1"/>
  <c r="G307" i="1"/>
  <c r="R307" i="1" s="1"/>
  <c r="H307" i="1"/>
  <c r="I307" i="1"/>
  <c r="J307" i="1"/>
  <c r="K307" i="1"/>
  <c r="L307" i="1"/>
  <c r="B308" i="1"/>
  <c r="C308" i="1"/>
  <c r="D308" i="1"/>
  <c r="E308" i="1"/>
  <c r="F308" i="1"/>
  <c r="G308" i="1"/>
  <c r="R308" i="1" s="1"/>
  <c r="H308" i="1"/>
  <c r="I308" i="1"/>
  <c r="J308" i="1"/>
  <c r="K308" i="1"/>
  <c r="L308" i="1"/>
  <c r="B309" i="1"/>
  <c r="C309" i="1"/>
  <c r="D309" i="1"/>
  <c r="E309" i="1"/>
  <c r="F309" i="1"/>
  <c r="G309" i="1"/>
  <c r="R309" i="1" s="1"/>
  <c r="H309" i="1"/>
  <c r="I309" i="1"/>
  <c r="J309" i="1"/>
  <c r="K309" i="1"/>
  <c r="L309" i="1"/>
  <c r="B310" i="1"/>
  <c r="C310" i="1"/>
  <c r="D310" i="1"/>
  <c r="E310" i="1"/>
  <c r="F310" i="1"/>
  <c r="G310" i="1"/>
  <c r="R310" i="1" s="1"/>
  <c r="H310" i="1"/>
  <c r="I310" i="1"/>
  <c r="J310" i="1"/>
  <c r="K310" i="1"/>
  <c r="L310" i="1"/>
  <c r="B311" i="1"/>
  <c r="C311" i="1"/>
  <c r="D311" i="1"/>
  <c r="E311" i="1"/>
  <c r="F311" i="1"/>
  <c r="G311" i="1"/>
  <c r="R311" i="1" s="1"/>
  <c r="H311" i="1"/>
  <c r="I311" i="1"/>
  <c r="J311" i="1"/>
  <c r="K311" i="1"/>
  <c r="L311" i="1"/>
  <c r="B312" i="1"/>
  <c r="C312" i="1"/>
  <c r="D312" i="1"/>
  <c r="E312" i="1"/>
  <c r="F312" i="1"/>
  <c r="G312" i="1"/>
  <c r="R312" i="1" s="1"/>
  <c r="H312" i="1"/>
  <c r="I312" i="1"/>
  <c r="J312" i="1"/>
  <c r="K312" i="1"/>
  <c r="L312" i="1"/>
  <c r="B313" i="1"/>
  <c r="C313" i="1"/>
  <c r="D313" i="1"/>
  <c r="E313" i="1"/>
  <c r="F313" i="1"/>
  <c r="G313" i="1"/>
  <c r="R313" i="1" s="1"/>
  <c r="H313" i="1"/>
  <c r="I313" i="1"/>
  <c r="J313" i="1"/>
  <c r="K313" i="1"/>
  <c r="L313" i="1"/>
  <c r="B314" i="1"/>
  <c r="C314" i="1"/>
  <c r="D314" i="1"/>
  <c r="E314" i="1"/>
  <c r="F314" i="1"/>
  <c r="G314" i="1"/>
  <c r="R314" i="1" s="1"/>
  <c r="H314" i="1"/>
  <c r="I314" i="1"/>
  <c r="J314" i="1"/>
  <c r="K314" i="1"/>
  <c r="L314" i="1"/>
  <c r="B315" i="1"/>
  <c r="C315" i="1"/>
  <c r="D315" i="1"/>
  <c r="E315" i="1"/>
  <c r="F315" i="1"/>
  <c r="G315" i="1"/>
  <c r="R315" i="1" s="1"/>
  <c r="H315" i="1"/>
  <c r="I315" i="1"/>
  <c r="J315" i="1"/>
  <c r="K315" i="1"/>
  <c r="L315" i="1"/>
  <c r="B316" i="1"/>
  <c r="C316" i="1"/>
  <c r="D316" i="1"/>
  <c r="E316" i="1"/>
  <c r="F316" i="1"/>
  <c r="G316" i="1"/>
  <c r="R316" i="1" s="1"/>
  <c r="H316" i="1"/>
  <c r="I316" i="1"/>
  <c r="J316" i="1"/>
  <c r="K316" i="1"/>
  <c r="L316" i="1"/>
  <c r="B317" i="1"/>
  <c r="C317" i="1"/>
  <c r="D317" i="1"/>
  <c r="E317" i="1"/>
  <c r="F317" i="1"/>
  <c r="G317" i="1"/>
  <c r="R317" i="1" s="1"/>
  <c r="H317" i="1"/>
  <c r="I317" i="1"/>
  <c r="J317" i="1"/>
  <c r="K317" i="1"/>
  <c r="L317" i="1"/>
  <c r="B318" i="1"/>
  <c r="C318" i="1"/>
  <c r="D318" i="1"/>
  <c r="E318" i="1"/>
  <c r="F318" i="1"/>
  <c r="G318" i="1"/>
  <c r="R318" i="1" s="1"/>
  <c r="H318" i="1"/>
  <c r="I318" i="1"/>
  <c r="J318" i="1"/>
  <c r="K318" i="1"/>
  <c r="L318" i="1"/>
  <c r="B319" i="1"/>
  <c r="C319" i="1"/>
  <c r="D319" i="1"/>
  <c r="E319" i="1"/>
  <c r="F319" i="1"/>
  <c r="G319" i="1"/>
  <c r="R319" i="1" s="1"/>
  <c r="H319" i="1"/>
  <c r="I319" i="1"/>
  <c r="J319" i="1"/>
  <c r="K319" i="1"/>
  <c r="L319" i="1"/>
  <c r="B320" i="1"/>
  <c r="C320" i="1"/>
  <c r="D320" i="1"/>
  <c r="E320" i="1"/>
  <c r="F320" i="1"/>
  <c r="G320" i="1"/>
  <c r="R320" i="1" s="1"/>
  <c r="H320" i="1"/>
  <c r="I320" i="1"/>
  <c r="J320" i="1"/>
  <c r="K320" i="1"/>
  <c r="L320" i="1"/>
  <c r="B321" i="1"/>
  <c r="C321" i="1"/>
  <c r="D321" i="1"/>
  <c r="E321" i="1"/>
  <c r="F321" i="1"/>
  <c r="G321" i="1"/>
  <c r="R321" i="1" s="1"/>
  <c r="H321" i="1"/>
  <c r="I321" i="1"/>
  <c r="J321" i="1"/>
  <c r="K321" i="1"/>
  <c r="L321" i="1"/>
  <c r="B322" i="1"/>
  <c r="C322" i="1"/>
  <c r="D322" i="1"/>
  <c r="E322" i="1"/>
  <c r="F322" i="1"/>
  <c r="G322" i="1"/>
  <c r="R322" i="1" s="1"/>
  <c r="H322" i="1"/>
  <c r="I322" i="1"/>
  <c r="J322" i="1"/>
  <c r="K322" i="1"/>
  <c r="L322" i="1"/>
  <c r="B323" i="1"/>
  <c r="C323" i="1"/>
  <c r="D323" i="1"/>
  <c r="E323" i="1"/>
  <c r="F323" i="1"/>
  <c r="G323" i="1"/>
  <c r="R323" i="1" s="1"/>
  <c r="H323" i="1"/>
  <c r="I323" i="1"/>
  <c r="J323" i="1"/>
  <c r="K323" i="1"/>
  <c r="L323" i="1"/>
  <c r="B324" i="1"/>
  <c r="C324" i="1"/>
  <c r="D324" i="1"/>
  <c r="E324" i="1"/>
  <c r="F324" i="1"/>
  <c r="G324" i="1"/>
  <c r="R324" i="1" s="1"/>
  <c r="H324" i="1"/>
  <c r="I324" i="1"/>
  <c r="J324" i="1"/>
  <c r="K324" i="1"/>
  <c r="L324" i="1"/>
  <c r="B325" i="1"/>
  <c r="C325" i="1"/>
  <c r="D325" i="1"/>
  <c r="E325" i="1"/>
  <c r="F325" i="1"/>
  <c r="G325" i="1"/>
  <c r="R325" i="1" s="1"/>
  <c r="H325" i="1"/>
  <c r="I325" i="1"/>
  <c r="J325" i="1"/>
  <c r="K325" i="1"/>
  <c r="L325" i="1"/>
  <c r="B326" i="1"/>
  <c r="C326" i="1"/>
  <c r="D326" i="1"/>
  <c r="E326" i="1"/>
  <c r="F326" i="1"/>
  <c r="G326" i="1"/>
  <c r="R326" i="1" s="1"/>
  <c r="H326" i="1"/>
  <c r="I326" i="1"/>
  <c r="J326" i="1"/>
  <c r="K326" i="1"/>
  <c r="L326" i="1"/>
  <c r="B327" i="1"/>
  <c r="C327" i="1"/>
  <c r="D327" i="1"/>
  <c r="E327" i="1"/>
  <c r="F327" i="1"/>
  <c r="G327" i="1"/>
  <c r="R327" i="1" s="1"/>
  <c r="H327" i="1"/>
  <c r="I327" i="1"/>
  <c r="J327" i="1"/>
  <c r="K327" i="1"/>
  <c r="L327" i="1"/>
  <c r="B328" i="1"/>
  <c r="C328" i="1"/>
  <c r="D328" i="1"/>
  <c r="E328" i="1"/>
  <c r="F328" i="1"/>
  <c r="G328" i="1"/>
  <c r="R328" i="1" s="1"/>
  <c r="H328" i="1"/>
  <c r="I328" i="1"/>
  <c r="J328" i="1"/>
  <c r="K328" i="1"/>
  <c r="L328" i="1"/>
  <c r="B329" i="1"/>
  <c r="C329" i="1"/>
  <c r="D329" i="1"/>
  <c r="E329" i="1"/>
  <c r="F329" i="1"/>
  <c r="G329" i="1"/>
  <c r="R329" i="1" s="1"/>
  <c r="H329" i="1"/>
  <c r="I329" i="1"/>
  <c r="J329" i="1"/>
  <c r="K329" i="1"/>
  <c r="L329" i="1"/>
  <c r="B330" i="1"/>
  <c r="C330" i="1"/>
  <c r="D330" i="1"/>
  <c r="E330" i="1"/>
  <c r="F330" i="1"/>
  <c r="G330" i="1"/>
  <c r="R330" i="1" s="1"/>
  <c r="H330" i="1"/>
  <c r="I330" i="1"/>
  <c r="J330" i="1"/>
  <c r="K330" i="1"/>
  <c r="L330" i="1"/>
  <c r="B331" i="1"/>
  <c r="C331" i="1"/>
  <c r="D331" i="1"/>
  <c r="E331" i="1"/>
  <c r="F331" i="1"/>
  <c r="G331" i="1"/>
  <c r="R331" i="1" s="1"/>
  <c r="H331" i="1"/>
  <c r="I331" i="1"/>
  <c r="J331" i="1"/>
  <c r="K331" i="1"/>
  <c r="L331" i="1"/>
  <c r="B332" i="1"/>
  <c r="C332" i="1"/>
  <c r="D332" i="1"/>
  <c r="E332" i="1"/>
  <c r="F332" i="1"/>
  <c r="G332" i="1"/>
  <c r="R332" i="1" s="1"/>
  <c r="H332" i="1"/>
  <c r="I332" i="1"/>
  <c r="J332" i="1"/>
  <c r="K332" i="1"/>
  <c r="L332" i="1"/>
  <c r="B333" i="1"/>
  <c r="C333" i="1"/>
  <c r="D333" i="1"/>
  <c r="E333" i="1"/>
  <c r="F333" i="1"/>
  <c r="G333" i="1"/>
  <c r="R333" i="1" s="1"/>
  <c r="H333" i="1"/>
  <c r="I333" i="1"/>
  <c r="J333" i="1"/>
  <c r="K333" i="1"/>
  <c r="L333" i="1"/>
  <c r="B334" i="1"/>
  <c r="C334" i="1"/>
  <c r="D334" i="1"/>
  <c r="E334" i="1"/>
  <c r="F334" i="1"/>
  <c r="G334" i="1"/>
  <c r="R334" i="1" s="1"/>
  <c r="H334" i="1"/>
  <c r="I334" i="1"/>
  <c r="J334" i="1"/>
  <c r="K334" i="1"/>
  <c r="L334" i="1"/>
  <c r="B335" i="1"/>
  <c r="C335" i="1"/>
  <c r="D335" i="1"/>
  <c r="E335" i="1"/>
  <c r="F335" i="1"/>
  <c r="G335" i="1"/>
  <c r="R335" i="1" s="1"/>
  <c r="H335" i="1"/>
  <c r="I335" i="1"/>
  <c r="J335" i="1"/>
  <c r="K335" i="1"/>
  <c r="L335" i="1"/>
  <c r="B336" i="1"/>
  <c r="C336" i="1"/>
  <c r="D336" i="1"/>
  <c r="E336" i="1"/>
  <c r="F336" i="1"/>
  <c r="G336" i="1"/>
  <c r="R336" i="1" s="1"/>
  <c r="H336" i="1"/>
  <c r="I336" i="1"/>
  <c r="J336" i="1"/>
  <c r="K336" i="1"/>
  <c r="L336" i="1"/>
  <c r="B337" i="1"/>
  <c r="C337" i="1"/>
  <c r="D337" i="1"/>
  <c r="E337" i="1"/>
  <c r="F337" i="1"/>
  <c r="G337" i="1"/>
  <c r="R337" i="1" s="1"/>
  <c r="H337" i="1"/>
  <c r="I337" i="1"/>
  <c r="J337" i="1"/>
  <c r="K337" i="1"/>
  <c r="L337" i="1"/>
  <c r="B338" i="1"/>
  <c r="C338" i="1"/>
  <c r="D338" i="1"/>
  <c r="E338" i="1"/>
  <c r="F338" i="1"/>
  <c r="G338" i="1"/>
  <c r="R338" i="1" s="1"/>
  <c r="H338" i="1"/>
  <c r="I338" i="1"/>
  <c r="J338" i="1"/>
  <c r="K338" i="1"/>
  <c r="L338" i="1"/>
  <c r="B339" i="1"/>
  <c r="C339" i="1"/>
  <c r="D339" i="1"/>
  <c r="E339" i="1"/>
  <c r="F339" i="1"/>
  <c r="G339" i="1"/>
  <c r="R339" i="1" s="1"/>
  <c r="H339" i="1"/>
  <c r="I339" i="1"/>
  <c r="J339" i="1"/>
  <c r="K339" i="1"/>
  <c r="L339" i="1"/>
  <c r="B340" i="1"/>
  <c r="C340" i="1"/>
  <c r="D340" i="1"/>
  <c r="E340" i="1"/>
  <c r="F340" i="1"/>
  <c r="G340" i="1"/>
  <c r="R340" i="1" s="1"/>
  <c r="H340" i="1"/>
  <c r="I340" i="1"/>
  <c r="J340" i="1"/>
  <c r="K340" i="1"/>
  <c r="L340" i="1"/>
  <c r="B341" i="1"/>
  <c r="C341" i="1"/>
  <c r="D341" i="1"/>
  <c r="E341" i="1"/>
  <c r="F341" i="1"/>
  <c r="G341" i="1"/>
  <c r="R341" i="1" s="1"/>
  <c r="H341" i="1"/>
  <c r="I341" i="1"/>
  <c r="J341" i="1"/>
  <c r="K341" i="1"/>
  <c r="L341" i="1"/>
  <c r="B342" i="1"/>
  <c r="C342" i="1"/>
  <c r="D342" i="1"/>
  <c r="E342" i="1"/>
  <c r="F342" i="1"/>
  <c r="G342" i="1"/>
  <c r="R342" i="1" s="1"/>
  <c r="H342" i="1"/>
  <c r="I342" i="1"/>
  <c r="J342" i="1"/>
  <c r="K342" i="1"/>
  <c r="L342" i="1"/>
  <c r="B343" i="1"/>
  <c r="C343" i="1"/>
  <c r="D343" i="1"/>
  <c r="E343" i="1"/>
  <c r="F343" i="1"/>
  <c r="G343" i="1"/>
  <c r="R343" i="1" s="1"/>
  <c r="H343" i="1"/>
  <c r="I343" i="1"/>
  <c r="J343" i="1"/>
  <c r="K343" i="1"/>
  <c r="L343" i="1"/>
  <c r="B344" i="1"/>
  <c r="C344" i="1"/>
  <c r="D344" i="1"/>
  <c r="E344" i="1"/>
  <c r="F344" i="1"/>
  <c r="G344" i="1"/>
  <c r="R344" i="1" s="1"/>
  <c r="H344" i="1"/>
  <c r="I344" i="1"/>
  <c r="J344" i="1"/>
  <c r="K344" i="1"/>
  <c r="L344" i="1"/>
  <c r="B345" i="1"/>
  <c r="C345" i="1"/>
  <c r="D345" i="1"/>
  <c r="E345" i="1"/>
  <c r="F345" i="1"/>
  <c r="G345" i="1"/>
  <c r="R345" i="1" s="1"/>
  <c r="H345" i="1"/>
  <c r="I345" i="1"/>
  <c r="J345" i="1"/>
  <c r="K345" i="1"/>
  <c r="L345" i="1"/>
  <c r="B346" i="1"/>
  <c r="C346" i="1"/>
  <c r="D346" i="1"/>
  <c r="E346" i="1"/>
  <c r="F346" i="1"/>
  <c r="G346" i="1"/>
  <c r="R346" i="1" s="1"/>
  <c r="H346" i="1"/>
  <c r="I346" i="1"/>
  <c r="J346" i="1"/>
  <c r="K346" i="1"/>
  <c r="L346" i="1"/>
  <c r="B347" i="1"/>
  <c r="C347" i="1"/>
  <c r="D347" i="1"/>
  <c r="E347" i="1"/>
  <c r="F347" i="1"/>
  <c r="G347" i="1"/>
  <c r="R347" i="1" s="1"/>
  <c r="H347" i="1"/>
  <c r="I347" i="1"/>
  <c r="J347" i="1"/>
  <c r="K347" i="1"/>
  <c r="L347" i="1"/>
  <c r="B348" i="1"/>
  <c r="C348" i="1"/>
  <c r="D348" i="1"/>
  <c r="E348" i="1"/>
  <c r="F348" i="1"/>
  <c r="G348" i="1"/>
  <c r="R348" i="1" s="1"/>
  <c r="H348" i="1"/>
  <c r="I348" i="1"/>
  <c r="J348" i="1"/>
  <c r="K348" i="1"/>
  <c r="L348" i="1"/>
  <c r="B349" i="1"/>
  <c r="C349" i="1"/>
  <c r="D349" i="1"/>
  <c r="E349" i="1"/>
  <c r="F349" i="1"/>
  <c r="G349" i="1"/>
  <c r="R349" i="1" s="1"/>
  <c r="H349" i="1"/>
  <c r="I349" i="1"/>
  <c r="J349" i="1"/>
  <c r="K349" i="1"/>
  <c r="L349" i="1"/>
  <c r="B350" i="1"/>
  <c r="C350" i="1"/>
  <c r="D350" i="1"/>
  <c r="E350" i="1"/>
  <c r="F350" i="1"/>
  <c r="G350" i="1"/>
  <c r="R350" i="1" s="1"/>
  <c r="H350" i="1"/>
  <c r="I350" i="1"/>
  <c r="J350" i="1"/>
  <c r="K350" i="1"/>
  <c r="L350" i="1"/>
  <c r="B351" i="1"/>
  <c r="C351" i="1"/>
  <c r="D351" i="1"/>
  <c r="E351" i="1"/>
  <c r="F351" i="1"/>
  <c r="G351" i="1"/>
  <c r="R351" i="1" s="1"/>
  <c r="H351" i="1"/>
  <c r="I351" i="1"/>
  <c r="J351" i="1"/>
  <c r="K351" i="1"/>
  <c r="L351" i="1"/>
  <c r="B352" i="1"/>
  <c r="C352" i="1"/>
  <c r="D352" i="1"/>
  <c r="E352" i="1"/>
  <c r="F352" i="1"/>
  <c r="G352" i="1"/>
  <c r="R352" i="1" s="1"/>
  <c r="H352" i="1"/>
  <c r="I352" i="1"/>
  <c r="J352" i="1"/>
  <c r="K352" i="1"/>
  <c r="L352" i="1"/>
  <c r="B353" i="1"/>
  <c r="C353" i="1"/>
  <c r="D353" i="1"/>
  <c r="E353" i="1"/>
  <c r="F353" i="1"/>
  <c r="G353" i="1"/>
  <c r="R353" i="1" s="1"/>
  <c r="H353" i="1"/>
  <c r="I353" i="1"/>
  <c r="J353" i="1"/>
  <c r="K353" i="1"/>
  <c r="L353" i="1"/>
  <c r="B354" i="1"/>
  <c r="C354" i="1"/>
  <c r="D354" i="1"/>
  <c r="E354" i="1"/>
  <c r="F354" i="1"/>
  <c r="G354" i="1"/>
  <c r="R354" i="1" s="1"/>
  <c r="H354" i="1"/>
  <c r="I354" i="1"/>
  <c r="J354" i="1"/>
  <c r="K354" i="1"/>
  <c r="L354" i="1"/>
  <c r="B355" i="1"/>
  <c r="C355" i="1"/>
  <c r="D355" i="1"/>
  <c r="E355" i="1"/>
  <c r="F355" i="1"/>
  <c r="G355" i="1"/>
  <c r="R355" i="1" s="1"/>
  <c r="H355" i="1"/>
  <c r="I355" i="1"/>
  <c r="J355" i="1"/>
  <c r="K355" i="1"/>
  <c r="L355" i="1"/>
  <c r="B356" i="1"/>
  <c r="C356" i="1"/>
  <c r="D356" i="1"/>
  <c r="E356" i="1"/>
  <c r="F356" i="1"/>
  <c r="G356" i="1"/>
  <c r="R356" i="1" s="1"/>
  <c r="H356" i="1"/>
  <c r="I356" i="1"/>
  <c r="J356" i="1"/>
  <c r="K356" i="1"/>
  <c r="L356" i="1"/>
  <c r="B357" i="1"/>
  <c r="C357" i="1"/>
  <c r="D357" i="1"/>
  <c r="E357" i="1"/>
  <c r="F357" i="1"/>
  <c r="G357" i="1"/>
  <c r="R357" i="1" s="1"/>
  <c r="H357" i="1"/>
  <c r="I357" i="1"/>
  <c r="J357" i="1"/>
  <c r="K357" i="1"/>
  <c r="L357" i="1"/>
  <c r="B358" i="1"/>
  <c r="C358" i="1"/>
  <c r="D358" i="1"/>
  <c r="E358" i="1"/>
  <c r="F358" i="1"/>
  <c r="G358" i="1"/>
  <c r="R358" i="1" s="1"/>
  <c r="H358" i="1"/>
  <c r="I358" i="1"/>
  <c r="J358" i="1"/>
  <c r="K358" i="1"/>
  <c r="L358" i="1"/>
  <c r="B359" i="1"/>
  <c r="C359" i="1"/>
  <c r="D359" i="1"/>
  <c r="E359" i="1"/>
  <c r="F359" i="1"/>
  <c r="G359" i="1"/>
  <c r="R359" i="1" s="1"/>
  <c r="H359" i="1"/>
  <c r="I359" i="1"/>
  <c r="J359" i="1"/>
  <c r="K359" i="1"/>
  <c r="L359" i="1"/>
  <c r="B360" i="1"/>
  <c r="C360" i="1"/>
  <c r="D360" i="1"/>
  <c r="E360" i="1"/>
  <c r="F360" i="1"/>
  <c r="G360" i="1"/>
  <c r="R360" i="1" s="1"/>
  <c r="H360" i="1"/>
  <c r="I360" i="1"/>
  <c r="J360" i="1"/>
  <c r="K360" i="1"/>
  <c r="L360" i="1"/>
  <c r="B361" i="1"/>
  <c r="C361" i="1"/>
  <c r="D361" i="1"/>
  <c r="E361" i="1"/>
  <c r="F361" i="1"/>
  <c r="G361" i="1"/>
  <c r="R361" i="1" s="1"/>
  <c r="H361" i="1"/>
  <c r="I361" i="1"/>
  <c r="J361" i="1"/>
  <c r="K361" i="1"/>
  <c r="L361" i="1"/>
  <c r="B362" i="1"/>
  <c r="C362" i="1"/>
  <c r="D362" i="1"/>
  <c r="E362" i="1"/>
  <c r="F362" i="1"/>
  <c r="G362" i="1"/>
  <c r="R362" i="1" s="1"/>
  <c r="H362" i="1"/>
  <c r="I362" i="1"/>
  <c r="J362" i="1"/>
  <c r="K362" i="1"/>
  <c r="L362" i="1"/>
  <c r="B363" i="1"/>
  <c r="C363" i="1"/>
  <c r="D363" i="1"/>
  <c r="E363" i="1"/>
  <c r="F363" i="1"/>
  <c r="G363" i="1"/>
  <c r="R363" i="1" s="1"/>
  <c r="H363" i="1"/>
  <c r="I363" i="1"/>
  <c r="J363" i="1"/>
  <c r="K363" i="1"/>
  <c r="L363" i="1"/>
  <c r="B364" i="1"/>
  <c r="C364" i="1"/>
  <c r="D364" i="1"/>
  <c r="E364" i="1"/>
  <c r="F364" i="1"/>
  <c r="G364" i="1"/>
  <c r="R364" i="1" s="1"/>
  <c r="H364" i="1"/>
  <c r="I364" i="1"/>
  <c r="J364" i="1"/>
  <c r="K364" i="1"/>
  <c r="L364" i="1"/>
  <c r="B365" i="1"/>
  <c r="C365" i="1"/>
  <c r="D365" i="1"/>
  <c r="E365" i="1"/>
  <c r="F365" i="1"/>
  <c r="G365" i="1"/>
  <c r="R365" i="1" s="1"/>
  <c r="H365" i="1"/>
  <c r="I365" i="1"/>
  <c r="J365" i="1"/>
  <c r="K365" i="1"/>
  <c r="L365" i="1"/>
  <c r="B366" i="1"/>
  <c r="C366" i="1"/>
  <c r="D366" i="1"/>
  <c r="E366" i="1"/>
  <c r="F366" i="1"/>
  <c r="G366" i="1"/>
  <c r="R366" i="1" s="1"/>
  <c r="H366" i="1"/>
  <c r="I366" i="1"/>
  <c r="J366" i="1"/>
  <c r="K366" i="1"/>
  <c r="L366" i="1"/>
  <c r="B367" i="1"/>
  <c r="C367" i="1"/>
  <c r="D367" i="1"/>
  <c r="E367" i="1"/>
  <c r="F367" i="1"/>
  <c r="G367" i="1"/>
  <c r="R367" i="1" s="1"/>
  <c r="H367" i="1"/>
  <c r="I367" i="1"/>
  <c r="J367" i="1"/>
  <c r="K367" i="1"/>
  <c r="L367" i="1"/>
  <c r="B368" i="1"/>
  <c r="C368" i="1"/>
  <c r="D368" i="1"/>
  <c r="E368" i="1"/>
  <c r="F368" i="1"/>
  <c r="G368" i="1"/>
  <c r="R368" i="1" s="1"/>
  <c r="H368" i="1"/>
  <c r="I368" i="1"/>
  <c r="J368" i="1"/>
  <c r="K368" i="1"/>
  <c r="L368" i="1"/>
  <c r="B369" i="1"/>
  <c r="C369" i="1"/>
  <c r="D369" i="1"/>
  <c r="E369" i="1"/>
  <c r="F369" i="1"/>
  <c r="G369" i="1"/>
  <c r="R369" i="1" s="1"/>
  <c r="H369" i="1"/>
  <c r="I369" i="1"/>
  <c r="J369" i="1"/>
  <c r="K369" i="1"/>
  <c r="L369" i="1"/>
  <c r="B370" i="1"/>
  <c r="C370" i="1"/>
  <c r="D370" i="1"/>
  <c r="E370" i="1"/>
  <c r="F370" i="1"/>
  <c r="G370" i="1"/>
  <c r="R370" i="1" s="1"/>
  <c r="H370" i="1"/>
  <c r="I370" i="1"/>
  <c r="J370" i="1"/>
  <c r="K370" i="1"/>
  <c r="L370" i="1"/>
  <c r="B371" i="1"/>
  <c r="C371" i="1"/>
  <c r="D371" i="1"/>
  <c r="E371" i="1"/>
  <c r="F371" i="1"/>
  <c r="G371" i="1"/>
  <c r="R371" i="1" s="1"/>
  <c r="H371" i="1"/>
  <c r="I371" i="1"/>
  <c r="J371" i="1"/>
  <c r="K371" i="1"/>
  <c r="L371" i="1"/>
  <c r="B372" i="1"/>
  <c r="C372" i="1"/>
  <c r="D372" i="1"/>
  <c r="E372" i="1"/>
  <c r="F372" i="1"/>
  <c r="G372" i="1"/>
  <c r="R372" i="1" s="1"/>
  <c r="H372" i="1"/>
  <c r="I372" i="1"/>
  <c r="J372" i="1"/>
  <c r="K372" i="1"/>
  <c r="L372" i="1"/>
  <c r="B373" i="1"/>
  <c r="C373" i="1"/>
  <c r="D373" i="1"/>
  <c r="E373" i="1"/>
  <c r="F373" i="1"/>
  <c r="G373" i="1"/>
  <c r="R373" i="1" s="1"/>
  <c r="H373" i="1"/>
  <c r="I373" i="1"/>
  <c r="J373" i="1"/>
  <c r="K373" i="1"/>
  <c r="L373" i="1"/>
  <c r="B374" i="1"/>
  <c r="C374" i="1"/>
  <c r="D374" i="1"/>
  <c r="E374" i="1"/>
  <c r="F374" i="1"/>
  <c r="G374" i="1"/>
  <c r="R374" i="1" s="1"/>
  <c r="H374" i="1"/>
  <c r="I374" i="1"/>
  <c r="J374" i="1"/>
  <c r="K374" i="1"/>
  <c r="L374" i="1"/>
  <c r="B375" i="1"/>
  <c r="C375" i="1"/>
  <c r="D375" i="1"/>
  <c r="E375" i="1"/>
  <c r="F375" i="1"/>
  <c r="G375" i="1"/>
  <c r="R375" i="1" s="1"/>
  <c r="H375" i="1"/>
  <c r="I375" i="1"/>
  <c r="J375" i="1"/>
  <c r="K375" i="1"/>
  <c r="L375" i="1"/>
  <c r="B376" i="1"/>
  <c r="C376" i="1"/>
  <c r="D376" i="1"/>
  <c r="E376" i="1"/>
  <c r="F376" i="1"/>
  <c r="G376" i="1"/>
  <c r="R376" i="1" s="1"/>
  <c r="H376" i="1"/>
  <c r="I376" i="1"/>
  <c r="J376" i="1"/>
  <c r="K376" i="1"/>
  <c r="L376" i="1"/>
  <c r="B377" i="1"/>
  <c r="C377" i="1"/>
  <c r="D377" i="1"/>
  <c r="E377" i="1"/>
  <c r="F377" i="1"/>
  <c r="G377" i="1"/>
  <c r="R377" i="1" s="1"/>
  <c r="H377" i="1"/>
  <c r="I377" i="1"/>
  <c r="J377" i="1"/>
  <c r="K377" i="1"/>
  <c r="L377" i="1"/>
  <c r="B378" i="1"/>
  <c r="C378" i="1"/>
  <c r="D378" i="1"/>
  <c r="E378" i="1"/>
  <c r="F378" i="1"/>
  <c r="G378" i="1"/>
  <c r="R378" i="1" s="1"/>
  <c r="H378" i="1"/>
  <c r="I378" i="1"/>
  <c r="J378" i="1"/>
  <c r="K378" i="1"/>
  <c r="L378" i="1"/>
  <c r="B379" i="1"/>
  <c r="C379" i="1"/>
  <c r="D379" i="1"/>
  <c r="E379" i="1"/>
  <c r="F379" i="1"/>
  <c r="G379" i="1"/>
  <c r="R379" i="1" s="1"/>
  <c r="H379" i="1"/>
  <c r="I379" i="1"/>
  <c r="J379" i="1"/>
  <c r="K379" i="1"/>
  <c r="L379" i="1"/>
  <c r="B380" i="1"/>
  <c r="C380" i="1"/>
  <c r="D380" i="1"/>
  <c r="E380" i="1"/>
  <c r="F380" i="1"/>
  <c r="G380" i="1"/>
  <c r="R380" i="1" s="1"/>
  <c r="H380" i="1"/>
  <c r="I380" i="1"/>
  <c r="J380" i="1"/>
  <c r="K380" i="1"/>
  <c r="L380" i="1"/>
  <c r="B381" i="1"/>
  <c r="C381" i="1"/>
  <c r="D381" i="1"/>
  <c r="E381" i="1"/>
  <c r="F381" i="1"/>
  <c r="G381" i="1"/>
  <c r="R381" i="1" s="1"/>
  <c r="H381" i="1"/>
  <c r="I381" i="1"/>
  <c r="J381" i="1"/>
  <c r="K381" i="1"/>
  <c r="L381" i="1"/>
  <c r="B382" i="1"/>
  <c r="C382" i="1"/>
  <c r="D382" i="1"/>
  <c r="E382" i="1"/>
  <c r="F382" i="1"/>
  <c r="G382" i="1"/>
  <c r="R382" i="1" s="1"/>
  <c r="H382" i="1"/>
  <c r="I382" i="1"/>
  <c r="J382" i="1"/>
  <c r="K382" i="1"/>
  <c r="L382" i="1"/>
  <c r="B383" i="1"/>
  <c r="C383" i="1"/>
  <c r="D383" i="1"/>
  <c r="E383" i="1"/>
  <c r="F383" i="1"/>
  <c r="G383" i="1"/>
  <c r="R383" i="1" s="1"/>
  <c r="H383" i="1"/>
  <c r="I383" i="1"/>
  <c r="J383" i="1"/>
  <c r="K383" i="1"/>
  <c r="L383" i="1"/>
  <c r="B384" i="1"/>
  <c r="C384" i="1"/>
  <c r="D384" i="1"/>
  <c r="E384" i="1"/>
  <c r="F384" i="1"/>
  <c r="G384" i="1"/>
  <c r="R384" i="1" s="1"/>
  <c r="H384" i="1"/>
  <c r="I384" i="1"/>
  <c r="J384" i="1"/>
  <c r="K384" i="1"/>
  <c r="L384" i="1"/>
  <c r="B385" i="1"/>
  <c r="C385" i="1"/>
  <c r="D385" i="1"/>
  <c r="E385" i="1"/>
  <c r="F385" i="1"/>
  <c r="G385" i="1"/>
  <c r="R385" i="1" s="1"/>
  <c r="H385" i="1"/>
  <c r="I385" i="1"/>
  <c r="J385" i="1"/>
  <c r="K385" i="1"/>
  <c r="L385" i="1"/>
  <c r="B386" i="1"/>
  <c r="C386" i="1"/>
  <c r="D386" i="1"/>
  <c r="E386" i="1"/>
  <c r="F386" i="1"/>
  <c r="G386" i="1"/>
  <c r="R386" i="1" s="1"/>
  <c r="H386" i="1"/>
  <c r="I386" i="1"/>
  <c r="J386" i="1"/>
  <c r="K386" i="1"/>
  <c r="L386" i="1"/>
  <c r="B387" i="1"/>
  <c r="C387" i="1"/>
  <c r="D387" i="1"/>
  <c r="E387" i="1"/>
  <c r="F387" i="1"/>
  <c r="G387" i="1"/>
  <c r="R387" i="1" s="1"/>
  <c r="H387" i="1"/>
  <c r="I387" i="1"/>
  <c r="J387" i="1"/>
  <c r="K387" i="1"/>
  <c r="L387" i="1"/>
  <c r="B388" i="1"/>
  <c r="C388" i="1"/>
  <c r="D388" i="1"/>
  <c r="E388" i="1"/>
  <c r="F388" i="1"/>
  <c r="G388" i="1"/>
  <c r="R388" i="1" s="1"/>
  <c r="H388" i="1"/>
  <c r="I388" i="1"/>
  <c r="J388" i="1"/>
  <c r="K388" i="1"/>
  <c r="L388" i="1"/>
  <c r="B389" i="1"/>
  <c r="C389" i="1"/>
  <c r="D389" i="1"/>
  <c r="E389" i="1"/>
  <c r="F389" i="1"/>
  <c r="G389" i="1"/>
  <c r="R389" i="1" s="1"/>
  <c r="H389" i="1"/>
  <c r="I389" i="1"/>
  <c r="J389" i="1"/>
  <c r="K389" i="1"/>
  <c r="L389" i="1"/>
  <c r="B390" i="1"/>
  <c r="C390" i="1"/>
  <c r="D390" i="1"/>
  <c r="E390" i="1"/>
  <c r="F390" i="1"/>
  <c r="G390" i="1"/>
  <c r="R390" i="1" s="1"/>
  <c r="H390" i="1"/>
  <c r="I390" i="1"/>
  <c r="J390" i="1"/>
  <c r="K390" i="1"/>
  <c r="L390" i="1"/>
  <c r="B391" i="1"/>
  <c r="C391" i="1"/>
  <c r="D391" i="1"/>
  <c r="E391" i="1"/>
  <c r="F391" i="1"/>
  <c r="G391" i="1"/>
  <c r="R391" i="1" s="1"/>
  <c r="H391" i="1"/>
  <c r="I391" i="1"/>
  <c r="J391" i="1"/>
  <c r="K391" i="1"/>
  <c r="L391" i="1"/>
  <c r="B392" i="1"/>
  <c r="C392" i="1"/>
  <c r="D392" i="1"/>
  <c r="E392" i="1"/>
  <c r="F392" i="1"/>
  <c r="G392" i="1"/>
  <c r="R392" i="1" s="1"/>
  <c r="H392" i="1"/>
  <c r="I392" i="1"/>
  <c r="J392" i="1"/>
  <c r="K392" i="1"/>
  <c r="L392" i="1"/>
  <c r="B393" i="1"/>
  <c r="C393" i="1"/>
  <c r="D393" i="1"/>
  <c r="E393" i="1"/>
  <c r="F393" i="1"/>
  <c r="G393" i="1"/>
  <c r="R393" i="1" s="1"/>
  <c r="H393" i="1"/>
  <c r="I393" i="1"/>
  <c r="J393" i="1"/>
  <c r="K393" i="1"/>
  <c r="L393" i="1"/>
  <c r="B394" i="1"/>
  <c r="C394" i="1"/>
  <c r="D394" i="1"/>
  <c r="E394" i="1"/>
  <c r="F394" i="1"/>
  <c r="G394" i="1"/>
  <c r="R394" i="1" s="1"/>
  <c r="H394" i="1"/>
  <c r="I394" i="1"/>
  <c r="J394" i="1"/>
  <c r="K394" i="1"/>
  <c r="L394" i="1"/>
  <c r="B395" i="1"/>
  <c r="C395" i="1"/>
  <c r="D395" i="1"/>
  <c r="E395" i="1"/>
  <c r="F395" i="1"/>
  <c r="G395" i="1"/>
  <c r="R395" i="1" s="1"/>
  <c r="H395" i="1"/>
  <c r="I395" i="1"/>
  <c r="J395" i="1"/>
  <c r="K395" i="1"/>
  <c r="L395" i="1"/>
  <c r="B396" i="1"/>
  <c r="C396" i="1"/>
  <c r="D396" i="1"/>
  <c r="E396" i="1"/>
  <c r="F396" i="1"/>
  <c r="G396" i="1"/>
  <c r="R396" i="1" s="1"/>
  <c r="H396" i="1"/>
  <c r="I396" i="1"/>
  <c r="J396" i="1"/>
  <c r="K396" i="1"/>
  <c r="L396" i="1"/>
  <c r="B397" i="1"/>
  <c r="C397" i="1"/>
  <c r="D397" i="1"/>
  <c r="E397" i="1"/>
  <c r="F397" i="1"/>
  <c r="G397" i="1"/>
  <c r="R397" i="1" s="1"/>
  <c r="H397" i="1"/>
  <c r="I397" i="1"/>
  <c r="J397" i="1"/>
  <c r="K397" i="1"/>
  <c r="L397" i="1"/>
  <c r="B398" i="1"/>
  <c r="C398" i="1"/>
  <c r="D398" i="1"/>
  <c r="E398" i="1"/>
  <c r="F398" i="1"/>
  <c r="G398" i="1"/>
  <c r="R398" i="1" s="1"/>
  <c r="H398" i="1"/>
  <c r="I398" i="1"/>
  <c r="J398" i="1"/>
  <c r="K398" i="1"/>
  <c r="L398" i="1"/>
  <c r="B399" i="1"/>
  <c r="C399" i="1"/>
  <c r="D399" i="1"/>
  <c r="E399" i="1"/>
  <c r="F399" i="1"/>
  <c r="G399" i="1"/>
  <c r="R399" i="1" s="1"/>
  <c r="H399" i="1"/>
  <c r="I399" i="1"/>
  <c r="J399" i="1"/>
  <c r="K399" i="1"/>
  <c r="L399" i="1"/>
  <c r="B400" i="1"/>
  <c r="C400" i="1"/>
  <c r="D400" i="1"/>
  <c r="E400" i="1"/>
  <c r="F400" i="1"/>
  <c r="G400" i="1"/>
  <c r="R400" i="1" s="1"/>
  <c r="H400" i="1"/>
  <c r="I400" i="1"/>
  <c r="J400" i="1"/>
  <c r="K400" i="1"/>
  <c r="L400" i="1"/>
  <c r="B401" i="1"/>
  <c r="C401" i="1"/>
  <c r="D401" i="1"/>
  <c r="E401" i="1"/>
  <c r="F401" i="1"/>
  <c r="G401" i="1"/>
  <c r="R401" i="1" s="1"/>
  <c r="H401" i="1"/>
  <c r="I401" i="1"/>
  <c r="J401" i="1"/>
  <c r="K401" i="1"/>
  <c r="L401" i="1"/>
  <c r="B402" i="1"/>
  <c r="C402" i="1"/>
  <c r="D402" i="1"/>
  <c r="E402" i="1"/>
  <c r="F402" i="1"/>
  <c r="G402" i="1"/>
  <c r="R402" i="1" s="1"/>
  <c r="H402" i="1"/>
  <c r="I402" i="1"/>
  <c r="J402" i="1"/>
  <c r="K402" i="1"/>
  <c r="L402" i="1"/>
  <c r="B403" i="1"/>
  <c r="C403" i="1"/>
  <c r="D403" i="1"/>
  <c r="E403" i="1"/>
  <c r="F403" i="1"/>
  <c r="G403" i="1"/>
  <c r="R403" i="1" s="1"/>
  <c r="H403" i="1"/>
  <c r="I403" i="1"/>
  <c r="J403" i="1"/>
  <c r="K403" i="1"/>
  <c r="L403" i="1"/>
  <c r="B404" i="1"/>
  <c r="C404" i="1"/>
  <c r="D404" i="1"/>
  <c r="E404" i="1"/>
  <c r="F404" i="1"/>
  <c r="G404" i="1"/>
  <c r="R404" i="1" s="1"/>
  <c r="H404" i="1"/>
  <c r="I404" i="1"/>
  <c r="J404" i="1"/>
  <c r="K404" i="1"/>
  <c r="L404" i="1"/>
  <c r="B405" i="1"/>
  <c r="C405" i="1"/>
  <c r="D405" i="1"/>
  <c r="E405" i="1"/>
  <c r="F405" i="1"/>
  <c r="G405" i="1"/>
  <c r="R405" i="1" s="1"/>
  <c r="H405" i="1"/>
  <c r="I405" i="1"/>
  <c r="J405" i="1"/>
  <c r="K405" i="1"/>
  <c r="L405" i="1"/>
  <c r="B406" i="1"/>
  <c r="C406" i="1"/>
  <c r="D406" i="1"/>
  <c r="E406" i="1"/>
  <c r="F406" i="1"/>
  <c r="G406" i="1"/>
  <c r="R406" i="1" s="1"/>
  <c r="H406" i="1"/>
  <c r="I406" i="1"/>
  <c r="J406" i="1"/>
  <c r="K406" i="1"/>
  <c r="L406" i="1"/>
  <c r="B407" i="1"/>
  <c r="C407" i="1"/>
  <c r="D407" i="1"/>
  <c r="E407" i="1"/>
  <c r="F407" i="1"/>
  <c r="G407" i="1"/>
  <c r="R407" i="1" s="1"/>
  <c r="H407" i="1"/>
  <c r="I407" i="1"/>
  <c r="J407" i="1"/>
  <c r="K407" i="1"/>
  <c r="L407" i="1"/>
  <c r="B408" i="1"/>
  <c r="C408" i="1"/>
  <c r="D408" i="1"/>
  <c r="E408" i="1"/>
  <c r="F408" i="1"/>
  <c r="G408" i="1"/>
  <c r="R408" i="1" s="1"/>
  <c r="H408" i="1"/>
  <c r="I408" i="1"/>
  <c r="J408" i="1"/>
  <c r="K408" i="1"/>
  <c r="L408" i="1"/>
  <c r="B409" i="1"/>
  <c r="C409" i="1"/>
  <c r="D409" i="1"/>
  <c r="E409" i="1"/>
  <c r="F409" i="1"/>
  <c r="G409" i="1"/>
  <c r="R409" i="1" s="1"/>
  <c r="H409" i="1"/>
  <c r="I409" i="1"/>
  <c r="J409" i="1"/>
  <c r="K409" i="1"/>
  <c r="L409" i="1"/>
  <c r="B410" i="1"/>
  <c r="C410" i="1"/>
  <c r="D410" i="1"/>
  <c r="E410" i="1"/>
  <c r="F410" i="1"/>
  <c r="G410" i="1"/>
  <c r="R410" i="1" s="1"/>
  <c r="H410" i="1"/>
  <c r="I410" i="1"/>
  <c r="J410" i="1"/>
  <c r="K410" i="1"/>
  <c r="L410" i="1"/>
  <c r="B411" i="1"/>
  <c r="C411" i="1"/>
  <c r="D411" i="1"/>
  <c r="E411" i="1"/>
  <c r="F411" i="1"/>
  <c r="G411" i="1"/>
  <c r="R411" i="1" s="1"/>
  <c r="H411" i="1"/>
  <c r="I411" i="1"/>
  <c r="J411" i="1"/>
  <c r="K411" i="1"/>
  <c r="L411" i="1"/>
  <c r="B412" i="1"/>
  <c r="C412" i="1"/>
  <c r="D412" i="1"/>
  <c r="E412" i="1"/>
  <c r="F412" i="1"/>
  <c r="G412" i="1"/>
  <c r="R412" i="1" s="1"/>
  <c r="H412" i="1"/>
  <c r="I412" i="1"/>
  <c r="J412" i="1"/>
  <c r="K412" i="1"/>
  <c r="L412" i="1"/>
  <c r="B413" i="1"/>
  <c r="C413" i="1"/>
  <c r="D413" i="1"/>
  <c r="E413" i="1"/>
  <c r="F413" i="1"/>
  <c r="G413" i="1"/>
  <c r="R413" i="1" s="1"/>
  <c r="H413" i="1"/>
  <c r="I413" i="1"/>
  <c r="J413" i="1"/>
  <c r="K413" i="1"/>
  <c r="L413" i="1"/>
  <c r="B414" i="1"/>
  <c r="C414" i="1"/>
  <c r="D414" i="1"/>
  <c r="E414" i="1"/>
  <c r="F414" i="1"/>
  <c r="G414" i="1"/>
  <c r="R414" i="1" s="1"/>
  <c r="H414" i="1"/>
  <c r="I414" i="1"/>
  <c r="J414" i="1"/>
  <c r="K414" i="1"/>
  <c r="L414" i="1"/>
  <c r="B415" i="1"/>
  <c r="C415" i="1"/>
  <c r="D415" i="1"/>
  <c r="E415" i="1"/>
  <c r="F415" i="1"/>
  <c r="G415" i="1"/>
  <c r="R415" i="1" s="1"/>
  <c r="H415" i="1"/>
  <c r="I415" i="1"/>
  <c r="J415" i="1"/>
  <c r="K415" i="1"/>
  <c r="L415" i="1"/>
  <c r="B416" i="1"/>
  <c r="C416" i="1"/>
  <c r="D416" i="1"/>
  <c r="E416" i="1"/>
  <c r="F416" i="1"/>
  <c r="G416" i="1"/>
  <c r="R416" i="1" s="1"/>
  <c r="H416" i="1"/>
  <c r="I416" i="1"/>
  <c r="J416" i="1"/>
  <c r="K416" i="1"/>
  <c r="L416" i="1"/>
  <c r="B417" i="1"/>
  <c r="C417" i="1"/>
  <c r="D417" i="1"/>
  <c r="E417" i="1"/>
  <c r="F417" i="1"/>
  <c r="G417" i="1"/>
  <c r="R417" i="1" s="1"/>
  <c r="H417" i="1"/>
  <c r="I417" i="1"/>
  <c r="J417" i="1"/>
  <c r="K417" i="1"/>
  <c r="L417" i="1"/>
  <c r="B418" i="1"/>
  <c r="C418" i="1"/>
  <c r="D418" i="1"/>
  <c r="E418" i="1"/>
  <c r="F418" i="1"/>
  <c r="G418" i="1"/>
  <c r="R418" i="1" s="1"/>
  <c r="H418" i="1"/>
  <c r="I418" i="1"/>
  <c r="J418" i="1"/>
  <c r="K418" i="1"/>
  <c r="L418" i="1"/>
  <c r="B419" i="1"/>
  <c r="C419" i="1"/>
  <c r="D419" i="1"/>
  <c r="E419" i="1"/>
  <c r="F419" i="1"/>
  <c r="G419" i="1"/>
  <c r="R419" i="1" s="1"/>
  <c r="H419" i="1"/>
  <c r="I419" i="1"/>
  <c r="J419" i="1"/>
  <c r="K419" i="1"/>
  <c r="L419" i="1"/>
  <c r="B420" i="1"/>
  <c r="C420" i="1"/>
  <c r="D420" i="1"/>
  <c r="E420" i="1"/>
  <c r="F420" i="1"/>
  <c r="G420" i="1"/>
  <c r="R420" i="1" s="1"/>
  <c r="H420" i="1"/>
  <c r="I420" i="1"/>
  <c r="J420" i="1"/>
  <c r="K420" i="1"/>
  <c r="L420" i="1"/>
  <c r="B421" i="1"/>
  <c r="C421" i="1"/>
  <c r="D421" i="1"/>
  <c r="E421" i="1"/>
  <c r="F421" i="1"/>
  <c r="G421" i="1"/>
  <c r="R421" i="1" s="1"/>
  <c r="H421" i="1"/>
  <c r="I421" i="1"/>
  <c r="J421" i="1"/>
  <c r="K421" i="1"/>
  <c r="L421" i="1"/>
  <c r="B422" i="1"/>
  <c r="C422" i="1"/>
  <c r="D422" i="1"/>
  <c r="E422" i="1"/>
  <c r="F422" i="1"/>
  <c r="G422" i="1"/>
  <c r="R422" i="1" s="1"/>
  <c r="H422" i="1"/>
  <c r="I422" i="1"/>
  <c r="J422" i="1"/>
  <c r="K422" i="1"/>
  <c r="L422" i="1"/>
  <c r="B423" i="1"/>
  <c r="C423" i="1"/>
  <c r="D423" i="1"/>
  <c r="E423" i="1"/>
  <c r="F423" i="1"/>
  <c r="G423" i="1"/>
  <c r="R423" i="1" s="1"/>
  <c r="H423" i="1"/>
  <c r="I423" i="1"/>
  <c r="J423" i="1"/>
  <c r="K423" i="1"/>
  <c r="L423" i="1"/>
  <c r="B424" i="1"/>
  <c r="C424" i="1"/>
  <c r="D424" i="1"/>
  <c r="E424" i="1"/>
  <c r="F424" i="1"/>
  <c r="G424" i="1"/>
  <c r="R424" i="1" s="1"/>
  <c r="H424" i="1"/>
  <c r="I424" i="1"/>
  <c r="J424" i="1"/>
  <c r="K424" i="1"/>
  <c r="L424" i="1"/>
  <c r="B425" i="1"/>
  <c r="C425" i="1"/>
  <c r="D425" i="1"/>
  <c r="E425" i="1"/>
  <c r="F425" i="1"/>
  <c r="G425" i="1"/>
  <c r="R425" i="1" s="1"/>
  <c r="H425" i="1"/>
  <c r="I425" i="1"/>
  <c r="J425" i="1"/>
  <c r="K425" i="1"/>
  <c r="L425" i="1"/>
  <c r="B426" i="1"/>
  <c r="C426" i="1"/>
  <c r="D426" i="1"/>
  <c r="E426" i="1"/>
  <c r="F426" i="1"/>
  <c r="G426" i="1"/>
  <c r="R426" i="1" s="1"/>
  <c r="H426" i="1"/>
  <c r="I426" i="1"/>
  <c r="J426" i="1"/>
  <c r="K426" i="1"/>
  <c r="L426" i="1"/>
  <c r="B427" i="1"/>
  <c r="C427" i="1"/>
  <c r="D427" i="1"/>
  <c r="E427" i="1"/>
  <c r="F427" i="1"/>
  <c r="G427" i="1"/>
  <c r="R427" i="1" s="1"/>
  <c r="H427" i="1"/>
  <c r="I427" i="1"/>
  <c r="J427" i="1"/>
  <c r="K427" i="1"/>
  <c r="L427" i="1"/>
  <c r="B428" i="1"/>
  <c r="C428" i="1"/>
  <c r="D428" i="1"/>
  <c r="E428" i="1"/>
  <c r="F428" i="1"/>
  <c r="G428" i="1"/>
  <c r="R428" i="1" s="1"/>
  <c r="H428" i="1"/>
  <c r="I428" i="1"/>
  <c r="J428" i="1"/>
  <c r="K428" i="1"/>
  <c r="L428" i="1"/>
  <c r="B429" i="1"/>
  <c r="C429" i="1"/>
  <c r="D429" i="1"/>
  <c r="E429" i="1"/>
  <c r="F429" i="1"/>
  <c r="G429" i="1"/>
  <c r="R429" i="1" s="1"/>
  <c r="H429" i="1"/>
  <c r="I429" i="1"/>
  <c r="J429" i="1"/>
  <c r="K429" i="1"/>
  <c r="L429" i="1"/>
  <c r="B430" i="1"/>
  <c r="C430" i="1"/>
  <c r="D430" i="1"/>
  <c r="E430" i="1"/>
  <c r="F430" i="1"/>
  <c r="G430" i="1"/>
  <c r="R430" i="1" s="1"/>
  <c r="H430" i="1"/>
  <c r="I430" i="1"/>
  <c r="J430" i="1"/>
  <c r="K430" i="1"/>
  <c r="L430" i="1"/>
  <c r="B431" i="1"/>
  <c r="C431" i="1"/>
  <c r="D431" i="1"/>
  <c r="E431" i="1"/>
  <c r="F431" i="1"/>
  <c r="G431" i="1"/>
  <c r="R431" i="1" s="1"/>
  <c r="H431" i="1"/>
  <c r="I431" i="1"/>
  <c r="J431" i="1"/>
  <c r="K431" i="1"/>
  <c r="L431" i="1"/>
  <c r="B432" i="1"/>
  <c r="C432" i="1"/>
  <c r="D432" i="1"/>
  <c r="E432" i="1"/>
  <c r="F432" i="1"/>
  <c r="G432" i="1"/>
  <c r="R432" i="1" s="1"/>
  <c r="H432" i="1"/>
  <c r="I432" i="1"/>
  <c r="J432" i="1"/>
  <c r="K432" i="1"/>
  <c r="L432" i="1"/>
  <c r="B433" i="1"/>
  <c r="C433" i="1"/>
  <c r="D433" i="1"/>
  <c r="E433" i="1"/>
  <c r="F433" i="1"/>
  <c r="G433" i="1"/>
  <c r="R433" i="1" s="1"/>
  <c r="H433" i="1"/>
  <c r="I433" i="1"/>
  <c r="J433" i="1"/>
  <c r="K433" i="1"/>
  <c r="L433" i="1"/>
  <c r="B434" i="1"/>
  <c r="C434" i="1"/>
  <c r="D434" i="1"/>
  <c r="E434" i="1"/>
  <c r="F434" i="1"/>
  <c r="G434" i="1"/>
  <c r="R434" i="1" s="1"/>
  <c r="H434" i="1"/>
  <c r="I434" i="1"/>
  <c r="J434" i="1"/>
  <c r="K434" i="1"/>
  <c r="L434" i="1"/>
  <c r="B435" i="1"/>
  <c r="C435" i="1"/>
  <c r="D435" i="1"/>
  <c r="E435" i="1"/>
  <c r="F435" i="1"/>
  <c r="G435" i="1"/>
  <c r="R435" i="1" s="1"/>
  <c r="H435" i="1"/>
  <c r="I435" i="1"/>
  <c r="J435" i="1"/>
  <c r="K435" i="1"/>
  <c r="L435" i="1"/>
  <c r="B436" i="1"/>
  <c r="C436" i="1"/>
  <c r="D436" i="1"/>
  <c r="E436" i="1"/>
  <c r="F436" i="1"/>
  <c r="G436" i="1"/>
  <c r="R436" i="1" s="1"/>
  <c r="H436" i="1"/>
  <c r="I436" i="1"/>
  <c r="J436" i="1"/>
  <c r="K436" i="1"/>
  <c r="L436" i="1"/>
  <c r="B437" i="1"/>
  <c r="C437" i="1"/>
  <c r="D437" i="1"/>
  <c r="E437" i="1"/>
  <c r="F437" i="1"/>
  <c r="G437" i="1"/>
  <c r="R437" i="1" s="1"/>
  <c r="H437" i="1"/>
  <c r="I437" i="1"/>
  <c r="J437" i="1"/>
  <c r="K437" i="1"/>
  <c r="L437" i="1"/>
  <c r="B438" i="1"/>
  <c r="C438" i="1"/>
  <c r="D438" i="1"/>
  <c r="E438" i="1"/>
  <c r="F438" i="1"/>
  <c r="G438" i="1"/>
  <c r="R438" i="1" s="1"/>
  <c r="H438" i="1"/>
  <c r="I438" i="1"/>
  <c r="J438" i="1"/>
  <c r="K438" i="1"/>
  <c r="L438" i="1"/>
  <c r="B439" i="1"/>
  <c r="C439" i="1"/>
  <c r="D439" i="1"/>
  <c r="E439" i="1"/>
  <c r="F439" i="1"/>
  <c r="G439" i="1"/>
  <c r="R439" i="1" s="1"/>
  <c r="H439" i="1"/>
  <c r="I439" i="1"/>
  <c r="J439" i="1"/>
  <c r="K439" i="1"/>
  <c r="L439" i="1"/>
  <c r="B440" i="1"/>
  <c r="C440" i="1"/>
  <c r="D440" i="1"/>
  <c r="E440" i="1"/>
  <c r="F440" i="1"/>
  <c r="G440" i="1"/>
  <c r="R440" i="1" s="1"/>
  <c r="H440" i="1"/>
  <c r="I440" i="1"/>
  <c r="J440" i="1"/>
  <c r="K440" i="1"/>
  <c r="L440" i="1"/>
  <c r="B441" i="1"/>
  <c r="C441" i="1"/>
  <c r="D441" i="1"/>
  <c r="E441" i="1"/>
  <c r="F441" i="1"/>
  <c r="G441" i="1"/>
  <c r="R441" i="1" s="1"/>
  <c r="H441" i="1"/>
  <c r="I441" i="1"/>
  <c r="J441" i="1"/>
  <c r="K441" i="1"/>
  <c r="L441" i="1"/>
  <c r="B442" i="1"/>
  <c r="C442" i="1"/>
  <c r="D442" i="1"/>
  <c r="E442" i="1"/>
  <c r="F442" i="1"/>
  <c r="G442" i="1"/>
  <c r="R442" i="1" s="1"/>
  <c r="H442" i="1"/>
  <c r="I442" i="1"/>
  <c r="J442" i="1"/>
  <c r="K442" i="1"/>
  <c r="L442" i="1"/>
  <c r="B443" i="1"/>
  <c r="C443" i="1"/>
  <c r="D443" i="1"/>
  <c r="E443" i="1"/>
  <c r="F443" i="1"/>
  <c r="G443" i="1"/>
  <c r="R443" i="1" s="1"/>
  <c r="H443" i="1"/>
  <c r="I443" i="1"/>
  <c r="J443" i="1"/>
  <c r="K443" i="1"/>
  <c r="L443" i="1"/>
  <c r="B444" i="1"/>
  <c r="C444" i="1"/>
  <c r="D444" i="1"/>
  <c r="E444" i="1"/>
  <c r="F444" i="1"/>
  <c r="G444" i="1"/>
  <c r="R444" i="1" s="1"/>
  <c r="H444" i="1"/>
  <c r="I444" i="1"/>
  <c r="J444" i="1"/>
  <c r="K444" i="1"/>
  <c r="L444" i="1"/>
  <c r="B445" i="1"/>
  <c r="C445" i="1"/>
  <c r="D445" i="1"/>
  <c r="E445" i="1"/>
  <c r="F445" i="1"/>
  <c r="G445" i="1"/>
  <c r="R445" i="1" s="1"/>
  <c r="H445" i="1"/>
  <c r="I445" i="1"/>
  <c r="J445" i="1"/>
  <c r="K445" i="1"/>
  <c r="L445" i="1"/>
  <c r="B446" i="1"/>
  <c r="C446" i="1"/>
  <c r="D446" i="1"/>
  <c r="E446" i="1"/>
  <c r="F446" i="1"/>
  <c r="G446" i="1"/>
  <c r="R446" i="1" s="1"/>
  <c r="H446" i="1"/>
  <c r="I446" i="1"/>
  <c r="J446" i="1"/>
  <c r="K446" i="1"/>
  <c r="L446" i="1"/>
  <c r="B447" i="1"/>
  <c r="C447" i="1"/>
  <c r="D447" i="1"/>
  <c r="E447" i="1"/>
  <c r="F447" i="1"/>
  <c r="G447" i="1"/>
  <c r="R447" i="1" s="1"/>
  <c r="H447" i="1"/>
  <c r="I447" i="1"/>
  <c r="J447" i="1"/>
  <c r="K447" i="1"/>
  <c r="L447" i="1"/>
  <c r="B448" i="1"/>
  <c r="C448" i="1"/>
  <c r="D448" i="1"/>
  <c r="E448" i="1"/>
  <c r="F448" i="1"/>
  <c r="G448" i="1"/>
  <c r="R448" i="1" s="1"/>
  <c r="H448" i="1"/>
  <c r="I448" i="1"/>
  <c r="J448" i="1"/>
  <c r="K448" i="1"/>
  <c r="L448" i="1"/>
  <c r="B449" i="1"/>
  <c r="C449" i="1"/>
  <c r="D449" i="1"/>
  <c r="E449" i="1"/>
  <c r="F449" i="1"/>
  <c r="G449" i="1"/>
  <c r="R449" i="1" s="1"/>
  <c r="H449" i="1"/>
  <c r="I449" i="1"/>
  <c r="J449" i="1"/>
  <c r="K449" i="1"/>
  <c r="L449" i="1"/>
  <c r="B450" i="1"/>
  <c r="C450" i="1"/>
  <c r="D450" i="1"/>
  <c r="E450" i="1"/>
  <c r="F450" i="1"/>
  <c r="G450" i="1"/>
  <c r="R450" i="1" s="1"/>
  <c r="H450" i="1"/>
  <c r="I450" i="1"/>
  <c r="J450" i="1"/>
  <c r="K450" i="1"/>
  <c r="L450" i="1"/>
  <c r="B451" i="1"/>
  <c r="C451" i="1"/>
  <c r="D451" i="1"/>
  <c r="E451" i="1"/>
  <c r="F451" i="1"/>
  <c r="G451" i="1"/>
  <c r="R451" i="1" s="1"/>
  <c r="H451" i="1"/>
  <c r="I451" i="1"/>
  <c r="J451" i="1"/>
  <c r="K451" i="1"/>
  <c r="L451" i="1"/>
  <c r="B452" i="1"/>
  <c r="C452" i="1"/>
  <c r="D452" i="1"/>
  <c r="E452" i="1"/>
  <c r="F452" i="1"/>
  <c r="G452" i="1"/>
  <c r="R452" i="1" s="1"/>
  <c r="H452" i="1"/>
  <c r="I452" i="1"/>
  <c r="J452" i="1"/>
  <c r="K452" i="1"/>
  <c r="L452" i="1"/>
  <c r="B453" i="1"/>
  <c r="C453" i="1"/>
  <c r="D453" i="1"/>
  <c r="E453" i="1"/>
  <c r="F453" i="1"/>
  <c r="G453" i="1"/>
  <c r="R453" i="1" s="1"/>
  <c r="H453" i="1"/>
  <c r="I453" i="1"/>
  <c r="J453" i="1"/>
  <c r="K453" i="1"/>
  <c r="L453" i="1"/>
  <c r="B454" i="1"/>
  <c r="C454" i="1"/>
  <c r="D454" i="1"/>
  <c r="E454" i="1"/>
  <c r="F454" i="1"/>
  <c r="G454" i="1"/>
  <c r="R454" i="1" s="1"/>
  <c r="H454" i="1"/>
  <c r="I454" i="1"/>
  <c r="J454" i="1"/>
  <c r="K454" i="1"/>
  <c r="L454" i="1"/>
  <c r="B455" i="1"/>
  <c r="C455" i="1"/>
  <c r="D455" i="1"/>
  <c r="E455" i="1"/>
  <c r="F455" i="1"/>
  <c r="G455" i="1"/>
  <c r="R455" i="1" s="1"/>
  <c r="H455" i="1"/>
  <c r="I455" i="1"/>
  <c r="J455" i="1"/>
  <c r="K455" i="1"/>
  <c r="L455" i="1"/>
  <c r="B456" i="1"/>
  <c r="C456" i="1"/>
  <c r="D456" i="1"/>
  <c r="E456" i="1"/>
  <c r="F456" i="1"/>
  <c r="G456" i="1"/>
  <c r="R456" i="1" s="1"/>
  <c r="H456" i="1"/>
  <c r="I456" i="1"/>
  <c r="J456" i="1"/>
  <c r="K456" i="1"/>
  <c r="L456" i="1"/>
  <c r="B457" i="1"/>
  <c r="C457" i="1"/>
  <c r="D457" i="1"/>
  <c r="E457" i="1"/>
  <c r="F457" i="1"/>
  <c r="G457" i="1"/>
  <c r="R457" i="1" s="1"/>
  <c r="H457" i="1"/>
  <c r="I457" i="1"/>
  <c r="J457" i="1"/>
  <c r="K457" i="1"/>
  <c r="L457" i="1"/>
  <c r="B458" i="1"/>
  <c r="C458" i="1"/>
  <c r="D458" i="1"/>
  <c r="E458" i="1"/>
  <c r="F458" i="1"/>
  <c r="G458" i="1"/>
  <c r="R458" i="1" s="1"/>
  <c r="H458" i="1"/>
  <c r="I458" i="1"/>
  <c r="J458" i="1"/>
  <c r="K458" i="1"/>
  <c r="L458" i="1"/>
  <c r="B459" i="1"/>
  <c r="C459" i="1"/>
  <c r="D459" i="1"/>
  <c r="E459" i="1"/>
  <c r="F459" i="1"/>
  <c r="G459" i="1"/>
  <c r="R459" i="1" s="1"/>
  <c r="H459" i="1"/>
  <c r="I459" i="1"/>
  <c r="J459" i="1"/>
  <c r="K459" i="1"/>
  <c r="L459" i="1"/>
  <c r="B460" i="1"/>
  <c r="C460" i="1"/>
  <c r="D460" i="1"/>
  <c r="E460" i="1"/>
  <c r="F460" i="1"/>
  <c r="G460" i="1"/>
  <c r="R460" i="1" s="1"/>
  <c r="H460" i="1"/>
  <c r="I460" i="1"/>
  <c r="J460" i="1"/>
  <c r="K460" i="1"/>
  <c r="L460" i="1"/>
  <c r="B461" i="1"/>
  <c r="C461" i="1"/>
  <c r="D461" i="1"/>
  <c r="E461" i="1"/>
  <c r="F461" i="1"/>
  <c r="G461" i="1"/>
  <c r="R461" i="1" s="1"/>
  <c r="H461" i="1"/>
  <c r="I461" i="1"/>
  <c r="J461" i="1"/>
  <c r="K461" i="1"/>
  <c r="L461" i="1"/>
  <c r="B462" i="1"/>
  <c r="C462" i="1"/>
  <c r="D462" i="1"/>
  <c r="E462" i="1"/>
  <c r="F462" i="1"/>
  <c r="G462" i="1"/>
  <c r="R462" i="1" s="1"/>
  <c r="H462" i="1"/>
  <c r="I462" i="1"/>
  <c r="J462" i="1"/>
  <c r="K462" i="1"/>
  <c r="L462" i="1"/>
  <c r="B463" i="1"/>
  <c r="C463" i="1"/>
  <c r="D463" i="1"/>
  <c r="E463" i="1"/>
  <c r="F463" i="1"/>
  <c r="G463" i="1"/>
  <c r="R463" i="1" s="1"/>
  <c r="H463" i="1"/>
  <c r="I463" i="1"/>
  <c r="J463" i="1"/>
  <c r="K463" i="1"/>
  <c r="L463" i="1"/>
  <c r="B464" i="1"/>
  <c r="C464" i="1"/>
  <c r="D464" i="1"/>
  <c r="E464" i="1"/>
  <c r="F464" i="1"/>
  <c r="G464" i="1"/>
  <c r="R464" i="1" s="1"/>
  <c r="H464" i="1"/>
  <c r="I464" i="1"/>
  <c r="J464" i="1"/>
  <c r="K464" i="1"/>
  <c r="L464" i="1"/>
  <c r="B465" i="1"/>
  <c r="C465" i="1"/>
  <c r="D465" i="1"/>
  <c r="E465" i="1"/>
  <c r="F465" i="1"/>
  <c r="G465" i="1"/>
  <c r="R465" i="1" s="1"/>
  <c r="H465" i="1"/>
  <c r="I465" i="1"/>
  <c r="J465" i="1"/>
  <c r="K465" i="1"/>
  <c r="L465" i="1"/>
  <c r="B466" i="1"/>
  <c r="C466" i="1"/>
  <c r="D466" i="1"/>
  <c r="E466" i="1"/>
  <c r="F466" i="1"/>
  <c r="G466" i="1"/>
  <c r="R466" i="1" s="1"/>
  <c r="H466" i="1"/>
  <c r="I466" i="1"/>
  <c r="J466" i="1"/>
  <c r="K466" i="1"/>
  <c r="L466" i="1"/>
  <c r="B467" i="1"/>
  <c r="C467" i="1"/>
  <c r="D467" i="1"/>
  <c r="E467" i="1"/>
  <c r="F467" i="1"/>
  <c r="G467" i="1"/>
  <c r="R467" i="1" s="1"/>
  <c r="H467" i="1"/>
  <c r="I467" i="1"/>
  <c r="J467" i="1"/>
  <c r="K467" i="1"/>
  <c r="L467" i="1"/>
  <c r="B468" i="1"/>
  <c r="C468" i="1"/>
  <c r="D468" i="1"/>
  <c r="E468" i="1"/>
  <c r="F468" i="1"/>
  <c r="G468" i="1"/>
  <c r="R468" i="1" s="1"/>
  <c r="H468" i="1"/>
  <c r="I468" i="1"/>
  <c r="J468" i="1"/>
  <c r="K468" i="1"/>
  <c r="L468" i="1"/>
  <c r="B469" i="1"/>
  <c r="C469" i="1"/>
  <c r="D469" i="1"/>
  <c r="E469" i="1"/>
  <c r="F469" i="1"/>
  <c r="G469" i="1"/>
  <c r="R469" i="1" s="1"/>
  <c r="H469" i="1"/>
  <c r="I469" i="1"/>
  <c r="J469" i="1"/>
  <c r="K469" i="1"/>
  <c r="L469" i="1"/>
  <c r="B470" i="1"/>
  <c r="C470" i="1"/>
  <c r="D470" i="1"/>
  <c r="E470" i="1"/>
  <c r="F470" i="1"/>
  <c r="G470" i="1"/>
  <c r="R470" i="1" s="1"/>
  <c r="H470" i="1"/>
  <c r="I470" i="1"/>
  <c r="J470" i="1"/>
  <c r="K470" i="1"/>
  <c r="L470" i="1"/>
  <c r="B471" i="1"/>
  <c r="C471" i="1"/>
  <c r="D471" i="1"/>
  <c r="E471" i="1"/>
  <c r="F471" i="1"/>
  <c r="G471" i="1"/>
  <c r="R471" i="1" s="1"/>
  <c r="H471" i="1"/>
  <c r="I471" i="1"/>
  <c r="J471" i="1"/>
  <c r="K471" i="1"/>
  <c r="L471" i="1"/>
  <c r="B472" i="1"/>
  <c r="C472" i="1"/>
  <c r="D472" i="1"/>
  <c r="E472" i="1"/>
  <c r="F472" i="1"/>
  <c r="G472" i="1"/>
  <c r="R472" i="1" s="1"/>
  <c r="H472" i="1"/>
  <c r="I472" i="1"/>
  <c r="J472" i="1"/>
  <c r="K472" i="1"/>
  <c r="L472" i="1"/>
  <c r="B473" i="1"/>
  <c r="C473" i="1"/>
  <c r="D473" i="1"/>
  <c r="E473" i="1"/>
  <c r="F473" i="1"/>
  <c r="G473" i="1"/>
  <c r="R473" i="1" s="1"/>
  <c r="H473" i="1"/>
  <c r="I473" i="1"/>
  <c r="J473" i="1"/>
  <c r="K473" i="1"/>
  <c r="L473" i="1"/>
  <c r="B474" i="1"/>
  <c r="C474" i="1"/>
  <c r="D474" i="1"/>
  <c r="E474" i="1"/>
  <c r="F474" i="1"/>
  <c r="G474" i="1"/>
  <c r="R474" i="1" s="1"/>
  <c r="H474" i="1"/>
  <c r="I474" i="1"/>
  <c r="J474" i="1"/>
  <c r="K474" i="1"/>
  <c r="L474" i="1"/>
  <c r="B475" i="1"/>
  <c r="C475" i="1"/>
  <c r="D475" i="1"/>
  <c r="E475" i="1"/>
  <c r="F475" i="1"/>
  <c r="G475" i="1"/>
  <c r="R475" i="1" s="1"/>
  <c r="H475" i="1"/>
  <c r="I475" i="1"/>
  <c r="J475" i="1"/>
  <c r="K475" i="1"/>
  <c r="L475" i="1"/>
  <c r="B476" i="1"/>
  <c r="C476" i="1"/>
  <c r="D476" i="1"/>
  <c r="E476" i="1"/>
  <c r="F476" i="1"/>
  <c r="G476" i="1"/>
  <c r="R476" i="1" s="1"/>
  <c r="H476" i="1"/>
  <c r="I476" i="1"/>
  <c r="J476" i="1"/>
  <c r="K476" i="1"/>
  <c r="L476" i="1"/>
  <c r="B477" i="1"/>
  <c r="C477" i="1"/>
  <c r="D477" i="1"/>
  <c r="E477" i="1"/>
  <c r="F477" i="1"/>
  <c r="G477" i="1"/>
  <c r="R477" i="1" s="1"/>
  <c r="H477" i="1"/>
  <c r="I477" i="1"/>
  <c r="J477" i="1"/>
  <c r="K477" i="1"/>
  <c r="L477" i="1"/>
  <c r="B478" i="1"/>
  <c r="C478" i="1"/>
  <c r="D478" i="1"/>
  <c r="E478" i="1"/>
  <c r="F478" i="1"/>
  <c r="G478" i="1"/>
  <c r="R478" i="1" s="1"/>
  <c r="H478" i="1"/>
  <c r="I478" i="1"/>
  <c r="J478" i="1"/>
  <c r="K478" i="1"/>
  <c r="L478" i="1"/>
  <c r="B479" i="1"/>
  <c r="C479" i="1"/>
  <c r="D479" i="1"/>
  <c r="E479" i="1"/>
  <c r="F479" i="1"/>
  <c r="G479" i="1"/>
  <c r="R479" i="1" s="1"/>
  <c r="H479" i="1"/>
  <c r="I479" i="1"/>
  <c r="J479" i="1"/>
  <c r="K479" i="1"/>
  <c r="L479" i="1"/>
  <c r="B480" i="1"/>
  <c r="C480" i="1"/>
  <c r="D480" i="1"/>
  <c r="E480" i="1"/>
  <c r="F480" i="1"/>
  <c r="G480" i="1"/>
  <c r="R480" i="1" s="1"/>
  <c r="H480" i="1"/>
  <c r="I480" i="1"/>
  <c r="J480" i="1"/>
  <c r="K480" i="1"/>
  <c r="L480" i="1"/>
  <c r="B481" i="1"/>
  <c r="C481" i="1"/>
  <c r="D481" i="1"/>
  <c r="E481" i="1"/>
  <c r="F481" i="1"/>
  <c r="G481" i="1"/>
  <c r="R481" i="1" s="1"/>
  <c r="H481" i="1"/>
  <c r="I481" i="1"/>
  <c r="J481" i="1"/>
  <c r="K481" i="1"/>
  <c r="L481" i="1"/>
  <c r="B482" i="1"/>
  <c r="C482" i="1"/>
  <c r="D482" i="1"/>
  <c r="E482" i="1"/>
  <c r="F482" i="1"/>
  <c r="G482" i="1"/>
  <c r="R482" i="1" s="1"/>
  <c r="H482" i="1"/>
  <c r="I482" i="1"/>
  <c r="J482" i="1"/>
  <c r="K482" i="1"/>
  <c r="L482" i="1"/>
  <c r="B483" i="1"/>
  <c r="C483" i="1"/>
  <c r="D483" i="1"/>
  <c r="E483" i="1"/>
  <c r="F483" i="1"/>
  <c r="G483" i="1"/>
  <c r="R483" i="1" s="1"/>
  <c r="H483" i="1"/>
  <c r="I483" i="1"/>
  <c r="J483" i="1"/>
  <c r="K483" i="1"/>
  <c r="L483" i="1"/>
  <c r="B484" i="1"/>
  <c r="C484" i="1"/>
  <c r="D484" i="1"/>
  <c r="E484" i="1"/>
  <c r="F484" i="1"/>
  <c r="G484" i="1"/>
  <c r="R484" i="1" s="1"/>
  <c r="H484" i="1"/>
  <c r="I484" i="1"/>
  <c r="J484" i="1"/>
  <c r="K484" i="1"/>
  <c r="L484" i="1"/>
  <c r="B485" i="1"/>
  <c r="C485" i="1"/>
  <c r="D485" i="1"/>
  <c r="E485" i="1"/>
  <c r="F485" i="1"/>
  <c r="G485" i="1"/>
  <c r="R485" i="1" s="1"/>
  <c r="H485" i="1"/>
  <c r="I485" i="1"/>
  <c r="J485" i="1"/>
  <c r="K485" i="1"/>
  <c r="L485" i="1"/>
  <c r="B486" i="1"/>
  <c r="C486" i="1"/>
  <c r="D486" i="1"/>
  <c r="E486" i="1"/>
  <c r="F486" i="1"/>
  <c r="G486" i="1"/>
  <c r="R486" i="1" s="1"/>
  <c r="H486" i="1"/>
  <c r="I486" i="1"/>
  <c r="J486" i="1"/>
  <c r="K486" i="1"/>
  <c r="L486" i="1"/>
  <c r="B487" i="1"/>
  <c r="C487" i="1"/>
  <c r="D487" i="1"/>
  <c r="E487" i="1"/>
  <c r="F487" i="1"/>
  <c r="G487" i="1"/>
  <c r="R487" i="1" s="1"/>
  <c r="H487" i="1"/>
  <c r="I487" i="1"/>
  <c r="J487" i="1"/>
  <c r="K487" i="1"/>
  <c r="L487" i="1"/>
  <c r="B488" i="1"/>
  <c r="C488" i="1"/>
  <c r="D488" i="1"/>
  <c r="E488" i="1"/>
  <c r="F488" i="1"/>
  <c r="G488" i="1"/>
  <c r="R488" i="1" s="1"/>
  <c r="H488" i="1"/>
  <c r="I488" i="1"/>
  <c r="J488" i="1"/>
  <c r="K488" i="1"/>
  <c r="L488" i="1"/>
  <c r="B489" i="1"/>
  <c r="C489" i="1"/>
  <c r="D489" i="1"/>
  <c r="E489" i="1"/>
  <c r="F489" i="1"/>
  <c r="G489" i="1"/>
  <c r="R489" i="1" s="1"/>
  <c r="H489" i="1"/>
  <c r="I489" i="1"/>
  <c r="J489" i="1"/>
  <c r="K489" i="1"/>
  <c r="L489" i="1"/>
  <c r="B490" i="1"/>
  <c r="C490" i="1"/>
  <c r="D490" i="1"/>
  <c r="E490" i="1"/>
  <c r="F490" i="1"/>
  <c r="G490" i="1"/>
  <c r="R490" i="1" s="1"/>
  <c r="H490" i="1"/>
  <c r="I490" i="1"/>
  <c r="J490" i="1"/>
  <c r="K490" i="1"/>
  <c r="L490" i="1"/>
  <c r="B491" i="1"/>
  <c r="C491" i="1"/>
  <c r="D491" i="1"/>
  <c r="E491" i="1"/>
  <c r="F491" i="1"/>
  <c r="G491" i="1"/>
  <c r="R491" i="1" s="1"/>
  <c r="H491" i="1"/>
  <c r="I491" i="1"/>
  <c r="J491" i="1"/>
  <c r="K491" i="1"/>
  <c r="L491" i="1"/>
  <c r="B492" i="1"/>
  <c r="C492" i="1"/>
  <c r="D492" i="1"/>
  <c r="E492" i="1"/>
  <c r="F492" i="1"/>
  <c r="G492" i="1"/>
  <c r="R492" i="1" s="1"/>
  <c r="H492" i="1"/>
  <c r="I492" i="1"/>
  <c r="J492" i="1"/>
  <c r="K492" i="1"/>
  <c r="L492" i="1"/>
  <c r="B493" i="1"/>
  <c r="C493" i="1"/>
  <c r="D493" i="1"/>
  <c r="E493" i="1"/>
  <c r="F493" i="1"/>
  <c r="G493" i="1"/>
  <c r="R493" i="1" s="1"/>
  <c r="H493" i="1"/>
  <c r="I493" i="1"/>
  <c r="J493" i="1"/>
  <c r="K493" i="1"/>
  <c r="L493" i="1"/>
  <c r="B494" i="1"/>
  <c r="C494" i="1"/>
  <c r="D494" i="1"/>
  <c r="E494" i="1"/>
  <c r="F494" i="1"/>
  <c r="G494" i="1"/>
  <c r="R494" i="1" s="1"/>
  <c r="H494" i="1"/>
  <c r="I494" i="1"/>
  <c r="J494" i="1"/>
  <c r="K494" i="1"/>
  <c r="L494" i="1"/>
  <c r="B495" i="1"/>
  <c r="C495" i="1"/>
  <c r="D495" i="1"/>
  <c r="E495" i="1"/>
  <c r="F495" i="1"/>
  <c r="G495" i="1"/>
  <c r="R495" i="1" s="1"/>
  <c r="H495" i="1"/>
  <c r="I495" i="1"/>
  <c r="J495" i="1"/>
  <c r="K495" i="1"/>
  <c r="L495" i="1"/>
  <c r="B496" i="1"/>
  <c r="C496" i="1"/>
  <c r="D496" i="1"/>
  <c r="E496" i="1"/>
  <c r="F496" i="1"/>
  <c r="G496" i="1"/>
  <c r="R496" i="1" s="1"/>
  <c r="H496" i="1"/>
  <c r="I496" i="1"/>
  <c r="J496" i="1"/>
  <c r="K496" i="1"/>
  <c r="L496" i="1"/>
  <c r="B497" i="1"/>
  <c r="C497" i="1"/>
  <c r="D497" i="1"/>
  <c r="E497" i="1"/>
  <c r="F497" i="1"/>
  <c r="G497" i="1"/>
  <c r="R497" i="1" s="1"/>
  <c r="H497" i="1"/>
  <c r="I497" i="1"/>
  <c r="J497" i="1"/>
  <c r="K497" i="1"/>
  <c r="L497" i="1"/>
  <c r="B498" i="1"/>
  <c r="C498" i="1"/>
  <c r="D498" i="1"/>
  <c r="E498" i="1"/>
  <c r="F498" i="1"/>
  <c r="G498" i="1"/>
  <c r="R498" i="1" s="1"/>
  <c r="H498" i="1"/>
  <c r="I498" i="1"/>
  <c r="J498" i="1"/>
  <c r="K498" i="1"/>
  <c r="L498" i="1"/>
  <c r="B499" i="1"/>
  <c r="C499" i="1"/>
  <c r="D499" i="1"/>
  <c r="E499" i="1"/>
  <c r="F499" i="1"/>
  <c r="G499" i="1"/>
  <c r="R499" i="1" s="1"/>
  <c r="H499" i="1"/>
  <c r="I499" i="1"/>
  <c r="J499" i="1"/>
  <c r="K499" i="1"/>
  <c r="L499" i="1"/>
  <c r="B500" i="1"/>
  <c r="C500" i="1"/>
  <c r="D500" i="1"/>
  <c r="E500" i="1"/>
  <c r="F500" i="1"/>
  <c r="G500" i="1"/>
  <c r="R500" i="1" s="1"/>
  <c r="H500" i="1"/>
  <c r="I500" i="1"/>
  <c r="J500" i="1"/>
  <c r="K500" i="1"/>
  <c r="L500" i="1"/>
  <c r="B501" i="1"/>
  <c r="C501" i="1"/>
  <c r="D501" i="1"/>
  <c r="E501" i="1"/>
  <c r="F501" i="1"/>
  <c r="G501" i="1"/>
  <c r="R501" i="1" s="1"/>
  <c r="H501" i="1"/>
  <c r="I501" i="1"/>
  <c r="J501" i="1"/>
  <c r="K501" i="1"/>
  <c r="L501" i="1"/>
  <c r="B502" i="1"/>
  <c r="C502" i="1"/>
  <c r="D502" i="1"/>
  <c r="E502" i="1"/>
  <c r="F502" i="1"/>
  <c r="G502" i="1"/>
  <c r="R502" i="1" s="1"/>
  <c r="H502" i="1"/>
  <c r="I502" i="1"/>
  <c r="J502" i="1"/>
  <c r="K502" i="1"/>
  <c r="L502" i="1"/>
  <c r="B503" i="1"/>
  <c r="C503" i="1"/>
  <c r="D503" i="1"/>
  <c r="E503" i="1"/>
  <c r="F503" i="1"/>
  <c r="G503" i="1"/>
  <c r="R503" i="1" s="1"/>
  <c r="H503" i="1"/>
  <c r="I503" i="1"/>
  <c r="J503" i="1"/>
  <c r="K503" i="1"/>
  <c r="L503" i="1"/>
  <c r="B504" i="1"/>
  <c r="C504" i="1"/>
  <c r="D504" i="1"/>
  <c r="E504" i="1"/>
  <c r="F504" i="1"/>
  <c r="G504" i="1"/>
  <c r="R504" i="1" s="1"/>
  <c r="H504" i="1"/>
  <c r="I504" i="1"/>
  <c r="J504" i="1"/>
  <c r="K504" i="1"/>
  <c r="L504" i="1"/>
  <c r="B505" i="1"/>
  <c r="C505" i="1"/>
  <c r="D505" i="1"/>
  <c r="E505" i="1"/>
  <c r="F505" i="1"/>
  <c r="G505" i="1"/>
  <c r="R505" i="1" s="1"/>
  <c r="H505" i="1"/>
  <c r="I505" i="1"/>
  <c r="J505" i="1"/>
  <c r="K505" i="1"/>
  <c r="L505" i="1"/>
  <c r="B506" i="1"/>
  <c r="C506" i="1"/>
  <c r="D506" i="1"/>
  <c r="E506" i="1"/>
  <c r="F506" i="1"/>
  <c r="G506" i="1"/>
  <c r="R506" i="1" s="1"/>
  <c r="H506" i="1"/>
  <c r="I506" i="1"/>
  <c r="J506" i="1"/>
  <c r="K506" i="1"/>
  <c r="L506" i="1"/>
  <c r="B507" i="1"/>
  <c r="C507" i="1"/>
  <c r="D507" i="1"/>
  <c r="E507" i="1"/>
  <c r="F507" i="1"/>
  <c r="G507" i="1"/>
  <c r="R507" i="1" s="1"/>
  <c r="H507" i="1"/>
  <c r="I507" i="1"/>
  <c r="J507" i="1"/>
  <c r="K507" i="1"/>
  <c r="L507" i="1"/>
  <c r="B508" i="1"/>
  <c r="C508" i="1"/>
  <c r="D508" i="1"/>
  <c r="E508" i="1"/>
  <c r="F508" i="1"/>
  <c r="G508" i="1"/>
  <c r="R508" i="1" s="1"/>
  <c r="H508" i="1"/>
  <c r="I508" i="1"/>
  <c r="J508" i="1"/>
  <c r="K508" i="1"/>
  <c r="L508" i="1"/>
  <c r="B509" i="1"/>
  <c r="C509" i="1"/>
  <c r="D509" i="1"/>
  <c r="E509" i="1"/>
  <c r="F509" i="1"/>
  <c r="G509" i="1"/>
  <c r="R509" i="1" s="1"/>
  <c r="H509" i="1"/>
  <c r="I509" i="1"/>
  <c r="J509" i="1"/>
  <c r="K509" i="1"/>
  <c r="L509" i="1"/>
  <c r="B510" i="1"/>
  <c r="C510" i="1"/>
  <c r="D510" i="1"/>
  <c r="E510" i="1"/>
  <c r="F510" i="1"/>
  <c r="G510" i="1"/>
  <c r="R510" i="1" s="1"/>
  <c r="H510" i="1"/>
  <c r="I510" i="1"/>
  <c r="J510" i="1"/>
  <c r="K510" i="1"/>
  <c r="L510" i="1"/>
  <c r="B511" i="1"/>
  <c r="C511" i="1"/>
  <c r="D511" i="1"/>
  <c r="E511" i="1"/>
  <c r="F511" i="1"/>
  <c r="G511" i="1"/>
  <c r="R511" i="1" s="1"/>
  <c r="H511" i="1"/>
  <c r="I511" i="1"/>
  <c r="J511" i="1"/>
  <c r="K511" i="1"/>
  <c r="L511" i="1"/>
  <c r="B512" i="1"/>
  <c r="C512" i="1"/>
  <c r="D512" i="1"/>
  <c r="E512" i="1"/>
  <c r="F512" i="1"/>
  <c r="G512" i="1"/>
  <c r="R512" i="1" s="1"/>
  <c r="H512" i="1"/>
  <c r="I512" i="1"/>
  <c r="J512" i="1"/>
  <c r="K512" i="1"/>
  <c r="L512" i="1"/>
  <c r="B513" i="1"/>
  <c r="C513" i="1"/>
  <c r="D513" i="1"/>
  <c r="E513" i="1"/>
  <c r="F513" i="1"/>
  <c r="G513" i="1"/>
  <c r="R513" i="1" s="1"/>
  <c r="H513" i="1"/>
  <c r="I513" i="1"/>
  <c r="J513" i="1"/>
  <c r="K513" i="1"/>
  <c r="L513" i="1"/>
  <c r="B514" i="1"/>
  <c r="C514" i="1"/>
  <c r="D514" i="1"/>
  <c r="E514" i="1"/>
  <c r="F514" i="1"/>
  <c r="G514" i="1"/>
  <c r="R514" i="1" s="1"/>
  <c r="H514" i="1"/>
  <c r="I514" i="1"/>
  <c r="J514" i="1"/>
  <c r="K514" i="1"/>
  <c r="L514" i="1"/>
  <c r="B515" i="1"/>
  <c r="C515" i="1"/>
  <c r="D515" i="1"/>
  <c r="E515" i="1"/>
  <c r="F515" i="1"/>
  <c r="G515" i="1"/>
  <c r="R515" i="1" s="1"/>
  <c r="H515" i="1"/>
  <c r="I515" i="1"/>
  <c r="J515" i="1"/>
  <c r="K515" i="1"/>
  <c r="L515" i="1"/>
  <c r="B516" i="1"/>
  <c r="C516" i="1"/>
  <c r="D516" i="1"/>
  <c r="E516" i="1"/>
  <c r="F516" i="1"/>
  <c r="G516" i="1"/>
  <c r="R516" i="1" s="1"/>
  <c r="H516" i="1"/>
  <c r="I516" i="1"/>
  <c r="J516" i="1"/>
  <c r="K516" i="1"/>
  <c r="L516" i="1"/>
  <c r="B517" i="1"/>
  <c r="C517" i="1"/>
  <c r="D517" i="1"/>
  <c r="E517" i="1"/>
  <c r="F517" i="1"/>
  <c r="G517" i="1"/>
  <c r="R517" i="1" s="1"/>
  <c r="H517" i="1"/>
  <c r="I517" i="1"/>
  <c r="J517" i="1"/>
  <c r="K517" i="1"/>
  <c r="L517" i="1"/>
  <c r="B518" i="1"/>
  <c r="C518" i="1"/>
  <c r="D518" i="1"/>
  <c r="E518" i="1"/>
  <c r="F518" i="1"/>
  <c r="G518" i="1"/>
  <c r="R518" i="1" s="1"/>
  <c r="H518" i="1"/>
  <c r="I518" i="1"/>
  <c r="J518" i="1"/>
  <c r="K518" i="1"/>
  <c r="L518" i="1"/>
  <c r="B519" i="1"/>
  <c r="C519" i="1"/>
  <c r="D519" i="1"/>
  <c r="E519" i="1"/>
  <c r="F519" i="1"/>
  <c r="G519" i="1"/>
  <c r="R519" i="1" s="1"/>
  <c r="H519" i="1"/>
  <c r="I519" i="1"/>
  <c r="J519" i="1"/>
  <c r="K519" i="1"/>
  <c r="L519" i="1"/>
  <c r="B520" i="1"/>
  <c r="C520" i="1"/>
  <c r="D520" i="1"/>
  <c r="E520" i="1"/>
  <c r="F520" i="1"/>
  <c r="G520" i="1"/>
  <c r="R520" i="1" s="1"/>
  <c r="H520" i="1"/>
  <c r="I520" i="1"/>
  <c r="J520" i="1"/>
  <c r="K520" i="1"/>
  <c r="L520" i="1"/>
  <c r="B521" i="1"/>
  <c r="C521" i="1"/>
  <c r="D521" i="1"/>
  <c r="E521" i="1"/>
  <c r="F521" i="1"/>
  <c r="G521" i="1"/>
  <c r="R521" i="1" s="1"/>
  <c r="H521" i="1"/>
  <c r="I521" i="1"/>
  <c r="J521" i="1"/>
  <c r="K521" i="1"/>
  <c r="L521" i="1"/>
  <c r="B522" i="1"/>
  <c r="C522" i="1"/>
  <c r="D522" i="1"/>
  <c r="E522" i="1"/>
  <c r="F522" i="1"/>
  <c r="G522" i="1"/>
  <c r="R522" i="1" s="1"/>
  <c r="H522" i="1"/>
  <c r="I522" i="1"/>
  <c r="J522" i="1"/>
  <c r="K522" i="1"/>
  <c r="L522" i="1"/>
  <c r="B523" i="1"/>
  <c r="C523" i="1"/>
  <c r="D523" i="1"/>
  <c r="E523" i="1"/>
  <c r="F523" i="1"/>
  <c r="G523" i="1"/>
  <c r="R523" i="1" s="1"/>
  <c r="H523" i="1"/>
  <c r="I523" i="1"/>
  <c r="J523" i="1"/>
  <c r="K523" i="1"/>
  <c r="L523" i="1"/>
  <c r="B524" i="1"/>
  <c r="C524" i="1"/>
  <c r="D524" i="1"/>
  <c r="E524" i="1"/>
  <c r="F524" i="1"/>
  <c r="G524" i="1"/>
  <c r="R524" i="1" s="1"/>
  <c r="H524" i="1"/>
  <c r="I524" i="1"/>
  <c r="J524" i="1"/>
  <c r="K524" i="1"/>
  <c r="L524" i="1"/>
  <c r="B525" i="1"/>
  <c r="C525" i="1"/>
  <c r="D525" i="1"/>
  <c r="E525" i="1"/>
  <c r="F525" i="1"/>
  <c r="G525" i="1"/>
  <c r="R525" i="1" s="1"/>
  <c r="H525" i="1"/>
  <c r="I525" i="1"/>
  <c r="J525" i="1"/>
  <c r="K525" i="1"/>
  <c r="L525" i="1"/>
  <c r="B526" i="1"/>
  <c r="C526" i="1"/>
  <c r="D526" i="1"/>
  <c r="E526" i="1"/>
  <c r="F526" i="1"/>
  <c r="G526" i="1"/>
  <c r="R526" i="1" s="1"/>
  <c r="H526" i="1"/>
  <c r="I526" i="1"/>
  <c r="J526" i="1"/>
  <c r="K526" i="1"/>
  <c r="L526" i="1"/>
  <c r="B527" i="1"/>
  <c r="C527" i="1"/>
  <c r="D527" i="1"/>
  <c r="E527" i="1"/>
  <c r="F527" i="1"/>
  <c r="G527" i="1"/>
  <c r="R527" i="1" s="1"/>
  <c r="H527" i="1"/>
  <c r="I527" i="1"/>
  <c r="J527" i="1"/>
  <c r="K527" i="1"/>
  <c r="L527" i="1"/>
  <c r="B528" i="1"/>
  <c r="C528" i="1"/>
  <c r="D528" i="1"/>
  <c r="E528" i="1"/>
  <c r="F528" i="1"/>
  <c r="G528" i="1"/>
  <c r="R528" i="1" s="1"/>
  <c r="H528" i="1"/>
  <c r="I528" i="1"/>
  <c r="J528" i="1"/>
  <c r="K528" i="1"/>
  <c r="L528" i="1"/>
  <c r="B529" i="1"/>
  <c r="C529" i="1"/>
  <c r="D529" i="1"/>
  <c r="E529" i="1"/>
  <c r="F529" i="1"/>
  <c r="G529" i="1"/>
  <c r="R529" i="1" s="1"/>
  <c r="H529" i="1"/>
  <c r="I529" i="1"/>
  <c r="J529" i="1"/>
  <c r="K529" i="1"/>
  <c r="L529" i="1"/>
  <c r="B530" i="1"/>
  <c r="C530" i="1"/>
  <c r="D530" i="1"/>
  <c r="E530" i="1"/>
  <c r="F530" i="1"/>
  <c r="G530" i="1"/>
  <c r="R530" i="1" s="1"/>
  <c r="H530" i="1"/>
  <c r="I530" i="1"/>
  <c r="J530" i="1"/>
  <c r="K530" i="1"/>
  <c r="L530" i="1"/>
  <c r="B531" i="1"/>
  <c r="C531" i="1"/>
  <c r="D531" i="1"/>
  <c r="E531" i="1"/>
  <c r="F531" i="1"/>
  <c r="G531" i="1"/>
  <c r="R531" i="1" s="1"/>
  <c r="H531" i="1"/>
  <c r="I531" i="1"/>
  <c r="J531" i="1"/>
  <c r="K531" i="1"/>
  <c r="L531" i="1"/>
  <c r="B532" i="1"/>
  <c r="C532" i="1"/>
  <c r="D532" i="1"/>
  <c r="E532" i="1"/>
  <c r="F532" i="1"/>
  <c r="G532" i="1"/>
  <c r="R532" i="1" s="1"/>
  <c r="H532" i="1"/>
  <c r="I532" i="1"/>
  <c r="J532" i="1"/>
  <c r="K532" i="1"/>
  <c r="L532" i="1"/>
  <c r="B533" i="1"/>
  <c r="C533" i="1"/>
  <c r="D533" i="1"/>
  <c r="E533" i="1"/>
  <c r="F533" i="1"/>
  <c r="G533" i="1"/>
  <c r="R533" i="1" s="1"/>
  <c r="H533" i="1"/>
  <c r="I533" i="1"/>
  <c r="J533" i="1"/>
  <c r="K533" i="1"/>
  <c r="L533" i="1"/>
  <c r="B534" i="1"/>
  <c r="C534" i="1"/>
  <c r="D534" i="1"/>
  <c r="E534" i="1"/>
  <c r="F534" i="1"/>
  <c r="G534" i="1"/>
  <c r="R534" i="1" s="1"/>
  <c r="H534" i="1"/>
  <c r="I534" i="1"/>
  <c r="J534" i="1"/>
  <c r="K534" i="1"/>
  <c r="L534" i="1"/>
  <c r="B535" i="1"/>
  <c r="C535" i="1"/>
  <c r="D535" i="1"/>
  <c r="E535" i="1"/>
  <c r="F535" i="1"/>
  <c r="G535" i="1"/>
  <c r="R535" i="1" s="1"/>
  <c r="H535" i="1"/>
  <c r="I535" i="1"/>
  <c r="J535" i="1"/>
  <c r="K535" i="1"/>
  <c r="L535" i="1"/>
  <c r="B536" i="1"/>
  <c r="C536" i="1"/>
  <c r="D536" i="1"/>
  <c r="E536" i="1"/>
  <c r="F536" i="1"/>
  <c r="G536" i="1"/>
  <c r="R536" i="1" s="1"/>
  <c r="H536" i="1"/>
  <c r="I536" i="1"/>
  <c r="J536" i="1"/>
  <c r="K536" i="1"/>
  <c r="L536" i="1"/>
  <c r="B537" i="1"/>
  <c r="C537" i="1"/>
  <c r="D537" i="1"/>
  <c r="E537" i="1"/>
  <c r="F537" i="1"/>
  <c r="G537" i="1"/>
  <c r="R537" i="1" s="1"/>
  <c r="H537" i="1"/>
  <c r="I537" i="1"/>
  <c r="J537" i="1"/>
  <c r="K537" i="1"/>
  <c r="L537" i="1"/>
  <c r="B538" i="1"/>
  <c r="C538" i="1"/>
  <c r="D538" i="1"/>
  <c r="E538" i="1"/>
  <c r="F538" i="1"/>
  <c r="G538" i="1"/>
  <c r="R538" i="1" s="1"/>
  <c r="H538" i="1"/>
  <c r="I538" i="1"/>
  <c r="J538" i="1"/>
  <c r="K538" i="1"/>
  <c r="L538" i="1"/>
  <c r="B539" i="1"/>
  <c r="C539" i="1"/>
  <c r="D539" i="1"/>
  <c r="E539" i="1"/>
  <c r="F539" i="1"/>
  <c r="G539" i="1"/>
  <c r="R539" i="1" s="1"/>
  <c r="H539" i="1"/>
  <c r="I539" i="1"/>
  <c r="J539" i="1"/>
  <c r="K539" i="1"/>
  <c r="L539" i="1"/>
  <c r="B540" i="1"/>
  <c r="C540" i="1"/>
  <c r="D540" i="1"/>
  <c r="E540" i="1"/>
  <c r="F540" i="1"/>
  <c r="G540" i="1"/>
  <c r="R540" i="1" s="1"/>
  <c r="H540" i="1"/>
  <c r="I540" i="1"/>
  <c r="J540" i="1"/>
  <c r="K540" i="1"/>
  <c r="L540" i="1"/>
  <c r="B541" i="1"/>
  <c r="C541" i="1"/>
  <c r="D541" i="1"/>
  <c r="E541" i="1"/>
  <c r="F541" i="1"/>
  <c r="G541" i="1"/>
  <c r="R541" i="1" s="1"/>
  <c r="H541" i="1"/>
  <c r="I541" i="1"/>
  <c r="J541" i="1"/>
  <c r="K541" i="1"/>
  <c r="L541" i="1"/>
  <c r="B542" i="1"/>
  <c r="C542" i="1"/>
  <c r="D542" i="1"/>
  <c r="E542" i="1"/>
  <c r="F542" i="1"/>
  <c r="G542" i="1"/>
  <c r="R542" i="1" s="1"/>
  <c r="H542" i="1"/>
  <c r="I542" i="1"/>
  <c r="J542" i="1"/>
  <c r="K542" i="1"/>
  <c r="L542" i="1"/>
  <c r="B543" i="1"/>
  <c r="C543" i="1"/>
  <c r="D543" i="1"/>
  <c r="E543" i="1"/>
  <c r="F543" i="1"/>
  <c r="G543" i="1"/>
  <c r="R543" i="1" s="1"/>
  <c r="H543" i="1"/>
  <c r="I543" i="1"/>
  <c r="J543" i="1"/>
  <c r="K543" i="1"/>
  <c r="L543" i="1"/>
  <c r="B544" i="1"/>
  <c r="C544" i="1"/>
  <c r="D544" i="1"/>
  <c r="E544" i="1"/>
  <c r="F544" i="1"/>
  <c r="G544" i="1"/>
  <c r="R544" i="1" s="1"/>
  <c r="H544" i="1"/>
  <c r="I544" i="1"/>
  <c r="J544" i="1"/>
  <c r="K544" i="1"/>
  <c r="L544" i="1"/>
  <c r="B545" i="1"/>
  <c r="C545" i="1"/>
  <c r="D545" i="1"/>
  <c r="E545" i="1"/>
  <c r="F545" i="1"/>
  <c r="G545" i="1"/>
  <c r="R545" i="1" s="1"/>
  <c r="H545" i="1"/>
  <c r="I545" i="1"/>
  <c r="J545" i="1"/>
  <c r="K545" i="1"/>
  <c r="L545" i="1"/>
  <c r="B546" i="1"/>
  <c r="C546" i="1"/>
  <c r="D546" i="1"/>
  <c r="E546" i="1"/>
  <c r="F546" i="1"/>
  <c r="G546" i="1"/>
  <c r="R546" i="1" s="1"/>
  <c r="H546" i="1"/>
  <c r="I546" i="1"/>
  <c r="J546" i="1"/>
  <c r="K546" i="1"/>
  <c r="L546" i="1"/>
  <c r="B547" i="1"/>
  <c r="C547" i="1"/>
  <c r="D547" i="1"/>
  <c r="E547" i="1"/>
  <c r="F547" i="1"/>
  <c r="G547" i="1"/>
  <c r="R547" i="1" s="1"/>
  <c r="H547" i="1"/>
  <c r="I547" i="1"/>
  <c r="J547" i="1"/>
  <c r="K547" i="1"/>
  <c r="L547" i="1"/>
  <c r="B548" i="1"/>
  <c r="C548" i="1"/>
  <c r="D548" i="1"/>
  <c r="E548" i="1"/>
  <c r="F548" i="1"/>
  <c r="G548" i="1"/>
  <c r="R548" i="1" s="1"/>
  <c r="H548" i="1"/>
  <c r="I548" i="1"/>
  <c r="J548" i="1"/>
  <c r="K548" i="1"/>
  <c r="L548" i="1"/>
  <c r="B549" i="1"/>
  <c r="C549" i="1"/>
  <c r="D549" i="1"/>
  <c r="E549" i="1"/>
  <c r="F549" i="1"/>
  <c r="G549" i="1"/>
  <c r="R549" i="1" s="1"/>
  <c r="H549" i="1"/>
  <c r="I549" i="1"/>
  <c r="J549" i="1"/>
  <c r="K549" i="1"/>
  <c r="L549" i="1"/>
  <c r="B550" i="1"/>
  <c r="C550" i="1"/>
  <c r="D550" i="1"/>
  <c r="E550" i="1"/>
  <c r="F550" i="1"/>
  <c r="G550" i="1"/>
  <c r="R550" i="1" s="1"/>
  <c r="H550" i="1"/>
  <c r="I550" i="1"/>
  <c r="J550" i="1"/>
  <c r="K550" i="1"/>
  <c r="L550" i="1"/>
  <c r="B551" i="1"/>
  <c r="C551" i="1"/>
  <c r="D551" i="1"/>
  <c r="E551" i="1"/>
  <c r="F551" i="1"/>
  <c r="G551" i="1"/>
  <c r="R551" i="1" s="1"/>
  <c r="H551" i="1"/>
  <c r="I551" i="1"/>
  <c r="J551" i="1"/>
  <c r="K551" i="1"/>
  <c r="L551" i="1"/>
  <c r="B552" i="1"/>
  <c r="C552" i="1"/>
  <c r="D552" i="1"/>
  <c r="E552" i="1"/>
  <c r="F552" i="1"/>
  <c r="G552" i="1"/>
  <c r="R552" i="1" s="1"/>
  <c r="H552" i="1"/>
  <c r="I552" i="1"/>
  <c r="J552" i="1"/>
  <c r="K552" i="1"/>
  <c r="L552" i="1"/>
  <c r="B553" i="1"/>
  <c r="C553" i="1"/>
  <c r="D553" i="1"/>
  <c r="E553" i="1"/>
  <c r="F553" i="1"/>
  <c r="G553" i="1"/>
  <c r="R553" i="1" s="1"/>
  <c r="H553" i="1"/>
  <c r="I553" i="1"/>
  <c r="J553" i="1"/>
  <c r="K553" i="1"/>
  <c r="L553" i="1"/>
  <c r="B554" i="1"/>
  <c r="C554" i="1"/>
  <c r="D554" i="1"/>
  <c r="E554" i="1"/>
  <c r="F554" i="1"/>
  <c r="G554" i="1"/>
  <c r="R554" i="1" s="1"/>
  <c r="H554" i="1"/>
  <c r="I554" i="1"/>
  <c r="J554" i="1"/>
  <c r="K554" i="1"/>
  <c r="L554" i="1"/>
  <c r="B555" i="1"/>
  <c r="C555" i="1"/>
  <c r="D555" i="1"/>
  <c r="E555" i="1"/>
  <c r="F555" i="1"/>
  <c r="G555" i="1"/>
  <c r="R555" i="1" s="1"/>
  <c r="H555" i="1"/>
  <c r="I555" i="1"/>
  <c r="J555" i="1"/>
  <c r="K555" i="1"/>
  <c r="L555" i="1"/>
  <c r="B556" i="1"/>
  <c r="C556" i="1"/>
  <c r="D556" i="1"/>
  <c r="E556" i="1"/>
  <c r="F556" i="1"/>
  <c r="G556" i="1"/>
  <c r="R556" i="1" s="1"/>
  <c r="H556" i="1"/>
  <c r="I556" i="1"/>
  <c r="J556" i="1"/>
  <c r="K556" i="1"/>
  <c r="L556" i="1"/>
  <c r="B557" i="1"/>
  <c r="C557" i="1"/>
  <c r="D557" i="1"/>
  <c r="E557" i="1"/>
  <c r="F557" i="1"/>
  <c r="G557" i="1"/>
  <c r="R557" i="1" s="1"/>
  <c r="H557" i="1"/>
  <c r="I557" i="1"/>
  <c r="J557" i="1"/>
  <c r="K557" i="1"/>
  <c r="L557" i="1"/>
  <c r="B558" i="1"/>
  <c r="C558" i="1"/>
  <c r="D558" i="1"/>
  <c r="E558" i="1"/>
  <c r="F558" i="1"/>
  <c r="G558" i="1"/>
  <c r="R558" i="1" s="1"/>
  <c r="H558" i="1"/>
  <c r="I558" i="1"/>
  <c r="J558" i="1"/>
  <c r="K558" i="1"/>
  <c r="L558" i="1"/>
  <c r="B559" i="1"/>
  <c r="C559" i="1"/>
  <c r="D559" i="1"/>
  <c r="E559" i="1"/>
  <c r="F559" i="1"/>
  <c r="G559" i="1"/>
  <c r="R559" i="1" s="1"/>
  <c r="H559" i="1"/>
  <c r="I559" i="1"/>
  <c r="J559" i="1"/>
  <c r="K559" i="1"/>
  <c r="L559" i="1"/>
  <c r="B560" i="1"/>
  <c r="C560" i="1"/>
  <c r="D560" i="1"/>
  <c r="E560" i="1"/>
  <c r="F560" i="1"/>
  <c r="G560" i="1"/>
  <c r="R560" i="1" s="1"/>
  <c r="H560" i="1"/>
  <c r="I560" i="1"/>
  <c r="J560" i="1"/>
  <c r="K560" i="1"/>
  <c r="L560" i="1"/>
  <c r="B561" i="1"/>
  <c r="C561" i="1"/>
  <c r="D561" i="1"/>
  <c r="E561" i="1"/>
  <c r="F561" i="1"/>
  <c r="G561" i="1"/>
  <c r="R561" i="1" s="1"/>
  <c r="H561" i="1"/>
  <c r="I561" i="1"/>
  <c r="J561" i="1"/>
  <c r="K561" i="1"/>
  <c r="L561" i="1"/>
  <c r="B562" i="1"/>
  <c r="C562" i="1"/>
  <c r="D562" i="1"/>
  <c r="E562" i="1"/>
  <c r="F562" i="1"/>
  <c r="G562" i="1"/>
  <c r="R562" i="1" s="1"/>
  <c r="H562" i="1"/>
  <c r="I562" i="1"/>
  <c r="J562" i="1"/>
  <c r="K562" i="1"/>
  <c r="L562" i="1"/>
  <c r="B563" i="1"/>
  <c r="C563" i="1"/>
  <c r="D563" i="1"/>
  <c r="E563" i="1"/>
  <c r="F563" i="1"/>
  <c r="G563" i="1"/>
  <c r="R563" i="1" s="1"/>
  <c r="H563" i="1"/>
  <c r="I563" i="1"/>
  <c r="J563" i="1"/>
  <c r="K563" i="1"/>
  <c r="L563" i="1"/>
  <c r="B564" i="1"/>
  <c r="C564" i="1"/>
  <c r="D564" i="1"/>
  <c r="E564" i="1"/>
  <c r="F564" i="1"/>
  <c r="G564" i="1"/>
  <c r="R564" i="1" s="1"/>
  <c r="H564" i="1"/>
  <c r="I564" i="1"/>
  <c r="J564" i="1"/>
  <c r="K564" i="1"/>
  <c r="L564" i="1"/>
  <c r="B565" i="1"/>
  <c r="C565" i="1"/>
  <c r="D565" i="1"/>
  <c r="E565" i="1"/>
  <c r="F565" i="1"/>
  <c r="G565" i="1"/>
  <c r="R565" i="1" s="1"/>
  <c r="H565" i="1"/>
  <c r="I565" i="1"/>
  <c r="J565" i="1"/>
  <c r="K565" i="1"/>
  <c r="L565" i="1"/>
  <c r="B566" i="1"/>
  <c r="C566" i="1"/>
  <c r="D566" i="1"/>
  <c r="E566" i="1"/>
  <c r="F566" i="1"/>
  <c r="G566" i="1"/>
  <c r="R566" i="1" s="1"/>
  <c r="H566" i="1"/>
  <c r="I566" i="1"/>
  <c r="J566" i="1"/>
  <c r="K566" i="1"/>
  <c r="L566" i="1"/>
  <c r="B567" i="1"/>
  <c r="C567" i="1"/>
  <c r="D567" i="1"/>
  <c r="E567" i="1"/>
  <c r="F567" i="1"/>
  <c r="G567" i="1"/>
  <c r="R567" i="1" s="1"/>
  <c r="H567" i="1"/>
  <c r="I567" i="1"/>
  <c r="J567" i="1"/>
  <c r="K567" i="1"/>
  <c r="L567" i="1"/>
  <c r="B568" i="1"/>
  <c r="C568" i="1"/>
  <c r="D568" i="1"/>
  <c r="E568" i="1"/>
  <c r="F568" i="1"/>
  <c r="G568" i="1"/>
  <c r="R568" i="1" s="1"/>
  <c r="H568" i="1"/>
  <c r="I568" i="1"/>
  <c r="J568" i="1"/>
  <c r="K568" i="1"/>
  <c r="L568" i="1"/>
  <c r="B569" i="1"/>
  <c r="C569" i="1"/>
  <c r="D569" i="1"/>
  <c r="E569" i="1"/>
  <c r="F569" i="1"/>
  <c r="G569" i="1"/>
  <c r="R569" i="1" s="1"/>
  <c r="H569" i="1"/>
  <c r="I569" i="1"/>
  <c r="J569" i="1"/>
  <c r="K569" i="1"/>
  <c r="L569" i="1"/>
  <c r="B570" i="1"/>
  <c r="C570" i="1"/>
  <c r="D570" i="1"/>
  <c r="E570" i="1"/>
  <c r="F570" i="1"/>
  <c r="G570" i="1"/>
  <c r="R570" i="1" s="1"/>
  <c r="H570" i="1"/>
  <c r="I570" i="1"/>
  <c r="J570" i="1"/>
  <c r="K570" i="1"/>
  <c r="L570" i="1"/>
  <c r="B571" i="1"/>
  <c r="C571" i="1"/>
  <c r="D571" i="1"/>
  <c r="E571" i="1"/>
  <c r="F571" i="1"/>
  <c r="G571" i="1"/>
  <c r="R571" i="1" s="1"/>
  <c r="H571" i="1"/>
  <c r="I571" i="1"/>
  <c r="J571" i="1"/>
  <c r="K571" i="1"/>
  <c r="L571" i="1"/>
  <c r="B572" i="1"/>
  <c r="C572" i="1"/>
  <c r="D572" i="1"/>
  <c r="E572" i="1"/>
  <c r="F572" i="1"/>
  <c r="G572" i="1"/>
  <c r="R572" i="1" s="1"/>
  <c r="H572" i="1"/>
  <c r="I572" i="1"/>
  <c r="J572" i="1"/>
  <c r="K572" i="1"/>
  <c r="L572" i="1"/>
  <c r="B573" i="1"/>
  <c r="C573" i="1"/>
  <c r="D573" i="1"/>
  <c r="E573" i="1"/>
  <c r="F573" i="1"/>
  <c r="G573" i="1"/>
  <c r="R573" i="1" s="1"/>
  <c r="H573" i="1"/>
  <c r="I573" i="1"/>
  <c r="J573" i="1"/>
  <c r="K573" i="1"/>
  <c r="L573" i="1"/>
  <c r="B574" i="1"/>
  <c r="C574" i="1"/>
  <c r="D574" i="1"/>
  <c r="E574" i="1"/>
  <c r="F574" i="1"/>
  <c r="G574" i="1"/>
  <c r="R574" i="1" s="1"/>
  <c r="H574" i="1"/>
  <c r="I574" i="1"/>
  <c r="J574" i="1"/>
  <c r="K574" i="1"/>
  <c r="L574" i="1"/>
  <c r="B575" i="1"/>
  <c r="C575" i="1"/>
  <c r="D575" i="1"/>
  <c r="E575" i="1"/>
  <c r="F575" i="1"/>
  <c r="G575" i="1"/>
  <c r="R575" i="1" s="1"/>
  <c r="H575" i="1"/>
  <c r="I575" i="1"/>
  <c r="J575" i="1"/>
  <c r="K575" i="1"/>
  <c r="L575" i="1"/>
  <c r="B576" i="1"/>
  <c r="C576" i="1"/>
  <c r="D576" i="1"/>
  <c r="E576" i="1"/>
  <c r="F576" i="1"/>
  <c r="G576" i="1"/>
  <c r="R576" i="1" s="1"/>
  <c r="H576" i="1"/>
  <c r="I576" i="1"/>
  <c r="J576" i="1"/>
  <c r="K576" i="1"/>
  <c r="L576" i="1"/>
  <c r="B577" i="1"/>
  <c r="C577" i="1"/>
  <c r="D577" i="1"/>
  <c r="E577" i="1"/>
  <c r="F577" i="1"/>
  <c r="G577" i="1"/>
  <c r="R577" i="1" s="1"/>
  <c r="H577" i="1"/>
  <c r="I577" i="1"/>
  <c r="J577" i="1"/>
  <c r="K577" i="1"/>
  <c r="L577" i="1"/>
  <c r="B578" i="1"/>
  <c r="C578" i="1"/>
  <c r="D578" i="1"/>
  <c r="E578" i="1"/>
  <c r="F578" i="1"/>
  <c r="G578" i="1"/>
  <c r="R578" i="1" s="1"/>
  <c r="H578" i="1"/>
  <c r="I578" i="1"/>
  <c r="J578" i="1"/>
  <c r="K578" i="1"/>
  <c r="L578" i="1"/>
  <c r="B579" i="1"/>
  <c r="C579" i="1"/>
  <c r="D579" i="1"/>
  <c r="E579" i="1"/>
  <c r="F579" i="1"/>
  <c r="G579" i="1"/>
  <c r="R579" i="1" s="1"/>
  <c r="H579" i="1"/>
  <c r="I579" i="1"/>
  <c r="J579" i="1"/>
  <c r="K579" i="1"/>
  <c r="L579" i="1"/>
  <c r="B580" i="1"/>
  <c r="C580" i="1"/>
  <c r="D580" i="1"/>
  <c r="E580" i="1"/>
  <c r="F580" i="1"/>
  <c r="G580" i="1"/>
  <c r="R580" i="1" s="1"/>
  <c r="H580" i="1"/>
  <c r="I580" i="1"/>
  <c r="J580" i="1"/>
  <c r="K580" i="1"/>
  <c r="L580" i="1"/>
  <c r="B581" i="1"/>
  <c r="C581" i="1"/>
  <c r="D581" i="1"/>
  <c r="E581" i="1"/>
  <c r="F581" i="1"/>
  <c r="G581" i="1"/>
  <c r="R581" i="1" s="1"/>
  <c r="H581" i="1"/>
  <c r="I581" i="1"/>
  <c r="J581" i="1"/>
  <c r="K581" i="1"/>
  <c r="L581" i="1"/>
  <c r="B582" i="1"/>
  <c r="C582" i="1"/>
  <c r="D582" i="1"/>
  <c r="E582" i="1"/>
  <c r="F582" i="1"/>
  <c r="G582" i="1"/>
  <c r="R582" i="1" s="1"/>
  <c r="H582" i="1"/>
  <c r="I582" i="1"/>
  <c r="J582" i="1"/>
  <c r="K582" i="1"/>
  <c r="L582" i="1"/>
  <c r="B583" i="1"/>
  <c r="C583" i="1"/>
  <c r="D583" i="1"/>
  <c r="E583" i="1"/>
  <c r="F583" i="1"/>
  <c r="G583" i="1"/>
  <c r="R583" i="1" s="1"/>
  <c r="H583" i="1"/>
  <c r="I583" i="1"/>
  <c r="J583" i="1"/>
  <c r="K583" i="1"/>
  <c r="L583" i="1"/>
  <c r="B584" i="1"/>
  <c r="C584" i="1"/>
  <c r="D584" i="1"/>
  <c r="E584" i="1"/>
  <c r="F584" i="1"/>
  <c r="G584" i="1"/>
  <c r="R584" i="1" s="1"/>
  <c r="H584" i="1"/>
  <c r="I584" i="1"/>
  <c r="J584" i="1"/>
  <c r="K584" i="1"/>
  <c r="L584" i="1"/>
  <c r="B585" i="1"/>
  <c r="C585" i="1"/>
  <c r="D585" i="1"/>
  <c r="E585" i="1"/>
  <c r="F585" i="1"/>
  <c r="G585" i="1"/>
  <c r="R585" i="1" s="1"/>
  <c r="H585" i="1"/>
  <c r="I585" i="1"/>
  <c r="J585" i="1"/>
  <c r="K585" i="1"/>
  <c r="L585" i="1"/>
  <c r="B586" i="1"/>
  <c r="C586" i="1"/>
  <c r="D586" i="1"/>
  <c r="E586" i="1"/>
  <c r="F586" i="1"/>
  <c r="G586" i="1"/>
  <c r="R586" i="1" s="1"/>
  <c r="H586" i="1"/>
  <c r="I586" i="1"/>
  <c r="J586" i="1"/>
  <c r="K586" i="1"/>
  <c r="L586" i="1"/>
  <c r="B587" i="1"/>
  <c r="C587" i="1"/>
  <c r="D587" i="1"/>
  <c r="E587" i="1"/>
  <c r="F587" i="1"/>
  <c r="G587" i="1"/>
  <c r="R587" i="1" s="1"/>
  <c r="H587" i="1"/>
  <c r="I587" i="1"/>
  <c r="J587" i="1"/>
  <c r="K587" i="1"/>
  <c r="L587" i="1"/>
  <c r="B588" i="1"/>
  <c r="C588" i="1"/>
  <c r="D588" i="1"/>
  <c r="E588" i="1"/>
  <c r="F588" i="1"/>
  <c r="G588" i="1"/>
  <c r="R588" i="1" s="1"/>
  <c r="H588" i="1"/>
  <c r="I588" i="1"/>
  <c r="J588" i="1"/>
  <c r="K588" i="1"/>
  <c r="L588" i="1"/>
  <c r="B589" i="1"/>
  <c r="C589" i="1"/>
  <c r="D589" i="1"/>
  <c r="E589" i="1"/>
  <c r="F589" i="1"/>
  <c r="G589" i="1"/>
  <c r="R589" i="1" s="1"/>
  <c r="H589" i="1"/>
  <c r="I589" i="1"/>
  <c r="J589" i="1"/>
  <c r="K589" i="1"/>
  <c r="L589" i="1"/>
  <c r="B590" i="1"/>
  <c r="C590" i="1"/>
  <c r="D590" i="1"/>
  <c r="E590" i="1"/>
  <c r="F590" i="1"/>
  <c r="G590" i="1"/>
  <c r="R590" i="1" s="1"/>
  <c r="H590" i="1"/>
  <c r="I590" i="1"/>
  <c r="J590" i="1"/>
  <c r="K590" i="1"/>
  <c r="L590" i="1"/>
  <c r="B591" i="1"/>
  <c r="C591" i="1"/>
  <c r="D591" i="1"/>
  <c r="E591" i="1"/>
  <c r="F591" i="1"/>
  <c r="G591" i="1"/>
  <c r="R591" i="1" s="1"/>
  <c r="H591" i="1"/>
  <c r="I591" i="1"/>
  <c r="J591" i="1"/>
  <c r="K591" i="1"/>
  <c r="L591" i="1"/>
  <c r="B592" i="1"/>
  <c r="C592" i="1"/>
  <c r="D592" i="1"/>
  <c r="E592" i="1"/>
  <c r="F592" i="1"/>
  <c r="G592" i="1"/>
  <c r="R592" i="1" s="1"/>
  <c r="H592" i="1"/>
  <c r="I592" i="1"/>
  <c r="J592" i="1"/>
  <c r="K592" i="1"/>
  <c r="L592" i="1"/>
  <c r="B593" i="1"/>
  <c r="C593" i="1"/>
  <c r="D593" i="1"/>
  <c r="E593" i="1"/>
  <c r="F593" i="1"/>
  <c r="G593" i="1"/>
  <c r="R593" i="1" s="1"/>
  <c r="H593" i="1"/>
  <c r="I593" i="1"/>
  <c r="J593" i="1"/>
  <c r="K593" i="1"/>
  <c r="L593" i="1"/>
  <c r="B594" i="1"/>
  <c r="C594" i="1"/>
  <c r="D594" i="1"/>
  <c r="E594" i="1"/>
  <c r="F594" i="1"/>
  <c r="G594" i="1"/>
  <c r="R594" i="1" s="1"/>
  <c r="H594" i="1"/>
  <c r="I594" i="1"/>
  <c r="J594" i="1"/>
  <c r="K594" i="1"/>
  <c r="L594" i="1"/>
  <c r="B595" i="1"/>
  <c r="C595" i="1"/>
  <c r="D595" i="1"/>
  <c r="E595" i="1"/>
  <c r="F595" i="1"/>
  <c r="G595" i="1"/>
  <c r="R595" i="1" s="1"/>
  <c r="H595" i="1"/>
  <c r="I595" i="1"/>
  <c r="J595" i="1"/>
  <c r="K595" i="1"/>
  <c r="L595" i="1"/>
  <c r="B596" i="1"/>
  <c r="C596" i="1"/>
  <c r="D596" i="1"/>
  <c r="E596" i="1"/>
  <c r="F596" i="1"/>
  <c r="G596" i="1"/>
  <c r="R596" i="1" s="1"/>
  <c r="H596" i="1"/>
  <c r="I596" i="1"/>
  <c r="J596" i="1"/>
  <c r="K596" i="1"/>
  <c r="L596" i="1"/>
  <c r="B597" i="1"/>
  <c r="C597" i="1"/>
  <c r="D597" i="1"/>
  <c r="E597" i="1"/>
  <c r="F597" i="1"/>
  <c r="G597" i="1"/>
  <c r="R597" i="1" s="1"/>
  <c r="H597" i="1"/>
  <c r="I597" i="1"/>
  <c r="J597" i="1"/>
  <c r="K597" i="1"/>
  <c r="L597" i="1"/>
  <c r="B598" i="1"/>
  <c r="C598" i="1"/>
  <c r="D598" i="1"/>
  <c r="E598" i="1"/>
  <c r="F598" i="1"/>
  <c r="G598" i="1"/>
  <c r="R598" i="1" s="1"/>
  <c r="H598" i="1"/>
  <c r="I598" i="1"/>
  <c r="J598" i="1"/>
  <c r="K598" i="1"/>
  <c r="L598" i="1"/>
  <c r="B599" i="1"/>
  <c r="C599" i="1"/>
  <c r="D599" i="1"/>
  <c r="E599" i="1"/>
  <c r="F599" i="1"/>
  <c r="G599" i="1"/>
  <c r="R599" i="1" s="1"/>
  <c r="H599" i="1"/>
  <c r="I599" i="1"/>
  <c r="J599" i="1"/>
  <c r="K599" i="1"/>
  <c r="L599" i="1"/>
  <c r="B600" i="1"/>
  <c r="C600" i="1"/>
  <c r="D600" i="1"/>
  <c r="E600" i="1"/>
  <c r="F600" i="1"/>
  <c r="G600" i="1"/>
  <c r="R600" i="1" s="1"/>
  <c r="H600" i="1"/>
  <c r="I600" i="1"/>
  <c r="J600" i="1"/>
  <c r="K600" i="1"/>
  <c r="L600" i="1"/>
  <c r="B601" i="1"/>
  <c r="C601" i="1"/>
  <c r="D601" i="1"/>
  <c r="E601" i="1"/>
  <c r="F601" i="1"/>
  <c r="G601" i="1"/>
  <c r="R601" i="1" s="1"/>
  <c r="H601" i="1"/>
  <c r="I601" i="1"/>
  <c r="J601" i="1"/>
  <c r="K601" i="1"/>
  <c r="L601" i="1"/>
  <c r="B602" i="1"/>
  <c r="C602" i="1"/>
  <c r="D602" i="1"/>
  <c r="E602" i="1"/>
  <c r="F602" i="1"/>
  <c r="G602" i="1"/>
  <c r="R602" i="1" s="1"/>
  <c r="H602" i="1"/>
  <c r="I602" i="1"/>
  <c r="J602" i="1"/>
  <c r="K602" i="1"/>
  <c r="L602" i="1"/>
  <c r="B603" i="1"/>
  <c r="C603" i="1"/>
  <c r="D603" i="1"/>
  <c r="E603" i="1"/>
  <c r="F603" i="1"/>
  <c r="G603" i="1"/>
  <c r="R603" i="1" s="1"/>
  <c r="H603" i="1"/>
  <c r="I603" i="1"/>
  <c r="J603" i="1"/>
  <c r="K603" i="1"/>
  <c r="L603" i="1"/>
  <c r="B604" i="1"/>
  <c r="C604" i="1"/>
  <c r="D604" i="1"/>
  <c r="E604" i="1"/>
  <c r="F604" i="1"/>
  <c r="G604" i="1"/>
  <c r="R604" i="1" s="1"/>
  <c r="H604" i="1"/>
  <c r="I604" i="1"/>
  <c r="J604" i="1"/>
  <c r="K604" i="1"/>
  <c r="L604" i="1"/>
  <c r="B605" i="1"/>
  <c r="C605" i="1"/>
  <c r="D605" i="1"/>
  <c r="E605" i="1"/>
  <c r="F605" i="1"/>
  <c r="G605" i="1"/>
  <c r="R605" i="1" s="1"/>
  <c r="H605" i="1"/>
  <c r="I605" i="1"/>
  <c r="J605" i="1"/>
  <c r="K605" i="1"/>
  <c r="L605" i="1"/>
  <c r="B606" i="1"/>
  <c r="C606" i="1"/>
  <c r="D606" i="1"/>
  <c r="E606" i="1"/>
  <c r="F606" i="1"/>
  <c r="G606" i="1"/>
  <c r="R606" i="1" s="1"/>
  <c r="H606" i="1"/>
  <c r="I606" i="1"/>
  <c r="J606" i="1"/>
  <c r="K606" i="1"/>
  <c r="L606" i="1"/>
  <c r="B607" i="1"/>
  <c r="C607" i="1"/>
  <c r="D607" i="1"/>
  <c r="E607" i="1"/>
  <c r="F607" i="1"/>
  <c r="G607" i="1"/>
  <c r="R607" i="1" s="1"/>
  <c r="H607" i="1"/>
  <c r="I607" i="1"/>
  <c r="J607" i="1"/>
  <c r="K607" i="1"/>
  <c r="L607" i="1"/>
  <c r="B608" i="1"/>
  <c r="C608" i="1"/>
  <c r="D608" i="1"/>
  <c r="E608" i="1"/>
  <c r="F608" i="1"/>
  <c r="G608" i="1"/>
  <c r="R608" i="1" s="1"/>
  <c r="H608" i="1"/>
  <c r="I608" i="1"/>
  <c r="J608" i="1"/>
  <c r="K608" i="1"/>
  <c r="L608" i="1"/>
  <c r="B609" i="1"/>
  <c r="C609" i="1"/>
  <c r="D609" i="1"/>
  <c r="E609" i="1"/>
  <c r="F609" i="1"/>
  <c r="G609" i="1"/>
  <c r="R609" i="1" s="1"/>
  <c r="H609" i="1"/>
  <c r="I609" i="1"/>
  <c r="J609" i="1"/>
  <c r="K609" i="1"/>
  <c r="L609" i="1"/>
  <c r="B610" i="1"/>
  <c r="C610" i="1"/>
  <c r="D610" i="1"/>
  <c r="E610" i="1"/>
  <c r="F610" i="1"/>
  <c r="G610" i="1"/>
  <c r="R610" i="1" s="1"/>
  <c r="H610" i="1"/>
  <c r="I610" i="1"/>
  <c r="J610" i="1"/>
  <c r="K610" i="1"/>
  <c r="L610" i="1"/>
  <c r="B611" i="1"/>
  <c r="C611" i="1"/>
  <c r="D611" i="1"/>
  <c r="E611" i="1"/>
  <c r="F611" i="1"/>
  <c r="G611" i="1"/>
  <c r="R611" i="1" s="1"/>
  <c r="H611" i="1"/>
  <c r="I611" i="1"/>
  <c r="J611" i="1"/>
  <c r="K611" i="1"/>
  <c r="L611" i="1"/>
  <c r="B612" i="1"/>
  <c r="C612" i="1"/>
  <c r="D612" i="1"/>
  <c r="E612" i="1"/>
  <c r="F612" i="1"/>
  <c r="G612" i="1"/>
  <c r="R612" i="1" s="1"/>
  <c r="H612" i="1"/>
  <c r="I612" i="1"/>
  <c r="J612" i="1"/>
  <c r="K612" i="1"/>
  <c r="L612" i="1"/>
  <c r="B613" i="1"/>
  <c r="C613" i="1"/>
  <c r="D613" i="1"/>
  <c r="E613" i="1"/>
  <c r="F613" i="1"/>
  <c r="G613" i="1"/>
  <c r="R613" i="1" s="1"/>
  <c r="H613" i="1"/>
  <c r="I613" i="1"/>
  <c r="J613" i="1"/>
  <c r="K613" i="1"/>
  <c r="L613" i="1"/>
  <c r="B614" i="1"/>
  <c r="C614" i="1"/>
  <c r="D614" i="1"/>
  <c r="E614" i="1"/>
  <c r="F614" i="1"/>
  <c r="G614" i="1"/>
  <c r="R614" i="1" s="1"/>
  <c r="H614" i="1"/>
  <c r="I614" i="1"/>
  <c r="J614" i="1"/>
  <c r="K614" i="1"/>
  <c r="L614" i="1"/>
  <c r="B615" i="1"/>
  <c r="C615" i="1"/>
  <c r="D615" i="1"/>
  <c r="E615" i="1"/>
  <c r="F615" i="1"/>
  <c r="G615" i="1"/>
  <c r="R615" i="1" s="1"/>
  <c r="H615" i="1"/>
  <c r="I615" i="1"/>
  <c r="J615" i="1"/>
  <c r="K615" i="1"/>
  <c r="L615" i="1"/>
  <c r="B616" i="1"/>
  <c r="C616" i="1"/>
  <c r="D616" i="1"/>
  <c r="E616" i="1"/>
  <c r="F616" i="1"/>
  <c r="G616" i="1"/>
  <c r="R616" i="1" s="1"/>
  <c r="H616" i="1"/>
  <c r="I616" i="1"/>
  <c r="J616" i="1"/>
  <c r="K616" i="1"/>
  <c r="L616" i="1"/>
  <c r="B617" i="1"/>
  <c r="C617" i="1"/>
  <c r="D617" i="1"/>
  <c r="E617" i="1"/>
  <c r="F617" i="1"/>
  <c r="G617" i="1"/>
  <c r="R617" i="1" s="1"/>
  <c r="H617" i="1"/>
  <c r="I617" i="1"/>
  <c r="J617" i="1"/>
  <c r="K617" i="1"/>
  <c r="L617" i="1"/>
  <c r="B618" i="1"/>
  <c r="C618" i="1"/>
  <c r="D618" i="1"/>
  <c r="E618" i="1"/>
  <c r="F618" i="1"/>
  <c r="G618" i="1"/>
  <c r="R618" i="1" s="1"/>
  <c r="H618" i="1"/>
  <c r="I618" i="1"/>
  <c r="J618" i="1"/>
  <c r="K618" i="1"/>
  <c r="L618" i="1"/>
  <c r="B619" i="1"/>
  <c r="C619" i="1"/>
  <c r="D619" i="1"/>
  <c r="E619" i="1"/>
  <c r="F619" i="1"/>
  <c r="G619" i="1"/>
  <c r="R619" i="1" s="1"/>
  <c r="H619" i="1"/>
  <c r="I619" i="1"/>
  <c r="J619" i="1"/>
  <c r="K619" i="1"/>
  <c r="L619" i="1"/>
  <c r="B620" i="1"/>
  <c r="C620" i="1"/>
  <c r="D620" i="1"/>
  <c r="E620" i="1"/>
  <c r="F620" i="1"/>
  <c r="G620" i="1"/>
  <c r="R620" i="1" s="1"/>
  <c r="H620" i="1"/>
  <c r="I620" i="1"/>
  <c r="J620" i="1"/>
  <c r="K620" i="1"/>
  <c r="L620" i="1"/>
  <c r="B621" i="1"/>
  <c r="C621" i="1"/>
  <c r="D621" i="1"/>
  <c r="E621" i="1"/>
  <c r="F621" i="1"/>
  <c r="G621" i="1"/>
  <c r="R621" i="1" s="1"/>
  <c r="H621" i="1"/>
  <c r="I621" i="1"/>
  <c r="J621" i="1"/>
  <c r="K621" i="1"/>
  <c r="L621" i="1"/>
  <c r="B622" i="1"/>
  <c r="C622" i="1"/>
  <c r="D622" i="1"/>
  <c r="E622" i="1"/>
  <c r="F622" i="1"/>
  <c r="G622" i="1"/>
  <c r="R622" i="1" s="1"/>
  <c r="H622" i="1"/>
  <c r="I622" i="1"/>
  <c r="J622" i="1"/>
  <c r="K622" i="1"/>
  <c r="L622" i="1"/>
  <c r="B623" i="1"/>
  <c r="C623" i="1"/>
  <c r="D623" i="1"/>
  <c r="E623" i="1"/>
  <c r="F623" i="1"/>
  <c r="G623" i="1"/>
  <c r="R623" i="1" s="1"/>
  <c r="H623" i="1"/>
  <c r="I623" i="1"/>
  <c r="J623" i="1"/>
  <c r="K623" i="1"/>
  <c r="L623" i="1"/>
  <c r="B624" i="1"/>
  <c r="C624" i="1"/>
  <c r="D624" i="1"/>
  <c r="E624" i="1"/>
  <c r="F624" i="1"/>
  <c r="G624" i="1"/>
  <c r="R624" i="1" s="1"/>
  <c r="H624" i="1"/>
  <c r="I624" i="1"/>
  <c r="J624" i="1"/>
  <c r="K624" i="1"/>
  <c r="L624" i="1"/>
  <c r="B625" i="1"/>
  <c r="C625" i="1"/>
  <c r="D625" i="1"/>
  <c r="E625" i="1"/>
  <c r="F625" i="1"/>
  <c r="G625" i="1"/>
  <c r="R625" i="1" s="1"/>
  <c r="H625" i="1"/>
  <c r="I625" i="1"/>
  <c r="J625" i="1"/>
  <c r="K625" i="1"/>
  <c r="L625" i="1"/>
  <c r="B626" i="1"/>
  <c r="C626" i="1"/>
  <c r="D626" i="1"/>
  <c r="E626" i="1"/>
  <c r="F626" i="1"/>
  <c r="G626" i="1"/>
  <c r="R626" i="1" s="1"/>
  <c r="H626" i="1"/>
  <c r="I626" i="1"/>
  <c r="J626" i="1"/>
  <c r="K626" i="1"/>
  <c r="L626" i="1"/>
  <c r="B627" i="1"/>
  <c r="C627" i="1"/>
  <c r="D627" i="1"/>
  <c r="E627" i="1"/>
  <c r="F627" i="1"/>
  <c r="G627" i="1"/>
  <c r="R627" i="1" s="1"/>
  <c r="H627" i="1"/>
  <c r="I627" i="1"/>
  <c r="J627" i="1"/>
  <c r="K627" i="1"/>
  <c r="L627" i="1"/>
  <c r="B628" i="1"/>
  <c r="C628" i="1"/>
  <c r="D628" i="1"/>
  <c r="E628" i="1"/>
  <c r="F628" i="1"/>
  <c r="G628" i="1"/>
  <c r="R628" i="1" s="1"/>
  <c r="H628" i="1"/>
  <c r="I628" i="1"/>
  <c r="J628" i="1"/>
  <c r="K628" i="1"/>
  <c r="L628" i="1"/>
  <c r="B629" i="1"/>
  <c r="C629" i="1"/>
  <c r="D629" i="1"/>
  <c r="E629" i="1"/>
  <c r="F629" i="1"/>
  <c r="G629" i="1"/>
  <c r="R629" i="1" s="1"/>
  <c r="H629" i="1"/>
  <c r="I629" i="1"/>
  <c r="J629" i="1"/>
  <c r="K629" i="1"/>
  <c r="L629" i="1"/>
  <c r="B630" i="1"/>
  <c r="C630" i="1"/>
  <c r="D630" i="1"/>
  <c r="E630" i="1"/>
  <c r="F630" i="1"/>
  <c r="G630" i="1"/>
  <c r="R630" i="1" s="1"/>
  <c r="H630" i="1"/>
  <c r="I630" i="1"/>
  <c r="J630" i="1"/>
  <c r="K630" i="1"/>
  <c r="L630" i="1"/>
  <c r="B631" i="1"/>
  <c r="C631" i="1"/>
  <c r="D631" i="1"/>
  <c r="E631" i="1"/>
  <c r="F631" i="1"/>
  <c r="G631" i="1"/>
  <c r="R631" i="1" s="1"/>
  <c r="H631" i="1"/>
  <c r="I631" i="1"/>
  <c r="J631" i="1"/>
  <c r="K631" i="1"/>
  <c r="L631" i="1"/>
  <c r="B632" i="1"/>
  <c r="C632" i="1"/>
  <c r="D632" i="1"/>
  <c r="E632" i="1"/>
  <c r="F632" i="1"/>
  <c r="G632" i="1"/>
  <c r="R632" i="1" s="1"/>
  <c r="H632" i="1"/>
  <c r="I632" i="1"/>
  <c r="J632" i="1"/>
  <c r="K632" i="1"/>
  <c r="L632" i="1"/>
  <c r="B633" i="1"/>
  <c r="C633" i="1"/>
  <c r="D633" i="1"/>
  <c r="E633" i="1"/>
  <c r="F633" i="1"/>
  <c r="G633" i="1"/>
  <c r="R633" i="1" s="1"/>
  <c r="H633" i="1"/>
  <c r="I633" i="1"/>
  <c r="J633" i="1"/>
  <c r="K633" i="1"/>
  <c r="L633" i="1"/>
  <c r="B634" i="1"/>
  <c r="C634" i="1"/>
  <c r="D634" i="1"/>
  <c r="E634" i="1"/>
  <c r="F634" i="1"/>
  <c r="G634" i="1"/>
  <c r="R634" i="1" s="1"/>
  <c r="H634" i="1"/>
  <c r="I634" i="1"/>
  <c r="J634" i="1"/>
  <c r="K634" i="1"/>
  <c r="L634" i="1"/>
  <c r="B635" i="1"/>
  <c r="C635" i="1"/>
  <c r="D635" i="1"/>
  <c r="E635" i="1"/>
  <c r="F635" i="1"/>
  <c r="G635" i="1"/>
  <c r="R635" i="1" s="1"/>
  <c r="H635" i="1"/>
  <c r="I635" i="1"/>
  <c r="J635" i="1"/>
  <c r="K635" i="1"/>
  <c r="L635" i="1"/>
  <c r="B636" i="1"/>
  <c r="C636" i="1"/>
  <c r="D636" i="1"/>
  <c r="E636" i="1"/>
  <c r="F636" i="1"/>
  <c r="G636" i="1"/>
  <c r="R636" i="1" s="1"/>
  <c r="H636" i="1"/>
  <c r="I636" i="1"/>
  <c r="J636" i="1"/>
  <c r="K636" i="1"/>
  <c r="L636" i="1"/>
  <c r="B637" i="1"/>
  <c r="C637" i="1"/>
  <c r="D637" i="1"/>
  <c r="E637" i="1"/>
  <c r="F637" i="1"/>
  <c r="G637" i="1"/>
  <c r="R637" i="1" s="1"/>
  <c r="H637" i="1"/>
  <c r="I637" i="1"/>
  <c r="J637" i="1"/>
  <c r="K637" i="1"/>
  <c r="L637" i="1"/>
  <c r="B638" i="1"/>
  <c r="C638" i="1"/>
  <c r="D638" i="1"/>
  <c r="E638" i="1"/>
  <c r="F638" i="1"/>
  <c r="G638" i="1"/>
  <c r="R638" i="1" s="1"/>
  <c r="H638" i="1"/>
  <c r="I638" i="1"/>
  <c r="J638" i="1"/>
  <c r="K638" i="1"/>
  <c r="L638" i="1"/>
  <c r="B639" i="1"/>
  <c r="C639" i="1"/>
  <c r="D639" i="1"/>
  <c r="E639" i="1"/>
  <c r="F639" i="1"/>
  <c r="G639" i="1"/>
  <c r="R639" i="1" s="1"/>
  <c r="H639" i="1"/>
  <c r="I639" i="1"/>
  <c r="J639" i="1"/>
  <c r="K639" i="1"/>
  <c r="L639" i="1"/>
  <c r="B640" i="1"/>
  <c r="C640" i="1"/>
  <c r="D640" i="1"/>
  <c r="E640" i="1"/>
  <c r="F640" i="1"/>
  <c r="G640" i="1"/>
  <c r="R640" i="1" s="1"/>
  <c r="H640" i="1"/>
  <c r="I640" i="1"/>
  <c r="J640" i="1"/>
  <c r="K640" i="1"/>
  <c r="L640" i="1"/>
  <c r="B641" i="1"/>
  <c r="C641" i="1"/>
  <c r="D641" i="1"/>
  <c r="E641" i="1"/>
  <c r="F641" i="1"/>
  <c r="G641" i="1"/>
  <c r="R641" i="1" s="1"/>
  <c r="H641" i="1"/>
  <c r="I641" i="1"/>
  <c r="J641" i="1"/>
  <c r="K641" i="1"/>
  <c r="L641" i="1"/>
  <c r="B642" i="1"/>
  <c r="C642" i="1"/>
  <c r="D642" i="1"/>
  <c r="E642" i="1"/>
  <c r="F642" i="1"/>
  <c r="G642" i="1"/>
  <c r="R642" i="1" s="1"/>
  <c r="H642" i="1"/>
  <c r="I642" i="1"/>
  <c r="J642" i="1"/>
  <c r="K642" i="1"/>
  <c r="L642" i="1"/>
  <c r="B643" i="1"/>
  <c r="C643" i="1"/>
  <c r="D643" i="1"/>
  <c r="E643" i="1"/>
  <c r="F643" i="1"/>
  <c r="G643" i="1"/>
  <c r="R643" i="1" s="1"/>
  <c r="H643" i="1"/>
  <c r="I643" i="1"/>
  <c r="J643" i="1"/>
  <c r="K643" i="1"/>
  <c r="L643" i="1"/>
  <c r="B644" i="1"/>
  <c r="C644" i="1"/>
  <c r="D644" i="1"/>
  <c r="E644" i="1"/>
  <c r="F644" i="1"/>
  <c r="G644" i="1"/>
  <c r="R644" i="1" s="1"/>
  <c r="H644" i="1"/>
  <c r="I644" i="1"/>
  <c r="J644" i="1"/>
  <c r="K644" i="1"/>
  <c r="L644" i="1"/>
  <c r="B645" i="1"/>
  <c r="C645" i="1"/>
  <c r="D645" i="1"/>
  <c r="E645" i="1"/>
  <c r="F645" i="1"/>
  <c r="G645" i="1"/>
  <c r="R645" i="1" s="1"/>
  <c r="H645" i="1"/>
  <c r="I645" i="1"/>
  <c r="J645" i="1"/>
  <c r="K645" i="1"/>
  <c r="L645" i="1"/>
  <c r="B646" i="1"/>
  <c r="C646" i="1"/>
  <c r="D646" i="1"/>
  <c r="E646" i="1"/>
  <c r="F646" i="1"/>
  <c r="G646" i="1"/>
  <c r="R646" i="1" s="1"/>
  <c r="H646" i="1"/>
  <c r="I646" i="1"/>
  <c r="J646" i="1"/>
  <c r="K646" i="1"/>
  <c r="L646" i="1"/>
  <c r="B647" i="1"/>
  <c r="C647" i="1"/>
  <c r="D647" i="1"/>
  <c r="E647" i="1"/>
  <c r="F647" i="1"/>
  <c r="G647" i="1"/>
  <c r="R647" i="1" s="1"/>
  <c r="H647" i="1"/>
  <c r="I647" i="1"/>
  <c r="J647" i="1"/>
  <c r="K647" i="1"/>
  <c r="L647" i="1"/>
  <c r="B648" i="1"/>
  <c r="C648" i="1"/>
  <c r="D648" i="1"/>
  <c r="E648" i="1"/>
  <c r="F648" i="1"/>
  <c r="G648" i="1"/>
  <c r="R648" i="1" s="1"/>
  <c r="H648" i="1"/>
  <c r="I648" i="1"/>
  <c r="J648" i="1"/>
  <c r="K648" i="1"/>
  <c r="L648" i="1"/>
  <c r="B649" i="1"/>
  <c r="C649" i="1"/>
  <c r="D649" i="1"/>
  <c r="E649" i="1"/>
  <c r="F649" i="1"/>
  <c r="G649" i="1"/>
  <c r="R649" i="1" s="1"/>
  <c r="H649" i="1"/>
  <c r="I649" i="1"/>
  <c r="J649" i="1"/>
  <c r="K649" i="1"/>
  <c r="L649" i="1"/>
  <c r="B650" i="1"/>
  <c r="C650" i="1"/>
  <c r="D650" i="1"/>
  <c r="E650" i="1"/>
  <c r="F650" i="1"/>
  <c r="G650" i="1"/>
  <c r="R650" i="1" s="1"/>
  <c r="H650" i="1"/>
  <c r="I650" i="1"/>
  <c r="J650" i="1"/>
  <c r="K650" i="1"/>
  <c r="L650" i="1"/>
  <c r="B651" i="1"/>
  <c r="C651" i="1"/>
  <c r="D651" i="1"/>
  <c r="E651" i="1"/>
  <c r="F651" i="1"/>
  <c r="G651" i="1"/>
  <c r="R651" i="1" s="1"/>
  <c r="H651" i="1"/>
  <c r="I651" i="1"/>
  <c r="J651" i="1"/>
  <c r="K651" i="1"/>
  <c r="L651" i="1"/>
  <c r="B652" i="1"/>
  <c r="C652" i="1"/>
  <c r="D652" i="1"/>
  <c r="E652" i="1"/>
  <c r="F652" i="1"/>
  <c r="G652" i="1"/>
  <c r="R652" i="1" s="1"/>
  <c r="H652" i="1"/>
  <c r="I652" i="1"/>
  <c r="J652" i="1"/>
  <c r="K652" i="1"/>
  <c r="L652" i="1"/>
  <c r="B653" i="1"/>
  <c r="C653" i="1"/>
  <c r="D653" i="1"/>
  <c r="E653" i="1"/>
  <c r="F653" i="1"/>
  <c r="G653" i="1"/>
  <c r="R653" i="1" s="1"/>
  <c r="H653" i="1"/>
  <c r="I653" i="1"/>
  <c r="J653" i="1"/>
  <c r="K653" i="1"/>
  <c r="L653" i="1"/>
  <c r="B654" i="1"/>
  <c r="C654" i="1"/>
  <c r="D654" i="1"/>
  <c r="E654" i="1"/>
  <c r="F654" i="1"/>
  <c r="G654" i="1"/>
  <c r="R654" i="1" s="1"/>
  <c r="H654" i="1"/>
  <c r="I654" i="1"/>
  <c r="J654" i="1"/>
  <c r="K654" i="1"/>
  <c r="L654" i="1"/>
  <c r="B655" i="1"/>
  <c r="C655" i="1"/>
  <c r="D655" i="1"/>
  <c r="E655" i="1"/>
  <c r="F655" i="1"/>
  <c r="G655" i="1"/>
  <c r="R655" i="1" s="1"/>
  <c r="H655" i="1"/>
  <c r="I655" i="1"/>
  <c r="J655" i="1"/>
  <c r="K655" i="1"/>
  <c r="L655" i="1"/>
  <c r="B656" i="1"/>
  <c r="C656" i="1"/>
  <c r="D656" i="1"/>
  <c r="E656" i="1"/>
  <c r="F656" i="1"/>
  <c r="G656" i="1"/>
  <c r="R656" i="1" s="1"/>
  <c r="H656" i="1"/>
  <c r="I656" i="1"/>
  <c r="J656" i="1"/>
  <c r="K656" i="1"/>
  <c r="L656" i="1"/>
  <c r="B657" i="1"/>
  <c r="C657" i="1"/>
  <c r="D657" i="1"/>
  <c r="E657" i="1"/>
  <c r="F657" i="1"/>
  <c r="G657" i="1"/>
  <c r="R657" i="1" s="1"/>
  <c r="H657" i="1"/>
  <c r="I657" i="1"/>
  <c r="J657" i="1"/>
  <c r="K657" i="1"/>
  <c r="L657" i="1"/>
  <c r="B658" i="1"/>
  <c r="C658" i="1"/>
  <c r="D658" i="1"/>
  <c r="E658" i="1"/>
  <c r="F658" i="1"/>
  <c r="G658" i="1"/>
  <c r="R658" i="1" s="1"/>
  <c r="H658" i="1"/>
  <c r="I658" i="1"/>
  <c r="J658" i="1"/>
  <c r="K658" i="1"/>
  <c r="L658" i="1"/>
  <c r="B659" i="1"/>
  <c r="C659" i="1"/>
  <c r="D659" i="1"/>
  <c r="E659" i="1"/>
  <c r="F659" i="1"/>
  <c r="G659" i="1"/>
  <c r="R659" i="1" s="1"/>
  <c r="H659" i="1"/>
  <c r="I659" i="1"/>
  <c r="J659" i="1"/>
  <c r="K659" i="1"/>
  <c r="L659" i="1"/>
  <c r="B660" i="1"/>
  <c r="C660" i="1"/>
  <c r="D660" i="1"/>
  <c r="E660" i="1"/>
  <c r="F660" i="1"/>
  <c r="G660" i="1"/>
  <c r="R660" i="1" s="1"/>
  <c r="H660" i="1"/>
  <c r="I660" i="1"/>
  <c r="J660" i="1"/>
  <c r="K660" i="1"/>
  <c r="L660" i="1"/>
  <c r="B661" i="1"/>
  <c r="C661" i="1"/>
  <c r="D661" i="1"/>
  <c r="E661" i="1"/>
  <c r="F661" i="1"/>
  <c r="G661" i="1"/>
  <c r="R661" i="1" s="1"/>
  <c r="H661" i="1"/>
  <c r="I661" i="1"/>
  <c r="J661" i="1"/>
  <c r="K661" i="1"/>
  <c r="L661" i="1"/>
  <c r="B662" i="1"/>
  <c r="C662" i="1"/>
  <c r="D662" i="1"/>
  <c r="E662" i="1"/>
  <c r="F662" i="1"/>
  <c r="G662" i="1"/>
  <c r="R662" i="1" s="1"/>
  <c r="H662" i="1"/>
  <c r="I662" i="1"/>
  <c r="J662" i="1"/>
  <c r="K662" i="1"/>
  <c r="L662" i="1"/>
  <c r="B663" i="1"/>
  <c r="C663" i="1"/>
  <c r="D663" i="1"/>
  <c r="E663" i="1"/>
  <c r="F663" i="1"/>
  <c r="G663" i="1"/>
  <c r="R663" i="1" s="1"/>
  <c r="H663" i="1"/>
  <c r="I663" i="1"/>
  <c r="J663" i="1"/>
  <c r="K663" i="1"/>
  <c r="L663" i="1"/>
  <c r="B664" i="1"/>
  <c r="C664" i="1"/>
  <c r="D664" i="1"/>
  <c r="E664" i="1"/>
  <c r="F664" i="1"/>
  <c r="G664" i="1"/>
  <c r="R664" i="1" s="1"/>
  <c r="H664" i="1"/>
  <c r="I664" i="1"/>
  <c r="J664" i="1"/>
  <c r="K664" i="1"/>
  <c r="L664" i="1"/>
  <c r="B665" i="1"/>
  <c r="C665" i="1"/>
  <c r="D665" i="1"/>
  <c r="E665" i="1"/>
  <c r="F665" i="1"/>
  <c r="G665" i="1"/>
  <c r="R665" i="1" s="1"/>
  <c r="H665" i="1"/>
  <c r="I665" i="1"/>
  <c r="J665" i="1"/>
  <c r="K665" i="1"/>
  <c r="L665" i="1"/>
  <c r="B666" i="1"/>
  <c r="C666" i="1"/>
  <c r="D666" i="1"/>
  <c r="E666" i="1"/>
  <c r="F666" i="1"/>
  <c r="G666" i="1"/>
  <c r="R666" i="1" s="1"/>
  <c r="H666" i="1"/>
  <c r="I666" i="1"/>
  <c r="J666" i="1"/>
  <c r="K666" i="1"/>
  <c r="L666" i="1"/>
  <c r="B667" i="1"/>
  <c r="C667" i="1"/>
  <c r="D667" i="1"/>
  <c r="E667" i="1"/>
  <c r="F667" i="1"/>
  <c r="G667" i="1"/>
  <c r="R667" i="1" s="1"/>
  <c r="H667" i="1"/>
  <c r="I667" i="1"/>
  <c r="J667" i="1"/>
  <c r="K667" i="1"/>
  <c r="L667" i="1"/>
  <c r="B668" i="1"/>
  <c r="C668" i="1"/>
  <c r="D668" i="1"/>
  <c r="E668" i="1"/>
  <c r="F668" i="1"/>
  <c r="G668" i="1"/>
  <c r="R668" i="1" s="1"/>
  <c r="H668" i="1"/>
  <c r="I668" i="1"/>
  <c r="J668" i="1"/>
  <c r="K668" i="1"/>
  <c r="L668" i="1"/>
  <c r="B669" i="1"/>
  <c r="C669" i="1"/>
  <c r="D669" i="1"/>
  <c r="E669" i="1"/>
  <c r="F669" i="1"/>
  <c r="G669" i="1"/>
  <c r="R669" i="1" s="1"/>
  <c r="H669" i="1"/>
  <c r="I669" i="1"/>
  <c r="J669" i="1"/>
  <c r="K669" i="1"/>
  <c r="L669" i="1"/>
  <c r="B670" i="1"/>
  <c r="C670" i="1"/>
  <c r="D670" i="1"/>
  <c r="E670" i="1"/>
  <c r="F670" i="1"/>
  <c r="G670" i="1"/>
  <c r="R670" i="1" s="1"/>
  <c r="H670" i="1"/>
  <c r="I670" i="1"/>
  <c r="J670" i="1"/>
  <c r="K670" i="1"/>
  <c r="L670" i="1"/>
  <c r="B671" i="1"/>
  <c r="C671" i="1"/>
  <c r="D671" i="1"/>
  <c r="E671" i="1"/>
  <c r="F671" i="1"/>
  <c r="G671" i="1"/>
  <c r="R671" i="1" s="1"/>
  <c r="H671" i="1"/>
  <c r="I671" i="1"/>
  <c r="J671" i="1"/>
  <c r="K671" i="1"/>
  <c r="L671" i="1"/>
  <c r="B672" i="1"/>
  <c r="C672" i="1"/>
  <c r="D672" i="1"/>
  <c r="E672" i="1"/>
  <c r="F672" i="1"/>
  <c r="G672" i="1"/>
  <c r="R672" i="1" s="1"/>
  <c r="H672" i="1"/>
  <c r="I672" i="1"/>
  <c r="J672" i="1"/>
  <c r="K672" i="1"/>
  <c r="L672" i="1"/>
  <c r="B673" i="1"/>
  <c r="C673" i="1"/>
  <c r="D673" i="1"/>
  <c r="E673" i="1"/>
  <c r="F673" i="1"/>
  <c r="G673" i="1"/>
  <c r="R673" i="1" s="1"/>
  <c r="H673" i="1"/>
  <c r="I673" i="1"/>
  <c r="J673" i="1"/>
  <c r="K673" i="1"/>
  <c r="L673" i="1"/>
  <c r="B674" i="1"/>
  <c r="C674" i="1"/>
  <c r="D674" i="1"/>
  <c r="E674" i="1"/>
  <c r="F674" i="1"/>
  <c r="G674" i="1"/>
  <c r="R674" i="1" s="1"/>
  <c r="H674" i="1"/>
  <c r="I674" i="1"/>
  <c r="J674" i="1"/>
  <c r="K674" i="1"/>
  <c r="L674" i="1"/>
  <c r="B675" i="1"/>
  <c r="C675" i="1"/>
  <c r="D675" i="1"/>
  <c r="E675" i="1"/>
  <c r="F675" i="1"/>
  <c r="G675" i="1"/>
  <c r="R675" i="1" s="1"/>
  <c r="H675" i="1"/>
  <c r="I675" i="1"/>
  <c r="J675" i="1"/>
  <c r="K675" i="1"/>
  <c r="L675" i="1"/>
  <c r="B676" i="1"/>
  <c r="C676" i="1"/>
  <c r="D676" i="1"/>
  <c r="E676" i="1"/>
  <c r="F676" i="1"/>
  <c r="G676" i="1"/>
  <c r="R676" i="1" s="1"/>
  <c r="H676" i="1"/>
  <c r="I676" i="1"/>
  <c r="J676" i="1"/>
  <c r="K676" i="1"/>
  <c r="L676" i="1"/>
  <c r="B677" i="1"/>
  <c r="C677" i="1"/>
  <c r="D677" i="1"/>
  <c r="E677" i="1"/>
  <c r="F677" i="1"/>
  <c r="G677" i="1"/>
  <c r="R677" i="1" s="1"/>
  <c r="H677" i="1"/>
  <c r="I677" i="1"/>
  <c r="J677" i="1"/>
  <c r="K677" i="1"/>
  <c r="L677" i="1"/>
  <c r="B678" i="1"/>
  <c r="C678" i="1"/>
  <c r="D678" i="1"/>
  <c r="E678" i="1"/>
  <c r="F678" i="1"/>
  <c r="G678" i="1"/>
  <c r="R678" i="1" s="1"/>
  <c r="H678" i="1"/>
  <c r="I678" i="1"/>
  <c r="J678" i="1"/>
  <c r="K678" i="1"/>
  <c r="L678" i="1"/>
  <c r="B679" i="1"/>
  <c r="C679" i="1"/>
  <c r="D679" i="1"/>
  <c r="E679" i="1"/>
  <c r="F679" i="1"/>
  <c r="G679" i="1"/>
  <c r="R679" i="1" s="1"/>
  <c r="H679" i="1"/>
  <c r="I679" i="1"/>
  <c r="J679" i="1"/>
  <c r="K679" i="1"/>
  <c r="L679" i="1"/>
  <c r="B680" i="1"/>
  <c r="C680" i="1"/>
  <c r="D680" i="1"/>
  <c r="E680" i="1"/>
  <c r="F680" i="1"/>
  <c r="G680" i="1"/>
  <c r="R680" i="1" s="1"/>
  <c r="H680" i="1"/>
  <c r="I680" i="1"/>
  <c r="J680" i="1"/>
  <c r="K680" i="1"/>
  <c r="L680" i="1"/>
  <c r="B681" i="1"/>
  <c r="C681" i="1"/>
  <c r="D681" i="1"/>
  <c r="E681" i="1"/>
  <c r="F681" i="1"/>
  <c r="G681" i="1"/>
  <c r="R681" i="1" s="1"/>
  <c r="H681" i="1"/>
  <c r="I681" i="1"/>
  <c r="J681" i="1"/>
  <c r="K681" i="1"/>
  <c r="L681" i="1"/>
  <c r="B682" i="1"/>
  <c r="C682" i="1"/>
  <c r="D682" i="1"/>
  <c r="E682" i="1"/>
  <c r="F682" i="1"/>
  <c r="G682" i="1"/>
  <c r="R682" i="1" s="1"/>
  <c r="H682" i="1"/>
  <c r="I682" i="1"/>
  <c r="J682" i="1"/>
  <c r="K682" i="1"/>
  <c r="L682" i="1"/>
  <c r="B683" i="1"/>
  <c r="C683" i="1"/>
  <c r="D683" i="1"/>
  <c r="E683" i="1"/>
  <c r="F683" i="1"/>
  <c r="G683" i="1"/>
  <c r="R683" i="1" s="1"/>
  <c r="H683" i="1"/>
  <c r="I683" i="1"/>
  <c r="J683" i="1"/>
  <c r="K683" i="1"/>
  <c r="L683" i="1"/>
  <c r="B684" i="1"/>
  <c r="C684" i="1"/>
  <c r="D684" i="1"/>
  <c r="E684" i="1"/>
  <c r="F684" i="1"/>
  <c r="G684" i="1"/>
  <c r="R684" i="1" s="1"/>
  <c r="H684" i="1"/>
  <c r="I684" i="1"/>
  <c r="J684" i="1"/>
  <c r="K684" i="1"/>
  <c r="L684" i="1"/>
  <c r="B685" i="1"/>
  <c r="C685" i="1"/>
  <c r="D685" i="1"/>
  <c r="E685" i="1"/>
  <c r="F685" i="1"/>
  <c r="G685" i="1"/>
  <c r="R685" i="1" s="1"/>
  <c r="H685" i="1"/>
  <c r="I685" i="1"/>
  <c r="J685" i="1"/>
  <c r="K685" i="1"/>
  <c r="L685" i="1"/>
  <c r="B686" i="1"/>
  <c r="C686" i="1"/>
  <c r="D686" i="1"/>
  <c r="E686" i="1"/>
  <c r="F686" i="1"/>
  <c r="G686" i="1"/>
  <c r="R686" i="1" s="1"/>
  <c r="H686" i="1"/>
  <c r="I686" i="1"/>
  <c r="J686" i="1"/>
  <c r="K686" i="1"/>
  <c r="L686" i="1"/>
  <c r="B687" i="1"/>
  <c r="C687" i="1"/>
  <c r="D687" i="1"/>
  <c r="E687" i="1"/>
  <c r="F687" i="1"/>
  <c r="G687" i="1"/>
  <c r="R687" i="1" s="1"/>
  <c r="H687" i="1"/>
  <c r="I687" i="1"/>
  <c r="J687" i="1"/>
  <c r="K687" i="1"/>
  <c r="L687" i="1"/>
  <c r="B688" i="1"/>
  <c r="C688" i="1"/>
  <c r="D688" i="1"/>
  <c r="E688" i="1"/>
  <c r="F688" i="1"/>
  <c r="G688" i="1"/>
  <c r="R688" i="1" s="1"/>
  <c r="H688" i="1"/>
  <c r="I688" i="1"/>
  <c r="J688" i="1"/>
  <c r="K688" i="1"/>
  <c r="L688" i="1"/>
  <c r="B689" i="1"/>
  <c r="C689" i="1"/>
  <c r="D689" i="1"/>
  <c r="E689" i="1"/>
  <c r="F689" i="1"/>
  <c r="G689" i="1"/>
  <c r="R689" i="1" s="1"/>
  <c r="H689" i="1"/>
  <c r="I689" i="1"/>
  <c r="J689" i="1"/>
  <c r="K689" i="1"/>
  <c r="L689" i="1"/>
  <c r="B690" i="1"/>
  <c r="C690" i="1"/>
  <c r="D690" i="1"/>
  <c r="E690" i="1"/>
  <c r="F690" i="1"/>
  <c r="G690" i="1"/>
  <c r="R690" i="1" s="1"/>
  <c r="H690" i="1"/>
  <c r="I690" i="1"/>
  <c r="J690" i="1"/>
  <c r="K690" i="1"/>
  <c r="L690" i="1"/>
  <c r="B691" i="1"/>
  <c r="C691" i="1"/>
  <c r="D691" i="1"/>
  <c r="E691" i="1"/>
  <c r="F691" i="1"/>
  <c r="G691" i="1"/>
  <c r="R691" i="1" s="1"/>
  <c r="H691" i="1"/>
  <c r="I691" i="1"/>
  <c r="J691" i="1"/>
  <c r="K691" i="1"/>
  <c r="L691" i="1"/>
  <c r="B692" i="1"/>
  <c r="C692" i="1"/>
  <c r="D692" i="1"/>
  <c r="E692" i="1"/>
  <c r="F692" i="1"/>
  <c r="G692" i="1"/>
  <c r="R692" i="1" s="1"/>
  <c r="H692" i="1"/>
  <c r="I692" i="1"/>
  <c r="J692" i="1"/>
  <c r="K692" i="1"/>
  <c r="L692" i="1"/>
  <c r="B693" i="1"/>
  <c r="C693" i="1"/>
  <c r="D693" i="1"/>
  <c r="E693" i="1"/>
  <c r="F693" i="1"/>
  <c r="G693" i="1"/>
  <c r="R693" i="1" s="1"/>
  <c r="H693" i="1"/>
  <c r="I693" i="1"/>
  <c r="J693" i="1"/>
  <c r="K693" i="1"/>
  <c r="L693" i="1"/>
  <c r="B694" i="1"/>
  <c r="C694" i="1"/>
  <c r="D694" i="1"/>
  <c r="E694" i="1"/>
  <c r="F694" i="1"/>
  <c r="G694" i="1"/>
  <c r="R694" i="1" s="1"/>
  <c r="H694" i="1"/>
  <c r="I694" i="1"/>
  <c r="J694" i="1"/>
  <c r="K694" i="1"/>
  <c r="L694" i="1"/>
  <c r="B695" i="1"/>
  <c r="C695" i="1"/>
  <c r="D695" i="1"/>
  <c r="E695" i="1"/>
  <c r="F695" i="1"/>
  <c r="G695" i="1"/>
  <c r="R695" i="1" s="1"/>
  <c r="H695" i="1"/>
  <c r="I695" i="1"/>
  <c r="J695" i="1"/>
  <c r="K695" i="1"/>
  <c r="L695" i="1"/>
  <c r="B696" i="1"/>
  <c r="C696" i="1"/>
  <c r="D696" i="1"/>
  <c r="E696" i="1"/>
  <c r="F696" i="1"/>
  <c r="G696" i="1"/>
  <c r="R696" i="1" s="1"/>
  <c r="H696" i="1"/>
  <c r="I696" i="1"/>
  <c r="J696" i="1"/>
  <c r="K696" i="1"/>
  <c r="L696" i="1"/>
  <c r="B697" i="1"/>
  <c r="C697" i="1"/>
  <c r="D697" i="1"/>
  <c r="E697" i="1"/>
  <c r="F697" i="1"/>
  <c r="G697" i="1"/>
  <c r="R697" i="1" s="1"/>
  <c r="H697" i="1"/>
  <c r="I697" i="1"/>
  <c r="J697" i="1"/>
  <c r="K697" i="1"/>
  <c r="L697" i="1"/>
  <c r="B698" i="1"/>
  <c r="C698" i="1"/>
  <c r="D698" i="1"/>
  <c r="E698" i="1"/>
  <c r="F698" i="1"/>
  <c r="G698" i="1"/>
  <c r="R698" i="1" s="1"/>
  <c r="H698" i="1"/>
  <c r="I698" i="1"/>
  <c r="J698" i="1"/>
  <c r="K698" i="1"/>
  <c r="L698" i="1"/>
  <c r="B699" i="1"/>
  <c r="C699" i="1"/>
  <c r="D699" i="1"/>
  <c r="E699" i="1"/>
  <c r="F699" i="1"/>
  <c r="G699" i="1"/>
  <c r="R699" i="1" s="1"/>
  <c r="H699" i="1"/>
  <c r="I699" i="1"/>
  <c r="J699" i="1"/>
  <c r="K699" i="1"/>
  <c r="L699" i="1"/>
  <c r="B700" i="1"/>
  <c r="C700" i="1"/>
  <c r="D700" i="1"/>
  <c r="E700" i="1"/>
  <c r="F700" i="1"/>
  <c r="G700" i="1"/>
  <c r="R700" i="1" s="1"/>
  <c r="H700" i="1"/>
  <c r="I700" i="1"/>
  <c r="J700" i="1"/>
  <c r="K700" i="1"/>
  <c r="L700" i="1"/>
  <c r="B701" i="1"/>
  <c r="C701" i="1"/>
  <c r="D701" i="1"/>
  <c r="E701" i="1"/>
  <c r="F701" i="1"/>
  <c r="G701" i="1"/>
  <c r="R701" i="1" s="1"/>
  <c r="H701" i="1"/>
  <c r="I701" i="1"/>
  <c r="J701" i="1"/>
  <c r="K701" i="1"/>
  <c r="L701" i="1"/>
  <c r="B702" i="1"/>
  <c r="C702" i="1"/>
  <c r="D702" i="1"/>
  <c r="E702" i="1"/>
  <c r="F702" i="1"/>
  <c r="G702" i="1"/>
  <c r="R702" i="1" s="1"/>
  <c r="H702" i="1"/>
  <c r="I702" i="1"/>
  <c r="J702" i="1"/>
  <c r="K702" i="1"/>
  <c r="L702" i="1"/>
  <c r="B703" i="1"/>
  <c r="C703" i="1"/>
  <c r="D703" i="1"/>
  <c r="E703" i="1"/>
  <c r="F703" i="1"/>
  <c r="G703" i="1"/>
  <c r="R703" i="1" s="1"/>
  <c r="H703" i="1"/>
  <c r="I703" i="1"/>
  <c r="J703" i="1"/>
  <c r="K703" i="1"/>
  <c r="L703" i="1"/>
  <c r="B704" i="1"/>
  <c r="C704" i="1"/>
  <c r="D704" i="1"/>
  <c r="E704" i="1"/>
  <c r="F704" i="1"/>
  <c r="G704" i="1"/>
  <c r="R704" i="1" s="1"/>
  <c r="H704" i="1"/>
  <c r="I704" i="1"/>
  <c r="J704" i="1"/>
  <c r="K704" i="1"/>
  <c r="L704" i="1"/>
  <c r="B705" i="1"/>
  <c r="C705" i="1"/>
  <c r="D705" i="1"/>
  <c r="E705" i="1"/>
  <c r="F705" i="1"/>
  <c r="G705" i="1"/>
  <c r="R705" i="1" s="1"/>
  <c r="H705" i="1"/>
  <c r="I705" i="1"/>
  <c r="J705" i="1"/>
  <c r="K705" i="1"/>
  <c r="L705" i="1"/>
  <c r="B706" i="1"/>
  <c r="C706" i="1"/>
  <c r="D706" i="1"/>
  <c r="E706" i="1"/>
  <c r="F706" i="1"/>
  <c r="G706" i="1"/>
  <c r="R706" i="1" s="1"/>
  <c r="H706" i="1"/>
  <c r="I706" i="1"/>
  <c r="J706" i="1"/>
  <c r="K706" i="1"/>
  <c r="L706" i="1"/>
  <c r="B707" i="1"/>
  <c r="C707" i="1"/>
  <c r="D707" i="1"/>
  <c r="E707" i="1"/>
  <c r="F707" i="1"/>
  <c r="G707" i="1"/>
  <c r="R707" i="1" s="1"/>
  <c r="H707" i="1"/>
  <c r="I707" i="1"/>
  <c r="J707" i="1"/>
  <c r="K707" i="1"/>
  <c r="L707" i="1"/>
  <c r="B708" i="1"/>
  <c r="C708" i="1"/>
  <c r="D708" i="1"/>
  <c r="E708" i="1"/>
  <c r="F708" i="1"/>
  <c r="G708" i="1"/>
  <c r="R708" i="1" s="1"/>
  <c r="H708" i="1"/>
  <c r="I708" i="1"/>
  <c r="J708" i="1"/>
  <c r="K708" i="1"/>
  <c r="L708" i="1"/>
  <c r="B709" i="1"/>
  <c r="C709" i="1"/>
  <c r="D709" i="1"/>
  <c r="E709" i="1"/>
  <c r="F709" i="1"/>
  <c r="G709" i="1"/>
  <c r="R709" i="1" s="1"/>
  <c r="H709" i="1"/>
  <c r="I709" i="1"/>
  <c r="J709" i="1"/>
  <c r="K709" i="1"/>
  <c r="L709" i="1"/>
  <c r="B710" i="1"/>
  <c r="C710" i="1"/>
  <c r="D710" i="1"/>
  <c r="E710" i="1"/>
  <c r="F710" i="1"/>
  <c r="G710" i="1"/>
  <c r="R710" i="1" s="1"/>
  <c r="H710" i="1"/>
  <c r="I710" i="1"/>
  <c r="J710" i="1"/>
  <c r="K710" i="1"/>
  <c r="L710" i="1"/>
  <c r="B711" i="1"/>
  <c r="C711" i="1"/>
  <c r="D711" i="1"/>
  <c r="E711" i="1"/>
  <c r="F711" i="1"/>
  <c r="G711" i="1"/>
  <c r="R711" i="1" s="1"/>
  <c r="H711" i="1"/>
  <c r="I711" i="1"/>
  <c r="J711" i="1"/>
  <c r="K711" i="1"/>
  <c r="L711" i="1"/>
  <c r="B712" i="1"/>
  <c r="C712" i="1"/>
  <c r="D712" i="1"/>
  <c r="E712" i="1"/>
  <c r="F712" i="1"/>
  <c r="G712" i="1"/>
  <c r="R712" i="1" s="1"/>
  <c r="H712" i="1"/>
  <c r="I712" i="1"/>
  <c r="J712" i="1"/>
  <c r="K712" i="1"/>
  <c r="L712" i="1"/>
  <c r="B713" i="1"/>
  <c r="C713" i="1"/>
  <c r="D713" i="1"/>
  <c r="E713" i="1"/>
  <c r="F713" i="1"/>
  <c r="G713" i="1"/>
  <c r="R713" i="1" s="1"/>
  <c r="H713" i="1"/>
  <c r="I713" i="1"/>
  <c r="J713" i="1"/>
  <c r="K713" i="1"/>
  <c r="L713" i="1"/>
  <c r="B714" i="1"/>
  <c r="C714" i="1"/>
  <c r="D714" i="1"/>
  <c r="E714" i="1"/>
  <c r="F714" i="1"/>
  <c r="G714" i="1"/>
  <c r="R714" i="1" s="1"/>
  <c r="H714" i="1"/>
  <c r="I714" i="1"/>
  <c r="J714" i="1"/>
  <c r="K714" i="1"/>
  <c r="L714" i="1"/>
  <c r="B715" i="1"/>
  <c r="C715" i="1"/>
  <c r="D715" i="1"/>
  <c r="E715" i="1"/>
  <c r="F715" i="1"/>
  <c r="G715" i="1"/>
  <c r="R715" i="1" s="1"/>
  <c r="H715" i="1"/>
  <c r="I715" i="1"/>
  <c r="J715" i="1"/>
  <c r="K715" i="1"/>
  <c r="L715" i="1"/>
  <c r="B716" i="1"/>
  <c r="C716" i="1"/>
  <c r="D716" i="1"/>
  <c r="E716" i="1"/>
  <c r="F716" i="1"/>
  <c r="G716" i="1"/>
  <c r="R716" i="1" s="1"/>
  <c r="H716" i="1"/>
  <c r="I716" i="1"/>
  <c r="J716" i="1"/>
  <c r="K716" i="1"/>
  <c r="L716" i="1"/>
  <c r="B717" i="1"/>
  <c r="C717" i="1"/>
  <c r="D717" i="1"/>
  <c r="E717" i="1"/>
  <c r="F717" i="1"/>
  <c r="G717" i="1"/>
  <c r="R717" i="1" s="1"/>
  <c r="H717" i="1"/>
  <c r="I717" i="1"/>
  <c r="J717" i="1"/>
  <c r="K717" i="1"/>
  <c r="L717" i="1"/>
  <c r="B718" i="1"/>
  <c r="C718" i="1"/>
  <c r="D718" i="1"/>
  <c r="E718" i="1"/>
  <c r="F718" i="1"/>
  <c r="G718" i="1"/>
  <c r="R718" i="1" s="1"/>
  <c r="H718" i="1"/>
  <c r="I718" i="1"/>
  <c r="J718" i="1"/>
  <c r="K718" i="1"/>
  <c r="L718" i="1"/>
  <c r="B719" i="1"/>
  <c r="C719" i="1"/>
  <c r="D719" i="1"/>
  <c r="E719" i="1"/>
  <c r="F719" i="1"/>
  <c r="G719" i="1"/>
  <c r="R719" i="1" s="1"/>
  <c r="H719" i="1"/>
  <c r="I719" i="1"/>
  <c r="J719" i="1"/>
  <c r="K719" i="1"/>
  <c r="L719" i="1"/>
  <c r="B720" i="1"/>
  <c r="C720" i="1"/>
  <c r="D720" i="1"/>
  <c r="E720" i="1"/>
  <c r="F720" i="1"/>
  <c r="G720" i="1"/>
  <c r="R720" i="1" s="1"/>
  <c r="H720" i="1"/>
  <c r="I720" i="1"/>
  <c r="J720" i="1"/>
  <c r="K720" i="1"/>
  <c r="L720" i="1"/>
  <c r="B721" i="1"/>
  <c r="C721" i="1"/>
  <c r="D721" i="1"/>
  <c r="E721" i="1"/>
  <c r="F721" i="1"/>
  <c r="G721" i="1"/>
  <c r="R721" i="1" s="1"/>
  <c r="H721" i="1"/>
  <c r="I721" i="1"/>
  <c r="J721" i="1"/>
  <c r="K721" i="1"/>
  <c r="L721" i="1"/>
  <c r="B722" i="1"/>
  <c r="C722" i="1"/>
  <c r="D722" i="1"/>
  <c r="E722" i="1"/>
  <c r="F722" i="1"/>
  <c r="G722" i="1"/>
  <c r="R722" i="1" s="1"/>
  <c r="H722" i="1"/>
  <c r="I722" i="1"/>
  <c r="J722" i="1"/>
  <c r="K722" i="1"/>
  <c r="L722" i="1"/>
  <c r="B723" i="1"/>
  <c r="C723" i="1"/>
  <c r="D723" i="1"/>
  <c r="E723" i="1"/>
  <c r="F723" i="1"/>
  <c r="G723" i="1"/>
  <c r="R723" i="1" s="1"/>
  <c r="H723" i="1"/>
  <c r="I723" i="1"/>
  <c r="J723" i="1"/>
  <c r="K723" i="1"/>
  <c r="L723" i="1"/>
  <c r="B724" i="1"/>
  <c r="C724" i="1"/>
  <c r="D724" i="1"/>
  <c r="E724" i="1"/>
  <c r="F724" i="1"/>
  <c r="G724" i="1"/>
  <c r="R724" i="1" s="1"/>
  <c r="H724" i="1"/>
  <c r="I724" i="1"/>
  <c r="J724" i="1"/>
  <c r="K724" i="1"/>
  <c r="L724" i="1"/>
  <c r="B725" i="1"/>
  <c r="C725" i="1"/>
  <c r="D725" i="1"/>
  <c r="E725" i="1"/>
  <c r="F725" i="1"/>
  <c r="G725" i="1"/>
  <c r="R725" i="1" s="1"/>
  <c r="H725" i="1"/>
  <c r="I725" i="1"/>
  <c r="J725" i="1"/>
  <c r="K725" i="1"/>
  <c r="L725" i="1"/>
  <c r="B726" i="1"/>
  <c r="C726" i="1"/>
  <c r="D726" i="1"/>
  <c r="E726" i="1"/>
  <c r="F726" i="1"/>
  <c r="G726" i="1"/>
  <c r="R726" i="1" s="1"/>
  <c r="H726" i="1"/>
  <c r="I726" i="1"/>
  <c r="J726" i="1"/>
  <c r="K726" i="1"/>
  <c r="L726" i="1"/>
  <c r="B727" i="1"/>
  <c r="C727" i="1"/>
  <c r="D727" i="1"/>
  <c r="E727" i="1"/>
  <c r="F727" i="1"/>
  <c r="G727" i="1"/>
  <c r="R727" i="1" s="1"/>
  <c r="H727" i="1"/>
  <c r="I727" i="1"/>
  <c r="J727" i="1"/>
  <c r="K727" i="1"/>
  <c r="L727" i="1"/>
  <c r="B728" i="1"/>
  <c r="C728" i="1"/>
  <c r="D728" i="1"/>
  <c r="E728" i="1"/>
  <c r="F728" i="1"/>
  <c r="G728" i="1"/>
  <c r="R728" i="1" s="1"/>
  <c r="H728" i="1"/>
  <c r="I728" i="1"/>
  <c r="J728" i="1"/>
  <c r="K728" i="1"/>
  <c r="L728" i="1"/>
  <c r="B729" i="1"/>
  <c r="C729" i="1"/>
  <c r="D729" i="1"/>
  <c r="E729" i="1"/>
  <c r="F729" i="1"/>
  <c r="G729" i="1"/>
  <c r="R729" i="1" s="1"/>
  <c r="H729" i="1"/>
  <c r="I729" i="1"/>
  <c r="J729" i="1"/>
  <c r="K729" i="1"/>
  <c r="L729" i="1"/>
  <c r="B730" i="1"/>
  <c r="C730" i="1"/>
  <c r="D730" i="1"/>
  <c r="E730" i="1"/>
  <c r="F730" i="1"/>
  <c r="G730" i="1"/>
  <c r="R730" i="1" s="1"/>
  <c r="H730" i="1"/>
  <c r="I730" i="1"/>
  <c r="J730" i="1"/>
  <c r="K730" i="1"/>
  <c r="L730" i="1"/>
  <c r="B731" i="1"/>
  <c r="C731" i="1"/>
  <c r="D731" i="1"/>
  <c r="E731" i="1"/>
  <c r="F731" i="1"/>
  <c r="G731" i="1"/>
  <c r="R731" i="1" s="1"/>
  <c r="H731" i="1"/>
  <c r="I731" i="1"/>
  <c r="J731" i="1"/>
  <c r="K731" i="1"/>
  <c r="L731" i="1"/>
  <c r="B732" i="1"/>
  <c r="C732" i="1"/>
  <c r="D732" i="1"/>
  <c r="E732" i="1"/>
  <c r="F732" i="1"/>
  <c r="G732" i="1"/>
  <c r="R732" i="1" s="1"/>
  <c r="H732" i="1"/>
  <c r="I732" i="1"/>
  <c r="J732" i="1"/>
  <c r="K732" i="1"/>
  <c r="L732" i="1"/>
  <c r="B733" i="1"/>
  <c r="C733" i="1"/>
  <c r="D733" i="1"/>
  <c r="E733" i="1"/>
  <c r="F733" i="1"/>
  <c r="G733" i="1"/>
  <c r="R733" i="1" s="1"/>
  <c r="H733" i="1"/>
  <c r="I733" i="1"/>
  <c r="J733" i="1"/>
  <c r="K733" i="1"/>
  <c r="L733" i="1"/>
  <c r="B734" i="1"/>
  <c r="C734" i="1"/>
  <c r="D734" i="1"/>
  <c r="E734" i="1"/>
  <c r="F734" i="1"/>
  <c r="G734" i="1"/>
  <c r="R734" i="1" s="1"/>
  <c r="H734" i="1"/>
  <c r="I734" i="1"/>
  <c r="J734" i="1"/>
  <c r="K734" i="1"/>
  <c r="L734" i="1"/>
  <c r="B735" i="1"/>
  <c r="C735" i="1"/>
  <c r="D735" i="1"/>
  <c r="E735" i="1"/>
  <c r="F735" i="1"/>
  <c r="G735" i="1"/>
  <c r="R735" i="1" s="1"/>
  <c r="H735" i="1"/>
  <c r="I735" i="1"/>
  <c r="J735" i="1"/>
  <c r="K735" i="1"/>
  <c r="L735" i="1"/>
  <c r="B736" i="1"/>
  <c r="C736" i="1"/>
  <c r="D736" i="1"/>
  <c r="E736" i="1"/>
  <c r="F736" i="1"/>
  <c r="G736" i="1"/>
  <c r="R736" i="1" s="1"/>
  <c r="H736" i="1"/>
  <c r="I736" i="1"/>
  <c r="J736" i="1"/>
  <c r="K736" i="1"/>
  <c r="L736" i="1"/>
  <c r="B737" i="1"/>
  <c r="C737" i="1"/>
  <c r="D737" i="1"/>
  <c r="E737" i="1"/>
  <c r="F737" i="1"/>
  <c r="G737" i="1"/>
  <c r="R737" i="1" s="1"/>
  <c r="H737" i="1"/>
  <c r="I737" i="1"/>
  <c r="J737" i="1"/>
  <c r="K737" i="1"/>
  <c r="L737" i="1"/>
  <c r="B738" i="1"/>
  <c r="C738" i="1"/>
  <c r="D738" i="1"/>
  <c r="E738" i="1"/>
  <c r="F738" i="1"/>
  <c r="G738" i="1"/>
  <c r="R738" i="1" s="1"/>
  <c r="H738" i="1"/>
  <c r="I738" i="1"/>
  <c r="J738" i="1"/>
  <c r="K738" i="1"/>
  <c r="L738" i="1"/>
  <c r="B739" i="1"/>
  <c r="C739" i="1"/>
  <c r="D739" i="1"/>
  <c r="E739" i="1"/>
  <c r="F739" i="1"/>
  <c r="G739" i="1"/>
  <c r="R739" i="1" s="1"/>
  <c r="H739" i="1"/>
  <c r="I739" i="1"/>
  <c r="J739" i="1"/>
  <c r="K739" i="1"/>
  <c r="L739" i="1"/>
  <c r="B740" i="1"/>
  <c r="C740" i="1"/>
  <c r="D740" i="1"/>
  <c r="E740" i="1"/>
  <c r="F740" i="1"/>
  <c r="G740" i="1"/>
  <c r="R740" i="1" s="1"/>
  <c r="H740" i="1"/>
  <c r="I740" i="1"/>
  <c r="J740" i="1"/>
  <c r="K740" i="1"/>
  <c r="L740" i="1"/>
  <c r="B741" i="1"/>
  <c r="C741" i="1"/>
  <c r="D741" i="1"/>
  <c r="E741" i="1"/>
  <c r="F741" i="1"/>
  <c r="G741" i="1"/>
  <c r="R741" i="1" s="1"/>
  <c r="H741" i="1"/>
  <c r="I741" i="1"/>
  <c r="J741" i="1"/>
  <c r="K741" i="1"/>
  <c r="L741" i="1"/>
  <c r="B742" i="1"/>
  <c r="C742" i="1"/>
  <c r="D742" i="1"/>
  <c r="E742" i="1"/>
  <c r="F742" i="1"/>
  <c r="G742" i="1"/>
  <c r="R742" i="1" s="1"/>
  <c r="H742" i="1"/>
  <c r="I742" i="1"/>
  <c r="J742" i="1"/>
  <c r="K742" i="1"/>
  <c r="L742" i="1"/>
  <c r="B743" i="1"/>
  <c r="C743" i="1"/>
  <c r="D743" i="1"/>
  <c r="E743" i="1"/>
  <c r="F743" i="1"/>
  <c r="G743" i="1"/>
  <c r="R743" i="1" s="1"/>
  <c r="H743" i="1"/>
  <c r="I743" i="1"/>
  <c r="J743" i="1"/>
  <c r="K743" i="1"/>
  <c r="L743" i="1"/>
  <c r="B744" i="1"/>
  <c r="C744" i="1"/>
  <c r="D744" i="1"/>
  <c r="E744" i="1"/>
  <c r="F744" i="1"/>
  <c r="G744" i="1"/>
  <c r="R744" i="1" s="1"/>
  <c r="H744" i="1"/>
  <c r="I744" i="1"/>
  <c r="J744" i="1"/>
  <c r="K744" i="1"/>
  <c r="L744" i="1"/>
  <c r="B745" i="1"/>
  <c r="C745" i="1"/>
  <c r="D745" i="1"/>
  <c r="E745" i="1"/>
  <c r="F745" i="1"/>
  <c r="G745" i="1"/>
  <c r="R745" i="1" s="1"/>
  <c r="H745" i="1"/>
  <c r="I745" i="1"/>
  <c r="J745" i="1"/>
  <c r="K745" i="1"/>
  <c r="L745" i="1"/>
  <c r="B746" i="1"/>
  <c r="C746" i="1"/>
  <c r="D746" i="1"/>
  <c r="E746" i="1"/>
  <c r="F746" i="1"/>
  <c r="G746" i="1"/>
  <c r="R746" i="1" s="1"/>
  <c r="H746" i="1"/>
  <c r="I746" i="1"/>
  <c r="J746" i="1"/>
  <c r="K746" i="1"/>
  <c r="L746" i="1"/>
  <c r="B747" i="1"/>
  <c r="C747" i="1"/>
  <c r="D747" i="1"/>
  <c r="E747" i="1"/>
  <c r="F747" i="1"/>
  <c r="G747" i="1"/>
  <c r="R747" i="1" s="1"/>
  <c r="H747" i="1"/>
  <c r="I747" i="1"/>
  <c r="J747" i="1"/>
  <c r="K747" i="1"/>
  <c r="L747" i="1"/>
  <c r="B748" i="1"/>
  <c r="C748" i="1"/>
  <c r="D748" i="1"/>
  <c r="E748" i="1"/>
  <c r="F748" i="1"/>
  <c r="G748" i="1"/>
  <c r="R748" i="1" s="1"/>
  <c r="H748" i="1"/>
  <c r="I748" i="1"/>
  <c r="J748" i="1"/>
  <c r="K748" i="1"/>
  <c r="L748" i="1"/>
  <c r="B749" i="1"/>
  <c r="C749" i="1"/>
  <c r="D749" i="1"/>
  <c r="E749" i="1"/>
  <c r="F749" i="1"/>
  <c r="G749" i="1"/>
  <c r="R749" i="1" s="1"/>
  <c r="H749" i="1"/>
  <c r="I749" i="1"/>
  <c r="J749" i="1"/>
  <c r="K749" i="1"/>
  <c r="L749" i="1"/>
  <c r="B750" i="1"/>
  <c r="C750" i="1"/>
  <c r="D750" i="1"/>
  <c r="E750" i="1"/>
  <c r="F750" i="1"/>
  <c r="G750" i="1"/>
  <c r="R750" i="1" s="1"/>
  <c r="H750" i="1"/>
  <c r="I750" i="1"/>
  <c r="J750" i="1"/>
  <c r="K750" i="1"/>
  <c r="L750" i="1"/>
  <c r="B751" i="1"/>
  <c r="C751" i="1"/>
  <c r="D751" i="1"/>
  <c r="E751" i="1"/>
  <c r="F751" i="1"/>
  <c r="G751" i="1"/>
  <c r="R751" i="1" s="1"/>
  <c r="H751" i="1"/>
  <c r="I751" i="1"/>
  <c r="J751" i="1"/>
  <c r="K751" i="1"/>
  <c r="L751" i="1"/>
  <c r="B752" i="1"/>
  <c r="C752" i="1"/>
  <c r="D752" i="1"/>
  <c r="E752" i="1"/>
  <c r="F752" i="1"/>
  <c r="G752" i="1"/>
  <c r="R752" i="1" s="1"/>
  <c r="H752" i="1"/>
  <c r="I752" i="1"/>
  <c r="J752" i="1"/>
  <c r="K752" i="1"/>
  <c r="L752" i="1"/>
  <c r="B753" i="1"/>
  <c r="C753" i="1"/>
  <c r="D753" i="1"/>
  <c r="E753" i="1"/>
  <c r="F753" i="1"/>
  <c r="G753" i="1"/>
  <c r="R753" i="1" s="1"/>
  <c r="H753" i="1"/>
  <c r="I753" i="1"/>
  <c r="J753" i="1"/>
  <c r="K753" i="1"/>
  <c r="L753" i="1"/>
  <c r="B754" i="1"/>
  <c r="C754" i="1"/>
  <c r="D754" i="1"/>
  <c r="E754" i="1"/>
  <c r="F754" i="1"/>
  <c r="G754" i="1"/>
  <c r="R754" i="1" s="1"/>
  <c r="H754" i="1"/>
  <c r="I754" i="1"/>
  <c r="J754" i="1"/>
  <c r="K754" i="1"/>
  <c r="L754" i="1"/>
  <c r="B755" i="1"/>
  <c r="C755" i="1"/>
  <c r="D755" i="1"/>
  <c r="E755" i="1"/>
  <c r="F755" i="1"/>
  <c r="G755" i="1"/>
  <c r="R755" i="1" s="1"/>
  <c r="H755" i="1"/>
  <c r="I755" i="1"/>
  <c r="J755" i="1"/>
  <c r="K755" i="1"/>
  <c r="L755" i="1"/>
  <c r="B756" i="1"/>
  <c r="C756" i="1"/>
  <c r="D756" i="1"/>
  <c r="E756" i="1"/>
  <c r="F756" i="1"/>
  <c r="G756" i="1"/>
  <c r="R756" i="1" s="1"/>
  <c r="H756" i="1"/>
  <c r="I756" i="1"/>
  <c r="J756" i="1"/>
  <c r="K756" i="1"/>
  <c r="L756" i="1"/>
  <c r="B757" i="1"/>
  <c r="C757" i="1"/>
  <c r="D757" i="1"/>
  <c r="E757" i="1"/>
  <c r="F757" i="1"/>
  <c r="G757" i="1"/>
  <c r="R757" i="1" s="1"/>
  <c r="H757" i="1"/>
  <c r="I757" i="1"/>
  <c r="J757" i="1"/>
  <c r="K757" i="1"/>
  <c r="L757" i="1"/>
  <c r="B758" i="1"/>
  <c r="C758" i="1"/>
  <c r="D758" i="1"/>
  <c r="E758" i="1"/>
  <c r="F758" i="1"/>
  <c r="G758" i="1"/>
  <c r="R758" i="1" s="1"/>
  <c r="H758" i="1"/>
  <c r="I758" i="1"/>
  <c r="J758" i="1"/>
  <c r="K758" i="1"/>
  <c r="L758" i="1"/>
  <c r="B759" i="1"/>
  <c r="C759" i="1"/>
  <c r="D759" i="1"/>
  <c r="E759" i="1"/>
  <c r="F759" i="1"/>
  <c r="G759" i="1"/>
  <c r="R759" i="1" s="1"/>
  <c r="H759" i="1"/>
  <c r="I759" i="1"/>
  <c r="J759" i="1"/>
  <c r="K759" i="1"/>
  <c r="L759" i="1"/>
  <c r="B760" i="1"/>
  <c r="C760" i="1"/>
  <c r="D760" i="1"/>
  <c r="E760" i="1"/>
  <c r="F760" i="1"/>
  <c r="G760" i="1"/>
  <c r="R760" i="1" s="1"/>
  <c r="H760" i="1"/>
  <c r="I760" i="1"/>
  <c r="J760" i="1"/>
  <c r="K760" i="1"/>
  <c r="L760" i="1"/>
  <c r="B761" i="1"/>
  <c r="C761" i="1"/>
  <c r="D761" i="1"/>
  <c r="E761" i="1"/>
  <c r="F761" i="1"/>
  <c r="G761" i="1"/>
  <c r="R761" i="1" s="1"/>
  <c r="H761" i="1"/>
  <c r="I761" i="1"/>
  <c r="J761" i="1"/>
  <c r="K761" i="1"/>
  <c r="L761" i="1"/>
  <c r="B762" i="1"/>
  <c r="C762" i="1"/>
  <c r="D762" i="1"/>
  <c r="E762" i="1"/>
  <c r="F762" i="1"/>
  <c r="G762" i="1"/>
  <c r="R762" i="1" s="1"/>
  <c r="H762" i="1"/>
  <c r="I762" i="1"/>
  <c r="J762" i="1"/>
  <c r="K762" i="1"/>
  <c r="L762" i="1"/>
  <c r="B763" i="1"/>
  <c r="C763" i="1"/>
  <c r="D763" i="1"/>
  <c r="E763" i="1"/>
  <c r="F763" i="1"/>
  <c r="G763" i="1"/>
  <c r="R763" i="1" s="1"/>
  <c r="H763" i="1"/>
  <c r="I763" i="1"/>
  <c r="J763" i="1"/>
  <c r="K763" i="1"/>
  <c r="L763" i="1"/>
  <c r="B764" i="1"/>
  <c r="C764" i="1"/>
  <c r="D764" i="1"/>
  <c r="E764" i="1"/>
  <c r="F764" i="1"/>
  <c r="G764" i="1"/>
  <c r="R764" i="1" s="1"/>
  <c r="H764" i="1"/>
  <c r="I764" i="1"/>
  <c r="J764" i="1"/>
  <c r="K764" i="1"/>
  <c r="L764" i="1"/>
  <c r="B765" i="1"/>
  <c r="C765" i="1"/>
  <c r="D765" i="1"/>
  <c r="E765" i="1"/>
  <c r="F765" i="1"/>
  <c r="G765" i="1"/>
  <c r="R765" i="1" s="1"/>
  <c r="H765" i="1"/>
  <c r="I765" i="1"/>
  <c r="J765" i="1"/>
  <c r="K765" i="1"/>
  <c r="L765" i="1"/>
  <c r="B766" i="1"/>
  <c r="C766" i="1"/>
  <c r="D766" i="1"/>
  <c r="E766" i="1"/>
  <c r="F766" i="1"/>
  <c r="G766" i="1"/>
  <c r="R766" i="1" s="1"/>
  <c r="H766" i="1"/>
  <c r="I766" i="1"/>
  <c r="J766" i="1"/>
  <c r="K766" i="1"/>
  <c r="L766" i="1"/>
  <c r="B767" i="1"/>
  <c r="C767" i="1"/>
  <c r="D767" i="1"/>
  <c r="E767" i="1"/>
  <c r="F767" i="1"/>
  <c r="G767" i="1"/>
  <c r="R767" i="1" s="1"/>
  <c r="H767" i="1"/>
  <c r="I767" i="1"/>
  <c r="J767" i="1"/>
  <c r="K767" i="1"/>
  <c r="L767" i="1"/>
  <c r="B768" i="1"/>
  <c r="C768" i="1"/>
  <c r="D768" i="1"/>
  <c r="E768" i="1"/>
  <c r="F768" i="1"/>
  <c r="G768" i="1"/>
  <c r="R768" i="1" s="1"/>
  <c r="H768" i="1"/>
  <c r="I768" i="1"/>
  <c r="J768" i="1"/>
  <c r="K768" i="1"/>
  <c r="L768" i="1"/>
  <c r="B769" i="1"/>
  <c r="C769" i="1"/>
  <c r="D769" i="1"/>
  <c r="E769" i="1"/>
  <c r="F769" i="1"/>
  <c r="G769" i="1"/>
  <c r="R769" i="1" s="1"/>
  <c r="H769" i="1"/>
  <c r="I769" i="1"/>
  <c r="J769" i="1"/>
  <c r="K769" i="1"/>
  <c r="L769" i="1"/>
  <c r="B770" i="1"/>
  <c r="C770" i="1"/>
  <c r="D770" i="1"/>
  <c r="E770" i="1"/>
  <c r="F770" i="1"/>
  <c r="G770" i="1"/>
  <c r="R770" i="1" s="1"/>
  <c r="H770" i="1"/>
  <c r="I770" i="1"/>
  <c r="J770" i="1"/>
  <c r="K770" i="1"/>
  <c r="L770" i="1"/>
  <c r="B771" i="1"/>
  <c r="C771" i="1"/>
  <c r="D771" i="1"/>
  <c r="E771" i="1"/>
  <c r="F771" i="1"/>
  <c r="G771" i="1"/>
  <c r="R771" i="1" s="1"/>
  <c r="H771" i="1"/>
  <c r="I771" i="1"/>
  <c r="J771" i="1"/>
  <c r="K771" i="1"/>
  <c r="L771" i="1"/>
  <c r="B772" i="1"/>
  <c r="C772" i="1"/>
  <c r="D772" i="1"/>
  <c r="E772" i="1"/>
  <c r="F772" i="1"/>
  <c r="G772" i="1"/>
  <c r="R772" i="1" s="1"/>
  <c r="H772" i="1"/>
  <c r="I772" i="1"/>
  <c r="J772" i="1"/>
  <c r="K772" i="1"/>
  <c r="L772" i="1"/>
  <c r="B773" i="1"/>
  <c r="C773" i="1"/>
  <c r="D773" i="1"/>
  <c r="E773" i="1"/>
  <c r="F773" i="1"/>
  <c r="G773" i="1"/>
  <c r="R773" i="1" s="1"/>
  <c r="H773" i="1"/>
  <c r="I773" i="1"/>
  <c r="J773" i="1"/>
  <c r="K773" i="1"/>
  <c r="L773" i="1"/>
  <c r="B774" i="1"/>
  <c r="C774" i="1"/>
  <c r="D774" i="1"/>
  <c r="E774" i="1"/>
  <c r="F774" i="1"/>
  <c r="G774" i="1"/>
  <c r="R774" i="1" s="1"/>
  <c r="H774" i="1"/>
  <c r="I774" i="1"/>
  <c r="J774" i="1"/>
  <c r="K774" i="1"/>
  <c r="L774" i="1"/>
  <c r="B775" i="1"/>
  <c r="C775" i="1"/>
  <c r="D775" i="1"/>
  <c r="E775" i="1"/>
  <c r="F775" i="1"/>
  <c r="G775" i="1"/>
  <c r="R775" i="1" s="1"/>
  <c r="H775" i="1"/>
  <c r="I775" i="1"/>
  <c r="J775" i="1"/>
  <c r="K775" i="1"/>
  <c r="L775" i="1"/>
  <c r="B776" i="1"/>
  <c r="C776" i="1"/>
  <c r="D776" i="1"/>
  <c r="E776" i="1"/>
  <c r="F776" i="1"/>
  <c r="G776" i="1"/>
  <c r="R776" i="1" s="1"/>
  <c r="H776" i="1"/>
  <c r="I776" i="1"/>
  <c r="J776" i="1"/>
  <c r="K776" i="1"/>
  <c r="L776" i="1"/>
  <c r="B777" i="1"/>
  <c r="C777" i="1"/>
  <c r="D777" i="1"/>
  <c r="E777" i="1"/>
  <c r="F777" i="1"/>
  <c r="G777" i="1"/>
  <c r="R777" i="1" s="1"/>
  <c r="H777" i="1"/>
  <c r="I777" i="1"/>
  <c r="J777" i="1"/>
  <c r="K777" i="1"/>
  <c r="L777" i="1"/>
  <c r="B778" i="1"/>
  <c r="C778" i="1"/>
  <c r="D778" i="1"/>
  <c r="E778" i="1"/>
  <c r="F778" i="1"/>
  <c r="G778" i="1"/>
  <c r="R778" i="1" s="1"/>
  <c r="H778" i="1"/>
  <c r="I778" i="1"/>
  <c r="J778" i="1"/>
  <c r="K778" i="1"/>
  <c r="L778" i="1"/>
  <c r="B779" i="1"/>
  <c r="C779" i="1"/>
  <c r="D779" i="1"/>
  <c r="E779" i="1"/>
  <c r="F779" i="1"/>
  <c r="G779" i="1"/>
  <c r="R779" i="1" s="1"/>
  <c r="H779" i="1"/>
  <c r="I779" i="1"/>
  <c r="J779" i="1"/>
  <c r="K779" i="1"/>
  <c r="L779" i="1"/>
  <c r="B780" i="1"/>
  <c r="C780" i="1"/>
  <c r="D780" i="1"/>
  <c r="E780" i="1"/>
  <c r="F780" i="1"/>
  <c r="G780" i="1"/>
  <c r="R780" i="1" s="1"/>
  <c r="H780" i="1"/>
  <c r="I780" i="1"/>
  <c r="J780" i="1"/>
  <c r="K780" i="1"/>
  <c r="L780" i="1"/>
  <c r="B781" i="1"/>
  <c r="C781" i="1"/>
  <c r="D781" i="1"/>
  <c r="E781" i="1"/>
  <c r="F781" i="1"/>
  <c r="G781" i="1"/>
  <c r="R781" i="1" s="1"/>
  <c r="H781" i="1"/>
  <c r="I781" i="1"/>
  <c r="J781" i="1"/>
  <c r="K781" i="1"/>
  <c r="L781" i="1"/>
  <c r="B782" i="1"/>
  <c r="C782" i="1"/>
  <c r="D782" i="1"/>
  <c r="E782" i="1"/>
  <c r="F782" i="1"/>
  <c r="G782" i="1"/>
  <c r="R782" i="1" s="1"/>
  <c r="H782" i="1"/>
  <c r="I782" i="1"/>
  <c r="J782" i="1"/>
  <c r="K782" i="1"/>
  <c r="L782" i="1"/>
  <c r="B783" i="1"/>
  <c r="C783" i="1"/>
  <c r="D783" i="1"/>
  <c r="E783" i="1"/>
  <c r="F783" i="1"/>
  <c r="G783" i="1"/>
  <c r="R783" i="1" s="1"/>
  <c r="H783" i="1"/>
  <c r="I783" i="1"/>
  <c r="J783" i="1"/>
  <c r="K783" i="1"/>
  <c r="L783" i="1"/>
  <c r="B784" i="1"/>
  <c r="C784" i="1"/>
  <c r="D784" i="1"/>
  <c r="E784" i="1"/>
  <c r="F784" i="1"/>
  <c r="G784" i="1"/>
  <c r="R784" i="1" s="1"/>
  <c r="H784" i="1"/>
  <c r="I784" i="1"/>
  <c r="J784" i="1"/>
  <c r="K784" i="1"/>
  <c r="L784" i="1"/>
  <c r="B785" i="1"/>
  <c r="C785" i="1"/>
  <c r="D785" i="1"/>
  <c r="E785" i="1"/>
  <c r="F785" i="1"/>
  <c r="G785" i="1"/>
  <c r="R785" i="1" s="1"/>
  <c r="H785" i="1"/>
  <c r="I785" i="1"/>
  <c r="J785" i="1"/>
  <c r="K785" i="1"/>
  <c r="L785" i="1"/>
  <c r="B786" i="1"/>
  <c r="C786" i="1"/>
  <c r="D786" i="1"/>
  <c r="E786" i="1"/>
  <c r="F786" i="1"/>
  <c r="G786" i="1"/>
  <c r="R786" i="1" s="1"/>
  <c r="H786" i="1"/>
  <c r="I786" i="1"/>
  <c r="J786" i="1"/>
  <c r="K786" i="1"/>
  <c r="L786" i="1"/>
  <c r="B787" i="1"/>
  <c r="C787" i="1"/>
  <c r="D787" i="1"/>
  <c r="E787" i="1"/>
  <c r="F787" i="1"/>
  <c r="G787" i="1"/>
  <c r="R787" i="1" s="1"/>
  <c r="H787" i="1"/>
  <c r="I787" i="1"/>
  <c r="J787" i="1"/>
  <c r="K787" i="1"/>
  <c r="L787" i="1"/>
  <c r="B788" i="1"/>
  <c r="C788" i="1"/>
  <c r="D788" i="1"/>
  <c r="E788" i="1"/>
  <c r="F788" i="1"/>
  <c r="G788" i="1"/>
  <c r="R788" i="1" s="1"/>
  <c r="H788" i="1"/>
  <c r="I788" i="1"/>
  <c r="J788" i="1"/>
  <c r="K788" i="1"/>
  <c r="L788" i="1"/>
  <c r="B789" i="1"/>
  <c r="C789" i="1"/>
  <c r="D789" i="1"/>
  <c r="E789" i="1"/>
  <c r="F789" i="1"/>
  <c r="G789" i="1"/>
  <c r="R789" i="1" s="1"/>
  <c r="H789" i="1"/>
  <c r="I789" i="1"/>
  <c r="J789" i="1"/>
  <c r="K789" i="1"/>
  <c r="L789" i="1"/>
  <c r="B790" i="1"/>
  <c r="C790" i="1"/>
  <c r="D790" i="1"/>
  <c r="E790" i="1"/>
  <c r="F790" i="1"/>
  <c r="G790" i="1"/>
  <c r="R790" i="1" s="1"/>
  <c r="H790" i="1"/>
  <c r="I790" i="1"/>
  <c r="J790" i="1"/>
  <c r="K790" i="1"/>
  <c r="L790" i="1"/>
  <c r="B791" i="1"/>
  <c r="C791" i="1"/>
  <c r="D791" i="1"/>
  <c r="E791" i="1"/>
  <c r="F791" i="1"/>
  <c r="G791" i="1"/>
  <c r="R791" i="1" s="1"/>
  <c r="H791" i="1"/>
  <c r="I791" i="1"/>
  <c r="J791" i="1"/>
  <c r="K791" i="1"/>
  <c r="L791" i="1"/>
  <c r="B792" i="1"/>
  <c r="C792" i="1"/>
  <c r="D792" i="1"/>
  <c r="E792" i="1"/>
  <c r="F792" i="1"/>
  <c r="G792" i="1"/>
  <c r="R792" i="1" s="1"/>
  <c r="H792" i="1"/>
  <c r="I792" i="1"/>
  <c r="J792" i="1"/>
  <c r="K792" i="1"/>
  <c r="L792" i="1"/>
  <c r="B793" i="1"/>
  <c r="C793" i="1"/>
  <c r="D793" i="1"/>
  <c r="E793" i="1"/>
  <c r="F793" i="1"/>
  <c r="G793" i="1"/>
  <c r="R793" i="1" s="1"/>
  <c r="H793" i="1"/>
  <c r="I793" i="1"/>
  <c r="J793" i="1"/>
  <c r="K793" i="1"/>
  <c r="L793" i="1"/>
  <c r="B794" i="1"/>
  <c r="C794" i="1"/>
  <c r="D794" i="1"/>
  <c r="E794" i="1"/>
  <c r="F794" i="1"/>
  <c r="G794" i="1"/>
  <c r="R794" i="1" s="1"/>
  <c r="H794" i="1"/>
  <c r="I794" i="1"/>
  <c r="J794" i="1"/>
  <c r="K794" i="1"/>
  <c r="L794" i="1"/>
  <c r="B795" i="1"/>
  <c r="C795" i="1"/>
  <c r="D795" i="1"/>
  <c r="E795" i="1"/>
  <c r="F795" i="1"/>
  <c r="G795" i="1"/>
  <c r="R795" i="1" s="1"/>
  <c r="H795" i="1"/>
  <c r="I795" i="1"/>
  <c r="J795" i="1"/>
  <c r="K795" i="1"/>
  <c r="L795" i="1"/>
  <c r="B796" i="1"/>
  <c r="C796" i="1"/>
  <c r="D796" i="1"/>
  <c r="E796" i="1"/>
  <c r="F796" i="1"/>
  <c r="G796" i="1"/>
  <c r="R796" i="1" s="1"/>
  <c r="H796" i="1"/>
  <c r="I796" i="1"/>
  <c r="J796" i="1"/>
  <c r="K796" i="1"/>
  <c r="L796" i="1"/>
  <c r="B797" i="1"/>
  <c r="C797" i="1"/>
  <c r="D797" i="1"/>
  <c r="E797" i="1"/>
  <c r="F797" i="1"/>
  <c r="G797" i="1"/>
  <c r="R797" i="1" s="1"/>
  <c r="H797" i="1"/>
  <c r="I797" i="1"/>
  <c r="J797" i="1"/>
  <c r="K797" i="1"/>
  <c r="L797" i="1"/>
  <c r="B798" i="1"/>
  <c r="C798" i="1"/>
  <c r="D798" i="1"/>
  <c r="E798" i="1"/>
  <c r="F798" i="1"/>
  <c r="G798" i="1"/>
  <c r="R798" i="1" s="1"/>
  <c r="H798" i="1"/>
  <c r="I798" i="1"/>
  <c r="J798" i="1"/>
  <c r="K798" i="1"/>
  <c r="L798" i="1"/>
  <c r="B799" i="1"/>
  <c r="C799" i="1"/>
  <c r="D799" i="1"/>
  <c r="E799" i="1"/>
  <c r="F799" i="1"/>
  <c r="G799" i="1"/>
  <c r="R799" i="1" s="1"/>
  <c r="H799" i="1"/>
  <c r="I799" i="1"/>
  <c r="J799" i="1"/>
  <c r="K799" i="1"/>
  <c r="L799" i="1"/>
  <c r="B800" i="1"/>
  <c r="C800" i="1"/>
  <c r="D800" i="1"/>
  <c r="E800" i="1"/>
  <c r="F800" i="1"/>
  <c r="G800" i="1"/>
  <c r="R800" i="1" s="1"/>
  <c r="H800" i="1"/>
  <c r="I800" i="1"/>
  <c r="J800" i="1"/>
  <c r="K800" i="1"/>
  <c r="L800" i="1"/>
  <c r="B801" i="1"/>
  <c r="C801" i="1"/>
  <c r="D801" i="1"/>
  <c r="E801" i="1"/>
  <c r="F801" i="1"/>
  <c r="G801" i="1"/>
  <c r="R801" i="1" s="1"/>
  <c r="H801" i="1"/>
  <c r="I801" i="1"/>
  <c r="J801" i="1"/>
  <c r="K801" i="1"/>
  <c r="L801" i="1"/>
  <c r="B802" i="1"/>
  <c r="C802" i="1"/>
  <c r="D802" i="1"/>
  <c r="E802" i="1"/>
  <c r="F802" i="1"/>
  <c r="G802" i="1"/>
  <c r="R802" i="1" s="1"/>
  <c r="H802" i="1"/>
  <c r="I802" i="1"/>
  <c r="J802" i="1"/>
  <c r="K802" i="1"/>
  <c r="L802" i="1"/>
  <c r="B803" i="1"/>
  <c r="C803" i="1"/>
  <c r="D803" i="1"/>
  <c r="E803" i="1"/>
  <c r="F803" i="1"/>
  <c r="G803" i="1"/>
  <c r="R803" i="1" s="1"/>
  <c r="H803" i="1"/>
  <c r="I803" i="1"/>
  <c r="J803" i="1"/>
  <c r="K803" i="1"/>
  <c r="L803" i="1"/>
  <c r="B804" i="1"/>
  <c r="C804" i="1"/>
  <c r="D804" i="1"/>
  <c r="E804" i="1"/>
  <c r="F804" i="1"/>
  <c r="G804" i="1"/>
  <c r="R804" i="1" s="1"/>
  <c r="H804" i="1"/>
  <c r="I804" i="1"/>
  <c r="J804" i="1"/>
  <c r="K804" i="1"/>
  <c r="L804" i="1"/>
  <c r="B805" i="1"/>
  <c r="C805" i="1"/>
  <c r="D805" i="1"/>
  <c r="E805" i="1"/>
  <c r="F805" i="1"/>
  <c r="G805" i="1"/>
  <c r="R805" i="1" s="1"/>
  <c r="H805" i="1"/>
  <c r="I805" i="1"/>
  <c r="J805" i="1"/>
  <c r="K805" i="1"/>
  <c r="L805" i="1"/>
  <c r="B806" i="1"/>
  <c r="C806" i="1"/>
  <c r="D806" i="1"/>
  <c r="E806" i="1"/>
  <c r="F806" i="1"/>
  <c r="G806" i="1"/>
  <c r="R806" i="1" s="1"/>
  <c r="H806" i="1"/>
  <c r="I806" i="1"/>
  <c r="J806" i="1"/>
  <c r="K806" i="1"/>
  <c r="L806" i="1"/>
  <c r="B807" i="1"/>
  <c r="C807" i="1"/>
  <c r="D807" i="1"/>
  <c r="E807" i="1"/>
  <c r="F807" i="1"/>
  <c r="G807" i="1"/>
  <c r="R807" i="1" s="1"/>
  <c r="H807" i="1"/>
  <c r="I807" i="1"/>
  <c r="J807" i="1"/>
  <c r="K807" i="1"/>
  <c r="L807" i="1"/>
  <c r="B808" i="1"/>
  <c r="C808" i="1"/>
  <c r="D808" i="1"/>
  <c r="E808" i="1"/>
  <c r="F808" i="1"/>
  <c r="G808" i="1"/>
  <c r="R808" i="1" s="1"/>
  <c r="H808" i="1"/>
  <c r="I808" i="1"/>
  <c r="J808" i="1"/>
  <c r="K808" i="1"/>
  <c r="L808" i="1"/>
  <c r="B809" i="1"/>
  <c r="C809" i="1"/>
  <c r="D809" i="1"/>
  <c r="E809" i="1"/>
  <c r="F809" i="1"/>
  <c r="G809" i="1"/>
  <c r="R809" i="1" s="1"/>
  <c r="H809" i="1"/>
  <c r="I809" i="1"/>
  <c r="J809" i="1"/>
  <c r="K809" i="1"/>
  <c r="L809" i="1"/>
  <c r="B810" i="1"/>
  <c r="C810" i="1"/>
  <c r="D810" i="1"/>
  <c r="E810" i="1"/>
  <c r="F810" i="1"/>
  <c r="G810" i="1"/>
  <c r="R810" i="1" s="1"/>
  <c r="H810" i="1"/>
  <c r="I810" i="1"/>
  <c r="J810" i="1"/>
  <c r="K810" i="1"/>
  <c r="L810" i="1"/>
  <c r="B811" i="1"/>
  <c r="C811" i="1"/>
  <c r="D811" i="1"/>
  <c r="E811" i="1"/>
  <c r="F811" i="1"/>
  <c r="G811" i="1"/>
  <c r="R811" i="1" s="1"/>
  <c r="H811" i="1"/>
  <c r="I811" i="1"/>
  <c r="J811" i="1"/>
  <c r="K811" i="1"/>
  <c r="L811" i="1"/>
  <c r="B812" i="1"/>
  <c r="C812" i="1"/>
  <c r="D812" i="1"/>
  <c r="E812" i="1"/>
  <c r="F812" i="1"/>
  <c r="G812" i="1"/>
  <c r="R812" i="1" s="1"/>
  <c r="H812" i="1"/>
  <c r="I812" i="1"/>
  <c r="J812" i="1"/>
  <c r="K812" i="1"/>
  <c r="L812" i="1"/>
  <c r="B813" i="1"/>
  <c r="C813" i="1"/>
  <c r="D813" i="1"/>
  <c r="E813" i="1"/>
  <c r="F813" i="1"/>
  <c r="G813" i="1"/>
  <c r="R813" i="1" s="1"/>
  <c r="H813" i="1"/>
  <c r="I813" i="1"/>
  <c r="J813" i="1"/>
  <c r="K813" i="1"/>
  <c r="L813" i="1"/>
  <c r="B814" i="1"/>
  <c r="C814" i="1"/>
  <c r="D814" i="1"/>
  <c r="E814" i="1"/>
  <c r="F814" i="1"/>
  <c r="G814" i="1"/>
  <c r="R814" i="1" s="1"/>
  <c r="H814" i="1"/>
  <c r="I814" i="1"/>
  <c r="J814" i="1"/>
  <c r="K814" i="1"/>
  <c r="L814" i="1"/>
  <c r="B815" i="1"/>
  <c r="C815" i="1"/>
  <c r="D815" i="1"/>
  <c r="E815" i="1"/>
  <c r="F815" i="1"/>
  <c r="G815" i="1"/>
  <c r="R815" i="1" s="1"/>
  <c r="H815" i="1"/>
  <c r="I815" i="1"/>
  <c r="J815" i="1"/>
  <c r="K815" i="1"/>
  <c r="L815" i="1"/>
  <c r="B816" i="1"/>
  <c r="C816" i="1"/>
  <c r="D816" i="1"/>
  <c r="E816" i="1"/>
  <c r="F816" i="1"/>
  <c r="G816" i="1"/>
  <c r="R816" i="1" s="1"/>
  <c r="H816" i="1"/>
  <c r="I816" i="1"/>
  <c r="J816" i="1"/>
  <c r="K816" i="1"/>
  <c r="L816" i="1"/>
  <c r="B817" i="1"/>
  <c r="C817" i="1"/>
  <c r="D817" i="1"/>
  <c r="E817" i="1"/>
  <c r="F817" i="1"/>
  <c r="G817" i="1"/>
  <c r="R817" i="1" s="1"/>
  <c r="H817" i="1"/>
  <c r="I817" i="1"/>
  <c r="J817" i="1"/>
  <c r="K817" i="1"/>
  <c r="L817" i="1"/>
  <c r="B818" i="1"/>
  <c r="C818" i="1"/>
  <c r="D818" i="1"/>
  <c r="E818" i="1"/>
  <c r="F818" i="1"/>
  <c r="G818" i="1"/>
  <c r="R818" i="1" s="1"/>
  <c r="H818" i="1"/>
  <c r="I818" i="1"/>
  <c r="J818" i="1"/>
  <c r="K818" i="1"/>
  <c r="L818" i="1"/>
  <c r="B819" i="1"/>
  <c r="C819" i="1"/>
  <c r="D819" i="1"/>
  <c r="E819" i="1"/>
  <c r="F819" i="1"/>
  <c r="G819" i="1"/>
  <c r="R819" i="1" s="1"/>
  <c r="H819" i="1"/>
  <c r="I819" i="1"/>
  <c r="J819" i="1"/>
  <c r="K819" i="1"/>
  <c r="L819" i="1"/>
  <c r="B820" i="1"/>
  <c r="C820" i="1"/>
  <c r="D820" i="1"/>
  <c r="E820" i="1"/>
  <c r="F820" i="1"/>
  <c r="G820" i="1"/>
  <c r="R820" i="1" s="1"/>
  <c r="H820" i="1"/>
  <c r="I820" i="1"/>
  <c r="J820" i="1"/>
  <c r="K820" i="1"/>
  <c r="L820" i="1"/>
  <c r="B821" i="1"/>
  <c r="C821" i="1"/>
  <c r="D821" i="1"/>
  <c r="E821" i="1"/>
  <c r="F821" i="1"/>
  <c r="G821" i="1"/>
  <c r="R821" i="1" s="1"/>
  <c r="H821" i="1"/>
  <c r="I821" i="1"/>
  <c r="J821" i="1"/>
  <c r="K821" i="1"/>
  <c r="L821" i="1"/>
  <c r="B822" i="1"/>
  <c r="C822" i="1"/>
  <c r="D822" i="1"/>
  <c r="E822" i="1"/>
  <c r="F822" i="1"/>
  <c r="G822" i="1"/>
  <c r="R822" i="1" s="1"/>
  <c r="H822" i="1"/>
  <c r="I822" i="1"/>
  <c r="J822" i="1"/>
  <c r="K822" i="1"/>
  <c r="L822" i="1"/>
  <c r="B823" i="1"/>
  <c r="C823" i="1"/>
  <c r="D823" i="1"/>
  <c r="E823" i="1"/>
  <c r="F823" i="1"/>
  <c r="G823" i="1"/>
  <c r="R823" i="1" s="1"/>
  <c r="H823" i="1"/>
  <c r="I823" i="1"/>
  <c r="J823" i="1"/>
  <c r="K823" i="1"/>
  <c r="L823" i="1"/>
  <c r="B824" i="1"/>
  <c r="C824" i="1"/>
  <c r="D824" i="1"/>
  <c r="E824" i="1"/>
  <c r="F824" i="1"/>
  <c r="G824" i="1"/>
  <c r="R824" i="1" s="1"/>
  <c r="H824" i="1"/>
  <c r="I824" i="1"/>
  <c r="J824" i="1"/>
  <c r="K824" i="1"/>
  <c r="L824" i="1"/>
  <c r="B825" i="1"/>
  <c r="C825" i="1"/>
  <c r="D825" i="1"/>
  <c r="E825" i="1"/>
  <c r="F825" i="1"/>
  <c r="G825" i="1"/>
  <c r="R825" i="1" s="1"/>
  <c r="H825" i="1"/>
  <c r="I825" i="1"/>
  <c r="J825" i="1"/>
  <c r="K825" i="1"/>
  <c r="L825" i="1"/>
  <c r="B826" i="1"/>
  <c r="C826" i="1"/>
  <c r="D826" i="1"/>
  <c r="E826" i="1"/>
  <c r="F826" i="1"/>
  <c r="G826" i="1"/>
  <c r="R826" i="1" s="1"/>
  <c r="H826" i="1"/>
  <c r="I826" i="1"/>
  <c r="J826" i="1"/>
  <c r="K826" i="1"/>
  <c r="L826" i="1"/>
  <c r="B827" i="1"/>
  <c r="C827" i="1"/>
  <c r="D827" i="1"/>
  <c r="E827" i="1"/>
  <c r="F827" i="1"/>
  <c r="G827" i="1"/>
  <c r="R827" i="1" s="1"/>
  <c r="H827" i="1"/>
  <c r="I827" i="1"/>
  <c r="J827" i="1"/>
  <c r="K827" i="1"/>
  <c r="L827" i="1"/>
  <c r="B828" i="1"/>
  <c r="C828" i="1"/>
  <c r="D828" i="1"/>
  <c r="E828" i="1"/>
  <c r="F828" i="1"/>
  <c r="G828" i="1"/>
  <c r="R828" i="1" s="1"/>
  <c r="H828" i="1"/>
  <c r="I828" i="1"/>
  <c r="J828" i="1"/>
  <c r="K828" i="1"/>
  <c r="L828" i="1"/>
  <c r="B829" i="1"/>
  <c r="C829" i="1"/>
  <c r="D829" i="1"/>
  <c r="E829" i="1"/>
  <c r="F829" i="1"/>
  <c r="G829" i="1"/>
  <c r="R829" i="1" s="1"/>
  <c r="H829" i="1"/>
  <c r="I829" i="1"/>
  <c r="J829" i="1"/>
  <c r="K829" i="1"/>
  <c r="L829" i="1"/>
  <c r="B830" i="1"/>
  <c r="C830" i="1"/>
  <c r="D830" i="1"/>
  <c r="E830" i="1"/>
  <c r="F830" i="1"/>
  <c r="G830" i="1"/>
  <c r="R830" i="1" s="1"/>
  <c r="H830" i="1"/>
  <c r="I830" i="1"/>
  <c r="J830" i="1"/>
  <c r="K830" i="1"/>
  <c r="L830" i="1"/>
  <c r="B831" i="1"/>
  <c r="C831" i="1"/>
  <c r="D831" i="1"/>
  <c r="E831" i="1"/>
  <c r="F831" i="1"/>
  <c r="G831" i="1"/>
  <c r="R831" i="1" s="1"/>
  <c r="H831" i="1"/>
  <c r="I831" i="1"/>
  <c r="J831" i="1"/>
  <c r="K831" i="1"/>
  <c r="L831" i="1"/>
  <c r="B832" i="1"/>
  <c r="C832" i="1"/>
  <c r="D832" i="1"/>
  <c r="E832" i="1"/>
  <c r="F832" i="1"/>
  <c r="G832" i="1"/>
  <c r="R832" i="1" s="1"/>
  <c r="H832" i="1"/>
  <c r="I832" i="1"/>
  <c r="J832" i="1"/>
  <c r="K832" i="1"/>
  <c r="L832" i="1"/>
  <c r="B833" i="1"/>
  <c r="C833" i="1"/>
  <c r="D833" i="1"/>
  <c r="E833" i="1"/>
  <c r="F833" i="1"/>
  <c r="G833" i="1"/>
  <c r="R833" i="1" s="1"/>
  <c r="H833" i="1"/>
  <c r="I833" i="1"/>
  <c r="J833" i="1"/>
  <c r="K833" i="1"/>
  <c r="L833" i="1"/>
  <c r="B834" i="1"/>
  <c r="C834" i="1"/>
  <c r="D834" i="1"/>
  <c r="E834" i="1"/>
  <c r="F834" i="1"/>
  <c r="G834" i="1"/>
  <c r="R834" i="1" s="1"/>
  <c r="H834" i="1"/>
  <c r="I834" i="1"/>
  <c r="J834" i="1"/>
  <c r="K834" i="1"/>
  <c r="L834" i="1"/>
  <c r="B835" i="1"/>
  <c r="C835" i="1"/>
  <c r="D835" i="1"/>
  <c r="E835" i="1"/>
  <c r="F835" i="1"/>
  <c r="G835" i="1"/>
  <c r="R835" i="1" s="1"/>
  <c r="H835" i="1"/>
  <c r="I835" i="1"/>
  <c r="J835" i="1"/>
  <c r="K835" i="1"/>
  <c r="L835" i="1"/>
  <c r="B836" i="1"/>
  <c r="C836" i="1"/>
  <c r="D836" i="1"/>
  <c r="E836" i="1"/>
  <c r="F836" i="1"/>
  <c r="G836" i="1"/>
  <c r="R836" i="1" s="1"/>
  <c r="H836" i="1"/>
  <c r="I836" i="1"/>
  <c r="J836" i="1"/>
  <c r="K836" i="1"/>
  <c r="L836" i="1"/>
  <c r="B837" i="1"/>
  <c r="C837" i="1"/>
  <c r="D837" i="1"/>
  <c r="E837" i="1"/>
  <c r="F837" i="1"/>
  <c r="G837" i="1"/>
  <c r="R837" i="1" s="1"/>
  <c r="H837" i="1"/>
  <c r="I837" i="1"/>
  <c r="J837" i="1"/>
  <c r="K837" i="1"/>
  <c r="L837" i="1"/>
  <c r="B838" i="1"/>
  <c r="C838" i="1"/>
  <c r="D838" i="1"/>
  <c r="E838" i="1"/>
  <c r="F838" i="1"/>
  <c r="G838" i="1"/>
  <c r="R838" i="1" s="1"/>
  <c r="H838" i="1"/>
  <c r="I838" i="1"/>
  <c r="J838" i="1"/>
  <c r="K838" i="1"/>
  <c r="L838" i="1"/>
  <c r="B839" i="1"/>
  <c r="C839" i="1"/>
  <c r="D839" i="1"/>
  <c r="E839" i="1"/>
  <c r="F839" i="1"/>
  <c r="G839" i="1"/>
  <c r="R839" i="1" s="1"/>
  <c r="H839" i="1"/>
  <c r="I839" i="1"/>
  <c r="J839" i="1"/>
  <c r="K839" i="1"/>
  <c r="L839" i="1"/>
  <c r="B840" i="1"/>
  <c r="C840" i="1"/>
  <c r="D840" i="1"/>
  <c r="E840" i="1"/>
  <c r="F840" i="1"/>
  <c r="G840" i="1"/>
  <c r="R840" i="1" s="1"/>
  <c r="H840" i="1"/>
  <c r="I840" i="1"/>
  <c r="J840" i="1"/>
  <c r="K840" i="1"/>
  <c r="L840" i="1"/>
  <c r="B841" i="1"/>
  <c r="C841" i="1"/>
  <c r="D841" i="1"/>
  <c r="E841" i="1"/>
  <c r="F841" i="1"/>
  <c r="G841" i="1"/>
  <c r="R841" i="1" s="1"/>
  <c r="H841" i="1"/>
  <c r="I841" i="1"/>
  <c r="J841" i="1"/>
  <c r="K841" i="1"/>
  <c r="L841" i="1"/>
  <c r="B842" i="1"/>
  <c r="C842" i="1"/>
  <c r="D842" i="1"/>
  <c r="E842" i="1"/>
  <c r="F842" i="1"/>
  <c r="G842" i="1"/>
  <c r="R842" i="1" s="1"/>
  <c r="H842" i="1"/>
  <c r="I842" i="1"/>
  <c r="J842" i="1"/>
  <c r="K842" i="1"/>
  <c r="L842" i="1"/>
  <c r="B843" i="1"/>
  <c r="C843" i="1"/>
  <c r="D843" i="1"/>
  <c r="E843" i="1"/>
  <c r="F843" i="1"/>
  <c r="G843" i="1"/>
  <c r="R843" i="1" s="1"/>
  <c r="H843" i="1"/>
  <c r="I843" i="1"/>
  <c r="J843" i="1"/>
  <c r="K843" i="1"/>
  <c r="L843" i="1"/>
  <c r="B844" i="1"/>
  <c r="C844" i="1"/>
  <c r="D844" i="1"/>
  <c r="E844" i="1"/>
  <c r="F844" i="1"/>
  <c r="G844" i="1"/>
  <c r="R844" i="1" s="1"/>
  <c r="H844" i="1"/>
  <c r="I844" i="1"/>
  <c r="J844" i="1"/>
  <c r="K844" i="1"/>
  <c r="L844" i="1"/>
  <c r="B845" i="1"/>
  <c r="C845" i="1"/>
  <c r="D845" i="1"/>
  <c r="E845" i="1"/>
  <c r="F845" i="1"/>
  <c r="G845" i="1"/>
  <c r="R845" i="1" s="1"/>
  <c r="H845" i="1"/>
  <c r="I845" i="1"/>
  <c r="J845" i="1"/>
  <c r="K845" i="1"/>
  <c r="L845" i="1"/>
  <c r="B846" i="1"/>
  <c r="C846" i="1"/>
  <c r="D846" i="1"/>
  <c r="E846" i="1"/>
  <c r="F846" i="1"/>
  <c r="G846" i="1"/>
  <c r="R846" i="1" s="1"/>
  <c r="H846" i="1"/>
  <c r="I846" i="1"/>
  <c r="J846" i="1"/>
  <c r="K846" i="1"/>
  <c r="L846" i="1"/>
  <c r="B847" i="1"/>
  <c r="C847" i="1"/>
  <c r="D847" i="1"/>
  <c r="E847" i="1"/>
  <c r="F847" i="1"/>
  <c r="G847" i="1"/>
  <c r="R847" i="1" s="1"/>
  <c r="H847" i="1"/>
  <c r="I847" i="1"/>
  <c r="J847" i="1"/>
  <c r="K847" i="1"/>
  <c r="L847" i="1"/>
  <c r="B848" i="1"/>
  <c r="C848" i="1"/>
  <c r="D848" i="1"/>
  <c r="E848" i="1"/>
  <c r="F848" i="1"/>
  <c r="G848" i="1"/>
  <c r="R848" i="1" s="1"/>
  <c r="H848" i="1"/>
  <c r="I848" i="1"/>
  <c r="J848" i="1"/>
  <c r="K848" i="1"/>
  <c r="L848" i="1"/>
  <c r="B849" i="1"/>
  <c r="C849" i="1"/>
  <c r="D849" i="1"/>
  <c r="E849" i="1"/>
  <c r="F849" i="1"/>
  <c r="G849" i="1"/>
  <c r="R849" i="1" s="1"/>
  <c r="H849" i="1"/>
  <c r="I849" i="1"/>
  <c r="J849" i="1"/>
  <c r="K849" i="1"/>
  <c r="L849" i="1"/>
  <c r="B850" i="1"/>
  <c r="C850" i="1"/>
  <c r="D850" i="1"/>
  <c r="E850" i="1"/>
  <c r="F850" i="1"/>
  <c r="G850" i="1"/>
  <c r="R850" i="1" s="1"/>
  <c r="H850" i="1"/>
  <c r="I850" i="1"/>
  <c r="J850" i="1"/>
  <c r="K850" i="1"/>
  <c r="L850" i="1"/>
  <c r="B851" i="1"/>
  <c r="C851" i="1"/>
  <c r="D851" i="1"/>
  <c r="E851" i="1"/>
  <c r="F851" i="1"/>
  <c r="G851" i="1"/>
  <c r="R851" i="1" s="1"/>
  <c r="H851" i="1"/>
  <c r="I851" i="1"/>
  <c r="J851" i="1"/>
  <c r="K851" i="1"/>
  <c r="L851" i="1"/>
  <c r="B852" i="1"/>
  <c r="C852" i="1"/>
  <c r="D852" i="1"/>
  <c r="E852" i="1"/>
  <c r="F852" i="1"/>
  <c r="G852" i="1"/>
  <c r="R852" i="1" s="1"/>
  <c r="H852" i="1"/>
  <c r="I852" i="1"/>
  <c r="J852" i="1"/>
  <c r="K852" i="1"/>
  <c r="L852" i="1"/>
  <c r="B853" i="1"/>
  <c r="C853" i="1"/>
  <c r="D853" i="1"/>
  <c r="E853" i="1"/>
  <c r="F853" i="1"/>
  <c r="G853" i="1"/>
  <c r="R853" i="1" s="1"/>
  <c r="H853" i="1"/>
  <c r="I853" i="1"/>
  <c r="J853" i="1"/>
  <c r="K853" i="1"/>
  <c r="L853" i="1"/>
  <c r="B854" i="1"/>
  <c r="C854" i="1"/>
  <c r="D854" i="1"/>
  <c r="E854" i="1"/>
  <c r="F854" i="1"/>
  <c r="G854" i="1"/>
  <c r="R854" i="1" s="1"/>
  <c r="H854" i="1"/>
  <c r="I854" i="1"/>
  <c r="J854" i="1"/>
  <c r="K854" i="1"/>
  <c r="L854" i="1"/>
  <c r="B855" i="1"/>
  <c r="N855" i="1" s="1"/>
  <c r="C855" i="1"/>
  <c r="D855" i="1"/>
  <c r="E855" i="1"/>
  <c r="F855" i="1"/>
  <c r="G855" i="1"/>
  <c r="R855" i="1" s="1"/>
  <c r="H855" i="1"/>
  <c r="I855" i="1"/>
  <c r="J855" i="1"/>
  <c r="K855" i="1"/>
  <c r="L855" i="1"/>
  <c r="B856" i="1"/>
  <c r="C856" i="1"/>
  <c r="D856" i="1"/>
  <c r="E856" i="1"/>
  <c r="F856" i="1"/>
  <c r="G856" i="1"/>
  <c r="R856" i="1" s="1"/>
  <c r="H856" i="1"/>
  <c r="I856" i="1"/>
  <c r="J856" i="1"/>
  <c r="K856" i="1"/>
  <c r="L856" i="1"/>
  <c r="B857" i="1"/>
  <c r="C857" i="1"/>
  <c r="D857" i="1"/>
  <c r="E857" i="1"/>
  <c r="F857" i="1"/>
  <c r="G857" i="1"/>
  <c r="R857" i="1" s="1"/>
  <c r="H857" i="1"/>
  <c r="I857" i="1"/>
  <c r="J857" i="1"/>
  <c r="K857" i="1"/>
  <c r="L857" i="1"/>
  <c r="B858" i="1"/>
  <c r="N858" i="1" s="1"/>
  <c r="C858" i="1"/>
  <c r="D858" i="1"/>
  <c r="E858" i="1"/>
  <c r="F858" i="1"/>
  <c r="G858" i="1"/>
  <c r="R858" i="1" s="1"/>
  <c r="H858" i="1"/>
  <c r="I858" i="1"/>
  <c r="J858" i="1"/>
  <c r="K858" i="1"/>
  <c r="L858" i="1"/>
  <c r="B859" i="1"/>
  <c r="C859" i="1"/>
  <c r="D859" i="1"/>
  <c r="E859" i="1"/>
  <c r="F859" i="1"/>
  <c r="G859" i="1"/>
  <c r="R859" i="1" s="1"/>
  <c r="H859" i="1"/>
  <c r="I859" i="1"/>
  <c r="J859" i="1"/>
  <c r="K859" i="1"/>
  <c r="L859" i="1"/>
  <c r="B860" i="1"/>
  <c r="C860" i="1"/>
  <c r="D860" i="1"/>
  <c r="E860" i="1"/>
  <c r="F860" i="1"/>
  <c r="G860" i="1"/>
  <c r="R860" i="1" s="1"/>
  <c r="H860" i="1"/>
  <c r="I860" i="1"/>
  <c r="J860" i="1"/>
  <c r="K860" i="1"/>
  <c r="L860" i="1"/>
  <c r="B861" i="1"/>
  <c r="C861" i="1"/>
  <c r="D861" i="1"/>
  <c r="E861" i="1"/>
  <c r="F861" i="1"/>
  <c r="G861" i="1"/>
  <c r="R861" i="1" s="1"/>
  <c r="H861" i="1"/>
  <c r="I861" i="1"/>
  <c r="J861" i="1"/>
  <c r="K861" i="1"/>
  <c r="L861" i="1"/>
  <c r="B862" i="1"/>
  <c r="C862" i="1"/>
  <c r="D862" i="1"/>
  <c r="E862" i="1"/>
  <c r="F862" i="1"/>
  <c r="G862" i="1"/>
  <c r="R862" i="1" s="1"/>
  <c r="H862" i="1"/>
  <c r="I862" i="1"/>
  <c r="J862" i="1"/>
  <c r="K862" i="1"/>
  <c r="L862" i="1"/>
  <c r="B863" i="1"/>
  <c r="C863" i="1"/>
  <c r="D863" i="1"/>
  <c r="E863" i="1"/>
  <c r="F863" i="1"/>
  <c r="G863" i="1"/>
  <c r="R863" i="1" s="1"/>
  <c r="H863" i="1"/>
  <c r="I863" i="1"/>
  <c r="J863" i="1"/>
  <c r="K863" i="1"/>
  <c r="L863" i="1"/>
  <c r="B864" i="1"/>
  <c r="N864" i="1" s="1"/>
  <c r="C864" i="1"/>
  <c r="D864" i="1"/>
  <c r="E864" i="1"/>
  <c r="F864" i="1"/>
  <c r="G864" i="1"/>
  <c r="R864" i="1" s="1"/>
  <c r="H864" i="1"/>
  <c r="I864" i="1"/>
  <c r="J864" i="1"/>
  <c r="K864" i="1"/>
  <c r="L864" i="1"/>
  <c r="B865" i="1"/>
  <c r="C865" i="1"/>
  <c r="D865" i="1"/>
  <c r="E865" i="1"/>
  <c r="F865" i="1"/>
  <c r="G865" i="1"/>
  <c r="R865" i="1" s="1"/>
  <c r="H865" i="1"/>
  <c r="I865" i="1"/>
  <c r="J865" i="1"/>
  <c r="K865" i="1"/>
  <c r="L865" i="1"/>
  <c r="B866" i="1"/>
  <c r="C866" i="1"/>
  <c r="D866" i="1"/>
  <c r="E866" i="1"/>
  <c r="F866" i="1"/>
  <c r="G866" i="1"/>
  <c r="R866" i="1" s="1"/>
  <c r="H866" i="1"/>
  <c r="I866" i="1"/>
  <c r="J866" i="1"/>
  <c r="K866" i="1"/>
  <c r="L866" i="1"/>
  <c r="B867" i="1"/>
  <c r="N867" i="1" s="1"/>
  <c r="C867" i="1"/>
  <c r="D867" i="1"/>
  <c r="E867" i="1"/>
  <c r="F867" i="1"/>
  <c r="G867" i="1"/>
  <c r="R867" i="1" s="1"/>
  <c r="H867" i="1"/>
  <c r="I867" i="1"/>
  <c r="J867" i="1"/>
  <c r="K867" i="1"/>
  <c r="L867" i="1"/>
  <c r="B868" i="1"/>
  <c r="C868" i="1"/>
  <c r="D868" i="1"/>
  <c r="E868" i="1"/>
  <c r="F868" i="1"/>
  <c r="G868" i="1"/>
  <c r="R868" i="1" s="1"/>
  <c r="H868" i="1"/>
  <c r="I868" i="1"/>
  <c r="J868" i="1"/>
  <c r="K868" i="1"/>
  <c r="L868" i="1"/>
  <c r="B869" i="1"/>
  <c r="C869" i="1"/>
  <c r="D869" i="1"/>
  <c r="E869" i="1"/>
  <c r="F869" i="1"/>
  <c r="G869" i="1"/>
  <c r="R869" i="1" s="1"/>
  <c r="H869" i="1"/>
  <c r="I869" i="1"/>
  <c r="J869" i="1"/>
  <c r="K869" i="1"/>
  <c r="L869" i="1"/>
  <c r="B870" i="1"/>
  <c r="C870" i="1"/>
  <c r="D870" i="1"/>
  <c r="E870" i="1"/>
  <c r="F870" i="1"/>
  <c r="G870" i="1"/>
  <c r="R870" i="1" s="1"/>
  <c r="H870" i="1"/>
  <c r="I870" i="1"/>
  <c r="J870" i="1"/>
  <c r="K870" i="1"/>
  <c r="L870" i="1"/>
  <c r="B871" i="1"/>
  <c r="C871" i="1"/>
  <c r="D871" i="1"/>
  <c r="E871" i="1"/>
  <c r="F871" i="1"/>
  <c r="G871" i="1"/>
  <c r="R871" i="1" s="1"/>
  <c r="H871" i="1"/>
  <c r="I871" i="1"/>
  <c r="J871" i="1"/>
  <c r="K871" i="1"/>
  <c r="L871" i="1"/>
  <c r="B872" i="1"/>
  <c r="C872" i="1"/>
  <c r="D872" i="1"/>
  <c r="E872" i="1"/>
  <c r="F872" i="1"/>
  <c r="G872" i="1"/>
  <c r="R872" i="1" s="1"/>
  <c r="H872" i="1"/>
  <c r="I872" i="1"/>
  <c r="J872" i="1"/>
  <c r="K872" i="1"/>
  <c r="L872" i="1"/>
  <c r="B873" i="1"/>
  <c r="N873" i="1" s="1"/>
  <c r="C873" i="1"/>
  <c r="D873" i="1"/>
  <c r="E873" i="1"/>
  <c r="F873" i="1"/>
  <c r="G873" i="1"/>
  <c r="R873" i="1" s="1"/>
  <c r="H873" i="1"/>
  <c r="I873" i="1"/>
  <c r="J873" i="1"/>
  <c r="K873" i="1"/>
  <c r="L873" i="1"/>
  <c r="B874" i="1"/>
  <c r="C874" i="1"/>
  <c r="D874" i="1"/>
  <c r="E874" i="1"/>
  <c r="F874" i="1"/>
  <c r="G874" i="1"/>
  <c r="R874" i="1" s="1"/>
  <c r="H874" i="1"/>
  <c r="I874" i="1"/>
  <c r="J874" i="1"/>
  <c r="K874" i="1"/>
  <c r="L874" i="1"/>
  <c r="B875" i="1"/>
  <c r="C875" i="1"/>
  <c r="D875" i="1"/>
  <c r="E875" i="1"/>
  <c r="F875" i="1"/>
  <c r="G875" i="1"/>
  <c r="R875" i="1" s="1"/>
  <c r="H875" i="1"/>
  <c r="I875" i="1"/>
  <c r="J875" i="1"/>
  <c r="K875" i="1"/>
  <c r="L875" i="1"/>
  <c r="B876" i="1"/>
  <c r="N876" i="1" s="1"/>
  <c r="C876" i="1"/>
  <c r="D876" i="1"/>
  <c r="E876" i="1"/>
  <c r="F876" i="1"/>
  <c r="G876" i="1"/>
  <c r="R876" i="1" s="1"/>
  <c r="H876" i="1"/>
  <c r="I876" i="1"/>
  <c r="J876" i="1"/>
  <c r="K876" i="1"/>
  <c r="L876" i="1"/>
  <c r="B877" i="1"/>
  <c r="C877" i="1"/>
  <c r="D877" i="1"/>
  <c r="E877" i="1"/>
  <c r="F877" i="1"/>
  <c r="G877" i="1"/>
  <c r="R877" i="1" s="1"/>
  <c r="H877" i="1"/>
  <c r="I877" i="1"/>
  <c r="J877" i="1"/>
  <c r="K877" i="1"/>
  <c r="L877" i="1"/>
  <c r="B878" i="1"/>
  <c r="C878" i="1"/>
  <c r="D878" i="1"/>
  <c r="E878" i="1"/>
  <c r="F878" i="1"/>
  <c r="G878" i="1"/>
  <c r="R878" i="1" s="1"/>
  <c r="H878" i="1"/>
  <c r="I878" i="1"/>
  <c r="J878" i="1"/>
  <c r="K878" i="1"/>
  <c r="L878" i="1"/>
  <c r="B879" i="1"/>
  <c r="C879" i="1"/>
  <c r="D879" i="1"/>
  <c r="E879" i="1"/>
  <c r="F879" i="1"/>
  <c r="G879" i="1"/>
  <c r="R879" i="1" s="1"/>
  <c r="H879" i="1"/>
  <c r="I879" i="1"/>
  <c r="J879" i="1"/>
  <c r="K879" i="1"/>
  <c r="L879" i="1"/>
  <c r="B880" i="1"/>
  <c r="C880" i="1"/>
  <c r="D880" i="1"/>
  <c r="E880" i="1"/>
  <c r="F880" i="1"/>
  <c r="G880" i="1"/>
  <c r="R880" i="1" s="1"/>
  <c r="H880" i="1"/>
  <c r="I880" i="1"/>
  <c r="J880" i="1"/>
  <c r="K880" i="1"/>
  <c r="L880" i="1"/>
  <c r="B881" i="1"/>
  <c r="C881" i="1"/>
  <c r="D881" i="1"/>
  <c r="E881" i="1"/>
  <c r="F881" i="1"/>
  <c r="G881" i="1"/>
  <c r="R881" i="1" s="1"/>
  <c r="H881" i="1"/>
  <c r="I881" i="1"/>
  <c r="J881" i="1"/>
  <c r="K881" i="1"/>
  <c r="L881" i="1"/>
  <c r="B882" i="1"/>
  <c r="N882" i="1" s="1"/>
  <c r="C882" i="1"/>
  <c r="D882" i="1"/>
  <c r="E882" i="1"/>
  <c r="F882" i="1"/>
  <c r="G882" i="1"/>
  <c r="R882" i="1" s="1"/>
  <c r="H882" i="1"/>
  <c r="I882" i="1"/>
  <c r="J882" i="1"/>
  <c r="K882" i="1"/>
  <c r="L882" i="1"/>
  <c r="B883" i="1"/>
  <c r="C883" i="1"/>
  <c r="D883" i="1"/>
  <c r="E883" i="1"/>
  <c r="F883" i="1"/>
  <c r="G883" i="1"/>
  <c r="R883" i="1" s="1"/>
  <c r="H883" i="1"/>
  <c r="I883" i="1"/>
  <c r="J883" i="1"/>
  <c r="K883" i="1"/>
  <c r="L883" i="1"/>
  <c r="B884" i="1"/>
  <c r="C884" i="1"/>
  <c r="D884" i="1"/>
  <c r="E884" i="1"/>
  <c r="F884" i="1"/>
  <c r="G884" i="1"/>
  <c r="R884" i="1" s="1"/>
  <c r="H884" i="1"/>
  <c r="I884" i="1"/>
  <c r="J884" i="1"/>
  <c r="K884" i="1"/>
  <c r="L884" i="1"/>
  <c r="B885" i="1"/>
  <c r="N885" i="1" s="1"/>
  <c r="C885" i="1"/>
  <c r="D885" i="1"/>
  <c r="E885" i="1"/>
  <c r="F885" i="1"/>
  <c r="G885" i="1"/>
  <c r="R885" i="1" s="1"/>
  <c r="H885" i="1"/>
  <c r="I885" i="1"/>
  <c r="J885" i="1"/>
  <c r="K885" i="1"/>
  <c r="L885" i="1"/>
  <c r="B886" i="1"/>
  <c r="C886" i="1"/>
  <c r="D886" i="1"/>
  <c r="E886" i="1"/>
  <c r="F886" i="1"/>
  <c r="G886" i="1"/>
  <c r="R886" i="1" s="1"/>
  <c r="H886" i="1"/>
  <c r="I886" i="1"/>
  <c r="J886" i="1"/>
  <c r="K886" i="1"/>
  <c r="L886" i="1"/>
  <c r="B887" i="1"/>
  <c r="C887" i="1"/>
  <c r="D887" i="1"/>
  <c r="E887" i="1"/>
  <c r="F887" i="1"/>
  <c r="G887" i="1"/>
  <c r="R887" i="1" s="1"/>
  <c r="H887" i="1"/>
  <c r="I887" i="1"/>
  <c r="J887" i="1"/>
  <c r="K887" i="1"/>
  <c r="L887" i="1"/>
  <c r="B888" i="1"/>
  <c r="C888" i="1"/>
  <c r="D888" i="1"/>
  <c r="E888" i="1"/>
  <c r="F888" i="1"/>
  <c r="G888" i="1"/>
  <c r="R888" i="1" s="1"/>
  <c r="H888" i="1"/>
  <c r="I888" i="1"/>
  <c r="J888" i="1"/>
  <c r="K888" i="1"/>
  <c r="L888" i="1"/>
  <c r="B889" i="1"/>
  <c r="C889" i="1"/>
  <c r="D889" i="1"/>
  <c r="E889" i="1"/>
  <c r="F889" i="1"/>
  <c r="G889" i="1"/>
  <c r="R889" i="1" s="1"/>
  <c r="H889" i="1"/>
  <c r="I889" i="1"/>
  <c r="J889" i="1"/>
  <c r="K889" i="1"/>
  <c r="L889" i="1"/>
  <c r="B890" i="1"/>
  <c r="C890" i="1"/>
  <c r="D890" i="1"/>
  <c r="E890" i="1"/>
  <c r="F890" i="1"/>
  <c r="G890" i="1"/>
  <c r="R890" i="1" s="1"/>
  <c r="H890" i="1"/>
  <c r="I890" i="1"/>
  <c r="J890" i="1"/>
  <c r="K890" i="1"/>
  <c r="L890" i="1"/>
  <c r="B891" i="1"/>
  <c r="N891" i="1" s="1"/>
  <c r="C891" i="1"/>
  <c r="D891" i="1"/>
  <c r="E891" i="1"/>
  <c r="F891" i="1"/>
  <c r="G891" i="1"/>
  <c r="R891" i="1" s="1"/>
  <c r="H891" i="1"/>
  <c r="I891" i="1"/>
  <c r="J891" i="1"/>
  <c r="K891" i="1"/>
  <c r="L891" i="1"/>
  <c r="B892" i="1"/>
  <c r="C892" i="1"/>
  <c r="D892" i="1"/>
  <c r="E892" i="1"/>
  <c r="F892" i="1"/>
  <c r="G892" i="1"/>
  <c r="R892" i="1" s="1"/>
  <c r="H892" i="1"/>
  <c r="I892" i="1"/>
  <c r="J892" i="1"/>
  <c r="K892" i="1"/>
  <c r="L892" i="1"/>
  <c r="B893" i="1"/>
  <c r="C893" i="1"/>
  <c r="D893" i="1"/>
  <c r="E893" i="1"/>
  <c r="F893" i="1"/>
  <c r="G893" i="1"/>
  <c r="R893" i="1" s="1"/>
  <c r="H893" i="1"/>
  <c r="I893" i="1"/>
  <c r="J893" i="1"/>
  <c r="K893" i="1"/>
  <c r="L893" i="1"/>
  <c r="B894" i="1"/>
  <c r="N894" i="1" s="1"/>
  <c r="O894" i="1" s="1"/>
  <c r="P894" i="1" s="1"/>
  <c r="C894" i="1"/>
  <c r="D894" i="1"/>
  <c r="E894" i="1"/>
  <c r="F894" i="1"/>
  <c r="G894" i="1"/>
  <c r="R894" i="1" s="1"/>
  <c r="H894" i="1"/>
  <c r="I894" i="1"/>
  <c r="J894" i="1"/>
  <c r="K894" i="1"/>
  <c r="L894" i="1"/>
  <c r="B895" i="1"/>
  <c r="C895" i="1"/>
  <c r="D895" i="1"/>
  <c r="E895" i="1"/>
  <c r="F895" i="1"/>
  <c r="G895" i="1"/>
  <c r="R895" i="1" s="1"/>
  <c r="H895" i="1"/>
  <c r="I895" i="1"/>
  <c r="J895" i="1"/>
  <c r="K895" i="1"/>
  <c r="L895" i="1"/>
  <c r="B896" i="1"/>
  <c r="C896" i="1"/>
  <c r="D896" i="1"/>
  <c r="E896" i="1"/>
  <c r="F896" i="1"/>
  <c r="G896" i="1"/>
  <c r="R896" i="1" s="1"/>
  <c r="H896" i="1"/>
  <c r="I896" i="1"/>
  <c r="J896" i="1"/>
  <c r="K896" i="1"/>
  <c r="L896" i="1"/>
  <c r="B897" i="1"/>
  <c r="C897" i="1"/>
  <c r="D897" i="1"/>
  <c r="E897" i="1"/>
  <c r="F897" i="1"/>
  <c r="G897" i="1"/>
  <c r="R897" i="1" s="1"/>
  <c r="H897" i="1"/>
  <c r="I897" i="1"/>
  <c r="J897" i="1"/>
  <c r="K897" i="1"/>
  <c r="L897" i="1"/>
  <c r="B898" i="1"/>
  <c r="C898" i="1"/>
  <c r="D898" i="1"/>
  <c r="E898" i="1"/>
  <c r="F898" i="1"/>
  <c r="G898" i="1"/>
  <c r="R898" i="1" s="1"/>
  <c r="H898" i="1"/>
  <c r="I898" i="1"/>
  <c r="J898" i="1"/>
  <c r="K898" i="1"/>
  <c r="L898" i="1"/>
  <c r="B899" i="1"/>
  <c r="C899" i="1"/>
  <c r="D899" i="1"/>
  <c r="E899" i="1"/>
  <c r="F899" i="1"/>
  <c r="G899" i="1"/>
  <c r="R899" i="1" s="1"/>
  <c r="H899" i="1"/>
  <c r="I899" i="1"/>
  <c r="J899" i="1"/>
  <c r="K899" i="1"/>
  <c r="L899" i="1"/>
  <c r="B900" i="1"/>
  <c r="N900" i="1" s="1"/>
  <c r="O900" i="1" s="1"/>
  <c r="P900" i="1" s="1"/>
  <c r="C900" i="1"/>
  <c r="D900" i="1"/>
  <c r="E900" i="1"/>
  <c r="F900" i="1"/>
  <c r="G900" i="1"/>
  <c r="R900" i="1" s="1"/>
  <c r="H900" i="1"/>
  <c r="I900" i="1"/>
  <c r="J900" i="1"/>
  <c r="K900" i="1"/>
  <c r="L900" i="1"/>
  <c r="B901" i="1"/>
  <c r="C901" i="1"/>
  <c r="D901" i="1"/>
  <c r="E901" i="1"/>
  <c r="F901" i="1"/>
  <c r="G901" i="1"/>
  <c r="R901" i="1" s="1"/>
  <c r="H901" i="1"/>
  <c r="I901" i="1"/>
  <c r="J901" i="1"/>
  <c r="K901" i="1"/>
  <c r="L901" i="1"/>
  <c r="B902" i="1"/>
  <c r="C902" i="1"/>
  <c r="D902" i="1"/>
  <c r="E902" i="1"/>
  <c r="F902" i="1"/>
  <c r="G902" i="1"/>
  <c r="R902" i="1" s="1"/>
  <c r="H902" i="1"/>
  <c r="I902" i="1"/>
  <c r="J902" i="1"/>
  <c r="K902" i="1"/>
  <c r="L902" i="1"/>
  <c r="B903" i="1"/>
  <c r="N903" i="1" s="1"/>
  <c r="C903" i="1"/>
  <c r="D903" i="1"/>
  <c r="E903" i="1"/>
  <c r="F903" i="1"/>
  <c r="G903" i="1"/>
  <c r="R903" i="1" s="1"/>
  <c r="H903" i="1"/>
  <c r="I903" i="1"/>
  <c r="J903" i="1"/>
  <c r="K903" i="1"/>
  <c r="L903" i="1"/>
  <c r="B904" i="1"/>
  <c r="C904" i="1"/>
  <c r="D904" i="1"/>
  <c r="E904" i="1"/>
  <c r="F904" i="1"/>
  <c r="G904" i="1"/>
  <c r="R904" i="1" s="1"/>
  <c r="H904" i="1"/>
  <c r="I904" i="1"/>
  <c r="J904" i="1"/>
  <c r="K904" i="1"/>
  <c r="L904" i="1"/>
  <c r="B905" i="1"/>
  <c r="C905" i="1"/>
  <c r="D905" i="1"/>
  <c r="E905" i="1"/>
  <c r="F905" i="1"/>
  <c r="G905" i="1"/>
  <c r="R905" i="1" s="1"/>
  <c r="H905" i="1"/>
  <c r="I905" i="1"/>
  <c r="J905" i="1"/>
  <c r="K905" i="1"/>
  <c r="L905" i="1"/>
  <c r="B906" i="1"/>
  <c r="C906" i="1"/>
  <c r="D906" i="1"/>
  <c r="E906" i="1"/>
  <c r="F906" i="1"/>
  <c r="G906" i="1"/>
  <c r="R906" i="1" s="1"/>
  <c r="H906" i="1"/>
  <c r="I906" i="1"/>
  <c r="J906" i="1"/>
  <c r="K906" i="1"/>
  <c r="L906" i="1"/>
  <c r="B907" i="1"/>
  <c r="C907" i="1"/>
  <c r="D907" i="1"/>
  <c r="E907" i="1"/>
  <c r="F907" i="1"/>
  <c r="G907" i="1"/>
  <c r="R907" i="1" s="1"/>
  <c r="H907" i="1"/>
  <c r="I907" i="1"/>
  <c r="J907" i="1"/>
  <c r="K907" i="1"/>
  <c r="L907" i="1"/>
  <c r="B908" i="1"/>
  <c r="C908" i="1"/>
  <c r="D908" i="1"/>
  <c r="E908" i="1"/>
  <c r="F908" i="1"/>
  <c r="G908" i="1"/>
  <c r="R908" i="1" s="1"/>
  <c r="H908" i="1"/>
  <c r="I908" i="1"/>
  <c r="J908" i="1"/>
  <c r="K908" i="1"/>
  <c r="L908" i="1"/>
  <c r="B909" i="1"/>
  <c r="N909" i="1" s="1"/>
  <c r="C909" i="1"/>
  <c r="D909" i="1"/>
  <c r="E909" i="1"/>
  <c r="F909" i="1"/>
  <c r="G909" i="1"/>
  <c r="R909" i="1" s="1"/>
  <c r="H909" i="1"/>
  <c r="I909" i="1"/>
  <c r="J909" i="1"/>
  <c r="K909" i="1"/>
  <c r="L909" i="1"/>
  <c r="B910" i="1"/>
  <c r="C910" i="1"/>
  <c r="D910" i="1"/>
  <c r="E910" i="1"/>
  <c r="F910" i="1"/>
  <c r="G910" i="1"/>
  <c r="R910" i="1" s="1"/>
  <c r="H910" i="1"/>
  <c r="I910" i="1"/>
  <c r="J910" i="1"/>
  <c r="K910" i="1"/>
  <c r="L910" i="1"/>
  <c r="B911" i="1"/>
  <c r="C911" i="1"/>
  <c r="D911" i="1"/>
  <c r="E911" i="1"/>
  <c r="F911" i="1"/>
  <c r="G911" i="1"/>
  <c r="R911" i="1" s="1"/>
  <c r="H911" i="1"/>
  <c r="I911" i="1"/>
  <c r="J911" i="1"/>
  <c r="K911" i="1"/>
  <c r="L911" i="1"/>
  <c r="B912" i="1"/>
  <c r="N912" i="1" s="1"/>
  <c r="O912" i="1" s="1"/>
  <c r="P912" i="1" s="1"/>
  <c r="C912" i="1"/>
  <c r="D912" i="1"/>
  <c r="E912" i="1"/>
  <c r="F912" i="1"/>
  <c r="G912" i="1"/>
  <c r="R912" i="1" s="1"/>
  <c r="H912" i="1"/>
  <c r="I912" i="1"/>
  <c r="J912" i="1"/>
  <c r="K912" i="1"/>
  <c r="L912" i="1"/>
  <c r="B913" i="1"/>
  <c r="C913" i="1"/>
  <c r="D913" i="1"/>
  <c r="E913" i="1"/>
  <c r="F913" i="1"/>
  <c r="G913" i="1"/>
  <c r="R913" i="1" s="1"/>
  <c r="H913" i="1"/>
  <c r="I913" i="1"/>
  <c r="J913" i="1"/>
  <c r="K913" i="1"/>
  <c r="L913" i="1"/>
  <c r="B914" i="1"/>
  <c r="C914" i="1"/>
  <c r="D914" i="1"/>
  <c r="E914" i="1"/>
  <c r="F914" i="1"/>
  <c r="G914" i="1"/>
  <c r="R914" i="1" s="1"/>
  <c r="H914" i="1"/>
  <c r="I914" i="1"/>
  <c r="J914" i="1"/>
  <c r="K914" i="1"/>
  <c r="L914" i="1"/>
  <c r="B915" i="1"/>
  <c r="C915" i="1"/>
  <c r="D915" i="1"/>
  <c r="E915" i="1"/>
  <c r="F915" i="1"/>
  <c r="G915" i="1"/>
  <c r="R915" i="1" s="1"/>
  <c r="H915" i="1"/>
  <c r="I915" i="1"/>
  <c r="J915" i="1"/>
  <c r="K915" i="1"/>
  <c r="L915" i="1"/>
  <c r="B916" i="1"/>
  <c r="C916" i="1"/>
  <c r="D916" i="1"/>
  <c r="E916" i="1"/>
  <c r="F916" i="1"/>
  <c r="G916" i="1"/>
  <c r="R916" i="1" s="1"/>
  <c r="H916" i="1"/>
  <c r="I916" i="1"/>
  <c r="J916" i="1"/>
  <c r="K916" i="1"/>
  <c r="L916" i="1"/>
  <c r="B917" i="1"/>
  <c r="C917" i="1"/>
  <c r="D917" i="1"/>
  <c r="E917" i="1"/>
  <c r="F917" i="1"/>
  <c r="G917" i="1"/>
  <c r="R917" i="1" s="1"/>
  <c r="H917" i="1"/>
  <c r="I917" i="1"/>
  <c r="J917" i="1"/>
  <c r="K917" i="1"/>
  <c r="L917" i="1"/>
  <c r="B918" i="1"/>
  <c r="N918" i="1" s="1"/>
  <c r="O918" i="1" s="1"/>
  <c r="P918" i="1" s="1"/>
  <c r="C918" i="1"/>
  <c r="D918" i="1"/>
  <c r="E918" i="1"/>
  <c r="F918" i="1"/>
  <c r="G918" i="1"/>
  <c r="R918" i="1" s="1"/>
  <c r="H918" i="1"/>
  <c r="I918" i="1"/>
  <c r="J918" i="1"/>
  <c r="K918" i="1"/>
  <c r="L918" i="1"/>
  <c r="B919" i="1"/>
  <c r="C919" i="1"/>
  <c r="D919" i="1"/>
  <c r="E919" i="1"/>
  <c r="F919" i="1"/>
  <c r="G919" i="1"/>
  <c r="R919" i="1" s="1"/>
  <c r="H919" i="1"/>
  <c r="I919" i="1"/>
  <c r="J919" i="1"/>
  <c r="K919" i="1"/>
  <c r="L919" i="1"/>
  <c r="B920" i="1"/>
  <c r="C920" i="1"/>
  <c r="D920" i="1"/>
  <c r="E920" i="1"/>
  <c r="F920" i="1"/>
  <c r="G920" i="1"/>
  <c r="R920" i="1" s="1"/>
  <c r="H920" i="1"/>
  <c r="I920" i="1"/>
  <c r="J920" i="1"/>
  <c r="K920" i="1"/>
  <c r="L920" i="1"/>
  <c r="B921" i="1"/>
  <c r="N921" i="1" s="1"/>
  <c r="C921" i="1"/>
  <c r="D921" i="1"/>
  <c r="E921" i="1"/>
  <c r="F921" i="1"/>
  <c r="G921" i="1"/>
  <c r="R921" i="1" s="1"/>
  <c r="H921" i="1"/>
  <c r="I921" i="1"/>
  <c r="J921" i="1"/>
  <c r="K921" i="1"/>
  <c r="L921" i="1"/>
  <c r="B922" i="1"/>
  <c r="C922" i="1"/>
  <c r="D922" i="1"/>
  <c r="E922" i="1"/>
  <c r="F922" i="1"/>
  <c r="G922" i="1"/>
  <c r="R922" i="1" s="1"/>
  <c r="H922" i="1"/>
  <c r="I922" i="1"/>
  <c r="J922" i="1"/>
  <c r="K922" i="1"/>
  <c r="L922" i="1"/>
  <c r="B923" i="1"/>
  <c r="C923" i="1"/>
  <c r="D923" i="1"/>
  <c r="E923" i="1"/>
  <c r="F923" i="1"/>
  <c r="G923" i="1"/>
  <c r="R923" i="1" s="1"/>
  <c r="H923" i="1"/>
  <c r="I923" i="1"/>
  <c r="J923" i="1"/>
  <c r="K923" i="1"/>
  <c r="L923" i="1"/>
  <c r="B924" i="1"/>
  <c r="C924" i="1"/>
  <c r="D924" i="1"/>
  <c r="E924" i="1"/>
  <c r="F924" i="1"/>
  <c r="G924" i="1"/>
  <c r="R924" i="1" s="1"/>
  <c r="H924" i="1"/>
  <c r="I924" i="1"/>
  <c r="J924" i="1"/>
  <c r="K924" i="1"/>
  <c r="L924" i="1"/>
  <c r="B925" i="1"/>
  <c r="C925" i="1"/>
  <c r="D925" i="1"/>
  <c r="E925" i="1"/>
  <c r="F925" i="1"/>
  <c r="G925" i="1"/>
  <c r="R925" i="1" s="1"/>
  <c r="H925" i="1"/>
  <c r="I925" i="1"/>
  <c r="J925" i="1"/>
  <c r="K925" i="1"/>
  <c r="L925" i="1"/>
  <c r="B926" i="1"/>
  <c r="C926" i="1"/>
  <c r="D926" i="1"/>
  <c r="E926" i="1"/>
  <c r="F926" i="1"/>
  <c r="G926" i="1"/>
  <c r="R926" i="1" s="1"/>
  <c r="H926" i="1"/>
  <c r="I926" i="1"/>
  <c r="J926" i="1"/>
  <c r="K926" i="1"/>
  <c r="L926" i="1"/>
  <c r="B927" i="1"/>
  <c r="N927" i="1" s="1"/>
  <c r="C927" i="1"/>
  <c r="D927" i="1"/>
  <c r="E927" i="1"/>
  <c r="F927" i="1"/>
  <c r="G927" i="1"/>
  <c r="R927" i="1" s="1"/>
  <c r="H927" i="1"/>
  <c r="I927" i="1"/>
  <c r="J927" i="1"/>
  <c r="K927" i="1"/>
  <c r="L927" i="1"/>
  <c r="B928" i="1"/>
  <c r="C928" i="1"/>
  <c r="D928" i="1"/>
  <c r="E928" i="1"/>
  <c r="F928" i="1"/>
  <c r="G928" i="1"/>
  <c r="R928" i="1" s="1"/>
  <c r="H928" i="1"/>
  <c r="I928" i="1"/>
  <c r="J928" i="1"/>
  <c r="K928" i="1"/>
  <c r="L928" i="1"/>
  <c r="B929" i="1"/>
  <c r="C929" i="1"/>
  <c r="D929" i="1"/>
  <c r="E929" i="1"/>
  <c r="F929" i="1"/>
  <c r="G929" i="1"/>
  <c r="R929" i="1" s="1"/>
  <c r="H929" i="1"/>
  <c r="I929" i="1"/>
  <c r="J929" i="1"/>
  <c r="K929" i="1"/>
  <c r="L929" i="1"/>
  <c r="B930" i="1"/>
  <c r="N930" i="1" s="1"/>
  <c r="O930" i="1" s="1"/>
  <c r="P930" i="1" s="1"/>
  <c r="C930" i="1"/>
  <c r="D930" i="1"/>
  <c r="E930" i="1"/>
  <c r="F930" i="1"/>
  <c r="G930" i="1"/>
  <c r="R930" i="1" s="1"/>
  <c r="H930" i="1"/>
  <c r="I930" i="1"/>
  <c r="J930" i="1"/>
  <c r="K930" i="1"/>
  <c r="L930" i="1"/>
  <c r="B931" i="1"/>
  <c r="C931" i="1"/>
  <c r="D931" i="1"/>
  <c r="E931" i="1"/>
  <c r="F931" i="1"/>
  <c r="G931" i="1"/>
  <c r="R931" i="1" s="1"/>
  <c r="H931" i="1"/>
  <c r="I931" i="1"/>
  <c r="J931" i="1"/>
  <c r="K931" i="1"/>
  <c r="L931" i="1"/>
  <c r="B932" i="1"/>
  <c r="C932" i="1"/>
  <c r="D932" i="1"/>
  <c r="E932" i="1"/>
  <c r="F932" i="1"/>
  <c r="G932" i="1"/>
  <c r="R932" i="1" s="1"/>
  <c r="H932" i="1"/>
  <c r="I932" i="1"/>
  <c r="J932" i="1"/>
  <c r="K932" i="1"/>
  <c r="L932" i="1"/>
  <c r="B933" i="1"/>
  <c r="C933" i="1"/>
  <c r="D933" i="1"/>
  <c r="E933" i="1"/>
  <c r="F933" i="1"/>
  <c r="G933" i="1"/>
  <c r="R933" i="1" s="1"/>
  <c r="H933" i="1"/>
  <c r="I933" i="1"/>
  <c r="J933" i="1"/>
  <c r="K933" i="1"/>
  <c r="L933" i="1"/>
  <c r="B934" i="1"/>
  <c r="C934" i="1"/>
  <c r="D934" i="1"/>
  <c r="E934" i="1"/>
  <c r="F934" i="1"/>
  <c r="G934" i="1"/>
  <c r="R934" i="1" s="1"/>
  <c r="H934" i="1"/>
  <c r="I934" i="1"/>
  <c r="J934" i="1"/>
  <c r="K934" i="1"/>
  <c r="L934" i="1"/>
  <c r="B935" i="1"/>
  <c r="C935" i="1"/>
  <c r="D935" i="1"/>
  <c r="E935" i="1"/>
  <c r="F935" i="1"/>
  <c r="G935" i="1"/>
  <c r="R935" i="1" s="1"/>
  <c r="H935" i="1"/>
  <c r="I935" i="1"/>
  <c r="J935" i="1"/>
  <c r="K935" i="1"/>
  <c r="L935" i="1"/>
  <c r="B936" i="1"/>
  <c r="N936" i="1" s="1"/>
  <c r="O936" i="1" s="1"/>
  <c r="P936" i="1" s="1"/>
  <c r="C936" i="1"/>
  <c r="D936" i="1"/>
  <c r="E936" i="1"/>
  <c r="F936" i="1"/>
  <c r="G936" i="1"/>
  <c r="R936" i="1" s="1"/>
  <c r="H936" i="1"/>
  <c r="I936" i="1"/>
  <c r="J936" i="1"/>
  <c r="K936" i="1"/>
  <c r="L936" i="1"/>
  <c r="B937" i="1"/>
  <c r="C937" i="1"/>
  <c r="D937" i="1"/>
  <c r="E937" i="1"/>
  <c r="F937" i="1"/>
  <c r="G937" i="1"/>
  <c r="R937" i="1" s="1"/>
  <c r="H937" i="1"/>
  <c r="I937" i="1"/>
  <c r="J937" i="1"/>
  <c r="K937" i="1"/>
  <c r="L937" i="1"/>
  <c r="B938" i="1"/>
  <c r="C938" i="1"/>
  <c r="D938" i="1"/>
  <c r="E938" i="1"/>
  <c r="F938" i="1"/>
  <c r="G938" i="1"/>
  <c r="R938" i="1" s="1"/>
  <c r="H938" i="1"/>
  <c r="I938" i="1"/>
  <c r="J938" i="1"/>
  <c r="K938" i="1"/>
  <c r="L938" i="1"/>
  <c r="B939" i="1"/>
  <c r="N939" i="1" s="1"/>
  <c r="C939" i="1"/>
  <c r="D939" i="1"/>
  <c r="E939" i="1"/>
  <c r="F939" i="1"/>
  <c r="G939" i="1"/>
  <c r="R939" i="1" s="1"/>
  <c r="H939" i="1"/>
  <c r="I939" i="1"/>
  <c r="J939" i="1"/>
  <c r="K939" i="1"/>
  <c r="L939" i="1"/>
  <c r="B940" i="1"/>
  <c r="C940" i="1"/>
  <c r="D940" i="1"/>
  <c r="E940" i="1"/>
  <c r="F940" i="1"/>
  <c r="G940" i="1"/>
  <c r="R940" i="1" s="1"/>
  <c r="H940" i="1"/>
  <c r="I940" i="1"/>
  <c r="J940" i="1"/>
  <c r="K940" i="1"/>
  <c r="L940" i="1"/>
  <c r="B941" i="1"/>
  <c r="C941" i="1"/>
  <c r="D941" i="1"/>
  <c r="E941" i="1"/>
  <c r="F941" i="1"/>
  <c r="G941" i="1"/>
  <c r="R941" i="1" s="1"/>
  <c r="H941" i="1"/>
  <c r="I941" i="1"/>
  <c r="J941" i="1"/>
  <c r="K941" i="1"/>
  <c r="L941" i="1"/>
  <c r="B942" i="1"/>
  <c r="C942" i="1"/>
  <c r="D942" i="1"/>
  <c r="E942" i="1"/>
  <c r="F942" i="1"/>
  <c r="G942" i="1"/>
  <c r="R942" i="1" s="1"/>
  <c r="H942" i="1"/>
  <c r="I942" i="1"/>
  <c r="J942" i="1"/>
  <c r="K942" i="1"/>
  <c r="L942" i="1"/>
  <c r="B943" i="1"/>
  <c r="C943" i="1"/>
  <c r="D943" i="1"/>
  <c r="E943" i="1"/>
  <c r="F943" i="1"/>
  <c r="G943" i="1"/>
  <c r="R943" i="1" s="1"/>
  <c r="H943" i="1"/>
  <c r="I943" i="1"/>
  <c r="J943" i="1"/>
  <c r="K943" i="1"/>
  <c r="L943" i="1"/>
  <c r="B944" i="1"/>
  <c r="C944" i="1"/>
  <c r="D944" i="1"/>
  <c r="E944" i="1"/>
  <c r="F944" i="1"/>
  <c r="G944" i="1"/>
  <c r="R944" i="1" s="1"/>
  <c r="H944" i="1"/>
  <c r="I944" i="1"/>
  <c r="J944" i="1"/>
  <c r="K944" i="1"/>
  <c r="L944" i="1"/>
  <c r="B945" i="1"/>
  <c r="N945" i="1" s="1"/>
  <c r="C945" i="1"/>
  <c r="D945" i="1"/>
  <c r="E945" i="1"/>
  <c r="F945" i="1"/>
  <c r="G945" i="1"/>
  <c r="R945" i="1" s="1"/>
  <c r="H945" i="1"/>
  <c r="I945" i="1"/>
  <c r="J945" i="1"/>
  <c r="K945" i="1"/>
  <c r="L945" i="1"/>
  <c r="B946" i="1"/>
  <c r="C946" i="1"/>
  <c r="D946" i="1"/>
  <c r="E946" i="1"/>
  <c r="F946" i="1"/>
  <c r="G946" i="1"/>
  <c r="R946" i="1" s="1"/>
  <c r="H946" i="1"/>
  <c r="I946" i="1"/>
  <c r="J946" i="1"/>
  <c r="K946" i="1"/>
  <c r="L946" i="1"/>
  <c r="B947" i="1"/>
  <c r="C947" i="1"/>
  <c r="D947" i="1"/>
  <c r="E947" i="1"/>
  <c r="F947" i="1"/>
  <c r="G947" i="1"/>
  <c r="R947" i="1" s="1"/>
  <c r="H947" i="1"/>
  <c r="I947" i="1"/>
  <c r="J947" i="1"/>
  <c r="K947" i="1"/>
  <c r="L947" i="1"/>
  <c r="B948" i="1"/>
  <c r="N948" i="1" s="1"/>
  <c r="O948" i="1" s="1"/>
  <c r="P948" i="1" s="1"/>
  <c r="C948" i="1"/>
  <c r="D948" i="1"/>
  <c r="E948" i="1"/>
  <c r="F948" i="1"/>
  <c r="G948" i="1"/>
  <c r="R948" i="1" s="1"/>
  <c r="H948" i="1"/>
  <c r="I948" i="1"/>
  <c r="J948" i="1"/>
  <c r="K948" i="1"/>
  <c r="L948" i="1"/>
  <c r="B949" i="1"/>
  <c r="C949" i="1"/>
  <c r="D949" i="1"/>
  <c r="E949" i="1"/>
  <c r="F949" i="1"/>
  <c r="G949" i="1"/>
  <c r="R949" i="1" s="1"/>
  <c r="H949" i="1"/>
  <c r="I949" i="1"/>
  <c r="J949" i="1"/>
  <c r="K949" i="1"/>
  <c r="L949" i="1"/>
  <c r="B950" i="1"/>
  <c r="N950" i="1" s="1"/>
  <c r="O950" i="1" s="1"/>
  <c r="P950" i="1" s="1"/>
  <c r="Q950" i="1" s="1"/>
  <c r="C950" i="1"/>
  <c r="D950" i="1"/>
  <c r="E950" i="1"/>
  <c r="F950" i="1"/>
  <c r="G950" i="1"/>
  <c r="R950" i="1" s="1"/>
  <c r="H950" i="1"/>
  <c r="I950" i="1"/>
  <c r="J950" i="1"/>
  <c r="K950" i="1"/>
  <c r="L950" i="1"/>
  <c r="B951" i="1"/>
  <c r="C951" i="1"/>
  <c r="D951" i="1"/>
  <c r="E951" i="1"/>
  <c r="F951" i="1"/>
  <c r="G951" i="1"/>
  <c r="R951" i="1" s="1"/>
  <c r="H951" i="1"/>
  <c r="I951" i="1"/>
  <c r="J951" i="1"/>
  <c r="K951" i="1"/>
  <c r="L951" i="1"/>
  <c r="B952" i="1"/>
  <c r="C952" i="1"/>
  <c r="D952" i="1"/>
  <c r="E952" i="1"/>
  <c r="F952" i="1"/>
  <c r="G952" i="1"/>
  <c r="R952" i="1" s="1"/>
  <c r="H952" i="1"/>
  <c r="I952" i="1"/>
  <c r="J952" i="1"/>
  <c r="K952" i="1"/>
  <c r="L952" i="1"/>
  <c r="B953" i="1"/>
  <c r="C953" i="1"/>
  <c r="D953" i="1"/>
  <c r="E953" i="1"/>
  <c r="F953" i="1"/>
  <c r="G953" i="1"/>
  <c r="R953" i="1" s="1"/>
  <c r="H953" i="1"/>
  <c r="I953" i="1"/>
  <c r="J953" i="1"/>
  <c r="K953" i="1"/>
  <c r="L953" i="1"/>
  <c r="B954" i="1"/>
  <c r="N954" i="1" s="1"/>
  <c r="O954" i="1" s="1"/>
  <c r="P954" i="1" s="1"/>
  <c r="C954" i="1"/>
  <c r="D954" i="1"/>
  <c r="E954" i="1"/>
  <c r="F954" i="1"/>
  <c r="G954" i="1"/>
  <c r="R954" i="1" s="1"/>
  <c r="H954" i="1"/>
  <c r="I954" i="1"/>
  <c r="J954" i="1"/>
  <c r="K954" i="1"/>
  <c r="L954" i="1"/>
  <c r="B955" i="1"/>
  <c r="C955" i="1"/>
  <c r="D955" i="1"/>
  <c r="E955" i="1"/>
  <c r="F955" i="1"/>
  <c r="G955" i="1"/>
  <c r="R955" i="1" s="1"/>
  <c r="H955" i="1"/>
  <c r="I955" i="1"/>
  <c r="J955" i="1"/>
  <c r="K955" i="1"/>
  <c r="L955" i="1"/>
  <c r="B956" i="1"/>
  <c r="C956" i="1"/>
  <c r="D956" i="1"/>
  <c r="E956" i="1"/>
  <c r="F956" i="1"/>
  <c r="G956" i="1"/>
  <c r="R956" i="1" s="1"/>
  <c r="H956" i="1"/>
  <c r="I956" i="1"/>
  <c r="J956" i="1"/>
  <c r="K956" i="1"/>
  <c r="L956" i="1"/>
  <c r="B957" i="1"/>
  <c r="N957" i="1" s="1"/>
  <c r="C957" i="1"/>
  <c r="D957" i="1"/>
  <c r="E957" i="1"/>
  <c r="F957" i="1"/>
  <c r="G957" i="1"/>
  <c r="R957" i="1" s="1"/>
  <c r="H957" i="1"/>
  <c r="I957" i="1"/>
  <c r="J957" i="1"/>
  <c r="K957" i="1"/>
  <c r="L957" i="1"/>
  <c r="B958" i="1"/>
  <c r="C958" i="1"/>
  <c r="D958" i="1"/>
  <c r="E958" i="1"/>
  <c r="F958" i="1"/>
  <c r="G958" i="1"/>
  <c r="R958" i="1" s="1"/>
  <c r="H958" i="1"/>
  <c r="I958" i="1"/>
  <c r="J958" i="1"/>
  <c r="K958" i="1"/>
  <c r="L958" i="1"/>
  <c r="B959" i="1"/>
  <c r="N959" i="1" s="1"/>
  <c r="O959" i="1" s="1"/>
  <c r="P959" i="1" s="1"/>
  <c r="C959" i="1"/>
  <c r="D959" i="1"/>
  <c r="E959" i="1"/>
  <c r="F959" i="1"/>
  <c r="G959" i="1"/>
  <c r="R959" i="1" s="1"/>
  <c r="H959" i="1"/>
  <c r="I959" i="1"/>
  <c r="J959" i="1"/>
  <c r="K959" i="1"/>
  <c r="L959" i="1"/>
  <c r="B960" i="1"/>
  <c r="C960" i="1"/>
  <c r="D960" i="1"/>
  <c r="E960" i="1"/>
  <c r="F960" i="1"/>
  <c r="G960" i="1"/>
  <c r="R960" i="1" s="1"/>
  <c r="H960" i="1"/>
  <c r="I960" i="1"/>
  <c r="J960" i="1"/>
  <c r="K960" i="1"/>
  <c r="L960" i="1"/>
  <c r="B961" i="1"/>
  <c r="C961" i="1"/>
  <c r="D961" i="1"/>
  <c r="E961" i="1"/>
  <c r="F961" i="1"/>
  <c r="G961" i="1"/>
  <c r="R961" i="1" s="1"/>
  <c r="H961" i="1"/>
  <c r="I961" i="1"/>
  <c r="J961" i="1"/>
  <c r="K961" i="1"/>
  <c r="L961" i="1"/>
  <c r="B962" i="1"/>
  <c r="C962" i="1"/>
  <c r="D962" i="1"/>
  <c r="E962" i="1"/>
  <c r="F962" i="1"/>
  <c r="G962" i="1"/>
  <c r="R962" i="1" s="1"/>
  <c r="H962" i="1"/>
  <c r="I962" i="1"/>
  <c r="J962" i="1"/>
  <c r="K962" i="1"/>
  <c r="L962" i="1"/>
  <c r="B963" i="1"/>
  <c r="N963" i="1" s="1"/>
  <c r="C963" i="1"/>
  <c r="D963" i="1"/>
  <c r="E963" i="1"/>
  <c r="F963" i="1"/>
  <c r="G963" i="1"/>
  <c r="R963" i="1" s="1"/>
  <c r="H963" i="1"/>
  <c r="I963" i="1"/>
  <c r="J963" i="1"/>
  <c r="K963" i="1"/>
  <c r="L963" i="1"/>
  <c r="B964" i="1"/>
  <c r="C964" i="1"/>
  <c r="D964" i="1"/>
  <c r="E964" i="1"/>
  <c r="F964" i="1"/>
  <c r="G964" i="1"/>
  <c r="R964" i="1" s="1"/>
  <c r="H964" i="1"/>
  <c r="I964" i="1"/>
  <c r="J964" i="1"/>
  <c r="K964" i="1"/>
  <c r="L964" i="1"/>
  <c r="B965" i="1"/>
  <c r="C965" i="1"/>
  <c r="D965" i="1"/>
  <c r="E965" i="1"/>
  <c r="F965" i="1"/>
  <c r="G965" i="1"/>
  <c r="R965" i="1" s="1"/>
  <c r="H965" i="1"/>
  <c r="I965" i="1"/>
  <c r="J965" i="1"/>
  <c r="K965" i="1"/>
  <c r="L965" i="1"/>
  <c r="B966" i="1"/>
  <c r="N966" i="1" s="1"/>
  <c r="O966" i="1" s="1"/>
  <c r="P966" i="1" s="1"/>
  <c r="C966" i="1"/>
  <c r="D966" i="1"/>
  <c r="E966" i="1"/>
  <c r="F966" i="1"/>
  <c r="G966" i="1"/>
  <c r="R966" i="1" s="1"/>
  <c r="H966" i="1"/>
  <c r="I966" i="1"/>
  <c r="J966" i="1"/>
  <c r="K966" i="1"/>
  <c r="L966" i="1"/>
  <c r="B967" i="1"/>
  <c r="C967" i="1"/>
  <c r="D967" i="1"/>
  <c r="E967" i="1"/>
  <c r="F967" i="1"/>
  <c r="G967" i="1"/>
  <c r="R967" i="1" s="1"/>
  <c r="H967" i="1"/>
  <c r="I967" i="1"/>
  <c r="J967" i="1"/>
  <c r="K967" i="1"/>
  <c r="L967" i="1"/>
  <c r="B968" i="1"/>
  <c r="N968" i="1" s="1"/>
  <c r="O968" i="1" s="1"/>
  <c r="P968" i="1" s="1"/>
  <c r="Q968" i="1" s="1"/>
  <c r="C968" i="1"/>
  <c r="D968" i="1"/>
  <c r="E968" i="1"/>
  <c r="F968" i="1"/>
  <c r="G968" i="1"/>
  <c r="R968" i="1" s="1"/>
  <c r="H968" i="1"/>
  <c r="I968" i="1"/>
  <c r="J968" i="1"/>
  <c r="K968" i="1"/>
  <c r="L968" i="1"/>
  <c r="B969" i="1"/>
  <c r="C969" i="1"/>
  <c r="D969" i="1"/>
  <c r="E969" i="1"/>
  <c r="F969" i="1"/>
  <c r="G969" i="1"/>
  <c r="R969" i="1" s="1"/>
  <c r="H969" i="1"/>
  <c r="I969" i="1"/>
  <c r="J969" i="1"/>
  <c r="K969" i="1"/>
  <c r="L969" i="1"/>
  <c r="B970" i="1"/>
  <c r="C970" i="1"/>
  <c r="D970" i="1"/>
  <c r="E970" i="1"/>
  <c r="F970" i="1"/>
  <c r="G970" i="1"/>
  <c r="R970" i="1" s="1"/>
  <c r="H970" i="1"/>
  <c r="I970" i="1"/>
  <c r="J970" i="1"/>
  <c r="K970" i="1"/>
  <c r="L970" i="1"/>
  <c r="B971" i="1"/>
  <c r="C971" i="1"/>
  <c r="D971" i="1"/>
  <c r="E971" i="1"/>
  <c r="F971" i="1"/>
  <c r="G971" i="1"/>
  <c r="R971" i="1" s="1"/>
  <c r="H971" i="1"/>
  <c r="I971" i="1"/>
  <c r="J971" i="1"/>
  <c r="K971" i="1"/>
  <c r="L971" i="1"/>
  <c r="B972" i="1"/>
  <c r="N972" i="1" s="1"/>
  <c r="O972" i="1" s="1"/>
  <c r="P972" i="1" s="1"/>
  <c r="C972" i="1"/>
  <c r="D972" i="1"/>
  <c r="E972" i="1"/>
  <c r="F972" i="1"/>
  <c r="G972" i="1"/>
  <c r="R972" i="1" s="1"/>
  <c r="H972" i="1"/>
  <c r="I972" i="1"/>
  <c r="J972" i="1"/>
  <c r="K972" i="1"/>
  <c r="L972" i="1"/>
  <c r="B973" i="1"/>
  <c r="C973" i="1"/>
  <c r="D973" i="1"/>
  <c r="E973" i="1"/>
  <c r="F973" i="1"/>
  <c r="G973" i="1"/>
  <c r="R973" i="1" s="1"/>
  <c r="H973" i="1"/>
  <c r="I973" i="1"/>
  <c r="J973" i="1"/>
  <c r="K973" i="1"/>
  <c r="L973" i="1"/>
  <c r="B974" i="1"/>
  <c r="C974" i="1"/>
  <c r="D974" i="1"/>
  <c r="E974" i="1"/>
  <c r="F974" i="1"/>
  <c r="G974" i="1"/>
  <c r="R974" i="1" s="1"/>
  <c r="H974" i="1"/>
  <c r="I974" i="1"/>
  <c r="J974" i="1"/>
  <c r="K974" i="1"/>
  <c r="L974" i="1"/>
  <c r="B975" i="1"/>
  <c r="N975" i="1" s="1"/>
  <c r="C975" i="1"/>
  <c r="D975" i="1"/>
  <c r="E975" i="1"/>
  <c r="F975" i="1"/>
  <c r="G975" i="1"/>
  <c r="R975" i="1" s="1"/>
  <c r="H975" i="1"/>
  <c r="I975" i="1"/>
  <c r="J975" i="1"/>
  <c r="K975" i="1"/>
  <c r="L975" i="1"/>
  <c r="B976" i="1"/>
  <c r="N976" i="1" s="1"/>
  <c r="C976" i="1"/>
  <c r="D976" i="1"/>
  <c r="E976" i="1"/>
  <c r="F976" i="1"/>
  <c r="G976" i="1"/>
  <c r="R976" i="1" s="1"/>
  <c r="H976" i="1"/>
  <c r="I976" i="1"/>
  <c r="J976" i="1"/>
  <c r="K976" i="1"/>
  <c r="L976" i="1"/>
  <c r="B977" i="1"/>
  <c r="C977" i="1"/>
  <c r="D977" i="1"/>
  <c r="E977" i="1"/>
  <c r="F977" i="1"/>
  <c r="G977" i="1"/>
  <c r="R977" i="1" s="1"/>
  <c r="H977" i="1"/>
  <c r="I977" i="1"/>
  <c r="J977" i="1"/>
  <c r="K977" i="1"/>
  <c r="L977" i="1"/>
  <c r="B978" i="1"/>
  <c r="C978" i="1"/>
  <c r="D978" i="1"/>
  <c r="E978" i="1"/>
  <c r="F978" i="1"/>
  <c r="G978" i="1"/>
  <c r="R978" i="1" s="1"/>
  <c r="H978" i="1"/>
  <c r="I978" i="1"/>
  <c r="J978" i="1"/>
  <c r="K978" i="1"/>
  <c r="L978" i="1"/>
  <c r="B979" i="1"/>
  <c r="N979" i="1" s="1"/>
  <c r="C979" i="1"/>
  <c r="D979" i="1"/>
  <c r="E979" i="1"/>
  <c r="F979" i="1"/>
  <c r="G979" i="1"/>
  <c r="R979" i="1" s="1"/>
  <c r="H979" i="1"/>
  <c r="I979" i="1"/>
  <c r="J979" i="1"/>
  <c r="K979" i="1"/>
  <c r="L979" i="1"/>
  <c r="B980" i="1"/>
  <c r="C980" i="1"/>
  <c r="D980" i="1"/>
  <c r="E980" i="1"/>
  <c r="F980" i="1"/>
  <c r="G980" i="1"/>
  <c r="R980" i="1" s="1"/>
  <c r="H980" i="1"/>
  <c r="I980" i="1"/>
  <c r="J980" i="1"/>
  <c r="K980" i="1"/>
  <c r="L980" i="1"/>
  <c r="B981" i="1"/>
  <c r="N981" i="1" s="1"/>
  <c r="C981" i="1"/>
  <c r="D981" i="1"/>
  <c r="E981" i="1"/>
  <c r="F981" i="1"/>
  <c r="G981" i="1"/>
  <c r="R981" i="1" s="1"/>
  <c r="H981" i="1"/>
  <c r="I981" i="1"/>
  <c r="J981" i="1"/>
  <c r="K981" i="1"/>
  <c r="L981" i="1"/>
  <c r="B982" i="1"/>
  <c r="N982" i="1" s="1"/>
  <c r="C982" i="1"/>
  <c r="D982" i="1"/>
  <c r="E982" i="1"/>
  <c r="F982" i="1"/>
  <c r="G982" i="1"/>
  <c r="R982" i="1" s="1"/>
  <c r="H982" i="1"/>
  <c r="I982" i="1"/>
  <c r="J982" i="1"/>
  <c r="K982" i="1"/>
  <c r="L982" i="1"/>
  <c r="B983" i="1"/>
  <c r="C983" i="1"/>
  <c r="D983" i="1"/>
  <c r="E983" i="1"/>
  <c r="F983" i="1"/>
  <c r="G983" i="1"/>
  <c r="R983" i="1" s="1"/>
  <c r="H983" i="1"/>
  <c r="I983" i="1"/>
  <c r="J983" i="1"/>
  <c r="K983" i="1"/>
  <c r="L983" i="1"/>
  <c r="B984" i="1"/>
  <c r="C984" i="1"/>
  <c r="D984" i="1"/>
  <c r="E984" i="1"/>
  <c r="F984" i="1"/>
  <c r="G984" i="1"/>
  <c r="R984" i="1" s="1"/>
  <c r="H984" i="1"/>
  <c r="I984" i="1"/>
  <c r="J984" i="1"/>
  <c r="K984" i="1"/>
  <c r="L984" i="1"/>
  <c r="B985" i="1"/>
  <c r="N985" i="1" s="1"/>
  <c r="C985" i="1"/>
  <c r="D985" i="1"/>
  <c r="E985" i="1"/>
  <c r="F985" i="1"/>
  <c r="G985" i="1"/>
  <c r="R985" i="1" s="1"/>
  <c r="H985" i="1"/>
  <c r="I985" i="1"/>
  <c r="J985" i="1"/>
  <c r="K985" i="1"/>
  <c r="L985" i="1"/>
  <c r="B986" i="1"/>
  <c r="C986" i="1"/>
  <c r="D986" i="1"/>
  <c r="E986" i="1"/>
  <c r="F986" i="1"/>
  <c r="G986" i="1"/>
  <c r="R986" i="1" s="1"/>
  <c r="H986" i="1"/>
  <c r="I986" i="1"/>
  <c r="J986" i="1"/>
  <c r="K986" i="1"/>
  <c r="L986" i="1"/>
  <c r="B987" i="1"/>
  <c r="N987" i="1" s="1"/>
  <c r="C987" i="1"/>
  <c r="D987" i="1"/>
  <c r="E987" i="1"/>
  <c r="F987" i="1"/>
  <c r="G987" i="1"/>
  <c r="R987" i="1" s="1"/>
  <c r="H987" i="1"/>
  <c r="I987" i="1"/>
  <c r="J987" i="1"/>
  <c r="K987" i="1"/>
  <c r="L987" i="1"/>
  <c r="B988" i="1"/>
  <c r="N988" i="1" s="1"/>
  <c r="C988" i="1"/>
  <c r="D988" i="1"/>
  <c r="E988" i="1"/>
  <c r="F988" i="1"/>
  <c r="G988" i="1"/>
  <c r="R988" i="1" s="1"/>
  <c r="H988" i="1"/>
  <c r="I988" i="1"/>
  <c r="J988" i="1"/>
  <c r="K988" i="1"/>
  <c r="L988" i="1"/>
  <c r="B989" i="1"/>
  <c r="C989" i="1"/>
  <c r="D989" i="1"/>
  <c r="E989" i="1"/>
  <c r="F989" i="1"/>
  <c r="G989" i="1"/>
  <c r="R989" i="1" s="1"/>
  <c r="H989" i="1"/>
  <c r="I989" i="1"/>
  <c r="J989" i="1"/>
  <c r="K989" i="1"/>
  <c r="L989" i="1"/>
  <c r="B990" i="1"/>
  <c r="C990" i="1"/>
  <c r="D990" i="1"/>
  <c r="E990" i="1"/>
  <c r="F990" i="1"/>
  <c r="G990" i="1"/>
  <c r="R990" i="1" s="1"/>
  <c r="H990" i="1"/>
  <c r="I990" i="1"/>
  <c r="J990" i="1"/>
  <c r="K990" i="1"/>
  <c r="L990" i="1"/>
  <c r="B991" i="1"/>
  <c r="N991" i="1" s="1"/>
  <c r="C991" i="1"/>
  <c r="D991" i="1"/>
  <c r="E991" i="1"/>
  <c r="F991" i="1"/>
  <c r="G991" i="1"/>
  <c r="R991" i="1" s="1"/>
  <c r="H991" i="1"/>
  <c r="I991" i="1"/>
  <c r="J991" i="1"/>
  <c r="K991" i="1"/>
  <c r="L991" i="1"/>
  <c r="B992" i="1"/>
  <c r="C992" i="1"/>
  <c r="D992" i="1"/>
  <c r="E992" i="1"/>
  <c r="F992" i="1"/>
  <c r="G992" i="1"/>
  <c r="R992" i="1" s="1"/>
  <c r="H992" i="1"/>
  <c r="I992" i="1"/>
  <c r="J992" i="1"/>
  <c r="K992" i="1"/>
  <c r="L992" i="1"/>
  <c r="B993" i="1"/>
  <c r="N993" i="1" s="1"/>
  <c r="C993" i="1"/>
  <c r="D993" i="1"/>
  <c r="E993" i="1"/>
  <c r="F993" i="1"/>
  <c r="G993" i="1"/>
  <c r="R993" i="1" s="1"/>
  <c r="H993" i="1"/>
  <c r="I993" i="1"/>
  <c r="J993" i="1"/>
  <c r="K993" i="1"/>
  <c r="L993" i="1"/>
  <c r="B994" i="1"/>
  <c r="N994" i="1" s="1"/>
  <c r="C994" i="1"/>
  <c r="D994" i="1"/>
  <c r="E994" i="1"/>
  <c r="F994" i="1"/>
  <c r="G994" i="1"/>
  <c r="R994" i="1" s="1"/>
  <c r="H994" i="1"/>
  <c r="I994" i="1"/>
  <c r="J994" i="1"/>
  <c r="K994" i="1"/>
  <c r="L994" i="1"/>
  <c r="B995" i="1"/>
  <c r="C995" i="1"/>
  <c r="D995" i="1"/>
  <c r="E995" i="1"/>
  <c r="F995" i="1"/>
  <c r="G995" i="1"/>
  <c r="R995" i="1" s="1"/>
  <c r="H995" i="1"/>
  <c r="I995" i="1"/>
  <c r="J995" i="1"/>
  <c r="K995" i="1"/>
  <c r="L995" i="1"/>
  <c r="B996" i="1"/>
  <c r="C996" i="1"/>
  <c r="D996" i="1"/>
  <c r="E996" i="1"/>
  <c r="F996" i="1"/>
  <c r="G996" i="1"/>
  <c r="R996" i="1" s="1"/>
  <c r="H996" i="1"/>
  <c r="I996" i="1"/>
  <c r="J996" i="1"/>
  <c r="K996" i="1"/>
  <c r="L996" i="1"/>
  <c r="B997" i="1"/>
  <c r="N997" i="1" s="1"/>
  <c r="C997" i="1"/>
  <c r="D997" i="1"/>
  <c r="E997" i="1"/>
  <c r="F997" i="1"/>
  <c r="G997" i="1"/>
  <c r="R997" i="1" s="1"/>
  <c r="H997" i="1"/>
  <c r="I997" i="1"/>
  <c r="J997" i="1"/>
  <c r="K997" i="1"/>
  <c r="L997" i="1"/>
  <c r="B998" i="1"/>
  <c r="C998" i="1"/>
  <c r="D998" i="1"/>
  <c r="E998" i="1"/>
  <c r="F998" i="1"/>
  <c r="G998" i="1"/>
  <c r="R998" i="1" s="1"/>
  <c r="H998" i="1"/>
  <c r="I998" i="1"/>
  <c r="J998" i="1"/>
  <c r="K998" i="1"/>
  <c r="L998" i="1"/>
  <c r="B999" i="1"/>
  <c r="N999" i="1" s="1"/>
  <c r="C999" i="1"/>
  <c r="D999" i="1"/>
  <c r="E999" i="1"/>
  <c r="F999" i="1"/>
  <c r="G999" i="1"/>
  <c r="R999" i="1" s="1"/>
  <c r="H999" i="1"/>
  <c r="I999" i="1"/>
  <c r="J999" i="1"/>
  <c r="K999" i="1"/>
  <c r="L999" i="1"/>
  <c r="B1000" i="1"/>
  <c r="N1000" i="1" s="1"/>
  <c r="C1000" i="1"/>
  <c r="D1000" i="1"/>
  <c r="E1000" i="1"/>
  <c r="F1000" i="1"/>
  <c r="G1000" i="1"/>
  <c r="R1000" i="1" s="1"/>
  <c r="H1000" i="1"/>
  <c r="I1000" i="1"/>
  <c r="J1000" i="1"/>
  <c r="K1000" i="1"/>
  <c r="L1000" i="1"/>
  <c r="B1001" i="1"/>
  <c r="C1001" i="1"/>
  <c r="D1001" i="1"/>
  <c r="E1001" i="1"/>
  <c r="F1001" i="1"/>
  <c r="G1001" i="1"/>
  <c r="R1001" i="1" s="1"/>
  <c r="H1001" i="1"/>
  <c r="I1001" i="1"/>
  <c r="J1001" i="1"/>
  <c r="K1001" i="1"/>
  <c r="L1001" i="1"/>
  <c r="B1002" i="1"/>
  <c r="C1002" i="1"/>
  <c r="D1002" i="1"/>
  <c r="E1002" i="1"/>
  <c r="F1002" i="1"/>
  <c r="G1002" i="1"/>
  <c r="R1002" i="1" s="1"/>
  <c r="H1002" i="1"/>
  <c r="I1002" i="1"/>
  <c r="J1002" i="1"/>
  <c r="K1002" i="1"/>
  <c r="L1002" i="1"/>
  <c r="B1003" i="1"/>
  <c r="N1003" i="1" s="1"/>
  <c r="C1003" i="1"/>
  <c r="D1003" i="1"/>
  <c r="E1003" i="1"/>
  <c r="F1003" i="1"/>
  <c r="G1003" i="1"/>
  <c r="R1003" i="1" s="1"/>
  <c r="H1003" i="1"/>
  <c r="I1003" i="1"/>
  <c r="J1003" i="1"/>
  <c r="K1003" i="1"/>
  <c r="L1003" i="1"/>
  <c r="B1004" i="1"/>
  <c r="C1004" i="1"/>
  <c r="D1004" i="1"/>
  <c r="E1004" i="1"/>
  <c r="F1004" i="1"/>
  <c r="G1004" i="1"/>
  <c r="R1004" i="1" s="1"/>
  <c r="H1004" i="1"/>
  <c r="I1004" i="1"/>
  <c r="J1004" i="1"/>
  <c r="K1004" i="1"/>
  <c r="L1004" i="1"/>
  <c r="B1005" i="1"/>
  <c r="N1005" i="1" s="1"/>
  <c r="C1005" i="1"/>
  <c r="D1005" i="1"/>
  <c r="E1005" i="1"/>
  <c r="F1005" i="1"/>
  <c r="G1005" i="1"/>
  <c r="R1005" i="1" s="1"/>
  <c r="H1005" i="1"/>
  <c r="I1005" i="1"/>
  <c r="J1005" i="1"/>
  <c r="K1005" i="1"/>
  <c r="L1005" i="1"/>
  <c r="B1006" i="1"/>
  <c r="N1006" i="1" s="1"/>
  <c r="C1006" i="1"/>
  <c r="D1006" i="1"/>
  <c r="E1006" i="1"/>
  <c r="F1006" i="1"/>
  <c r="G1006" i="1"/>
  <c r="R1006" i="1" s="1"/>
  <c r="H1006" i="1"/>
  <c r="I1006" i="1"/>
  <c r="J1006" i="1"/>
  <c r="K1006" i="1"/>
  <c r="L1006" i="1"/>
  <c r="B1007" i="1"/>
  <c r="C1007" i="1"/>
  <c r="D1007" i="1"/>
  <c r="E1007" i="1"/>
  <c r="F1007" i="1"/>
  <c r="G1007" i="1"/>
  <c r="R1007" i="1" s="1"/>
  <c r="H1007" i="1"/>
  <c r="I1007" i="1"/>
  <c r="J1007" i="1"/>
  <c r="K1007" i="1"/>
  <c r="L1007" i="1"/>
  <c r="C8" i="1"/>
  <c r="D8" i="1"/>
  <c r="E8" i="1"/>
  <c r="F8" i="1"/>
  <c r="G8" i="1"/>
  <c r="R8" i="1" s="1"/>
  <c r="H8" i="1"/>
  <c r="I8" i="1"/>
  <c r="J8" i="1"/>
  <c r="K8" i="1"/>
  <c r="L8" i="1"/>
  <c r="B8" i="1"/>
  <c r="A1006" i="1"/>
  <c r="A1007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8" i="1"/>
  <c r="X2" i="1" s="1"/>
  <c r="O497" i="4" l="1"/>
  <c r="U540" i="4"/>
  <c r="V540" i="4" s="1"/>
  <c r="U804" i="4"/>
  <c r="V804" i="4" s="1"/>
  <c r="U184" i="4"/>
  <c r="V184" i="4" s="1"/>
  <c r="U515" i="4"/>
  <c r="V515" i="4" s="1"/>
  <c r="U285" i="4"/>
  <c r="V285" i="4" s="1"/>
  <c r="U303" i="4"/>
  <c r="V303" i="4" s="1"/>
  <c r="U606" i="4"/>
  <c r="V606" i="4" s="1"/>
  <c r="U737" i="4"/>
  <c r="V737" i="4" s="1"/>
  <c r="U224" i="4"/>
  <c r="V224" i="4" s="1"/>
  <c r="U248" i="4"/>
  <c r="V248" i="4" s="1"/>
  <c r="U135" i="4"/>
  <c r="V135" i="4" s="1"/>
  <c r="U272" i="4"/>
  <c r="V272" i="4" s="1"/>
  <c r="U508" i="4"/>
  <c r="V508" i="4" s="1"/>
  <c r="U855" i="4"/>
  <c r="V855" i="4" s="1"/>
  <c r="U141" i="4"/>
  <c r="V141" i="4" s="1"/>
  <c r="U570" i="4"/>
  <c r="V570" i="4" s="1"/>
  <c r="U236" i="4"/>
  <c r="V236" i="4" s="1"/>
  <c r="U207" i="4"/>
  <c r="V207" i="4" s="1"/>
  <c r="O688" i="4"/>
  <c r="O704" i="4"/>
  <c r="P704" i="4" s="1"/>
  <c r="Q704" i="4" s="1"/>
  <c r="S704" i="4" s="1"/>
  <c r="O755" i="4"/>
  <c r="O667" i="4"/>
  <c r="P667" i="4" s="1"/>
  <c r="Q667" i="4" s="1"/>
  <c r="S667" i="4" s="1"/>
  <c r="U667" i="4" s="1"/>
  <c r="V667" i="4" s="1"/>
  <c r="O737" i="4"/>
  <c r="P737" i="4" s="1"/>
  <c r="Q737" i="4" s="1"/>
  <c r="S737" i="4" s="1"/>
  <c r="O629" i="4"/>
  <c r="P629" i="4" s="1"/>
  <c r="Q629" i="4" s="1"/>
  <c r="S629" i="4" s="1"/>
  <c r="O674" i="4"/>
  <c r="O22" i="4"/>
  <c r="P22" i="4" s="1"/>
  <c r="Q22" i="4" s="1"/>
  <c r="S22" i="4" s="1"/>
  <c r="O28" i="4"/>
  <c r="P28" i="4" s="1"/>
  <c r="Q28" i="4" s="1"/>
  <c r="S28" i="4" s="1"/>
  <c r="U28" i="4" s="1"/>
  <c r="V28" i="4" s="1"/>
  <c r="O34" i="4"/>
  <c r="O40" i="4"/>
  <c r="P40" i="4" s="1"/>
  <c r="Q40" i="4" s="1"/>
  <c r="S40" i="4" s="1"/>
  <c r="O46" i="4"/>
  <c r="P46" i="4" s="1"/>
  <c r="O52" i="4"/>
  <c r="P52" i="4" s="1"/>
  <c r="O58" i="4"/>
  <c r="P58" i="4" s="1"/>
  <c r="Q58" i="4" s="1"/>
  <c r="S58" i="4" s="1"/>
  <c r="O64" i="4"/>
  <c r="P64" i="4" s="1"/>
  <c r="Q64" i="4" s="1"/>
  <c r="S64" i="4" s="1"/>
  <c r="O78" i="4"/>
  <c r="P78" i="4" s="1"/>
  <c r="Q78" i="4" s="1"/>
  <c r="S78" i="4" s="1"/>
  <c r="O92" i="4"/>
  <c r="P92" i="4" s="1"/>
  <c r="Q92" i="4" s="1"/>
  <c r="S92" i="4" s="1"/>
  <c r="O108" i="4"/>
  <c r="P108" i="4" s="1"/>
  <c r="Q108" i="4" s="1"/>
  <c r="S108" i="4" s="1"/>
  <c r="O112" i="4"/>
  <c r="O131" i="4"/>
  <c r="P131" i="4" s="1"/>
  <c r="Q131" i="4" s="1"/>
  <c r="S131" i="4" s="1"/>
  <c r="U131" i="4" s="1"/>
  <c r="V131" i="4" s="1"/>
  <c r="O135" i="4"/>
  <c r="P135" i="4" s="1"/>
  <c r="Q135" i="4" s="1"/>
  <c r="S135" i="4" s="1"/>
  <c r="O208" i="4"/>
  <c r="P208" i="4" s="1"/>
  <c r="Q208" i="4" s="1"/>
  <c r="S208" i="4" s="1"/>
  <c r="O213" i="4"/>
  <c r="P213" i="4" s="1"/>
  <c r="Q213" i="4" s="1"/>
  <c r="S213" i="4" s="1"/>
  <c r="O217" i="4"/>
  <c r="P217" i="4" s="1"/>
  <c r="Q217" i="4" s="1"/>
  <c r="S217" i="4" s="1"/>
  <c r="O236" i="4"/>
  <c r="O261" i="4"/>
  <c r="P261" i="4" s="1"/>
  <c r="Q261" i="4" s="1"/>
  <c r="S261" i="4" s="1"/>
  <c r="O279" i="4"/>
  <c r="P279" i="4" s="1"/>
  <c r="Q279" i="4" s="1"/>
  <c r="S279" i="4" s="1"/>
  <c r="U279" i="4" s="1"/>
  <c r="V279" i="4" s="1"/>
  <c r="O374" i="4"/>
  <c r="P374" i="4" s="1"/>
  <c r="Q374" i="4" s="1"/>
  <c r="S374" i="4" s="1"/>
  <c r="O379" i="4"/>
  <c r="P379" i="4" s="1"/>
  <c r="Q379" i="4" s="1"/>
  <c r="S379" i="4" s="1"/>
  <c r="O390" i="4"/>
  <c r="P390" i="4" s="1"/>
  <c r="Q390" i="4" s="1"/>
  <c r="S390" i="4" s="1"/>
  <c r="U390" i="4" s="1"/>
  <c r="V390" i="4" s="1"/>
  <c r="O410" i="4"/>
  <c r="P410" i="4" s="1"/>
  <c r="O415" i="4"/>
  <c r="P415" i="4" s="1"/>
  <c r="Q415" i="4" s="1"/>
  <c r="S415" i="4" s="1"/>
  <c r="U415" i="4" s="1"/>
  <c r="V415" i="4" s="1"/>
  <c r="O426" i="4"/>
  <c r="P426" i="4" s="1"/>
  <c r="Q426" i="4" s="1"/>
  <c r="S426" i="4" s="1"/>
  <c r="U426" i="4" s="1"/>
  <c r="V426" i="4" s="1"/>
  <c r="O560" i="4"/>
  <c r="P560" i="4" s="1"/>
  <c r="O730" i="4"/>
  <c r="P730" i="4" s="1"/>
  <c r="Q730" i="4" s="1"/>
  <c r="S730" i="4" s="1"/>
  <c r="O990" i="4"/>
  <c r="P990" i="4" s="1"/>
  <c r="Q990" i="4" s="1"/>
  <c r="S990" i="4" s="1"/>
  <c r="O1004" i="4"/>
  <c r="P1004" i="4" s="1"/>
  <c r="O319" i="4"/>
  <c r="P319" i="4" s="1"/>
  <c r="Q319" i="4" s="1"/>
  <c r="S319" i="4" s="1"/>
  <c r="U319" i="4" s="1"/>
  <c r="V319" i="4" s="1"/>
  <c r="O488" i="4"/>
  <c r="P488" i="4" s="1"/>
  <c r="Q488" i="4" s="1"/>
  <c r="S488" i="4" s="1"/>
  <c r="U488" i="4" s="1"/>
  <c r="V488" i="4" s="1"/>
  <c r="O523" i="4"/>
  <c r="P523" i="4" s="1"/>
  <c r="Q523" i="4" s="1"/>
  <c r="S523" i="4" s="1"/>
  <c r="O546" i="4"/>
  <c r="P546" i="4" s="1"/>
  <c r="Q546" i="4" s="1"/>
  <c r="S546" i="4" s="1"/>
  <c r="U546" i="4" s="1"/>
  <c r="V546" i="4" s="1"/>
  <c r="O721" i="4"/>
  <c r="P721" i="4" s="1"/>
  <c r="Q721" i="4" s="1"/>
  <c r="S721" i="4" s="1"/>
  <c r="O98" i="4"/>
  <c r="O292" i="4"/>
  <c r="P292" i="4" s="1"/>
  <c r="Q292" i="4" s="1"/>
  <c r="S292" i="4" s="1"/>
  <c r="O310" i="4"/>
  <c r="P310" i="4" s="1"/>
  <c r="Q310" i="4" s="1"/>
  <c r="S310" i="4" s="1"/>
  <c r="O339" i="4"/>
  <c r="P339" i="4" s="1"/>
  <c r="Q339" i="4" s="1"/>
  <c r="S339" i="4" s="1"/>
  <c r="O469" i="4"/>
  <c r="P469" i="4" s="1"/>
  <c r="Q469" i="4" s="1"/>
  <c r="S469" i="4" s="1"/>
  <c r="U469" i="4" s="1"/>
  <c r="V469" i="4" s="1"/>
  <c r="O496" i="4"/>
  <c r="P496" i="4" s="1"/>
  <c r="Q496" i="4" s="1"/>
  <c r="S496" i="4" s="1"/>
  <c r="U496" i="4" s="1"/>
  <c r="V496" i="4" s="1"/>
  <c r="O501" i="4"/>
  <c r="O508" i="4"/>
  <c r="P508" i="4" s="1"/>
  <c r="Q508" i="4" s="1"/>
  <c r="S508" i="4" s="1"/>
  <c r="O524" i="4"/>
  <c r="P524" i="4" s="1"/>
  <c r="Q524" i="4" s="1"/>
  <c r="S524" i="4" s="1"/>
  <c r="O547" i="4"/>
  <c r="P547" i="4" s="1"/>
  <c r="Q547" i="4" s="1"/>
  <c r="S547" i="4" s="1"/>
  <c r="U547" i="4" s="1"/>
  <c r="V547" i="4" s="1"/>
  <c r="O586" i="4"/>
  <c r="P586" i="4" s="1"/>
  <c r="Q586" i="4" s="1"/>
  <c r="S586" i="4" s="1"/>
  <c r="O622" i="4"/>
  <c r="P622" i="4" s="1"/>
  <c r="Q622" i="4" s="1"/>
  <c r="S622" i="4" s="1"/>
  <c r="O651" i="4"/>
  <c r="O712" i="4"/>
  <c r="P712" i="4" s="1"/>
  <c r="Q712" i="4" s="1"/>
  <c r="S712" i="4" s="1"/>
  <c r="O717" i="4"/>
  <c r="P717" i="4" s="1"/>
  <c r="Q717" i="4" s="1"/>
  <c r="S717" i="4" s="1"/>
  <c r="O940" i="4"/>
  <c r="P940" i="4" s="1"/>
  <c r="Q940" i="4" s="1"/>
  <c r="S940" i="4" s="1"/>
  <c r="U940" i="4" s="1"/>
  <c r="V940" i="4" s="1"/>
  <c r="O168" i="4"/>
  <c r="P168" i="4" s="1"/>
  <c r="Q168" i="4" s="1"/>
  <c r="S168" i="4" s="1"/>
  <c r="U168" i="4" s="1"/>
  <c r="V168" i="4" s="1"/>
  <c r="O237" i="4"/>
  <c r="P237" i="4" s="1"/>
  <c r="Q237" i="4" s="1"/>
  <c r="S237" i="4" s="1"/>
  <c r="U237" i="4" s="1"/>
  <c r="V237" i="4" s="1"/>
  <c r="O242" i="4"/>
  <c r="O262" i="4"/>
  <c r="P262" i="4" s="1"/>
  <c r="Q262" i="4" s="1"/>
  <c r="S262" i="4" s="1"/>
  <c r="O280" i="4"/>
  <c r="P280" i="4" s="1"/>
  <c r="Q280" i="4" s="1"/>
  <c r="S280" i="4" s="1"/>
  <c r="U280" i="4" s="1"/>
  <c r="V280" i="4" s="1"/>
  <c r="O285" i="4"/>
  <c r="P285" i="4" s="1"/>
  <c r="Q285" i="4" s="1"/>
  <c r="S285" i="4" s="1"/>
  <c r="O290" i="4"/>
  <c r="P290" i="4" s="1"/>
  <c r="Q290" i="4" s="1"/>
  <c r="S290" i="4" s="1"/>
  <c r="U290" i="4" s="1"/>
  <c r="V290" i="4" s="1"/>
  <c r="O360" i="4"/>
  <c r="P360" i="4" s="1"/>
  <c r="Q360" i="4" s="1"/>
  <c r="S360" i="4" s="1"/>
  <c r="O396" i="4"/>
  <c r="P396" i="4" s="1"/>
  <c r="O444" i="4"/>
  <c r="P444" i="4" s="1"/>
  <c r="Q444" i="4" s="1"/>
  <c r="S444" i="4" s="1"/>
  <c r="O614" i="4"/>
  <c r="P614" i="4" s="1"/>
  <c r="Q614" i="4" s="1"/>
  <c r="S614" i="4" s="1"/>
  <c r="O915" i="4"/>
  <c r="P915" i="4" s="1"/>
  <c r="Q915" i="4" s="1"/>
  <c r="S915" i="4" s="1"/>
  <c r="U915" i="4" s="1"/>
  <c r="V915" i="4" s="1"/>
  <c r="O976" i="4"/>
  <c r="P976" i="4" s="1"/>
  <c r="Q976" i="4" s="1"/>
  <c r="S976" i="4" s="1"/>
  <c r="O981" i="4"/>
  <c r="P981" i="4" s="1"/>
  <c r="Q981" i="4" s="1"/>
  <c r="S981" i="4" s="1"/>
  <c r="O165" i="4"/>
  <c r="O183" i="4"/>
  <c r="P183" i="4" s="1"/>
  <c r="Q183" i="4" s="1"/>
  <c r="S183" i="4" s="1"/>
  <c r="U183" i="4" s="1"/>
  <c r="V183" i="4" s="1"/>
  <c r="O350" i="4"/>
  <c r="P350" i="4" s="1"/>
  <c r="Q350" i="4" s="1"/>
  <c r="S350" i="4" s="1"/>
  <c r="O572" i="4"/>
  <c r="P572" i="4" s="1"/>
  <c r="Q572" i="4" s="1"/>
  <c r="S572" i="4" s="1"/>
  <c r="U572" i="4" s="1"/>
  <c r="V572" i="4" s="1"/>
  <c r="O600" i="4"/>
  <c r="P600" i="4" s="1"/>
  <c r="Q600" i="4" s="1"/>
  <c r="S600" i="4" s="1"/>
  <c r="U600" i="4" s="1"/>
  <c r="V600" i="4" s="1"/>
  <c r="O102" i="4"/>
  <c r="P102" i="4" s="1"/>
  <c r="Q102" i="4" s="1"/>
  <c r="S102" i="4" s="1"/>
  <c r="O125" i="4"/>
  <c r="O225" i="4"/>
  <c r="P225" i="4" s="1"/>
  <c r="Q225" i="4" s="1"/>
  <c r="S225" i="4" s="1"/>
  <c r="O345" i="4"/>
  <c r="P345" i="4" s="1"/>
  <c r="Q345" i="4" s="1"/>
  <c r="S345" i="4" s="1"/>
  <c r="O414" i="4"/>
  <c r="P414" i="4" s="1"/>
  <c r="Q414" i="4" s="1"/>
  <c r="S414" i="4" s="1"/>
  <c r="O505" i="4"/>
  <c r="P505" i="4" s="1"/>
  <c r="Q505" i="4" s="1"/>
  <c r="S505" i="4" s="1"/>
  <c r="O174" i="4"/>
  <c r="P174" i="4" s="1"/>
  <c r="Q174" i="4" s="1"/>
  <c r="S174" i="4" s="1"/>
  <c r="U174" i="4" s="1"/>
  <c r="V174" i="4" s="1"/>
  <c r="O384" i="4"/>
  <c r="P384" i="4" s="1"/>
  <c r="O404" i="4"/>
  <c r="P404" i="4" s="1"/>
  <c r="Q404" i="4" s="1"/>
  <c r="S404" i="4" s="1"/>
  <c r="O618" i="4"/>
  <c r="P618" i="4" s="1"/>
  <c r="Q618" i="4" s="1"/>
  <c r="S618" i="4" s="1"/>
  <c r="O772" i="4"/>
  <c r="P772" i="4" s="1"/>
  <c r="Q772" i="4" s="1"/>
  <c r="S772" i="4" s="1"/>
  <c r="O780" i="4"/>
  <c r="P780" i="4" s="1"/>
  <c r="Q780" i="4" s="1"/>
  <c r="S780" i="4" s="1"/>
  <c r="U780" i="4" s="1"/>
  <c r="V780" i="4" s="1"/>
  <c r="O784" i="4"/>
  <c r="P784" i="4" s="1"/>
  <c r="Q784" i="4" s="1"/>
  <c r="S784" i="4" s="1"/>
  <c r="U784" i="4" s="1"/>
  <c r="V784" i="4" s="1"/>
  <c r="O789" i="4"/>
  <c r="O930" i="4"/>
  <c r="P930" i="4" s="1"/>
  <c r="Q930" i="4" s="1"/>
  <c r="S930" i="4" s="1"/>
  <c r="O964" i="4"/>
  <c r="P964" i="4" s="1"/>
  <c r="Q964" i="4" s="1"/>
  <c r="S964" i="4" s="1"/>
  <c r="O969" i="4"/>
  <c r="P969" i="4" s="1"/>
  <c r="Q969" i="4" s="1"/>
  <c r="S969" i="4" s="1"/>
  <c r="O68" i="4"/>
  <c r="P68" i="4" s="1"/>
  <c r="Q68" i="4" s="1"/>
  <c r="S68" i="4" s="1"/>
  <c r="O72" i="4"/>
  <c r="P72" i="4" s="1"/>
  <c r="Q72" i="4" s="1"/>
  <c r="S72" i="4" s="1"/>
  <c r="O76" i="4"/>
  <c r="O159" i="4"/>
  <c r="P159" i="4" s="1"/>
  <c r="Q159" i="4" s="1"/>
  <c r="S159" i="4" s="1"/>
  <c r="O177" i="4"/>
  <c r="P177" i="4" s="1"/>
  <c r="Q177" i="4" s="1"/>
  <c r="S177" i="4" s="1"/>
  <c r="O211" i="4"/>
  <c r="P211" i="4" s="1"/>
  <c r="Q211" i="4" s="1"/>
  <c r="S211" i="4" s="1"/>
  <c r="U211" i="4" s="1"/>
  <c r="V211" i="4" s="1"/>
  <c r="O215" i="4"/>
  <c r="P215" i="4" s="1"/>
  <c r="Q215" i="4" s="1"/>
  <c r="S215" i="4" s="1"/>
  <c r="O226" i="4"/>
  <c r="P226" i="4" s="1"/>
  <c r="Q226" i="4" s="1"/>
  <c r="S226" i="4" s="1"/>
  <c r="O230" i="4"/>
  <c r="O250" i="4"/>
  <c r="P250" i="4" s="1"/>
  <c r="Q250" i="4" s="1"/>
  <c r="S250" i="4" s="1"/>
  <c r="O255" i="4"/>
  <c r="P255" i="4" s="1"/>
  <c r="Q255" i="4" s="1"/>
  <c r="S255" i="4" s="1"/>
  <c r="O273" i="4"/>
  <c r="P273" i="4" s="1"/>
  <c r="Q273" i="4" s="1"/>
  <c r="S273" i="4" s="1"/>
  <c r="O362" i="4"/>
  <c r="P362" i="4" s="1"/>
  <c r="Q362" i="4" s="1"/>
  <c r="S362" i="4" s="1"/>
  <c r="O402" i="4"/>
  <c r="P402" i="4" s="1"/>
  <c r="Q402" i="4" s="1"/>
  <c r="S402" i="4" s="1"/>
  <c r="U402" i="4" s="1"/>
  <c r="V402" i="4" s="1"/>
  <c r="O416" i="4"/>
  <c r="P416" i="4" s="1"/>
  <c r="P433" i="4"/>
  <c r="Q433" i="4" s="1"/>
  <c r="S433" i="4" s="1"/>
  <c r="U433" i="4" s="1"/>
  <c r="V433" i="4" s="1"/>
  <c r="O443" i="4"/>
  <c r="P443" i="4" s="1"/>
  <c r="Q443" i="4" s="1"/>
  <c r="S443" i="4" s="1"/>
  <c r="O467" i="4"/>
  <c r="P467" i="4" s="1"/>
  <c r="Q467" i="4" s="1"/>
  <c r="S467" i="4" s="1"/>
  <c r="O471" i="4"/>
  <c r="P471" i="4" s="1"/>
  <c r="Q471" i="4" s="1"/>
  <c r="S471" i="4" s="1"/>
  <c r="O478" i="4"/>
  <c r="P478" i="4" s="1"/>
  <c r="Q478" i="4" s="1"/>
  <c r="S478" i="4" s="1"/>
  <c r="U478" i="4" s="1"/>
  <c r="V478" i="4" s="1"/>
  <c r="O490" i="4"/>
  <c r="O494" i="4"/>
  <c r="P494" i="4" s="1"/>
  <c r="Q494" i="4" s="1"/>
  <c r="S494" i="4" s="1"/>
  <c r="U494" i="4" s="1"/>
  <c r="V494" i="4" s="1"/>
  <c r="O503" i="4"/>
  <c r="P503" i="4" s="1"/>
  <c r="Q503" i="4" s="1"/>
  <c r="S503" i="4" s="1"/>
  <c r="U503" i="4" s="1"/>
  <c r="V503" i="4" s="1"/>
  <c r="O515" i="4"/>
  <c r="P515" i="4" s="1"/>
  <c r="Q515" i="4" s="1"/>
  <c r="S515" i="4" s="1"/>
  <c r="O537" i="4"/>
  <c r="P537" i="4" s="1"/>
  <c r="Q537" i="4" s="1"/>
  <c r="S537" i="4" s="1"/>
  <c r="O592" i="4"/>
  <c r="P592" i="4" s="1"/>
  <c r="Q592" i="4" s="1"/>
  <c r="S592" i="4" s="1"/>
  <c r="O602" i="4"/>
  <c r="P602" i="4" s="1"/>
  <c r="O644" i="4"/>
  <c r="P644" i="4" s="1"/>
  <c r="Q644" i="4" s="1"/>
  <c r="S644" i="4" s="1"/>
  <c r="O655" i="4"/>
  <c r="P655" i="4" s="1"/>
  <c r="Q655" i="4" s="1"/>
  <c r="S655" i="4" s="1"/>
  <c r="O739" i="4"/>
  <c r="P739" i="4" s="1"/>
  <c r="Q739" i="4" s="1"/>
  <c r="S739" i="4" s="1"/>
  <c r="O767" i="4"/>
  <c r="P767" i="4" s="1"/>
  <c r="Q767" i="4" s="1"/>
  <c r="S767" i="4" s="1"/>
  <c r="O778" i="4"/>
  <c r="P778" i="4" s="1"/>
  <c r="Q778" i="4" s="1"/>
  <c r="S778" i="4" s="1"/>
  <c r="U778" i="4" s="1"/>
  <c r="V778" i="4" s="1"/>
  <c r="O791" i="4"/>
  <c r="O796" i="4"/>
  <c r="P796" i="4" s="1"/>
  <c r="Q796" i="4" s="1"/>
  <c r="S796" i="4" s="1"/>
  <c r="O800" i="4"/>
  <c r="P800" i="4" s="1"/>
  <c r="Q800" i="4" s="1"/>
  <c r="S800" i="4" s="1"/>
  <c r="O804" i="4"/>
  <c r="P804" i="4" s="1"/>
  <c r="Q804" i="4" s="1"/>
  <c r="S804" i="4" s="1"/>
  <c r="O822" i="4"/>
  <c r="P822" i="4" s="1"/>
  <c r="Q822" i="4" s="1"/>
  <c r="S822" i="4" s="1"/>
  <c r="U822" i="4" s="1"/>
  <c r="V822" i="4" s="1"/>
  <c r="O894" i="4"/>
  <c r="P894" i="4" s="1"/>
  <c r="Q894" i="4" s="1"/>
  <c r="S894" i="4" s="1"/>
  <c r="O924" i="4"/>
  <c r="P924" i="4" s="1"/>
  <c r="Q924" i="4" s="1"/>
  <c r="O966" i="4"/>
  <c r="P966" i="4" s="1"/>
  <c r="Q966" i="4" s="1"/>
  <c r="S966" i="4" s="1"/>
  <c r="O988" i="4"/>
  <c r="P988" i="4" s="1"/>
  <c r="Q988" i="4" s="1"/>
  <c r="S988" i="4" s="1"/>
  <c r="O155" i="4"/>
  <c r="P155" i="4" s="1"/>
  <c r="Q155" i="4" s="1"/>
  <c r="S155" i="4" s="1"/>
  <c r="O160" i="4"/>
  <c r="P160" i="4" s="1"/>
  <c r="Q160" i="4" s="1"/>
  <c r="S160" i="4" s="1"/>
  <c r="U160" i="4" s="1"/>
  <c r="V160" i="4" s="1"/>
  <c r="O178" i="4"/>
  <c r="P178" i="4" s="1"/>
  <c r="Q178" i="4" s="1"/>
  <c r="S178" i="4" s="1"/>
  <c r="O194" i="4"/>
  <c r="P194" i="4" s="1"/>
  <c r="Q194" i="4" s="1"/>
  <c r="S194" i="4" s="1"/>
  <c r="O299" i="4"/>
  <c r="P299" i="4" s="1"/>
  <c r="Q299" i="4" s="1"/>
  <c r="S299" i="4" s="1"/>
  <c r="O348" i="4"/>
  <c r="P348" i="4" s="1"/>
  <c r="Q348" i="4" s="1"/>
  <c r="S348" i="4" s="1"/>
  <c r="O392" i="4"/>
  <c r="P392" i="4" s="1"/>
  <c r="Q392" i="4" s="1"/>
  <c r="S392" i="4" s="1"/>
  <c r="Q396" i="4"/>
  <c r="S396" i="4" s="1"/>
  <c r="U396" i="4" s="1"/>
  <c r="V396" i="4" s="1"/>
  <c r="O397" i="4"/>
  <c r="P397" i="4" s="1"/>
  <c r="Q397" i="4" s="1"/>
  <c r="S397" i="4" s="1"/>
  <c r="U397" i="4" s="1"/>
  <c r="V397" i="4" s="1"/>
  <c r="O555" i="4"/>
  <c r="P555" i="4" s="1"/>
  <c r="O588" i="4"/>
  <c r="P588" i="4" s="1"/>
  <c r="Q588" i="4" s="1"/>
  <c r="S588" i="4" s="1"/>
  <c r="O735" i="4"/>
  <c r="P735" i="4" s="1"/>
  <c r="Q735" i="4" s="1"/>
  <c r="S735" i="4" s="1"/>
  <c r="O757" i="4"/>
  <c r="P757" i="4" s="1"/>
  <c r="Q757" i="4" s="1"/>
  <c r="S757" i="4" s="1"/>
  <c r="U757" i="4" s="1"/>
  <c r="V757" i="4" s="1"/>
  <c r="O845" i="4"/>
  <c r="P845" i="4" s="1"/>
  <c r="Q845" i="4" s="1"/>
  <c r="S845" i="4" s="1"/>
  <c r="O860" i="4"/>
  <c r="P860" i="4" s="1"/>
  <c r="Q860" i="4" s="1"/>
  <c r="S860" i="4" s="1"/>
  <c r="U860" i="4" s="1"/>
  <c r="V860" i="4" s="1"/>
  <c r="O139" i="4"/>
  <c r="O232" i="4"/>
  <c r="P232" i="4" s="1"/>
  <c r="Q232" i="4" s="1"/>
  <c r="S232" i="4" s="1"/>
  <c r="O368" i="4"/>
  <c r="P368" i="4" s="1"/>
  <c r="Q368" i="4" s="1"/>
  <c r="S368" i="4" s="1"/>
  <c r="O378" i="4"/>
  <c r="P378" i="4" s="1"/>
  <c r="Q378" i="4" s="1"/>
  <c r="S378" i="4" s="1"/>
  <c r="O398" i="4"/>
  <c r="P398" i="4" s="1"/>
  <c r="Q398" i="4" s="1"/>
  <c r="S398" i="4" s="1"/>
  <c r="O649" i="4"/>
  <c r="P649" i="4" s="1"/>
  <c r="Q649" i="4" s="1"/>
  <c r="S649" i="4" s="1"/>
  <c r="U649" i="4" s="1"/>
  <c r="V649" i="4" s="1"/>
  <c r="O70" i="4"/>
  <c r="O74" i="4"/>
  <c r="P74" i="4" s="1"/>
  <c r="Q74" i="4" s="1"/>
  <c r="S74" i="4" s="1"/>
  <c r="U74" i="4" s="1"/>
  <c r="V74" i="4" s="1"/>
  <c r="O191" i="4"/>
  <c r="P191" i="4" s="1"/>
  <c r="Q191" i="4" s="1"/>
  <c r="S191" i="4" s="1"/>
  <c r="U191" i="4" s="1"/>
  <c r="V191" i="4" s="1"/>
  <c r="O204" i="4"/>
  <c r="P204" i="4" s="1"/>
  <c r="Q204" i="4" s="1"/>
  <c r="S204" i="4" s="1"/>
  <c r="P209" i="4"/>
  <c r="Q209" i="4" s="1"/>
  <c r="S209" i="4" s="1"/>
  <c r="O266" i="4"/>
  <c r="P266" i="4" s="1"/>
  <c r="Q266" i="4" s="1"/>
  <c r="S266" i="4" s="1"/>
  <c r="O610" i="4"/>
  <c r="P610" i="4" s="1"/>
  <c r="O620" i="4"/>
  <c r="P620" i="4" s="1"/>
  <c r="Q620" i="4" s="1"/>
  <c r="S620" i="4" s="1"/>
  <c r="O638" i="4"/>
  <c r="P638" i="4" s="1"/>
  <c r="Q638" i="4" s="1"/>
  <c r="S638" i="4" s="1"/>
  <c r="O89" i="4"/>
  <c r="P89" i="4" s="1"/>
  <c r="Q89" i="4" s="1"/>
  <c r="S89" i="4" s="1"/>
  <c r="O106" i="4"/>
  <c r="P106" i="4" s="1"/>
  <c r="Q106" i="4" s="1"/>
  <c r="S106" i="4" s="1"/>
  <c r="U106" i="4" s="1"/>
  <c r="V106" i="4" s="1"/>
  <c r="O133" i="4"/>
  <c r="P133" i="4" s="1"/>
  <c r="Q133" i="4" s="1"/>
  <c r="S133" i="4" s="1"/>
  <c r="U133" i="4" s="1"/>
  <c r="V133" i="4" s="1"/>
  <c r="O169" i="4"/>
  <c r="O188" i="4"/>
  <c r="P188" i="4" s="1"/>
  <c r="Q188" i="4" s="1"/>
  <c r="S188" i="4" s="1"/>
  <c r="O192" i="4"/>
  <c r="P192" i="4" s="1"/>
  <c r="Q192" i="4" s="1"/>
  <c r="S192" i="4" s="1"/>
  <c r="O196" i="4"/>
  <c r="P196" i="4" s="1"/>
  <c r="Q196" i="4" s="1"/>
  <c r="S196" i="4" s="1"/>
  <c r="O198" i="4"/>
  <c r="P198" i="4" s="1"/>
  <c r="Q198" i="4" s="1"/>
  <c r="S198" i="4" s="1"/>
  <c r="O431" i="4"/>
  <c r="P431" i="4" s="1"/>
  <c r="Q431" i="4" s="1"/>
  <c r="S431" i="4" s="1"/>
  <c r="U431" i="4" s="1"/>
  <c r="V431" i="4" s="1"/>
  <c r="O450" i="4"/>
  <c r="P450" i="4" s="1"/>
  <c r="Q450" i="4" s="1"/>
  <c r="S450" i="4" s="1"/>
  <c r="U450" i="4" s="1"/>
  <c r="V450" i="4" s="1"/>
  <c r="O462" i="4"/>
  <c r="P462" i="4" s="1"/>
  <c r="Q462" i="4" s="1"/>
  <c r="S462" i="4" s="1"/>
  <c r="O517" i="4"/>
  <c r="P517" i="4" s="1"/>
  <c r="Q517" i="4" s="1"/>
  <c r="S517" i="4" s="1"/>
  <c r="U517" i="4" s="1"/>
  <c r="V517" i="4" s="1"/>
  <c r="O521" i="4"/>
  <c r="P521" i="4" s="1"/>
  <c r="Q521" i="4" s="1"/>
  <c r="S521" i="4" s="1"/>
  <c r="O540" i="4"/>
  <c r="P540" i="4" s="1"/>
  <c r="Q540" i="4" s="1"/>
  <c r="S540" i="4" s="1"/>
  <c r="O590" i="4"/>
  <c r="P590" i="4" s="1"/>
  <c r="Q590" i="4" s="1"/>
  <c r="S590" i="4" s="1"/>
  <c r="O678" i="4"/>
  <c r="P678" i="4" s="1"/>
  <c r="Q678" i="4" s="1"/>
  <c r="S678" i="4" s="1"/>
  <c r="O766" i="4"/>
  <c r="P766" i="4" s="1"/>
  <c r="Q766" i="4" s="1"/>
  <c r="S766" i="4" s="1"/>
  <c r="O794" i="4"/>
  <c r="P794" i="4" s="1"/>
  <c r="Q794" i="4" s="1"/>
  <c r="S794" i="4" s="1"/>
  <c r="U794" i="4" s="1"/>
  <c r="V794" i="4" s="1"/>
  <c r="O799" i="4"/>
  <c r="P799" i="4" s="1"/>
  <c r="Q799" i="4" s="1"/>
  <c r="S799" i="4" s="1"/>
  <c r="O803" i="4"/>
  <c r="P803" i="4" s="1"/>
  <c r="Q803" i="4" s="1"/>
  <c r="S803" i="4" s="1"/>
  <c r="U803" i="4" s="1"/>
  <c r="V803" i="4" s="1"/>
  <c r="O998" i="4"/>
  <c r="P998" i="4" s="1"/>
  <c r="Q998" i="4" s="1"/>
  <c r="S998" i="4" s="1"/>
  <c r="U998" i="4" s="1"/>
  <c r="V998" i="4" s="1"/>
  <c r="O13" i="4"/>
  <c r="P13" i="4" s="1"/>
  <c r="Q13" i="4" s="1"/>
  <c r="S13" i="4" s="1"/>
  <c r="O24" i="4"/>
  <c r="P24" i="4" s="1"/>
  <c r="Q24" i="4" s="1"/>
  <c r="S24" i="4" s="1"/>
  <c r="U24" i="4" s="1"/>
  <c r="V24" i="4" s="1"/>
  <c r="O30" i="4"/>
  <c r="P30" i="4" s="1"/>
  <c r="Q30" i="4" s="1"/>
  <c r="S30" i="4" s="1"/>
  <c r="U30" i="4" s="1"/>
  <c r="V30" i="4" s="1"/>
  <c r="O36" i="4"/>
  <c r="P36" i="4" s="1"/>
  <c r="O42" i="4"/>
  <c r="P42" i="4" s="1"/>
  <c r="Q42" i="4" s="1"/>
  <c r="S42" i="4" s="1"/>
  <c r="Q46" i="4"/>
  <c r="S46" i="4" s="1"/>
  <c r="O48" i="4"/>
  <c r="P48" i="4" s="1"/>
  <c r="Q48" i="4" s="1"/>
  <c r="S48" i="4" s="1"/>
  <c r="Q52" i="4"/>
  <c r="S52" i="4" s="1"/>
  <c r="O54" i="4"/>
  <c r="P54" i="4" s="1"/>
  <c r="Q54" i="4" s="1"/>
  <c r="S54" i="4" s="1"/>
  <c r="O60" i="4"/>
  <c r="P60" i="4" s="1"/>
  <c r="Q60" i="4" s="1"/>
  <c r="S60" i="4" s="1"/>
  <c r="O84" i="4"/>
  <c r="P84" i="4" s="1"/>
  <c r="Q84" i="4" s="1"/>
  <c r="S84" i="4" s="1"/>
  <c r="U84" i="4" s="1"/>
  <c r="V84" i="4" s="1"/>
  <c r="O105" i="4"/>
  <c r="P105" i="4" s="1"/>
  <c r="Q105" i="4" s="1"/>
  <c r="S105" i="4" s="1"/>
  <c r="U105" i="4" s="1"/>
  <c r="V105" i="4" s="1"/>
  <c r="O109" i="4"/>
  <c r="O128" i="4"/>
  <c r="P128" i="4" s="1"/>
  <c r="Q128" i="4" s="1"/>
  <c r="S128" i="4" s="1"/>
  <c r="O132" i="4"/>
  <c r="P132" i="4" s="1"/>
  <c r="Q132" i="4" s="1"/>
  <c r="S132" i="4" s="1"/>
  <c r="O136" i="4"/>
  <c r="P136" i="4" s="1"/>
  <c r="Q136" i="4" s="1"/>
  <c r="S136" i="4" s="1"/>
  <c r="O10" i="4"/>
  <c r="P10" i="4" s="1"/>
  <c r="Q10" i="4" s="1"/>
  <c r="S10" i="4" s="1"/>
  <c r="U10" i="4" s="1"/>
  <c r="V10" i="4" s="1"/>
  <c r="O16" i="4"/>
  <c r="P16" i="4" s="1"/>
  <c r="Q16" i="4" s="1"/>
  <c r="S16" i="4" s="1"/>
  <c r="U16" i="4" s="1"/>
  <c r="V16" i="4" s="1"/>
  <c r="O21" i="4"/>
  <c r="P21" i="4" s="1"/>
  <c r="Q21" i="4" s="1"/>
  <c r="S21" i="4" s="1"/>
  <c r="O27" i="4"/>
  <c r="P27" i="4" s="1"/>
  <c r="Q27" i="4" s="1"/>
  <c r="S27" i="4" s="1"/>
  <c r="O33" i="4"/>
  <c r="P33" i="4" s="1"/>
  <c r="Q33" i="4" s="1"/>
  <c r="S33" i="4" s="1"/>
  <c r="O39" i="4"/>
  <c r="P39" i="4" s="1"/>
  <c r="Q39" i="4" s="1"/>
  <c r="S39" i="4" s="1"/>
  <c r="O45" i="4"/>
  <c r="P45" i="4" s="1"/>
  <c r="Q45" i="4" s="1"/>
  <c r="S45" i="4" s="1"/>
  <c r="O51" i="4"/>
  <c r="P51" i="4" s="1"/>
  <c r="Q51" i="4" s="1"/>
  <c r="S51" i="4" s="1"/>
  <c r="O57" i="4"/>
  <c r="P57" i="4" s="1"/>
  <c r="Q57" i="4" s="1"/>
  <c r="S57" i="4" s="1"/>
  <c r="O63" i="4"/>
  <c r="P63" i="4" s="1"/>
  <c r="Q63" i="4" s="1"/>
  <c r="S63" i="4" s="1"/>
  <c r="O77" i="4"/>
  <c r="P77" i="4" s="1"/>
  <c r="Q77" i="4" s="1"/>
  <c r="S77" i="4" s="1"/>
  <c r="U77" i="4" s="1"/>
  <c r="V77" i="4" s="1"/>
  <c r="O82" i="4"/>
  <c r="P82" i="4" s="1"/>
  <c r="Q82" i="4" s="1"/>
  <c r="S82" i="4" s="1"/>
  <c r="O99" i="4"/>
  <c r="P99" i="4" s="1"/>
  <c r="Q99" i="4" s="1"/>
  <c r="S99" i="4" s="1"/>
  <c r="U99" i="4" s="1"/>
  <c r="V99" i="4" s="1"/>
  <c r="O103" i="4"/>
  <c r="P103" i="4" s="1"/>
  <c r="Q103" i="4" s="1"/>
  <c r="S103" i="4" s="1"/>
  <c r="U103" i="4" s="1"/>
  <c r="V103" i="4" s="1"/>
  <c r="O114" i="4"/>
  <c r="O122" i="4"/>
  <c r="P122" i="4" s="1"/>
  <c r="Q122" i="4" s="1"/>
  <c r="S122" i="4" s="1"/>
  <c r="O83" i="4"/>
  <c r="P83" i="4" s="1"/>
  <c r="Q83" i="4" s="1"/>
  <c r="S83" i="4" s="1"/>
  <c r="O95" i="4"/>
  <c r="P95" i="4" s="1"/>
  <c r="Q95" i="4" s="1"/>
  <c r="S95" i="4" s="1"/>
  <c r="O100" i="4"/>
  <c r="P100" i="4" s="1"/>
  <c r="Q100" i="4" s="1"/>
  <c r="S100" i="4" s="1"/>
  <c r="O111" i="4"/>
  <c r="P111" i="4" s="1"/>
  <c r="Q111" i="4" s="1"/>
  <c r="S111" i="4" s="1"/>
  <c r="U111" i="4" s="1"/>
  <c r="V111" i="4" s="1"/>
  <c r="O115" i="4"/>
  <c r="P115" i="4" s="1"/>
  <c r="Q115" i="4" s="1"/>
  <c r="S115" i="4" s="1"/>
  <c r="O119" i="4"/>
  <c r="P119" i="4" s="1"/>
  <c r="Q119" i="4" s="1"/>
  <c r="S119" i="4" s="1"/>
  <c r="U119" i="4" s="1"/>
  <c r="V119" i="4" s="1"/>
  <c r="O138" i="4"/>
  <c r="P138" i="4" s="1"/>
  <c r="Q138" i="4" s="1"/>
  <c r="S138" i="4" s="1"/>
  <c r="O141" i="4"/>
  <c r="P141" i="4" s="1"/>
  <c r="Q141" i="4" s="1"/>
  <c r="S141" i="4" s="1"/>
  <c r="O146" i="4"/>
  <c r="P146" i="4" s="1"/>
  <c r="Q146" i="4" s="1"/>
  <c r="S146" i="4" s="1"/>
  <c r="O158" i="4"/>
  <c r="P158" i="4" s="1"/>
  <c r="Q158" i="4" s="1"/>
  <c r="S158" i="4" s="1"/>
  <c r="U158" i="4" s="1"/>
  <c r="V158" i="4" s="1"/>
  <c r="O162" i="4"/>
  <c r="P162" i="4" s="1"/>
  <c r="Q162" i="4" s="1"/>
  <c r="S162" i="4" s="1"/>
  <c r="U162" i="4" s="1"/>
  <c r="V162" i="4" s="1"/>
  <c r="O166" i="4"/>
  <c r="P166" i="4" s="1"/>
  <c r="Q166" i="4" s="1"/>
  <c r="S166" i="4" s="1"/>
  <c r="O180" i="4"/>
  <c r="P180" i="4" s="1"/>
  <c r="Q180" i="4" s="1"/>
  <c r="S180" i="4" s="1"/>
  <c r="O184" i="4"/>
  <c r="P184" i="4" s="1"/>
  <c r="Q184" i="4" s="1"/>
  <c r="S184" i="4" s="1"/>
  <c r="O193" i="4"/>
  <c r="P193" i="4" s="1"/>
  <c r="Q193" i="4" s="1"/>
  <c r="S193" i="4" s="1"/>
  <c r="U193" i="4" s="1"/>
  <c r="V193" i="4" s="1"/>
  <c r="O205" i="4"/>
  <c r="P205" i="4" s="1"/>
  <c r="Q205" i="4" s="1"/>
  <c r="S205" i="4" s="1"/>
  <c r="O219" i="4"/>
  <c r="O224" i="4"/>
  <c r="P224" i="4" s="1"/>
  <c r="Q224" i="4" s="1"/>
  <c r="S224" i="4" s="1"/>
  <c r="O238" i="4"/>
  <c r="P238" i="4" s="1"/>
  <c r="Q238" i="4" s="1"/>
  <c r="S238" i="4" s="1"/>
  <c r="U238" i="4" s="1"/>
  <c r="V238" i="4" s="1"/>
  <c r="O243" i="4"/>
  <c r="P243" i="4" s="1"/>
  <c r="Q243" i="4" s="1"/>
  <c r="S243" i="4" s="1"/>
  <c r="O248" i="4"/>
  <c r="P248" i="4" s="1"/>
  <c r="Q248" i="4" s="1"/>
  <c r="S248" i="4" s="1"/>
  <c r="O267" i="4"/>
  <c r="P267" i="4" s="1"/>
  <c r="Q267" i="4" s="1"/>
  <c r="S267" i="4" s="1"/>
  <c r="U267" i="4" s="1"/>
  <c r="V267" i="4" s="1"/>
  <c r="O286" i="4"/>
  <c r="P286" i="4" s="1"/>
  <c r="Q286" i="4" s="1"/>
  <c r="S286" i="4" s="1"/>
  <c r="U286" i="4" s="1"/>
  <c r="V286" i="4" s="1"/>
  <c r="O291" i="4"/>
  <c r="P291" i="4" s="1"/>
  <c r="Q291" i="4" s="1"/>
  <c r="S291" i="4" s="1"/>
  <c r="O295" i="4"/>
  <c r="P295" i="4" s="1"/>
  <c r="Q295" i="4" s="1"/>
  <c r="S295" i="4" s="1"/>
  <c r="U295" i="4" s="1"/>
  <c r="V295" i="4" s="1"/>
  <c r="O300" i="4"/>
  <c r="P300" i="4" s="1"/>
  <c r="Q300" i="4" s="1"/>
  <c r="S300" i="4" s="1"/>
  <c r="U300" i="4" s="1"/>
  <c r="V300" i="4" s="1"/>
  <c r="O322" i="4"/>
  <c r="P322" i="4" s="1"/>
  <c r="Q322" i="4" s="1"/>
  <c r="S322" i="4" s="1"/>
  <c r="O323" i="4"/>
  <c r="P323" i="4" s="1"/>
  <c r="Q323" i="4" s="1"/>
  <c r="S323" i="4" s="1"/>
  <c r="O328" i="4"/>
  <c r="O329" i="4"/>
  <c r="P329" i="4" s="1"/>
  <c r="Q329" i="4" s="1"/>
  <c r="S329" i="4" s="1"/>
  <c r="O356" i="4"/>
  <c r="P356" i="4" s="1"/>
  <c r="Q356" i="4" s="1"/>
  <c r="S356" i="4" s="1"/>
  <c r="O361" i="4"/>
  <c r="P361" i="4" s="1"/>
  <c r="Q361" i="4" s="1"/>
  <c r="S361" i="4" s="1"/>
  <c r="O366" i="4"/>
  <c r="P366" i="4" s="1"/>
  <c r="Q366" i="4" s="1"/>
  <c r="S366" i="4" s="1"/>
  <c r="O380" i="4"/>
  <c r="P380" i="4" s="1"/>
  <c r="Q380" i="4" s="1"/>
  <c r="S380" i="4" s="1"/>
  <c r="O408" i="4"/>
  <c r="P408" i="4" s="1"/>
  <c r="Q408" i="4" s="1"/>
  <c r="S408" i="4" s="1"/>
  <c r="O422" i="4"/>
  <c r="P422" i="4" s="1"/>
  <c r="Q422" i="4" s="1"/>
  <c r="S422" i="4" s="1"/>
  <c r="O437" i="4"/>
  <c r="P437" i="4" s="1"/>
  <c r="Q437" i="4" s="1"/>
  <c r="S437" i="4" s="1"/>
  <c r="O447" i="4"/>
  <c r="P447" i="4" s="1"/>
  <c r="Q447" i="4" s="1"/>
  <c r="S447" i="4" s="1"/>
  <c r="U447" i="4" s="1"/>
  <c r="V447" i="4" s="1"/>
  <c r="O455" i="4"/>
  <c r="P455" i="4" s="1"/>
  <c r="Q455" i="4" s="1"/>
  <c r="S455" i="4" s="1"/>
  <c r="O466" i="4"/>
  <c r="P466" i="4" s="1"/>
  <c r="Q466" i="4" s="1"/>
  <c r="S466" i="4" s="1"/>
  <c r="O474" i="4"/>
  <c r="P474" i="4" s="1"/>
  <c r="Q474" i="4" s="1"/>
  <c r="S474" i="4" s="1"/>
  <c r="O506" i="4"/>
  <c r="P506" i="4" s="1"/>
  <c r="Q506" i="4" s="1"/>
  <c r="S506" i="4" s="1"/>
  <c r="O510" i="4"/>
  <c r="P510" i="4" s="1"/>
  <c r="Q510" i="4" s="1"/>
  <c r="S510" i="4" s="1"/>
  <c r="O514" i="4"/>
  <c r="P514" i="4" s="1"/>
  <c r="Q514" i="4" s="1"/>
  <c r="S514" i="4" s="1"/>
  <c r="O562" i="4"/>
  <c r="P562" i="4" s="1"/>
  <c r="Q562" i="4" s="1"/>
  <c r="S562" i="4" s="1"/>
  <c r="O596" i="4"/>
  <c r="P596" i="4" s="1"/>
  <c r="Q596" i="4" s="1"/>
  <c r="S596" i="4" s="1"/>
  <c r="O606" i="4"/>
  <c r="P606" i="4" s="1"/>
  <c r="Q606" i="4" s="1"/>
  <c r="S606" i="4" s="1"/>
  <c r="O616" i="4"/>
  <c r="P616" i="4" s="1"/>
  <c r="Q616" i="4" s="1"/>
  <c r="S616" i="4" s="1"/>
  <c r="O634" i="4"/>
  <c r="P634" i="4" s="1"/>
  <c r="Q634" i="4" s="1"/>
  <c r="S634" i="4" s="1"/>
  <c r="U634" i="4" s="1"/>
  <c r="V634" i="4" s="1"/>
  <c r="O656" i="4"/>
  <c r="P656" i="4" s="1"/>
  <c r="Q656" i="4" s="1"/>
  <c r="S656" i="4" s="1"/>
  <c r="O668" i="4"/>
  <c r="P668" i="4" s="1"/>
  <c r="Q668" i="4" s="1"/>
  <c r="S668" i="4" s="1"/>
  <c r="O711" i="4"/>
  <c r="P711" i="4" s="1"/>
  <c r="Q711" i="4" s="1"/>
  <c r="S711" i="4" s="1"/>
  <c r="O720" i="4"/>
  <c r="P720" i="4" s="1"/>
  <c r="Q720" i="4" s="1"/>
  <c r="S720" i="4" s="1"/>
  <c r="O745" i="4"/>
  <c r="P745" i="4" s="1"/>
  <c r="Q745" i="4" s="1"/>
  <c r="S745" i="4" s="1"/>
  <c r="O756" i="4"/>
  <c r="P756" i="4" s="1"/>
  <c r="Q756" i="4" s="1"/>
  <c r="S756" i="4" s="1"/>
  <c r="O777" i="4"/>
  <c r="P777" i="4" s="1"/>
  <c r="Q777" i="4" s="1"/>
  <c r="S777" i="4" s="1"/>
  <c r="O781" i="4"/>
  <c r="P781" i="4" s="1"/>
  <c r="Q781" i="4" s="1"/>
  <c r="S781" i="4" s="1"/>
  <c r="U781" i="4" s="1"/>
  <c r="V781" i="4" s="1"/>
  <c r="O785" i="4"/>
  <c r="P785" i="4" s="1"/>
  <c r="Q785" i="4" s="1"/>
  <c r="S785" i="4" s="1"/>
  <c r="O790" i="4"/>
  <c r="P790" i="4" s="1"/>
  <c r="Q790" i="4" s="1"/>
  <c r="S790" i="4" s="1"/>
  <c r="U790" i="4" s="1"/>
  <c r="V790" i="4" s="1"/>
  <c r="O795" i="4"/>
  <c r="P795" i="4" s="1"/>
  <c r="Q795" i="4" s="1"/>
  <c r="S795" i="4" s="1"/>
  <c r="O821" i="4"/>
  <c r="P821" i="4" s="1"/>
  <c r="Q821" i="4" s="1"/>
  <c r="S821" i="4" s="1"/>
  <c r="O826" i="4"/>
  <c r="P826" i="4" s="1"/>
  <c r="Q826" i="4" s="1"/>
  <c r="S826" i="4" s="1"/>
  <c r="O878" i="4"/>
  <c r="P878" i="4" s="1"/>
  <c r="Q878" i="4" s="1"/>
  <c r="S878" i="4" s="1"/>
  <c r="O881" i="4"/>
  <c r="P881" i="4" s="1"/>
  <c r="Q881" i="4" s="1"/>
  <c r="S881" i="4" s="1"/>
  <c r="U881" i="4" s="1"/>
  <c r="V881" i="4" s="1"/>
  <c r="O889" i="4"/>
  <c r="P889" i="4" s="1"/>
  <c r="Q889" i="4" s="1"/>
  <c r="S889" i="4" s="1"/>
  <c r="O890" i="4"/>
  <c r="P890" i="4" s="1"/>
  <c r="Q890" i="4" s="1"/>
  <c r="S890" i="4" s="1"/>
  <c r="U890" i="4" s="1"/>
  <c r="V890" i="4" s="1"/>
  <c r="O896" i="4"/>
  <c r="P896" i="4" s="1"/>
  <c r="Q896" i="4" s="1"/>
  <c r="S896" i="4" s="1"/>
  <c r="U896" i="4" s="1"/>
  <c r="V896" i="4" s="1"/>
  <c r="O905" i="4"/>
  <c r="P905" i="4" s="1"/>
  <c r="Q905" i="4" s="1"/>
  <c r="S905" i="4" s="1"/>
  <c r="O910" i="4"/>
  <c r="P910" i="4" s="1"/>
  <c r="Q910" i="4" s="1"/>
  <c r="S910" i="4" s="1"/>
  <c r="O944" i="4"/>
  <c r="P944" i="4" s="1"/>
  <c r="Q944" i="4" s="1"/>
  <c r="S944" i="4" s="1"/>
  <c r="O948" i="4"/>
  <c r="O965" i="4"/>
  <c r="P965" i="4" s="1"/>
  <c r="Q965" i="4" s="1"/>
  <c r="S965" i="4" s="1"/>
  <c r="O970" i="4"/>
  <c r="P970" i="4" s="1"/>
  <c r="Q970" i="4" s="1"/>
  <c r="S970" i="4" s="1"/>
  <c r="O142" i="4"/>
  <c r="P142" i="4" s="1"/>
  <c r="Q142" i="4" s="1"/>
  <c r="S142" i="4" s="1"/>
  <c r="U142" i="4" s="1"/>
  <c r="V142" i="4" s="1"/>
  <c r="O163" i="4"/>
  <c r="P163" i="4" s="1"/>
  <c r="Q163" i="4" s="1"/>
  <c r="S163" i="4" s="1"/>
  <c r="O181" i="4"/>
  <c r="P181" i="4" s="1"/>
  <c r="Q181" i="4" s="1"/>
  <c r="S181" i="4" s="1"/>
  <c r="P206" i="4"/>
  <c r="Q206" i="4" s="1"/>
  <c r="S206" i="4" s="1"/>
  <c r="O210" i="4"/>
  <c r="P210" i="4" s="1"/>
  <c r="Q210" i="4" s="1"/>
  <c r="S210" i="4" s="1"/>
  <c r="U210" i="4" s="1"/>
  <c r="V210" i="4" s="1"/>
  <c r="O220" i="4"/>
  <c r="P220" i="4" s="1"/>
  <c r="Q220" i="4" s="1"/>
  <c r="S220" i="4" s="1"/>
  <c r="O244" i="4"/>
  <c r="P244" i="4" s="1"/>
  <c r="Q244" i="4" s="1"/>
  <c r="S244" i="4" s="1"/>
  <c r="O249" i="4"/>
  <c r="P249" i="4" s="1"/>
  <c r="Q249" i="4" s="1"/>
  <c r="S249" i="4" s="1"/>
  <c r="U249" i="4" s="1"/>
  <c r="V249" i="4" s="1"/>
  <c r="O254" i="4"/>
  <c r="P254" i="4" s="1"/>
  <c r="Q254" i="4" s="1"/>
  <c r="S254" i="4" s="1"/>
  <c r="O268" i="4"/>
  <c r="P268" i="4" s="1"/>
  <c r="Q268" i="4" s="1"/>
  <c r="S268" i="4" s="1"/>
  <c r="O272" i="4"/>
  <c r="P272" i="4" s="1"/>
  <c r="Q272" i="4" s="1"/>
  <c r="S272" i="4" s="1"/>
  <c r="O293" i="4"/>
  <c r="P293" i="4" s="1"/>
  <c r="Q293" i="4" s="1"/>
  <c r="S293" i="4" s="1"/>
  <c r="O313" i="4"/>
  <c r="P313" i="4" s="1"/>
  <c r="Q313" i="4" s="1"/>
  <c r="S313" i="4" s="1"/>
  <c r="O318" i="4"/>
  <c r="P318" i="4" s="1"/>
  <c r="Q318" i="4" s="1"/>
  <c r="S318" i="4" s="1"/>
  <c r="O452" i="4"/>
  <c r="P452" i="4" s="1"/>
  <c r="Q452" i="4" s="1"/>
  <c r="S452" i="4" s="1"/>
  <c r="O554" i="4"/>
  <c r="P554" i="4" s="1"/>
  <c r="Q554" i="4" s="1"/>
  <c r="S554" i="4" s="1"/>
  <c r="U554" i="4" s="1"/>
  <c r="V554" i="4" s="1"/>
  <c r="O566" i="4"/>
  <c r="P566" i="4" s="1"/>
  <c r="Q566" i="4" s="1"/>
  <c r="S566" i="4" s="1"/>
  <c r="U566" i="4" s="1"/>
  <c r="V566" i="4" s="1"/>
  <c r="O570" i="4"/>
  <c r="P570" i="4" s="1"/>
  <c r="Q570" i="4" s="1"/>
  <c r="S570" i="4" s="1"/>
  <c r="O576" i="4"/>
  <c r="P576" i="4" s="1"/>
  <c r="Q576" i="4" s="1"/>
  <c r="S576" i="4" s="1"/>
  <c r="U576" i="4" s="1"/>
  <c r="V576" i="4" s="1"/>
  <c r="O841" i="4"/>
  <c r="P841" i="4" s="1"/>
  <c r="Q841" i="4" s="1"/>
  <c r="S841" i="4" s="1"/>
  <c r="U841" i="4" s="1"/>
  <c r="V841" i="4" s="1"/>
  <c r="O851" i="4"/>
  <c r="P851" i="4" s="1"/>
  <c r="Q851" i="4" s="1"/>
  <c r="S851" i="4" s="1"/>
  <c r="U851" i="4" s="1"/>
  <c r="V851" i="4" s="1"/>
  <c r="O911" i="4"/>
  <c r="P911" i="4" s="1"/>
  <c r="Q911" i="4" s="1"/>
  <c r="S911" i="4" s="1"/>
  <c r="O936" i="4"/>
  <c r="P936" i="4" s="1"/>
  <c r="Q936" i="4" s="1"/>
  <c r="S936" i="4" s="1"/>
  <c r="O960" i="4"/>
  <c r="P960" i="4" s="1"/>
  <c r="Q960" i="4" s="1"/>
  <c r="S960" i="4" s="1"/>
  <c r="O372" i="4"/>
  <c r="P372" i="4" s="1"/>
  <c r="Q372" i="4" s="1"/>
  <c r="S372" i="4" s="1"/>
  <c r="U372" i="4" s="1"/>
  <c r="V372" i="4" s="1"/>
  <c r="O386" i="4"/>
  <c r="P386" i="4" s="1"/>
  <c r="Q386" i="4" s="1"/>
  <c r="S386" i="4" s="1"/>
  <c r="O434" i="4"/>
  <c r="P434" i="4" s="1"/>
  <c r="Q434" i="4" s="1"/>
  <c r="S434" i="4" s="1"/>
  <c r="O460" i="4"/>
  <c r="P460" i="4" s="1"/>
  <c r="Q460" i="4" s="1"/>
  <c r="S460" i="4" s="1"/>
  <c r="O464" i="4"/>
  <c r="P464" i="4" s="1"/>
  <c r="Q464" i="4" s="1"/>
  <c r="S464" i="4" s="1"/>
  <c r="U464" i="4" s="1"/>
  <c r="V464" i="4" s="1"/>
  <c r="O487" i="4"/>
  <c r="P487" i="4" s="1"/>
  <c r="Q487" i="4" s="1"/>
  <c r="S487" i="4" s="1"/>
  <c r="U487" i="4" s="1"/>
  <c r="V487" i="4" s="1"/>
  <c r="O499" i="4"/>
  <c r="P499" i="4" s="1"/>
  <c r="Q499" i="4" s="1"/>
  <c r="S499" i="4" s="1"/>
  <c r="O519" i="4"/>
  <c r="P519" i="4" s="1"/>
  <c r="Q519" i="4" s="1"/>
  <c r="S519" i="4" s="1"/>
  <c r="O526" i="4"/>
  <c r="P526" i="4" s="1"/>
  <c r="Q526" i="4" s="1"/>
  <c r="S526" i="4" s="1"/>
  <c r="U526" i="4" s="1"/>
  <c r="V526" i="4" s="1"/>
  <c r="O530" i="4"/>
  <c r="P530" i="4" s="1"/>
  <c r="Q530" i="4" s="1"/>
  <c r="S530" i="4" s="1"/>
  <c r="O580" i="4"/>
  <c r="P580" i="4" s="1"/>
  <c r="Q580" i="4" s="1"/>
  <c r="S580" i="4" s="1"/>
  <c r="O598" i="4"/>
  <c r="P598" i="4" s="1"/>
  <c r="Q598" i="4" s="1"/>
  <c r="S598" i="4" s="1"/>
  <c r="O627" i="4"/>
  <c r="P627" i="4" s="1"/>
  <c r="Q627" i="4" s="1"/>
  <c r="S627" i="4" s="1"/>
  <c r="O628" i="4"/>
  <c r="P628" i="4" s="1"/>
  <c r="Q628" i="4" s="1"/>
  <c r="S628" i="4" s="1"/>
  <c r="U628" i="4" s="1"/>
  <c r="V628" i="4" s="1"/>
  <c r="O650" i="4"/>
  <c r="P650" i="4" s="1"/>
  <c r="Q650" i="4" s="1"/>
  <c r="S650" i="4" s="1"/>
  <c r="O661" i="4"/>
  <c r="P661" i="4" s="1"/>
  <c r="Q661" i="4" s="1"/>
  <c r="S661" i="4" s="1"/>
  <c r="O727" i="4"/>
  <c r="P727" i="4" s="1"/>
  <c r="Q727" i="4" s="1"/>
  <c r="S727" i="4" s="1"/>
  <c r="O747" i="4"/>
  <c r="P747" i="4" s="1"/>
  <c r="Q747" i="4" s="1"/>
  <c r="S747" i="4" s="1"/>
  <c r="O762" i="4"/>
  <c r="P762" i="4" s="1"/>
  <c r="Q762" i="4" s="1"/>
  <c r="S762" i="4" s="1"/>
  <c r="O763" i="4"/>
  <c r="P763" i="4" s="1"/>
  <c r="Q763" i="4" s="1"/>
  <c r="S763" i="4" s="1"/>
  <c r="U763" i="4" s="1"/>
  <c r="V763" i="4" s="1"/>
  <c r="O768" i="4"/>
  <c r="P768" i="4" s="1"/>
  <c r="Q768" i="4" s="1"/>
  <c r="S768" i="4" s="1"/>
  <c r="O774" i="4"/>
  <c r="P774" i="4" s="1"/>
  <c r="Q774" i="4" s="1"/>
  <c r="S774" i="4" s="1"/>
  <c r="O786" i="4"/>
  <c r="P786" i="4" s="1"/>
  <c r="Q786" i="4" s="1"/>
  <c r="S786" i="4" s="1"/>
  <c r="O834" i="4"/>
  <c r="P834" i="4" s="1"/>
  <c r="Q834" i="4" s="1"/>
  <c r="S834" i="4" s="1"/>
  <c r="U834" i="4" s="1"/>
  <c r="V834" i="4" s="1"/>
  <c r="O852" i="4"/>
  <c r="P852" i="4" s="1"/>
  <c r="Q852" i="4" s="1"/>
  <c r="S852" i="4" s="1"/>
  <c r="U852" i="4" s="1"/>
  <c r="V852" i="4" s="1"/>
  <c r="P875" i="4"/>
  <c r="Q875" i="4" s="1"/>
  <c r="S875" i="4" s="1"/>
  <c r="O892" i="4"/>
  <c r="P892" i="4" s="1"/>
  <c r="Q892" i="4" s="1"/>
  <c r="S892" i="4" s="1"/>
  <c r="O899" i="4"/>
  <c r="P899" i="4" s="1"/>
  <c r="Q899" i="4" s="1"/>
  <c r="S899" i="4" s="1"/>
  <c r="O971" i="4"/>
  <c r="P971" i="4" s="1"/>
  <c r="Q971" i="4" s="1"/>
  <c r="S971" i="4" s="1"/>
  <c r="O977" i="4"/>
  <c r="P977" i="4" s="1"/>
  <c r="Q977" i="4" s="1"/>
  <c r="S977" i="4" s="1"/>
  <c r="O982" i="4"/>
  <c r="P982" i="4" s="1"/>
  <c r="Q982" i="4" s="1"/>
  <c r="S982" i="4" s="1"/>
  <c r="O152" i="4"/>
  <c r="P152" i="4" s="1"/>
  <c r="Q152" i="4" s="1"/>
  <c r="S152" i="4" s="1"/>
  <c r="O171" i="4"/>
  <c r="P171" i="4" s="1"/>
  <c r="Q171" i="4" s="1"/>
  <c r="S171" i="4" s="1"/>
  <c r="U171" i="4" s="1"/>
  <c r="V171" i="4" s="1"/>
  <c r="O175" i="4"/>
  <c r="P175" i="4" s="1"/>
  <c r="Q175" i="4" s="1"/>
  <c r="S175" i="4" s="1"/>
  <c r="U175" i="4" s="1"/>
  <c r="V175" i="4" s="1"/>
  <c r="O207" i="4"/>
  <c r="P207" i="4" s="1"/>
  <c r="Q207" i="4" s="1"/>
  <c r="S207" i="4" s="1"/>
  <c r="O221" i="4"/>
  <c r="P221" i="4" s="1"/>
  <c r="Q221" i="4" s="1"/>
  <c r="S221" i="4" s="1"/>
  <c r="U221" i="4" s="1"/>
  <c r="V221" i="4" s="1"/>
  <c r="O231" i="4"/>
  <c r="P231" i="4" s="1"/>
  <c r="Q231" i="4" s="1"/>
  <c r="S231" i="4" s="1"/>
  <c r="O256" i="4"/>
  <c r="P256" i="4" s="1"/>
  <c r="Q256" i="4" s="1"/>
  <c r="S256" i="4" s="1"/>
  <c r="U256" i="4" s="1"/>
  <c r="V256" i="4" s="1"/>
  <c r="O260" i="4"/>
  <c r="P260" i="4" s="1"/>
  <c r="Q260" i="4" s="1"/>
  <c r="S260" i="4" s="1"/>
  <c r="O274" i="4"/>
  <c r="P274" i="4" s="1"/>
  <c r="Q274" i="4" s="1"/>
  <c r="S274" i="4" s="1"/>
  <c r="O278" i="4"/>
  <c r="P278" i="4" s="1"/>
  <c r="Q278" i="4" s="1"/>
  <c r="S278" i="4" s="1"/>
  <c r="U278" i="4" s="1"/>
  <c r="V278" i="4" s="1"/>
  <c r="O332" i="4"/>
  <c r="P332" i="4" s="1"/>
  <c r="Q332" i="4" s="1"/>
  <c r="S332" i="4" s="1"/>
  <c r="O338" i="4"/>
  <c r="P338" i="4" s="1"/>
  <c r="Q338" i="4" s="1"/>
  <c r="S338" i="4" s="1"/>
  <c r="O344" i="4"/>
  <c r="P344" i="4" s="1"/>
  <c r="Q344" i="4" s="1"/>
  <c r="S344" i="4" s="1"/>
  <c r="O354" i="4"/>
  <c r="P354" i="4" s="1"/>
  <c r="Q354" i="4" s="1"/>
  <c r="S354" i="4" s="1"/>
  <c r="O420" i="4"/>
  <c r="P420" i="4" s="1"/>
  <c r="Q420" i="4" s="1"/>
  <c r="S420" i="4" s="1"/>
  <c r="U420" i="4" s="1"/>
  <c r="V420" i="4" s="1"/>
  <c r="P430" i="4"/>
  <c r="Q430" i="4" s="1"/>
  <c r="S430" i="4" s="1"/>
  <c r="U430" i="4" s="1"/>
  <c r="V430" i="4" s="1"/>
  <c r="O449" i="4"/>
  <c r="P449" i="4" s="1"/>
  <c r="Q449" i="4" s="1"/>
  <c r="S449" i="4" s="1"/>
  <c r="O457" i="4"/>
  <c r="P457" i="4" s="1"/>
  <c r="Q457" i="4" s="1"/>
  <c r="S457" i="4" s="1"/>
  <c r="O476" i="4"/>
  <c r="P476" i="4" s="1"/>
  <c r="Q476" i="4" s="1"/>
  <c r="S476" i="4" s="1"/>
  <c r="O483" i="4"/>
  <c r="P483" i="4" s="1"/>
  <c r="Q483" i="4" s="1"/>
  <c r="S483" i="4" s="1"/>
  <c r="U483" i="4" s="1"/>
  <c r="V483" i="4" s="1"/>
  <c r="O512" i="4"/>
  <c r="P512" i="4" s="1"/>
  <c r="Q512" i="4" s="1"/>
  <c r="S512" i="4" s="1"/>
  <c r="U512" i="4" s="1"/>
  <c r="V512" i="4" s="1"/>
  <c r="O564" i="4"/>
  <c r="P564" i="4" s="1"/>
  <c r="Q564" i="4" s="1"/>
  <c r="S564" i="4" s="1"/>
  <c r="O584" i="4"/>
  <c r="P584" i="4" s="1"/>
  <c r="Q584" i="4" s="1"/>
  <c r="S584" i="4" s="1"/>
  <c r="Q602" i="4"/>
  <c r="S602" i="4" s="1"/>
  <c r="O604" i="4"/>
  <c r="P604" i="4" s="1"/>
  <c r="Q604" i="4" s="1"/>
  <c r="S604" i="4" s="1"/>
  <c r="O608" i="4"/>
  <c r="P608" i="4" s="1"/>
  <c r="Q608" i="4" s="1"/>
  <c r="S608" i="4" s="1"/>
  <c r="O632" i="4"/>
  <c r="P632" i="4" s="1"/>
  <c r="Q632" i="4" s="1"/>
  <c r="S632" i="4" s="1"/>
  <c r="U632" i="4" s="1"/>
  <c r="V632" i="4" s="1"/>
  <c r="O662" i="4"/>
  <c r="P662" i="4" s="1"/>
  <c r="Q662" i="4" s="1"/>
  <c r="S662" i="4" s="1"/>
  <c r="O669" i="4"/>
  <c r="P669" i="4" s="1"/>
  <c r="Q669" i="4" s="1"/>
  <c r="S669" i="4" s="1"/>
  <c r="U669" i="4" s="1"/>
  <c r="V669" i="4" s="1"/>
  <c r="O673" i="4"/>
  <c r="P673" i="4" s="1"/>
  <c r="Q673" i="4" s="1"/>
  <c r="S673" i="4" s="1"/>
  <c r="U673" i="4" s="1"/>
  <c r="V673" i="4" s="1"/>
  <c r="O681" i="4"/>
  <c r="P681" i="4" s="1"/>
  <c r="Q681" i="4" s="1"/>
  <c r="S681" i="4" s="1"/>
  <c r="O698" i="4"/>
  <c r="P698" i="4" s="1"/>
  <c r="Q698" i="4" s="1"/>
  <c r="S698" i="4" s="1"/>
  <c r="O748" i="4"/>
  <c r="P748" i="4" s="1"/>
  <c r="Q748" i="4" s="1"/>
  <c r="S748" i="4" s="1"/>
  <c r="O753" i="4"/>
  <c r="P753" i="4" s="1"/>
  <c r="Q753" i="4" s="1"/>
  <c r="S753" i="4" s="1"/>
  <c r="O758" i="4"/>
  <c r="P758" i="4" s="1"/>
  <c r="Q758" i="4" s="1"/>
  <c r="S758" i="4" s="1"/>
  <c r="U758" i="4" s="1"/>
  <c r="V758" i="4" s="1"/>
  <c r="O764" i="4"/>
  <c r="P764" i="4" s="1"/>
  <c r="Q764" i="4" s="1"/>
  <c r="S764" i="4" s="1"/>
  <c r="O770" i="4"/>
  <c r="P770" i="4" s="1"/>
  <c r="Q770" i="4" s="1"/>
  <c r="S770" i="4" s="1"/>
  <c r="U770" i="4" s="1"/>
  <c r="V770" i="4" s="1"/>
  <c r="O779" i="4"/>
  <c r="P779" i="4" s="1"/>
  <c r="Q779" i="4" s="1"/>
  <c r="S779" i="4" s="1"/>
  <c r="O805" i="4"/>
  <c r="P805" i="4" s="1"/>
  <c r="Q805" i="4" s="1"/>
  <c r="S805" i="4" s="1"/>
  <c r="O831" i="4"/>
  <c r="P831" i="4" s="1"/>
  <c r="Q831" i="4" s="1"/>
  <c r="S831" i="4" s="1"/>
  <c r="O847" i="4"/>
  <c r="P847" i="4" s="1"/>
  <c r="Q847" i="4" s="1"/>
  <c r="S847" i="4" s="1"/>
  <c r="O884" i="4"/>
  <c r="P884" i="4" s="1"/>
  <c r="Q884" i="4" s="1"/>
  <c r="S884" i="4" s="1"/>
  <c r="U884" i="4" s="1"/>
  <c r="V884" i="4" s="1"/>
  <c r="O928" i="4"/>
  <c r="P928" i="4" s="1"/>
  <c r="Q928" i="4" s="1"/>
  <c r="S928" i="4" s="1"/>
  <c r="O972" i="4"/>
  <c r="P972" i="4" s="1"/>
  <c r="Q972" i="4" s="1"/>
  <c r="S972" i="4" s="1"/>
  <c r="O983" i="4"/>
  <c r="P983" i="4" s="1"/>
  <c r="Q983" i="4" s="1"/>
  <c r="S983" i="4" s="1"/>
  <c r="O994" i="4"/>
  <c r="P994" i="4" s="1"/>
  <c r="Q994" i="4" s="1"/>
  <c r="S994" i="4" s="1"/>
  <c r="O149" i="4"/>
  <c r="P149" i="4" s="1"/>
  <c r="Q149" i="4" s="1"/>
  <c r="S149" i="4" s="1"/>
  <c r="O172" i="4"/>
  <c r="P172" i="4" s="1"/>
  <c r="Q172" i="4" s="1"/>
  <c r="S172" i="4" s="1"/>
  <c r="O284" i="4"/>
  <c r="P284" i="4" s="1"/>
  <c r="Q284" i="4" s="1"/>
  <c r="S284" i="4" s="1"/>
  <c r="O317" i="4"/>
  <c r="P317" i="4" s="1"/>
  <c r="Q317" i="4" s="1"/>
  <c r="S317" i="4" s="1"/>
  <c r="O445" i="4"/>
  <c r="P445" i="4" s="1"/>
  <c r="Q445" i="4" s="1"/>
  <c r="S445" i="4" s="1"/>
  <c r="U445" i="4" s="1"/>
  <c r="V445" i="4" s="1"/>
  <c r="O458" i="4"/>
  <c r="P458" i="4" s="1"/>
  <c r="Q458" i="4" s="1"/>
  <c r="S458" i="4" s="1"/>
  <c r="O480" i="4"/>
  <c r="P480" i="4" s="1"/>
  <c r="Q480" i="4" s="1"/>
  <c r="S480" i="4" s="1"/>
  <c r="O492" i="4"/>
  <c r="P492" i="4" s="1"/>
  <c r="Q492" i="4" s="1"/>
  <c r="S492" i="4" s="1"/>
  <c r="Q560" i="4"/>
  <c r="S560" i="4" s="1"/>
  <c r="U560" i="4" s="1"/>
  <c r="V560" i="4" s="1"/>
  <c r="O578" i="4"/>
  <c r="P578" i="4" s="1"/>
  <c r="Q578" i="4" s="1"/>
  <c r="S578" i="4" s="1"/>
  <c r="O624" i="4"/>
  <c r="P624" i="4" s="1"/>
  <c r="Q624" i="4" s="1"/>
  <c r="S624" i="4" s="1"/>
  <c r="U624" i="4" s="1"/>
  <c r="V624" i="4" s="1"/>
  <c r="O643" i="4"/>
  <c r="P643" i="4" s="1"/>
  <c r="Q643" i="4" s="1"/>
  <c r="S643" i="4" s="1"/>
  <c r="U643" i="4" s="1"/>
  <c r="V643" i="4" s="1"/>
  <c r="O682" i="4"/>
  <c r="P682" i="4" s="1"/>
  <c r="Q682" i="4" s="1"/>
  <c r="S682" i="4" s="1"/>
  <c r="U682" i="4" s="1"/>
  <c r="V682" i="4" s="1"/>
  <c r="O709" i="4"/>
  <c r="P709" i="4" s="1"/>
  <c r="Q709" i="4" s="1"/>
  <c r="S709" i="4" s="1"/>
  <c r="O719" i="4"/>
  <c r="P719" i="4" s="1"/>
  <c r="Q719" i="4" s="1"/>
  <c r="S719" i="4" s="1"/>
  <c r="O729" i="4"/>
  <c r="P729" i="4" s="1"/>
  <c r="Q729" i="4" s="1"/>
  <c r="S729" i="4" s="1"/>
  <c r="O738" i="4"/>
  <c r="P738" i="4" s="1"/>
  <c r="Q738" i="4" s="1"/>
  <c r="S738" i="4" s="1"/>
  <c r="O759" i="4"/>
  <c r="P759" i="4" s="1"/>
  <c r="Q759" i="4" s="1"/>
  <c r="S759" i="4" s="1"/>
  <c r="O765" i="4"/>
  <c r="P765" i="4" s="1"/>
  <c r="Q765" i="4" s="1"/>
  <c r="S765" i="4" s="1"/>
  <c r="O771" i="4"/>
  <c r="P771" i="4" s="1"/>
  <c r="Q771" i="4" s="1"/>
  <c r="S771" i="4" s="1"/>
  <c r="U771" i="4" s="1"/>
  <c r="V771" i="4" s="1"/>
  <c r="O776" i="4"/>
  <c r="P776" i="4" s="1"/>
  <c r="Q776" i="4" s="1"/>
  <c r="S776" i="4" s="1"/>
  <c r="O798" i="4"/>
  <c r="P798" i="4" s="1"/>
  <c r="Q798" i="4" s="1"/>
  <c r="S798" i="4" s="1"/>
  <c r="O810" i="4"/>
  <c r="P810" i="4" s="1"/>
  <c r="Q810" i="4" s="1"/>
  <c r="S810" i="4" s="1"/>
  <c r="O820" i="4"/>
  <c r="P820" i="4" s="1"/>
  <c r="Q820" i="4" s="1"/>
  <c r="S820" i="4" s="1"/>
  <c r="U820" i="4" s="1"/>
  <c r="V820" i="4" s="1"/>
  <c r="O843" i="4"/>
  <c r="P843" i="4" s="1"/>
  <c r="Q843" i="4" s="1"/>
  <c r="S843" i="4" s="1"/>
  <c r="O853" i="4"/>
  <c r="P853" i="4" s="1"/>
  <c r="Q853" i="4" s="1"/>
  <c r="S853" i="4" s="1"/>
  <c r="O902" i="4"/>
  <c r="P902" i="4" s="1"/>
  <c r="Q902" i="4" s="1"/>
  <c r="S902" i="4" s="1"/>
  <c r="O908" i="4"/>
  <c r="P908" i="4" s="1"/>
  <c r="Q908" i="4" s="1"/>
  <c r="S908" i="4" s="1"/>
  <c r="O929" i="4"/>
  <c r="P929" i="4" s="1"/>
  <c r="Q929" i="4" s="1"/>
  <c r="S929" i="4" s="1"/>
  <c r="P933" i="4"/>
  <c r="Q933" i="4" s="1"/>
  <c r="S933" i="4" s="1"/>
  <c r="O942" i="4"/>
  <c r="P942" i="4" s="1"/>
  <c r="Q942" i="4" s="1"/>
  <c r="S942" i="4" s="1"/>
  <c r="O954" i="4"/>
  <c r="P954" i="4" s="1"/>
  <c r="Q954" i="4" s="1"/>
  <c r="S954" i="4" s="1"/>
  <c r="U954" i="4" s="1"/>
  <c r="V954" i="4" s="1"/>
  <c r="O961" i="4"/>
  <c r="P961" i="4" s="1"/>
  <c r="Q961" i="4" s="1"/>
  <c r="S961" i="4" s="1"/>
  <c r="U961" i="4" s="1"/>
  <c r="V961" i="4" s="1"/>
  <c r="O984" i="4"/>
  <c r="P984" i="4" s="1"/>
  <c r="Q984" i="4" s="1"/>
  <c r="S984" i="4" s="1"/>
  <c r="O989" i="4"/>
  <c r="P989" i="4" s="1"/>
  <c r="Q989" i="4" s="1"/>
  <c r="S989" i="4" s="1"/>
  <c r="U989" i="4" s="1"/>
  <c r="V989" i="4" s="1"/>
  <c r="O995" i="4"/>
  <c r="P995" i="4" s="1"/>
  <c r="Q995" i="4" s="1"/>
  <c r="S995" i="4" s="1"/>
  <c r="O1001" i="4"/>
  <c r="P1001" i="4" s="1"/>
  <c r="Q1001" i="4" s="1"/>
  <c r="S1001" i="4" s="1"/>
  <c r="O1007" i="4"/>
  <c r="P1007" i="4" s="1"/>
  <c r="Q1007" i="4" s="1"/>
  <c r="S1007" i="4" s="1"/>
  <c r="U1007" i="4" s="1"/>
  <c r="V1007" i="4" s="1"/>
  <c r="O61" i="4"/>
  <c r="P61" i="4" s="1"/>
  <c r="Q61" i="4" s="1"/>
  <c r="S61" i="4" s="1"/>
  <c r="P9" i="4"/>
  <c r="Q9" i="4" s="1"/>
  <c r="S9" i="4" s="1"/>
  <c r="O15" i="4"/>
  <c r="P15" i="4" s="1"/>
  <c r="Q15" i="4" s="1"/>
  <c r="S15" i="4" s="1"/>
  <c r="O20" i="4"/>
  <c r="P20" i="4" s="1"/>
  <c r="Q20" i="4" s="1"/>
  <c r="S20" i="4" s="1"/>
  <c r="O26" i="4"/>
  <c r="P26" i="4" s="1"/>
  <c r="Q26" i="4" s="1"/>
  <c r="S26" i="4" s="1"/>
  <c r="U26" i="4" s="1"/>
  <c r="V26" i="4" s="1"/>
  <c r="O32" i="4"/>
  <c r="P32" i="4" s="1"/>
  <c r="Q32" i="4" s="1"/>
  <c r="S32" i="4" s="1"/>
  <c r="Q36" i="4"/>
  <c r="S36" i="4" s="1"/>
  <c r="P67" i="4"/>
  <c r="Q67" i="4" s="1"/>
  <c r="S67" i="4" s="1"/>
  <c r="O8" i="4"/>
  <c r="P8" i="4" s="1"/>
  <c r="Q8" i="4" s="1"/>
  <c r="S8" i="4" s="1"/>
  <c r="U8" i="4" s="1"/>
  <c r="V8" i="4" s="1"/>
  <c r="O14" i="4"/>
  <c r="P14" i="4" s="1"/>
  <c r="Q14" i="4" s="1"/>
  <c r="S14" i="4" s="1"/>
  <c r="O19" i="4"/>
  <c r="P19" i="4" s="1"/>
  <c r="Q19" i="4" s="1"/>
  <c r="S19" i="4" s="1"/>
  <c r="O25" i="4"/>
  <c r="P25" i="4" s="1"/>
  <c r="Q25" i="4" s="1"/>
  <c r="S25" i="4" s="1"/>
  <c r="O31" i="4"/>
  <c r="P31" i="4" s="1"/>
  <c r="Q31" i="4" s="1"/>
  <c r="S31" i="4" s="1"/>
  <c r="O37" i="4"/>
  <c r="P37" i="4" s="1"/>
  <c r="Q37" i="4" s="1"/>
  <c r="S37" i="4" s="1"/>
  <c r="O43" i="4"/>
  <c r="P43" i="4" s="1"/>
  <c r="Q43" i="4" s="1"/>
  <c r="S43" i="4" s="1"/>
  <c r="O49" i="4"/>
  <c r="P49" i="4" s="1"/>
  <c r="Q49" i="4" s="1"/>
  <c r="S49" i="4" s="1"/>
  <c r="O55" i="4"/>
  <c r="P55" i="4" s="1"/>
  <c r="Q55" i="4" s="1"/>
  <c r="S55" i="4" s="1"/>
  <c r="O66" i="4"/>
  <c r="P66" i="4" s="1"/>
  <c r="Q66" i="4" s="1"/>
  <c r="S66" i="4" s="1"/>
  <c r="P34" i="4"/>
  <c r="Q34" i="4" s="1"/>
  <c r="S34" i="4" s="1"/>
  <c r="O12" i="4"/>
  <c r="P12" i="4" s="1"/>
  <c r="Q12" i="4" s="1"/>
  <c r="S12" i="4" s="1"/>
  <c r="U12" i="4" s="1"/>
  <c r="V12" i="4" s="1"/>
  <c r="O18" i="4"/>
  <c r="P18" i="4" s="1"/>
  <c r="Q18" i="4" s="1"/>
  <c r="S18" i="4" s="1"/>
  <c r="P65" i="4"/>
  <c r="Q65" i="4" s="1"/>
  <c r="S65" i="4" s="1"/>
  <c r="N11" i="4"/>
  <c r="O11" i="4" s="1"/>
  <c r="P11" i="4" s="1"/>
  <c r="Q11" i="4" s="1"/>
  <c r="S11" i="4" s="1"/>
  <c r="N59" i="4"/>
  <c r="O59" i="4" s="1"/>
  <c r="P59" i="4" s="1"/>
  <c r="Q59" i="4" s="1"/>
  <c r="S59" i="4" s="1"/>
  <c r="M325" i="4"/>
  <c r="U325" i="4" s="1"/>
  <c r="V325" i="4" s="1"/>
  <c r="N325" i="4"/>
  <c r="O325" i="4" s="1"/>
  <c r="P325" i="4" s="1"/>
  <c r="Q325" i="4" s="1"/>
  <c r="S325" i="4" s="1"/>
  <c r="M9" i="4"/>
  <c r="M15" i="4"/>
  <c r="U15" i="4" s="1"/>
  <c r="V15" i="4" s="1"/>
  <c r="M21" i="4"/>
  <c r="U21" i="4" s="1"/>
  <c r="V21" i="4" s="1"/>
  <c r="M27" i="4"/>
  <c r="U27" i="4" s="1"/>
  <c r="V27" i="4" s="1"/>
  <c r="M33" i="4"/>
  <c r="M37" i="4"/>
  <c r="U37" i="4" s="1"/>
  <c r="V37" i="4" s="1"/>
  <c r="M40" i="4"/>
  <c r="U40" i="4" s="1"/>
  <c r="V40" i="4" s="1"/>
  <c r="M43" i="4"/>
  <c r="U43" i="4" s="1"/>
  <c r="V43" i="4" s="1"/>
  <c r="M46" i="4"/>
  <c r="M49" i="4"/>
  <c r="U49" i="4" s="1"/>
  <c r="V49" i="4" s="1"/>
  <c r="M52" i="4"/>
  <c r="M55" i="4"/>
  <c r="U55" i="4" s="1"/>
  <c r="V55" i="4" s="1"/>
  <c r="M58" i="4"/>
  <c r="U58" i="4" s="1"/>
  <c r="V58" i="4" s="1"/>
  <c r="M61" i="4"/>
  <c r="M64" i="4"/>
  <c r="U64" i="4" s="1"/>
  <c r="V64" i="4" s="1"/>
  <c r="M66" i="4"/>
  <c r="U66" i="4" s="1"/>
  <c r="V66" i="4" s="1"/>
  <c r="P73" i="4"/>
  <c r="Q73" i="4" s="1"/>
  <c r="S73" i="4" s="1"/>
  <c r="U73" i="4" s="1"/>
  <c r="V73" i="4" s="1"/>
  <c r="P79" i="4"/>
  <c r="Q79" i="4" s="1"/>
  <c r="S79" i="4" s="1"/>
  <c r="U79" i="4" s="1"/>
  <c r="V79" i="4" s="1"/>
  <c r="O87" i="4"/>
  <c r="P87" i="4" s="1"/>
  <c r="Q87" i="4" s="1"/>
  <c r="S87" i="4" s="1"/>
  <c r="P94" i="4"/>
  <c r="Q94" i="4" s="1"/>
  <c r="S94" i="4" s="1"/>
  <c r="O96" i="4"/>
  <c r="P96" i="4" s="1"/>
  <c r="Q96" i="4" s="1"/>
  <c r="S96" i="4" s="1"/>
  <c r="U96" i="4" s="1"/>
  <c r="V96" i="4" s="1"/>
  <c r="O101" i="4"/>
  <c r="P101" i="4" s="1"/>
  <c r="Q101" i="4" s="1"/>
  <c r="S101" i="4" s="1"/>
  <c r="O110" i="4"/>
  <c r="P110" i="4" s="1"/>
  <c r="Q110" i="4" s="1"/>
  <c r="S110" i="4" s="1"/>
  <c r="U110" i="4" s="1"/>
  <c r="V110" i="4" s="1"/>
  <c r="O117" i="4"/>
  <c r="P117" i="4" s="1"/>
  <c r="Q117" i="4" s="1"/>
  <c r="S117" i="4" s="1"/>
  <c r="P124" i="4"/>
  <c r="Q124" i="4" s="1"/>
  <c r="S124" i="4" s="1"/>
  <c r="O126" i="4"/>
  <c r="P126" i="4" s="1"/>
  <c r="Q126" i="4" s="1"/>
  <c r="S126" i="4" s="1"/>
  <c r="U126" i="4" s="1"/>
  <c r="V126" i="4" s="1"/>
  <c r="O140" i="4"/>
  <c r="P140" i="4" s="1"/>
  <c r="Q140" i="4" s="1"/>
  <c r="S140" i="4" s="1"/>
  <c r="P145" i="4"/>
  <c r="Q145" i="4" s="1"/>
  <c r="S145" i="4" s="1"/>
  <c r="U145" i="4" s="1"/>
  <c r="V145" i="4" s="1"/>
  <c r="O147" i="4"/>
  <c r="P147" i="4" s="1"/>
  <c r="Q147" i="4" s="1"/>
  <c r="S147" i="4" s="1"/>
  <c r="P154" i="4"/>
  <c r="Q154" i="4" s="1"/>
  <c r="S154" i="4" s="1"/>
  <c r="U154" i="4" s="1"/>
  <c r="V154" i="4" s="1"/>
  <c r="O156" i="4"/>
  <c r="P156" i="4" s="1"/>
  <c r="Q156" i="4" s="1"/>
  <c r="S156" i="4" s="1"/>
  <c r="U156" i="4" s="1"/>
  <c r="V156" i="4" s="1"/>
  <c r="O161" i="4"/>
  <c r="P161" i="4" s="1"/>
  <c r="Q161" i="4" s="1"/>
  <c r="S161" i="4" s="1"/>
  <c r="O170" i="4"/>
  <c r="P170" i="4" s="1"/>
  <c r="Q170" i="4" s="1"/>
  <c r="S170" i="4" s="1"/>
  <c r="O179" i="4"/>
  <c r="P179" i="4" s="1"/>
  <c r="Q179" i="4" s="1"/>
  <c r="S179" i="4" s="1"/>
  <c r="O186" i="4"/>
  <c r="P186" i="4" s="1"/>
  <c r="Q186" i="4" s="1"/>
  <c r="S186" i="4" s="1"/>
  <c r="U186" i="4" s="1"/>
  <c r="V186" i="4" s="1"/>
  <c r="N197" i="4"/>
  <c r="O197" i="4" s="1"/>
  <c r="P197" i="4" s="1"/>
  <c r="Q197" i="4" s="1"/>
  <c r="S197" i="4" s="1"/>
  <c r="P199" i="4"/>
  <c r="Q199" i="4" s="1"/>
  <c r="S199" i="4" s="1"/>
  <c r="U199" i="4" s="1"/>
  <c r="V199" i="4" s="1"/>
  <c r="N29" i="4"/>
  <c r="O29" i="4" s="1"/>
  <c r="P29" i="4" s="1"/>
  <c r="Q29" i="4" s="1"/>
  <c r="S29" i="4" s="1"/>
  <c r="U29" i="4" s="1"/>
  <c r="V29" i="4" s="1"/>
  <c r="N35" i="4"/>
  <c r="O35" i="4" s="1"/>
  <c r="P35" i="4" s="1"/>
  <c r="Q35" i="4" s="1"/>
  <c r="S35" i="4" s="1"/>
  <c r="N56" i="4"/>
  <c r="O56" i="4" s="1"/>
  <c r="P56" i="4" s="1"/>
  <c r="Q56" i="4" s="1"/>
  <c r="S56" i="4" s="1"/>
  <c r="P114" i="4"/>
  <c r="Q114" i="4" s="1"/>
  <c r="S114" i="4" s="1"/>
  <c r="P165" i="4"/>
  <c r="Q165" i="4" s="1"/>
  <c r="S165" i="4" s="1"/>
  <c r="P76" i="4"/>
  <c r="Q76" i="4" s="1"/>
  <c r="S76" i="4" s="1"/>
  <c r="N41" i="4"/>
  <c r="O41" i="4" s="1"/>
  <c r="P41" i="4" s="1"/>
  <c r="Q41" i="4" s="1"/>
  <c r="S41" i="4" s="1"/>
  <c r="N44" i="4"/>
  <c r="O44" i="4" s="1"/>
  <c r="P44" i="4" s="1"/>
  <c r="Q44" i="4" s="1"/>
  <c r="S44" i="4" s="1"/>
  <c r="U44" i="4" s="1"/>
  <c r="V44" i="4" s="1"/>
  <c r="N47" i="4"/>
  <c r="O47" i="4" s="1"/>
  <c r="P47" i="4" s="1"/>
  <c r="Q47" i="4" s="1"/>
  <c r="S47" i="4" s="1"/>
  <c r="P98" i="4"/>
  <c r="Q98" i="4" s="1"/>
  <c r="S98" i="4" s="1"/>
  <c r="U98" i="4" s="1"/>
  <c r="V98" i="4" s="1"/>
  <c r="P112" i="4"/>
  <c r="Q112" i="4" s="1"/>
  <c r="S112" i="4" s="1"/>
  <c r="M13" i="4"/>
  <c r="U13" i="4" s="1"/>
  <c r="V13" i="4" s="1"/>
  <c r="M19" i="4"/>
  <c r="U19" i="4" s="1"/>
  <c r="V19" i="4" s="1"/>
  <c r="M25" i="4"/>
  <c r="U25" i="4" s="1"/>
  <c r="V25" i="4" s="1"/>
  <c r="M31" i="4"/>
  <c r="M36" i="4"/>
  <c r="U36" i="4" s="1"/>
  <c r="V36" i="4" s="1"/>
  <c r="M39" i="4"/>
  <c r="U39" i="4" s="1"/>
  <c r="V39" i="4" s="1"/>
  <c r="M42" i="4"/>
  <c r="M45" i="4"/>
  <c r="U45" i="4" s="1"/>
  <c r="V45" i="4" s="1"/>
  <c r="M48" i="4"/>
  <c r="U48" i="4" s="1"/>
  <c r="V48" i="4" s="1"/>
  <c r="M51" i="4"/>
  <c r="U51" i="4" s="1"/>
  <c r="V51" i="4" s="1"/>
  <c r="M54" i="4"/>
  <c r="M57" i="4"/>
  <c r="M60" i="4"/>
  <c r="U60" i="4" s="1"/>
  <c r="V60" i="4" s="1"/>
  <c r="M63" i="4"/>
  <c r="U63" i="4" s="1"/>
  <c r="V63" i="4" s="1"/>
  <c r="M67" i="4"/>
  <c r="P71" i="4"/>
  <c r="Q71" i="4" s="1"/>
  <c r="S71" i="4" s="1"/>
  <c r="U71" i="4" s="1"/>
  <c r="V71" i="4" s="1"/>
  <c r="O81" i="4"/>
  <c r="P81" i="4" s="1"/>
  <c r="Q81" i="4" s="1"/>
  <c r="S81" i="4" s="1"/>
  <c r="P86" i="4"/>
  <c r="Q86" i="4" s="1"/>
  <c r="S86" i="4" s="1"/>
  <c r="P88" i="4"/>
  <c r="Q88" i="4" s="1"/>
  <c r="S88" i="4" s="1"/>
  <c r="O90" i="4"/>
  <c r="P90" i="4" s="1"/>
  <c r="Q90" i="4" s="1"/>
  <c r="S90" i="4" s="1"/>
  <c r="P97" i="4"/>
  <c r="Q97" i="4" s="1"/>
  <c r="S97" i="4" s="1"/>
  <c r="U97" i="4" s="1"/>
  <c r="V97" i="4" s="1"/>
  <c r="O104" i="4"/>
  <c r="P104" i="4" s="1"/>
  <c r="Q104" i="4" s="1"/>
  <c r="S104" i="4" s="1"/>
  <c r="U104" i="4" s="1"/>
  <c r="V104" i="4" s="1"/>
  <c r="O113" i="4"/>
  <c r="P113" i="4" s="1"/>
  <c r="Q113" i="4" s="1"/>
  <c r="S113" i="4" s="1"/>
  <c r="P118" i="4"/>
  <c r="Q118" i="4" s="1"/>
  <c r="S118" i="4" s="1"/>
  <c r="O120" i="4"/>
  <c r="P120" i="4" s="1"/>
  <c r="Q120" i="4" s="1"/>
  <c r="S120" i="4" s="1"/>
  <c r="P127" i="4"/>
  <c r="Q127" i="4" s="1"/>
  <c r="S127" i="4" s="1"/>
  <c r="U127" i="4" s="1"/>
  <c r="V127" i="4" s="1"/>
  <c r="O129" i="4"/>
  <c r="P129" i="4" s="1"/>
  <c r="Q129" i="4" s="1"/>
  <c r="S129" i="4" s="1"/>
  <c r="U129" i="4" s="1"/>
  <c r="V129" i="4" s="1"/>
  <c r="O134" i="4"/>
  <c r="P134" i="4" s="1"/>
  <c r="Q134" i="4" s="1"/>
  <c r="S134" i="4" s="1"/>
  <c r="U134" i="4" s="1"/>
  <c r="V134" i="4" s="1"/>
  <c r="O143" i="4"/>
  <c r="P143" i="4" s="1"/>
  <c r="Q143" i="4" s="1"/>
  <c r="S143" i="4" s="1"/>
  <c r="U143" i="4" s="1"/>
  <c r="V143" i="4" s="1"/>
  <c r="P148" i="4"/>
  <c r="Q148" i="4" s="1"/>
  <c r="S148" i="4" s="1"/>
  <c r="U148" i="4" s="1"/>
  <c r="V148" i="4" s="1"/>
  <c r="O150" i="4"/>
  <c r="P150" i="4" s="1"/>
  <c r="Q150" i="4" s="1"/>
  <c r="S150" i="4" s="1"/>
  <c r="U150" i="4" s="1"/>
  <c r="V150" i="4" s="1"/>
  <c r="P157" i="4"/>
  <c r="Q157" i="4" s="1"/>
  <c r="S157" i="4" s="1"/>
  <c r="U157" i="4" s="1"/>
  <c r="V157" i="4" s="1"/>
  <c r="O164" i="4"/>
  <c r="P164" i="4" s="1"/>
  <c r="Q164" i="4" s="1"/>
  <c r="S164" i="4" s="1"/>
  <c r="O173" i="4"/>
  <c r="P173" i="4" s="1"/>
  <c r="Q173" i="4" s="1"/>
  <c r="S173" i="4" s="1"/>
  <c r="O182" i="4"/>
  <c r="P182" i="4" s="1"/>
  <c r="Q182" i="4" s="1"/>
  <c r="S182" i="4" s="1"/>
  <c r="P187" i="4"/>
  <c r="Q187" i="4" s="1"/>
  <c r="S187" i="4" s="1"/>
  <c r="U187" i="4" s="1"/>
  <c r="V187" i="4" s="1"/>
  <c r="O189" i="4"/>
  <c r="P189" i="4" s="1"/>
  <c r="Q189" i="4" s="1"/>
  <c r="S189" i="4" s="1"/>
  <c r="O200" i="4"/>
  <c r="P200" i="4" s="1"/>
  <c r="Q200" i="4" s="1"/>
  <c r="S200" i="4" s="1"/>
  <c r="U200" i="4" s="1"/>
  <c r="V200" i="4" s="1"/>
  <c r="O203" i="4"/>
  <c r="P203" i="4" s="1"/>
  <c r="Q203" i="4" s="1"/>
  <c r="S203" i="4" s="1"/>
  <c r="M400" i="4"/>
  <c r="N400" i="4"/>
  <c r="O400" i="4" s="1"/>
  <c r="P400" i="4" s="1"/>
  <c r="Q400" i="4" s="1"/>
  <c r="S400" i="4" s="1"/>
  <c r="N17" i="4"/>
  <c r="O17" i="4" s="1"/>
  <c r="P17" i="4" s="1"/>
  <c r="Q17" i="4" s="1"/>
  <c r="S17" i="4" s="1"/>
  <c r="N50" i="4"/>
  <c r="O50" i="4" s="1"/>
  <c r="P50" i="4" s="1"/>
  <c r="Q50" i="4" s="1"/>
  <c r="S50" i="4" s="1"/>
  <c r="N53" i="4"/>
  <c r="O53" i="4" s="1"/>
  <c r="P53" i="4" s="1"/>
  <c r="Q53" i="4" s="1"/>
  <c r="S53" i="4" s="1"/>
  <c r="P70" i="4"/>
  <c r="Q70" i="4" s="1"/>
  <c r="S70" i="4" s="1"/>
  <c r="P109" i="4"/>
  <c r="Q109" i="4" s="1"/>
  <c r="S109" i="4" s="1"/>
  <c r="U109" i="4" s="1"/>
  <c r="V109" i="4" s="1"/>
  <c r="P125" i="4"/>
  <c r="Q125" i="4" s="1"/>
  <c r="S125" i="4" s="1"/>
  <c r="U125" i="4" s="1"/>
  <c r="V125" i="4" s="1"/>
  <c r="P139" i="4"/>
  <c r="Q139" i="4" s="1"/>
  <c r="S139" i="4" s="1"/>
  <c r="U139" i="4" s="1"/>
  <c r="V139" i="4" s="1"/>
  <c r="P169" i="4"/>
  <c r="Q169" i="4" s="1"/>
  <c r="S169" i="4" s="1"/>
  <c r="N23" i="4"/>
  <c r="O23" i="4" s="1"/>
  <c r="P23" i="4" s="1"/>
  <c r="Q23" i="4" s="1"/>
  <c r="S23" i="4" s="1"/>
  <c r="N38" i="4"/>
  <c r="O38" i="4" s="1"/>
  <c r="P38" i="4" s="1"/>
  <c r="Q38" i="4" s="1"/>
  <c r="S38" i="4" s="1"/>
  <c r="N62" i="4"/>
  <c r="O62" i="4" s="1"/>
  <c r="P62" i="4" s="1"/>
  <c r="Q62" i="4" s="1"/>
  <c r="S62" i="4" s="1"/>
  <c r="P69" i="4"/>
  <c r="Q69" i="4" s="1"/>
  <c r="S69" i="4" s="1"/>
  <c r="U69" i="4" s="1"/>
  <c r="V69" i="4" s="1"/>
  <c r="O75" i="4"/>
  <c r="P75" i="4" s="1"/>
  <c r="Q75" i="4" s="1"/>
  <c r="S75" i="4" s="1"/>
  <c r="U75" i="4" s="1"/>
  <c r="V75" i="4" s="1"/>
  <c r="P80" i="4"/>
  <c r="Q80" i="4" s="1"/>
  <c r="S80" i="4" s="1"/>
  <c r="U80" i="4" s="1"/>
  <c r="V80" i="4" s="1"/>
  <c r="P85" i="4"/>
  <c r="Q85" i="4" s="1"/>
  <c r="S85" i="4" s="1"/>
  <c r="U85" i="4" s="1"/>
  <c r="V85" i="4" s="1"/>
  <c r="P91" i="4"/>
  <c r="Q91" i="4" s="1"/>
  <c r="S91" i="4" s="1"/>
  <c r="U91" i="4" s="1"/>
  <c r="V91" i="4" s="1"/>
  <c r="O93" i="4"/>
  <c r="P93" i="4" s="1"/>
  <c r="Q93" i="4" s="1"/>
  <c r="S93" i="4" s="1"/>
  <c r="U93" i="4" s="1"/>
  <c r="V93" i="4" s="1"/>
  <c r="O107" i="4"/>
  <c r="P107" i="4" s="1"/>
  <c r="Q107" i="4" s="1"/>
  <c r="S107" i="4" s="1"/>
  <c r="O116" i="4"/>
  <c r="P116" i="4" s="1"/>
  <c r="Q116" i="4" s="1"/>
  <c r="S116" i="4" s="1"/>
  <c r="U116" i="4" s="1"/>
  <c r="V116" i="4" s="1"/>
  <c r="P121" i="4"/>
  <c r="Q121" i="4" s="1"/>
  <c r="S121" i="4" s="1"/>
  <c r="O123" i="4"/>
  <c r="P123" i="4" s="1"/>
  <c r="Q123" i="4" s="1"/>
  <c r="S123" i="4" s="1"/>
  <c r="P130" i="4"/>
  <c r="Q130" i="4" s="1"/>
  <c r="S130" i="4" s="1"/>
  <c r="U130" i="4" s="1"/>
  <c r="V130" i="4" s="1"/>
  <c r="O137" i="4"/>
  <c r="P137" i="4" s="1"/>
  <c r="Q137" i="4" s="1"/>
  <c r="S137" i="4" s="1"/>
  <c r="O144" i="4"/>
  <c r="P144" i="4" s="1"/>
  <c r="Q144" i="4" s="1"/>
  <c r="S144" i="4" s="1"/>
  <c r="P151" i="4"/>
  <c r="Q151" i="4" s="1"/>
  <c r="S151" i="4" s="1"/>
  <c r="O153" i="4"/>
  <c r="P153" i="4" s="1"/>
  <c r="Q153" i="4" s="1"/>
  <c r="S153" i="4" s="1"/>
  <c r="O167" i="4"/>
  <c r="P167" i="4" s="1"/>
  <c r="Q167" i="4" s="1"/>
  <c r="S167" i="4" s="1"/>
  <c r="O176" i="4"/>
  <c r="P176" i="4" s="1"/>
  <c r="Q176" i="4" s="1"/>
  <c r="S176" i="4" s="1"/>
  <c r="O185" i="4"/>
  <c r="P185" i="4" s="1"/>
  <c r="Q185" i="4" s="1"/>
  <c r="S185" i="4" s="1"/>
  <c r="U185" i="4" s="1"/>
  <c r="V185" i="4" s="1"/>
  <c r="P190" i="4"/>
  <c r="Q190" i="4" s="1"/>
  <c r="S190" i="4" s="1"/>
  <c r="P195" i="4"/>
  <c r="Q195" i="4" s="1"/>
  <c r="S195" i="4" s="1"/>
  <c r="U195" i="4" s="1"/>
  <c r="V195" i="4" s="1"/>
  <c r="P201" i="4"/>
  <c r="Q201" i="4" s="1"/>
  <c r="S201" i="4" s="1"/>
  <c r="N202" i="4"/>
  <c r="O202" i="4" s="1"/>
  <c r="P202" i="4" s="1"/>
  <c r="Q202" i="4" s="1"/>
  <c r="S202" i="4" s="1"/>
  <c r="U202" i="4" s="1"/>
  <c r="V202" i="4" s="1"/>
  <c r="P236" i="4"/>
  <c r="Q236" i="4" s="1"/>
  <c r="S236" i="4" s="1"/>
  <c r="M203" i="4"/>
  <c r="U203" i="4" s="1"/>
  <c r="V203" i="4" s="1"/>
  <c r="P216" i="4"/>
  <c r="Q216" i="4" s="1"/>
  <c r="S216" i="4" s="1"/>
  <c r="U216" i="4" s="1"/>
  <c r="V216" i="4" s="1"/>
  <c r="P229" i="4"/>
  <c r="Q229" i="4" s="1"/>
  <c r="S229" i="4" s="1"/>
  <c r="O234" i="4"/>
  <c r="P234" i="4" s="1"/>
  <c r="Q234" i="4" s="1"/>
  <c r="S234" i="4" s="1"/>
  <c r="O239" i="4"/>
  <c r="P239" i="4" s="1"/>
  <c r="Q239" i="4" s="1"/>
  <c r="S239" i="4" s="1"/>
  <c r="U239" i="4" s="1"/>
  <c r="V239" i="4" s="1"/>
  <c r="P247" i="4"/>
  <c r="Q247" i="4" s="1"/>
  <c r="S247" i="4" s="1"/>
  <c r="U247" i="4" s="1"/>
  <c r="V247" i="4" s="1"/>
  <c r="O252" i="4"/>
  <c r="P252" i="4" s="1"/>
  <c r="Q252" i="4" s="1"/>
  <c r="S252" i="4" s="1"/>
  <c r="U252" i="4" s="1"/>
  <c r="V252" i="4" s="1"/>
  <c r="O257" i="4"/>
  <c r="P257" i="4" s="1"/>
  <c r="Q257" i="4" s="1"/>
  <c r="S257" i="4" s="1"/>
  <c r="U257" i="4" s="1"/>
  <c r="V257" i="4" s="1"/>
  <c r="P265" i="4"/>
  <c r="Q265" i="4" s="1"/>
  <c r="S265" i="4" s="1"/>
  <c r="U265" i="4" s="1"/>
  <c r="V265" i="4" s="1"/>
  <c r="O270" i="4"/>
  <c r="P270" i="4" s="1"/>
  <c r="Q270" i="4" s="1"/>
  <c r="S270" i="4" s="1"/>
  <c r="O275" i="4"/>
  <c r="P275" i="4" s="1"/>
  <c r="Q275" i="4" s="1"/>
  <c r="S275" i="4" s="1"/>
  <c r="P283" i="4"/>
  <c r="Q283" i="4" s="1"/>
  <c r="S283" i="4" s="1"/>
  <c r="O288" i="4"/>
  <c r="P288" i="4" s="1"/>
  <c r="Q288" i="4" s="1"/>
  <c r="S288" i="4" s="1"/>
  <c r="O301" i="4"/>
  <c r="P301" i="4" s="1"/>
  <c r="Q301" i="4" s="1"/>
  <c r="S301" i="4" s="1"/>
  <c r="O304" i="4"/>
  <c r="P304" i="4" s="1"/>
  <c r="Q304" i="4" s="1"/>
  <c r="S304" i="4" s="1"/>
  <c r="M320" i="4"/>
  <c r="U320" i="4" s="1"/>
  <c r="V320" i="4" s="1"/>
  <c r="N320" i="4"/>
  <c r="O320" i="4" s="1"/>
  <c r="P320" i="4" s="1"/>
  <c r="Q320" i="4" s="1"/>
  <c r="S320" i="4" s="1"/>
  <c r="Q335" i="4"/>
  <c r="S335" i="4" s="1"/>
  <c r="M418" i="4"/>
  <c r="N418" i="4"/>
  <c r="O418" i="4" s="1"/>
  <c r="P418" i="4" s="1"/>
  <c r="Q418" i="4" s="1"/>
  <c r="S418" i="4" s="1"/>
  <c r="P242" i="4"/>
  <c r="Q242" i="4" s="1"/>
  <c r="S242" i="4" s="1"/>
  <c r="M569" i="4"/>
  <c r="N569" i="4"/>
  <c r="O569" i="4" s="1"/>
  <c r="P569" i="4" s="1"/>
  <c r="Q569" i="4" s="1"/>
  <c r="S569" i="4" s="1"/>
  <c r="M196" i="4"/>
  <c r="P214" i="4"/>
  <c r="Q214" i="4" s="1"/>
  <c r="S214" i="4" s="1"/>
  <c r="O222" i="4"/>
  <c r="P222" i="4" s="1"/>
  <c r="Q222" i="4" s="1"/>
  <c r="S222" i="4" s="1"/>
  <c r="O227" i="4"/>
  <c r="P227" i="4" s="1"/>
  <c r="Q227" i="4" s="1"/>
  <c r="S227" i="4" s="1"/>
  <c r="U227" i="4" s="1"/>
  <c r="V227" i="4" s="1"/>
  <c r="P235" i="4"/>
  <c r="Q235" i="4" s="1"/>
  <c r="S235" i="4" s="1"/>
  <c r="O240" i="4"/>
  <c r="P240" i="4" s="1"/>
  <c r="Q240" i="4" s="1"/>
  <c r="S240" i="4" s="1"/>
  <c r="O245" i="4"/>
  <c r="P245" i="4" s="1"/>
  <c r="Q245" i="4" s="1"/>
  <c r="S245" i="4" s="1"/>
  <c r="U245" i="4" s="1"/>
  <c r="V245" i="4" s="1"/>
  <c r="P253" i="4"/>
  <c r="Q253" i="4" s="1"/>
  <c r="S253" i="4" s="1"/>
  <c r="U253" i="4" s="1"/>
  <c r="V253" i="4" s="1"/>
  <c r="O258" i="4"/>
  <c r="P258" i="4" s="1"/>
  <c r="Q258" i="4" s="1"/>
  <c r="S258" i="4" s="1"/>
  <c r="U258" i="4" s="1"/>
  <c r="V258" i="4" s="1"/>
  <c r="O263" i="4"/>
  <c r="P263" i="4" s="1"/>
  <c r="Q263" i="4" s="1"/>
  <c r="S263" i="4" s="1"/>
  <c r="P271" i="4"/>
  <c r="Q271" i="4" s="1"/>
  <c r="S271" i="4" s="1"/>
  <c r="O276" i="4"/>
  <c r="P276" i="4" s="1"/>
  <c r="Q276" i="4" s="1"/>
  <c r="S276" i="4" s="1"/>
  <c r="O281" i="4"/>
  <c r="P281" i="4" s="1"/>
  <c r="Q281" i="4" s="1"/>
  <c r="S281" i="4" s="1"/>
  <c r="U281" i="4" s="1"/>
  <c r="V281" i="4" s="1"/>
  <c r="P289" i="4"/>
  <c r="Q289" i="4" s="1"/>
  <c r="S289" i="4" s="1"/>
  <c r="N298" i="4"/>
  <c r="O298" i="4" s="1"/>
  <c r="P298" i="4" s="1"/>
  <c r="Q298" i="4" s="1"/>
  <c r="S298" i="4" s="1"/>
  <c r="N303" i="4"/>
  <c r="O303" i="4" s="1"/>
  <c r="P303" i="4" s="1"/>
  <c r="Q303" i="4" s="1"/>
  <c r="S303" i="4" s="1"/>
  <c r="O307" i="4"/>
  <c r="P307" i="4" s="1"/>
  <c r="Q307" i="4" s="1"/>
  <c r="S307" i="4" s="1"/>
  <c r="U307" i="4" s="1"/>
  <c r="V307" i="4" s="1"/>
  <c r="N316" i="4"/>
  <c r="O316" i="4" s="1"/>
  <c r="P316" i="4" s="1"/>
  <c r="Q316" i="4" s="1"/>
  <c r="S316" i="4" s="1"/>
  <c r="U316" i="4" s="1"/>
  <c r="V316" i="4" s="1"/>
  <c r="O337" i="4"/>
  <c r="P337" i="4" s="1"/>
  <c r="Q337" i="4" s="1"/>
  <c r="S337" i="4" s="1"/>
  <c r="P219" i="4"/>
  <c r="Q219" i="4" s="1"/>
  <c r="S219" i="4" s="1"/>
  <c r="U219" i="4" s="1"/>
  <c r="V219" i="4" s="1"/>
  <c r="P230" i="4"/>
  <c r="Q230" i="4" s="1"/>
  <c r="S230" i="4" s="1"/>
  <c r="U230" i="4" s="1"/>
  <c r="V230" i="4" s="1"/>
  <c r="M308" i="4"/>
  <c r="N308" i="4"/>
  <c r="O308" i="4" s="1"/>
  <c r="P308" i="4" s="1"/>
  <c r="Q308" i="4" s="1"/>
  <c r="S308" i="4" s="1"/>
  <c r="Q326" i="4"/>
  <c r="S326" i="4" s="1"/>
  <c r="O334" i="4"/>
  <c r="P334" i="4" s="1"/>
  <c r="Q334" i="4" s="1"/>
  <c r="S334" i="4" s="1"/>
  <c r="U334" i="4" s="1"/>
  <c r="V334" i="4" s="1"/>
  <c r="M364" i="4"/>
  <c r="N364" i="4"/>
  <c r="O364" i="4" s="1"/>
  <c r="P364" i="4" s="1"/>
  <c r="Q364" i="4" s="1"/>
  <c r="S364" i="4" s="1"/>
  <c r="P212" i="4"/>
  <c r="Q212" i="4" s="1"/>
  <c r="S212" i="4" s="1"/>
  <c r="U212" i="4" s="1"/>
  <c r="V212" i="4" s="1"/>
  <c r="P218" i="4"/>
  <c r="Q218" i="4" s="1"/>
  <c r="S218" i="4" s="1"/>
  <c r="U218" i="4" s="1"/>
  <c r="V218" i="4" s="1"/>
  <c r="P223" i="4"/>
  <c r="Q223" i="4" s="1"/>
  <c r="S223" i="4" s="1"/>
  <c r="U223" i="4" s="1"/>
  <c r="V223" i="4" s="1"/>
  <c r="O228" i="4"/>
  <c r="P228" i="4" s="1"/>
  <c r="Q228" i="4" s="1"/>
  <c r="S228" i="4" s="1"/>
  <c r="O233" i="4"/>
  <c r="P233" i="4" s="1"/>
  <c r="Q233" i="4" s="1"/>
  <c r="S233" i="4" s="1"/>
  <c r="P241" i="4"/>
  <c r="Q241" i="4" s="1"/>
  <c r="S241" i="4" s="1"/>
  <c r="O246" i="4"/>
  <c r="P246" i="4" s="1"/>
  <c r="Q246" i="4" s="1"/>
  <c r="S246" i="4" s="1"/>
  <c r="U246" i="4" s="1"/>
  <c r="V246" i="4" s="1"/>
  <c r="O251" i="4"/>
  <c r="P251" i="4" s="1"/>
  <c r="Q251" i="4" s="1"/>
  <c r="S251" i="4" s="1"/>
  <c r="P259" i="4"/>
  <c r="Q259" i="4" s="1"/>
  <c r="S259" i="4" s="1"/>
  <c r="U259" i="4" s="1"/>
  <c r="V259" i="4" s="1"/>
  <c r="O264" i="4"/>
  <c r="P264" i="4" s="1"/>
  <c r="Q264" i="4" s="1"/>
  <c r="S264" i="4" s="1"/>
  <c r="O269" i="4"/>
  <c r="P269" i="4" s="1"/>
  <c r="Q269" i="4" s="1"/>
  <c r="S269" i="4" s="1"/>
  <c r="P277" i="4"/>
  <c r="Q277" i="4" s="1"/>
  <c r="S277" i="4" s="1"/>
  <c r="O282" i="4"/>
  <c r="P282" i="4" s="1"/>
  <c r="Q282" i="4" s="1"/>
  <c r="S282" i="4" s="1"/>
  <c r="O287" i="4"/>
  <c r="P287" i="4" s="1"/>
  <c r="Q287" i="4" s="1"/>
  <c r="S287" i="4" s="1"/>
  <c r="Q305" i="4"/>
  <c r="S305" i="4" s="1"/>
  <c r="U305" i="4" s="1"/>
  <c r="V305" i="4" s="1"/>
  <c r="O311" i="4"/>
  <c r="P311" i="4" s="1"/>
  <c r="Q311" i="4" s="1"/>
  <c r="S311" i="4" s="1"/>
  <c r="U311" i="4" s="1"/>
  <c r="V311" i="4" s="1"/>
  <c r="O331" i="4"/>
  <c r="P331" i="4" s="1"/>
  <c r="Q331" i="4" s="1"/>
  <c r="S331" i="4" s="1"/>
  <c r="M340" i="4"/>
  <c r="N340" i="4"/>
  <c r="O340" i="4" s="1"/>
  <c r="P340" i="4" s="1"/>
  <c r="Q340" i="4" s="1"/>
  <c r="S340" i="4" s="1"/>
  <c r="P343" i="4"/>
  <c r="Q343" i="4" s="1"/>
  <c r="S343" i="4" s="1"/>
  <c r="M382" i="4"/>
  <c r="U382" i="4" s="1"/>
  <c r="V382" i="4" s="1"/>
  <c r="N382" i="4"/>
  <c r="O382" i="4" s="1"/>
  <c r="P382" i="4" s="1"/>
  <c r="Q382" i="4" s="1"/>
  <c r="S382" i="4" s="1"/>
  <c r="N296" i="4"/>
  <c r="O296" i="4" s="1"/>
  <c r="P296" i="4" s="1"/>
  <c r="Q296" i="4" s="1"/>
  <c r="S296" i="4" s="1"/>
  <c r="U296" i="4" s="1"/>
  <c r="V296" i="4" s="1"/>
  <c r="M304" i="4"/>
  <c r="M309" i="4"/>
  <c r="U309" i="4" s="1"/>
  <c r="V309" i="4" s="1"/>
  <c r="N314" i="4"/>
  <c r="O314" i="4" s="1"/>
  <c r="P314" i="4" s="1"/>
  <c r="Q314" i="4" s="1"/>
  <c r="S314" i="4" s="1"/>
  <c r="U314" i="4" s="1"/>
  <c r="V314" i="4" s="1"/>
  <c r="M322" i="4"/>
  <c r="U322" i="4" s="1"/>
  <c r="V322" i="4" s="1"/>
  <c r="O327" i="4"/>
  <c r="P327" i="4" s="1"/>
  <c r="Q327" i="4" s="1"/>
  <c r="S327" i="4" s="1"/>
  <c r="M331" i="4"/>
  <c r="U331" i="4" s="1"/>
  <c r="V331" i="4" s="1"/>
  <c r="O336" i="4"/>
  <c r="P336" i="4" s="1"/>
  <c r="Q336" i="4" s="1"/>
  <c r="S336" i="4" s="1"/>
  <c r="U336" i="4" s="1"/>
  <c r="V336" i="4" s="1"/>
  <c r="O351" i="4"/>
  <c r="P351" i="4" s="1"/>
  <c r="Q351" i="4" s="1"/>
  <c r="S351" i="4" s="1"/>
  <c r="U351" i="4" s="1"/>
  <c r="V351" i="4" s="1"/>
  <c r="N352" i="4"/>
  <c r="O352" i="4" s="1"/>
  <c r="P352" i="4" s="1"/>
  <c r="Q352" i="4" s="1"/>
  <c r="S352" i="4" s="1"/>
  <c r="U352" i="4" s="1"/>
  <c r="V352" i="4" s="1"/>
  <c r="O359" i="4"/>
  <c r="P359" i="4" s="1"/>
  <c r="Q359" i="4" s="1"/>
  <c r="S359" i="4" s="1"/>
  <c r="O369" i="4"/>
  <c r="P369" i="4" s="1"/>
  <c r="Q369" i="4" s="1"/>
  <c r="S369" i="4" s="1"/>
  <c r="U369" i="4" s="1"/>
  <c r="V369" i="4" s="1"/>
  <c r="N370" i="4"/>
  <c r="O370" i="4" s="1"/>
  <c r="P370" i="4" s="1"/>
  <c r="Q370" i="4" s="1"/>
  <c r="S370" i="4" s="1"/>
  <c r="O377" i="4"/>
  <c r="P377" i="4" s="1"/>
  <c r="Q377" i="4" s="1"/>
  <c r="S377" i="4" s="1"/>
  <c r="O387" i="4"/>
  <c r="P387" i="4" s="1"/>
  <c r="Q387" i="4" s="1"/>
  <c r="S387" i="4" s="1"/>
  <c r="U387" i="4" s="1"/>
  <c r="V387" i="4" s="1"/>
  <c r="N388" i="4"/>
  <c r="O388" i="4" s="1"/>
  <c r="P388" i="4" s="1"/>
  <c r="Q388" i="4" s="1"/>
  <c r="S388" i="4" s="1"/>
  <c r="O395" i="4"/>
  <c r="P395" i="4" s="1"/>
  <c r="Q395" i="4" s="1"/>
  <c r="S395" i="4" s="1"/>
  <c r="O405" i="4"/>
  <c r="P405" i="4" s="1"/>
  <c r="Q405" i="4" s="1"/>
  <c r="S405" i="4" s="1"/>
  <c r="N406" i="4"/>
  <c r="O406" i="4" s="1"/>
  <c r="P406" i="4" s="1"/>
  <c r="Q406" i="4" s="1"/>
  <c r="S406" i="4" s="1"/>
  <c r="O413" i="4"/>
  <c r="P413" i="4" s="1"/>
  <c r="Q413" i="4" s="1"/>
  <c r="S413" i="4" s="1"/>
  <c r="O423" i="4"/>
  <c r="P423" i="4" s="1"/>
  <c r="Q423" i="4" s="1"/>
  <c r="S423" i="4" s="1"/>
  <c r="N424" i="4"/>
  <c r="O424" i="4" s="1"/>
  <c r="P424" i="4" s="1"/>
  <c r="Q424" i="4" s="1"/>
  <c r="S424" i="4" s="1"/>
  <c r="U424" i="4" s="1"/>
  <c r="V424" i="4" s="1"/>
  <c r="O428" i="4"/>
  <c r="P428" i="4" s="1"/>
  <c r="Q428" i="4" s="1"/>
  <c r="S428" i="4" s="1"/>
  <c r="P438" i="4"/>
  <c r="Q438" i="4" s="1"/>
  <c r="S438" i="4" s="1"/>
  <c r="O306" i="4"/>
  <c r="P306" i="4" s="1"/>
  <c r="Q306" i="4" s="1"/>
  <c r="S306" i="4" s="1"/>
  <c r="O349" i="4"/>
  <c r="P349" i="4" s="1"/>
  <c r="Q349" i="4" s="1"/>
  <c r="S349" i="4" s="1"/>
  <c r="O367" i="4"/>
  <c r="P367" i="4" s="1"/>
  <c r="Q367" i="4" s="1"/>
  <c r="S367" i="4" s="1"/>
  <c r="U367" i="4" s="1"/>
  <c r="V367" i="4" s="1"/>
  <c r="Q384" i="4"/>
  <c r="S384" i="4" s="1"/>
  <c r="U384" i="4" s="1"/>
  <c r="V384" i="4" s="1"/>
  <c r="O385" i="4"/>
  <c r="P385" i="4" s="1"/>
  <c r="Q385" i="4" s="1"/>
  <c r="S385" i="4" s="1"/>
  <c r="O403" i="4"/>
  <c r="P403" i="4" s="1"/>
  <c r="Q403" i="4" s="1"/>
  <c r="S403" i="4" s="1"/>
  <c r="U403" i="4" s="1"/>
  <c r="V403" i="4" s="1"/>
  <c r="Q410" i="4"/>
  <c r="S410" i="4" s="1"/>
  <c r="O421" i="4"/>
  <c r="P421" i="4" s="1"/>
  <c r="Q421" i="4" s="1"/>
  <c r="S421" i="4" s="1"/>
  <c r="P432" i="4"/>
  <c r="Q432" i="4" s="1"/>
  <c r="S432" i="4" s="1"/>
  <c r="O435" i="4"/>
  <c r="P435" i="4" s="1"/>
  <c r="Q435" i="4" s="1"/>
  <c r="S435" i="4" s="1"/>
  <c r="U435" i="4" s="1"/>
  <c r="V435" i="4" s="1"/>
  <c r="P497" i="4"/>
  <c r="Q497" i="4" s="1"/>
  <c r="S497" i="4" s="1"/>
  <c r="U497" i="4" s="1"/>
  <c r="V497" i="4" s="1"/>
  <c r="M292" i="4"/>
  <c r="M297" i="4"/>
  <c r="U297" i="4" s="1"/>
  <c r="V297" i="4" s="1"/>
  <c r="N302" i="4"/>
  <c r="O302" i="4" s="1"/>
  <c r="P302" i="4" s="1"/>
  <c r="Q302" i="4" s="1"/>
  <c r="S302" i="4" s="1"/>
  <c r="U302" i="4" s="1"/>
  <c r="V302" i="4" s="1"/>
  <c r="O309" i="4"/>
  <c r="P309" i="4" s="1"/>
  <c r="Q309" i="4" s="1"/>
  <c r="S309" i="4" s="1"/>
  <c r="M310" i="4"/>
  <c r="U310" i="4" s="1"/>
  <c r="V310" i="4" s="1"/>
  <c r="M315" i="4"/>
  <c r="U315" i="4" s="1"/>
  <c r="V315" i="4" s="1"/>
  <c r="O321" i="4"/>
  <c r="P321" i="4" s="1"/>
  <c r="Q321" i="4" s="1"/>
  <c r="S321" i="4" s="1"/>
  <c r="U321" i="4" s="1"/>
  <c r="V321" i="4" s="1"/>
  <c r="O324" i="4"/>
  <c r="P324" i="4" s="1"/>
  <c r="Q324" i="4" s="1"/>
  <c r="S324" i="4" s="1"/>
  <c r="M328" i="4"/>
  <c r="U328" i="4" s="1"/>
  <c r="V328" i="4" s="1"/>
  <c r="O333" i="4"/>
  <c r="P333" i="4" s="1"/>
  <c r="Q333" i="4" s="1"/>
  <c r="S333" i="4" s="1"/>
  <c r="U333" i="4" s="1"/>
  <c r="V333" i="4" s="1"/>
  <c r="M337" i="4"/>
  <c r="U337" i="4" s="1"/>
  <c r="V337" i="4" s="1"/>
  <c r="O342" i="4"/>
  <c r="P342" i="4" s="1"/>
  <c r="Q342" i="4" s="1"/>
  <c r="S342" i="4" s="1"/>
  <c r="N346" i="4"/>
  <c r="O346" i="4" s="1"/>
  <c r="P346" i="4" s="1"/>
  <c r="Q346" i="4" s="1"/>
  <c r="S346" i="4" s="1"/>
  <c r="U346" i="4" s="1"/>
  <c r="V346" i="4" s="1"/>
  <c r="O347" i="4"/>
  <c r="P347" i="4" s="1"/>
  <c r="Q347" i="4" s="1"/>
  <c r="S347" i="4" s="1"/>
  <c r="O357" i="4"/>
  <c r="P357" i="4" s="1"/>
  <c r="Q357" i="4" s="1"/>
  <c r="S357" i="4" s="1"/>
  <c r="U357" i="4" s="1"/>
  <c r="V357" i="4" s="1"/>
  <c r="N358" i="4"/>
  <c r="O358" i="4" s="1"/>
  <c r="P358" i="4" s="1"/>
  <c r="Q358" i="4" s="1"/>
  <c r="S358" i="4" s="1"/>
  <c r="U358" i="4" s="1"/>
  <c r="V358" i="4" s="1"/>
  <c r="O365" i="4"/>
  <c r="P365" i="4" s="1"/>
  <c r="Q365" i="4" s="1"/>
  <c r="S365" i="4" s="1"/>
  <c r="O375" i="4"/>
  <c r="P375" i="4" s="1"/>
  <c r="Q375" i="4" s="1"/>
  <c r="S375" i="4" s="1"/>
  <c r="N376" i="4"/>
  <c r="O376" i="4" s="1"/>
  <c r="P376" i="4" s="1"/>
  <c r="Q376" i="4" s="1"/>
  <c r="S376" i="4" s="1"/>
  <c r="U376" i="4" s="1"/>
  <c r="V376" i="4" s="1"/>
  <c r="O383" i="4"/>
  <c r="P383" i="4" s="1"/>
  <c r="Q383" i="4" s="1"/>
  <c r="S383" i="4" s="1"/>
  <c r="O393" i="4"/>
  <c r="P393" i="4" s="1"/>
  <c r="Q393" i="4" s="1"/>
  <c r="S393" i="4" s="1"/>
  <c r="N394" i="4"/>
  <c r="O394" i="4" s="1"/>
  <c r="P394" i="4" s="1"/>
  <c r="Q394" i="4" s="1"/>
  <c r="S394" i="4" s="1"/>
  <c r="U394" i="4" s="1"/>
  <c r="V394" i="4" s="1"/>
  <c r="O401" i="4"/>
  <c r="P401" i="4" s="1"/>
  <c r="Q401" i="4" s="1"/>
  <c r="S401" i="4" s="1"/>
  <c r="O411" i="4"/>
  <c r="P411" i="4" s="1"/>
  <c r="Q411" i="4" s="1"/>
  <c r="S411" i="4" s="1"/>
  <c r="N412" i="4"/>
  <c r="O412" i="4" s="1"/>
  <c r="P412" i="4" s="1"/>
  <c r="Q412" i="4" s="1"/>
  <c r="S412" i="4" s="1"/>
  <c r="O419" i="4"/>
  <c r="P419" i="4" s="1"/>
  <c r="Q419" i="4" s="1"/>
  <c r="S419" i="4" s="1"/>
  <c r="O429" i="4"/>
  <c r="P429" i="4" s="1"/>
  <c r="Q429" i="4" s="1"/>
  <c r="S429" i="4" s="1"/>
  <c r="P490" i="4"/>
  <c r="Q490" i="4" s="1"/>
  <c r="S490" i="4" s="1"/>
  <c r="O294" i="4"/>
  <c r="P294" i="4" s="1"/>
  <c r="Q294" i="4" s="1"/>
  <c r="S294" i="4" s="1"/>
  <c r="O312" i="4"/>
  <c r="P312" i="4" s="1"/>
  <c r="Q312" i="4" s="1"/>
  <c r="S312" i="4" s="1"/>
  <c r="U312" i="4" s="1"/>
  <c r="V312" i="4" s="1"/>
  <c r="O355" i="4"/>
  <c r="P355" i="4" s="1"/>
  <c r="Q355" i="4" s="1"/>
  <c r="S355" i="4" s="1"/>
  <c r="O373" i="4"/>
  <c r="P373" i="4" s="1"/>
  <c r="Q373" i="4" s="1"/>
  <c r="S373" i="4" s="1"/>
  <c r="U373" i="4" s="1"/>
  <c r="V373" i="4" s="1"/>
  <c r="O391" i="4"/>
  <c r="P391" i="4" s="1"/>
  <c r="Q391" i="4" s="1"/>
  <c r="S391" i="4" s="1"/>
  <c r="O409" i="4"/>
  <c r="P409" i="4" s="1"/>
  <c r="Q409" i="4" s="1"/>
  <c r="S409" i="4" s="1"/>
  <c r="U409" i="4" s="1"/>
  <c r="V409" i="4" s="1"/>
  <c r="Q416" i="4"/>
  <c r="S416" i="4" s="1"/>
  <c r="P427" i="4"/>
  <c r="Q427" i="4" s="1"/>
  <c r="S427" i="4" s="1"/>
  <c r="P436" i="4"/>
  <c r="Q436" i="4" s="1"/>
  <c r="S436" i="4" s="1"/>
  <c r="O297" i="4"/>
  <c r="P297" i="4" s="1"/>
  <c r="Q297" i="4" s="1"/>
  <c r="S297" i="4" s="1"/>
  <c r="O315" i="4"/>
  <c r="P315" i="4" s="1"/>
  <c r="Q315" i="4" s="1"/>
  <c r="S315" i="4" s="1"/>
  <c r="P328" i="4"/>
  <c r="Q328" i="4" s="1"/>
  <c r="S328" i="4" s="1"/>
  <c r="O330" i="4"/>
  <c r="P330" i="4" s="1"/>
  <c r="Q330" i="4" s="1"/>
  <c r="S330" i="4" s="1"/>
  <c r="O341" i="4"/>
  <c r="P341" i="4" s="1"/>
  <c r="Q341" i="4" s="1"/>
  <c r="S341" i="4" s="1"/>
  <c r="O353" i="4"/>
  <c r="P353" i="4" s="1"/>
  <c r="Q353" i="4" s="1"/>
  <c r="S353" i="4" s="1"/>
  <c r="O363" i="4"/>
  <c r="P363" i="4" s="1"/>
  <c r="Q363" i="4" s="1"/>
  <c r="S363" i="4" s="1"/>
  <c r="U363" i="4" s="1"/>
  <c r="V363" i="4" s="1"/>
  <c r="O371" i="4"/>
  <c r="P371" i="4" s="1"/>
  <c r="Q371" i="4" s="1"/>
  <c r="S371" i="4" s="1"/>
  <c r="O381" i="4"/>
  <c r="P381" i="4" s="1"/>
  <c r="Q381" i="4" s="1"/>
  <c r="S381" i="4" s="1"/>
  <c r="O389" i="4"/>
  <c r="P389" i="4" s="1"/>
  <c r="Q389" i="4" s="1"/>
  <c r="S389" i="4" s="1"/>
  <c r="O399" i="4"/>
  <c r="P399" i="4" s="1"/>
  <c r="Q399" i="4" s="1"/>
  <c r="S399" i="4" s="1"/>
  <c r="O407" i="4"/>
  <c r="P407" i="4" s="1"/>
  <c r="Q407" i="4" s="1"/>
  <c r="S407" i="4" s="1"/>
  <c r="O417" i="4"/>
  <c r="P417" i="4" s="1"/>
  <c r="Q417" i="4" s="1"/>
  <c r="S417" i="4" s="1"/>
  <c r="O425" i="4"/>
  <c r="P425" i="4" s="1"/>
  <c r="Q425" i="4" s="1"/>
  <c r="S425" i="4" s="1"/>
  <c r="M553" i="4"/>
  <c r="U553" i="4" s="1"/>
  <c r="V553" i="4" s="1"/>
  <c r="N553" i="4"/>
  <c r="O553" i="4" s="1"/>
  <c r="P553" i="4" s="1"/>
  <c r="Q553" i="4" s="1"/>
  <c r="S553" i="4" s="1"/>
  <c r="P442" i="4"/>
  <c r="Q442" i="4" s="1"/>
  <c r="S442" i="4" s="1"/>
  <c r="P446" i="4"/>
  <c r="Q446" i="4" s="1"/>
  <c r="S446" i="4" s="1"/>
  <c r="U446" i="4" s="1"/>
  <c r="V446" i="4" s="1"/>
  <c r="O454" i="4"/>
  <c r="P454" i="4" s="1"/>
  <c r="Q454" i="4" s="1"/>
  <c r="S454" i="4" s="1"/>
  <c r="U454" i="4" s="1"/>
  <c r="V454" i="4" s="1"/>
  <c r="O456" i="4"/>
  <c r="P456" i="4" s="1"/>
  <c r="Q456" i="4" s="1"/>
  <c r="S456" i="4" s="1"/>
  <c r="O465" i="4"/>
  <c r="P465" i="4" s="1"/>
  <c r="Q465" i="4" s="1"/>
  <c r="S465" i="4" s="1"/>
  <c r="U465" i="4" s="1"/>
  <c r="V465" i="4" s="1"/>
  <c r="P470" i="4"/>
  <c r="Q470" i="4" s="1"/>
  <c r="S470" i="4" s="1"/>
  <c r="O472" i="4"/>
  <c r="P472" i="4" s="1"/>
  <c r="Q472" i="4" s="1"/>
  <c r="S472" i="4" s="1"/>
  <c r="U472" i="4" s="1"/>
  <c r="V472" i="4" s="1"/>
  <c r="P479" i="4"/>
  <c r="Q479" i="4" s="1"/>
  <c r="S479" i="4" s="1"/>
  <c r="O481" i="4"/>
  <c r="P481" i="4" s="1"/>
  <c r="Q481" i="4" s="1"/>
  <c r="S481" i="4" s="1"/>
  <c r="O486" i="4"/>
  <c r="P486" i="4" s="1"/>
  <c r="Q486" i="4" s="1"/>
  <c r="S486" i="4" s="1"/>
  <c r="O495" i="4"/>
  <c r="P495" i="4" s="1"/>
  <c r="Q495" i="4" s="1"/>
  <c r="S495" i="4" s="1"/>
  <c r="U495" i="4" s="1"/>
  <c r="V495" i="4" s="1"/>
  <c r="O504" i="4"/>
  <c r="P504" i="4" s="1"/>
  <c r="Q504" i="4" s="1"/>
  <c r="S504" i="4" s="1"/>
  <c r="O513" i="4"/>
  <c r="P513" i="4" s="1"/>
  <c r="Q513" i="4" s="1"/>
  <c r="S513" i="4" s="1"/>
  <c r="O522" i="4"/>
  <c r="P522" i="4" s="1"/>
  <c r="Q522" i="4" s="1"/>
  <c r="S522" i="4" s="1"/>
  <c r="U522" i="4" s="1"/>
  <c r="V522" i="4" s="1"/>
  <c r="O531" i="4"/>
  <c r="P531" i="4" s="1"/>
  <c r="Q531" i="4" s="1"/>
  <c r="S531" i="4" s="1"/>
  <c r="U531" i="4" s="1"/>
  <c r="V531" i="4" s="1"/>
  <c r="P536" i="4"/>
  <c r="Q536" i="4" s="1"/>
  <c r="S536" i="4" s="1"/>
  <c r="U536" i="4" s="1"/>
  <c r="V536" i="4" s="1"/>
  <c r="O538" i="4"/>
  <c r="P538" i="4" s="1"/>
  <c r="Q538" i="4" s="1"/>
  <c r="S538" i="4" s="1"/>
  <c r="P545" i="4"/>
  <c r="Q545" i="4" s="1"/>
  <c r="S545" i="4" s="1"/>
  <c r="P550" i="4"/>
  <c r="Q550" i="4" s="1"/>
  <c r="S550" i="4" s="1"/>
  <c r="U550" i="4" s="1"/>
  <c r="V550" i="4" s="1"/>
  <c r="P441" i="4"/>
  <c r="Q441" i="4" s="1"/>
  <c r="S441" i="4" s="1"/>
  <c r="O451" i="4"/>
  <c r="P451" i="4" s="1"/>
  <c r="Q451" i="4" s="1"/>
  <c r="S451" i="4" s="1"/>
  <c r="P461" i="4"/>
  <c r="Q461" i="4" s="1"/>
  <c r="S461" i="4" s="1"/>
  <c r="U461" i="4" s="1"/>
  <c r="V461" i="4" s="1"/>
  <c r="O463" i="4"/>
  <c r="P463" i="4" s="1"/>
  <c r="Q463" i="4" s="1"/>
  <c r="S463" i="4" s="1"/>
  <c r="O477" i="4"/>
  <c r="P477" i="4" s="1"/>
  <c r="Q477" i="4" s="1"/>
  <c r="S477" i="4" s="1"/>
  <c r="O484" i="4"/>
  <c r="P484" i="4" s="1"/>
  <c r="Q484" i="4" s="1"/>
  <c r="S484" i="4" s="1"/>
  <c r="P491" i="4"/>
  <c r="Q491" i="4" s="1"/>
  <c r="S491" i="4" s="1"/>
  <c r="O493" i="4"/>
  <c r="P493" i="4" s="1"/>
  <c r="Q493" i="4" s="1"/>
  <c r="S493" i="4" s="1"/>
  <c r="U493" i="4" s="1"/>
  <c r="V493" i="4" s="1"/>
  <c r="P500" i="4"/>
  <c r="Q500" i="4" s="1"/>
  <c r="S500" i="4" s="1"/>
  <c r="U500" i="4" s="1"/>
  <c r="V500" i="4" s="1"/>
  <c r="O502" i="4"/>
  <c r="P502" i="4" s="1"/>
  <c r="Q502" i="4" s="1"/>
  <c r="S502" i="4" s="1"/>
  <c r="P509" i="4"/>
  <c r="Q509" i="4" s="1"/>
  <c r="S509" i="4" s="1"/>
  <c r="U509" i="4" s="1"/>
  <c r="V509" i="4" s="1"/>
  <c r="O511" i="4"/>
  <c r="P511" i="4" s="1"/>
  <c r="Q511" i="4" s="1"/>
  <c r="S511" i="4" s="1"/>
  <c r="P518" i="4"/>
  <c r="Q518" i="4" s="1"/>
  <c r="S518" i="4" s="1"/>
  <c r="O520" i="4"/>
  <c r="P520" i="4" s="1"/>
  <c r="Q520" i="4" s="1"/>
  <c r="S520" i="4" s="1"/>
  <c r="U520" i="4" s="1"/>
  <c r="V520" i="4" s="1"/>
  <c r="P527" i="4"/>
  <c r="Q527" i="4" s="1"/>
  <c r="S527" i="4" s="1"/>
  <c r="O529" i="4"/>
  <c r="P529" i="4" s="1"/>
  <c r="Q529" i="4" s="1"/>
  <c r="S529" i="4" s="1"/>
  <c r="O534" i="4"/>
  <c r="P534" i="4" s="1"/>
  <c r="Q534" i="4" s="1"/>
  <c r="S534" i="4" s="1"/>
  <c r="U534" i="4" s="1"/>
  <c r="V534" i="4" s="1"/>
  <c r="O543" i="4"/>
  <c r="P543" i="4" s="1"/>
  <c r="Q543" i="4" s="1"/>
  <c r="S543" i="4" s="1"/>
  <c r="U543" i="4" s="1"/>
  <c r="V543" i="4" s="1"/>
  <c r="P548" i="4"/>
  <c r="Q548" i="4" s="1"/>
  <c r="S548" i="4" s="1"/>
  <c r="Q555" i="4"/>
  <c r="S555" i="4" s="1"/>
  <c r="U555" i="4" s="1"/>
  <c r="V555" i="4" s="1"/>
  <c r="O556" i="4"/>
  <c r="P556" i="4" s="1"/>
  <c r="Q556" i="4" s="1"/>
  <c r="S556" i="4" s="1"/>
  <c r="M575" i="4"/>
  <c r="U575" i="4" s="1"/>
  <c r="V575" i="4" s="1"/>
  <c r="N575" i="4"/>
  <c r="O575" i="4" s="1"/>
  <c r="P575" i="4" s="1"/>
  <c r="Q575" i="4" s="1"/>
  <c r="S575" i="4" s="1"/>
  <c r="M323" i="4"/>
  <c r="U323" i="4" s="1"/>
  <c r="V323" i="4" s="1"/>
  <c r="M326" i="4"/>
  <c r="U326" i="4" s="1"/>
  <c r="V326" i="4" s="1"/>
  <c r="M329" i="4"/>
  <c r="U329" i="4" s="1"/>
  <c r="V329" i="4" s="1"/>
  <c r="M332" i="4"/>
  <c r="U332" i="4" s="1"/>
  <c r="V332" i="4" s="1"/>
  <c r="M335" i="4"/>
  <c r="U335" i="4" s="1"/>
  <c r="V335" i="4" s="1"/>
  <c r="M338" i="4"/>
  <c r="U338" i="4" s="1"/>
  <c r="V338" i="4" s="1"/>
  <c r="M341" i="4"/>
  <c r="M344" i="4"/>
  <c r="M347" i="4"/>
  <c r="U347" i="4" s="1"/>
  <c r="V347" i="4" s="1"/>
  <c r="M350" i="4"/>
  <c r="M353" i="4"/>
  <c r="U353" i="4" s="1"/>
  <c r="V353" i="4" s="1"/>
  <c r="M356" i="4"/>
  <c r="U356" i="4" s="1"/>
  <c r="V356" i="4" s="1"/>
  <c r="M359" i="4"/>
  <c r="U359" i="4" s="1"/>
  <c r="V359" i="4" s="1"/>
  <c r="M362" i="4"/>
  <c r="M365" i="4"/>
  <c r="U365" i="4" s="1"/>
  <c r="V365" i="4" s="1"/>
  <c r="M368" i="4"/>
  <c r="M371" i="4"/>
  <c r="M374" i="4"/>
  <c r="U374" i="4" s="1"/>
  <c r="V374" i="4" s="1"/>
  <c r="M377" i="4"/>
  <c r="U377" i="4" s="1"/>
  <c r="V377" i="4" s="1"/>
  <c r="M380" i="4"/>
  <c r="M383" i="4"/>
  <c r="M386" i="4"/>
  <c r="U386" i="4" s="1"/>
  <c r="V386" i="4" s="1"/>
  <c r="M389" i="4"/>
  <c r="U389" i="4" s="1"/>
  <c r="V389" i="4" s="1"/>
  <c r="M392" i="4"/>
  <c r="U392" i="4" s="1"/>
  <c r="V392" i="4" s="1"/>
  <c r="M395" i="4"/>
  <c r="U395" i="4" s="1"/>
  <c r="V395" i="4" s="1"/>
  <c r="M398" i="4"/>
  <c r="U398" i="4" s="1"/>
  <c r="V398" i="4" s="1"/>
  <c r="M401" i="4"/>
  <c r="M404" i="4"/>
  <c r="M407" i="4"/>
  <c r="M410" i="4"/>
  <c r="M413" i="4"/>
  <c r="U413" i="4" s="1"/>
  <c r="V413" i="4" s="1"/>
  <c r="M416" i="4"/>
  <c r="U416" i="4" s="1"/>
  <c r="V416" i="4" s="1"/>
  <c r="M419" i="4"/>
  <c r="U419" i="4" s="1"/>
  <c r="V419" i="4" s="1"/>
  <c r="M422" i="4"/>
  <c r="M425" i="4"/>
  <c r="M429" i="4"/>
  <c r="U429" i="4" s="1"/>
  <c r="V429" i="4" s="1"/>
  <c r="M434" i="4"/>
  <c r="U434" i="4" s="1"/>
  <c r="V434" i="4" s="1"/>
  <c r="P439" i="4"/>
  <c r="Q439" i="4" s="1"/>
  <c r="S439" i="4" s="1"/>
  <c r="P440" i="4"/>
  <c r="Q440" i="4" s="1"/>
  <c r="S440" i="4" s="1"/>
  <c r="U440" i="4" s="1"/>
  <c r="V440" i="4" s="1"/>
  <c r="O448" i="4"/>
  <c r="P448" i="4" s="1"/>
  <c r="Q448" i="4" s="1"/>
  <c r="S448" i="4" s="1"/>
  <c r="U448" i="4" s="1"/>
  <c r="V448" i="4" s="1"/>
  <c r="P453" i="4"/>
  <c r="Q453" i="4" s="1"/>
  <c r="S453" i="4" s="1"/>
  <c r="O459" i="4"/>
  <c r="P459" i="4" s="1"/>
  <c r="Q459" i="4" s="1"/>
  <c r="S459" i="4" s="1"/>
  <c r="U459" i="4" s="1"/>
  <c r="V459" i="4" s="1"/>
  <c r="O468" i="4"/>
  <c r="P468" i="4" s="1"/>
  <c r="Q468" i="4" s="1"/>
  <c r="S468" i="4" s="1"/>
  <c r="U468" i="4" s="1"/>
  <c r="V468" i="4" s="1"/>
  <c r="P473" i="4"/>
  <c r="Q473" i="4" s="1"/>
  <c r="S473" i="4" s="1"/>
  <c r="O475" i="4"/>
  <c r="P475" i="4" s="1"/>
  <c r="Q475" i="4" s="1"/>
  <c r="S475" i="4" s="1"/>
  <c r="P482" i="4"/>
  <c r="Q482" i="4" s="1"/>
  <c r="S482" i="4" s="1"/>
  <c r="O489" i="4"/>
  <c r="P489" i="4" s="1"/>
  <c r="Q489" i="4" s="1"/>
  <c r="S489" i="4" s="1"/>
  <c r="O498" i="4"/>
  <c r="P498" i="4" s="1"/>
  <c r="Q498" i="4" s="1"/>
  <c r="S498" i="4" s="1"/>
  <c r="O507" i="4"/>
  <c r="P507" i="4" s="1"/>
  <c r="Q507" i="4" s="1"/>
  <c r="S507" i="4" s="1"/>
  <c r="U507" i="4" s="1"/>
  <c r="V507" i="4" s="1"/>
  <c r="O516" i="4"/>
  <c r="P516" i="4" s="1"/>
  <c r="Q516" i="4" s="1"/>
  <c r="S516" i="4" s="1"/>
  <c r="O525" i="4"/>
  <c r="P525" i="4" s="1"/>
  <c r="Q525" i="4" s="1"/>
  <c r="S525" i="4" s="1"/>
  <c r="O532" i="4"/>
  <c r="P532" i="4" s="1"/>
  <c r="Q532" i="4" s="1"/>
  <c r="S532" i="4" s="1"/>
  <c r="P539" i="4"/>
  <c r="Q539" i="4" s="1"/>
  <c r="S539" i="4" s="1"/>
  <c r="U539" i="4" s="1"/>
  <c r="V539" i="4" s="1"/>
  <c r="O541" i="4"/>
  <c r="P541" i="4" s="1"/>
  <c r="Q541" i="4" s="1"/>
  <c r="S541" i="4" s="1"/>
  <c r="O559" i="4"/>
  <c r="P559" i="4" s="1"/>
  <c r="Q559" i="4" s="1"/>
  <c r="S559" i="4" s="1"/>
  <c r="Q610" i="4"/>
  <c r="S610" i="4" s="1"/>
  <c r="M432" i="4"/>
  <c r="M437" i="4"/>
  <c r="U437" i="4" s="1"/>
  <c r="V437" i="4" s="1"/>
  <c r="P485" i="4"/>
  <c r="Q485" i="4" s="1"/>
  <c r="S485" i="4" s="1"/>
  <c r="U485" i="4" s="1"/>
  <c r="V485" i="4" s="1"/>
  <c r="N558" i="4"/>
  <c r="O558" i="4" s="1"/>
  <c r="P558" i="4" s="1"/>
  <c r="Q558" i="4" s="1"/>
  <c r="S558" i="4" s="1"/>
  <c r="U558" i="4" s="1"/>
  <c r="V558" i="4" s="1"/>
  <c r="P501" i="4"/>
  <c r="Q501" i="4" s="1"/>
  <c r="S501" i="4" s="1"/>
  <c r="O528" i="4"/>
  <c r="P528" i="4" s="1"/>
  <c r="Q528" i="4" s="1"/>
  <c r="S528" i="4" s="1"/>
  <c r="P533" i="4"/>
  <c r="Q533" i="4" s="1"/>
  <c r="S533" i="4" s="1"/>
  <c r="O535" i="4"/>
  <c r="P535" i="4" s="1"/>
  <c r="Q535" i="4" s="1"/>
  <c r="S535" i="4" s="1"/>
  <c r="P542" i="4"/>
  <c r="Q542" i="4" s="1"/>
  <c r="S542" i="4" s="1"/>
  <c r="O544" i="4"/>
  <c r="P544" i="4" s="1"/>
  <c r="Q544" i="4" s="1"/>
  <c r="S544" i="4" s="1"/>
  <c r="M563" i="4"/>
  <c r="U563" i="4" s="1"/>
  <c r="V563" i="4" s="1"/>
  <c r="N563" i="4"/>
  <c r="O563" i="4" s="1"/>
  <c r="P563" i="4" s="1"/>
  <c r="Q563" i="4" s="1"/>
  <c r="S563" i="4" s="1"/>
  <c r="M591" i="4"/>
  <c r="U591" i="4" s="1"/>
  <c r="V591" i="4" s="1"/>
  <c r="N591" i="4"/>
  <c r="O591" i="4" s="1"/>
  <c r="P591" i="4" s="1"/>
  <c r="Q591" i="4" s="1"/>
  <c r="S591" i="4" s="1"/>
  <c r="M609" i="4"/>
  <c r="U609" i="4" s="1"/>
  <c r="V609" i="4" s="1"/>
  <c r="N609" i="4"/>
  <c r="O609" i="4" s="1"/>
  <c r="P609" i="4" s="1"/>
  <c r="Q609" i="4" s="1"/>
  <c r="S609" i="4" s="1"/>
  <c r="N551" i="4"/>
  <c r="O551" i="4" s="1"/>
  <c r="P551" i="4" s="1"/>
  <c r="Q551" i="4" s="1"/>
  <c r="S551" i="4" s="1"/>
  <c r="M559" i="4"/>
  <c r="U559" i="4" s="1"/>
  <c r="V559" i="4" s="1"/>
  <c r="N567" i="4"/>
  <c r="O567" i="4" s="1"/>
  <c r="P567" i="4" s="1"/>
  <c r="Q567" i="4" s="1"/>
  <c r="S567" i="4" s="1"/>
  <c r="N573" i="4"/>
  <c r="O573" i="4" s="1"/>
  <c r="P573" i="4" s="1"/>
  <c r="Q573" i="4" s="1"/>
  <c r="S573" i="4" s="1"/>
  <c r="U573" i="4" s="1"/>
  <c r="V573" i="4" s="1"/>
  <c r="N579" i="4"/>
  <c r="O579" i="4" s="1"/>
  <c r="P579" i="4" s="1"/>
  <c r="Q579" i="4" s="1"/>
  <c r="S579" i="4" s="1"/>
  <c r="O583" i="4"/>
  <c r="P583" i="4" s="1"/>
  <c r="Q583" i="4" s="1"/>
  <c r="S583" i="4" s="1"/>
  <c r="O593" i="4"/>
  <c r="P593" i="4" s="1"/>
  <c r="Q593" i="4" s="1"/>
  <c r="S593" i="4" s="1"/>
  <c r="N597" i="4"/>
  <c r="O597" i="4" s="1"/>
  <c r="P597" i="4" s="1"/>
  <c r="Q597" i="4" s="1"/>
  <c r="S597" i="4" s="1"/>
  <c r="U597" i="4" s="1"/>
  <c r="V597" i="4" s="1"/>
  <c r="O601" i="4"/>
  <c r="P601" i="4" s="1"/>
  <c r="Q601" i="4" s="1"/>
  <c r="S601" i="4" s="1"/>
  <c r="O611" i="4"/>
  <c r="P611" i="4" s="1"/>
  <c r="Q611" i="4" s="1"/>
  <c r="S611" i="4" s="1"/>
  <c r="N615" i="4"/>
  <c r="O615" i="4" s="1"/>
  <c r="P615" i="4" s="1"/>
  <c r="Q615" i="4" s="1"/>
  <c r="S615" i="4" s="1"/>
  <c r="O619" i="4"/>
  <c r="P619" i="4" s="1"/>
  <c r="Q619" i="4" s="1"/>
  <c r="S619" i="4" s="1"/>
  <c r="O630" i="4"/>
  <c r="P630" i="4" s="1"/>
  <c r="Q630" i="4" s="1"/>
  <c r="S630" i="4" s="1"/>
  <c r="U630" i="4" s="1"/>
  <c r="V630" i="4" s="1"/>
  <c r="M666" i="4"/>
  <c r="U666" i="4" s="1"/>
  <c r="V666" i="4" s="1"/>
  <c r="N666" i="4"/>
  <c r="O666" i="4" s="1"/>
  <c r="P666" i="4" s="1"/>
  <c r="Q666" i="4" s="1"/>
  <c r="S666" i="4" s="1"/>
  <c r="O561" i="4"/>
  <c r="P561" i="4" s="1"/>
  <c r="Q561" i="4" s="1"/>
  <c r="S561" i="4" s="1"/>
  <c r="U561" i="4" s="1"/>
  <c r="V561" i="4" s="1"/>
  <c r="O568" i="4"/>
  <c r="P568" i="4" s="1"/>
  <c r="Q568" i="4" s="1"/>
  <c r="S568" i="4" s="1"/>
  <c r="U568" i="4" s="1"/>
  <c r="V568" i="4" s="1"/>
  <c r="O574" i="4"/>
  <c r="P574" i="4" s="1"/>
  <c r="Q574" i="4" s="1"/>
  <c r="S574" i="4" s="1"/>
  <c r="O582" i="4"/>
  <c r="P582" i="4" s="1"/>
  <c r="Q582" i="4" s="1"/>
  <c r="S582" i="4" s="1"/>
  <c r="O594" i="4"/>
  <c r="P594" i="4" s="1"/>
  <c r="Q594" i="4" s="1"/>
  <c r="S594" i="4" s="1"/>
  <c r="O612" i="4"/>
  <c r="P612" i="4" s="1"/>
  <c r="Q612" i="4" s="1"/>
  <c r="S612" i="4" s="1"/>
  <c r="O636" i="4"/>
  <c r="P636" i="4" s="1"/>
  <c r="Q636" i="4" s="1"/>
  <c r="S636" i="4" s="1"/>
  <c r="U636" i="4" s="1"/>
  <c r="V636" i="4" s="1"/>
  <c r="M648" i="4"/>
  <c r="N648" i="4"/>
  <c r="O648" i="4" s="1"/>
  <c r="P648" i="4" s="1"/>
  <c r="Q648" i="4" s="1"/>
  <c r="S648" i="4" s="1"/>
  <c r="P651" i="4"/>
  <c r="Q651" i="4" s="1"/>
  <c r="S651" i="4" s="1"/>
  <c r="M552" i="4"/>
  <c r="N557" i="4"/>
  <c r="O557" i="4" s="1"/>
  <c r="P557" i="4" s="1"/>
  <c r="Q557" i="4" s="1"/>
  <c r="S557" i="4" s="1"/>
  <c r="N565" i="4"/>
  <c r="O565" i="4" s="1"/>
  <c r="P565" i="4" s="1"/>
  <c r="Q565" i="4" s="1"/>
  <c r="S565" i="4" s="1"/>
  <c r="U565" i="4" s="1"/>
  <c r="V565" i="4" s="1"/>
  <c r="N571" i="4"/>
  <c r="O571" i="4" s="1"/>
  <c r="P571" i="4" s="1"/>
  <c r="Q571" i="4" s="1"/>
  <c r="S571" i="4" s="1"/>
  <c r="U571" i="4" s="1"/>
  <c r="V571" i="4" s="1"/>
  <c r="N577" i="4"/>
  <c r="O577" i="4" s="1"/>
  <c r="P577" i="4" s="1"/>
  <c r="Q577" i="4" s="1"/>
  <c r="S577" i="4" s="1"/>
  <c r="N581" i="4"/>
  <c r="O581" i="4" s="1"/>
  <c r="P581" i="4" s="1"/>
  <c r="Q581" i="4" s="1"/>
  <c r="S581" i="4" s="1"/>
  <c r="U581" i="4" s="1"/>
  <c r="V581" i="4" s="1"/>
  <c r="N585" i="4"/>
  <c r="O585" i="4" s="1"/>
  <c r="P585" i="4" s="1"/>
  <c r="Q585" i="4" s="1"/>
  <c r="S585" i="4" s="1"/>
  <c r="U585" i="4" s="1"/>
  <c r="V585" i="4" s="1"/>
  <c r="O589" i="4"/>
  <c r="P589" i="4" s="1"/>
  <c r="Q589" i="4" s="1"/>
  <c r="S589" i="4" s="1"/>
  <c r="O599" i="4"/>
  <c r="P599" i="4" s="1"/>
  <c r="Q599" i="4" s="1"/>
  <c r="S599" i="4" s="1"/>
  <c r="N603" i="4"/>
  <c r="O603" i="4" s="1"/>
  <c r="P603" i="4" s="1"/>
  <c r="Q603" i="4" s="1"/>
  <c r="S603" i="4" s="1"/>
  <c r="O607" i="4"/>
  <c r="P607" i="4" s="1"/>
  <c r="Q607" i="4" s="1"/>
  <c r="S607" i="4" s="1"/>
  <c r="O617" i="4"/>
  <c r="P617" i="4" s="1"/>
  <c r="Q617" i="4" s="1"/>
  <c r="S617" i="4" s="1"/>
  <c r="N621" i="4"/>
  <c r="O621" i="4" s="1"/>
  <c r="P621" i="4" s="1"/>
  <c r="Q621" i="4" s="1"/>
  <c r="S621" i="4" s="1"/>
  <c r="U621" i="4" s="1"/>
  <c r="V621" i="4" s="1"/>
  <c r="P625" i="4"/>
  <c r="Q625" i="4" s="1"/>
  <c r="S625" i="4" s="1"/>
  <c r="U625" i="4" s="1"/>
  <c r="V625" i="4" s="1"/>
  <c r="N626" i="4"/>
  <c r="O626" i="4" s="1"/>
  <c r="P626" i="4" s="1"/>
  <c r="Q626" i="4" s="1"/>
  <c r="S626" i="4" s="1"/>
  <c r="U626" i="4" s="1"/>
  <c r="V626" i="4" s="1"/>
  <c r="O549" i="4"/>
  <c r="P549" i="4" s="1"/>
  <c r="Q549" i="4" s="1"/>
  <c r="S549" i="4" s="1"/>
  <c r="U549" i="4" s="1"/>
  <c r="V549" i="4" s="1"/>
  <c r="P674" i="4"/>
  <c r="Q674" i="4" s="1"/>
  <c r="S674" i="4" s="1"/>
  <c r="O552" i="4"/>
  <c r="P552" i="4" s="1"/>
  <c r="Q552" i="4" s="1"/>
  <c r="S552" i="4" s="1"/>
  <c r="O587" i="4"/>
  <c r="P587" i="4" s="1"/>
  <c r="Q587" i="4" s="1"/>
  <c r="S587" i="4" s="1"/>
  <c r="O595" i="4"/>
  <c r="P595" i="4" s="1"/>
  <c r="Q595" i="4" s="1"/>
  <c r="S595" i="4" s="1"/>
  <c r="O605" i="4"/>
  <c r="P605" i="4" s="1"/>
  <c r="Q605" i="4" s="1"/>
  <c r="S605" i="4" s="1"/>
  <c r="O613" i="4"/>
  <c r="P613" i="4" s="1"/>
  <c r="Q613" i="4" s="1"/>
  <c r="S613" i="4" s="1"/>
  <c r="O623" i="4"/>
  <c r="P623" i="4" s="1"/>
  <c r="Q623" i="4" s="1"/>
  <c r="S623" i="4" s="1"/>
  <c r="M584" i="4"/>
  <c r="U584" i="4" s="1"/>
  <c r="V584" i="4" s="1"/>
  <c r="M587" i="4"/>
  <c r="U587" i="4" s="1"/>
  <c r="V587" i="4" s="1"/>
  <c r="M590" i="4"/>
  <c r="U590" i="4" s="1"/>
  <c r="V590" i="4" s="1"/>
  <c r="M593" i="4"/>
  <c r="M596" i="4"/>
  <c r="M599" i="4"/>
  <c r="U599" i="4" s="1"/>
  <c r="V599" i="4" s="1"/>
  <c r="M602" i="4"/>
  <c r="U602" i="4" s="1"/>
  <c r="V602" i="4" s="1"/>
  <c r="M605" i="4"/>
  <c r="U605" i="4" s="1"/>
  <c r="V605" i="4" s="1"/>
  <c r="M608" i="4"/>
  <c r="M611" i="4"/>
  <c r="M614" i="4"/>
  <c r="M617" i="4"/>
  <c r="M620" i="4"/>
  <c r="U620" i="4" s="1"/>
  <c r="V620" i="4" s="1"/>
  <c r="M623" i="4"/>
  <c r="M627" i="4"/>
  <c r="O631" i="4"/>
  <c r="P631" i="4" s="1"/>
  <c r="Q631" i="4" s="1"/>
  <c r="S631" i="4" s="1"/>
  <c r="U631" i="4" s="1"/>
  <c r="V631" i="4" s="1"/>
  <c r="O637" i="4"/>
  <c r="P637" i="4" s="1"/>
  <c r="Q637" i="4" s="1"/>
  <c r="S637" i="4" s="1"/>
  <c r="U637" i="4" s="1"/>
  <c r="V637" i="4" s="1"/>
  <c r="O640" i="4"/>
  <c r="P640" i="4" s="1"/>
  <c r="Q640" i="4" s="1"/>
  <c r="S640" i="4" s="1"/>
  <c r="U640" i="4" s="1"/>
  <c r="V640" i="4" s="1"/>
  <c r="N642" i="4"/>
  <c r="O642" i="4" s="1"/>
  <c r="P642" i="4" s="1"/>
  <c r="Q642" i="4" s="1"/>
  <c r="S642" i="4" s="1"/>
  <c r="P653" i="4"/>
  <c r="Q653" i="4" s="1"/>
  <c r="S653" i="4" s="1"/>
  <c r="O658" i="4"/>
  <c r="P658" i="4" s="1"/>
  <c r="Q658" i="4" s="1"/>
  <c r="S658" i="4" s="1"/>
  <c r="N660" i="4"/>
  <c r="O660" i="4" s="1"/>
  <c r="P660" i="4" s="1"/>
  <c r="Q660" i="4" s="1"/>
  <c r="S660" i="4" s="1"/>
  <c r="P671" i="4"/>
  <c r="Q671" i="4" s="1"/>
  <c r="S671" i="4" s="1"/>
  <c r="O676" i="4"/>
  <c r="P676" i="4" s="1"/>
  <c r="Q676" i="4" s="1"/>
  <c r="S676" i="4" s="1"/>
  <c r="N680" i="4"/>
  <c r="O680" i="4" s="1"/>
  <c r="P680" i="4" s="1"/>
  <c r="Q680" i="4" s="1"/>
  <c r="S680" i="4" s="1"/>
  <c r="O684" i="4"/>
  <c r="P684" i="4" s="1"/>
  <c r="Q684" i="4" s="1"/>
  <c r="S684" i="4" s="1"/>
  <c r="M685" i="4"/>
  <c r="N685" i="4"/>
  <c r="O685" i="4" s="1"/>
  <c r="P685" i="4" s="1"/>
  <c r="Q685" i="4" s="1"/>
  <c r="S685" i="4" s="1"/>
  <c r="O687" i="4"/>
  <c r="P687" i="4" s="1"/>
  <c r="Q687" i="4" s="1"/>
  <c r="S687" i="4" s="1"/>
  <c r="P690" i="4"/>
  <c r="Q690" i="4" s="1"/>
  <c r="S690" i="4" s="1"/>
  <c r="O645" i="4"/>
  <c r="P645" i="4" s="1"/>
  <c r="Q645" i="4" s="1"/>
  <c r="S645" i="4" s="1"/>
  <c r="O663" i="4"/>
  <c r="P663" i="4" s="1"/>
  <c r="Q663" i="4" s="1"/>
  <c r="S663" i="4" s="1"/>
  <c r="U663" i="4" s="1"/>
  <c r="V663" i="4" s="1"/>
  <c r="O693" i="4"/>
  <c r="P693" i="4" s="1"/>
  <c r="Q693" i="4" s="1"/>
  <c r="S693" i="4" s="1"/>
  <c r="M707" i="4"/>
  <c r="U707" i="4" s="1"/>
  <c r="V707" i="4" s="1"/>
  <c r="N707" i="4"/>
  <c r="O707" i="4" s="1"/>
  <c r="P707" i="4" s="1"/>
  <c r="Q707" i="4" s="1"/>
  <c r="S707" i="4" s="1"/>
  <c r="M580" i="4"/>
  <c r="U580" i="4" s="1"/>
  <c r="V580" i="4" s="1"/>
  <c r="M583" i="4"/>
  <c r="U583" i="4" s="1"/>
  <c r="V583" i="4" s="1"/>
  <c r="M586" i="4"/>
  <c r="U586" i="4" s="1"/>
  <c r="V586" i="4" s="1"/>
  <c r="M589" i="4"/>
  <c r="M592" i="4"/>
  <c r="U592" i="4" s="1"/>
  <c r="V592" i="4" s="1"/>
  <c r="M595" i="4"/>
  <c r="U595" i="4" s="1"/>
  <c r="V595" i="4" s="1"/>
  <c r="M598" i="4"/>
  <c r="U598" i="4" s="1"/>
  <c r="V598" i="4" s="1"/>
  <c r="M601" i="4"/>
  <c r="U601" i="4" s="1"/>
  <c r="V601" i="4" s="1"/>
  <c r="M604" i="4"/>
  <c r="M607" i="4"/>
  <c r="U607" i="4" s="1"/>
  <c r="V607" i="4" s="1"/>
  <c r="M610" i="4"/>
  <c r="U610" i="4" s="1"/>
  <c r="V610" i="4" s="1"/>
  <c r="M613" i="4"/>
  <c r="U613" i="4" s="1"/>
  <c r="V613" i="4" s="1"/>
  <c r="M616" i="4"/>
  <c r="U616" i="4" s="1"/>
  <c r="V616" i="4" s="1"/>
  <c r="M619" i="4"/>
  <c r="U619" i="4" s="1"/>
  <c r="V619" i="4" s="1"/>
  <c r="M622" i="4"/>
  <c r="U622" i="4" s="1"/>
  <c r="V622" i="4" s="1"/>
  <c r="N633" i="4"/>
  <c r="O633" i="4" s="1"/>
  <c r="P633" i="4" s="1"/>
  <c r="Q633" i="4" s="1"/>
  <c r="S633" i="4" s="1"/>
  <c r="U633" i="4" s="1"/>
  <c r="V633" i="4" s="1"/>
  <c r="P635" i="4"/>
  <c r="Q635" i="4" s="1"/>
  <c r="S635" i="4" s="1"/>
  <c r="P647" i="4"/>
  <c r="Q647" i="4" s="1"/>
  <c r="S647" i="4" s="1"/>
  <c r="O652" i="4"/>
  <c r="P652" i="4" s="1"/>
  <c r="Q652" i="4" s="1"/>
  <c r="S652" i="4" s="1"/>
  <c r="N654" i="4"/>
  <c r="O654" i="4" s="1"/>
  <c r="P654" i="4" s="1"/>
  <c r="Q654" i="4" s="1"/>
  <c r="S654" i="4" s="1"/>
  <c r="P665" i="4"/>
  <c r="Q665" i="4" s="1"/>
  <c r="S665" i="4" s="1"/>
  <c r="O670" i="4"/>
  <c r="P670" i="4" s="1"/>
  <c r="Q670" i="4" s="1"/>
  <c r="S670" i="4" s="1"/>
  <c r="N672" i="4"/>
  <c r="O672" i="4" s="1"/>
  <c r="P672" i="4" s="1"/>
  <c r="Q672" i="4" s="1"/>
  <c r="S672" i="4" s="1"/>
  <c r="U672" i="4" s="1"/>
  <c r="V672" i="4" s="1"/>
  <c r="P688" i="4"/>
  <c r="Q688" i="4" s="1"/>
  <c r="S688" i="4" s="1"/>
  <c r="O639" i="4"/>
  <c r="P639" i="4" s="1"/>
  <c r="Q639" i="4" s="1"/>
  <c r="S639" i="4" s="1"/>
  <c r="O657" i="4"/>
  <c r="P657" i="4" s="1"/>
  <c r="Q657" i="4" s="1"/>
  <c r="S657" i="4" s="1"/>
  <c r="O675" i="4"/>
  <c r="P675" i="4" s="1"/>
  <c r="Q675" i="4" s="1"/>
  <c r="S675" i="4" s="1"/>
  <c r="M697" i="4"/>
  <c r="N697" i="4"/>
  <c r="O697" i="4" s="1"/>
  <c r="P697" i="4" s="1"/>
  <c r="Q697" i="4" s="1"/>
  <c r="S697" i="4" s="1"/>
  <c r="P641" i="4"/>
  <c r="Q641" i="4" s="1"/>
  <c r="S641" i="4" s="1"/>
  <c r="U641" i="4" s="1"/>
  <c r="V641" i="4" s="1"/>
  <c r="O646" i="4"/>
  <c r="P646" i="4" s="1"/>
  <c r="Q646" i="4" s="1"/>
  <c r="S646" i="4" s="1"/>
  <c r="U646" i="4" s="1"/>
  <c r="V646" i="4" s="1"/>
  <c r="P659" i="4"/>
  <c r="Q659" i="4" s="1"/>
  <c r="S659" i="4" s="1"/>
  <c r="U659" i="4" s="1"/>
  <c r="V659" i="4" s="1"/>
  <c r="O664" i="4"/>
  <c r="P664" i="4" s="1"/>
  <c r="Q664" i="4" s="1"/>
  <c r="S664" i="4" s="1"/>
  <c r="U664" i="4" s="1"/>
  <c r="V664" i="4" s="1"/>
  <c r="O677" i="4"/>
  <c r="P677" i="4" s="1"/>
  <c r="Q677" i="4" s="1"/>
  <c r="S677" i="4" s="1"/>
  <c r="U677" i="4" s="1"/>
  <c r="V677" i="4" s="1"/>
  <c r="P679" i="4"/>
  <c r="Q679" i="4" s="1"/>
  <c r="S679" i="4" s="1"/>
  <c r="U679" i="4" s="1"/>
  <c r="V679" i="4" s="1"/>
  <c r="M703" i="4"/>
  <c r="N703" i="4"/>
  <c r="O703" i="4" s="1"/>
  <c r="P703" i="4" s="1"/>
  <c r="Q703" i="4" s="1"/>
  <c r="S703" i="4" s="1"/>
  <c r="M722" i="4"/>
  <c r="U722" i="4" s="1"/>
  <c r="V722" i="4" s="1"/>
  <c r="N722" i="4"/>
  <c r="O722" i="4" s="1"/>
  <c r="P722" i="4" s="1"/>
  <c r="Q722" i="4" s="1"/>
  <c r="S722" i="4" s="1"/>
  <c r="M740" i="4"/>
  <c r="U740" i="4" s="1"/>
  <c r="V740" i="4" s="1"/>
  <c r="N740" i="4"/>
  <c r="O740" i="4" s="1"/>
  <c r="P740" i="4" s="1"/>
  <c r="Q740" i="4" s="1"/>
  <c r="S740" i="4" s="1"/>
  <c r="P791" i="4"/>
  <c r="Q791" i="4" s="1"/>
  <c r="S791" i="4" s="1"/>
  <c r="M681" i="4"/>
  <c r="U681" i="4" s="1"/>
  <c r="V681" i="4" s="1"/>
  <c r="M686" i="4"/>
  <c r="U686" i="4" s="1"/>
  <c r="V686" i="4" s="1"/>
  <c r="N691" i="4"/>
  <c r="O691" i="4" s="1"/>
  <c r="P691" i="4" s="1"/>
  <c r="Q691" i="4" s="1"/>
  <c r="S691" i="4" s="1"/>
  <c r="U691" i="4" s="1"/>
  <c r="V691" i="4" s="1"/>
  <c r="N695" i="4"/>
  <c r="O695" i="4" s="1"/>
  <c r="P695" i="4" s="1"/>
  <c r="Q695" i="4" s="1"/>
  <c r="S695" i="4" s="1"/>
  <c r="U695" i="4" s="1"/>
  <c r="V695" i="4" s="1"/>
  <c r="N701" i="4"/>
  <c r="O701" i="4" s="1"/>
  <c r="P701" i="4" s="1"/>
  <c r="Q701" i="4" s="1"/>
  <c r="S701" i="4" s="1"/>
  <c r="U701" i="4" s="1"/>
  <c r="V701" i="4" s="1"/>
  <c r="N710" i="4"/>
  <c r="O710" i="4" s="1"/>
  <c r="P710" i="4" s="1"/>
  <c r="Q710" i="4" s="1"/>
  <c r="S710" i="4" s="1"/>
  <c r="O714" i="4"/>
  <c r="P714" i="4" s="1"/>
  <c r="Q714" i="4" s="1"/>
  <c r="S714" i="4" s="1"/>
  <c r="O724" i="4"/>
  <c r="P724" i="4" s="1"/>
  <c r="Q724" i="4" s="1"/>
  <c r="S724" i="4" s="1"/>
  <c r="N728" i="4"/>
  <c r="O728" i="4" s="1"/>
  <c r="P728" i="4" s="1"/>
  <c r="Q728" i="4" s="1"/>
  <c r="S728" i="4" s="1"/>
  <c r="U728" i="4" s="1"/>
  <c r="V728" i="4" s="1"/>
  <c r="O732" i="4"/>
  <c r="P732" i="4" s="1"/>
  <c r="Q732" i="4" s="1"/>
  <c r="S732" i="4" s="1"/>
  <c r="O742" i="4"/>
  <c r="P742" i="4" s="1"/>
  <c r="Q742" i="4" s="1"/>
  <c r="S742" i="4" s="1"/>
  <c r="N746" i="4"/>
  <c r="O746" i="4" s="1"/>
  <c r="P746" i="4" s="1"/>
  <c r="Q746" i="4" s="1"/>
  <c r="S746" i="4" s="1"/>
  <c r="U746" i="4" s="1"/>
  <c r="V746" i="4" s="1"/>
  <c r="O750" i="4"/>
  <c r="P750" i="4" s="1"/>
  <c r="Q750" i="4" s="1"/>
  <c r="S750" i="4" s="1"/>
  <c r="O761" i="4"/>
  <c r="P761" i="4" s="1"/>
  <c r="Q761" i="4" s="1"/>
  <c r="S761" i="4" s="1"/>
  <c r="O683" i="4"/>
  <c r="P683" i="4" s="1"/>
  <c r="Q683" i="4" s="1"/>
  <c r="S683" i="4" s="1"/>
  <c r="U683" i="4" s="1"/>
  <c r="V683" i="4" s="1"/>
  <c r="M684" i="4"/>
  <c r="M689" i="4"/>
  <c r="U689" i="4" s="1"/>
  <c r="V689" i="4" s="1"/>
  <c r="N694" i="4"/>
  <c r="O694" i="4" s="1"/>
  <c r="P694" i="4" s="1"/>
  <c r="Q694" i="4" s="1"/>
  <c r="S694" i="4" s="1"/>
  <c r="U694" i="4" s="1"/>
  <c r="V694" i="4" s="1"/>
  <c r="O696" i="4"/>
  <c r="P696" i="4" s="1"/>
  <c r="Q696" i="4" s="1"/>
  <c r="S696" i="4" s="1"/>
  <c r="U696" i="4" s="1"/>
  <c r="V696" i="4" s="1"/>
  <c r="N700" i="4"/>
  <c r="O700" i="4" s="1"/>
  <c r="P700" i="4" s="1"/>
  <c r="Q700" i="4" s="1"/>
  <c r="S700" i="4" s="1"/>
  <c r="O702" i="4"/>
  <c r="P702" i="4" s="1"/>
  <c r="Q702" i="4" s="1"/>
  <c r="S702" i="4" s="1"/>
  <c r="U702" i="4" s="1"/>
  <c r="V702" i="4" s="1"/>
  <c r="N706" i="4"/>
  <c r="O706" i="4" s="1"/>
  <c r="P706" i="4" s="1"/>
  <c r="Q706" i="4" s="1"/>
  <c r="S706" i="4" s="1"/>
  <c r="U706" i="4" s="1"/>
  <c r="V706" i="4" s="1"/>
  <c r="N713" i="4"/>
  <c r="O713" i="4" s="1"/>
  <c r="P713" i="4" s="1"/>
  <c r="Q713" i="4" s="1"/>
  <c r="S713" i="4" s="1"/>
  <c r="O725" i="4"/>
  <c r="P725" i="4" s="1"/>
  <c r="Q725" i="4" s="1"/>
  <c r="S725" i="4" s="1"/>
  <c r="U725" i="4" s="1"/>
  <c r="V725" i="4" s="1"/>
  <c r="N731" i="4"/>
  <c r="O731" i="4" s="1"/>
  <c r="P731" i="4" s="1"/>
  <c r="Q731" i="4" s="1"/>
  <c r="S731" i="4" s="1"/>
  <c r="O743" i="4"/>
  <c r="P743" i="4" s="1"/>
  <c r="Q743" i="4" s="1"/>
  <c r="S743" i="4" s="1"/>
  <c r="N749" i="4"/>
  <c r="O749" i="4" s="1"/>
  <c r="P749" i="4" s="1"/>
  <c r="Q749" i="4" s="1"/>
  <c r="S749" i="4" s="1"/>
  <c r="U749" i="4" s="1"/>
  <c r="V749" i="4" s="1"/>
  <c r="M829" i="4"/>
  <c r="N829" i="4"/>
  <c r="O829" i="4" s="1"/>
  <c r="P829" i="4" s="1"/>
  <c r="Q829" i="4" s="1"/>
  <c r="S829" i="4" s="1"/>
  <c r="O686" i="4"/>
  <c r="P686" i="4" s="1"/>
  <c r="Q686" i="4" s="1"/>
  <c r="S686" i="4" s="1"/>
  <c r="M837" i="4"/>
  <c r="N837" i="4"/>
  <c r="O837" i="4" s="1"/>
  <c r="P837" i="4" s="1"/>
  <c r="Q837" i="4" s="1"/>
  <c r="S837" i="4" s="1"/>
  <c r="O689" i="4"/>
  <c r="P689" i="4" s="1"/>
  <c r="Q689" i="4" s="1"/>
  <c r="S689" i="4" s="1"/>
  <c r="O715" i="4"/>
  <c r="P715" i="4" s="1"/>
  <c r="Q715" i="4" s="1"/>
  <c r="S715" i="4" s="1"/>
  <c r="O723" i="4"/>
  <c r="P723" i="4" s="1"/>
  <c r="Q723" i="4" s="1"/>
  <c r="S723" i="4" s="1"/>
  <c r="O733" i="4"/>
  <c r="P733" i="4" s="1"/>
  <c r="Q733" i="4" s="1"/>
  <c r="S733" i="4" s="1"/>
  <c r="O741" i="4"/>
  <c r="P741" i="4" s="1"/>
  <c r="Q741" i="4" s="1"/>
  <c r="S741" i="4" s="1"/>
  <c r="O751" i="4"/>
  <c r="P751" i="4" s="1"/>
  <c r="Q751" i="4" s="1"/>
  <c r="S751" i="4" s="1"/>
  <c r="P754" i="4"/>
  <c r="Q754" i="4" s="1"/>
  <c r="S754" i="4" s="1"/>
  <c r="P760" i="4"/>
  <c r="Q760" i="4" s="1"/>
  <c r="S760" i="4" s="1"/>
  <c r="M819" i="4"/>
  <c r="U819" i="4" s="1"/>
  <c r="V819" i="4" s="1"/>
  <c r="N819" i="4"/>
  <c r="O819" i="4" s="1"/>
  <c r="P819" i="4" s="1"/>
  <c r="Q819" i="4" s="1"/>
  <c r="S819" i="4" s="1"/>
  <c r="O692" i="4"/>
  <c r="P692" i="4" s="1"/>
  <c r="Q692" i="4" s="1"/>
  <c r="S692" i="4" s="1"/>
  <c r="U692" i="4" s="1"/>
  <c r="V692" i="4" s="1"/>
  <c r="O699" i="4"/>
  <c r="P699" i="4" s="1"/>
  <c r="Q699" i="4" s="1"/>
  <c r="S699" i="4" s="1"/>
  <c r="O705" i="4"/>
  <c r="P705" i="4" s="1"/>
  <c r="Q705" i="4" s="1"/>
  <c r="S705" i="4" s="1"/>
  <c r="U705" i="4" s="1"/>
  <c r="V705" i="4" s="1"/>
  <c r="O708" i="4"/>
  <c r="P708" i="4" s="1"/>
  <c r="Q708" i="4" s="1"/>
  <c r="S708" i="4" s="1"/>
  <c r="O716" i="4"/>
  <c r="P716" i="4" s="1"/>
  <c r="Q716" i="4" s="1"/>
  <c r="S716" i="4" s="1"/>
  <c r="U716" i="4" s="1"/>
  <c r="V716" i="4" s="1"/>
  <c r="O718" i="4"/>
  <c r="P718" i="4" s="1"/>
  <c r="Q718" i="4" s="1"/>
  <c r="S718" i="4" s="1"/>
  <c r="O726" i="4"/>
  <c r="P726" i="4" s="1"/>
  <c r="Q726" i="4" s="1"/>
  <c r="S726" i="4" s="1"/>
  <c r="O734" i="4"/>
  <c r="P734" i="4" s="1"/>
  <c r="Q734" i="4" s="1"/>
  <c r="S734" i="4" s="1"/>
  <c r="O736" i="4"/>
  <c r="P736" i="4" s="1"/>
  <c r="Q736" i="4" s="1"/>
  <c r="S736" i="4" s="1"/>
  <c r="O744" i="4"/>
  <c r="P744" i="4" s="1"/>
  <c r="Q744" i="4" s="1"/>
  <c r="S744" i="4" s="1"/>
  <c r="P752" i="4"/>
  <c r="Q752" i="4" s="1"/>
  <c r="S752" i="4" s="1"/>
  <c r="M709" i="4"/>
  <c r="M712" i="4"/>
  <c r="U712" i="4" s="1"/>
  <c r="V712" i="4" s="1"/>
  <c r="M715" i="4"/>
  <c r="U715" i="4" s="1"/>
  <c r="V715" i="4" s="1"/>
  <c r="M718" i="4"/>
  <c r="M721" i="4"/>
  <c r="U721" i="4" s="1"/>
  <c r="V721" i="4" s="1"/>
  <c r="M724" i="4"/>
  <c r="U724" i="4" s="1"/>
  <c r="V724" i="4" s="1"/>
  <c r="M727" i="4"/>
  <c r="U727" i="4" s="1"/>
  <c r="V727" i="4" s="1"/>
  <c r="M730" i="4"/>
  <c r="M733" i="4"/>
  <c r="U733" i="4" s="1"/>
  <c r="V733" i="4" s="1"/>
  <c r="M736" i="4"/>
  <c r="M739" i="4"/>
  <c r="M742" i="4"/>
  <c r="U742" i="4" s="1"/>
  <c r="V742" i="4" s="1"/>
  <c r="M745" i="4"/>
  <c r="U745" i="4" s="1"/>
  <c r="V745" i="4" s="1"/>
  <c r="M748" i="4"/>
  <c r="U748" i="4" s="1"/>
  <c r="V748" i="4" s="1"/>
  <c r="M751" i="4"/>
  <c r="U751" i="4" s="1"/>
  <c r="V751" i="4" s="1"/>
  <c r="P755" i="4"/>
  <c r="Q755" i="4" s="1"/>
  <c r="S755" i="4" s="1"/>
  <c r="U755" i="4" s="1"/>
  <c r="V755" i="4" s="1"/>
  <c r="M756" i="4"/>
  <c r="U756" i="4" s="1"/>
  <c r="V756" i="4" s="1"/>
  <c r="M761" i="4"/>
  <c r="U761" i="4" s="1"/>
  <c r="V761" i="4" s="1"/>
  <c r="P769" i="4"/>
  <c r="Q769" i="4" s="1"/>
  <c r="S769" i="4" s="1"/>
  <c r="U769" i="4" s="1"/>
  <c r="V769" i="4" s="1"/>
  <c r="P775" i="4"/>
  <c r="Q775" i="4" s="1"/>
  <c r="S775" i="4" s="1"/>
  <c r="U775" i="4" s="1"/>
  <c r="V775" i="4" s="1"/>
  <c r="O783" i="4"/>
  <c r="P783" i="4" s="1"/>
  <c r="Q783" i="4" s="1"/>
  <c r="S783" i="4" s="1"/>
  <c r="P788" i="4"/>
  <c r="Q788" i="4" s="1"/>
  <c r="S788" i="4" s="1"/>
  <c r="U788" i="4" s="1"/>
  <c r="V788" i="4" s="1"/>
  <c r="P793" i="4"/>
  <c r="Q793" i="4" s="1"/>
  <c r="S793" i="4" s="1"/>
  <c r="O801" i="4"/>
  <c r="P801" i="4" s="1"/>
  <c r="Q801" i="4" s="1"/>
  <c r="S801" i="4" s="1"/>
  <c r="U801" i="4" s="1"/>
  <c r="V801" i="4" s="1"/>
  <c r="P806" i="4"/>
  <c r="Q806" i="4" s="1"/>
  <c r="S806" i="4" s="1"/>
  <c r="U806" i="4" s="1"/>
  <c r="V806" i="4" s="1"/>
  <c r="O808" i="4"/>
  <c r="P808" i="4" s="1"/>
  <c r="Q808" i="4" s="1"/>
  <c r="S808" i="4" s="1"/>
  <c r="U808" i="4" s="1"/>
  <c r="V808" i="4" s="1"/>
  <c r="M811" i="4"/>
  <c r="U811" i="4" s="1"/>
  <c r="V811" i="4" s="1"/>
  <c r="N811" i="4"/>
  <c r="O811" i="4" s="1"/>
  <c r="P811" i="4" s="1"/>
  <c r="Q811" i="4" s="1"/>
  <c r="S811" i="4" s="1"/>
  <c r="O813" i="4"/>
  <c r="P813" i="4" s="1"/>
  <c r="Q813" i="4" s="1"/>
  <c r="S813" i="4" s="1"/>
  <c r="P816" i="4"/>
  <c r="Q816" i="4" s="1"/>
  <c r="S816" i="4" s="1"/>
  <c r="U816" i="4" s="1"/>
  <c r="V816" i="4" s="1"/>
  <c r="O832" i="4"/>
  <c r="P832" i="4" s="1"/>
  <c r="Q832" i="4" s="1"/>
  <c r="S832" i="4" s="1"/>
  <c r="U832" i="4" s="1"/>
  <c r="V832" i="4" s="1"/>
  <c r="M835" i="4"/>
  <c r="U835" i="4" s="1"/>
  <c r="V835" i="4" s="1"/>
  <c r="N835" i="4"/>
  <c r="O835" i="4" s="1"/>
  <c r="P835" i="4" s="1"/>
  <c r="Q835" i="4" s="1"/>
  <c r="S835" i="4" s="1"/>
  <c r="O814" i="4"/>
  <c r="P814" i="4" s="1"/>
  <c r="Q814" i="4" s="1"/>
  <c r="S814" i="4" s="1"/>
  <c r="M854" i="4"/>
  <c r="N854" i="4"/>
  <c r="O854" i="4" s="1"/>
  <c r="P854" i="4" s="1"/>
  <c r="Q854" i="4" s="1"/>
  <c r="S854" i="4" s="1"/>
  <c r="M708" i="4"/>
  <c r="M711" i="4"/>
  <c r="U711" i="4" s="1"/>
  <c r="V711" i="4" s="1"/>
  <c r="M714" i="4"/>
  <c r="U714" i="4" s="1"/>
  <c r="V714" i="4" s="1"/>
  <c r="M717" i="4"/>
  <c r="U717" i="4" s="1"/>
  <c r="V717" i="4" s="1"/>
  <c r="M720" i="4"/>
  <c r="U720" i="4" s="1"/>
  <c r="V720" i="4" s="1"/>
  <c r="M723" i="4"/>
  <c r="U723" i="4" s="1"/>
  <c r="V723" i="4" s="1"/>
  <c r="M726" i="4"/>
  <c r="U726" i="4" s="1"/>
  <c r="V726" i="4" s="1"/>
  <c r="M729" i="4"/>
  <c r="U729" i="4" s="1"/>
  <c r="V729" i="4" s="1"/>
  <c r="M732" i="4"/>
  <c r="M735" i="4"/>
  <c r="U735" i="4" s="1"/>
  <c r="V735" i="4" s="1"/>
  <c r="M738" i="4"/>
  <c r="U738" i="4" s="1"/>
  <c r="V738" i="4" s="1"/>
  <c r="M741" i="4"/>
  <c r="U741" i="4" s="1"/>
  <c r="V741" i="4" s="1"/>
  <c r="M744" i="4"/>
  <c r="U744" i="4" s="1"/>
  <c r="V744" i="4" s="1"/>
  <c r="M747" i="4"/>
  <c r="U747" i="4" s="1"/>
  <c r="V747" i="4" s="1"/>
  <c r="M750" i="4"/>
  <c r="M762" i="4"/>
  <c r="U762" i="4" s="1"/>
  <c r="V762" i="4" s="1"/>
  <c r="P773" i="4"/>
  <c r="Q773" i="4" s="1"/>
  <c r="S773" i="4" s="1"/>
  <c r="U773" i="4" s="1"/>
  <c r="V773" i="4" s="1"/>
  <c r="P782" i="4"/>
  <c r="Q782" i="4" s="1"/>
  <c r="S782" i="4" s="1"/>
  <c r="U782" i="4" s="1"/>
  <c r="V782" i="4" s="1"/>
  <c r="P787" i="4"/>
  <c r="Q787" i="4" s="1"/>
  <c r="S787" i="4" s="1"/>
  <c r="U787" i="4" s="1"/>
  <c r="V787" i="4" s="1"/>
  <c r="O802" i="4"/>
  <c r="P802" i="4" s="1"/>
  <c r="Q802" i="4" s="1"/>
  <c r="S802" i="4" s="1"/>
  <c r="P809" i="4"/>
  <c r="Q809" i="4" s="1"/>
  <c r="S809" i="4" s="1"/>
  <c r="O825" i="4"/>
  <c r="P825" i="4" s="1"/>
  <c r="Q825" i="4" s="1"/>
  <c r="S825" i="4" s="1"/>
  <c r="M842" i="4"/>
  <c r="U842" i="4" s="1"/>
  <c r="V842" i="4" s="1"/>
  <c r="N842" i="4"/>
  <c r="O842" i="4" s="1"/>
  <c r="P842" i="4" s="1"/>
  <c r="Q842" i="4" s="1"/>
  <c r="S842" i="4" s="1"/>
  <c r="M768" i="4"/>
  <c r="U768" i="4" s="1"/>
  <c r="V768" i="4" s="1"/>
  <c r="O792" i="4"/>
  <c r="P792" i="4" s="1"/>
  <c r="Q792" i="4" s="1"/>
  <c r="S792" i="4" s="1"/>
  <c r="P797" i="4"/>
  <c r="Q797" i="4" s="1"/>
  <c r="S797" i="4" s="1"/>
  <c r="O807" i="4"/>
  <c r="P807" i="4" s="1"/>
  <c r="Q807" i="4" s="1"/>
  <c r="S807" i="4" s="1"/>
  <c r="N824" i="4"/>
  <c r="O824" i="4" s="1"/>
  <c r="P824" i="4" s="1"/>
  <c r="Q824" i="4" s="1"/>
  <c r="S824" i="4" s="1"/>
  <c r="P789" i="4"/>
  <c r="Q789" i="4" s="1"/>
  <c r="S789" i="4" s="1"/>
  <c r="O828" i="4"/>
  <c r="P828" i="4" s="1"/>
  <c r="Q828" i="4" s="1"/>
  <c r="S828" i="4" s="1"/>
  <c r="M812" i="4"/>
  <c r="N817" i="4"/>
  <c r="O817" i="4" s="1"/>
  <c r="P817" i="4" s="1"/>
  <c r="Q817" i="4" s="1"/>
  <c r="S817" i="4" s="1"/>
  <c r="U817" i="4" s="1"/>
  <c r="V817" i="4" s="1"/>
  <c r="M825" i="4"/>
  <c r="M830" i="4"/>
  <c r="O840" i="4"/>
  <c r="P840" i="4" s="1"/>
  <c r="Q840" i="4" s="1"/>
  <c r="S840" i="4" s="1"/>
  <c r="O846" i="4"/>
  <c r="P846" i="4" s="1"/>
  <c r="Q846" i="4" s="1"/>
  <c r="S846" i="4" s="1"/>
  <c r="O849" i="4"/>
  <c r="P849" i="4" s="1"/>
  <c r="Q849" i="4" s="1"/>
  <c r="S849" i="4" s="1"/>
  <c r="U849" i="4" s="1"/>
  <c r="V849" i="4" s="1"/>
  <c r="O856" i="4"/>
  <c r="P856" i="4" s="1"/>
  <c r="Q856" i="4" s="1"/>
  <c r="S856" i="4" s="1"/>
  <c r="M857" i="4"/>
  <c r="N857" i="4"/>
  <c r="O857" i="4" s="1"/>
  <c r="P857" i="4" s="1"/>
  <c r="Q857" i="4" s="1"/>
  <c r="S857" i="4" s="1"/>
  <c r="O859" i="4"/>
  <c r="P859" i="4" s="1"/>
  <c r="Q859" i="4" s="1"/>
  <c r="S859" i="4" s="1"/>
  <c r="U859" i="4" s="1"/>
  <c r="V859" i="4" s="1"/>
  <c r="N865" i="4"/>
  <c r="O865" i="4" s="1"/>
  <c r="P865" i="4" s="1"/>
  <c r="Q865" i="4" s="1"/>
  <c r="S865" i="4" s="1"/>
  <c r="U865" i="4" s="1"/>
  <c r="V865" i="4" s="1"/>
  <c r="P869" i="4"/>
  <c r="Q869" i="4" s="1"/>
  <c r="S869" i="4" s="1"/>
  <c r="U869" i="4" s="1"/>
  <c r="V869" i="4" s="1"/>
  <c r="M877" i="4"/>
  <c r="U877" i="4" s="1"/>
  <c r="V877" i="4" s="1"/>
  <c r="N877" i="4"/>
  <c r="O877" i="4" s="1"/>
  <c r="P877" i="4" s="1"/>
  <c r="Q877" i="4" s="1"/>
  <c r="S877" i="4" s="1"/>
  <c r="S924" i="4"/>
  <c r="O827" i="4"/>
  <c r="P827" i="4" s="1"/>
  <c r="Q827" i="4" s="1"/>
  <c r="S827" i="4" s="1"/>
  <c r="O836" i="4"/>
  <c r="P836" i="4" s="1"/>
  <c r="Q836" i="4" s="1"/>
  <c r="S836" i="4" s="1"/>
  <c r="O839" i="4"/>
  <c r="P839" i="4" s="1"/>
  <c r="Q839" i="4" s="1"/>
  <c r="S839" i="4" s="1"/>
  <c r="P862" i="4"/>
  <c r="Q862" i="4" s="1"/>
  <c r="S862" i="4" s="1"/>
  <c r="O812" i="4"/>
  <c r="P812" i="4" s="1"/>
  <c r="Q812" i="4" s="1"/>
  <c r="S812" i="4" s="1"/>
  <c r="M813" i="4"/>
  <c r="U813" i="4" s="1"/>
  <c r="V813" i="4" s="1"/>
  <c r="M818" i="4"/>
  <c r="N823" i="4"/>
  <c r="O823" i="4" s="1"/>
  <c r="P823" i="4" s="1"/>
  <c r="Q823" i="4" s="1"/>
  <c r="S823" i="4" s="1"/>
  <c r="O830" i="4"/>
  <c r="P830" i="4" s="1"/>
  <c r="Q830" i="4" s="1"/>
  <c r="S830" i="4" s="1"/>
  <c r="M831" i="4"/>
  <c r="U831" i="4" s="1"/>
  <c r="V831" i="4" s="1"/>
  <c r="N838" i="4"/>
  <c r="O838" i="4" s="1"/>
  <c r="P838" i="4" s="1"/>
  <c r="Q838" i="4" s="1"/>
  <c r="S838" i="4" s="1"/>
  <c r="O844" i="4"/>
  <c r="P844" i="4" s="1"/>
  <c r="Q844" i="4" s="1"/>
  <c r="S844" i="4" s="1"/>
  <c r="N848" i="4"/>
  <c r="O848" i="4" s="1"/>
  <c r="P848" i="4" s="1"/>
  <c r="Q848" i="4" s="1"/>
  <c r="S848" i="4" s="1"/>
  <c r="U848" i="4" s="1"/>
  <c r="V848" i="4" s="1"/>
  <c r="O855" i="4"/>
  <c r="P855" i="4" s="1"/>
  <c r="Q855" i="4" s="1"/>
  <c r="S855" i="4" s="1"/>
  <c r="O815" i="4"/>
  <c r="P815" i="4" s="1"/>
  <c r="Q815" i="4" s="1"/>
  <c r="S815" i="4" s="1"/>
  <c r="U815" i="4" s="1"/>
  <c r="V815" i="4" s="1"/>
  <c r="O833" i="4"/>
  <c r="P833" i="4" s="1"/>
  <c r="Q833" i="4" s="1"/>
  <c r="S833" i="4" s="1"/>
  <c r="U833" i="4" s="1"/>
  <c r="V833" i="4" s="1"/>
  <c r="M873" i="4"/>
  <c r="U873" i="4" s="1"/>
  <c r="V873" i="4" s="1"/>
  <c r="N873" i="4"/>
  <c r="O873" i="4" s="1"/>
  <c r="P873" i="4" s="1"/>
  <c r="Q873" i="4" s="1"/>
  <c r="S873" i="4" s="1"/>
  <c r="M882" i="4"/>
  <c r="N882" i="4"/>
  <c r="O882" i="4" s="1"/>
  <c r="P882" i="4" s="1"/>
  <c r="Q882" i="4" s="1"/>
  <c r="S882" i="4" s="1"/>
  <c r="O818" i="4"/>
  <c r="P818" i="4" s="1"/>
  <c r="Q818" i="4" s="1"/>
  <c r="S818" i="4" s="1"/>
  <c r="O850" i="4"/>
  <c r="P850" i="4" s="1"/>
  <c r="Q850" i="4" s="1"/>
  <c r="S850" i="4" s="1"/>
  <c r="O866" i="4"/>
  <c r="P866" i="4" s="1"/>
  <c r="Q866" i="4" s="1"/>
  <c r="S866" i="4" s="1"/>
  <c r="M903" i="4"/>
  <c r="U903" i="4" s="1"/>
  <c r="V903" i="4" s="1"/>
  <c r="N903" i="4"/>
  <c r="O903" i="4" s="1"/>
  <c r="P903" i="4" s="1"/>
  <c r="Q903" i="4" s="1"/>
  <c r="S903" i="4" s="1"/>
  <c r="M844" i="4"/>
  <c r="U844" i="4" s="1"/>
  <c r="V844" i="4" s="1"/>
  <c r="M847" i="4"/>
  <c r="M850" i="4"/>
  <c r="U850" i="4" s="1"/>
  <c r="V850" i="4" s="1"/>
  <c r="M853" i="4"/>
  <c r="U853" i="4" s="1"/>
  <c r="V853" i="4" s="1"/>
  <c r="M856" i="4"/>
  <c r="M858" i="4"/>
  <c r="N863" i="4"/>
  <c r="O863" i="4" s="1"/>
  <c r="P863" i="4" s="1"/>
  <c r="Q863" i="4" s="1"/>
  <c r="S863" i="4" s="1"/>
  <c r="U863" i="4" s="1"/>
  <c r="V863" i="4" s="1"/>
  <c r="N867" i="4"/>
  <c r="O867" i="4" s="1"/>
  <c r="P867" i="4" s="1"/>
  <c r="Q867" i="4" s="1"/>
  <c r="S867" i="4" s="1"/>
  <c r="U867" i="4" s="1"/>
  <c r="V867" i="4" s="1"/>
  <c r="M868" i="4"/>
  <c r="U868" i="4" s="1"/>
  <c r="V868" i="4" s="1"/>
  <c r="O886" i="4"/>
  <c r="P886" i="4" s="1"/>
  <c r="Q886" i="4" s="1"/>
  <c r="S886" i="4" s="1"/>
  <c r="P893" i="4"/>
  <c r="Q893" i="4" s="1"/>
  <c r="S893" i="4" s="1"/>
  <c r="U893" i="4" s="1"/>
  <c r="V893" i="4" s="1"/>
  <c r="O895" i="4"/>
  <c r="P895" i="4" s="1"/>
  <c r="Q895" i="4" s="1"/>
  <c r="S895" i="4" s="1"/>
  <c r="N904" i="4"/>
  <c r="O904" i="4" s="1"/>
  <c r="P904" i="4" s="1"/>
  <c r="Q904" i="4" s="1"/>
  <c r="S904" i="4" s="1"/>
  <c r="U904" i="4" s="1"/>
  <c r="V904" i="4" s="1"/>
  <c r="P919" i="4"/>
  <c r="Q919" i="4" s="1"/>
  <c r="S919" i="4" s="1"/>
  <c r="M931" i="4"/>
  <c r="U931" i="4" s="1"/>
  <c r="V931" i="4" s="1"/>
  <c r="N931" i="4"/>
  <c r="O931" i="4" s="1"/>
  <c r="P931" i="4" s="1"/>
  <c r="Q931" i="4" s="1"/>
  <c r="S931" i="4" s="1"/>
  <c r="M935" i="4"/>
  <c r="N935" i="4"/>
  <c r="O935" i="4" s="1"/>
  <c r="P935" i="4" s="1"/>
  <c r="Q935" i="4" s="1"/>
  <c r="S935" i="4" s="1"/>
  <c r="O879" i="4"/>
  <c r="P879" i="4" s="1"/>
  <c r="Q879" i="4" s="1"/>
  <c r="S879" i="4" s="1"/>
  <c r="U879" i="4" s="1"/>
  <c r="V879" i="4" s="1"/>
  <c r="O888" i="4"/>
  <c r="P888" i="4" s="1"/>
  <c r="Q888" i="4" s="1"/>
  <c r="S888" i="4" s="1"/>
  <c r="M840" i="4"/>
  <c r="M843" i="4"/>
  <c r="U843" i="4" s="1"/>
  <c r="V843" i="4" s="1"/>
  <c r="M846" i="4"/>
  <c r="U846" i="4" s="1"/>
  <c r="V846" i="4" s="1"/>
  <c r="O858" i="4"/>
  <c r="P858" i="4" s="1"/>
  <c r="Q858" i="4" s="1"/>
  <c r="S858" i="4" s="1"/>
  <c r="O868" i="4"/>
  <c r="P868" i="4" s="1"/>
  <c r="Q868" i="4" s="1"/>
  <c r="S868" i="4" s="1"/>
  <c r="M922" i="4"/>
  <c r="U922" i="4" s="1"/>
  <c r="V922" i="4" s="1"/>
  <c r="N922" i="4"/>
  <c r="O922" i="4" s="1"/>
  <c r="P922" i="4" s="1"/>
  <c r="Q922" i="4" s="1"/>
  <c r="S922" i="4" s="1"/>
  <c r="O861" i="4"/>
  <c r="P861" i="4" s="1"/>
  <c r="Q861" i="4" s="1"/>
  <c r="S861" i="4" s="1"/>
  <c r="M862" i="4"/>
  <c r="U862" i="4" s="1"/>
  <c r="V862" i="4" s="1"/>
  <c r="N872" i="4"/>
  <c r="O872" i="4" s="1"/>
  <c r="P872" i="4" s="1"/>
  <c r="Q872" i="4" s="1"/>
  <c r="S872" i="4" s="1"/>
  <c r="U872" i="4" s="1"/>
  <c r="V872" i="4" s="1"/>
  <c r="O876" i="4"/>
  <c r="P876" i="4" s="1"/>
  <c r="Q876" i="4" s="1"/>
  <c r="S876" i="4" s="1"/>
  <c r="U876" i="4" s="1"/>
  <c r="V876" i="4" s="1"/>
  <c r="O883" i="4"/>
  <c r="P883" i="4" s="1"/>
  <c r="Q883" i="4" s="1"/>
  <c r="S883" i="4" s="1"/>
  <c r="P885" i="4"/>
  <c r="Q885" i="4" s="1"/>
  <c r="S885" i="4" s="1"/>
  <c r="P887" i="4"/>
  <c r="Q887" i="4" s="1"/>
  <c r="S887" i="4" s="1"/>
  <c r="U887" i="4" s="1"/>
  <c r="V887" i="4" s="1"/>
  <c r="O891" i="4"/>
  <c r="P891" i="4" s="1"/>
  <c r="Q891" i="4" s="1"/>
  <c r="S891" i="4" s="1"/>
  <c r="U891" i="4" s="1"/>
  <c r="V891" i="4" s="1"/>
  <c r="O864" i="4"/>
  <c r="P864" i="4" s="1"/>
  <c r="Q864" i="4" s="1"/>
  <c r="S864" i="4" s="1"/>
  <c r="U864" i="4" s="1"/>
  <c r="V864" i="4" s="1"/>
  <c r="O870" i="4"/>
  <c r="P870" i="4" s="1"/>
  <c r="Q870" i="4" s="1"/>
  <c r="S870" i="4" s="1"/>
  <c r="U870" i="4" s="1"/>
  <c r="V870" i="4" s="1"/>
  <c r="O871" i="4"/>
  <c r="P871" i="4" s="1"/>
  <c r="Q871" i="4" s="1"/>
  <c r="S871" i="4" s="1"/>
  <c r="U871" i="4" s="1"/>
  <c r="V871" i="4" s="1"/>
  <c r="O874" i="4"/>
  <c r="P874" i="4" s="1"/>
  <c r="Q874" i="4" s="1"/>
  <c r="S874" i="4" s="1"/>
  <c r="U874" i="4" s="1"/>
  <c r="V874" i="4" s="1"/>
  <c r="O880" i="4"/>
  <c r="P880" i="4" s="1"/>
  <c r="Q880" i="4" s="1"/>
  <c r="S880" i="4" s="1"/>
  <c r="U880" i="4" s="1"/>
  <c r="V880" i="4" s="1"/>
  <c r="M923" i="4"/>
  <c r="N923" i="4"/>
  <c r="O923" i="4" s="1"/>
  <c r="P923" i="4" s="1"/>
  <c r="Q923" i="4" s="1"/>
  <c r="S923" i="4" s="1"/>
  <c r="M875" i="4"/>
  <c r="U875" i="4" s="1"/>
  <c r="V875" i="4" s="1"/>
  <c r="M878" i="4"/>
  <c r="U878" i="4" s="1"/>
  <c r="V878" i="4" s="1"/>
  <c r="M889" i="4"/>
  <c r="M894" i="4"/>
  <c r="U894" i="4" s="1"/>
  <c r="V894" i="4" s="1"/>
  <c r="N897" i="4"/>
  <c r="O897" i="4" s="1"/>
  <c r="P897" i="4" s="1"/>
  <c r="Q897" i="4" s="1"/>
  <c r="S897" i="4" s="1"/>
  <c r="U897" i="4" s="1"/>
  <c r="V897" i="4" s="1"/>
  <c r="M898" i="4"/>
  <c r="N906" i="4"/>
  <c r="O906" i="4" s="1"/>
  <c r="P906" i="4" s="1"/>
  <c r="Q906" i="4" s="1"/>
  <c r="S906" i="4" s="1"/>
  <c r="M907" i="4"/>
  <c r="U907" i="4" s="1"/>
  <c r="V907" i="4" s="1"/>
  <c r="O920" i="4"/>
  <c r="P920" i="4" s="1"/>
  <c r="Q920" i="4" s="1"/>
  <c r="S920" i="4" s="1"/>
  <c r="O941" i="4"/>
  <c r="P941" i="4" s="1"/>
  <c r="Q941" i="4" s="1"/>
  <c r="S941" i="4" s="1"/>
  <c r="M967" i="4"/>
  <c r="N967" i="4"/>
  <c r="O967" i="4" s="1"/>
  <c r="P967" i="4" s="1"/>
  <c r="Q967" i="4" s="1"/>
  <c r="S967" i="4" s="1"/>
  <c r="M892" i="4"/>
  <c r="U892" i="4" s="1"/>
  <c r="V892" i="4" s="1"/>
  <c r="M912" i="4"/>
  <c r="U912" i="4" s="1"/>
  <c r="V912" i="4" s="1"/>
  <c r="N913" i="4"/>
  <c r="O913" i="4" s="1"/>
  <c r="P913" i="4" s="1"/>
  <c r="Q913" i="4" s="1"/>
  <c r="S913" i="4" s="1"/>
  <c r="O916" i="4"/>
  <c r="P916" i="4" s="1"/>
  <c r="Q916" i="4" s="1"/>
  <c r="S916" i="4" s="1"/>
  <c r="U916" i="4" s="1"/>
  <c r="V916" i="4" s="1"/>
  <c r="P917" i="4"/>
  <c r="Q917" i="4" s="1"/>
  <c r="S917" i="4" s="1"/>
  <c r="U917" i="4" s="1"/>
  <c r="V917" i="4" s="1"/>
  <c r="O918" i="4"/>
  <c r="P918" i="4" s="1"/>
  <c r="Q918" i="4" s="1"/>
  <c r="S918" i="4" s="1"/>
  <c r="M895" i="4"/>
  <c r="U895" i="4" s="1"/>
  <c r="V895" i="4" s="1"/>
  <c r="O898" i="4"/>
  <c r="P898" i="4" s="1"/>
  <c r="Q898" i="4" s="1"/>
  <c r="S898" i="4" s="1"/>
  <c r="N900" i="4"/>
  <c r="O900" i="4" s="1"/>
  <c r="P900" i="4" s="1"/>
  <c r="Q900" i="4" s="1"/>
  <c r="S900" i="4" s="1"/>
  <c r="U900" i="4" s="1"/>
  <c r="V900" i="4" s="1"/>
  <c r="M901" i="4"/>
  <c r="U901" i="4" s="1"/>
  <c r="V901" i="4" s="1"/>
  <c r="O907" i="4"/>
  <c r="P907" i="4" s="1"/>
  <c r="Q907" i="4" s="1"/>
  <c r="S907" i="4" s="1"/>
  <c r="N909" i="4"/>
  <c r="O909" i="4" s="1"/>
  <c r="P909" i="4" s="1"/>
  <c r="Q909" i="4" s="1"/>
  <c r="S909" i="4" s="1"/>
  <c r="U909" i="4" s="1"/>
  <c r="V909" i="4" s="1"/>
  <c r="M914" i="4"/>
  <c r="U914" i="4" s="1"/>
  <c r="V914" i="4" s="1"/>
  <c r="N914" i="4"/>
  <c r="O914" i="4" s="1"/>
  <c r="P914" i="4" s="1"/>
  <c r="Q914" i="4" s="1"/>
  <c r="S914" i="4" s="1"/>
  <c r="M925" i="4"/>
  <c r="U925" i="4" s="1"/>
  <c r="V925" i="4" s="1"/>
  <c r="N926" i="4"/>
  <c r="O926" i="4" s="1"/>
  <c r="P926" i="4" s="1"/>
  <c r="Q926" i="4" s="1"/>
  <c r="S926" i="4" s="1"/>
  <c r="N927" i="4"/>
  <c r="O927" i="4" s="1"/>
  <c r="P927" i="4" s="1"/>
  <c r="Q927" i="4" s="1"/>
  <c r="S927" i="4" s="1"/>
  <c r="U927" i="4" s="1"/>
  <c r="V927" i="4" s="1"/>
  <c r="N943" i="4"/>
  <c r="O943" i="4" s="1"/>
  <c r="P943" i="4" s="1"/>
  <c r="Q943" i="4" s="1"/>
  <c r="S943" i="4" s="1"/>
  <c r="M958" i="4"/>
  <c r="U958" i="4" s="1"/>
  <c r="V958" i="4" s="1"/>
  <c r="N958" i="4"/>
  <c r="O958" i="4" s="1"/>
  <c r="P958" i="4" s="1"/>
  <c r="Q958" i="4" s="1"/>
  <c r="S958" i="4" s="1"/>
  <c r="O901" i="4"/>
  <c r="P901" i="4" s="1"/>
  <c r="Q901" i="4" s="1"/>
  <c r="S901" i="4" s="1"/>
  <c r="O925" i="4"/>
  <c r="P925" i="4" s="1"/>
  <c r="Q925" i="4" s="1"/>
  <c r="S925" i="4" s="1"/>
  <c r="O938" i="4"/>
  <c r="P938" i="4" s="1"/>
  <c r="Q938" i="4" s="1"/>
  <c r="S938" i="4" s="1"/>
  <c r="O912" i="4"/>
  <c r="P912" i="4" s="1"/>
  <c r="Q912" i="4" s="1"/>
  <c r="S912" i="4" s="1"/>
  <c r="O932" i="4"/>
  <c r="P932" i="4" s="1"/>
  <c r="Q932" i="4" s="1"/>
  <c r="S932" i="4" s="1"/>
  <c r="M941" i="4"/>
  <c r="M953" i="4"/>
  <c r="U953" i="4" s="1"/>
  <c r="V953" i="4" s="1"/>
  <c r="N953" i="4"/>
  <c r="O953" i="4" s="1"/>
  <c r="P953" i="4" s="1"/>
  <c r="Q953" i="4" s="1"/>
  <c r="S953" i="4" s="1"/>
  <c r="M945" i="4"/>
  <c r="N945" i="4"/>
  <c r="O945" i="4" s="1"/>
  <c r="P945" i="4" s="1"/>
  <c r="Q945" i="4" s="1"/>
  <c r="S945" i="4" s="1"/>
  <c r="M957" i="4"/>
  <c r="U957" i="4" s="1"/>
  <c r="V957" i="4" s="1"/>
  <c r="N957" i="4"/>
  <c r="O957" i="4" s="1"/>
  <c r="P957" i="4" s="1"/>
  <c r="Q957" i="4" s="1"/>
  <c r="S957" i="4" s="1"/>
  <c r="P948" i="4"/>
  <c r="Q948" i="4" s="1"/>
  <c r="S948" i="4" s="1"/>
  <c r="U948" i="4" s="1"/>
  <c r="V948" i="4" s="1"/>
  <c r="O921" i="4"/>
  <c r="P921" i="4" s="1"/>
  <c r="Q921" i="4" s="1"/>
  <c r="S921" i="4" s="1"/>
  <c r="O937" i="4"/>
  <c r="P937" i="4" s="1"/>
  <c r="Q937" i="4" s="1"/>
  <c r="S937" i="4" s="1"/>
  <c r="M952" i="4"/>
  <c r="N952" i="4"/>
  <c r="O952" i="4" s="1"/>
  <c r="P952" i="4" s="1"/>
  <c r="Q952" i="4" s="1"/>
  <c r="S952" i="4" s="1"/>
  <c r="M932" i="4"/>
  <c r="M934" i="4"/>
  <c r="U934" i="4" s="1"/>
  <c r="V934" i="4" s="1"/>
  <c r="N939" i="4"/>
  <c r="O939" i="4" s="1"/>
  <c r="P939" i="4" s="1"/>
  <c r="Q939" i="4" s="1"/>
  <c r="S939" i="4" s="1"/>
  <c r="O946" i="4"/>
  <c r="P946" i="4" s="1"/>
  <c r="Q946" i="4" s="1"/>
  <c r="S946" i="4" s="1"/>
  <c r="O947" i="4"/>
  <c r="P947" i="4" s="1"/>
  <c r="Q947" i="4" s="1"/>
  <c r="S947" i="4" s="1"/>
  <c r="N949" i="4"/>
  <c r="O949" i="4" s="1"/>
  <c r="P949" i="4" s="1"/>
  <c r="Q949" i="4" s="1"/>
  <c r="S949" i="4" s="1"/>
  <c r="U949" i="4" s="1"/>
  <c r="V949" i="4" s="1"/>
  <c r="M950" i="4"/>
  <c r="N955" i="4"/>
  <c r="O955" i="4" s="1"/>
  <c r="P955" i="4" s="1"/>
  <c r="Q955" i="4" s="1"/>
  <c r="S955" i="4" s="1"/>
  <c r="N959" i="4"/>
  <c r="O959" i="4" s="1"/>
  <c r="P959" i="4" s="1"/>
  <c r="Q959" i="4" s="1"/>
  <c r="S959" i="4" s="1"/>
  <c r="U959" i="4" s="1"/>
  <c r="V959" i="4" s="1"/>
  <c r="O962" i="4"/>
  <c r="P962" i="4" s="1"/>
  <c r="Q962" i="4" s="1"/>
  <c r="S962" i="4" s="1"/>
  <c r="U962" i="4" s="1"/>
  <c r="V962" i="4" s="1"/>
  <c r="N951" i="4"/>
  <c r="O951" i="4" s="1"/>
  <c r="P951" i="4" s="1"/>
  <c r="Q951" i="4" s="1"/>
  <c r="S951" i="4" s="1"/>
  <c r="U951" i="4" s="1"/>
  <c r="V951" i="4" s="1"/>
  <c r="O956" i="4"/>
  <c r="P956" i="4" s="1"/>
  <c r="Q956" i="4" s="1"/>
  <c r="S956" i="4" s="1"/>
  <c r="M963" i="4"/>
  <c r="N963" i="4"/>
  <c r="O963" i="4" s="1"/>
  <c r="P963" i="4" s="1"/>
  <c r="Q963" i="4" s="1"/>
  <c r="S963" i="4" s="1"/>
  <c r="O934" i="4"/>
  <c r="P934" i="4" s="1"/>
  <c r="Q934" i="4" s="1"/>
  <c r="S934" i="4" s="1"/>
  <c r="O950" i="4"/>
  <c r="P950" i="4" s="1"/>
  <c r="Q950" i="4" s="1"/>
  <c r="S950" i="4" s="1"/>
  <c r="P975" i="4"/>
  <c r="Q975" i="4" s="1"/>
  <c r="S975" i="4" s="1"/>
  <c r="O980" i="4"/>
  <c r="P980" i="4" s="1"/>
  <c r="Q980" i="4" s="1"/>
  <c r="S980" i="4" s="1"/>
  <c r="U980" i="4" s="1"/>
  <c r="V980" i="4" s="1"/>
  <c r="O985" i="4"/>
  <c r="P985" i="4" s="1"/>
  <c r="Q985" i="4" s="1"/>
  <c r="S985" i="4" s="1"/>
  <c r="P993" i="4"/>
  <c r="Q993" i="4" s="1"/>
  <c r="S993" i="4" s="1"/>
  <c r="P978" i="4"/>
  <c r="Q978" i="4" s="1"/>
  <c r="S978" i="4" s="1"/>
  <c r="P996" i="4"/>
  <c r="Q996" i="4" s="1"/>
  <c r="S996" i="4" s="1"/>
  <c r="P999" i="4"/>
  <c r="Q999" i="4" s="1"/>
  <c r="S999" i="4" s="1"/>
  <c r="P1002" i="4"/>
  <c r="Q1002" i="4" s="1"/>
  <c r="S1002" i="4" s="1"/>
  <c r="Q1004" i="4"/>
  <c r="S1004" i="4" s="1"/>
  <c r="U1004" i="4" s="1"/>
  <c r="V1004" i="4" s="1"/>
  <c r="P1005" i="4"/>
  <c r="Q1005" i="4" s="1"/>
  <c r="S1005" i="4" s="1"/>
  <c r="O973" i="4"/>
  <c r="P973" i="4" s="1"/>
  <c r="Q973" i="4" s="1"/>
  <c r="S973" i="4" s="1"/>
  <c r="O986" i="4"/>
  <c r="P986" i="4" s="1"/>
  <c r="Q986" i="4" s="1"/>
  <c r="S986" i="4" s="1"/>
  <c r="O991" i="4"/>
  <c r="P991" i="4" s="1"/>
  <c r="Q991" i="4" s="1"/>
  <c r="S991" i="4" s="1"/>
  <c r="O968" i="4"/>
  <c r="P968" i="4" s="1"/>
  <c r="Q968" i="4" s="1"/>
  <c r="S968" i="4" s="1"/>
  <c r="O974" i="4"/>
  <c r="P974" i="4" s="1"/>
  <c r="Q974" i="4" s="1"/>
  <c r="S974" i="4" s="1"/>
  <c r="O979" i="4"/>
  <c r="P979" i="4" s="1"/>
  <c r="Q979" i="4" s="1"/>
  <c r="S979" i="4" s="1"/>
  <c r="P987" i="4"/>
  <c r="Q987" i="4" s="1"/>
  <c r="S987" i="4" s="1"/>
  <c r="O992" i="4"/>
  <c r="P992" i="4" s="1"/>
  <c r="Q992" i="4" s="1"/>
  <c r="S992" i="4" s="1"/>
  <c r="U992" i="4" s="1"/>
  <c r="V992" i="4" s="1"/>
  <c r="O997" i="4"/>
  <c r="P997" i="4" s="1"/>
  <c r="Q997" i="4" s="1"/>
  <c r="S997" i="4" s="1"/>
  <c r="O1000" i="4"/>
  <c r="P1000" i="4" s="1"/>
  <c r="Q1000" i="4" s="1"/>
  <c r="S1000" i="4" s="1"/>
  <c r="O1003" i="4"/>
  <c r="P1003" i="4" s="1"/>
  <c r="Q1003" i="4" s="1"/>
  <c r="S1003" i="4" s="1"/>
  <c r="O1006" i="4"/>
  <c r="P1006" i="4" s="1"/>
  <c r="Q1006" i="4" s="1"/>
  <c r="S1006" i="4" s="1"/>
  <c r="M966" i="4"/>
  <c r="M969" i="4"/>
  <c r="M972" i="4"/>
  <c r="U972" i="4" s="1"/>
  <c r="V972" i="4" s="1"/>
  <c r="M975" i="4"/>
  <c r="U975" i="4" s="1"/>
  <c r="V975" i="4" s="1"/>
  <c r="M978" i="4"/>
  <c r="U978" i="4" s="1"/>
  <c r="V978" i="4" s="1"/>
  <c r="M981" i="4"/>
  <c r="U981" i="4" s="1"/>
  <c r="V981" i="4" s="1"/>
  <c r="M984" i="4"/>
  <c r="U984" i="4" s="1"/>
  <c r="V984" i="4" s="1"/>
  <c r="M987" i="4"/>
  <c r="U987" i="4" s="1"/>
  <c r="V987" i="4" s="1"/>
  <c r="M990" i="4"/>
  <c r="M993" i="4"/>
  <c r="M996" i="4"/>
  <c r="U996" i="4" s="1"/>
  <c r="V996" i="4" s="1"/>
  <c r="M999" i="4"/>
  <c r="U999" i="4" s="1"/>
  <c r="V999" i="4" s="1"/>
  <c r="M1002" i="4"/>
  <c r="U1002" i="4" s="1"/>
  <c r="V1002" i="4" s="1"/>
  <c r="M1005" i="4"/>
  <c r="U1005" i="4" s="1"/>
  <c r="V1005" i="4" s="1"/>
  <c r="M973" i="4"/>
  <c r="U973" i="4" s="1"/>
  <c r="V973" i="4" s="1"/>
  <c r="M976" i="4"/>
  <c r="U976" i="4" s="1"/>
  <c r="V976" i="4" s="1"/>
  <c r="M979" i="4"/>
  <c r="M982" i="4"/>
  <c r="U982" i="4" s="1"/>
  <c r="V982" i="4" s="1"/>
  <c r="M985" i="4"/>
  <c r="U985" i="4" s="1"/>
  <c r="V985" i="4" s="1"/>
  <c r="M988" i="4"/>
  <c r="U988" i="4" s="1"/>
  <c r="V988" i="4" s="1"/>
  <c r="M991" i="4"/>
  <c r="U991" i="4" s="1"/>
  <c r="V991" i="4" s="1"/>
  <c r="M994" i="4"/>
  <c r="M997" i="4"/>
  <c r="U997" i="4" s="1"/>
  <c r="V997" i="4" s="1"/>
  <c r="M1000" i="4"/>
  <c r="U1000" i="4" s="1"/>
  <c r="V1000" i="4" s="1"/>
  <c r="M1003" i="4"/>
  <c r="U1003" i="4" s="1"/>
  <c r="V1003" i="4" s="1"/>
  <c r="M1006" i="4"/>
  <c r="U1006" i="4" s="1"/>
  <c r="V1006" i="4" s="1"/>
  <c r="Q972" i="1"/>
  <c r="S972" i="1" s="1"/>
  <c r="T972" i="1" s="1"/>
  <c r="Q966" i="1"/>
  <c r="S966" i="1" s="1"/>
  <c r="T966" i="1" s="1"/>
  <c r="Q954" i="1"/>
  <c r="S954" i="1" s="1"/>
  <c r="T954" i="1" s="1"/>
  <c r="Q948" i="1"/>
  <c r="S948" i="1" s="1"/>
  <c r="T948" i="1" s="1"/>
  <c r="Q936" i="1"/>
  <c r="S936" i="1" s="1"/>
  <c r="T936" i="1" s="1"/>
  <c r="Q930" i="1"/>
  <c r="S930" i="1" s="1"/>
  <c r="T930" i="1" s="1"/>
  <c r="Q918" i="1"/>
  <c r="S918" i="1" s="1"/>
  <c r="T918" i="1" s="1"/>
  <c r="Q912" i="1"/>
  <c r="S912" i="1" s="1"/>
  <c r="T912" i="1" s="1"/>
  <c r="Q900" i="1"/>
  <c r="S900" i="1" s="1"/>
  <c r="T900" i="1" s="1"/>
  <c r="Q894" i="1"/>
  <c r="S894" i="1" s="1"/>
  <c r="T894" i="1" s="1"/>
  <c r="O882" i="1"/>
  <c r="P882" i="1" s="1"/>
  <c r="Q882" i="1" s="1"/>
  <c r="S882" i="1" s="1"/>
  <c r="T882" i="1" s="1"/>
  <c r="O876" i="1"/>
  <c r="P876" i="1" s="1"/>
  <c r="Q876" i="1" s="1"/>
  <c r="S876" i="1" s="1"/>
  <c r="T876" i="1" s="1"/>
  <c r="U876" i="1" s="1"/>
  <c r="V876" i="1" s="1"/>
  <c r="O864" i="1"/>
  <c r="P864" i="1" s="1"/>
  <c r="Q864" i="1" s="1"/>
  <c r="S864" i="1" s="1"/>
  <c r="T864" i="1" s="1"/>
  <c r="O858" i="1"/>
  <c r="P858" i="1" s="1"/>
  <c r="Q858" i="1" s="1"/>
  <c r="S858" i="1" s="1"/>
  <c r="T858" i="1" s="1"/>
  <c r="Q24" i="1"/>
  <c r="S24" i="1" s="1"/>
  <c r="T24" i="1" s="1"/>
  <c r="O1005" i="1"/>
  <c r="P1005" i="1" s="1"/>
  <c r="O999" i="1"/>
  <c r="P999" i="1" s="1"/>
  <c r="O993" i="1"/>
  <c r="P993" i="1" s="1"/>
  <c r="O987" i="1"/>
  <c r="P987" i="1" s="1"/>
  <c r="O981" i="1"/>
  <c r="P981" i="1" s="1"/>
  <c r="O975" i="1"/>
  <c r="P975" i="1" s="1"/>
  <c r="O963" i="1"/>
  <c r="P963" i="1" s="1"/>
  <c r="Q963" i="1" s="1"/>
  <c r="S963" i="1" s="1"/>
  <c r="T963" i="1" s="1"/>
  <c r="O957" i="1"/>
  <c r="P957" i="1" s="1"/>
  <c r="Q957" i="1" s="1"/>
  <c r="S957" i="1" s="1"/>
  <c r="T957" i="1" s="1"/>
  <c r="O945" i="1"/>
  <c r="P945" i="1" s="1"/>
  <c r="Q945" i="1" s="1"/>
  <c r="S945" i="1" s="1"/>
  <c r="T945" i="1" s="1"/>
  <c r="O939" i="1"/>
  <c r="P939" i="1" s="1"/>
  <c r="O927" i="1"/>
  <c r="P927" i="1" s="1"/>
  <c r="O921" i="1"/>
  <c r="P921" i="1" s="1"/>
  <c r="O909" i="1"/>
  <c r="P909" i="1" s="1"/>
  <c r="Q909" i="1" s="1"/>
  <c r="S909" i="1" s="1"/>
  <c r="T909" i="1" s="1"/>
  <c r="O903" i="1"/>
  <c r="P903" i="1" s="1"/>
  <c r="Q903" i="1" s="1"/>
  <c r="S903" i="1" s="1"/>
  <c r="T903" i="1" s="1"/>
  <c r="O891" i="1"/>
  <c r="P891" i="1" s="1"/>
  <c r="O885" i="1"/>
  <c r="P885" i="1" s="1"/>
  <c r="O873" i="1"/>
  <c r="P873" i="1" s="1"/>
  <c r="N924" i="1"/>
  <c r="O924" i="1" s="1"/>
  <c r="P924" i="1" s="1"/>
  <c r="Q924" i="1" s="1"/>
  <c r="S924" i="1" s="1"/>
  <c r="T924" i="1" s="1"/>
  <c r="M924" i="1"/>
  <c r="U924" i="1" s="1"/>
  <c r="V924" i="1" s="1"/>
  <c r="O1006" i="1"/>
  <c r="P1006" i="1" s="1"/>
  <c r="Q1006" i="1" s="1"/>
  <c r="S1006" i="1" s="1"/>
  <c r="T1006" i="1" s="1"/>
  <c r="O1000" i="1"/>
  <c r="P1000" i="1" s="1"/>
  <c r="Q1000" i="1" s="1"/>
  <c r="S1000" i="1" s="1"/>
  <c r="T1000" i="1" s="1"/>
  <c r="O994" i="1"/>
  <c r="P994" i="1" s="1"/>
  <c r="Q994" i="1" s="1"/>
  <c r="S994" i="1" s="1"/>
  <c r="T994" i="1" s="1"/>
  <c r="O988" i="1"/>
  <c r="P988" i="1" s="1"/>
  <c r="Q988" i="1" s="1"/>
  <c r="S988" i="1" s="1"/>
  <c r="T988" i="1" s="1"/>
  <c r="O982" i="1"/>
  <c r="P982" i="1" s="1"/>
  <c r="Q982" i="1" s="1"/>
  <c r="S982" i="1" s="1"/>
  <c r="T982" i="1" s="1"/>
  <c r="O976" i="1"/>
  <c r="P976" i="1" s="1"/>
  <c r="Q976" i="1" s="1"/>
  <c r="S976" i="1" s="1"/>
  <c r="T976" i="1" s="1"/>
  <c r="M970" i="1"/>
  <c r="U970" i="1" s="1"/>
  <c r="V970" i="1" s="1"/>
  <c r="N970" i="1"/>
  <c r="O970" i="1" s="1"/>
  <c r="P970" i="1" s="1"/>
  <c r="Q970" i="1" s="1"/>
  <c r="S970" i="1" s="1"/>
  <c r="T970" i="1" s="1"/>
  <c r="N964" i="1"/>
  <c r="O964" i="1" s="1"/>
  <c r="P964" i="1" s="1"/>
  <c r="Q964" i="1" s="1"/>
  <c r="S964" i="1" s="1"/>
  <c r="T964" i="1" s="1"/>
  <c r="M964" i="1"/>
  <c r="U964" i="1" s="1"/>
  <c r="V964" i="1" s="1"/>
  <c r="N958" i="1"/>
  <c r="O958" i="1" s="1"/>
  <c r="P958" i="1" s="1"/>
  <c r="Q958" i="1" s="1"/>
  <c r="S958" i="1" s="1"/>
  <c r="T958" i="1" s="1"/>
  <c r="M958" i="1"/>
  <c r="U958" i="1" s="1"/>
  <c r="V958" i="1" s="1"/>
  <c r="M952" i="1"/>
  <c r="N952" i="1"/>
  <c r="O952" i="1" s="1"/>
  <c r="P952" i="1" s="1"/>
  <c r="Q952" i="1" s="1"/>
  <c r="S952" i="1" s="1"/>
  <c r="T952" i="1" s="1"/>
  <c r="U952" i="1" s="1"/>
  <c r="V952" i="1" s="1"/>
  <c r="N946" i="1"/>
  <c r="O946" i="1" s="1"/>
  <c r="P946" i="1" s="1"/>
  <c r="Q946" i="1" s="1"/>
  <c r="S946" i="1" s="1"/>
  <c r="T946" i="1" s="1"/>
  <c r="M946" i="1"/>
  <c r="U946" i="1" s="1"/>
  <c r="V946" i="1" s="1"/>
  <c r="N940" i="1"/>
  <c r="O940" i="1" s="1"/>
  <c r="P940" i="1" s="1"/>
  <c r="Q940" i="1" s="1"/>
  <c r="S940" i="1" s="1"/>
  <c r="T940" i="1" s="1"/>
  <c r="M940" i="1"/>
  <c r="M934" i="1"/>
  <c r="U934" i="1" s="1"/>
  <c r="V934" i="1" s="1"/>
  <c r="N934" i="1"/>
  <c r="O934" i="1" s="1"/>
  <c r="P934" i="1" s="1"/>
  <c r="Q934" i="1" s="1"/>
  <c r="S934" i="1" s="1"/>
  <c r="T934" i="1" s="1"/>
  <c r="N928" i="1"/>
  <c r="O928" i="1" s="1"/>
  <c r="P928" i="1" s="1"/>
  <c r="Q928" i="1" s="1"/>
  <c r="S928" i="1" s="1"/>
  <c r="T928" i="1" s="1"/>
  <c r="M928" i="1"/>
  <c r="N922" i="1"/>
  <c r="O922" i="1" s="1"/>
  <c r="P922" i="1" s="1"/>
  <c r="Q922" i="1" s="1"/>
  <c r="S922" i="1" s="1"/>
  <c r="T922" i="1" s="1"/>
  <c r="M922" i="1"/>
  <c r="U922" i="1" s="1"/>
  <c r="V922" i="1" s="1"/>
  <c r="M916" i="1"/>
  <c r="N916" i="1"/>
  <c r="O916" i="1" s="1"/>
  <c r="P916" i="1" s="1"/>
  <c r="Q916" i="1" s="1"/>
  <c r="S916" i="1" s="1"/>
  <c r="T916" i="1" s="1"/>
  <c r="U916" i="1" s="1"/>
  <c r="V916" i="1" s="1"/>
  <c r="N910" i="1"/>
  <c r="O910" i="1" s="1"/>
  <c r="P910" i="1" s="1"/>
  <c r="Q910" i="1" s="1"/>
  <c r="S910" i="1" s="1"/>
  <c r="T910" i="1" s="1"/>
  <c r="M910" i="1"/>
  <c r="N904" i="1"/>
  <c r="O904" i="1" s="1"/>
  <c r="P904" i="1" s="1"/>
  <c r="Q904" i="1" s="1"/>
  <c r="S904" i="1" s="1"/>
  <c r="T904" i="1" s="1"/>
  <c r="M904" i="1"/>
  <c r="M898" i="1"/>
  <c r="N898" i="1"/>
  <c r="O898" i="1" s="1"/>
  <c r="P898" i="1" s="1"/>
  <c r="Q898" i="1" s="1"/>
  <c r="S898" i="1" s="1"/>
  <c r="T898" i="1" s="1"/>
  <c r="N892" i="1"/>
  <c r="O892" i="1" s="1"/>
  <c r="P892" i="1" s="1"/>
  <c r="Q892" i="1" s="1"/>
  <c r="S892" i="1" s="1"/>
  <c r="T892" i="1" s="1"/>
  <c r="M892" i="1"/>
  <c r="N886" i="1"/>
  <c r="O886" i="1" s="1"/>
  <c r="P886" i="1" s="1"/>
  <c r="Q886" i="1" s="1"/>
  <c r="S886" i="1" s="1"/>
  <c r="T886" i="1" s="1"/>
  <c r="M886" i="1"/>
  <c r="U886" i="1" s="1"/>
  <c r="V886" i="1" s="1"/>
  <c r="M880" i="1"/>
  <c r="N880" i="1"/>
  <c r="O880" i="1" s="1"/>
  <c r="P880" i="1" s="1"/>
  <c r="Q880" i="1" s="1"/>
  <c r="S880" i="1" s="1"/>
  <c r="T880" i="1" s="1"/>
  <c r="N874" i="1"/>
  <c r="O874" i="1" s="1"/>
  <c r="P874" i="1" s="1"/>
  <c r="Q874" i="1" s="1"/>
  <c r="S874" i="1" s="1"/>
  <c r="T874" i="1" s="1"/>
  <c r="M874" i="1"/>
  <c r="N868" i="1"/>
  <c r="O868" i="1" s="1"/>
  <c r="P868" i="1" s="1"/>
  <c r="Q868" i="1" s="1"/>
  <c r="S868" i="1" s="1"/>
  <c r="T868" i="1" s="1"/>
  <c r="M868" i="1"/>
  <c r="N862" i="1"/>
  <c r="O862" i="1" s="1"/>
  <c r="P862" i="1" s="1"/>
  <c r="Q862" i="1" s="1"/>
  <c r="S862" i="1" s="1"/>
  <c r="T862" i="1" s="1"/>
  <c r="M862" i="1"/>
  <c r="U862" i="1" s="1"/>
  <c r="V862" i="1" s="1"/>
  <c r="M856" i="1"/>
  <c r="N856" i="1"/>
  <c r="O856" i="1" s="1"/>
  <c r="P856" i="1" s="1"/>
  <c r="Q856" i="1" s="1"/>
  <c r="S856" i="1" s="1"/>
  <c r="T856" i="1" s="1"/>
  <c r="U856" i="1" s="1"/>
  <c r="V856" i="1" s="1"/>
  <c r="N850" i="1"/>
  <c r="O850" i="1" s="1"/>
  <c r="P850" i="1" s="1"/>
  <c r="Q850" i="1" s="1"/>
  <c r="S850" i="1" s="1"/>
  <c r="T850" i="1" s="1"/>
  <c r="M850" i="1"/>
  <c r="U850" i="1" s="1"/>
  <c r="V850" i="1" s="1"/>
  <c r="N844" i="1"/>
  <c r="O844" i="1" s="1"/>
  <c r="P844" i="1" s="1"/>
  <c r="Q844" i="1" s="1"/>
  <c r="S844" i="1" s="1"/>
  <c r="T844" i="1" s="1"/>
  <c r="M844" i="1"/>
  <c r="U844" i="1" s="1"/>
  <c r="V844" i="1" s="1"/>
  <c r="N838" i="1"/>
  <c r="O838" i="1" s="1"/>
  <c r="P838" i="1" s="1"/>
  <c r="Q838" i="1" s="1"/>
  <c r="S838" i="1" s="1"/>
  <c r="T838" i="1" s="1"/>
  <c r="M838" i="1"/>
  <c r="U838" i="1" s="1"/>
  <c r="V838" i="1" s="1"/>
  <c r="N832" i="1"/>
  <c r="O832" i="1" s="1"/>
  <c r="P832" i="1" s="1"/>
  <c r="Q832" i="1" s="1"/>
  <c r="S832" i="1" s="1"/>
  <c r="T832" i="1" s="1"/>
  <c r="M832" i="1"/>
  <c r="N826" i="1"/>
  <c r="O826" i="1" s="1"/>
  <c r="P826" i="1" s="1"/>
  <c r="Q826" i="1" s="1"/>
  <c r="S826" i="1" s="1"/>
  <c r="T826" i="1" s="1"/>
  <c r="M826" i="1"/>
  <c r="U826" i="1" s="1"/>
  <c r="V826" i="1" s="1"/>
  <c r="N820" i="1"/>
  <c r="O820" i="1" s="1"/>
  <c r="P820" i="1" s="1"/>
  <c r="Q820" i="1" s="1"/>
  <c r="S820" i="1" s="1"/>
  <c r="T820" i="1" s="1"/>
  <c r="M820" i="1"/>
  <c r="N814" i="1"/>
  <c r="O814" i="1" s="1"/>
  <c r="P814" i="1" s="1"/>
  <c r="Q814" i="1" s="1"/>
  <c r="S814" i="1" s="1"/>
  <c r="T814" i="1" s="1"/>
  <c r="M814" i="1"/>
  <c r="N808" i="1"/>
  <c r="O808" i="1" s="1"/>
  <c r="P808" i="1" s="1"/>
  <c r="Q808" i="1" s="1"/>
  <c r="S808" i="1" s="1"/>
  <c r="T808" i="1" s="1"/>
  <c r="M808" i="1"/>
  <c r="N802" i="1"/>
  <c r="O802" i="1" s="1"/>
  <c r="P802" i="1" s="1"/>
  <c r="Q802" i="1" s="1"/>
  <c r="S802" i="1" s="1"/>
  <c r="T802" i="1" s="1"/>
  <c r="M802" i="1"/>
  <c r="N796" i="1"/>
  <c r="O796" i="1" s="1"/>
  <c r="P796" i="1" s="1"/>
  <c r="Q796" i="1" s="1"/>
  <c r="S796" i="1" s="1"/>
  <c r="T796" i="1" s="1"/>
  <c r="M796" i="1"/>
  <c r="N790" i="1"/>
  <c r="O790" i="1" s="1"/>
  <c r="P790" i="1" s="1"/>
  <c r="Q790" i="1" s="1"/>
  <c r="S790" i="1" s="1"/>
  <c r="T790" i="1" s="1"/>
  <c r="M790" i="1"/>
  <c r="N784" i="1"/>
  <c r="O784" i="1" s="1"/>
  <c r="P784" i="1" s="1"/>
  <c r="Q784" i="1" s="1"/>
  <c r="S784" i="1" s="1"/>
  <c r="T784" i="1" s="1"/>
  <c r="M784" i="1"/>
  <c r="N778" i="1"/>
  <c r="O778" i="1" s="1"/>
  <c r="P778" i="1" s="1"/>
  <c r="Q778" i="1" s="1"/>
  <c r="S778" i="1" s="1"/>
  <c r="T778" i="1" s="1"/>
  <c r="M778" i="1"/>
  <c r="N772" i="1"/>
  <c r="O772" i="1" s="1"/>
  <c r="P772" i="1" s="1"/>
  <c r="Q772" i="1" s="1"/>
  <c r="S772" i="1" s="1"/>
  <c r="T772" i="1" s="1"/>
  <c r="M772" i="1"/>
  <c r="N766" i="1"/>
  <c r="O766" i="1" s="1"/>
  <c r="P766" i="1" s="1"/>
  <c r="Q766" i="1" s="1"/>
  <c r="S766" i="1" s="1"/>
  <c r="T766" i="1" s="1"/>
  <c r="M766" i="1"/>
  <c r="N760" i="1"/>
  <c r="O760" i="1" s="1"/>
  <c r="P760" i="1" s="1"/>
  <c r="Q760" i="1" s="1"/>
  <c r="S760" i="1" s="1"/>
  <c r="T760" i="1" s="1"/>
  <c r="M760" i="1"/>
  <c r="N754" i="1"/>
  <c r="O754" i="1" s="1"/>
  <c r="P754" i="1" s="1"/>
  <c r="Q754" i="1" s="1"/>
  <c r="S754" i="1" s="1"/>
  <c r="T754" i="1" s="1"/>
  <c r="M754" i="1"/>
  <c r="U754" i="1" s="1"/>
  <c r="V754" i="1" s="1"/>
  <c r="N748" i="1"/>
  <c r="O748" i="1" s="1"/>
  <c r="P748" i="1" s="1"/>
  <c r="Q748" i="1" s="1"/>
  <c r="S748" i="1" s="1"/>
  <c r="T748" i="1" s="1"/>
  <c r="M748" i="1"/>
  <c r="U748" i="1" s="1"/>
  <c r="V748" i="1" s="1"/>
  <c r="N742" i="1"/>
  <c r="O742" i="1" s="1"/>
  <c r="P742" i="1" s="1"/>
  <c r="Q742" i="1" s="1"/>
  <c r="S742" i="1" s="1"/>
  <c r="T742" i="1" s="1"/>
  <c r="M742" i="1"/>
  <c r="U742" i="1" s="1"/>
  <c r="V742" i="1" s="1"/>
  <c r="N736" i="1"/>
  <c r="O736" i="1" s="1"/>
  <c r="P736" i="1" s="1"/>
  <c r="Q736" i="1" s="1"/>
  <c r="S736" i="1" s="1"/>
  <c r="T736" i="1" s="1"/>
  <c r="M736" i="1"/>
  <c r="N730" i="1"/>
  <c r="O730" i="1" s="1"/>
  <c r="P730" i="1" s="1"/>
  <c r="Q730" i="1" s="1"/>
  <c r="S730" i="1" s="1"/>
  <c r="T730" i="1" s="1"/>
  <c r="U730" i="1" s="1"/>
  <c r="V730" i="1" s="1"/>
  <c r="M730" i="1"/>
  <c r="N724" i="1"/>
  <c r="O724" i="1" s="1"/>
  <c r="P724" i="1" s="1"/>
  <c r="Q724" i="1" s="1"/>
  <c r="S724" i="1" s="1"/>
  <c r="T724" i="1" s="1"/>
  <c r="M724" i="1"/>
  <c r="N718" i="1"/>
  <c r="O718" i="1" s="1"/>
  <c r="P718" i="1" s="1"/>
  <c r="Q718" i="1" s="1"/>
  <c r="S718" i="1" s="1"/>
  <c r="T718" i="1" s="1"/>
  <c r="M718" i="1"/>
  <c r="N712" i="1"/>
  <c r="O712" i="1" s="1"/>
  <c r="P712" i="1" s="1"/>
  <c r="Q712" i="1" s="1"/>
  <c r="S712" i="1" s="1"/>
  <c r="T712" i="1" s="1"/>
  <c r="M712" i="1"/>
  <c r="U712" i="1" s="1"/>
  <c r="V712" i="1" s="1"/>
  <c r="N706" i="1"/>
  <c r="O706" i="1" s="1"/>
  <c r="P706" i="1" s="1"/>
  <c r="Q706" i="1" s="1"/>
  <c r="S706" i="1" s="1"/>
  <c r="T706" i="1" s="1"/>
  <c r="M706" i="1"/>
  <c r="N700" i="1"/>
  <c r="O700" i="1" s="1"/>
  <c r="P700" i="1" s="1"/>
  <c r="Q700" i="1" s="1"/>
  <c r="S700" i="1" s="1"/>
  <c r="T700" i="1" s="1"/>
  <c r="M700" i="1"/>
  <c r="U700" i="1" s="1"/>
  <c r="V700" i="1" s="1"/>
  <c r="N694" i="1"/>
  <c r="O694" i="1" s="1"/>
  <c r="P694" i="1" s="1"/>
  <c r="Q694" i="1" s="1"/>
  <c r="S694" i="1" s="1"/>
  <c r="T694" i="1" s="1"/>
  <c r="U694" i="1" s="1"/>
  <c r="V694" i="1" s="1"/>
  <c r="M694" i="1"/>
  <c r="N688" i="1"/>
  <c r="O688" i="1" s="1"/>
  <c r="P688" i="1" s="1"/>
  <c r="Q688" i="1" s="1"/>
  <c r="S688" i="1" s="1"/>
  <c r="T688" i="1" s="1"/>
  <c r="M688" i="1"/>
  <c r="U688" i="1" s="1"/>
  <c r="V688" i="1" s="1"/>
  <c r="N682" i="1"/>
  <c r="O682" i="1" s="1"/>
  <c r="P682" i="1" s="1"/>
  <c r="Q682" i="1" s="1"/>
  <c r="S682" i="1" s="1"/>
  <c r="T682" i="1" s="1"/>
  <c r="M682" i="1"/>
  <c r="N676" i="1"/>
  <c r="O676" i="1" s="1"/>
  <c r="P676" i="1" s="1"/>
  <c r="Q676" i="1" s="1"/>
  <c r="S676" i="1" s="1"/>
  <c r="T676" i="1" s="1"/>
  <c r="M676" i="1"/>
  <c r="N670" i="1"/>
  <c r="O670" i="1" s="1"/>
  <c r="P670" i="1" s="1"/>
  <c r="Q670" i="1" s="1"/>
  <c r="S670" i="1" s="1"/>
  <c r="T670" i="1" s="1"/>
  <c r="M670" i="1"/>
  <c r="N664" i="1"/>
  <c r="O664" i="1" s="1"/>
  <c r="P664" i="1" s="1"/>
  <c r="Q664" i="1" s="1"/>
  <c r="S664" i="1" s="1"/>
  <c r="T664" i="1" s="1"/>
  <c r="M664" i="1"/>
  <c r="N658" i="1"/>
  <c r="O658" i="1" s="1"/>
  <c r="P658" i="1" s="1"/>
  <c r="Q658" i="1" s="1"/>
  <c r="S658" i="1" s="1"/>
  <c r="T658" i="1" s="1"/>
  <c r="M658" i="1"/>
  <c r="U658" i="1" s="1"/>
  <c r="V658" i="1" s="1"/>
  <c r="N652" i="1"/>
  <c r="O652" i="1" s="1"/>
  <c r="P652" i="1" s="1"/>
  <c r="Q652" i="1" s="1"/>
  <c r="S652" i="1" s="1"/>
  <c r="T652" i="1" s="1"/>
  <c r="M652" i="1"/>
  <c r="U652" i="1" s="1"/>
  <c r="V652" i="1" s="1"/>
  <c r="N646" i="1"/>
  <c r="O646" i="1" s="1"/>
  <c r="P646" i="1" s="1"/>
  <c r="Q646" i="1" s="1"/>
  <c r="S646" i="1" s="1"/>
  <c r="T646" i="1" s="1"/>
  <c r="M646" i="1"/>
  <c r="N640" i="1"/>
  <c r="O640" i="1" s="1"/>
  <c r="P640" i="1" s="1"/>
  <c r="Q640" i="1" s="1"/>
  <c r="S640" i="1" s="1"/>
  <c r="T640" i="1" s="1"/>
  <c r="M640" i="1"/>
  <c r="N634" i="1"/>
  <c r="O634" i="1" s="1"/>
  <c r="P634" i="1" s="1"/>
  <c r="Q634" i="1" s="1"/>
  <c r="S634" i="1" s="1"/>
  <c r="T634" i="1" s="1"/>
  <c r="M634" i="1"/>
  <c r="N628" i="1"/>
  <c r="O628" i="1" s="1"/>
  <c r="P628" i="1" s="1"/>
  <c r="Q628" i="1" s="1"/>
  <c r="S628" i="1" s="1"/>
  <c r="T628" i="1" s="1"/>
  <c r="M628" i="1"/>
  <c r="N622" i="1"/>
  <c r="O622" i="1" s="1"/>
  <c r="P622" i="1" s="1"/>
  <c r="Q622" i="1" s="1"/>
  <c r="S622" i="1" s="1"/>
  <c r="T622" i="1" s="1"/>
  <c r="M622" i="1"/>
  <c r="U622" i="1" s="1"/>
  <c r="V622" i="1" s="1"/>
  <c r="N616" i="1"/>
  <c r="O616" i="1" s="1"/>
  <c r="P616" i="1" s="1"/>
  <c r="Q616" i="1" s="1"/>
  <c r="S616" i="1" s="1"/>
  <c r="T616" i="1" s="1"/>
  <c r="M616" i="1"/>
  <c r="N610" i="1"/>
  <c r="O610" i="1" s="1"/>
  <c r="P610" i="1" s="1"/>
  <c r="Q610" i="1" s="1"/>
  <c r="S610" i="1" s="1"/>
  <c r="T610" i="1" s="1"/>
  <c r="M610" i="1"/>
  <c r="U610" i="1" s="1"/>
  <c r="V610" i="1" s="1"/>
  <c r="N604" i="1"/>
  <c r="O604" i="1" s="1"/>
  <c r="P604" i="1" s="1"/>
  <c r="Q604" i="1" s="1"/>
  <c r="S604" i="1" s="1"/>
  <c r="T604" i="1" s="1"/>
  <c r="U604" i="1" s="1"/>
  <c r="V604" i="1" s="1"/>
  <c r="M604" i="1"/>
  <c r="N598" i="1"/>
  <c r="O598" i="1" s="1"/>
  <c r="P598" i="1" s="1"/>
  <c r="Q598" i="1" s="1"/>
  <c r="S598" i="1" s="1"/>
  <c r="T598" i="1" s="1"/>
  <c r="M598" i="1"/>
  <c r="N592" i="1"/>
  <c r="O592" i="1" s="1"/>
  <c r="P592" i="1" s="1"/>
  <c r="Q592" i="1" s="1"/>
  <c r="S592" i="1" s="1"/>
  <c r="T592" i="1" s="1"/>
  <c r="M592" i="1"/>
  <c r="U592" i="1" s="1"/>
  <c r="V592" i="1" s="1"/>
  <c r="N586" i="1"/>
  <c r="O586" i="1" s="1"/>
  <c r="P586" i="1" s="1"/>
  <c r="Q586" i="1" s="1"/>
  <c r="S586" i="1" s="1"/>
  <c r="T586" i="1" s="1"/>
  <c r="M586" i="1"/>
  <c r="U586" i="1" s="1"/>
  <c r="V586" i="1" s="1"/>
  <c r="N580" i="1"/>
  <c r="O580" i="1" s="1"/>
  <c r="P580" i="1" s="1"/>
  <c r="Q580" i="1" s="1"/>
  <c r="S580" i="1" s="1"/>
  <c r="T580" i="1" s="1"/>
  <c r="M580" i="1"/>
  <c r="N574" i="1"/>
  <c r="O574" i="1" s="1"/>
  <c r="P574" i="1" s="1"/>
  <c r="Q574" i="1" s="1"/>
  <c r="S574" i="1" s="1"/>
  <c r="T574" i="1" s="1"/>
  <c r="M574" i="1"/>
  <c r="N568" i="1"/>
  <c r="O568" i="1" s="1"/>
  <c r="P568" i="1" s="1"/>
  <c r="Q568" i="1" s="1"/>
  <c r="S568" i="1" s="1"/>
  <c r="T568" i="1" s="1"/>
  <c r="U568" i="1" s="1"/>
  <c r="V568" i="1" s="1"/>
  <c r="M568" i="1"/>
  <c r="N562" i="1"/>
  <c r="O562" i="1" s="1"/>
  <c r="P562" i="1" s="1"/>
  <c r="Q562" i="1" s="1"/>
  <c r="S562" i="1" s="1"/>
  <c r="T562" i="1" s="1"/>
  <c r="M562" i="1"/>
  <c r="U562" i="1" s="1"/>
  <c r="V562" i="1" s="1"/>
  <c r="N556" i="1"/>
  <c r="O556" i="1" s="1"/>
  <c r="P556" i="1" s="1"/>
  <c r="Q556" i="1" s="1"/>
  <c r="S556" i="1" s="1"/>
  <c r="T556" i="1" s="1"/>
  <c r="M556" i="1"/>
  <c r="N550" i="1"/>
  <c r="O550" i="1" s="1"/>
  <c r="P550" i="1" s="1"/>
  <c r="Q550" i="1" s="1"/>
  <c r="S550" i="1" s="1"/>
  <c r="T550" i="1" s="1"/>
  <c r="M550" i="1"/>
  <c r="N544" i="1"/>
  <c r="O544" i="1" s="1"/>
  <c r="P544" i="1" s="1"/>
  <c r="Q544" i="1" s="1"/>
  <c r="S544" i="1" s="1"/>
  <c r="T544" i="1" s="1"/>
  <c r="M544" i="1"/>
  <c r="U544" i="1" s="1"/>
  <c r="V544" i="1" s="1"/>
  <c r="N538" i="1"/>
  <c r="O538" i="1" s="1"/>
  <c r="P538" i="1" s="1"/>
  <c r="Q538" i="1" s="1"/>
  <c r="S538" i="1" s="1"/>
  <c r="T538" i="1" s="1"/>
  <c r="M538" i="1"/>
  <c r="U538" i="1" s="1"/>
  <c r="V538" i="1" s="1"/>
  <c r="N532" i="1"/>
  <c r="O532" i="1" s="1"/>
  <c r="P532" i="1" s="1"/>
  <c r="Q532" i="1" s="1"/>
  <c r="S532" i="1" s="1"/>
  <c r="T532" i="1" s="1"/>
  <c r="M532" i="1"/>
  <c r="N526" i="1"/>
  <c r="O526" i="1" s="1"/>
  <c r="P526" i="1" s="1"/>
  <c r="Q526" i="1" s="1"/>
  <c r="S526" i="1" s="1"/>
  <c r="T526" i="1" s="1"/>
  <c r="M526" i="1"/>
  <c r="N520" i="1"/>
  <c r="O520" i="1" s="1"/>
  <c r="P520" i="1" s="1"/>
  <c r="Q520" i="1" s="1"/>
  <c r="S520" i="1" s="1"/>
  <c r="T520" i="1" s="1"/>
  <c r="M520" i="1"/>
  <c r="U520" i="1" s="1"/>
  <c r="V520" i="1" s="1"/>
  <c r="N514" i="1"/>
  <c r="O514" i="1" s="1"/>
  <c r="P514" i="1" s="1"/>
  <c r="Q514" i="1" s="1"/>
  <c r="S514" i="1" s="1"/>
  <c r="T514" i="1" s="1"/>
  <c r="M514" i="1"/>
  <c r="U514" i="1" s="1"/>
  <c r="V514" i="1" s="1"/>
  <c r="N508" i="1"/>
  <c r="O508" i="1" s="1"/>
  <c r="P508" i="1" s="1"/>
  <c r="Q508" i="1" s="1"/>
  <c r="S508" i="1" s="1"/>
  <c r="T508" i="1" s="1"/>
  <c r="M508" i="1"/>
  <c r="N502" i="1"/>
  <c r="O502" i="1" s="1"/>
  <c r="P502" i="1" s="1"/>
  <c r="Q502" i="1" s="1"/>
  <c r="S502" i="1" s="1"/>
  <c r="T502" i="1" s="1"/>
  <c r="M502" i="1"/>
  <c r="U502" i="1" s="1"/>
  <c r="V502" i="1" s="1"/>
  <c r="N496" i="1"/>
  <c r="O496" i="1" s="1"/>
  <c r="P496" i="1" s="1"/>
  <c r="Q496" i="1" s="1"/>
  <c r="S496" i="1" s="1"/>
  <c r="T496" i="1" s="1"/>
  <c r="U496" i="1" s="1"/>
  <c r="V496" i="1" s="1"/>
  <c r="M496" i="1"/>
  <c r="N490" i="1"/>
  <c r="O490" i="1" s="1"/>
  <c r="P490" i="1" s="1"/>
  <c r="Q490" i="1" s="1"/>
  <c r="S490" i="1" s="1"/>
  <c r="T490" i="1" s="1"/>
  <c r="M490" i="1"/>
  <c r="N484" i="1"/>
  <c r="O484" i="1" s="1"/>
  <c r="P484" i="1" s="1"/>
  <c r="Q484" i="1" s="1"/>
  <c r="S484" i="1" s="1"/>
  <c r="T484" i="1" s="1"/>
  <c r="M484" i="1"/>
  <c r="U484" i="1" s="1"/>
  <c r="V484" i="1" s="1"/>
  <c r="N478" i="1"/>
  <c r="O478" i="1" s="1"/>
  <c r="P478" i="1" s="1"/>
  <c r="Q478" i="1" s="1"/>
  <c r="S478" i="1" s="1"/>
  <c r="T478" i="1" s="1"/>
  <c r="M478" i="1"/>
  <c r="N472" i="1"/>
  <c r="O472" i="1" s="1"/>
  <c r="P472" i="1" s="1"/>
  <c r="Q472" i="1" s="1"/>
  <c r="S472" i="1" s="1"/>
  <c r="T472" i="1" s="1"/>
  <c r="M472" i="1"/>
  <c r="N466" i="1"/>
  <c r="O466" i="1" s="1"/>
  <c r="P466" i="1" s="1"/>
  <c r="Q466" i="1" s="1"/>
  <c r="S466" i="1" s="1"/>
  <c r="T466" i="1" s="1"/>
  <c r="M466" i="1"/>
  <c r="U466" i="1" s="1"/>
  <c r="V466" i="1" s="1"/>
  <c r="N460" i="1"/>
  <c r="O460" i="1" s="1"/>
  <c r="P460" i="1" s="1"/>
  <c r="Q460" i="1" s="1"/>
  <c r="S460" i="1" s="1"/>
  <c r="T460" i="1" s="1"/>
  <c r="M460" i="1"/>
  <c r="U460" i="1" s="1"/>
  <c r="V460" i="1" s="1"/>
  <c r="N454" i="1"/>
  <c r="O454" i="1" s="1"/>
  <c r="P454" i="1" s="1"/>
  <c r="Q454" i="1" s="1"/>
  <c r="S454" i="1" s="1"/>
  <c r="T454" i="1" s="1"/>
  <c r="M454" i="1"/>
  <c r="N448" i="1"/>
  <c r="O448" i="1" s="1"/>
  <c r="P448" i="1" s="1"/>
  <c r="Q448" i="1" s="1"/>
  <c r="S448" i="1" s="1"/>
  <c r="T448" i="1" s="1"/>
  <c r="M448" i="1"/>
  <c r="U448" i="1" s="1"/>
  <c r="V448" i="1" s="1"/>
  <c r="N442" i="1"/>
  <c r="O442" i="1" s="1"/>
  <c r="P442" i="1" s="1"/>
  <c r="Q442" i="1" s="1"/>
  <c r="S442" i="1" s="1"/>
  <c r="T442" i="1" s="1"/>
  <c r="M442" i="1"/>
  <c r="U442" i="1" s="1"/>
  <c r="V442" i="1" s="1"/>
  <c r="N436" i="1"/>
  <c r="O436" i="1" s="1"/>
  <c r="P436" i="1" s="1"/>
  <c r="Q436" i="1" s="1"/>
  <c r="S436" i="1" s="1"/>
  <c r="T436" i="1" s="1"/>
  <c r="M436" i="1"/>
  <c r="N430" i="1"/>
  <c r="O430" i="1" s="1"/>
  <c r="P430" i="1" s="1"/>
  <c r="Q430" i="1" s="1"/>
  <c r="S430" i="1" s="1"/>
  <c r="T430" i="1" s="1"/>
  <c r="M430" i="1"/>
  <c r="N424" i="1"/>
  <c r="O424" i="1" s="1"/>
  <c r="P424" i="1" s="1"/>
  <c r="Q424" i="1" s="1"/>
  <c r="S424" i="1" s="1"/>
  <c r="T424" i="1" s="1"/>
  <c r="U424" i="1" s="1"/>
  <c r="V424" i="1" s="1"/>
  <c r="M424" i="1"/>
  <c r="N418" i="1"/>
  <c r="O418" i="1" s="1"/>
  <c r="P418" i="1" s="1"/>
  <c r="Q418" i="1" s="1"/>
  <c r="S418" i="1" s="1"/>
  <c r="T418" i="1" s="1"/>
  <c r="M418" i="1"/>
  <c r="N412" i="1"/>
  <c r="O412" i="1" s="1"/>
  <c r="P412" i="1" s="1"/>
  <c r="Q412" i="1" s="1"/>
  <c r="S412" i="1" s="1"/>
  <c r="T412" i="1" s="1"/>
  <c r="M412" i="1"/>
  <c r="U412" i="1" s="1"/>
  <c r="V412" i="1" s="1"/>
  <c r="N406" i="1"/>
  <c r="O406" i="1" s="1"/>
  <c r="P406" i="1" s="1"/>
  <c r="Q406" i="1" s="1"/>
  <c r="S406" i="1" s="1"/>
  <c r="T406" i="1" s="1"/>
  <c r="M406" i="1"/>
  <c r="U406" i="1" s="1"/>
  <c r="V406" i="1" s="1"/>
  <c r="N400" i="1"/>
  <c r="O400" i="1" s="1"/>
  <c r="P400" i="1" s="1"/>
  <c r="Q400" i="1" s="1"/>
  <c r="S400" i="1" s="1"/>
  <c r="T400" i="1" s="1"/>
  <c r="M400" i="1"/>
  <c r="N394" i="1"/>
  <c r="O394" i="1" s="1"/>
  <c r="P394" i="1" s="1"/>
  <c r="Q394" i="1" s="1"/>
  <c r="S394" i="1" s="1"/>
  <c r="T394" i="1" s="1"/>
  <c r="M394" i="1"/>
  <c r="N388" i="1"/>
  <c r="O388" i="1" s="1"/>
  <c r="P388" i="1" s="1"/>
  <c r="Q388" i="1" s="1"/>
  <c r="S388" i="1" s="1"/>
  <c r="T388" i="1" s="1"/>
  <c r="M388" i="1"/>
  <c r="U388" i="1" s="1"/>
  <c r="V388" i="1" s="1"/>
  <c r="N382" i="1"/>
  <c r="O382" i="1" s="1"/>
  <c r="P382" i="1" s="1"/>
  <c r="Q382" i="1" s="1"/>
  <c r="S382" i="1" s="1"/>
  <c r="T382" i="1" s="1"/>
  <c r="M382" i="1"/>
  <c r="N376" i="1"/>
  <c r="O376" i="1" s="1"/>
  <c r="P376" i="1" s="1"/>
  <c r="Q376" i="1" s="1"/>
  <c r="S376" i="1" s="1"/>
  <c r="T376" i="1" s="1"/>
  <c r="M376" i="1"/>
  <c r="N370" i="1"/>
  <c r="O370" i="1" s="1"/>
  <c r="P370" i="1" s="1"/>
  <c r="Q370" i="1" s="1"/>
  <c r="S370" i="1" s="1"/>
  <c r="T370" i="1" s="1"/>
  <c r="M370" i="1"/>
  <c r="U370" i="1" s="1"/>
  <c r="V370" i="1" s="1"/>
  <c r="N364" i="1"/>
  <c r="O364" i="1" s="1"/>
  <c r="P364" i="1" s="1"/>
  <c r="Q364" i="1" s="1"/>
  <c r="S364" i="1" s="1"/>
  <c r="T364" i="1" s="1"/>
  <c r="M364" i="1"/>
  <c r="N358" i="1"/>
  <c r="O358" i="1" s="1"/>
  <c r="P358" i="1" s="1"/>
  <c r="Q358" i="1" s="1"/>
  <c r="S358" i="1" s="1"/>
  <c r="T358" i="1" s="1"/>
  <c r="M358" i="1"/>
  <c r="N352" i="1"/>
  <c r="O352" i="1" s="1"/>
  <c r="P352" i="1" s="1"/>
  <c r="Q352" i="1" s="1"/>
  <c r="S352" i="1" s="1"/>
  <c r="T352" i="1" s="1"/>
  <c r="M352" i="1"/>
  <c r="N346" i="1"/>
  <c r="O346" i="1" s="1"/>
  <c r="P346" i="1" s="1"/>
  <c r="Q346" i="1" s="1"/>
  <c r="S346" i="1" s="1"/>
  <c r="T346" i="1" s="1"/>
  <c r="M346" i="1"/>
  <c r="N340" i="1"/>
  <c r="O340" i="1" s="1"/>
  <c r="P340" i="1" s="1"/>
  <c r="Q340" i="1" s="1"/>
  <c r="S340" i="1" s="1"/>
  <c r="T340" i="1" s="1"/>
  <c r="M340" i="1"/>
  <c r="N334" i="1"/>
  <c r="O334" i="1" s="1"/>
  <c r="P334" i="1" s="1"/>
  <c r="Q334" i="1" s="1"/>
  <c r="S334" i="1" s="1"/>
  <c r="T334" i="1" s="1"/>
  <c r="U334" i="1" s="1"/>
  <c r="V334" i="1" s="1"/>
  <c r="M334" i="1"/>
  <c r="N328" i="1"/>
  <c r="O328" i="1" s="1"/>
  <c r="P328" i="1" s="1"/>
  <c r="Q328" i="1" s="1"/>
  <c r="S328" i="1" s="1"/>
  <c r="T328" i="1" s="1"/>
  <c r="M328" i="1"/>
  <c r="U328" i="1" s="1"/>
  <c r="V328" i="1" s="1"/>
  <c r="N322" i="1"/>
  <c r="O322" i="1" s="1"/>
  <c r="P322" i="1" s="1"/>
  <c r="Q322" i="1" s="1"/>
  <c r="S322" i="1" s="1"/>
  <c r="T322" i="1" s="1"/>
  <c r="M322" i="1"/>
  <c r="U322" i="1" s="1"/>
  <c r="V322" i="1" s="1"/>
  <c r="N316" i="1"/>
  <c r="O316" i="1" s="1"/>
  <c r="P316" i="1" s="1"/>
  <c r="Q316" i="1" s="1"/>
  <c r="S316" i="1" s="1"/>
  <c r="T316" i="1" s="1"/>
  <c r="U316" i="1" s="1"/>
  <c r="V316" i="1" s="1"/>
  <c r="M316" i="1"/>
  <c r="N310" i="1"/>
  <c r="O310" i="1" s="1"/>
  <c r="P310" i="1" s="1"/>
  <c r="Q310" i="1" s="1"/>
  <c r="S310" i="1" s="1"/>
  <c r="T310" i="1" s="1"/>
  <c r="M310" i="1"/>
  <c r="N304" i="1"/>
  <c r="O304" i="1" s="1"/>
  <c r="P304" i="1" s="1"/>
  <c r="Q304" i="1" s="1"/>
  <c r="S304" i="1" s="1"/>
  <c r="T304" i="1" s="1"/>
  <c r="M304" i="1"/>
  <c r="N298" i="1"/>
  <c r="O298" i="1" s="1"/>
  <c r="P298" i="1" s="1"/>
  <c r="Q298" i="1" s="1"/>
  <c r="S298" i="1" s="1"/>
  <c r="T298" i="1" s="1"/>
  <c r="M298" i="1"/>
  <c r="N292" i="1"/>
  <c r="O292" i="1" s="1"/>
  <c r="P292" i="1" s="1"/>
  <c r="Q292" i="1" s="1"/>
  <c r="S292" i="1" s="1"/>
  <c r="T292" i="1" s="1"/>
  <c r="M292" i="1"/>
  <c r="N286" i="1"/>
  <c r="O286" i="1" s="1"/>
  <c r="P286" i="1" s="1"/>
  <c r="Q286" i="1" s="1"/>
  <c r="S286" i="1" s="1"/>
  <c r="T286" i="1" s="1"/>
  <c r="M286" i="1"/>
  <c r="N280" i="1"/>
  <c r="O280" i="1" s="1"/>
  <c r="P280" i="1" s="1"/>
  <c r="Q280" i="1" s="1"/>
  <c r="S280" i="1" s="1"/>
  <c r="T280" i="1" s="1"/>
  <c r="U280" i="1" s="1"/>
  <c r="V280" i="1" s="1"/>
  <c r="M280" i="1"/>
  <c r="N274" i="1"/>
  <c r="O274" i="1" s="1"/>
  <c r="P274" i="1" s="1"/>
  <c r="Q274" i="1" s="1"/>
  <c r="S274" i="1" s="1"/>
  <c r="T274" i="1" s="1"/>
  <c r="M274" i="1"/>
  <c r="U274" i="1" s="1"/>
  <c r="V274" i="1" s="1"/>
  <c r="N268" i="1"/>
  <c r="O268" i="1" s="1"/>
  <c r="P268" i="1" s="1"/>
  <c r="Q268" i="1" s="1"/>
  <c r="S268" i="1" s="1"/>
  <c r="T268" i="1" s="1"/>
  <c r="M268" i="1"/>
  <c r="U268" i="1" s="1"/>
  <c r="V268" i="1" s="1"/>
  <c r="N262" i="1"/>
  <c r="O262" i="1" s="1"/>
  <c r="P262" i="1" s="1"/>
  <c r="Q262" i="1" s="1"/>
  <c r="S262" i="1" s="1"/>
  <c r="T262" i="1" s="1"/>
  <c r="M262" i="1"/>
  <c r="U262" i="1" s="1"/>
  <c r="V262" i="1" s="1"/>
  <c r="N256" i="1"/>
  <c r="O256" i="1" s="1"/>
  <c r="P256" i="1" s="1"/>
  <c r="Q256" i="1" s="1"/>
  <c r="S256" i="1" s="1"/>
  <c r="T256" i="1" s="1"/>
  <c r="M256" i="1"/>
  <c r="N250" i="1"/>
  <c r="O250" i="1" s="1"/>
  <c r="P250" i="1" s="1"/>
  <c r="Q250" i="1" s="1"/>
  <c r="S250" i="1" s="1"/>
  <c r="T250" i="1" s="1"/>
  <c r="M250" i="1"/>
  <c r="U250" i="1" s="1"/>
  <c r="V250" i="1" s="1"/>
  <c r="N244" i="1"/>
  <c r="O244" i="1" s="1"/>
  <c r="P244" i="1" s="1"/>
  <c r="Q244" i="1" s="1"/>
  <c r="S244" i="1" s="1"/>
  <c r="T244" i="1" s="1"/>
  <c r="M244" i="1"/>
  <c r="U244" i="1" s="1"/>
  <c r="V244" i="1" s="1"/>
  <c r="N238" i="1"/>
  <c r="O238" i="1" s="1"/>
  <c r="P238" i="1" s="1"/>
  <c r="Q238" i="1" s="1"/>
  <c r="S238" i="1" s="1"/>
  <c r="T238" i="1" s="1"/>
  <c r="M238" i="1"/>
  <c r="N232" i="1"/>
  <c r="O232" i="1" s="1"/>
  <c r="P232" i="1" s="1"/>
  <c r="Q232" i="1" s="1"/>
  <c r="S232" i="1" s="1"/>
  <c r="T232" i="1" s="1"/>
  <c r="M232" i="1"/>
  <c r="U232" i="1" s="1"/>
  <c r="V232" i="1" s="1"/>
  <c r="N226" i="1"/>
  <c r="O226" i="1" s="1"/>
  <c r="P226" i="1" s="1"/>
  <c r="Q226" i="1" s="1"/>
  <c r="S226" i="1" s="1"/>
  <c r="T226" i="1" s="1"/>
  <c r="M226" i="1"/>
  <c r="U226" i="1" s="1"/>
  <c r="V226" i="1" s="1"/>
  <c r="N220" i="1"/>
  <c r="O220" i="1" s="1"/>
  <c r="P220" i="1" s="1"/>
  <c r="Q220" i="1" s="1"/>
  <c r="S220" i="1" s="1"/>
  <c r="T220" i="1" s="1"/>
  <c r="M220" i="1"/>
  <c r="N214" i="1"/>
  <c r="O214" i="1" s="1"/>
  <c r="P214" i="1" s="1"/>
  <c r="Q214" i="1" s="1"/>
  <c r="S214" i="1" s="1"/>
  <c r="T214" i="1" s="1"/>
  <c r="M214" i="1"/>
  <c r="U214" i="1" s="1"/>
  <c r="V214" i="1" s="1"/>
  <c r="N208" i="1"/>
  <c r="O208" i="1" s="1"/>
  <c r="P208" i="1" s="1"/>
  <c r="Q208" i="1" s="1"/>
  <c r="S208" i="1" s="1"/>
  <c r="T208" i="1" s="1"/>
  <c r="M208" i="1"/>
  <c r="N202" i="1"/>
  <c r="O202" i="1" s="1"/>
  <c r="P202" i="1" s="1"/>
  <c r="Q202" i="1" s="1"/>
  <c r="S202" i="1" s="1"/>
  <c r="T202" i="1" s="1"/>
  <c r="M202" i="1"/>
  <c r="N196" i="1"/>
  <c r="O196" i="1" s="1"/>
  <c r="P196" i="1" s="1"/>
  <c r="Q196" i="1" s="1"/>
  <c r="S196" i="1" s="1"/>
  <c r="T196" i="1" s="1"/>
  <c r="M196" i="1"/>
  <c r="U196" i="1" s="1"/>
  <c r="V196" i="1" s="1"/>
  <c r="N190" i="1"/>
  <c r="O190" i="1" s="1"/>
  <c r="P190" i="1" s="1"/>
  <c r="Q190" i="1" s="1"/>
  <c r="S190" i="1" s="1"/>
  <c r="T190" i="1" s="1"/>
  <c r="M190" i="1"/>
  <c r="U190" i="1" s="1"/>
  <c r="V190" i="1" s="1"/>
  <c r="N184" i="1"/>
  <c r="O184" i="1" s="1"/>
  <c r="P184" i="1" s="1"/>
  <c r="Q184" i="1" s="1"/>
  <c r="S184" i="1" s="1"/>
  <c r="T184" i="1" s="1"/>
  <c r="M184" i="1"/>
  <c r="N178" i="1"/>
  <c r="O178" i="1" s="1"/>
  <c r="P178" i="1" s="1"/>
  <c r="Q178" i="1" s="1"/>
  <c r="S178" i="1" s="1"/>
  <c r="T178" i="1" s="1"/>
  <c r="M178" i="1"/>
  <c r="N172" i="1"/>
  <c r="O172" i="1" s="1"/>
  <c r="P172" i="1" s="1"/>
  <c r="Q172" i="1" s="1"/>
  <c r="S172" i="1" s="1"/>
  <c r="T172" i="1" s="1"/>
  <c r="M172" i="1"/>
  <c r="U172" i="1" s="1"/>
  <c r="V172" i="1" s="1"/>
  <c r="N166" i="1"/>
  <c r="O166" i="1" s="1"/>
  <c r="P166" i="1" s="1"/>
  <c r="Q166" i="1" s="1"/>
  <c r="S166" i="1" s="1"/>
  <c r="T166" i="1" s="1"/>
  <c r="M166" i="1"/>
  <c r="U166" i="1" s="1"/>
  <c r="V166" i="1" s="1"/>
  <c r="N160" i="1"/>
  <c r="O160" i="1" s="1"/>
  <c r="P160" i="1" s="1"/>
  <c r="Q160" i="1" s="1"/>
  <c r="S160" i="1" s="1"/>
  <c r="T160" i="1" s="1"/>
  <c r="M160" i="1"/>
  <c r="U160" i="1" s="1"/>
  <c r="V160" i="1" s="1"/>
  <c r="N154" i="1"/>
  <c r="O154" i="1" s="1"/>
  <c r="P154" i="1" s="1"/>
  <c r="Q154" i="1" s="1"/>
  <c r="S154" i="1" s="1"/>
  <c r="T154" i="1" s="1"/>
  <c r="U154" i="1" s="1"/>
  <c r="V154" i="1" s="1"/>
  <c r="M154" i="1"/>
  <c r="N148" i="1"/>
  <c r="O148" i="1" s="1"/>
  <c r="P148" i="1" s="1"/>
  <c r="Q148" i="1" s="1"/>
  <c r="S148" i="1" s="1"/>
  <c r="T148" i="1" s="1"/>
  <c r="M148" i="1"/>
  <c r="N142" i="1"/>
  <c r="O142" i="1" s="1"/>
  <c r="P142" i="1" s="1"/>
  <c r="Q142" i="1" s="1"/>
  <c r="S142" i="1" s="1"/>
  <c r="T142" i="1" s="1"/>
  <c r="M142" i="1"/>
  <c r="N136" i="1"/>
  <c r="O136" i="1" s="1"/>
  <c r="P136" i="1" s="1"/>
  <c r="Q136" i="1" s="1"/>
  <c r="S136" i="1" s="1"/>
  <c r="T136" i="1" s="1"/>
  <c r="M136" i="1"/>
  <c r="U136" i="1" s="1"/>
  <c r="V136" i="1" s="1"/>
  <c r="N130" i="1"/>
  <c r="O130" i="1" s="1"/>
  <c r="P130" i="1" s="1"/>
  <c r="Q130" i="1" s="1"/>
  <c r="S130" i="1" s="1"/>
  <c r="T130" i="1" s="1"/>
  <c r="M130" i="1"/>
  <c r="N124" i="1"/>
  <c r="O124" i="1" s="1"/>
  <c r="P124" i="1" s="1"/>
  <c r="Q124" i="1" s="1"/>
  <c r="S124" i="1" s="1"/>
  <c r="T124" i="1" s="1"/>
  <c r="M124" i="1"/>
  <c r="U124" i="1" s="1"/>
  <c r="V124" i="1" s="1"/>
  <c r="N118" i="1"/>
  <c r="O118" i="1" s="1"/>
  <c r="P118" i="1" s="1"/>
  <c r="Q118" i="1" s="1"/>
  <c r="S118" i="1" s="1"/>
  <c r="T118" i="1" s="1"/>
  <c r="M118" i="1"/>
  <c r="U118" i="1" s="1"/>
  <c r="V118" i="1" s="1"/>
  <c r="N112" i="1"/>
  <c r="O112" i="1" s="1"/>
  <c r="P112" i="1" s="1"/>
  <c r="Q112" i="1" s="1"/>
  <c r="S112" i="1" s="1"/>
  <c r="T112" i="1" s="1"/>
  <c r="M112" i="1"/>
  <c r="U112" i="1" s="1"/>
  <c r="V112" i="1" s="1"/>
  <c r="N106" i="1"/>
  <c r="O106" i="1" s="1"/>
  <c r="P106" i="1" s="1"/>
  <c r="Q106" i="1" s="1"/>
  <c r="S106" i="1" s="1"/>
  <c r="T106" i="1" s="1"/>
  <c r="M106" i="1"/>
  <c r="U106" i="1" s="1"/>
  <c r="V106" i="1" s="1"/>
  <c r="N100" i="1"/>
  <c r="O100" i="1" s="1"/>
  <c r="P100" i="1" s="1"/>
  <c r="Q100" i="1" s="1"/>
  <c r="S100" i="1" s="1"/>
  <c r="T100" i="1" s="1"/>
  <c r="M100" i="1"/>
  <c r="N94" i="1"/>
  <c r="O94" i="1" s="1"/>
  <c r="P94" i="1" s="1"/>
  <c r="Q94" i="1" s="1"/>
  <c r="S94" i="1" s="1"/>
  <c r="T94" i="1" s="1"/>
  <c r="M94" i="1"/>
  <c r="U94" i="1" s="1"/>
  <c r="V94" i="1" s="1"/>
  <c r="N88" i="1"/>
  <c r="O88" i="1" s="1"/>
  <c r="P88" i="1" s="1"/>
  <c r="Q88" i="1" s="1"/>
  <c r="S88" i="1" s="1"/>
  <c r="T88" i="1" s="1"/>
  <c r="M88" i="1"/>
  <c r="N82" i="1"/>
  <c r="O82" i="1" s="1"/>
  <c r="P82" i="1" s="1"/>
  <c r="Q82" i="1" s="1"/>
  <c r="S82" i="1" s="1"/>
  <c r="T82" i="1" s="1"/>
  <c r="M82" i="1"/>
  <c r="U82" i="1" s="1"/>
  <c r="V82" i="1" s="1"/>
  <c r="N76" i="1"/>
  <c r="O76" i="1" s="1"/>
  <c r="P76" i="1" s="1"/>
  <c r="Q76" i="1" s="1"/>
  <c r="S76" i="1" s="1"/>
  <c r="T76" i="1" s="1"/>
  <c r="M76" i="1"/>
  <c r="U76" i="1" s="1"/>
  <c r="V76" i="1" s="1"/>
  <c r="N70" i="1"/>
  <c r="O70" i="1" s="1"/>
  <c r="P70" i="1" s="1"/>
  <c r="Q70" i="1" s="1"/>
  <c r="S70" i="1" s="1"/>
  <c r="T70" i="1" s="1"/>
  <c r="M70" i="1"/>
  <c r="U70" i="1" s="1"/>
  <c r="V70" i="1" s="1"/>
  <c r="N64" i="1"/>
  <c r="O64" i="1" s="1"/>
  <c r="P64" i="1" s="1"/>
  <c r="Q64" i="1" s="1"/>
  <c r="S64" i="1" s="1"/>
  <c r="T64" i="1" s="1"/>
  <c r="M64" i="1"/>
  <c r="U64" i="1" s="1"/>
  <c r="V64" i="1" s="1"/>
  <c r="N58" i="1"/>
  <c r="O58" i="1" s="1"/>
  <c r="P58" i="1" s="1"/>
  <c r="Q58" i="1" s="1"/>
  <c r="S58" i="1" s="1"/>
  <c r="T58" i="1" s="1"/>
  <c r="M58" i="1"/>
  <c r="N52" i="1"/>
  <c r="O52" i="1" s="1"/>
  <c r="P52" i="1" s="1"/>
  <c r="Q52" i="1" s="1"/>
  <c r="S52" i="1" s="1"/>
  <c r="T52" i="1" s="1"/>
  <c r="M52" i="1"/>
  <c r="N46" i="1"/>
  <c r="O46" i="1" s="1"/>
  <c r="P46" i="1" s="1"/>
  <c r="Q46" i="1" s="1"/>
  <c r="S46" i="1" s="1"/>
  <c r="T46" i="1" s="1"/>
  <c r="U46" i="1" s="1"/>
  <c r="V46" i="1" s="1"/>
  <c r="M46" i="1"/>
  <c r="N40" i="1"/>
  <c r="O40" i="1" s="1"/>
  <c r="P40" i="1" s="1"/>
  <c r="Q40" i="1" s="1"/>
  <c r="S40" i="1" s="1"/>
  <c r="T40" i="1" s="1"/>
  <c r="M40" i="1"/>
  <c r="N34" i="1"/>
  <c r="O34" i="1" s="1"/>
  <c r="P34" i="1" s="1"/>
  <c r="Q34" i="1" s="1"/>
  <c r="S34" i="1" s="1"/>
  <c r="T34" i="1" s="1"/>
  <c r="M34" i="1"/>
  <c r="U34" i="1" s="1"/>
  <c r="V34" i="1" s="1"/>
  <c r="N28" i="1"/>
  <c r="O28" i="1" s="1"/>
  <c r="P28" i="1" s="1"/>
  <c r="Q28" i="1" s="1"/>
  <c r="S28" i="1" s="1"/>
  <c r="T28" i="1" s="1"/>
  <c r="U28" i="1" s="1"/>
  <c r="V28" i="1" s="1"/>
  <c r="M28" i="1"/>
  <c r="N22" i="1"/>
  <c r="O22" i="1" s="1"/>
  <c r="P22" i="1" s="1"/>
  <c r="Q22" i="1" s="1"/>
  <c r="S22" i="1" s="1"/>
  <c r="T22" i="1" s="1"/>
  <c r="M22" i="1"/>
  <c r="U22" i="1" s="1"/>
  <c r="V22" i="1" s="1"/>
  <c r="N16" i="1"/>
  <c r="O16" i="1" s="1"/>
  <c r="P16" i="1" s="1"/>
  <c r="Q16" i="1" s="1"/>
  <c r="S16" i="1" s="1"/>
  <c r="T16" i="1" s="1"/>
  <c r="M16" i="1"/>
  <c r="N10" i="1"/>
  <c r="O10" i="1" s="1"/>
  <c r="P10" i="1" s="1"/>
  <c r="Q10" i="1" s="1"/>
  <c r="S10" i="1" s="1"/>
  <c r="T10" i="1" s="1"/>
  <c r="U10" i="1" s="1"/>
  <c r="V10" i="1" s="1"/>
  <c r="M10" i="1"/>
  <c r="M997" i="1"/>
  <c r="U997" i="1" s="1"/>
  <c r="V997" i="1" s="1"/>
  <c r="M985" i="1"/>
  <c r="U985" i="1" s="1"/>
  <c r="V985" i="1" s="1"/>
  <c r="M972" i="1"/>
  <c r="U972" i="1" s="1"/>
  <c r="V972" i="1" s="1"/>
  <c r="M954" i="1"/>
  <c r="M930" i="1"/>
  <c r="U930" i="1" s="1"/>
  <c r="V930" i="1" s="1"/>
  <c r="M903" i="1"/>
  <c r="U903" i="1" s="1"/>
  <c r="V903" i="1" s="1"/>
  <c r="M876" i="1"/>
  <c r="N984" i="1"/>
  <c r="O984" i="1" s="1"/>
  <c r="P984" i="1" s="1"/>
  <c r="Q984" i="1" s="1"/>
  <c r="S984" i="1" s="1"/>
  <c r="T984" i="1" s="1"/>
  <c r="M984" i="1"/>
  <c r="U984" i="1" s="1"/>
  <c r="V984" i="1" s="1"/>
  <c r="N1007" i="1"/>
  <c r="O1007" i="1" s="1"/>
  <c r="P1007" i="1" s="1"/>
  <c r="Q1007" i="1" s="1"/>
  <c r="S1007" i="1" s="1"/>
  <c r="T1007" i="1" s="1"/>
  <c r="M1007" i="1"/>
  <c r="N1001" i="1"/>
  <c r="O1001" i="1" s="1"/>
  <c r="P1001" i="1" s="1"/>
  <c r="Q1001" i="1" s="1"/>
  <c r="S1001" i="1" s="1"/>
  <c r="T1001" i="1" s="1"/>
  <c r="M1001" i="1"/>
  <c r="U1001" i="1" s="1"/>
  <c r="V1001" i="1" s="1"/>
  <c r="N995" i="1"/>
  <c r="O995" i="1" s="1"/>
  <c r="P995" i="1" s="1"/>
  <c r="Q995" i="1" s="1"/>
  <c r="S995" i="1" s="1"/>
  <c r="T995" i="1" s="1"/>
  <c r="M995" i="1"/>
  <c r="U995" i="1" s="1"/>
  <c r="V995" i="1" s="1"/>
  <c r="N989" i="1"/>
  <c r="O989" i="1" s="1"/>
  <c r="P989" i="1" s="1"/>
  <c r="Q989" i="1" s="1"/>
  <c r="S989" i="1" s="1"/>
  <c r="T989" i="1" s="1"/>
  <c r="U989" i="1" s="1"/>
  <c r="V989" i="1" s="1"/>
  <c r="M989" i="1"/>
  <c r="N983" i="1"/>
  <c r="O983" i="1" s="1"/>
  <c r="P983" i="1" s="1"/>
  <c r="Q983" i="1" s="1"/>
  <c r="S983" i="1" s="1"/>
  <c r="T983" i="1" s="1"/>
  <c r="M983" i="1"/>
  <c r="U983" i="1" s="1"/>
  <c r="V983" i="1" s="1"/>
  <c r="N977" i="1"/>
  <c r="O977" i="1" s="1"/>
  <c r="P977" i="1" s="1"/>
  <c r="Q977" i="1" s="1"/>
  <c r="S977" i="1" s="1"/>
  <c r="T977" i="1" s="1"/>
  <c r="M977" i="1"/>
  <c r="U977" i="1" s="1"/>
  <c r="V977" i="1" s="1"/>
  <c r="N971" i="1"/>
  <c r="O971" i="1" s="1"/>
  <c r="P971" i="1" s="1"/>
  <c r="Q971" i="1" s="1"/>
  <c r="S971" i="1" s="1"/>
  <c r="T971" i="1" s="1"/>
  <c r="M971" i="1"/>
  <c r="U971" i="1" s="1"/>
  <c r="V971" i="1" s="1"/>
  <c r="N965" i="1"/>
  <c r="O965" i="1" s="1"/>
  <c r="P965" i="1" s="1"/>
  <c r="Q965" i="1" s="1"/>
  <c r="S965" i="1" s="1"/>
  <c r="T965" i="1" s="1"/>
  <c r="M965" i="1"/>
  <c r="U965" i="1" s="1"/>
  <c r="V965" i="1" s="1"/>
  <c r="Q959" i="1"/>
  <c r="S959" i="1" s="1"/>
  <c r="T959" i="1" s="1"/>
  <c r="N953" i="1"/>
  <c r="O953" i="1" s="1"/>
  <c r="P953" i="1" s="1"/>
  <c r="Q953" i="1" s="1"/>
  <c r="S953" i="1" s="1"/>
  <c r="T953" i="1" s="1"/>
  <c r="M953" i="1"/>
  <c r="U953" i="1" s="1"/>
  <c r="V953" i="1" s="1"/>
  <c r="N947" i="1"/>
  <c r="O947" i="1" s="1"/>
  <c r="P947" i="1" s="1"/>
  <c r="Q947" i="1" s="1"/>
  <c r="S947" i="1" s="1"/>
  <c r="T947" i="1" s="1"/>
  <c r="M947" i="1"/>
  <c r="U947" i="1" s="1"/>
  <c r="V947" i="1" s="1"/>
  <c r="N941" i="1"/>
  <c r="O941" i="1" s="1"/>
  <c r="P941" i="1" s="1"/>
  <c r="Q941" i="1" s="1"/>
  <c r="S941" i="1" s="1"/>
  <c r="T941" i="1" s="1"/>
  <c r="M941" i="1"/>
  <c r="U941" i="1" s="1"/>
  <c r="V941" i="1" s="1"/>
  <c r="N935" i="1"/>
  <c r="O935" i="1" s="1"/>
  <c r="P935" i="1" s="1"/>
  <c r="Q935" i="1" s="1"/>
  <c r="S935" i="1" s="1"/>
  <c r="T935" i="1" s="1"/>
  <c r="M935" i="1"/>
  <c r="N929" i="1"/>
  <c r="O929" i="1" s="1"/>
  <c r="P929" i="1" s="1"/>
  <c r="Q929" i="1" s="1"/>
  <c r="S929" i="1" s="1"/>
  <c r="T929" i="1" s="1"/>
  <c r="M929" i="1"/>
  <c r="U929" i="1" s="1"/>
  <c r="V929" i="1" s="1"/>
  <c r="N923" i="1"/>
  <c r="O923" i="1" s="1"/>
  <c r="P923" i="1" s="1"/>
  <c r="Q923" i="1" s="1"/>
  <c r="S923" i="1" s="1"/>
  <c r="T923" i="1" s="1"/>
  <c r="M923" i="1"/>
  <c r="N917" i="1"/>
  <c r="O917" i="1" s="1"/>
  <c r="P917" i="1" s="1"/>
  <c r="Q917" i="1" s="1"/>
  <c r="S917" i="1" s="1"/>
  <c r="T917" i="1" s="1"/>
  <c r="M917" i="1"/>
  <c r="N911" i="1"/>
  <c r="O911" i="1" s="1"/>
  <c r="P911" i="1" s="1"/>
  <c r="Q911" i="1" s="1"/>
  <c r="S911" i="1" s="1"/>
  <c r="T911" i="1" s="1"/>
  <c r="M911" i="1"/>
  <c r="U911" i="1" s="1"/>
  <c r="V911" i="1" s="1"/>
  <c r="M905" i="1"/>
  <c r="U905" i="1" s="1"/>
  <c r="V905" i="1" s="1"/>
  <c r="N905" i="1"/>
  <c r="O905" i="1" s="1"/>
  <c r="P905" i="1" s="1"/>
  <c r="Q905" i="1" s="1"/>
  <c r="S905" i="1" s="1"/>
  <c r="T905" i="1" s="1"/>
  <c r="N899" i="1"/>
  <c r="O899" i="1" s="1"/>
  <c r="P899" i="1" s="1"/>
  <c r="Q899" i="1" s="1"/>
  <c r="S899" i="1" s="1"/>
  <c r="T899" i="1" s="1"/>
  <c r="M899" i="1"/>
  <c r="U899" i="1" s="1"/>
  <c r="V899" i="1" s="1"/>
  <c r="N893" i="1"/>
  <c r="O893" i="1" s="1"/>
  <c r="P893" i="1" s="1"/>
  <c r="Q893" i="1" s="1"/>
  <c r="S893" i="1" s="1"/>
  <c r="T893" i="1" s="1"/>
  <c r="M893" i="1"/>
  <c r="U893" i="1" s="1"/>
  <c r="V893" i="1" s="1"/>
  <c r="N887" i="1"/>
  <c r="O887" i="1" s="1"/>
  <c r="P887" i="1" s="1"/>
  <c r="Q887" i="1" s="1"/>
  <c r="S887" i="1" s="1"/>
  <c r="T887" i="1" s="1"/>
  <c r="M887" i="1"/>
  <c r="U887" i="1" s="1"/>
  <c r="V887" i="1" s="1"/>
  <c r="N881" i="1"/>
  <c r="O881" i="1" s="1"/>
  <c r="P881" i="1" s="1"/>
  <c r="Q881" i="1" s="1"/>
  <c r="S881" i="1" s="1"/>
  <c r="T881" i="1" s="1"/>
  <c r="M881" i="1"/>
  <c r="N875" i="1"/>
  <c r="O875" i="1" s="1"/>
  <c r="P875" i="1" s="1"/>
  <c r="Q875" i="1" s="1"/>
  <c r="S875" i="1" s="1"/>
  <c r="T875" i="1" s="1"/>
  <c r="M875" i="1"/>
  <c r="U875" i="1" s="1"/>
  <c r="V875" i="1" s="1"/>
  <c r="N869" i="1"/>
  <c r="O869" i="1" s="1"/>
  <c r="P869" i="1" s="1"/>
  <c r="Q869" i="1" s="1"/>
  <c r="S869" i="1" s="1"/>
  <c r="T869" i="1" s="1"/>
  <c r="M869" i="1"/>
  <c r="U869" i="1" s="1"/>
  <c r="V869" i="1" s="1"/>
  <c r="N863" i="1"/>
  <c r="O863" i="1" s="1"/>
  <c r="P863" i="1" s="1"/>
  <c r="Q863" i="1" s="1"/>
  <c r="S863" i="1" s="1"/>
  <c r="T863" i="1" s="1"/>
  <c r="M863" i="1"/>
  <c r="N857" i="1"/>
  <c r="O857" i="1" s="1"/>
  <c r="P857" i="1" s="1"/>
  <c r="Q857" i="1" s="1"/>
  <c r="S857" i="1" s="1"/>
  <c r="T857" i="1" s="1"/>
  <c r="M857" i="1"/>
  <c r="U857" i="1" s="1"/>
  <c r="V857" i="1" s="1"/>
  <c r="N851" i="1"/>
  <c r="O851" i="1" s="1"/>
  <c r="P851" i="1" s="1"/>
  <c r="Q851" i="1" s="1"/>
  <c r="S851" i="1" s="1"/>
  <c r="T851" i="1" s="1"/>
  <c r="M851" i="1"/>
  <c r="N845" i="1"/>
  <c r="O845" i="1" s="1"/>
  <c r="P845" i="1" s="1"/>
  <c r="Q845" i="1" s="1"/>
  <c r="S845" i="1" s="1"/>
  <c r="T845" i="1" s="1"/>
  <c r="M845" i="1"/>
  <c r="U845" i="1" s="1"/>
  <c r="V845" i="1" s="1"/>
  <c r="N839" i="1"/>
  <c r="O839" i="1" s="1"/>
  <c r="P839" i="1" s="1"/>
  <c r="Q839" i="1" s="1"/>
  <c r="S839" i="1" s="1"/>
  <c r="T839" i="1" s="1"/>
  <c r="M839" i="1"/>
  <c r="U839" i="1" s="1"/>
  <c r="V839" i="1" s="1"/>
  <c r="N833" i="1"/>
  <c r="O833" i="1" s="1"/>
  <c r="P833" i="1" s="1"/>
  <c r="Q833" i="1" s="1"/>
  <c r="S833" i="1" s="1"/>
  <c r="T833" i="1" s="1"/>
  <c r="M833" i="1"/>
  <c r="N827" i="1"/>
  <c r="O827" i="1" s="1"/>
  <c r="P827" i="1" s="1"/>
  <c r="Q827" i="1" s="1"/>
  <c r="S827" i="1" s="1"/>
  <c r="T827" i="1" s="1"/>
  <c r="M827" i="1"/>
  <c r="U827" i="1" s="1"/>
  <c r="V827" i="1" s="1"/>
  <c r="N821" i="1"/>
  <c r="O821" i="1" s="1"/>
  <c r="P821" i="1" s="1"/>
  <c r="Q821" i="1" s="1"/>
  <c r="S821" i="1" s="1"/>
  <c r="T821" i="1" s="1"/>
  <c r="M821" i="1"/>
  <c r="U821" i="1" s="1"/>
  <c r="V821" i="1" s="1"/>
  <c r="N815" i="1"/>
  <c r="O815" i="1" s="1"/>
  <c r="P815" i="1" s="1"/>
  <c r="Q815" i="1" s="1"/>
  <c r="S815" i="1" s="1"/>
  <c r="T815" i="1" s="1"/>
  <c r="M815" i="1"/>
  <c r="N809" i="1"/>
  <c r="O809" i="1" s="1"/>
  <c r="P809" i="1" s="1"/>
  <c r="Q809" i="1" s="1"/>
  <c r="S809" i="1" s="1"/>
  <c r="T809" i="1" s="1"/>
  <c r="M809" i="1"/>
  <c r="U809" i="1" s="1"/>
  <c r="V809" i="1" s="1"/>
  <c r="N803" i="1"/>
  <c r="O803" i="1" s="1"/>
  <c r="P803" i="1" s="1"/>
  <c r="Q803" i="1" s="1"/>
  <c r="S803" i="1" s="1"/>
  <c r="T803" i="1" s="1"/>
  <c r="M803" i="1"/>
  <c r="U803" i="1" s="1"/>
  <c r="V803" i="1" s="1"/>
  <c r="N797" i="1"/>
  <c r="O797" i="1" s="1"/>
  <c r="P797" i="1" s="1"/>
  <c r="Q797" i="1" s="1"/>
  <c r="S797" i="1" s="1"/>
  <c r="T797" i="1" s="1"/>
  <c r="M797" i="1"/>
  <c r="U797" i="1" s="1"/>
  <c r="V797" i="1" s="1"/>
  <c r="N791" i="1"/>
  <c r="O791" i="1" s="1"/>
  <c r="P791" i="1" s="1"/>
  <c r="Q791" i="1" s="1"/>
  <c r="S791" i="1" s="1"/>
  <c r="T791" i="1" s="1"/>
  <c r="M791" i="1"/>
  <c r="U791" i="1" s="1"/>
  <c r="V791" i="1" s="1"/>
  <c r="N785" i="1"/>
  <c r="O785" i="1" s="1"/>
  <c r="P785" i="1" s="1"/>
  <c r="Q785" i="1" s="1"/>
  <c r="S785" i="1" s="1"/>
  <c r="T785" i="1" s="1"/>
  <c r="M785" i="1"/>
  <c r="U785" i="1" s="1"/>
  <c r="V785" i="1" s="1"/>
  <c r="N779" i="1"/>
  <c r="O779" i="1" s="1"/>
  <c r="P779" i="1" s="1"/>
  <c r="Q779" i="1" s="1"/>
  <c r="S779" i="1" s="1"/>
  <c r="T779" i="1" s="1"/>
  <c r="M779" i="1"/>
  <c r="U779" i="1" s="1"/>
  <c r="V779" i="1" s="1"/>
  <c r="N773" i="1"/>
  <c r="O773" i="1" s="1"/>
  <c r="P773" i="1" s="1"/>
  <c r="Q773" i="1" s="1"/>
  <c r="S773" i="1" s="1"/>
  <c r="T773" i="1" s="1"/>
  <c r="M773" i="1"/>
  <c r="N767" i="1"/>
  <c r="O767" i="1" s="1"/>
  <c r="P767" i="1" s="1"/>
  <c r="Q767" i="1" s="1"/>
  <c r="S767" i="1" s="1"/>
  <c r="T767" i="1" s="1"/>
  <c r="M767" i="1"/>
  <c r="U767" i="1" s="1"/>
  <c r="V767" i="1" s="1"/>
  <c r="N761" i="1"/>
  <c r="O761" i="1" s="1"/>
  <c r="P761" i="1" s="1"/>
  <c r="Q761" i="1" s="1"/>
  <c r="S761" i="1" s="1"/>
  <c r="T761" i="1" s="1"/>
  <c r="M761" i="1"/>
  <c r="U761" i="1" s="1"/>
  <c r="V761" i="1" s="1"/>
  <c r="N755" i="1"/>
  <c r="O755" i="1" s="1"/>
  <c r="P755" i="1" s="1"/>
  <c r="Q755" i="1" s="1"/>
  <c r="S755" i="1" s="1"/>
  <c r="T755" i="1" s="1"/>
  <c r="M755" i="1"/>
  <c r="N749" i="1"/>
  <c r="O749" i="1" s="1"/>
  <c r="P749" i="1" s="1"/>
  <c r="Q749" i="1" s="1"/>
  <c r="S749" i="1" s="1"/>
  <c r="T749" i="1" s="1"/>
  <c r="U749" i="1" s="1"/>
  <c r="V749" i="1" s="1"/>
  <c r="M749" i="1"/>
  <c r="N743" i="1"/>
  <c r="O743" i="1" s="1"/>
  <c r="P743" i="1" s="1"/>
  <c r="Q743" i="1" s="1"/>
  <c r="S743" i="1" s="1"/>
  <c r="T743" i="1" s="1"/>
  <c r="M743" i="1"/>
  <c r="U743" i="1" s="1"/>
  <c r="V743" i="1" s="1"/>
  <c r="N737" i="1"/>
  <c r="O737" i="1" s="1"/>
  <c r="P737" i="1" s="1"/>
  <c r="Q737" i="1" s="1"/>
  <c r="S737" i="1" s="1"/>
  <c r="T737" i="1" s="1"/>
  <c r="M737" i="1"/>
  <c r="U737" i="1" s="1"/>
  <c r="V737" i="1" s="1"/>
  <c r="N731" i="1"/>
  <c r="O731" i="1" s="1"/>
  <c r="P731" i="1" s="1"/>
  <c r="Q731" i="1" s="1"/>
  <c r="S731" i="1" s="1"/>
  <c r="T731" i="1" s="1"/>
  <c r="M731" i="1"/>
  <c r="U731" i="1" s="1"/>
  <c r="V731" i="1" s="1"/>
  <c r="N725" i="1"/>
  <c r="O725" i="1" s="1"/>
  <c r="P725" i="1" s="1"/>
  <c r="Q725" i="1" s="1"/>
  <c r="S725" i="1" s="1"/>
  <c r="T725" i="1" s="1"/>
  <c r="M725" i="1"/>
  <c r="N719" i="1"/>
  <c r="O719" i="1" s="1"/>
  <c r="P719" i="1" s="1"/>
  <c r="Q719" i="1" s="1"/>
  <c r="S719" i="1" s="1"/>
  <c r="T719" i="1" s="1"/>
  <c r="M719" i="1"/>
  <c r="U719" i="1" s="1"/>
  <c r="V719" i="1" s="1"/>
  <c r="N713" i="1"/>
  <c r="O713" i="1" s="1"/>
  <c r="P713" i="1" s="1"/>
  <c r="Q713" i="1" s="1"/>
  <c r="S713" i="1" s="1"/>
  <c r="T713" i="1" s="1"/>
  <c r="M713" i="1"/>
  <c r="U713" i="1" s="1"/>
  <c r="V713" i="1" s="1"/>
  <c r="N707" i="1"/>
  <c r="O707" i="1" s="1"/>
  <c r="P707" i="1" s="1"/>
  <c r="Q707" i="1" s="1"/>
  <c r="S707" i="1" s="1"/>
  <c r="T707" i="1" s="1"/>
  <c r="M707" i="1"/>
  <c r="U707" i="1" s="1"/>
  <c r="V707" i="1" s="1"/>
  <c r="N701" i="1"/>
  <c r="O701" i="1" s="1"/>
  <c r="P701" i="1" s="1"/>
  <c r="Q701" i="1" s="1"/>
  <c r="S701" i="1" s="1"/>
  <c r="T701" i="1" s="1"/>
  <c r="M701" i="1"/>
  <c r="N695" i="1"/>
  <c r="O695" i="1" s="1"/>
  <c r="P695" i="1" s="1"/>
  <c r="Q695" i="1" s="1"/>
  <c r="S695" i="1" s="1"/>
  <c r="T695" i="1" s="1"/>
  <c r="U695" i="1" s="1"/>
  <c r="V695" i="1" s="1"/>
  <c r="M695" i="1"/>
  <c r="N689" i="1"/>
  <c r="O689" i="1" s="1"/>
  <c r="P689" i="1" s="1"/>
  <c r="Q689" i="1" s="1"/>
  <c r="S689" i="1" s="1"/>
  <c r="T689" i="1" s="1"/>
  <c r="M689" i="1"/>
  <c r="U689" i="1" s="1"/>
  <c r="V689" i="1" s="1"/>
  <c r="N683" i="1"/>
  <c r="O683" i="1" s="1"/>
  <c r="P683" i="1" s="1"/>
  <c r="Q683" i="1" s="1"/>
  <c r="S683" i="1" s="1"/>
  <c r="T683" i="1" s="1"/>
  <c r="M683" i="1"/>
  <c r="N677" i="1"/>
  <c r="O677" i="1" s="1"/>
  <c r="P677" i="1" s="1"/>
  <c r="Q677" i="1" s="1"/>
  <c r="S677" i="1" s="1"/>
  <c r="T677" i="1" s="1"/>
  <c r="U677" i="1" s="1"/>
  <c r="V677" i="1" s="1"/>
  <c r="M677" i="1"/>
  <c r="N671" i="1"/>
  <c r="O671" i="1" s="1"/>
  <c r="P671" i="1" s="1"/>
  <c r="Q671" i="1" s="1"/>
  <c r="S671" i="1" s="1"/>
  <c r="T671" i="1" s="1"/>
  <c r="M671" i="1"/>
  <c r="U671" i="1" s="1"/>
  <c r="V671" i="1" s="1"/>
  <c r="N665" i="1"/>
  <c r="O665" i="1" s="1"/>
  <c r="P665" i="1" s="1"/>
  <c r="Q665" i="1" s="1"/>
  <c r="S665" i="1" s="1"/>
  <c r="T665" i="1" s="1"/>
  <c r="M665" i="1"/>
  <c r="U665" i="1" s="1"/>
  <c r="V665" i="1" s="1"/>
  <c r="N659" i="1"/>
  <c r="O659" i="1" s="1"/>
  <c r="P659" i="1" s="1"/>
  <c r="Q659" i="1" s="1"/>
  <c r="S659" i="1" s="1"/>
  <c r="T659" i="1" s="1"/>
  <c r="U659" i="1" s="1"/>
  <c r="V659" i="1" s="1"/>
  <c r="M659" i="1"/>
  <c r="N653" i="1"/>
  <c r="O653" i="1" s="1"/>
  <c r="P653" i="1" s="1"/>
  <c r="Q653" i="1" s="1"/>
  <c r="S653" i="1" s="1"/>
  <c r="T653" i="1" s="1"/>
  <c r="M653" i="1"/>
  <c r="U653" i="1" s="1"/>
  <c r="V653" i="1" s="1"/>
  <c r="N647" i="1"/>
  <c r="O647" i="1" s="1"/>
  <c r="P647" i="1" s="1"/>
  <c r="Q647" i="1" s="1"/>
  <c r="S647" i="1" s="1"/>
  <c r="T647" i="1" s="1"/>
  <c r="M647" i="1"/>
  <c r="U647" i="1" s="1"/>
  <c r="V647" i="1" s="1"/>
  <c r="N641" i="1"/>
  <c r="O641" i="1" s="1"/>
  <c r="P641" i="1" s="1"/>
  <c r="Q641" i="1" s="1"/>
  <c r="S641" i="1" s="1"/>
  <c r="T641" i="1" s="1"/>
  <c r="M641" i="1"/>
  <c r="U641" i="1" s="1"/>
  <c r="V641" i="1" s="1"/>
  <c r="N635" i="1"/>
  <c r="O635" i="1" s="1"/>
  <c r="P635" i="1" s="1"/>
  <c r="Q635" i="1" s="1"/>
  <c r="S635" i="1" s="1"/>
  <c r="T635" i="1" s="1"/>
  <c r="M635" i="1"/>
  <c r="U635" i="1" s="1"/>
  <c r="V635" i="1" s="1"/>
  <c r="N629" i="1"/>
  <c r="O629" i="1" s="1"/>
  <c r="P629" i="1" s="1"/>
  <c r="Q629" i="1" s="1"/>
  <c r="S629" i="1" s="1"/>
  <c r="T629" i="1" s="1"/>
  <c r="M629" i="1"/>
  <c r="U629" i="1" s="1"/>
  <c r="V629" i="1" s="1"/>
  <c r="N623" i="1"/>
  <c r="O623" i="1" s="1"/>
  <c r="P623" i="1" s="1"/>
  <c r="Q623" i="1" s="1"/>
  <c r="S623" i="1" s="1"/>
  <c r="T623" i="1" s="1"/>
  <c r="U623" i="1" s="1"/>
  <c r="V623" i="1" s="1"/>
  <c r="M623" i="1"/>
  <c r="N617" i="1"/>
  <c r="O617" i="1" s="1"/>
  <c r="P617" i="1" s="1"/>
  <c r="Q617" i="1" s="1"/>
  <c r="S617" i="1" s="1"/>
  <c r="T617" i="1" s="1"/>
  <c r="M617" i="1"/>
  <c r="N611" i="1"/>
  <c r="O611" i="1" s="1"/>
  <c r="P611" i="1" s="1"/>
  <c r="Q611" i="1" s="1"/>
  <c r="S611" i="1" s="1"/>
  <c r="T611" i="1" s="1"/>
  <c r="M611" i="1"/>
  <c r="N605" i="1"/>
  <c r="O605" i="1" s="1"/>
  <c r="P605" i="1" s="1"/>
  <c r="Q605" i="1" s="1"/>
  <c r="S605" i="1" s="1"/>
  <c r="T605" i="1" s="1"/>
  <c r="M605" i="1"/>
  <c r="U605" i="1" s="1"/>
  <c r="V605" i="1" s="1"/>
  <c r="N599" i="1"/>
  <c r="O599" i="1" s="1"/>
  <c r="P599" i="1" s="1"/>
  <c r="Q599" i="1" s="1"/>
  <c r="S599" i="1" s="1"/>
  <c r="T599" i="1" s="1"/>
  <c r="M599" i="1"/>
  <c r="U599" i="1" s="1"/>
  <c r="V599" i="1" s="1"/>
  <c r="N593" i="1"/>
  <c r="O593" i="1" s="1"/>
  <c r="P593" i="1" s="1"/>
  <c r="Q593" i="1" s="1"/>
  <c r="S593" i="1" s="1"/>
  <c r="T593" i="1" s="1"/>
  <c r="M593" i="1"/>
  <c r="N587" i="1"/>
  <c r="O587" i="1" s="1"/>
  <c r="P587" i="1" s="1"/>
  <c r="Q587" i="1" s="1"/>
  <c r="S587" i="1" s="1"/>
  <c r="T587" i="1" s="1"/>
  <c r="M587" i="1"/>
  <c r="U587" i="1" s="1"/>
  <c r="V587" i="1" s="1"/>
  <c r="N581" i="1"/>
  <c r="O581" i="1" s="1"/>
  <c r="P581" i="1" s="1"/>
  <c r="Q581" i="1" s="1"/>
  <c r="S581" i="1" s="1"/>
  <c r="T581" i="1" s="1"/>
  <c r="M581" i="1"/>
  <c r="U581" i="1" s="1"/>
  <c r="V581" i="1" s="1"/>
  <c r="N575" i="1"/>
  <c r="O575" i="1" s="1"/>
  <c r="P575" i="1" s="1"/>
  <c r="Q575" i="1" s="1"/>
  <c r="S575" i="1" s="1"/>
  <c r="T575" i="1" s="1"/>
  <c r="M575" i="1"/>
  <c r="U575" i="1" s="1"/>
  <c r="V575" i="1" s="1"/>
  <c r="N569" i="1"/>
  <c r="O569" i="1" s="1"/>
  <c r="P569" i="1" s="1"/>
  <c r="Q569" i="1" s="1"/>
  <c r="S569" i="1" s="1"/>
  <c r="T569" i="1" s="1"/>
  <c r="U569" i="1" s="1"/>
  <c r="V569" i="1" s="1"/>
  <c r="M569" i="1"/>
  <c r="N563" i="1"/>
  <c r="O563" i="1" s="1"/>
  <c r="P563" i="1" s="1"/>
  <c r="Q563" i="1" s="1"/>
  <c r="S563" i="1" s="1"/>
  <c r="T563" i="1" s="1"/>
  <c r="M563" i="1"/>
  <c r="U563" i="1" s="1"/>
  <c r="V563" i="1" s="1"/>
  <c r="N557" i="1"/>
  <c r="O557" i="1" s="1"/>
  <c r="P557" i="1" s="1"/>
  <c r="Q557" i="1" s="1"/>
  <c r="S557" i="1" s="1"/>
  <c r="T557" i="1" s="1"/>
  <c r="M557" i="1"/>
  <c r="U557" i="1" s="1"/>
  <c r="V557" i="1" s="1"/>
  <c r="N551" i="1"/>
  <c r="O551" i="1" s="1"/>
  <c r="P551" i="1" s="1"/>
  <c r="Q551" i="1" s="1"/>
  <c r="S551" i="1" s="1"/>
  <c r="T551" i="1" s="1"/>
  <c r="M551" i="1"/>
  <c r="U551" i="1" s="1"/>
  <c r="V551" i="1" s="1"/>
  <c r="N545" i="1"/>
  <c r="O545" i="1" s="1"/>
  <c r="P545" i="1" s="1"/>
  <c r="Q545" i="1" s="1"/>
  <c r="S545" i="1" s="1"/>
  <c r="T545" i="1" s="1"/>
  <c r="M545" i="1"/>
  <c r="U545" i="1" s="1"/>
  <c r="V545" i="1" s="1"/>
  <c r="N539" i="1"/>
  <c r="O539" i="1" s="1"/>
  <c r="P539" i="1" s="1"/>
  <c r="Q539" i="1" s="1"/>
  <c r="S539" i="1" s="1"/>
  <c r="T539" i="1" s="1"/>
  <c r="M539" i="1"/>
  <c r="N533" i="1"/>
  <c r="O533" i="1" s="1"/>
  <c r="P533" i="1" s="1"/>
  <c r="Q533" i="1" s="1"/>
  <c r="S533" i="1" s="1"/>
  <c r="T533" i="1" s="1"/>
  <c r="M533" i="1"/>
  <c r="U533" i="1" s="1"/>
  <c r="V533" i="1" s="1"/>
  <c r="N527" i="1"/>
  <c r="O527" i="1" s="1"/>
  <c r="P527" i="1" s="1"/>
  <c r="Q527" i="1" s="1"/>
  <c r="S527" i="1" s="1"/>
  <c r="T527" i="1" s="1"/>
  <c r="M527" i="1"/>
  <c r="U527" i="1" s="1"/>
  <c r="V527" i="1" s="1"/>
  <c r="N521" i="1"/>
  <c r="O521" i="1" s="1"/>
  <c r="P521" i="1" s="1"/>
  <c r="Q521" i="1" s="1"/>
  <c r="S521" i="1" s="1"/>
  <c r="T521" i="1" s="1"/>
  <c r="M521" i="1"/>
  <c r="U521" i="1" s="1"/>
  <c r="V521" i="1" s="1"/>
  <c r="N515" i="1"/>
  <c r="O515" i="1" s="1"/>
  <c r="P515" i="1" s="1"/>
  <c r="Q515" i="1" s="1"/>
  <c r="S515" i="1" s="1"/>
  <c r="T515" i="1" s="1"/>
  <c r="M515" i="1"/>
  <c r="U515" i="1" s="1"/>
  <c r="V515" i="1" s="1"/>
  <c r="N509" i="1"/>
  <c r="O509" i="1" s="1"/>
  <c r="P509" i="1" s="1"/>
  <c r="Q509" i="1" s="1"/>
  <c r="S509" i="1" s="1"/>
  <c r="T509" i="1" s="1"/>
  <c r="M509" i="1"/>
  <c r="N503" i="1"/>
  <c r="O503" i="1" s="1"/>
  <c r="P503" i="1" s="1"/>
  <c r="Q503" i="1" s="1"/>
  <c r="S503" i="1" s="1"/>
  <c r="T503" i="1" s="1"/>
  <c r="M503" i="1"/>
  <c r="U503" i="1" s="1"/>
  <c r="V503" i="1" s="1"/>
  <c r="N497" i="1"/>
  <c r="O497" i="1" s="1"/>
  <c r="P497" i="1" s="1"/>
  <c r="Q497" i="1" s="1"/>
  <c r="S497" i="1" s="1"/>
  <c r="T497" i="1" s="1"/>
  <c r="U497" i="1" s="1"/>
  <c r="V497" i="1" s="1"/>
  <c r="M497" i="1"/>
  <c r="N491" i="1"/>
  <c r="O491" i="1" s="1"/>
  <c r="P491" i="1" s="1"/>
  <c r="Q491" i="1" s="1"/>
  <c r="S491" i="1" s="1"/>
  <c r="T491" i="1" s="1"/>
  <c r="M491" i="1"/>
  <c r="U491" i="1" s="1"/>
  <c r="V491" i="1" s="1"/>
  <c r="N485" i="1"/>
  <c r="O485" i="1" s="1"/>
  <c r="P485" i="1" s="1"/>
  <c r="Q485" i="1" s="1"/>
  <c r="S485" i="1" s="1"/>
  <c r="T485" i="1" s="1"/>
  <c r="M485" i="1"/>
  <c r="N479" i="1"/>
  <c r="O479" i="1" s="1"/>
  <c r="P479" i="1" s="1"/>
  <c r="Q479" i="1" s="1"/>
  <c r="S479" i="1" s="1"/>
  <c r="T479" i="1" s="1"/>
  <c r="M479" i="1"/>
  <c r="U479" i="1" s="1"/>
  <c r="V479" i="1" s="1"/>
  <c r="N473" i="1"/>
  <c r="O473" i="1" s="1"/>
  <c r="P473" i="1" s="1"/>
  <c r="Q473" i="1" s="1"/>
  <c r="S473" i="1" s="1"/>
  <c r="T473" i="1" s="1"/>
  <c r="M473" i="1"/>
  <c r="U473" i="1" s="1"/>
  <c r="V473" i="1" s="1"/>
  <c r="N467" i="1"/>
  <c r="O467" i="1" s="1"/>
  <c r="P467" i="1" s="1"/>
  <c r="Q467" i="1" s="1"/>
  <c r="S467" i="1" s="1"/>
  <c r="T467" i="1" s="1"/>
  <c r="M467" i="1"/>
  <c r="U467" i="1" s="1"/>
  <c r="V467" i="1" s="1"/>
  <c r="N461" i="1"/>
  <c r="O461" i="1" s="1"/>
  <c r="P461" i="1" s="1"/>
  <c r="Q461" i="1" s="1"/>
  <c r="S461" i="1" s="1"/>
  <c r="T461" i="1" s="1"/>
  <c r="M461" i="1"/>
  <c r="U461" i="1" s="1"/>
  <c r="V461" i="1" s="1"/>
  <c r="N455" i="1"/>
  <c r="O455" i="1" s="1"/>
  <c r="P455" i="1" s="1"/>
  <c r="Q455" i="1" s="1"/>
  <c r="S455" i="1" s="1"/>
  <c r="T455" i="1" s="1"/>
  <c r="M455" i="1"/>
  <c r="U455" i="1" s="1"/>
  <c r="V455" i="1" s="1"/>
  <c r="N449" i="1"/>
  <c r="O449" i="1" s="1"/>
  <c r="P449" i="1" s="1"/>
  <c r="Q449" i="1" s="1"/>
  <c r="S449" i="1" s="1"/>
  <c r="T449" i="1" s="1"/>
  <c r="M449" i="1"/>
  <c r="U449" i="1" s="1"/>
  <c r="V449" i="1" s="1"/>
  <c r="N443" i="1"/>
  <c r="O443" i="1" s="1"/>
  <c r="P443" i="1" s="1"/>
  <c r="Q443" i="1" s="1"/>
  <c r="S443" i="1" s="1"/>
  <c r="T443" i="1" s="1"/>
  <c r="M443" i="1"/>
  <c r="U443" i="1" s="1"/>
  <c r="V443" i="1" s="1"/>
  <c r="N437" i="1"/>
  <c r="O437" i="1" s="1"/>
  <c r="P437" i="1" s="1"/>
  <c r="Q437" i="1" s="1"/>
  <c r="S437" i="1" s="1"/>
  <c r="T437" i="1" s="1"/>
  <c r="M437" i="1"/>
  <c r="U437" i="1" s="1"/>
  <c r="V437" i="1" s="1"/>
  <c r="N431" i="1"/>
  <c r="O431" i="1" s="1"/>
  <c r="P431" i="1" s="1"/>
  <c r="Q431" i="1" s="1"/>
  <c r="S431" i="1" s="1"/>
  <c r="T431" i="1" s="1"/>
  <c r="M431" i="1"/>
  <c r="N425" i="1"/>
  <c r="O425" i="1" s="1"/>
  <c r="P425" i="1" s="1"/>
  <c r="Q425" i="1" s="1"/>
  <c r="S425" i="1" s="1"/>
  <c r="T425" i="1" s="1"/>
  <c r="M425" i="1"/>
  <c r="U425" i="1" s="1"/>
  <c r="V425" i="1" s="1"/>
  <c r="N419" i="1"/>
  <c r="O419" i="1" s="1"/>
  <c r="P419" i="1" s="1"/>
  <c r="Q419" i="1" s="1"/>
  <c r="S419" i="1" s="1"/>
  <c r="T419" i="1" s="1"/>
  <c r="M419" i="1"/>
  <c r="U419" i="1" s="1"/>
  <c r="V419" i="1" s="1"/>
  <c r="N413" i="1"/>
  <c r="O413" i="1" s="1"/>
  <c r="P413" i="1" s="1"/>
  <c r="Q413" i="1" s="1"/>
  <c r="S413" i="1" s="1"/>
  <c r="T413" i="1" s="1"/>
  <c r="M413" i="1"/>
  <c r="U413" i="1" s="1"/>
  <c r="V413" i="1" s="1"/>
  <c r="N407" i="1"/>
  <c r="O407" i="1" s="1"/>
  <c r="P407" i="1" s="1"/>
  <c r="Q407" i="1" s="1"/>
  <c r="S407" i="1" s="1"/>
  <c r="T407" i="1" s="1"/>
  <c r="M407" i="1"/>
  <c r="U407" i="1" s="1"/>
  <c r="V407" i="1" s="1"/>
  <c r="N401" i="1"/>
  <c r="O401" i="1" s="1"/>
  <c r="P401" i="1" s="1"/>
  <c r="Q401" i="1" s="1"/>
  <c r="S401" i="1" s="1"/>
  <c r="T401" i="1" s="1"/>
  <c r="M401" i="1"/>
  <c r="N395" i="1"/>
  <c r="O395" i="1" s="1"/>
  <c r="P395" i="1" s="1"/>
  <c r="Q395" i="1" s="1"/>
  <c r="S395" i="1" s="1"/>
  <c r="T395" i="1" s="1"/>
  <c r="M395" i="1"/>
  <c r="U395" i="1" s="1"/>
  <c r="V395" i="1" s="1"/>
  <c r="N389" i="1"/>
  <c r="O389" i="1" s="1"/>
  <c r="P389" i="1" s="1"/>
  <c r="Q389" i="1" s="1"/>
  <c r="S389" i="1" s="1"/>
  <c r="T389" i="1" s="1"/>
  <c r="M389" i="1"/>
  <c r="U389" i="1" s="1"/>
  <c r="V389" i="1" s="1"/>
  <c r="N383" i="1"/>
  <c r="O383" i="1" s="1"/>
  <c r="P383" i="1" s="1"/>
  <c r="Q383" i="1" s="1"/>
  <c r="S383" i="1" s="1"/>
  <c r="T383" i="1" s="1"/>
  <c r="M383" i="1"/>
  <c r="N377" i="1"/>
  <c r="O377" i="1" s="1"/>
  <c r="P377" i="1" s="1"/>
  <c r="Q377" i="1" s="1"/>
  <c r="S377" i="1" s="1"/>
  <c r="T377" i="1" s="1"/>
  <c r="M377" i="1"/>
  <c r="U377" i="1" s="1"/>
  <c r="V377" i="1" s="1"/>
  <c r="M371" i="1"/>
  <c r="N371" i="1"/>
  <c r="O371" i="1" s="1"/>
  <c r="P371" i="1" s="1"/>
  <c r="Q371" i="1" s="1"/>
  <c r="S371" i="1" s="1"/>
  <c r="T371" i="1" s="1"/>
  <c r="M365" i="1"/>
  <c r="U365" i="1" s="1"/>
  <c r="V365" i="1" s="1"/>
  <c r="N365" i="1"/>
  <c r="O365" i="1" s="1"/>
  <c r="P365" i="1" s="1"/>
  <c r="Q365" i="1" s="1"/>
  <c r="S365" i="1" s="1"/>
  <c r="T365" i="1" s="1"/>
  <c r="M359" i="1"/>
  <c r="U359" i="1" s="1"/>
  <c r="V359" i="1" s="1"/>
  <c r="N359" i="1"/>
  <c r="O359" i="1" s="1"/>
  <c r="P359" i="1" s="1"/>
  <c r="Q359" i="1" s="1"/>
  <c r="S359" i="1" s="1"/>
  <c r="T359" i="1" s="1"/>
  <c r="M353" i="1"/>
  <c r="U353" i="1" s="1"/>
  <c r="V353" i="1" s="1"/>
  <c r="N353" i="1"/>
  <c r="O353" i="1" s="1"/>
  <c r="P353" i="1" s="1"/>
  <c r="Q353" i="1" s="1"/>
  <c r="S353" i="1" s="1"/>
  <c r="T353" i="1" s="1"/>
  <c r="N347" i="1"/>
  <c r="O347" i="1" s="1"/>
  <c r="P347" i="1" s="1"/>
  <c r="Q347" i="1" s="1"/>
  <c r="S347" i="1" s="1"/>
  <c r="T347" i="1" s="1"/>
  <c r="M347" i="1"/>
  <c r="U347" i="1" s="1"/>
  <c r="V347" i="1" s="1"/>
  <c r="N341" i="1"/>
  <c r="O341" i="1" s="1"/>
  <c r="P341" i="1" s="1"/>
  <c r="Q341" i="1" s="1"/>
  <c r="S341" i="1" s="1"/>
  <c r="T341" i="1" s="1"/>
  <c r="M341" i="1"/>
  <c r="U341" i="1" s="1"/>
  <c r="V341" i="1" s="1"/>
  <c r="M335" i="1"/>
  <c r="U335" i="1" s="1"/>
  <c r="V335" i="1" s="1"/>
  <c r="N335" i="1"/>
  <c r="O335" i="1" s="1"/>
  <c r="P335" i="1" s="1"/>
  <c r="Q335" i="1" s="1"/>
  <c r="S335" i="1" s="1"/>
  <c r="T335" i="1" s="1"/>
  <c r="N329" i="1"/>
  <c r="O329" i="1" s="1"/>
  <c r="P329" i="1" s="1"/>
  <c r="Q329" i="1" s="1"/>
  <c r="S329" i="1" s="1"/>
  <c r="T329" i="1" s="1"/>
  <c r="M329" i="1"/>
  <c r="U329" i="1" s="1"/>
  <c r="V329" i="1" s="1"/>
  <c r="N323" i="1"/>
  <c r="O323" i="1" s="1"/>
  <c r="P323" i="1" s="1"/>
  <c r="Q323" i="1" s="1"/>
  <c r="S323" i="1" s="1"/>
  <c r="T323" i="1" s="1"/>
  <c r="M323" i="1"/>
  <c r="U323" i="1" s="1"/>
  <c r="V323" i="1" s="1"/>
  <c r="M317" i="1"/>
  <c r="U317" i="1" s="1"/>
  <c r="V317" i="1" s="1"/>
  <c r="N317" i="1"/>
  <c r="O317" i="1" s="1"/>
  <c r="P317" i="1" s="1"/>
  <c r="Q317" i="1" s="1"/>
  <c r="S317" i="1" s="1"/>
  <c r="T317" i="1" s="1"/>
  <c r="N311" i="1"/>
  <c r="O311" i="1" s="1"/>
  <c r="P311" i="1" s="1"/>
  <c r="Q311" i="1" s="1"/>
  <c r="S311" i="1" s="1"/>
  <c r="T311" i="1" s="1"/>
  <c r="M311" i="1"/>
  <c r="N305" i="1"/>
  <c r="O305" i="1" s="1"/>
  <c r="P305" i="1" s="1"/>
  <c r="Q305" i="1" s="1"/>
  <c r="S305" i="1" s="1"/>
  <c r="T305" i="1" s="1"/>
  <c r="M305" i="1"/>
  <c r="U305" i="1" s="1"/>
  <c r="V305" i="1" s="1"/>
  <c r="M299" i="1"/>
  <c r="U299" i="1" s="1"/>
  <c r="V299" i="1" s="1"/>
  <c r="N299" i="1"/>
  <c r="O299" i="1" s="1"/>
  <c r="P299" i="1" s="1"/>
  <c r="Q299" i="1" s="1"/>
  <c r="S299" i="1" s="1"/>
  <c r="T299" i="1" s="1"/>
  <c r="N293" i="1"/>
  <c r="O293" i="1" s="1"/>
  <c r="P293" i="1" s="1"/>
  <c r="Q293" i="1" s="1"/>
  <c r="S293" i="1" s="1"/>
  <c r="T293" i="1" s="1"/>
  <c r="M293" i="1"/>
  <c r="U293" i="1" s="1"/>
  <c r="V293" i="1" s="1"/>
  <c r="N287" i="1"/>
  <c r="O287" i="1" s="1"/>
  <c r="P287" i="1" s="1"/>
  <c r="Q287" i="1" s="1"/>
  <c r="S287" i="1" s="1"/>
  <c r="T287" i="1" s="1"/>
  <c r="M287" i="1"/>
  <c r="U287" i="1" s="1"/>
  <c r="V287" i="1" s="1"/>
  <c r="M281" i="1"/>
  <c r="U281" i="1" s="1"/>
  <c r="V281" i="1" s="1"/>
  <c r="N281" i="1"/>
  <c r="O281" i="1" s="1"/>
  <c r="P281" i="1" s="1"/>
  <c r="Q281" i="1" s="1"/>
  <c r="S281" i="1" s="1"/>
  <c r="T281" i="1" s="1"/>
  <c r="N275" i="1"/>
  <c r="O275" i="1" s="1"/>
  <c r="P275" i="1" s="1"/>
  <c r="Q275" i="1" s="1"/>
  <c r="S275" i="1" s="1"/>
  <c r="T275" i="1" s="1"/>
  <c r="M275" i="1"/>
  <c r="U275" i="1" s="1"/>
  <c r="V275" i="1" s="1"/>
  <c r="N269" i="1"/>
  <c r="O269" i="1" s="1"/>
  <c r="P269" i="1" s="1"/>
  <c r="Q269" i="1" s="1"/>
  <c r="S269" i="1" s="1"/>
  <c r="T269" i="1" s="1"/>
  <c r="M269" i="1"/>
  <c r="U269" i="1" s="1"/>
  <c r="V269" i="1" s="1"/>
  <c r="M263" i="1"/>
  <c r="U263" i="1" s="1"/>
  <c r="V263" i="1" s="1"/>
  <c r="N263" i="1"/>
  <c r="O263" i="1" s="1"/>
  <c r="P263" i="1" s="1"/>
  <c r="Q263" i="1" s="1"/>
  <c r="S263" i="1" s="1"/>
  <c r="T263" i="1" s="1"/>
  <c r="N257" i="1"/>
  <c r="O257" i="1" s="1"/>
  <c r="P257" i="1" s="1"/>
  <c r="Q257" i="1" s="1"/>
  <c r="S257" i="1" s="1"/>
  <c r="T257" i="1" s="1"/>
  <c r="M257" i="1"/>
  <c r="N251" i="1"/>
  <c r="O251" i="1" s="1"/>
  <c r="P251" i="1" s="1"/>
  <c r="Q251" i="1" s="1"/>
  <c r="S251" i="1" s="1"/>
  <c r="T251" i="1" s="1"/>
  <c r="M251" i="1"/>
  <c r="U251" i="1" s="1"/>
  <c r="V251" i="1" s="1"/>
  <c r="M245" i="1"/>
  <c r="N245" i="1"/>
  <c r="O245" i="1" s="1"/>
  <c r="P245" i="1" s="1"/>
  <c r="Q245" i="1" s="1"/>
  <c r="S245" i="1" s="1"/>
  <c r="T245" i="1" s="1"/>
  <c r="N239" i="1"/>
  <c r="O239" i="1" s="1"/>
  <c r="P239" i="1" s="1"/>
  <c r="Q239" i="1" s="1"/>
  <c r="S239" i="1" s="1"/>
  <c r="T239" i="1" s="1"/>
  <c r="M239" i="1"/>
  <c r="U239" i="1" s="1"/>
  <c r="V239" i="1" s="1"/>
  <c r="N233" i="1"/>
  <c r="O233" i="1" s="1"/>
  <c r="P233" i="1" s="1"/>
  <c r="Q233" i="1" s="1"/>
  <c r="S233" i="1" s="1"/>
  <c r="T233" i="1" s="1"/>
  <c r="M233" i="1"/>
  <c r="U233" i="1" s="1"/>
  <c r="V233" i="1" s="1"/>
  <c r="M227" i="1"/>
  <c r="U227" i="1" s="1"/>
  <c r="V227" i="1" s="1"/>
  <c r="N227" i="1"/>
  <c r="O227" i="1" s="1"/>
  <c r="P227" i="1" s="1"/>
  <c r="Q227" i="1" s="1"/>
  <c r="S227" i="1" s="1"/>
  <c r="T227" i="1" s="1"/>
  <c r="N221" i="1"/>
  <c r="O221" i="1" s="1"/>
  <c r="P221" i="1" s="1"/>
  <c r="Q221" i="1" s="1"/>
  <c r="S221" i="1" s="1"/>
  <c r="T221" i="1" s="1"/>
  <c r="M221" i="1"/>
  <c r="N215" i="1"/>
  <c r="O215" i="1" s="1"/>
  <c r="P215" i="1" s="1"/>
  <c r="Q215" i="1" s="1"/>
  <c r="S215" i="1" s="1"/>
  <c r="T215" i="1" s="1"/>
  <c r="M215" i="1"/>
  <c r="U215" i="1" s="1"/>
  <c r="V215" i="1" s="1"/>
  <c r="M209" i="1"/>
  <c r="U209" i="1" s="1"/>
  <c r="V209" i="1" s="1"/>
  <c r="N209" i="1"/>
  <c r="O209" i="1" s="1"/>
  <c r="P209" i="1" s="1"/>
  <c r="Q209" i="1" s="1"/>
  <c r="S209" i="1" s="1"/>
  <c r="T209" i="1" s="1"/>
  <c r="N203" i="1"/>
  <c r="O203" i="1" s="1"/>
  <c r="P203" i="1" s="1"/>
  <c r="Q203" i="1" s="1"/>
  <c r="S203" i="1" s="1"/>
  <c r="T203" i="1" s="1"/>
  <c r="M203" i="1"/>
  <c r="U203" i="1" s="1"/>
  <c r="V203" i="1" s="1"/>
  <c r="N197" i="1"/>
  <c r="O197" i="1" s="1"/>
  <c r="P197" i="1" s="1"/>
  <c r="Q197" i="1" s="1"/>
  <c r="S197" i="1" s="1"/>
  <c r="T197" i="1" s="1"/>
  <c r="M197" i="1"/>
  <c r="U197" i="1" s="1"/>
  <c r="V197" i="1" s="1"/>
  <c r="M191" i="1"/>
  <c r="N191" i="1"/>
  <c r="O191" i="1" s="1"/>
  <c r="P191" i="1" s="1"/>
  <c r="Q191" i="1" s="1"/>
  <c r="S191" i="1" s="1"/>
  <c r="T191" i="1" s="1"/>
  <c r="N185" i="1"/>
  <c r="O185" i="1" s="1"/>
  <c r="P185" i="1" s="1"/>
  <c r="Q185" i="1" s="1"/>
  <c r="S185" i="1" s="1"/>
  <c r="T185" i="1" s="1"/>
  <c r="M185" i="1"/>
  <c r="N179" i="1"/>
  <c r="O179" i="1" s="1"/>
  <c r="P179" i="1" s="1"/>
  <c r="Q179" i="1" s="1"/>
  <c r="S179" i="1" s="1"/>
  <c r="T179" i="1" s="1"/>
  <c r="M179" i="1"/>
  <c r="U179" i="1" s="1"/>
  <c r="V179" i="1" s="1"/>
  <c r="M173" i="1"/>
  <c r="U173" i="1" s="1"/>
  <c r="V173" i="1" s="1"/>
  <c r="N173" i="1"/>
  <c r="O173" i="1" s="1"/>
  <c r="P173" i="1" s="1"/>
  <c r="Q173" i="1" s="1"/>
  <c r="S173" i="1" s="1"/>
  <c r="T173" i="1" s="1"/>
  <c r="N167" i="1"/>
  <c r="O167" i="1" s="1"/>
  <c r="P167" i="1" s="1"/>
  <c r="Q167" i="1" s="1"/>
  <c r="S167" i="1" s="1"/>
  <c r="T167" i="1" s="1"/>
  <c r="M167" i="1"/>
  <c r="U167" i="1" s="1"/>
  <c r="V167" i="1" s="1"/>
  <c r="N161" i="1"/>
  <c r="O161" i="1" s="1"/>
  <c r="P161" i="1" s="1"/>
  <c r="Q161" i="1" s="1"/>
  <c r="S161" i="1" s="1"/>
  <c r="T161" i="1" s="1"/>
  <c r="M161" i="1"/>
  <c r="U161" i="1" s="1"/>
  <c r="V161" i="1" s="1"/>
  <c r="M155" i="1"/>
  <c r="U155" i="1" s="1"/>
  <c r="V155" i="1" s="1"/>
  <c r="N155" i="1"/>
  <c r="O155" i="1" s="1"/>
  <c r="P155" i="1" s="1"/>
  <c r="Q155" i="1" s="1"/>
  <c r="S155" i="1" s="1"/>
  <c r="T155" i="1" s="1"/>
  <c r="N149" i="1"/>
  <c r="O149" i="1" s="1"/>
  <c r="P149" i="1" s="1"/>
  <c r="Q149" i="1" s="1"/>
  <c r="S149" i="1" s="1"/>
  <c r="T149" i="1" s="1"/>
  <c r="M149" i="1"/>
  <c r="U149" i="1" s="1"/>
  <c r="V149" i="1" s="1"/>
  <c r="N143" i="1"/>
  <c r="O143" i="1" s="1"/>
  <c r="P143" i="1" s="1"/>
  <c r="Q143" i="1" s="1"/>
  <c r="S143" i="1" s="1"/>
  <c r="T143" i="1" s="1"/>
  <c r="M143" i="1"/>
  <c r="M137" i="1"/>
  <c r="U137" i="1" s="1"/>
  <c r="V137" i="1" s="1"/>
  <c r="N137" i="1"/>
  <c r="O137" i="1" s="1"/>
  <c r="P137" i="1" s="1"/>
  <c r="Q137" i="1" s="1"/>
  <c r="S137" i="1" s="1"/>
  <c r="T137" i="1" s="1"/>
  <c r="N131" i="1"/>
  <c r="O131" i="1" s="1"/>
  <c r="P131" i="1" s="1"/>
  <c r="Q131" i="1" s="1"/>
  <c r="S131" i="1" s="1"/>
  <c r="T131" i="1" s="1"/>
  <c r="M131" i="1"/>
  <c r="N125" i="1"/>
  <c r="O125" i="1" s="1"/>
  <c r="P125" i="1" s="1"/>
  <c r="Q125" i="1" s="1"/>
  <c r="S125" i="1" s="1"/>
  <c r="T125" i="1" s="1"/>
  <c r="M125" i="1"/>
  <c r="U125" i="1" s="1"/>
  <c r="V125" i="1" s="1"/>
  <c r="M119" i="1"/>
  <c r="U119" i="1" s="1"/>
  <c r="V119" i="1" s="1"/>
  <c r="N119" i="1"/>
  <c r="O119" i="1" s="1"/>
  <c r="P119" i="1" s="1"/>
  <c r="Q119" i="1" s="1"/>
  <c r="S119" i="1" s="1"/>
  <c r="T119" i="1" s="1"/>
  <c r="N113" i="1"/>
  <c r="O113" i="1" s="1"/>
  <c r="P113" i="1" s="1"/>
  <c r="Q113" i="1" s="1"/>
  <c r="S113" i="1" s="1"/>
  <c r="T113" i="1" s="1"/>
  <c r="M113" i="1"/>
  <c r="U113" i="1" s="1"/>
  <c r="V113" i="1" s="1"/>
  <c r="N107" i="1"/>
  <c r="O107" i="1" s="1"/>
  <c r="P107" i="1" s="1"/>
  <c r="Q107" i="1" s="1"/>
  <c r="S107" i="1" s="1"/>
  <c r="T107" i="1" s="1"/>
  <c r="M107" i="1"/>
  <c r="U107" i="1" s="1"/>
  <c r="V107" i="1" s="1"/>
  <c r="M101" i="1"/>
  <c r="U101" i="1" s="1"/>
  <c r="V101" i="1" s="1"/>
  <c r="N101" i="1"/>
  <c r="O101" i="1" s="1"/>
  <c r="P101" i="1" s="1"/>
  <c r="Q101" i="1" s="1"/>
  <c r="S101" i="1" s="1"/>
  <c r="T101" i="1" s="1"/>
  <c r="N95" i="1"/>
  <c r="O95" i="1" s="1"/>
  <c r="P95" i="1" s="1"/>
  <c r="Q95" i="1" s="1"/>
  <c r="S95" i="1" s="1"/>
  <c r="T95" i="1" s="1"/>
  <c r="M95" i="1"/>
  <c r="U95" i="1" s="1"/>
  <c r="V95" i="1" s="1"/>
  <c r="N89" i="1"/>
  <c r="O89" i="1" s="1"/>
  <c r="P89" i="1" s="1"/>
  <c r="Q89" i="1" s="1"/>
  <c r="S89" i="1" s="1"/>
  <c r="T89" i="1" s="1"/>
  <c r="M89" i="1"/>
  <c r="U89" i="1" s="1"/>
  <c r="V89" i="1" s="1"/>
  <c r="M83" i="1"/>
  <c r="U83" i="1" s="1"/>
  <c r="V83" i="1" s="1"/>
  <c r="N83" i="1"/>
  <c r="O83" i="1" s="1"/>
  <c r="P83" i="1" s="1"/>
  <c r="Q83" i="1" s="1"/>
  <c r="S83" i="1" s="1"/>
  <c r="T83" i="1" s="1"/>
  <c r="N77" i="1"/>
  <c r="O77" i="1" s="1"/>
  <c r="P77" i="1" s="1"/>
  <c r="Q77" i="1" s="1"/>
  <c r="S77" i="1" s="1"/>
  <c r="T77" i="1" s="1"/>
  <c r="M77" i="1"/>
  <c r="N71" i="1"/>
  <c r="O71" i="1" s="1"/>
  <c r="P71" i="1" s="1"/>
  <c r="Q71" i="1" s="1"/>
  <c r="S71" i="1" s="1"/>
  <c r="T71" i="1" s="1"/>
  <c r="M71" i="1"/>
  <c r="M65" i="1"/>
  <c r="U65" i="1" s="1"/>
  <c r="V65" i="1" s="1"/>
  <c r="N65" i="1"/>
  <c r="O65" i="1" s="1"/>
  <c r="P65" i="1" s="1"/>
  <c r="Q65" i="1" s="1"/>
  <c r="S65" i="1" s="1"/>
  <c r="T65" i="1" s="1"/>
  <c r="N59" i="1"/>
  <c r="O59" i="1" s="1"/>
  <c r="P59" i="1" s="1"/>
  <c r="Q59" i="1" s="1"/>
  <c r="S59" i="1" s="1"/>
  <c r="T59" i="1" s="1"/>
  <c r="M59" i="1"/>
  <c r="U59" i="1" s="1"/>
  <c r="V59" i="1" s="1"/>
  <c r="N53" i="1"/>
  <c r="O53" i="1" s="1"/>
  <c r="P53" i="1" s="1"/>
  <c r="Q53" i="1" s="1"/>
  <c r="S53" i="1" s="1"/>
  <c r="T53" i="1" s="1"/>
  <c r="M53" i="1"/>
  <c r="U53" i="1" s="1"/>
  <c r="V53" i="1" s="1"/>
  <c r="M47" i="1"/>
  <c r="U47" i="1" s="1"/>
  <c r="V47" i="1" s="1"/>
  <c r="N47" i="1"/>
  <c r="O47" i="1" s="1"/>
  <c r="P47" i="1" s="1"/>
  <c r="Q47" i="1" s="1"/>
  <c r="S47" i="1" s="1"/>
  <c r="T47" i="1" s="1"/>
  <c r="N41" i="1"/>
  <c r="O41" i="1" s="1"/>
  <c r="P41" i="1" s="1"/>
  <c r="Q41" i="1" s="1"/>
  <c r="S41" i="1" s="1"/>
  <c r="T41" i="1" s="1"/>
  <c r="M41" i="1"/>
  <c r="U41" i="1" s="1"/>
  <c r="V41" i="1" s="1"/>
  <c r="N35" i="1"/>
  <c r="O35" i="1" s="1"/>
  <c r="P35" i="1" s="1"/>
  <c r="Q35" i="1" s="1"/>
  <c r="S35" i="1" s="1"/>
  <c r="T35" i="1" s="1"/>
  <c r="M35" i="1"/>
  <c r="U35" i="1" s="1"/>
  <c r="V35" i="1" s="1"/>
  <c r="M29" i="1"/>
  <c r="N29" i="1"/>
  <c r="O29" i="1" s="1"/>
  <c r="P29" i="1" s="1"/>
  <c r="Q29" i="1" s="1"/>
  <c r="S29" i="1" s="1"/>
  <c r="T29" i="1" s="1"/>
  <c r="M1006" i="1"/>
  <c r="U1006" i="1" s="1"/>
  <c r="V1006" i="1" s="1"/>
  <c r="M994" i="1"/>
  <c r="M982" i="1"/>
  <c r="M968" i="1"/>
  <c r="U968" i="1" s="1"/>
  <c r="V968" i="1" s="1"/>
  <c r="M950" i="1"/>
  <c r="M927" i="1"/>
  <c r="M900" i="1"/>
  <c r="U900" i="1" s="1"/>
  <c r="V900" i="1" s="1"/>
  <c r="M873" i="1"/>
  <c r="U873" i="1" s="1"/>
  <c r="V873" i="1" s="1"/>
  <c r="N852" i="1"/>
  <c r="O852" i="1" s="1"/>
  <c r="P852" i="1" s="1"/>
  <c r="Q852" i="1" s="1"/>
  <c r="S852" i="1" s="1"/>
  <c r="T852" i="1" s="1"/>
  <c r="M852" i="1"/>
  <c r="N846" i="1"/>
  <c r="O846" i="1" s="1"/>
  <c r="P846" i="1" s="1"/>
  <c r="Q846" i="1" s="1"/>
  <c r="S846" i="1" s="1"/>
  <c r="T846" i="1" s="1"/>
  <c r="M846" i="1"/>
  <c r="U846" i="1" s="1"/>
  <c r="V846" i="1" s="1"/>
  <c r="N840" i="1"/>
  <c r="O840" i="1" s="1"/>
  <c r="P840" i="1" s="1"/>
  <c r="Q840" i="1" s="1"/>
  <c r="S840" i="1" s="1"/>
  <c r="T840" i="1" s="1"/>
  <c r="M840" i="1"/>
  <c r="U840" i="1" s="1"/>
  <c r="V840" i="1" s="1"/>
  <c r="N834" i="1"/>
  <c r="O834" i="1" s="1"/>
  <c r="P834" i="1" s="1"/>
  <c r="Q834" i="1" s="1"/>
  <c r="S834" i="1" s="1"/>
  <c r="T834" i="1" s="1"/>
  <c r="M834" i="1"/>
  <c r="N828" i="1"/>
  <c r="O828" i="1" s="1"/>
  <c r="P828" i="1" s="1"/>
  <c r="Q828" i="1" s="1"/>
  <c r="S828" i="1" s="1"/>
  <c r="T828" i="1" s="1"/>
  <c r="M828" i="1"/>
  <c r="U828" i="1" s="1"/>
  <c r="V828" i="1" s="1"/>
  <c r="N822" i="1"/>
  <c r="O822" i="1" s="1"/>
  <c r="P822" i="1" s="1"/>
  <c r="Q822" i="1" s="1"/>
  <c r="S822" i="1" s="1"/>
  <c r="T822" i="1" s="1"/>
  <c r="M822" i="1"/>
  <c r="U822" i="1" s="1"/>
  <c r="V822" i="1" s="1"/>
  <c r="N816" i="1"/>
  <c r="O816" i="1" s="1"/>
  <c r="P816" i="1" s="1"/>
  <c r="Q816" i="1" s="1"/>
  <c r="S816" i="1" s="1"/>
  <c r="T816" i="1" s="1"/>
  <c r="M816" i="1"/>
  <c r="U816" i="1" s="1"/>
  <c r="V816" i="1" s="1"/>
  <c r="N810" i="1"/>
  <c r="O810" i="1" s="1"/>
  <c r="P810" i="1" s="1"/>
  <c r="Q810" i="1" s="1"/>
  <c r="S810" i="1" s="1"/>
  <c r="T810" i="1" s="1"/>
  <c r="M810" i="1"/>
  <c r="U810" i="1" s="1"/>
  <c r="V810" i="1" s="1"/>
  <c r="N804" i="1"/>
  <c r="O804" i="1" s="1"/>
  <c r="P804" i="1" s="1"/>
  <c r="Q804" i="1" s="1"/>
  <c r="S804" i="1" s="1"/>
  <c r="T804" i="1" s="1"/>
  <c r="M804" i="1"/>
  <c r="U804" i="1" s="1"/>
  <c r="V804" i="1" s="1"/>
  <c r="N798" i="1"/>
  <c r="O798" i="1" s="1"/>
  <c r="P798" i="1" s="1"/>
  <c r="Q798" i="1" s="1"/>
  <c r="S798" i="1" s="1"/>
  <c r="T798" i="1" s="1"/>
  <c r="M798" i="1"/>
  <c r="U798" i="1" s="1"/>
  <c r="V798" i="1" s="1"/>
  <c r="N792" i="1"/>
  <c r="O792" i="1" s="1"/>
  <c r="P792" i="1" s="1"/>
  <c r="Q792" i="1" s="1"/>
  <c r="S792" i="1" s="1"/>
  <c r="T792" i="1" s="1"/>
  <c r="M792" i="1"/>
  <c r="U792" i="1" s="1"/>
  <c r="V792" i="1" s="1"/>
  <c r="N786" i="1"/>
  <c r="O786" i="1" s="1"/>
  <c r="P786" i="1" s="1"/>
  <c r="Q786" i="1" s="1"/>
  <c r="S786" i="1" s="1"/>
  <c r="T786" i="1" s="1"/>
  <c r="M786" i="1"/>
  <c r="U786" i="1" s="1"/>
  <c r="V786" i="1" s="1"/>
  <c r="N780" i="1"/>
  <c r="O780" i="1" s="1"/>
  <c r="P780" i="1" s="1"/>
  <c r="Q780" i="1" s="1"/>
  <c r="S780" i="1" s="1"/>
  <c r="T780" i="1" s="1"/>
  <c r="M780" i="1"/>
  <c r="U780" i="1" s="1"/>
  <c r="V780" i="1" s="1"/>
  <c r="N774" i="1"/>
  <c r="O774" i="1" s="1"/>
  <c r="P774" i="1" s="1"/>
  <c r="Q774" i="1" s="1"/>
  <c r="S774" i="1" s="1"/>
  <c r="T774" i="1" s="1"/>
  <c r="M774" i="1"/>
  <c r="U774" i="1" s="1"/>
  <c r="V774" i="1" s="1"/>
  <c r="N768" i="1"/>
  <c r="O768" i="1" s="1"/>
  <c r="P768" i="1" s="1"/>
  <c r="Q768" i="1" s="1"/>
  <c r="S768" i="1" s="1"/>
  <c r="T768" i="1" s="1"/>
  <c r="M768" i="1"/>
  <c r="U768" i="1" s="1"/>
  <c r="V768" i="1" s="1"/>
  <c r="N762" i="1"/>
  <c r="O762" i="1" s="1"/>
  <c r="P762" i="1" s="1"/>
  <c r="Q762" i="1" s="1"/>
  <c r="S762" i="1" s="1"/>
  <c r="T762" i="1" s="1"/>
  <c r="M762" i="1"/>
  <c r="U762" i="1" s="1"/>
  <c r="V762" i="1" s="1"/>
  <c r="N756" i="1"/>
  <c r="O756" i="1" s="1"/>
  <c r="P756" i="1" s="1"/>
  <c r="Q756" i="1" s="1"/>
  <c r="S756" i="1" s="1"/>
  <c r="T756" i="1" s="1"/>
  <c r="M756" i="1"/>
  <c r="U756" i="1" s="1"/>
  <c r="V756" i="1" s="1"/>
  <c r="N750" i="1"/>
  <c r="O750" i="1" s="1"/>
  <c r="P750" i="1" s="1"/>
  <c r="Q750" i="1" s="1"/>
  <c r="S750" i="1" s="1"/>
  <c r="T750" i="1" s="1"/>
  <c r="M750" i="1"/>
  <c r="U750" i="1" s="1"/>
  <c r="V750" i="1" s="1"/>
  <c r="N744" i="1"/>
  <c r="O744" i="1" s="1"/>
  <c r="P744" i="1" s="1"/>
  <c r="Q744" i="1" s="1"/>
  <c r="S744" i="1" s="1"/>
  <c r="T744" i="1" s="1"/>
  <c r="M744" i="1"/>
  <c r="U744" i="1" s="1"/>
  <c r="V744" i="1" s="1"/>
  <c r="N738" i="1"/>
  <c r="O738" i="1" s="1"/>
  <c r="P738" i="1" s="1"/>
  <c r="Q738" i="1" s="1"/>
  <c r="S738" i="1" s="1"/>
  <c r="T738" i="1" s="1"/>
  <c r="M738" i="1"/>
  <c r="U738" i="1" s="1"/>
  <c r="V738" i="1" s="1"/>
  <c r="N732" i="1"/>
  <c r="O732" i="1" s="1"/>
  <c r="P732" i="1" s="1"/>
  <c r="Q732" i="1" s="1"/>
  <c r="S732" i="1" s="1"/>
  <c r="T732" i="1" s="1"/>
  <c r="M732" i="1"/>
  <c r="N726" i="1"/>
  <c r="O726" i="1" s="1"/>
  <c r="P726" i="1" s="1"/>
  <c r="Q726" i="1" s="1"/>
  <c r="S726" i="1" s="1"/>
  <c r="T726" i="1" s="1"/>
  <c r="M726" i="1"/>
  <c r="U726" i="1" s="1"/>
  <c r="V726" i="1" s="1"/>
  <c r="N720" i="1"/>
  <c r="O720" i="1" s="1"/>
  <c r="P720" i="1" s="1"/>
  <c r="Q720" i="1" s="1"/>
  <c r="S720" i="1" s="1"/>
  <c r="T720" i="1" s="1"/>
  <c r="M720" i="1"/>
  <c r="U720" i="1" s="1"/>
  <c r="V720" i="1" s="1"/>
  <c r="N714" i="1"/>
  <c r="O714" i="1" s="1"/>
  <c r="P714" i="1" s="1"/>
  <c r="Q714" i="1" s="1"/>
  <c r="S714" i="1" s="1"/>
  <c r="T714" i="1" s="1"/>
  <c r="M714" i="1"/>
  <c r="U714" i="1" s="1"/>
  <c r="V714" i="1" s="1"/>
  <c r="N708" i="1"/>
  <c r="O708" i="1" s="1"/>
  <c r="P708" i="1" s="1"/>
  <c r="Q708" i="1" s="1"/>
  <c r="S708" i="1" s="1"/>
  <c r="T708" i="1" s="1"/>
  <c r="M708" i="1"/>
  <c r="N702" i="1"/>
  <c r="O702" i="1" s="1"/>
  <c r="P702" i="1" s="1"/>
  <c r="Q702" i="1" s="1"/>
  <c r="S702" i="1" s="1"/>
  <c r="T702" i="1" s="1"/>
  <c r="M702" i="1"/>
  <c r="N696" i="1"/>
  <c r="O696" i="1" s="1"/>
  <c r="P696" i="1" s="1"/>
  <c r="Q696" i="1" s="1"/>
  <c r="S696" i="1" s="1"/>
  <c r="T696" i="1" s="1"/>
  <c r="M696" i="1"/>
  <c r="U696" i="1" s="1"/>
  <c r="V696" i="1" s="1"/>
  <c r="N690" i="1"/>
  <c r="O690" i="1" s="1"/>
  <c r="P690" i="1" s="1"/>
  <c r="Q690" i="1" s="1"/>
  <c r="S690" i="1" s="1"/>
  <c r="T690" i="1" s="1"/>
  <c r="M690" i="1"/>
  <c r="U690" i="1" s="1"/>
  <c r="V690" i="1" s="1"/>
  <c r="N684" i="1"/>
  <c r="O684" i="1" s="1"/>
  <c r="P684" i="1" s="1"/>
  <c r="Q684" i="1" s="1"/>
  <c r="S684" i="1" s="1"/>
  <c r="T684" i="1" s="1"/>
  <c r="U684" i="1" s="1"/>
  <c r="V684" i="1" s="1"/>
  <c r="M684" i="1"/>
  <c r="N678" i="1"/>
  <c r="O678" i="1" s="1"/>
  <c r="P678" i="1" s="1"/>
  <c r="Q678" i="1" s="1"/>
  <c r="S678" i="1" s="1"/>
  <c r="T678" i="1" s="1"/>
  <c r="M678" i="1"/>
  <c r="U678" i="1" s="1"/>
  <c r="V678" i="1" s="1"/>
  <c r="N672" i="1"/>
  <c r="O672" i="1" s="1"/>
  <c r="P672" i="1" s="1"/>
  <c r="Q672" i="1" s="1"/>
  <c r="S672" i="1" s="1"/>
  <c r="T672" i="1" s="1"/>
  <c r="M672" i="1"/>
  <c r="U672" i="1" s="1"/>
  <c r="V672" i="1" s="1"/>
  <c r="N666" i="1"/>
  <c r="O666" i="1" s="1"/>
  <c r="P666" i="1" s="1"/>
  <c r="Q666" i="1" s="1"/>
  <c r="S666" i="1" s="1"/>
  <c r="T666" i="1" s="1"/>
  <c r="M666" i="1"/>
  <c r="U666" i="1" s="1"/>
  <c r="V666" i="1" s="1"/>
  <c r="N660" i="1"/>
  <c r="O660" i="1" s="1"/>
  <c r="P660" i="1" s="1"/>
  <c r="Q660" i="1" s="1"/>
  <c r="S660" i="1" s="1"/>
  <c r="T660" i="1" s="1"/>
  <c r="M660" i="1"/>
  <c r="U660" i="1" s="1"/>
  <c r="V660" i="1" s="1"/>
  <c r="N654" i="1"/>
  <c r="O654" i="1" s="1"/>
  <c r="P654" i="1" s="1"/>
  <c r="Q654" i="1" s="1"/>
  <c r="S654" i="1" s="1"/>
  <c r="T654" i="1" s="1"/>
  <c r="M654" i="1"/>
  <c r="U654" i="1" s="1"/>
  <c r="V654" i="1" s="1"/>
  <c r="N648" i="1"/>
  <c r="O648" i="1" s="1"/>
  <c r="P648" i="1" s="1"/>
  <c r="Q648" i="1" s="1"/>
  <c r="S648" i="1" s="1"/>
  <c r="T648" i="1" s="1"/>
  <c r="U648" i="1" s="1"/>
  <c r="V648" i="1" s="1"/>
  <c r="M648" i="1"/>
  <c r="N642" i="1"/>
  <c r="O642" i="1" s="1"/>
  <c r="P642" i="1" s="1"/>
  <c r="Q642" i="1" s="1"/>
  <c r="S642" i="1" s="1"/>
  <c r="T642" i="1" s="1"/>
  <c r="M642" i="1"/>
  <c r="U642" i="1" s="1"/>
  <c r="V642" i="1" s="1"/>
  <c r="N636" i="1"/>
  <c r="O636" i="1" s="1"/>
  <c r="P636" i="1" s="1"/>
  <c r="Q636" i="1" s="1"/>
  <c r="S636" i="1" s="1"/>
  <c r="T636" i="1" s="1"/>
  <c r="M636" i="1"/>
  <c r="N630" i="1"/>
  <c r="O630" i="1" s="1"/>
  <c r="P630" i="1" s="1"/>
  <c r="Q630" i="1" s="1"/>
  <c r="S630" i="1" s="1"/>
  <c r="T630" i="1" s="1"/>
  <c r="M630" i="1"/>
  <c r="U630" i="1" s="1"/>
  <c r="V630" i="1" s="1"/>
  <c r="N624" i="1"/>
  <c r="O624" i="1" s="1"/>
  <c r="P624" i="1" s="1"/>
  <c r="Q624" i="1" s="1"/>
  <c r="S624" i="1" s="1"/>
  <c r="T624" i="1" s="1"/>
  <c r="M624" i="1"/>
  <c r="N618" i="1"/>
  <c r="O618" i="1" s="1"/>
  <c r="P618" i="1" s="1"/>
  <c r="Q618" i="1" s="1"/>
  <c r="S618" i="1" s="1"/>
  <c r="T618" i="1" s="1"/>
  <c r="M618" i="1"/>
  <c r="U618" i="1" s="1"/>
  <c r="V618" i="1" s="1"/>
  <c r="N612" i="1"/>
  <c r="O612" i="1" s="1"/>
  <c r="P612" i="1" s="1"/>
  <c r="Q612" i="1" s="1"/>
  <c r="S612" i="1" s="1"/>
  <c r="T612" i="1" s="1"/>
  <c r="M612" i="1"/>
  <c r="U612" i="1" s="1"/>
  <c r="V612" i="1" s="1"/>
  <c r="N606" i="1"/>
  <c r="O606" i="1" s="1"/>
  <c r="P606" i="1" s="1"/>
  <c r="Q606" i="1" s="1"/>
  <c r="S606" i="1" s="1"/>
  <c r="T606" i="1" s="1"/>
  <c r="M606" i="1"/>
  <c r="U606" i="1" s="1"/>
  <c r="V606" i="1" s="1"/>
  <c r="N600" i="1"/>
  <c r="O600" i="1" s="1"/>
  <c r="P600" i="1" s="1"/>
  <c r="Q600" i="1" s="1"/>
  <c r="S600" i="1" s="1"/>
  <c r="T600" i="1" s="1"/>
  <c r="M600" i="1"/>
  <c r="U600" i="1" s="1"/>
  <c r="V600" i="1" s="1"/>
  <c r="N594" i="1"/>
  <c r="O594" i="1" s="1"/>
  <c r="P594" i="1" s="1"/>
  <c r="Q594" i="1" s="1"/>
  <c r="S594" i="1" s="1"/>
  <c r="T594" i="1" s="1"/>
  <c r="M594" i="1"/>
  <c r="U594" i="1" s="1"/>
  <c r="V594" i="1" s="1"/>
  <c r="N588" i="1"/>
  <c r="O588" i="1" s="1"/>
  <c r="P588" i="1" s="1"/>
  <c r="Q588" i="1" s="1"/>
  <c r="S588" i="1" s="1"/>
  <c r="T588" i="1" s="1"/>
  <c r="M588" i="1"/>
  <c r="U588" i="1" s="1"/>
  <c r="V588" i="1" s="1"/>
  <c r="N582" i="1"/>
  <c r="O582" i="1" s="1"/>
  <c r="P582" i="1" s="1"/>
  <c r="Q582" i="1" s="1"/>
  <c r="S582" i="1" s="1"/>
  <c r="T582" i="1" s="1"/>
  <c r="M582" i="1"/>
  <c r="U582" i="1" s="1"/>
  <c r="V582" i="1" s="1"/>
  <c r="N576" i="1"/>
  <c r="O576" i="1" s="1"/>
  <c r="P576" i="1" s="1"/>
  <c r="Q576" i="1" s="1"/>
  <c r="S576" i="1" s="1"/>
  <c r="T576" i="1" s="1"/>
  <c r="U576" i="1" s="1"/>
  <c r="V576" i="1" s="1"/>
  <c r="M576" i="1"/>
  <c r="N570" i="1"/>
  <c r="O570" i="1" s="1"/>
  <c r="P570" i="1" s="1"/>
  <c r="Q570" i="1" s="1"/>
  <c r="S570" i="1" s="1"/>
  <c r="T570" i="1" s="1"/>
  <c r="M570" i="1"/>
  <c r="U570" i="1" s="1"/>
  <c r="V570" i="1" s="1"/>
  <c r="N564" i="1"/>
  <c r="O564" i="1" s="1"/>
  <c r="P564" i="1" s="1"/>
  <c r="Q564" i="1" s="1"/>
  <c r="S564" i="1" s="1"/>
  <c r="T564" i="1" s="1"/>
  <c r="M564" i="1"/>
  <c r="U564" i="1" s="1"/>
  <c r="V564" i="1" s="1"/>
  <c r="N558" i="1"/>
  <c r="O558" i="1" s="1"/>
  <c r="P558" i="1" s="1"/>
  <c r="Q558" i="1" s="1"/>
  <c r="S558" i="1" s="1"/>
  <c r="T558" i="1" s="1"/>
  <c r="U558" i="1" s="1"/>
  <c r="V558" i="1" s="1"/>
  <c r="M558" i="1"/>
  <c r="N552" i="1"/>
  <c r="O552" i="1" s="1"/>
  <c r="P552" i="1" s="1"/>
  <c r="Q552" i="1" s="1"/>
  <c r="S552" i="1" s="1"/>
  <c r="T552" i="1" s="1"/>
  <c r="M552" i="1"/>
  <c r="U552" i="1" s="1"/>
  <c r="V552" i="1" s="1"/>
  <c r="N546" i="1"/>
  <c r="O546" i="1" s="1"/>
  <c r="P546" i="1" s="1"/>
  <c r="Q546" i="1" s="1"/>
  <c r="S546" i="1" s="1"/>
  <c r="T546" i="1" s="1"/>
  <c r="M546" i="1"/>
  <c r="N540" i="1"/>
  <c r="O540" i="1" s="1"/>
  <c r="P540" i="1" s="1"/>
  <c r="Q540" i="1" s="1"/>
  <c r="S540" i="1" s="1"/>
  <c r="T540" i="1" s="1"/>
  <c r="M540" i="1"/>
  <c r="U540" i="1" s="1"/>
  <c r="V540" i="1" s="1"/>
  <c r="N534" i="1"/>
  <c r="O534" i="1" s="1"/>
  <c r="P534" i="1" s="1"/>
  <c r="Q534" i="1" s="1"/>
  <c r="S534" i="1" s="1"/>
  <c r="T534" i="1" s="1"/>
  <c r="M534" i="1"/>
  <c r="U534" i="1" s="1"/>
  <c r="V534" i="1" s="1"/>
  <c r="N528" i="1"/>
  <c r="O528" i="1" s="1"/>
  <c r="P528" i="1" s="1"/>
  <c r="Q528" i="1" s="1"/>
  <c r="S528" i="1" s="1"/>
  <c r="T528" i="1" s="1"/>
  <c r="M528" i="1"/>
  <c r="U528" i="1" s="1"/>
  <c r="V528" i="1" s="1"/>
  <c r="N522" i="1"/>
  <c r="O522" i="1" s="1"/>
  <c r="P522" i="1" s="1"/>
  <c r="Q522" i="1" s="1"/>
  <c r="S522" i="1" s="1"/>
  <c r="T522" i="1" s="1"/>
  <c r="M522" i="1"/>
  <c r="U522" i="1" s="1"/>
  <c r="V522" i="1" s="1"/>
  <c r="N516" i="1"/>
  <c r="O516" i="1" s="1"/>
  <c r="P516" i="1" s="1"/>
  <c r="Q516" i="1" s="1"/>
  <c r="S516" i="1" s="1"/>
  <c r="T516" i="1" s="1"/>
  <c r="M516" i="1"/>
  <c r="U516" i="1" s="1"/>
  <c r="V516" i="1" s="1"/>
  <c r="N510" i="1"/>
  <c r="O510" i="1" s="1"/>
  <c r="P510" i="1" s="1"/>
  <c r="Q510" i="1" s="1"/>
  <c r="S510" i="1" s="1"/>
  <c r="T510" i="1" s="1"/>
  <c r="M510" i="1"/>
  <c r="U510" i="1" s="1"/>
  <c r="V510" i="1" s="1"/>
  <c r="N504" i="1"/>
  <c r="O504" i="1" s="1"/>
  <c r="P504" i="1" s="1"/>
  <c r="Q504" i="1" s="1"/>
  <c r="S504" i="1" s="1"/>
  <c r="T504" i="1" s="1"/>
  <c r="M504" i="1"/>
  <c r="U504" i="1" s="1"/>
  <c r="V504" i="1" s="1"/>
  <c r="N498" i="1"/>
  <c r="O498" i="1" s="1"/>
  <c r="P498" i="1" s="1"/>
  <c r="Q498" i="1" s="1"/>
  <c r="S498" i="1" s="1"/>
  <c r="T498" i="1" s="1"/>
  <c r="M498" i="1"/>
  <c r="U498" i="1" s="1"/>
  <c r="V498" i="1" s="1"/>
  <c r="N492" i="1"/>
  <c r="O492" i="1" s="1"/>
  <c r="P492" i="1" s="1"/>
  <c r="Q492" i="1" s="1"/>
  <c r="S492" i="1" s="1"/>
  <c r="T492" i="1" s="1"/>
  <c r="M492" i="1"/>
  <c r="U492" i="1" s="1"/>
  <c r="V492" i="1" s="1"/>
  <c r="N486" i="1"/>
  <c r="O486" i="1" s="1"/>
  <c r="P486" i="1" s="1"/>
  <c r="Q486" i="1" s="1"/>
  <c r="S486" i="1" s="1"/>
  <c r="T486" i="1" s="1"/>
  <c r="M486" i="1"/>
  <c r="U486" i="1" s="1"/>
  <c r="V486" i="1" s="1"/>
  <c r="N480" i="1"/>
  <c r="O480" i="1" s="1"/>
  <c r="P480" i="1" s="1"/>
  <c r="Q480" i="1" s="1"/>
  <c r="S480" i="1" s="1"/>
  <c r="T480" i="1" s="1"/>
  <c r="M480" i="1"/>
  <c r="U480" i="1" s="1"/>
  <c r="V480" i="1" s="1"/>
  <c r="N474" i="1"/>
  <c r="O474" i="1" s="1"/>
  <c r="P474" i="1" s="1"/>
  <c r="Q474" i="1" s="1"/>
  <c r="S474" i="1" s="1"/>
  <c r="T474" i="1" s="1"/>
  <c r="M474" i="1"/>
  <c r="U474" i="1" s="1"/>
  <c r="V474" i="1" s="1"/>
  <c r="N468" i="1"/>
  <c r="O468" i="1" s="1"/>
  <c r="P468" i="1" s="1"/>
  <c r="Q468" i="1" s="1"/>
  <c r="S468" i="1" s="1"/>
  <c r="T468" i="1" s="1"/>
  <c r="U468" i="1" s="1"/>
  <c r="V468" i="1" s="1"/>
  <c r="M468" i="1"/>
  <c r="N462" i="1"/>
  <c r="O462" i="1" s="1"/>
  <c r="P462" i="1" s="1"/>
  <c r="Q462" i="1" s="1"/>
  <c r="S462" i="1" s="1"/>
  <c r="T462" i="1" s="1"/>
  <c r="M462" i="1"/>
  <c r="U462" i="1" s="1"/>
  <c r="V462" i="1" s="1"/>
  <c r="N456" i="1"/>
  <c r="O456" i="1" s="1"/>
  <c r="P456" i="1" s="1"/>
  <c r="Q456" i="1" s="1"/>
  <c r="S456" i="1" s="1"/>
  <c r="T456" i="1" s="1"/>
  <c r="M456" i="1"/>
  <c r="U456" i="1" s="1"/>
  <c r="V456" i="1" s="1"/>
  <c r="N450" i="1"/>
  <c r="O450" i="1" s="1"/>
  <c r="P450" i="1" s="1"/>
  <c r="Q450" i="1" s="1"/>
  <c r="S450" i="1" s="1"/>
  <c r="T450" i="1" s="1"/>
  <c r="U450" i="1" s="1"/>
  <c r="V450" i="1" s="1"/>
  <c r="M450" i="1"/>
  <c r="N444" i="1"/>
  <c r="O444" i="1" s="1"/>
  <c r="P444" i="1" s="1"/>
  <c r="Q444" i="1" s="1"/>
  <c r="S444" i="1" s="1"/>
  <c r="T444" i="1" s="1"/>
  <c r="M444" i="1"/>
  <c r="U444" i="1" s="1"/>
  <c r="V444" i="1" s="1"/>
  <c r="N438" i="1"/>
  <c r="O438" i="1" s="1"/>
  <c r="P438" i="1" s="1"/>
  <c r="Q438" i="1" s="1"/>
  <c r="S438" i="1" s="1"/>
  <c r="T438" i="1" s="1"/>
  <c r="M438" i="1"/>
  <c r="U438" i="1" s="1"/>
  <c r="V438" i="1" s="1"/>
  <c r="N432" i="1"/>
  <c r="O432" i="1" s="1"/>
  <c r="P432" i="1" s="1"/>
  <c r="Q432" i="1" s="1"/>
  <c r="S432" i="1" s="1"/>
  <c r="T432" i="1" s="1"/>
  <c r="U432" i="1" s="1"/>
  <c r="V432" i="1" s="1"/>
  <c r="M432" i="1"/>
  <c r="N426" i="1"/>
  <c r="O426" i="1" s="1"/>
  <c r="P426" i="1" s="1"/>
  <c r="Q426" i="1" s="1"/>
  <c r="S426" i="1" s="1"/>
  <c r="T426" i="1" s="1"/>
  <c r="U426" i="1" s="1"/>
  <c r="V426" i="1" s="1"/>
  <c r="M426" i="1"/>
  <c r="N420" i="1"/>
  <c r="O420" i="1" s="1"/>
  <c r="P420" i="1" s="1"/>
  <c r="Q420" i="1" s="1"/>
  <c r="S420" i="1" s="1"/>
  <c r="T420" i="1" s="1"/>
  <c r="M420" i="1"/>
  <c r="N414" i="1"/>
  <c r="O414" i="1" s="1"/>
  <c r="P414" i="1" s="1"/>
  <c r="Q414" i="1" s="1"/>
  <c r="S414" i="1" s="1"/>
  <c r="T414" i="1" s="1"/>
  <c r="M414" i="1"/>
  <c r="U414" i="1" s="1"/>
  <c r="V414" i="1" s="1"/>
  <c r="N408" i="1"/>
  <c r="O408" i="1" s="1"/>
  <c r="P408" i="1" s="1"/>
  <c r="Q408" i="1" s="1"/>
  <c r="S408" i="1" s="1"/>
  <c r="T408" i="1" s="1"/>
  <c r="M408" i="1"/>
  <c r="U408" i="1" s="1"/>
  <c r="V408" i="1" s="1"/>
  <c r="N402" i="1"/>
  <c r="O402" i="1" s="1"/>
  <c r="P402" i="1" s="1"/>
  <c r="Q402" i="1" s="1"/>
  <c r="S402" i="1" s="1"/>
  <c r="T402" i="1" s="1"/>
  <c r="M402" i="1"/>
  <c r="N396" i="1"/>
  <c r="O396" i="1" s="1"/>
  <c r="P396" i="1" s="1"/>
  <c r="Q396" i="1" s="1"/>
  <c r="S396" i="1" s="1"/>
  <c r="T396" i="1" s="1"/>
  <c r="U396" i="1" s="1"/>
  <c r="V396" i="1" s="1"/>
  <c r="M396" i="1"/>
  <c r="N390" i="1"/>
  <c r="O390" i="1" s="1"/>
  <c r="P390" i="1" s="1"/>
  <c r="Q390" i="1" s="1"/>
  <c r="S390" i="1" s="1"/>
  <c r="T390" i="1" s="1"/>
  <c r="M390" i="1"/>
  <c r="N384" i="1"/>
  <c r="O384" i="1" s="1"/>
  <c r="P384" i="1" s="1"/>
  <c r="Q384" i="1" s="1"/>
  <c r="S384" i="1" s="1"/>
  <c r="T384" i="1" s="1"/>
  <c r="M384" i="1"/>
  <c r="N378" i="1"/>
  <c r="O378" i="1" s="1"/>
  <c r="P378" i="1" s="1"/>
  <c r="Q378" i="1" s="1"/>
  <c r="S378" i="1" s="1"/>
  <c r="T378" i="1" s="1"/>
  <c r="M378" i="1"/>
  <c r="U378" i="1" s="1"/>
  <c r="V378" i="1" s="1"/>
  <c r="N372" i="1"/>
  <c r="O372" i="1" s="1"/>
  <c r="P372" i="1" s="1"/>
  <c r="Q372" i="1" s="1"/>
  <c r="S372" i="1" s="1"/>
  <c r="T372" i="1" s="1"/>
  <c r="M372" i="1"/>
  <c r="N366" i="1"/>
  <c r="O366" i="1" s="1"/>
  <c r="P366" i="1" s="1"/>
  <c r="Q366" i="1" s="1"/>
  <c r="S366" i="1" s="1"/>
  <c r="T366" i="1" s="1"/>
  <c r="M366" i="1"/>
  <c r="U366" i="1" s="1"/>
  <c r="V366" i="1" s="1"/>
  <c r="N360" i="1"/>
  <c r="O360" i="1" s="1"/>
  <c r="P360" i="1" s="1"/>
  <c r="Q360" i="1" s="1"/>
  <c r="S360" i="1" s="1"/>
  <c r="T360" i="1" s="1"/>
  <c r="M360" i="1"/>
  <c r="U360" i="1" s="1"/>
  <c r="V360" i="1" s="1"/>
  <c r="N354" i="1"/>
  <c r="O354" i="1" s="1"/>
  <c r="P354" i="1" s="1"/>
  <c r="Q354" i="1" s="1"/>
  <c r="S354" i="1" s="1"/>
  <c r="T354" i="1" s="1"/>
  <c r="M354" i="1"/>
  <c r="U354" i="1" s="1"/>
  <c r="V354" i="1" s="1"/>
  <c r="N348" i="1"/>
  <c r="O348" i="1" s="1"/>
  <c r="P348" i="1" s="1"/>
  <c r="Q348" i="1" s="1"/>
  <c r="S348" i="1" s="1"/>
  <c r="T348" i="1" s="1"/>
  <c r="M348" i="1"/>
  <c r="U348" i="1" s="1"/>
  <c r="V348" i="1" s="1"/>
  <c r="N342" i="1"/>
  <c r="O342" i="1" s="1"/>
  <c r="P342" i="1" s="1"/>
  <c r="Q342" i="1" s="1"/>
  <c r="S342" i="1" s="1"/>
  <c r="T342" i="1" s="1"/>
  <c r="M342" i="1"/>
  <c r="U342" i="1" s="1"/>
  <c r="V342" i="1" s="1"/>
  <c r="N336" i="1"/>
  <c r="O336" i="1" s="1"/>
  <c r="P336" i="1" s="1"/>
  <c r="Q336" i="1" s="1"/>
  <c r="S336" i="1" s="1"/>
  <c r="T336" i="1" s="1"/>
  <c r="U336" i="1" s="1"/>
  <c r="V336" i="1" s="1"/>
  <c r="M336" i="1"/>
  <c r="N330" i="1"/>
  <c r="O330" i="1" s="1"/>
  <c r="P330" i="1" s="1"/>
  <c r="Q330" i="1" s="1"/>
  <c r="S330" i="1" s="1"/>
  <c r="T330" i="1" s="1"/>
  <c r="M330" i="1"/>
  <c r="U330" i="1" s="1"/>
  <c r="V330" i="1" s="1"/>
  <c r="N324" i="1"/>
  <c r="O324" i="1" s="1"/>
  <c r="P324" i="1" s="1"/>
  <c r="Q324" i="1" s="1"/>
  <c r="S324" i="1" s="1"/>
  <c r="T324" i="1" s="1"/>
  <c r="M324" i="1"/>
  <c r="U324" i="1" s="1"/>
  <c r="V324" i="1" s="1"/>
  <c r="N318" i="1"/>
  <c r="O318" i="1" s="1"/>
  <c r="P318" i="1" s="1"/>
  <c r="Q318" i="1" s="1"/>
  <c r="S318" i="1" s="1"/>
  <c r="T318" i="1" s="1"/>
  <c r="M318" i="1"/>
  <c r="U318" i="1" s="1"/>
  <c r="V318" i="1" s="1"/>
  <c r="N312" i="1"/>
  <c r="O312" i="1" s="1"/>
  <c r="P312" i="1" s="1"/>
  <c r="Q312" i="1" s="1"/>
  <c r="S312" i="1" s="1"/>
  <c r="T312" i="1" s="1"/>
  <c r="M312" i="1"/>
  <c r="U312" i="1" s="1"/>
  <c r="V312" i="1" s="1"/>
  <c r="N306" i="1"/>
  <c r="O306" i="1" s="1"/>
  <c r="P306" i="1" s="1"/>
  <c r="Q306" i="1" s="1"/>
  <c r="S306" i="1" s="1"/>
  <c r="T306" i="1" s="1"/>
  <c r="M306" i="1"/>
  <c r="U306" i="1" s="1"/>
  <c r="V306" i="1" s="1"/>
  <c r="N300" i="1"/>
  <c r="O300" i="1" s="1"/>
  <c r="P300" i="1" s="1"/>
  <c r="Q300" i="1" s="1"/>
  <c r="S300" i="1" s="1"/>
  <c r="T300" i="1" s="1"/>
  <c r="U300" i="1" s="1"/>
  <c r="V300" i="1" s="1"/>
  <c r="M300" i="1"/>
  <c r="N294" i="1"/>
  <c r="O294" i="1" s="1"/>
  <c r="P294" i="1" s="1"/>
  <c r="Q294" i="1" s="1"/>
  <c r="S294" i="1" s="1"/>
  <c r="T294" i="1" s="1"/>
  <c r="M294" i="1"/>
  <c r="U294" i="1" s="1"/>
  <c r="V294" i="1" s="1"/>
  <c r="N288" i="1"/>
  <c r="O288" i="1" s="1"/>
  <c r="P288" i="1" s="1"/>
  <c r="Q288" i="1" s="1"/>
  <c r="S288" i="1" s="1"/>
  <c r="T288" i="1" s="1"/>
  <c r="M288" i="1"/>
  <c r="U288" i="1" s="1"/>
  <c r="V288" i="1" s="1"/>
  <c r="N282" i="1"/>
  <c r="O282" i="1" s="1"/>
  <c r="P282" i="1" s="1"/>
  <c r="Q282" i="1" s="1"/>
  <c r="S282" i="1" s="1"/>
  <c r="T282" i="1" s="1"/>
  <c r="M282" i="1"/>
  <c r="U282" i="1" s="1"/>
  <c r="V282" i="1" s="1"/>
  <c r="N276" i="1"/>
  <c r="O276" i="1" s="1"/>
  <c r="P276" i="1" s="1"/>
  <c r="Q276" i="1" s="1"/>
  <c r="S276" i="1" s="1"/>
  <c r="T276" i="1" s="1"/>
  <c r="M276" i="1"/>
  <c r="U276" i="1" s="1"/>
  <c r="V276" i="1" s="1"/>
  <c r="N270" i="1"/>
  <c r="O270" i="1" s="1"/>
  <c r="P270" i="1" s="1"/>
  <c r="Q270" i="1" s="1"/>
  <c r="S270" i="1" s="1"/>
  <c r="T270" i="1" s="1"/>
  <c r="M270" i="1"/>
  <c r="U270" i="1" s="1"/>
  <c r="V270" i="1" s="1"/>
  <c r="N264" i="1"/>
  <c r="O264" i="1" s="1"/>
  <c r="P264" i="1" s="1"/>
  <c r="Q264" i="1" s="1"/>
  <c r="S264" i="1" s="1"/>
  <c r="T264" i="1" s="1"/>
  <c r="M264" i="1"/>
  <c r="U264" i="1" s="1"/>
  <c r="V264" i="1" s="1"/>
  <c r="N258" i="1"/>
  <c r="O258" i="1" s="1"/>
  <c r="P258" i="1" s="1"/>
  <c r="Q258" i="1" s="1"/>
  <c r="S258" i="1" s="1"/>
  <c r="T258" i="1" s="1"/>
  <c r="M258" i="1"/>
  <c r="N252" i="1"/>
  <c r="O252" i="1" s="1"/>
  <c r="P252" i="1" s="1"/>
  <c r="Q252" i="1" s="1"/>
  <c r="S252" i="1" s="1"/>
  <c r="T252" i="1" s="1"/>
  <c r="U252" i="1" s="1"/>
  <c r="V252" i="1" s="1"/>
  <c r="M252" i="1"/>
  <c r="N246" i="1"/>
  <c r="O246" i="1" s="1"/>
  <c r="P246" i="1" s="1"/>
  <c r="Q246" i="1" s="1"/>
  <c r="S246" i="1" s="1"/>
  <c r="T246" i="1" s="1"/>
  <c r="M246" i="1"/>
  <c r="N240" i="1"/>
  <c r="O240" i="1" s="1"/>
  <c r="P240" i="1" s="1"/>
  <c r="Q240" i="1" s="1"/>
  <c r="S240" i="1" s="1"/>
  <c r="T240" i="1" s="1"/>
  <c r="M240" i="1"/>
  <c r="U240" i="1" s="1"/>
  <c r="V240" i="1" s="1"/>
  <c r="N234" i="1"/>
  <c r="O234" i="1" s="1"/>
  <c r="P234" i="1" s="1"/>
  <c r="Q234" i="1" s="1"/>
  <c r="S234" i="1" s="1"/>
  <c r="T234" i="1" s="1"/>
  <c r="M234" i="1"/>
  <c r="U234" i="1" s="1"/>
  <c r="V234" i="1" s="1"/>
  <c r="N228" i="1"/>
  <c r="O228" i="1" s="1"/>
  <c r="P228" i="1" s="1"/>
  <c r="Q228" i="1" s="1"/>
  <c r="S228" i="1" s="1"/>
  <c r="T228" i="1" s="1"/>
  <c r="M228" i="1"/>
  <c r="U228" i="1" s="1"/>
  <c r="V228" i="1" s="1"/>
  <c r="N222" i="1"/>
  <c r="O222" i="1" s="1"/>
  <c r="P222" i="1" s="1"/>
  <c r="Q222" i="1" s="1"/>
  <c r="S222" i="1" s="1"/>
  <c r="T222" i="1" s="1"/>
  <c r="M222" i="1"/>
  <c r="U222" i="1" s="1"/>
  <c r="V222" i="1" s="1"/>
  <c r="N216" i="1"/>
  <c r="O216" i="1" s="1"/>
  <c r="P216" i="1" s="1"/>
  <c r="Q216" i="1" s="1"/>
  <c r="S216" i="1" s="1"/>
  <c r="T216" i="1" s="1"/>
  <c r="U216" i="1" s="1"/>
  <c r="V216" i="1" s="1"/>
  <c r="M216" i="1"/>
  <c r="N210" i="1"/>
  <c r="O210" i="1" s="1"/>
  <c r="P210" i="1" s="1"/>
  <c r="Q210" i="1" s="1"/>
  <c r="S210" i="1" s="1"/>
  <c r="T210" i="1" s="1"/>
  <c r="M210" i="1"/>
  <c r="N204" i="1"/>
  <c r="O204" i="1" s="1"/>
  <c r="P204" i="1" s="1"/>
  <c r="Q204" i="1" s="1"/>
  <c r="S204" i="1" s="1"/>
  <c r="T204" i="1" s="1"/>
  <c r="M204" i="1"/>
  <c r="U204" i="1" s="1"/>
  <c r="V204" i="1" s="1"/>
  <c r="N198" i="1"/>
  <c r="O198" i="1" s="1"/>
  <c r="P198" i="1" s="1"/>
  <c r="Q198" i="1" s="1"/>
  <c r="S198" i="1" s="1"/>
  <c r="T198" i="1" s="1"/>
  <c r="M198" i="1"/>
  <c r="U198" i="1" s="1"/>
  <c r="V198" i="1" s="1"/>
  <c r="N192" i="1"/>
  <c r="O192" i="1" s="1"/>
  <c r="P192" i="1" s="1"/>
  <c r="Q192" i="1" s="1"/>
  <c r="S192" i="1" s="1"/>
  <c r="T192" i="1" s="1"/>
  <c r="M192" i="1"/>
  <c r="U192" i="1" s="1"/>
  <c r="V192" i="1" s="1"/>
  <c r="N186" i="1"/>
  <c r="O186" i="1" s="1"/>
  <c r="P186" i="1" s="1"/>
  <c r="Q186" i="1" s="1"/>
  <c r="S186" i="1" s="1"/>
  <c r="T186" i="1" s="1"/>
  <c r="M186" i="1"/>
  <c r="U186" i="1" s="1"/>
  <c r="V186" i="1" s="1"/>
  <c r="N180" i="1"/>
  <c r="O180" i="1" s="1"/>
  <c r="P180" i="1" s="1"/>
  <c r="Q180" i="1" s="1"/>
  <c r="S180" i="1" s="1"/>
  <c r="T180" i="1" s="1"/>
  <c r="M180" i="1"/>
  <c r="U180" i="1" s="1"/>
  <c r="V180" i="1" s="1"/>
  <c r="N174" i="1"/>
  <c r="O174" i="1" s="1"/>
  <c r="P174" i="1" s="1"/>
  <c r="Q174" i="1" s="1"/>
  <c r="S174" i="1" s="1"/>
  <c r="T174" i="1" s="1"/>
  <c r="M174" i="1"/>
  <c r="N168" i="1"/>
  <c r="O168" i="1" s="1"/>
  <c r="P168" i="1" s="1"/>
  <c r="Q168" i="1" s="1"/>
  <c r="S168" i="1" s="1"/>
  <c r="T168" i="1" s="1"/>
  <c r="M168" i="1"/>
  <c r="N162" i="1"/>
  <c r="O162" i="1" s="1"/>
  <c r="P162" i="1" s="1"/>
  <c r="Q162" i="1" s="1"/>
  <c r="S162" i="1" s="1"/>
  <c r="T162" i="1" s="1"/>
  <c r="U162" i="1" s="1"/>
  <c r="V162" i="1" s="1"/>
  <c r="M162" i="1"/>
  <c r="N156" i="1"/>
  <c r="O156" i="1" s="1"/>
  <c r="P156" i="1" s="1"/>
  <c r="Q156" i="1" s="1"/>
  <c r="S156" i="1" s="1"/>
  <c r="T156" i="1" s="1"/>
  <c r="M156" i="1"/>
  <c r="U156" i="1" s="1"/>
  <c r="V156" i="1" s="1"/>
  <c r="N150" i="1"/>
  <c r="O150" i="1" s="1"/>
  <c r="P150" i="1" s="1"/>
  <c r="Q150" i="1" s="1"/>
  <c r="S150" i="1" s="1"/>
  <c r="T150" i="1" s="1"/>
  <c r="M150" i="1"/>
  <c r="U150" i="1" s="1"/>
  <c r="V150" i="1" s="1"/>
  <c r="N144" i="1"/>
  <c r="O144" i="1" s="1"/>
  <c r="P144" i="1" s="1"/>
  <c r="Q144" i="1" s="1"/>
  <c r="S144" i="1" s="1"/>
  <c r="T144" i="1" s="1"/>
  <c r="M144" i="1"/>
  <c r="U144" i="1" s="1"/>
  <c r="V144" i="1" s="1"/>
  <c r="N138" i="1"/>
  <c r="O138" i="1" s="1"/>
  <c r="P138" i="1" s="1"/>
  <c r="Q138" i="1" s="1"/>
  <c r="S138" i="1" s="1"/>
  <c r="T138" i="1" s="1"/>
  <c r="M138" i="1"/>
  <c r="U138" i="1" s="1"/>
  <c r="V138" i="1" s="1"/>
  <c r="N132" i="1"/>
  <c r="O132" i="1" s="1"/>
  <c r="P132" i="1" s="1"/>
  <c r="Q132" i="1" s="1"/>
  <c r="S132" i="1" s="1"/>
  <c r="T132" i="1" s="1"/>
  <c r="M132" i="1"/>
  <c r="U132" i="1" s="1"/>
  <c r="V132" i="1" s="1"/>
  <c r="N126" i="1"/>
  <c r="O126" i="1" s="1"/>
  <c r="P126" i="1" s="1"/>
  <c r="Q126" i="1" s="1"/>
  <c r="S126" i="1" s="1"/>
  <c r="T126" i="1" s="1"/>
  <c r="U126" i="1" s="1"/>
  <c r="V126" i="1" s="1"/>
  <c r="M126" i="1"/>
  <c r="N120" i="1"/>
  <c r="O120" i="1" s="1"/>
  <c r="P120" i="1" s="1"/>
  <c r="Q120" i="1" s="1"/>
  <c r="S120" i="1" s="1"/>
  <c r="T120" i="1" s="1"/>
  <c r="M120" i="1"/>
  <c r="U120" i="1" s="1"/>
  <c r="V120" i="1" s="1"/>
  <c r="N114" i="1"/>
  <c r="O114" i="1" s="1"/>
  <c r="P114" i="1" s="1"/>
  <c r="Q114" i="1" s="1"/>
  <c r="S114" i="1" s="1"/>
  <c r="T114" i="1" s="1"/>
  <c r="M114" i="1"/>
  <c r="U114" i="1" s="1"/>
  <c r="V114" i="1" s="1"/>
  <c r="N108" i="1"/>
  <c r="O108" i="1" s="1"/>
  <c r="P108" i="1" s="1"/>
  <c r="Q108" i="1" s="1"/>
  <c r="S108" i="1" s="1"/>
  <c r="T108" i="1" s="1"/>
  <c r="M108" i="1"/>
  <c r="U108" i="1" s="1"/>
  <c r="V108" i="1" s="1"/>
  <c r="N102" i="1"/>
  <c r="O102" i="1" s="1"/>
  <c r="P102" i="1" s="1"/>
  <c r="Q102" i="1" s="1"/>
  <c r="S102" i="1" s="1"/>
  <c r="T102" i="1" s="1"/>
  <c r="M102" i="1"/>
  <c r="U102" i="1" s="1"/>
  <c r="V102" i="1" s="1"/>
  <c r="N96" i="1"/>
  <c r="O96" i="1" s="1"/>
  <c r="P96" i="1" s="1"/>
  <c r="Q96" i="1" s="1"/>
  <c r="S96" i="1" s="1"/>
  <c r="T96" i="1" s="1"/>
  <c r="M96" i="1"/>
  <c r="U96" i="1" s="1"/>
  <c r="V96" i="1" s="1"/>
  <c r="N90" i="1"/>
  <c r="O90" i="1" s="1"/>
  <c r="P90" i="1" s="1"/>
  <c r="Q90" i="1" s="1"/>
  <c r="S90" i="1" s="1"/>
  <c r="T90" i="1" s="1"/>
  <c r="M90" i="1"/>
  <c r="U90" i="1" s="1"/>
  <c r="V90" i="1" s="1"/>
  <c r="N84" i="1"/>
  <c r="O84" i="1" s="1"/>
  <c r="P84" i="1" s="1"/>
  <c r="Q84" i="1" s="1"/>
  <c r="S84" i="1" s="1"/>
  <c r="T84" i="1" s="1"/>
  <c r="M84" i="1"/>
  <c r="U84" i="1" s="1"/>
  <c r="V84" i="1" s="1"/>
  <c r="N78" i="1"/>
  <c r="O78" i="1" s="1"/>
  <c r="P78" i="1" s="1"/>
  <c r="Q78" i="1" s="1"/>
  <c r="S78" i="1" s="1"/>
  <c r="T78" i="1" s="1"/>
  <c r="M78" i="1"/>
  <c r="U78" i="1" s="1"/>
  <c r="V78" i="1" s="1"/>
  <c r="N72" i="1"/>
  <c r="O72" i="1" s="1"/>
  <c r="P72" i="1" s="1"/>
  <c r="Q72" i="1" s="1"/>
  <c r="S72" i="1" s="1"/>
  <c r="T72" i="1" s="1"/>
  <c r="M72" i="1"/>
  <c r="U72" i="1" s="1"/>
  <c r="V72" i="1" s="1"/>
  <c r="N66" i="1"/>
  <c r="O66" i="1" s="1"/>
  <c r="P66" i="1" s="1"/>
  <c r="Q66" i="1" s="1"/>
  <c r="S66" i="1" s="1"/>
  <c r="T66" i="1" s="1"/>
  <c r="M66" i="1"/>
  <c r="U66" i="1" s="1"/>
  <c r="V66" i="1" s="1"/>
  <c r="N60" i="1"/>
  <c r="O60" i="1" s="1"/>
  <c r="P60" i="1" s="1"/>
  <c r="Q60" i="1" s="1"/>
  <c r="S60" i="1" s="1"/>
  <c r="T60" i="1" s="1"/>
  <c r="M60" i="1"/>
  <c r="U60" i="1" s="1"/>
  <c r="V60" i="1" s="1"/>
  <c r="N54" i="1"/>
  <c r="O54" i="1" s="1"/>
  <c r="P54" i="1" s="1"/>
  <c r="Q54" i="1" s="1"/>
  <c r="S54" i="1" s="1"/>
  <c r="T54" i="1" s="1"/>
  <c r="U54" i="1" s="1"/>
  <c r="V54" i="1" s="1"/>
  <c r="M54" i="1"/>
  <c r="N48" i="1"/>
  <c r="O48" i="1" s="1"/>
  <c r="P48" i="1" s="1"/>
  <c r="Q48" i="1" s="1"/>
  <c r="S48" i="1" s="1"/>
  <c r="T48" i="1" s="1"/>
  <c r="M48" i="1"/>
  <c r="U48" i="1" s="1"/>
  <c r="V48" i="1" s="1"/>
  <c r="N42" i="1"/>
  <c r="O42" i="1" s="1"/>
  <c r="P42" i="1" s="1"/>
  <c r="Q42" i="1" s="1"/>
  <c r="S42" i="1" s="1"/>
  <c r="T42" i="1" s="1"/>
  <c r="M42" i="1"/>
  <c r="N36" i="1"/>
  <c r="O36" i="1" s="1"/>
  <c r="P36" i="1" s="1"/>
  <c r="Q36" i="1" s="1"/>
  <c r="S36" i="1" s="1"/>
  <c r="T36" i="1" s="1"/>
  <c r="M36" i="1"/>
  <c r="U36" i="1" s="1"/>
  <c r="V36" i="1" s="1"/>
  <c r="N30" i="1"/>
  <c r="O30" i="1" s="1"/>
  <c r="P30" i="1" s="1"/>
  <c r="Q30" i="1" s="1"/>
  <c r="S30" i="1" s="1"/>
  <c r="T30" i="1" s="1"/>
  <c r="U30" i="1" s="1"/>
  <c r="V30" i="1" s="1"/>
  <c r="M30" i="1"/>
  <c r="M1005" i="1"/>
  <c r="U1005" i="1" s="1"/>
  <c r="V1005" i="1" s="1"/>
  <c r="M993" i="1"/>
  <c r="U993" i="1" s="1"/>
  <c r="V993" i="1" s="1"/>
  <c r="M981" i="1"/>
  <c r="U981" i="1" s="1"/>
  <c r="V981" i="1" s="1"/>
  <c r="M966" i="1"/>
  <c r="M948" i="1"/>
  <c r="U948" i="1" s="1"/>
  <c r="V948" i="1" s="1"/>
  <c r="M921" i="1"/>
  <c r="U921" i="1" s="1"/>
  <c r="V921" i="1" s="1"/>
  <c r="M894" i="1"/>
  <c r="U894" i="1" s="1"/>
  <c r="V894" i="1" s="1"/>
  <c r="M867" i="1"/>
  <c r="U867" i="1" s="1"/>
  <c r="V867" i="1" s="1"/>
  <c r="N1002" i="1"/>
  <c r="O1002" i="1" s="1"/>
  <c r="P1002" i="1" s="1"/>
  <c r="Q1002" i="1" s="1"/>
  <c r="S1002" i="1" s="1"/>
  <c r="T1002" i="1" s="1"/>
  <c r="M1002" i="1"/>
  <c r="U1002" i="1" s="1"/>
  <c r="V1002" i="1" s="1"/>
  <c r="N996" i="1"/>
  <c r="O996" i="1" s="1"/>
  <c r="P996" i="1" s="1"/>
  <c r="Q996" i="1" s="1"/>
  <c r="S996" i="1" s="1"/>
  <c r="T996" i="1" s="1"/>
  <c r="M996" i="1"/>
  <c r="U996" i="1" s="1"/>
  <c r="V996" i="1" s="1"/>
  <c r="N990" i="1"/>
  <c r="O990" i="1" s="1"/>
  <c r="P990" i="1" s="1"/>
  <c r="Q990" i="1" s="1"/>
  <c r="S990" i="1" s="1"/>
  <c r="T990" i="1" s="1"/>
  <c r="M990" i="1"/>
  <c r="N942" i="1"/>
  <c r="O942" i="1" s="1"/>
  <c r="P942" i="1" s="1"/>
  <c r="Q942" i="1" s="1"/>
  <c r="S942" i="1" s="1"/>
  <c r="T942" i="1" s="1"/>
  <c r="M942" i="1"/>
  <c r="U942" i="1" s="1"/>
  <c r="V942" i="1" s="1"/>
  <c r="N870" i="1"/>
  <c r="O870" i="1" s="1"/>
  <c r="P870" i="1" s="1"/>
  <c r="Q870" i="1" s="1"/>
  <c r="S870" i="1" s="1"/>
  <c r="T870" i="1" s="1"/>
  <c r="U870" i="1" s="1"/>
  <c r="V870" i="1" s="1"/>
  <c r="M870" i="1"/>
  <c r="O1003" i="1"/>
  <c r="P1003" i="1" s="1"/>
  <c r="Q1003" i="1" s="1"/>
  <c r="S1003" i="1" s="1"/>
  <c r="T1003" i="1" s="1"/>
  <c r="O997" i="1"/>
  <c r="P997" i="1" s="1"/>
  <c r="Q997" i="1" s="1"/>
  <c r="S997" i="1" s="1"/>
  <c r="T997" i="1" s="1"/>
  <c r="O991" i="1"/>
  <c r="P991" i="1" s="1"/>
  <c r="Q991" i="1" s="1"/>
  <c r="S991" i="1" s="1"/>
  <c r="T991" i="1" s="1"/>
  <c r="O985" i="1"/>
  <c r="P985" i="1" s="1"/>
  <c r="Q985" i="1" s="1"/>
  <c r="S985" i="1" s="1"/>
  <c r="T985" i="1" s="1"/>
  <c r="O979" i="1"/>
  <c r="P979" i="1" s="1"/>
  <c r="Q979" i="1" s="1"/>
  <c r="S979" i="1" s="1"/>
  <c r="T979" i="1" s="1"/>
  <c r="N973" i="1"/>
  <c r="O973" i="1" s="1"/>
  <c r="P973" i="1" s="1"/>
  <c r="Q973" i="1" s="1"/>
  <c r="S973" i="1" s="1"/>
  <c r="T973" i="1" s="1"/>
  <c r="M973" i="1"/>
  <c r="U973" i="1" s="1"/>
  <c r="V973" i="1" s="1"/>
  <c r="N967" i="1"/>
  <c r="O967" i="1" s="1"/>
  <c r="P967" i="1" s="1"/>
  <c r="Q967" i="1" s="1"/>
  <c r="S967" i="1" s="1"/>
  <c r="T967" i="1" s="1"/>
  <c r="M967" i="1"/>
  <c r="U967" i="1" s="1"/>
  <c r="V967" i="1" s="1"/>
  <c r="M961" i="1"/>
  <c r="N961" i="1"/>
  <c r="O961" i="1" s="1"/>
  <c r="P961" i="1" s="1"/>
  <c r="Q961" i="1" s="1"/>
  <c r="S961" i="1" s="1"/>
  <c r="T961" i="1" s="1"/>
  <c r="U961" i="1" s="1"/>
  <c r="V961" i="1" s="1"/>
  <c r="N955" i="1"/>
  <c r="O955" i="1" s="1"/>
  <c r="P955" i="1" s="1"/>
  <c r="Q955" i="1" s="1"/>
  <c r="S955" i="1" s="1"/>
  <c r="T955" i="1" s="1"/>
  <c r="M955" i="1"/>
  <c r="U955" i="1" s="1"/>
  <c r="V955" i="1" s="1"/>
  <c r="N949" i="1"/>
  <c r="O949" i="1" s="1"/>
  <c r="P949" i="1" s="1"/>
  <c r="Q949" i="1" s="1"/>
  <c r="S949" i="1" s="1"/>
  <c r="T949" i="1" s="1"/>
  <c r="M949" i="1"/>
  <c r="U949" i="1" s="1"/>
  <c r="V949" i="1" s="1"/>
  <c r="M943" i="1"/>
  <c r="U943" i="1" s="1"/>
  <c r="V943" i="1" s="1"/>
  <c r="N943" i="1"/>
  <c r="O943" i="1" s="1"/>
  <c r="P943" i="1" s="1"/>
  <c r="Q943" i="1" s="1"/>
  <c r="S943" i="1" s="1"/>
  <c r="T943" i="1" s="1"/>
  <c r="N937" i="1"/>
  <c r="O937" i="1" s="1"/>
  <c r="P937" i="1" s="1"/>
  <c r="Q937" i="1" s="1"/>
  <c r="S937" i="1" s="1"/>
  <c r="T937" i="1" s="1"/>
  <c r="M937" i="1"/>
  <c r="U937" i="1" s="1"/>
  <c r="V937" i="1" s="1"/>
  <c r="N931" i="1"/>
  <c r="O931" i="1" s="1"/>
  <c r="P931" i="1" s="1"/>
  <c r="Q931" i="1" s="1"/>
  <c r="S931" i="1" s="1"/>
  <c r="T931" i="1" s="1"/>
  <c r="M931" i="1"/>
  <c r="U931" i="1" s="1"/>
  <c r="V931" i="1" s="1"/>
  <c r="M925" i="1"/>
  <c r="U925" i="1" s="1"/>
  <c r="V925" i="1" s="1"/>
  <c r="N925" i="1"/>
  <c r="O925" i="1" s="1"/>
  <c r="P925" i="1" s="1"/>
  <c r="Q925" i="1" s="1"/>
  <c r="S925" i="1" s="1"/>
  <c r="T925" i="1" s="1"/>
  <c r="N919" i="1"/>
  <c r="O919" i="1" s="1"/>
  <c r="P919" i="1" s="1"/>
  <c r="Q919" i="1" s="1"/>
  <c r="S919" i="1" s="1"/>
  <c r="T919" i="1" s="1"/>
  <c r="M919" i="1"/>
  <c r="U919" i="1" s="1"/>
  <c r="V919" i="1" s="1"/>
  <c r="N913" i="1"/>
  <c r="O913" i="1" s="1"/>
  <c r="P913" i="1" s="1"/>
  <c r="Q913" i="1" s="1"/>
  <c r="S913" i="1" s="1"/>
  <c r="T913" i="1" s="1"/>
  <c r="M913" i="1"/>
  <c r="U913" i="1" s="1"/>
  <c r="V913" i="1" s="1"/>
  <c r="M907" i="1"/>
  <c r="U907" i="1" s="1"/>
  <c r="V907" i="1" s="1"/>
  <c r="N907" i="1"/>
  <c r="O907" i="1" s="1"/>
  <c r="P907" i="1" s="1"/>
  <c r="Q907" i="1" s="1"/>
  <c r="S907" i="1" s="1"/>
  <c r="T907" i="1" s="1"/>
  <c r="N901" i="1"/>
  <c r="O901" i="1" s="1"/>
  <c r="P901" i="1" s="1"/>
  <c r="Q901" i="1" s="1"/>
  <c r="S901" i="1" s="1"/>
  <c r="T901" i="1" s="1"/>
  <c r="M901" i="1"/>
  <c r="U901" i="1" s="1"/>
  <c r="V901" i="1" s="1"/>
  <c r="N895" i="1"/>
  <c r="O895" i="1" s="1"/>
  <c r="P895" i="1" s="1"/>
  <c r="Q895" i="1" s="1"/>
  <c r="S895" i="1" s="1"/>
  <c r="T895" i="1" s="1"/>
  <c r="M895" i="1"/>
  <c r="U895" i="1" s="1"/>
  <c r="V895" i="1" s="1"/>
  <c r="M889" i="1"/>
  <c r="N889" i="1"/>
  <c r="O889" i="1" s="1"/>
  <c r="P889" i="1" s="1"/>
  <c r="Q889" i="1" s="1"/>
  <c r="S889" i="1" s="1"/>
  <c r="T889" i="1" s="1"/>
  <c r="U889" i="1" s="1"/>
  <c r="V889" i="1" s="1"/>
  <c r="N883" i="1"/>
  <c r="O883" i="1" s="1"/>
  <c r="P883" i="1" s="1"/>
  <c r="Q883" i="1" s="1"/>
  <c r="S883" i="1" s="1"/>
  <c r="T883" i="1" s="1"/>
  <c r="M883" i="1"/>
  <c r="U883" i="1" s="1"/>
  <c r="V883" i="1" s="1"/>
  <c r="M877" i="1"/>
  <c r="U877" i="1" s="1"/>
  <c r="V877" i="1" s="1"/>
  <c r="N877" i="1"/>
  <c r="O877" i="1" s="1"/>
  <c r="P877" i="1" s="1"/>
  <c r="Q877" i="1" s="1"/>
  <c r="S877" i="1" s="1"/>
  <c r="T877" i="1" s="1"/>
  <c r="N871" i="1"/>
  <c r="O871" i="1" s="1"/>
  <c r="P871" i="1" s="1"/>
  <c r="Q871" i="1" s="1"/>
  <c r="S871" i="1" s="1"/>
  <c r="T871" i="1" s="1"/>
  <c r="M871" i="1"/>
  <c r="U871" i="1" s="1"/>
  <c r="V871" i="1" s="1"/>
  <c r="N865" i="1"/>
  <c r="O865" i="1" s="1"/>
  <c r="P865" i="1" s="1"/>
  <c r="Q865" i="1" s="1"/>
  <c r="S865" i="1" s="1"/>
  <c r="T865" i="1" s="1"/>
  <c r="M865" i="1"/>
  <c r="M859" i="1"/>
  <c r="N859" i="1"/>
  <c r="O859" i="1" s="1"/>
  <c r="P859" i="1" s="1"/>
  <c r="Q859" i="1" s="1"/>
  <c r="S859" i="1" s="1"/>
  <c r="T859" i="1" s="1"/>
  <c r="N853" i="1"/>
  <c r="O853" i="1" s="1"/>
  <c r="P853" i="1" s="1"/>
  <c r="Q853" i="1" s="1"/>
  <c r="S853" i="1" s="1"/>
  <c r="T853" i="1" s="1"/>
  <c r="M853" i="1"/>
  <c r="U853" i="1" s="1"/>
  <c r="V853" i="1" s="1"/>
  <c r="M847" i="1"/>
  <c r="N847" i="1"/>
  <c r="O847" i="1" s="1"/>
  <c r="P847" i="1" s="1"/>
  <c r="Q847" i="1" s="1"/>
  <c r="S847" i="1" s="1"/>
  <c r="T847" i="1" s="1"/>
  <c r="U847" i="1" s="1"/>
  <c r="V847" i="1" s="1"/>
  <c r="N841" i="1"/>
  <c r="O841" i="1" s="1"/>
  <c r="P841" i="1" s="1"/>
  <c r="Q841" i="1" s="1"/>
  <c r="S841" i="1" s="1"/>
  <c r="T841" i="1" s="1"/>
  <c r="M841" i="1"/>
  <c r="U841" i="1" s="1"/>
  <c r="V841" i="1" s="1"/>
  <c r="N835" i="1"/>
  <c r="O835" i="1" s="1"/>
  <c r="P835" i="1" s="1"/>
  <c r="Q835" i="1" s="1"/>
  <c r="S835" i="1" s="1"/>
  <c r="T835" i="1" s="1"/>
  <c r="M835" i="1"/>
  <c r="U835" i="1" s="1"/>
  <c r="V835" i="1" s="1"/>
  <c r="M829" i="1"/>
  <c r="N829" i="1"/>
  <c r="O829" i="1" s="1"/>
  <c r="P829" i="1" s="1"/>
  <c r="Q829" i="1" s="1"/>
  <c r="S829" i="1" s="1"/>
  <c r="T829" i="1" s="1"/>
  <c r="U829" i="1" s="1"/>
  <c r="V829" i="1" s="1"/>
  <c r="N823" i="1"/>
  <c r="O823" i="1" s="1"/>
  <c r="P823" i="1" s="1"/>
  <c r="Q823" i="1" s="1"/>
  <c r="S823" i="1" s="1"/>
  <c r="T823" i="1" s="1"/>
  <c r="M823" i="1"/>
  <c r="U823" i="1" s="1"/>
  <c r="V823" i="1" s="1"/>
  <c r="N817" i="1"/>
  <c r="O817" i="1" s="1"/>
  <c r="P817" i="1" s="1"/>
  <c r="Q817" i="1" s="1"/>
  <c r="S817" i="1" s="1"/>
  <c r="T817" i="1" s="1"/>
  <c r="M817" i="1"/>
  <c r="N811" i="1"/>
  <c r="O811" i="1" s="1"/>
  <c r="P811" i="1" s="1"/>
  <c r="Q811" i="1" s="1"/>
  <c r="S811" i="1" s="1"/>
  <c r="T811" i="1" s="1"/>
  <c r="M811" i="1"/>
  <c r="U811" i="1" s="1"/>
  <c r="V811" i="1" s="1"/>
  <c r="M805" i="1"/>
  <c r="U805" i="1" s="1"/>
  <c r="V805" i="1" s="1"/>
  <c r="N805" i="1"/>
  <c r="O805" i="1" s="1"/>
  <c r="P805" i="1" s="1"/>
  <c r="Q805" i="1" s="1"/>
  <c r="S805" i="1" s="1"/>
  <c r="T805" i="1" s="1"/>
  <c r="N799" i="1"/>
  <c r="O799" i="1" s="1"/>
  <c r="P799" i="1" s="1"/>
  <c r="Q799" i="1" s="1"/>
  <c r="S799" i="1" s="1"/>
  <c r="T799" i="1" s="1"/>
  <c r="M799" i="1"/>
  <c r="U799" i="1" s="1"/>
  <c r="V799" i="1" s="1"/>
  <c r="N793" i="1"/>
  <c r="O793" i="1" s="1"/>
  <c r="P793" i="1" s="1"/>
  <c r="Q793" i="1" s="1"/>
  <c r="S793" i="1" s="1"/>
  <c r="T793" i="1" s="1"/>
  <c r="M793" i="1"/>
  <c r="U793" i="1" s="1"/>
  <c r="V793" i="1" s="1"/>
  <c r="M787" i="1"/>
  <c r="N787" i="1"/>
  <c r="O787" i="1" s="1"/>
  <c r="P787" i="1" s="1"/>
  <c r="Q787" i="1" s="1"/>
  <c r="S787" i="1" s="1"/>
  <c r="T787" i="1" s="1"/>
  <c r="N781" i="1"/>
  <c r="O781" i="1" s="1"/>
  <c r="P781" i="1" s="1"/>
  <c r="Q781" i="1" s="1"/>
  <c r="S781" i="1" s="1"/>
  <c r="T781" i="1" s="1"/>
  <c r="M781" i="1"/>
  <c r="U781" i="1" s="1"/>
  <c r="V781" i="1" s="1"/>
  <c r="N775" i="1"/>
  <c r="O775" i="1" s="1"/>
  <c r="P775" i="1" s="1"/>
  <c r="Q775" i="1" s="1"/>
  <c r="S775" i="1" s="1"/>
  <c r="T775" i="1" s="1"/>
  <c r="M775" i="1"/>
  <c r="M769" i="1"/>
  <c r="N769" i="1"/>
  <c r="O769" i="1" s="1"/>
  <c r="P769" i="1" s="1"/>
  <c r="Q769" i="1" s="1"/>
  <c r="S769" i="1" s="1"/>
  <c r="T769" i="1" s="1"/>
  <c r="N763" i="1"/>
  <c r="O763" i="1" s="1"/>
  <c r="P763" i="1" s="1"/>
  <c r="Q763" i="1" s="1"/>
  <c r="S763" i="1" s="1"/>
  <c r="T763" i="1" s="1"/>
  <c r="M763" i="1"/>
  <c r="N757" i="1"/>
  <c r="O757" i="1" s="1"/>
  <c r="P757" i="1" s="1"/>
  <c r="Q757" i="1" s="1"/>
  <c r="S757" i="1" s="1"/>
  <c r="T757" i="1" s="1"/>
  <c r="M757" i="1"/>
  <c r="M751" i="1"/>
  <c r="U751" i="1" s="1"/>
  <c r="V751" i="1" s="1"/>
  <c r="N751" i="1"/>
  <c r="O751" i="1" s="1"/>
  <c r="P751" i="1" s="1"/>
  <c r="Q751" i="1" s="1"/>
  <c r="S751" i="1" s="1"/>
  <c r="T751" i="1" s="1"/>
  <c r="N745" i="1"/>
  <c r="O745" i="1" s="1"/>
  <c r="P745" i="1" s="1"/>
  <c r="Q745" i="1" s="1"/>
  <c r="S745" i="1" s="1"/>
  <c r="T745" i="1" s="1"/>
  <c r="M745" i="1"/>
  <c r="U745" i="1" s="1"/>
  <c r="V745" i="1" s="1"/>
  <c r="N739" i="1"/>
  <c r="O739" i="1" s="1"/>
  <c r="P739" i="1" s="1"/>
  <c r="Q739" i="1" s="1"/>
  <c r="S739" i="1" s="1"/>
  <c r="T739" i="1" s="1"/>
  <c r="M739" i="1"/>
  <c r="M733" i="1"/>
  <c r="U733" i="1" s="1"/>
  <c r="V733" i="1" s="1"/>
  <c r="N733" i="1"/>
  <c r="O733" i="1" s="1"/>
  <c r="P733" i="1" s="1"/>
  <c r="Q733" i="1" s="1"/>
  <c r="S733" i="1" s="1"/>
  <c r="T733" i="1" s="1"/>
  <c r="N727" i="1"/>
  <c r="O727" i="1" s="1"/>
  <c r="P727" i="1" s="1"/>
  <c r="Q727" i="1" s="1"/>
  <c r="S727" i="1" s="1"/>
  <c r="T727" i="1" s="1"/>
  <c r="M727" i="1"/>
  <c r="U727" i="1" s="1"/>
  <c r="V727" i="1" s="1"/>
  <c r="N721" i="1"/>
  <c r="O721" i="1" s="1"/>
  <c r="P721" i="1" s="1"/>
  <c r="Q721" i="1" s="1"/>
  <c r="S721" i="1" s="1"/>
  <c r="T721" i="1" s="1"/>
  <c r="M721" i="1"/>
  <c r="U721" i="1" s="1"/>
  <c r="V721" i="1" s="1"/>
  <c r="M715" i="1"/>
  <c r="U715" i="1" s="1"/>
  <c r="V715" i="1" s="1"/>
  <c r="N715" i="1"/>
  <c r="O715" i="1" s="1"/>
  <c r="P715" i="1" s="1"/>
  <c r="Q715" i="1" s="1"/>
  <c r="S715" i="1" s="1"/>
  <c r="T715" i="1" s="1"/>
  <c r="N709" i="1"/>
  <c r="O709" i="1" s="1"/>
  <c r="P709" i="1" s="1"/>
  <c r="Q709" i="1" s="1"/>
  <c r="S709" i="1" s="1"/>
  <c r="T709" i="1" s="1"/>
  <c r="M709" i="1"/>
  <c r="N703" i="1"/>
  <c r="O703" i="1" s="1"/>
  <c r="P703" i="1" s="1"/>
  <c r="Q703" i="1" s="1"/>
  <c r="S703" i="1" s="1"/>
  <c r="T703" i="1" s="1"/>
  <c r="M703" i="1"/>
  <c r="M697" i="1"/>
  <c r="N697" i="1"/>
  <c r="O697" i="1" s="1"/>
  <c r="P697" i="1" s="1"/>
  <c r="Q697" i="1" s="1"/>
  <c r="S697" i="1" s="1"/>
  <c r="T697" i="1" s="1"/>
  <c r="N691" i="1"/>
  <c r="O691" i="1" s="1"/>
  <c r="P691" i="1" s="1"/>
  <c r="Q691" i="1" s="1"/>
  <c r="S691" i="1" s="1"/>
  <c r="T691" i="1" s="1"/>
  <c r="M691" i="1"/>
  <c r="N685" i="1"/>
  <c r="O685" i="1" s="1"/>
  <c r="P685" i="1" s="1"/>
  <c r="Q685" i="1" s="1"/>
  <c r="S685" i="1" s="1"/>
  <c r="T685" i="1" s="1"/>
  <c r="M685" i="1"/>
  <c r="M679" i="1"/>
  <c r="N679" i="1"/>
  <c r="O679" i="1" s="1"/>
  <c r="P679" i="1" s="1"/>
  <c r="Q679" i="1" s="1"/>
  <c r="S679" i="1" s="1"/>
  <c r="T679" i="1" s="1"/>
  <c r="N673" i="1"/>
  <c r="O673" i="1" s="1"/>
  <c r="P673" i="1" s="1"/>
  <c r="Q673" i="1" s="1"/>
  <c r="S673" i="1" s="1"/>
  <c r="T673" i="1" s="1"/>
  <c r="M673" i="1"/>
  <c r="U673" i="1" s="1"/>
  <c r="V673" i="1" s="1"/>
  <c r="N667" i="1"/>
  <c r="O667" i="1" s="1"/>
  <c r="P667" i="1" s="1"/>
  <c r="Q667" i="1" s="1"/>
  <c r="S667" i="1" s="1"/>
  <c r="T667" i="1" s="1"/>
  <c r="M667" i="1"/>
  <c r="M661" i="1"/>
  <c r="U661" i="1" s="1"/>
  <c r="V661" i="1" s="1"/>
  <c r="N661" i="1"/>
  <c r="O661" i="1" s="1"/>
  <c r="P661" i="1" s="1"/>
  <c r="Q661" i="1" s="1"/>
  <c r="S661" i="1" s="1"/>
  <c r="T661" i="1" s="1"/>
  <c r="N655" i="1"/>
  <c r="O655" i="1" s="1"/>
  <c r="P655" i="1" s="1"/>
  <c r="Q655" i="1" s="1"/>
  <c r="S655" i="1" s="1"/>
  <c r="T655" i="1" s="1"/>
  <c r="M655" i="1"/>
  <c r="U655" i="1" s="1"/>
  <c r="V655" i="1" s="1"/>
  <c r="N649" i="1"/>
  <c r="O649" i="1" s="1"/>
  <c r="P649" i="1" s="1"/>
  <c r="Q649" i="1" s="1"/>
  <c r="S649" i="1" s="1"/>
  <c r="T649" i="1" s="1"/>
  <c r="M649" i="1"/>
  <c r="M643" i="1"/>
  <c r="N643" i="1"/>
  <c r="O643" i="1" s="1"/>
  <c r="P643" i="1" s="1"/>
  <c r="Q643" i="1" s="1"/>
  <c r="S643" i="1" s="1"/>
  <c r="T643" i="1" s="1"/>
  <c r="N637" i="1"/>
  <c r="O637" i="1" s="1"/>
  <c r="P637" i="1" s="1"/>
  <c r="Q637" i="1" s="1"/>
  <c r="S637" i="1" s="1"/>
  <c r="T637" i="1" s="1"/>
  <c r="M637" i="1"/>
  <c r="U637" i="1" s="1"/>
  <c r="V637" i="1" s="1"/>
  <c r="N631" i="1"/>
  <c r="O631" i="1" s="1"/>
  <c r="P631" i="1" s="1"/>
  <c r="Q631" i="1" s="1"/>
  <c r="S631" i="1" s="1"/>
  <c r="T631" i="1" s="1"/>
  <c r="M631" i="1"/>
  <c r="M625" i="1"/>
  <c r="N625" i="1"/>
  <c r="O625" i="1" s="1"/>
  <c r="P625" i="1" s="1"/>
  <c r="Q625" i="1" s="1"/>
  <c r="S625" i="1" s="1"/>
  <c r="T625" i="1" s="1"/>
  <c r="N619" i="1"/>
  <c r="O619" i="1" s="1"/>
  <c r="P619" i="1" s="1"/>
  <c r="Q619" i="1" s="1"/>
  <c r="S619" i="1" s="1"/>
  <c r="T619" i="1" s="1"/>
  <c r="M619" i="1"/>
  <c r="U619" i="1" s="1"/>
  <c r="V619" i="1" s="1"/>
  <c r="N613" i="1"/>
  <c r="O613" i="1" s="1"/>
  <c r="P613" i="1" s="1"/>
  <c r="Q613" i="1" s="1"/>
  <c r="S613" i="1" s="1"/>
  <c r="T613" i="1" s="1"/>
  <c r="M613" i="1"/>
  <c r="U613" i="1" s="1"/>
  <c r="V613" i="1" s="1"/>
  <c r="M607" i="1"/>
  <c r="U607" i="1" s="1"/>
  <c r="V607" i="1" s="1"/>
  <c r="N607" i="1"/>
  <c r="O607" i="1" s="1"/>
  <c r="P607" i="1" s="1"/>
  <c r="Q607" i="1" s="1"/>
  <c r="S607" i="1" s="1"/>
  <c r="T607" i="1" s="1"/>
  <c r="N601" i="1"/>
  <c r="O601" i="1" s="1"/>
  <c r="P601" i="1" s="1"/>
  <c r="Q601" i="1" s="1"/>
  <c r="S601" i="1" s="1"/>
  <c r="T601" i="1" s="1"/>
  <c r="M601" i="1"/>
  <c r="U601" i="1" s="1"/>
  <c r="V601" i="1" s="1"/>
  <c r="N595" i="1"/>
  <c r="O595" i="1" s="1"/>
  <c r="P595" i="1" s="1"/>
  <c r="Q595" i="1" s="1"/>
  <c r="S595" i="1" s="1"/>
  <c r="T595" i="1" s="1"/>
  <c r="M595" i="1"/>
  <c r="U595" i="1" s="1"/>
  <c r="V595" i="1" s="1"/>
  <c r="M589" i="1"/>
  <c r="N589" i="1"/>
  <c r="O589" i="1" s="1"/>
  <c r="P589" i="1" s="1"/>
  <c r="Q589" i="1" s="1"/>
  <c r="S589" i="1" s="1"/>
  <c r="T589" i="1" s="1"/>
  <c r="N583" i="1"/>
  <c r="O583" i="1" s="1"/>
  <c r="P583" i="1" s="1"/>
  <c r="Q583" i="1" s="1"/>
  <c r="S583" i="1" s="1"/>
  <c r="T583" i="1" s="1"/>
  <c r="M583" i="1"/>
  <c r="U583" i="1" s="1"/>
  <c r="V583" i="1" s="1"/>
  <c r="N577" i="1"/>
  <c r="O577" i="1" s="1"/>
  <c r="P577" i="1" s="1"/>
  <c r="Q577" i="1" s="1"/>
  <c r="S577" i="1" s="1"/>
  <c r="T577" i="1" s="1"/>
  <c r="M577" i="1"/>
  <c r="U577" i="1" s="1"/>
  <c r="V577" i="1" s="1"/>
  <c r="M571" i="1"/>
  <c r="U571" i="1" s="1"/>
  <c r="V571" i="1" s="1"/>
  <c r="N571" i="1"/>
  <c r="O571" i="1" s="1"/>
  <c r="P571" i="1" s="1"/>
  <c r="Q571" i="1" s="1"/>
  <c r="S571" i="1" s="1"/>
  <c r="T571" i="1" s="1"/>
  <c r="N565" i="1"/>
  <c r="O565" i="1" s="1"/>
  <c r="P565" i="1" s="1"/>
  <c r="Q565" i="1" s="1"/>
  <c r="S565" i="1" s="1"/>
  <c r="T565" i="1" s="1"/>
  <c r="M565" i="1"/>
  <c r="N559" i="1"/>
  <c r="O559" i="1" s="1"/>
  <c r="P559" i="1" s="1"/>
  <c r="Q559" i="1" s="1"/>
  <c r="S559" i="1" s="1"/>
  <c r="T559" i="1" s="1"/>
  <c r="M559" i="1"/>
  <c r="U559" i="1" s="1"/>
  <c r="V559" i="1" s="1"/>
  <c r="M553" i="1"/>
  <c r="U553" i="1" s="1"/>
  <c r="V553" i="1" s="1"/>
  <c r="N553" i="1"/>
  <c r="O553" i="1" s="1"/>
  <c r="P553" i="1" s="1"/>
  <c r="Q553" i="1" s="1"/>
  <c r="S553" i="1" s="1"/>
  <c r="T553" i="1" s="1"/>
  <c r="N547" i="1"/>
  <c r="O547" i="1" s="1"/>
  <c r="P547" i="1" s="1"/>
  <c r="Q547" i="1" s="1"/>
  <c r="S547" i="1" s="1"/>
  <c r="T547" i="1" s="1"/>
  <c r="M547" i="1"/>
  <c r="N541" i="1"/>
  <c r="O541" i="1" s="1"/>
  <c r="P541" i="1" s="1"/>
  <c r="Q541" i="1" s="1"/>
  <c r="S541" i="1" s="1"/>
  <c r="T541" i="1" s="1"/>
  <c r="M541" i="1"/>
  <c r="U541" i="1" s="1"/>
  <c r="V541" i="1" s="1"/>
  <c r="M535" i="1"/>
  <c r="U535" i="1" s="1"/>
  <c r="V535" i="1" s="1"/>
  <c r="N535" i="1"/>
  <c r="O535" i="1" s="1"/>
  <c r="P535" i="1" s="1"/>
  <c r="Q535" i="1" s="1"/>
  <c r="S535" i="1" s="1"/>
  <c r="T535" i="1" s="1"/>
  <c r="N529" i="1"/>
  <c r="O529" i="1" s="1"/>
  <c r="P529" i="1" s="1"/>
  <c r="Q529" i="1" s="1"/>
  <c r="S529" i="1" s="1"/>
  <c r="T529" i="1" s="1"/>
  <c r="M529" i="1"/>
  <c r="U529" i="1" s="1"/>
  <c r="V529" i="1" s="1"/>
  <c r="N523" i="1"/>
  <c r="O523" i="1" s="1"/>
  <c r="P523" i="1" s="1"/>
  <c r="Q523" i="1" s="1"/>
  <c r="S523" i="1" s="1"/>
  <c r="T523" i="1" s="1"/>
  <c r="M523" i="1"/>
  <c r="U523" i="1" s="1"/>
  <c r="V523" i="1" s="1"/>
  <c r="M517" i="1"/>
  <c r="N517" i="1"/>
  <c r="O517" i="1" s="1"/>
  <c r="P517" i="1" s="1"/>
  <c r="Q517" i="1" s="1"/>
  <c r="S517" i="1" s="1"/>
  <c r="T517" i="1" s="1"/>
  <c r="N511" i="1"/>
  <c r="O511" i="1" s="1"/>
  <c r="P511" i="1" s="1"/>
  <c r="Q511" i="1" s="1"/>
  <c r="S511" i="1" s="1"/>
  <c r="T511" i="1" s="1"/>
  <c r="M511" i="1"/>
  <c r="U511" i="1" s="1"/>
  <c r="V511" i="1" s="1"/>
  <c r="N505" i="1"/>
  <c r="O505" i="1" s="1"/>
  <c r="P505" i="1" s="1"/>
  <c r="Q505" i="1" s="1"/>
  <c r="S505" i="1" s="1"/>
  <c r="T505" i="1" s="1"/>
  <c r="M505" i="1"/>
  <c r="U505" i="1" s="1"/>
  <c r="V505" i="1" s="1"/>
  <c r="M499" i="1"/>
  <c r="U499" i="1" s="1"/>
  <c r="V499" i="1" s="1"/>
  <c r="N499" i="1"/>
  <c r="O499" i="1" s="1"/>
  <c r="P499" i="1" s="1"/>
  <c r="Q499" i="1" s="1"/>
  <c r="S499" i="1" s="1"/>
  <c r="T499" i="1" s="1"/>
  <c r="N493" i="1"/>
  <c r="O493" i="1" s="1"/>
  <c r="P493" i="1" s="1"/>
  <c r="Q493" i="1" s="1"/>
  <c r="S493" i="1" s="1"/>
  <c r="T493" i="1" s="1"/>
  <c r="M493" i="1"/>
  <c r="N487" i="1"/>
  <c r="O487" i="1" s="1"/>
  <c r="P487" i="1" s="1"/>
  <c r="Q487" i="1" s="1"/>
  <c r="S487" i="1" s="1"/>
  <c r="T487" i="1" s="1"/>
  <c r="M487" i="1"/>
  <c r="M481" i="1"/>
  <c r="U481" i="1" s="1"/>
  <c r="V481" i="1" s="1"/>
  <c r="N481" i="1"/>
  <c r="O481" i="1" s="1"/>
  <c r="P481" i="1" s="1"/>
  <c r="Q481" i="1" s="1"/>
  <c r="S481" i="1" s="1"/>
  <c r="T481" i="1" s="1"/>
  <c r="N475" i="1"/>
  <c r="O475" i="1" s="1"/>
  <c r="P475" i="1" s="1"/>
  <c r="Q475" i="1" s="1"/>
  <c r="S475" i="1" s="1"/>
  <c r="T475" i="1" s="1"/>
  <c r="M475" i="1"/>
  <c r="U475" i="1" s="1"/>
  <c r="V475" i="1" s="1"/>
  <c r="N469" i="1"/>
  <c r="O469" i="1" s="1"/>
  <c r="P469" i="1" s="1"/>
  <c r="Q469" i="1" s="1"/>
  <c r="S469" i="1" s="1"/>
  <c r="T469" i="1" s="1"/>
  <c r="M469" i="1"/>
  <c r="U469" i="1" s="1"/>
  <c r="V469" i="1" s="1"/>
  <c r="M463" i="1"/>
  <c r="U463" i="1" s="1"/>
  <c r="V463" i="1" s="1"/>
  <c r="N463" i="1"/>
  <c r="O463" i="1" s="1"/>
  <c r="P463" i="1" s="1"/>
  <c r="Q463" i="1" s="1"/>
  <c r="S463" i="1" s="1"/>
  <c r="T463" i="1" s="1"/>
  <c r="N457" i="1"/>
  <c r="O457" i="1" s="1"/>
  <c r="P457" i="1" s="1"/>
  <c r="Q457" i="1" s="1"/>
  <c r="S457" i="1" s="1"/>
  <c r="T457" i="1" s="1"/>
  <c r="M457" i="1"/>
  <c r="U457" i="1" s="1"/>
  <c r="V457" i="1" s="1"/>
  <c r="N451" i="1"/>
  <c r="O451" i="1" s="1"/>
  <c r="P451" i="1" s="1"/>
  <c r="Q451" i="1" s="1"/>
  <c r="S451" i="1" s="1"/>
  <c r="T451" i="1" s="1"/>
  <c r="M451" i="1"/>
  <c r="U451" i="1" s="1"/>
  <c r="V451" i="1" s="1"/>
  <c r="M445" i="1"/>
  <c r="U445" i="1" s="1"/>
  <c r="V445" i="1" s="1"/>
  <c r="N445" i="1"/>
  <c r="O445" i="1" s="1"/>
  <c r="P445" i="1" s="1"/>
  <c r="Q445" i="1" s="1"/>
  <c r="S445" i="1" s="1"/>
  <c r="T445" i="1" s="1"/>
  <c r="N439" i="1"/>
  <c r="O439" i="1" s="1"/>
  <c r="P439" i="1" s="1"/>
  <c r="Q439" i="1" s="1"/>
  <c r="S439" i="1" s="1"/>
  <c r="T439" i="1" s="1"/>
  <c r="M439" i="1"/>
  <c r="U439" i="1" s="1"/>
  <c r="V439" i="1" s="1"/>
  <c r="N433" i="1"/>
  <c r="O433" i="1" s="1"/>
  <c r="P433" i="1" s="1"/>
  <c r="Q433" i="1" s="1"/>
  <c r="S433" i="1" s="1"/>
  <c r="T433" i="1" s="1"/>
  <c r="M433" i="1"/>
  <c r="N427" i="1"/>
  <c r="O427" i="1" s="1"/>
  <c r="P427" i="1" s="1"/>
  <c r="Q427" i="1" s="1"/>
  <c r="S427" i="1" s="1"/>
  <c r="T427" i="1" s="1"/>
  <c r="M427" i="1"/>
  <c r="U427" i="1" s="1"/>
  <c r="V427" i="1" s="1"/>
  <c r="N421" i="1"/>
  <c r="O421" i="1" s="1"/>
  <c r="P421" i="1" s="1"/>
  <c r="Q421" i="1" s="1"/>
  <c r="S421" i="1" s="1"/>
  <c r="T421" i="1" s="1"/>
  <c r="M421" i="1"/>
  <c r="U421" i="1" s="1"/>
  <c r="V421" i="1" s="1"/>
  <c r="N415" i="1"/>
  <c r="O415" i="1" s="1"/>
  <c r="P415" i="1" s="1"/>
  <c r="Q415" i="1" s="1"/>
  <c r="S415" i="1" s="1"/>
  <c r="T415" i="1" s="1"/>
  <c r="M415" i="1"/>
  <c r="N409" i="1"/>
  <c r="O409" i="1" s="1"/>
  <c r="P409" i="1" s="1"/>
  <c r="Q409" i="1" s="1"/>
  <c r="S409" i="1" s="1"/>
  <c r="T409" i="1" s="1"/>
  <c r="M409" i="1"/>
  <c r="U409" i="1" s="1"/>
  <c r="V409" i="1" s="1"/>
  <c r="N403" i="1"/>
  <c r="O403" i="1" s="1"/>
  <c r="P403" i="1" s="1"/>
  <c r="Q403" i="1" s="1"/>
  <c r="S403" i="1" s="1"/>
  <c r="T403" i="1" s="1"/>
  <c r="M403" i="1"/>
  <c r="N397" i="1"/>
  <c r="O397" i="1" s="1"/>
  <c r="P397" i="1" s="1"/>
  <c r="Q397" i="1" s="1"/>
  <c r="S397" i="1" s="1"/>
  <c r="T397" i="1" s="1"/>
  <c r="M397" i="1"/>
  <c r="U397" i="1" s="1"/>
  <c r="V397" i="1" s="1"/>
  <c r="N391" i="1"/>
  <c r="O391" i="1" s="1"/>
  <c r="P391" i="1" s="1"/>
  <c r="Q391" i="1" s="1"/>
  <c r="S391" i="1" s="1"/>
  <c r="T391" i="1" s="1"/>
  <c r="M391" i="1"/>
  <c r="U391" i="1" s="1"/>
  <c r="V391" i="1" s="1"/>
  <c r="N385" i="1"/>
  <c r="O385" i="1" s="1"/>
  <c r="P385" i="1" s="1"/>
  <c r="Q385" i="1" s="1"/>
  <c r="S385" i="1" s="1"/>
  <c r="T385" i="1" s="1"/>
  <c r="M385" i="1"/>
  <c r="U385" i="1" s="1"/>
  <c r="V385" i="1" s="1"/>
  <c r="N379" i="1"/>
  <c r="O379" i="1" s="1"/>
  <c r="P379" i="1" s="1"/>
  <c r="Q379" i="1" s="1"/>
  <c r="S379" i="1" s="1"/>
  <c r="T379" i="1" s="1"/>
  <c r="M379" i="1"/>
  <c r="U379" i="1" s="1"/>
  <c r="V379" i="1" s="1"/>
  <c r="N373" i="1"/>
  <c r="O373" i="1" s="1"/>
  <c r="P373" i="1" s="1"/>
  <c r="Q373" i="1" s="1"/>
  <c r="S373" i="1" s="1"/>
  <c r="T373" i="1" s="1"/>
  <c r="M373" i="1"/>
  <c r="U373" i="1" s="1"/>
  <c r="V373" i="1" s="1"/>
  <c r="N367" i="1"/>
  <c r="O367" i="1" s="1"/>
  <c r="P367" i="1" s="1"/>
  <c r="Q367" i="1" s="1"/>
  <c r="S367" i="1" s="1"/>
  <c r="T367" i="1" s="1"/>
  <c r="M367" i="1"/>
  <c r="N361" i="1"/>
  <c r="O361" i="1" s="1"/>
  <c r="P361" i="1" s="1"/>
  <c r="Q361" i="1" s="1"/>
  <c r="S361" i="1" s="1"/>
  <c r="T361" i="1" s="1"/>
  <c r="M361" i="1"/>
  <c r="U361" i="1" s="1"/>
  <c r="V361" i="1" s="1"/>
  <c r="N355" i="1"/>
  <c r="O355" i="1" s="1"/>
  <c r="P355" i="1" s="1"/>
  <c r="Q355" i="1" s="1"/>
  <c r="S355" i="1" s="1"/>
  <c r="T355" i="1" s="1"/>
  <c r="M355" i="1"/>
  <c r="U355" i="1" s="1"/>
  <c r="V355" i="1" s="1"/>
  <c r="N349" i="1"/>
  <c r="O349" i="1" s="1"/>
  <c r="P349" i="1" s="1"/>
  <c r="Q349" i="1" s="1"/>
  <c r="S349" i="1" s="1"/>
  <c r="T349" i="1" s="1"/>
  <c r="M349" i="1"/>
  <c r="U349" i="1" s="1"/>
  <c r="V349" i="1" s="1"/>
  <c r="N343" i="1"/>
  <c r="O343" i="1" s="1"/>
  <c r="P343" i="1" s="1"/>
  <c r="Q343" i="1" s="1"/>
  <c r="S343" i="1" s="1"/>
  <c r="T343" i="1" s="1"/>
  <c r="M343" i="1"/>
  <c r="U343" i="1" s="1"/>
  <c r="V343" i="1" s="1"/>
  <c r="N337" i="1"/>
  <c r="O337" i="1" s="1"/>
  <c r="P337" i="1" s="1"/>
  <c r="Q337" i="1" s="1"/>
  <c r="S337" i="1" s="1"/>
  <c r="T337" i="1" s="1"/>
  <c r="M337" i="1"/>
  <c r="U337" i="1" s="1"/>
  <c r="V337" i="1" s="1"/>
  <c r="N331" i="1"/>
  <c r="O331" i="1" s="1"/>
  <c r="P331" i="1" s="1"/>
  <c r="Q331" i="1" s="1"/>
  <c r="S331" i="1" s="1"/>
  <c r="T331" i="1" s="1"/>
  <c r="M331" i="1"/>
  <c r="U331" i="1" s="1"/>
  <c r="V331" i="1" s="1"/>
  <c r="N325" i="1"/>
  <c r="O325" i="1" s="1"/>
  <c r="P325" i="1" s="1"/>
  <c r="Q325" i="1" s="1"/>
  <c r="S325" i="1" s="1"/>
  <c r="T325" i="1" s="1"/>
  <c r="M325" i="1"/>
  <c r="U325" i="1" s="1"/>
  <c r="V325" i="1" s="1"/>
  <c r="N319" i="1"/>
  <c r="O319" i="1" s="1"/>
  <c r="P319" i="1" s="1"/>
  <c r="Q319" i="1" s="1"/>
  <c r="S319" i="1" s="1"/>
  <c r="T319" i="1" s="1"/>
  <c r="M319" i="1"/>
  <c r="U319" i="1" s="1"/>
  <c r="V319" i="1" s="1"/>
  <c r="N313" i="1"/>
  <c r="O313" i="1" s="1"/>
  <c r="P313" i="1" s="1"/>
  <c r="Q313" i="1" s="1"/>
  <c r="S313" i="1" s="1"/>
  <c r="T313" i="1" s="1"/>
  <c r="M313" i="1"/>
  <c r="U313" i="1" s="1"/>
  <c r="V313" i="1" s="1"/>
  <c r="N307" i="1"/>
  <c r="O307" i="1" s="1"/>
  <c r="P307" i="1" s="1"/>
  <c r="Q307" i="1" s="1"/>
  <c r="S307" i="1" s="1"/>
  <c r="T307" i="1" s="1"/>
  <c r="M307" i="1"/>
  <c r="N301" i="1"/>
  <c r="O301" i="1" s="1"/>
  <c r="P301" i="1" s="1"/>
  <c r="Q301" i="1" s="1"/>
  <c r="S301" i="1" s="1"/>
  <c r="T301" i="1" s="1"/>
  <c r="M301" i="1"/>
  <c r="U301" i="1" s="1"/>
  <c r="V301" i="1" s="1"/>
  <c r="N295" i="1"/>
  <c r="O295" i="1" s="1"/>
  <c r="P295" i="1" s="1"/>
  <c r="Q295" i="1" s="1"/>
  <c r="S295" i="1" s="1"/>
  <c r="T295" i="1" s="1"/>
  <c r="M295" i="1"/>
  <c r="U295" i="1" s="1"/>
  <c r="V295" i="1" s="1"/>
  <c r="N289" i="1"/>
  <c r="O289" i="1" s="1"/>
  <c r="P289" i="1" s="1"/>
  <c r="Q289" i="1" s="1"/>
  <c r="S289" i="1" s="1"/>
  <c r="T289" i="1" s="1"/>
  <c r="M289" i="1"/>
  <c r="U289" i="1" s="1"/>
  <c r="V289" i="1" s="1"/>
  <c r="N283" i="1"/>
  <c r="O283" i="1" s="1"/>
  <c r="P283" i="1" s="1"/>
  <c r="Q283" i="1" s="1"/>
  <c r="S283" i="1" s="1"/>
  <c r="T283" i="1" s="1"/>
  <c r="M283" i="1"/>
  <c r="U283" i="1" s="1"/>
  <c r="V283" i="1" s="1"/>
  <c r="N277" i="1"/>
  <c r="O277" i="1" s="1"/>
  <c r="P277" i="1" s="1"/>
  <c r="Q277" i="1" s="1"/>
  <c r="S277" i="1" s="1"/>
  <c r="T277" i="1" s="1"/>
  <c r="M277" i="1"/>
  <c r="U277" i="1" s="1"/>
  <c r="V277" i="1" s="1"/>
  <c r="N271" i="1"/>
  <c r="O271" i="1" s="1"/>
  <c r="P271" i="1" s="1"/>
  <c r="Q271" i="1" s="1"/>
  <c r="S271" i="1" s="1"/>
  <c r="T271" i="1" s="1"/>
  <c r="M271" i="1"/>
  <c r="U271" i="1" s="1"/>
  <c r="V271" i="1" s="1"/>
  <c r="N265" i="1"/>
  <c r="O265" i="1" s="1"/>
  <c r="P265" i="1" s="1"/>
  <c r="Q265" i="1" s="1"/>
  <c r="S265" i="1" s="1"/>
  <c r="T265" i="1" s="1"/>
  <c r="M265" i="1"/>
  <c r="U265" i="1" s="1"/>
  <c r="V265" i="1" s="1"/>
  <c r="N259" i="1"/>
  <c r="O259" i="1" s="1"/>
  <c r="P259" i="1" s="1"/>
  <c r="Q259" i="1" s="1"/>
  <c r="S259" i="1" s="1"/>
  <c r="T259" i="1" s="1"/>
  <c r="M259" i="1"/>
  <c r="U259" i="1" s="1"/>
  <c r="V259" i="1" s="1"/>
  <c r="N253" i="1"/>
  <c r="O253" i="1" s="1"/>
  <c r="P253" i="1" s="1"/>
  <c r="Q253" i="1" s="1"/>
  <c r="S253" i="1" s="1"/>
  <c r="T253" i="1" s="1"/>
  <c r="M253" i="1"/>
  <c r="N247" i="1"/>
  <c r="O247" i="1" s="1"/>
  <c r="P247" i="1" s="1"/>
  <c r="Q247" i="1" s="1"/>
  <c r="S247" i="1" s="1"/>
  <c r="T247" i="1" s="1"/>
  <c r="U247" i="1" s="1"/>
  <c r="V247" i="1" s="1"/>
  <c r="M247" i="1"/>
  <c r="N241" i="1"/>
  <c r="O241" i="1" s="1"/>
  <c r="P241" i="1" s="1"/>
  <c r="Q241" i="1" s="1"/>
  <c r="S241" i="1" s="1"/>
  <c r="T241" i="1" s="1"/>
  <c r="M241" i="1"/>
  <c r="U241" i="1" s="1"/>
  <c r="V241" i="1" s="1"/>
  <c r="N235" i="1"/>
  <c r="O235" i="1" s="1"/>
  <c r="P235" i="1" s="1"/>
  <c r="Q235" i="1" s="1"/>
  <c r="S235" i="1" s="1"/>
  <c r="T235" i="1" s="1"/>
  <c r="M235" i="1"/>
  <c r="U235" i="1" s="1"/>
  <c r="V235" i="1" s="1"/>
  <c r="N229" i="1"/>
  <c r="O229" i="1" s="1"/>
  <c r="P229" i="1" s="1"/>
  <c r="Q229" i="1" s="1"/>
  <c r="S229" i="1" s="1"/>
  <c r="T229" i="1" s="1"/>
  <c r="M229" i="1"/>
  <c r="U229" i="1" s="1"/>
  <c r="V229" i="1" s="1"/>
  <c r="N223" i="1"/>
  <c r="O223" i="1" s="1"/>
  <c r="P223" i="1" s="1"/>
  <c r="Q223" i="1" s="1"/>
  <c r="S223" i="1" s="1"/>
  <c r="T223" i="1" s="1"/>
  <c r="M223" i="1"/>
  <c r="N217" i="1"/>
  <c r="O217" i="1" s="1"/>
  <c r="P217" i="1" s="1"/>
  <c r="Q217" i="1" s="1"/>
  <c r="S217" i="1" s="1"/>
  <c r="T217" i="1" s="1"/>
  <c r="M217" i="1"/>
  <c r="U217" i="1" s="1"/>
  <c r="V217" i="1" s="1"/>
  <c r="N211" i="1"/>
  <c r="O211" i="1" s="1"/>
  <c r="P211" i="1" s="1"/>
  <c r="Q211" i="1" s="1"/>
  <c r="S211" i="1" s="1"/>
  <c r="T211" i="1" s="1"/>
  <c r="U211" i="1" s="1"/>
  <c r="V211" i="1" s="1"/>
  <c r="M211" i="1"/>
  <c r="N205" i="1"/>
  <c r="O205" i="1" s="1"/>
  <c r="P205" i="1" s="1"/>
  <c r="Q205" i="1" s="1"/>
  <c r="S205" i="1" s="1"/>
  <c r="T205" i="1" s="1"/>
  <c r="M205" i="1"/>
  <c r="U205" i="1" s="1"/>
  <c r="V205" i="1" s="1"/>
  <c r="N199" i="1"/>
  <c r="O199" i="1" s="1"/>
  <c r="P199" i="1" s="1"/>
  <c r="Q199" i="1" s="1"/>
  <c r="S199" i="1" s="1"/>
  <c r="T199" i="1" s="1"/>
  <c r="M199" i="1"/>
  <c r="N193" i="1"/>
  <c r="O193" i="1" s="1"/>
  <c r="P193" i="1" s="1"/>
  <c r="Q193" i="1" s="1"/>
  <c r="S193" i="1" s="1"/>
  <c r="T193" i="1" s="1"/>
  <c r="M193" i="1"/>
  <c r="U193" i="1" s="1"/>
  <c r="V193" i="1" s="1"/>
  <c r="N187" i="1"/>
  <c r="O187" i="1" s="1"/>
  <c r="P187" i="1" s="1"/>
  <c r="Q187" i="1" s="1"/>
  <c r="S187" i="1" s="1"/>
  <c r="T187" i="1" s="1"/>
  <c r="M187" i="1"/>
  <c r="N181" i="1"/>
  <c r="O181" i="1" s="1"/>
  <c r="P181" i="1" s="1"/>
  <c r="Q181" i="1" s="1"/>
  <c r="S181" i="1" s="1"/>
  <c r="T181" i="1" s="1"/>
  <c r="M181" i="1"/>
  <c r="U181" i="1" s="1"/>
  <c r="V181" i="1" s="1"/>
  <c r="N175" i="1"/>
  <c r="O175" i="1" s="1"/>
  <c r="P175" i="1" s="1"/>
  <c r="Q175" i="1" s="1"/>
  <c r="S175" i="1" s="1"/>
  <c r="T175" i="1" s="1"/>
  <c r="M175" i="1"/>
  <c r="U175" i="1" s="1"/>
  <c r="V175" i="1" s="1"/>
  <c r="N169" i="1"/>
  <c r="O169" i="1" s="1"/>
  <c r="P169" i="1" s="1"/>
  <c r="Q169" i="1" s="1"/>
  <c r="S169" i="1" s="1"/>
  <c r="T169" i="1" s="1"/>
  <c r="M169" i="1"/>
  <c r="U169" i="1" s="1"/>
  <c r="V169" i="1" s="1"/>
  <c r="N163" i="1"/>
  <c r="O163" i="1" s="1"/>
  <c r="P163" i="1" s="1"/>
  <c r="Q163" i="1" s="1"/>
  <c r="S163" i="1" s="1"/>
  <c r="T163" i="1" s="1"/>
  <c r="M163" i="1"/>
  <c r="U163" i="1" s="1"/>
  <c r="V163" i="1" s="1"/>
  <c r="N157" i="1"/>
  <c r="O157" i="1" s="1"/>
  <c r="P157" i="1" s="1"/>
  <c r="Q157" i="1" s="1"/>
  <c r="S157" i="1" s="1"/>
  <c r="T157" i="1" s="1"/>
  <c r="M157" i="1"/>
  <c r="N151" i="1"/>
  <c r="O151" i="1" s="1"/>
  <c r="P151" i="1" s="1"/>
  <c r="Q151" i="1" s="1"/>
  <c r="S151" i="1" s="1"/>
  <c r="T151" i="1" s="1"/>
  <c r="M151" i="1"/>
  <c r="U151" i="1" s="1"/>
  <c r="V151" i="1" s="1"/>
  <c r="N145" i="1"/>
  <c r="O145" i="1" s="1"/>
  <c r="P145" i="1" s="1"/>
  <c r="Q145" i="1" s="1"/>
  <c r="S145" i="1" s="1"/>
  <c r="T145" i="1" s="1"/>
  <c r="M145" i="1"/>
  <c r="N139" i="1"/>
  <c r="O139" i="1" s="1"/>
  <c r="P139" i="1" s="1"/>
  <c r="Q139" i="1" s="1"/>
  <c r="S139" i="1" s="1"/>
  <c r="T139" i="1" s="1"/>
  <c r="M139" i="1"/>
  <c r="U139" i="1" s="1"/>
  <c r="V139" i="1" s="1"/>
  <c r="N133" i="1"/>
  <c r="O133" i="1" s="1"/>
  <c r="P133" i="1" s="1"/>
  <c r="Q133" i="1" s="1"/>
  <c r="S133" i="1" s="1"/>
  <c r="T133" i="1" s="1"/>
  <c r="M133" i="1"/>
  <c r="U133" i="1" s="1"/>
  <c r="V133" i="1" s="1"/>
  <c r="N127" i="1"/>
  <c r="O127" i="1" s="1"/>
  <c r="P127" i="1" s="1"/>
  <c r="Q127" i="1" s="1"/>
  <c r="S127" i="1" s="1"/>
  <c r="T127" i="1" s="1"/>
  <c r="M127" i="1"/>
  <c r="N121" i="1"/>
  <c r="O121" i="1" s="1"/>
  <c r="P121" i="1" s="1"/>
  <c r="Q121" i="1" s="1"/>
  <c r="S121" i="1" s="1"/>
  <c r="T121" i="1" s="1"/>
  <c r="M121" i="1"/>
  <c r="U121" i="1" s="1"/>
  <c r="V121" i="1" s="1"/>
  <c r="N115" i="1"/>
  <c r="O115" i="1" s="1"/>
  <c r="P115" i="1" s="1"/>
  <c r="Q115" i="1" s="1"/>
  <c r="S115" i="1" s="1"/>
  <c r="T115" i="1" s="1"/>
  <c r="M115" i="1"/>
  <c r="U115" i="1" s="1"/>
  <c r="V115" i="1" s="1"/>
  <c r="N109" i="1"/>
  <c r="O109" i="1" s="1"/>
  <c r="P109" i="1" s="1"/>
  <c r="Q109" i="1" s="1"/>
  <c r="S109" i="1" s="1"/>
  <c r="T109" i="1" s="1"/>
  <c r="M109" i="1"/>
  <c r="U109" i="1" s="1"/>
  <c r="V109" i="1" s="1"/>
  <c r="N103" i="1"/>
  <c r="O103" i="1" s="1"/>
  <c r="P103" i="1" s="1"/>
  <c r="Q103" i="1" s="1"/>
  <c r="S103" i="1" s="1"/>
  <c r="T103" i="1" s="1"/>
  <c r="U103" i="1" s="1"/>
  <c r="V103" i="1" s="1"/>
  <c r="M103" i="1"/>
  <c r="N97" i="1"/>
  <c r="O97" i="1" s="1"/>
  <c r="P97" i="1" s="1"/>
  <c r="Q97" i="1" s="1"/>
  <c r="S97" i="1" s="1"/>
  <c r="T97" i="1" s="1"/>
  <c r="M97" i="1"/>
  <c r="N91" i="1"/>
  <c r="O91" i="1" s="1"/>
  <c r="P91" i="1" s="1"/>
  <c r="Q91" i="1" s="1"/>
  <c r="S91" i="1" s="1"/>
  <c r="T91" i="1" s="1"/>
  <c r="M91" i="1"/>
  <c r="N85" i="1"/>
  <c r="O85" i="1" s="1"/>
  <c r="P85" i="1" s="1"/>
  <c r="Q85" i="1" s="1"/>
  <c r="S85" i="1" s="1"/>
  <c r="T85" i="1" s="1"/>
  <c r="U85" i="1" s="1"/>
  <c r="V85" i="1" s="1"/>
  <c r="M85" i="1"/>
  <c r="N79" i="1"/>
  <c r="O79" i="1" s="1"/>
  <c r="P79" i="1" s="1"/>
  <c r="Q79" i="1" s="1"/>
  <c r="S79" i="1" s="1"/>
  <c r="T79" i="1" s="1"/>
  <c r="M79" i="1"/>
  <c r="N73" i="1"/>
  <c r="O73" i="1" s="1"/>
  <c r="P73" i="1" s="1"/>
  <c r="Q73" i="1" s="1"/>
  <c r="S73" i="1" s="1"/>
  <c r="T73" i="1" s="1"/>
  <c r="M73" i="1"/>
  <c r="U73" i="1" s="1"/>
  <c r="V73" i="1" s="1"/>
  <c r="N67" i="1"/>
  <c r="O67" i="1" s="1"/>
  <c r="P67" i="1" s="1"/>
  <c r="Q67" i="1" s="1"/>
  <c r="S67" i="1" s="1"/>
  <c r="T67" i="1" s="1"/>
  <c r="U67" i="1" s="1"/>
  <c r="V67" i="1" s="1"/>
  <c r="M67" i="1"/>
  <c r="N61" i="1"/>
  <c r="O61" i="1" s="1"/>
  <c r="P61" i="1" s="1"/>
  <c r="Q61" i="1" s="1"/>
  <c r="S61" i="1" s="1"/>
  <c r="T61" i="1" s="1"/>
  <c r="M61" i="1"/>
  <c r="N55" i="1"/>
  <c r="O55" i="1" s="1"/>
  <c r="P55" i="1" s="1"/>
  <c r="Q55" i="1" s="1"/>
  <c r="S55" i="1" s="1"/>
  <c r="T55" i="1" s="1"/>
  <c r="M55" i="1"/>
  <c r="U55" i="1" s="1"/>
  <c r="V55" i="1" s="1"/>
  <c r="N49" i="1"/>
  <c r="O49" i="1" s="1"/>
  <c r="P49" i="1" s="1"/>
  <c r="Q49" i="1" s="1"/>
  <c r="S49" i="1" s="1"/>
  <c r="T49" i="1" s="1"/>
  <c r="M49" i="1"/>
  <c r="U49" i="1" s="1"/>
  <c r="V49" i="1" s="1"/>
  <c r="N43" i="1"/>
  <c r="O43" i="1" s="1"/>
  <c r="P43" i="1" s="1"/>
  <c r="Q43" i="1" s="1"/>
  <c r="S43" i="1" s="1"/>
  <c r="T43" i="1" s="1"/>
  <c r="M43" i="1"/>
  <c r="U43" i="1" s="1"/>
  <c r="V43" i="1" s="1"/>
  <c r="N37" i="1"/>
  <c r="O37" i="1" s="1"/>
  <c r="P37" i="1" s="1"/>
  <c r="Q37" i="1" s="1"/>
  <c r="S37" i="1" s="1"/>
  <c r="T37" i="1" s="1"/>
  <c r="M37" i="1"/>
  <c r="U37" i="1" s="1"/>
  <c r="V37" i="1" s="1"/>
  <c r="N31" i="1"/>
  <c r="O31" i="1" s="1"/>
  <c r="P31" i="1" s="1"/>
  <c r="Q31" i="1" s="1"/>
  <c r="S31" i="1" s="1"/>
  <c r="T31" i="1" s="1"/>
  <c r="U31" i="1" s="1"/>
  <c r="V31" i="1" s="1"/>
  <c r="M31" i="1"/>
  <c r="N25" i="1"/>
  <c r="O25" i="1" s="1"/>
  <c r="P25" i="1" s="1"/>
  <c r="Q25" i="1" s="1"/>
  <c r="S25" i="1" s="1"/>
  <c r="T25" i="1" s="1"/>
  <c r="M25" i="1"/>
  <c r="U25" i="1" s="1"/>
  <c r="V25" i="1" s="1"/>
  <c r="N19" i="1"/>
  <c r="O19" i="1" s="1"/>
  <c r="P19" i="1" s="1"/>
  <c r="Q19" i="1" s="1"/>
  <c r="S19" i="1" s="1"/>
  <c r="T19" i="1" s="1"/>
  <c r="M19" i="1"/>
  <c r="U19" i="1" s="1"/>
  <c r="V19" i="1" s="1"/>
  <c r="N13" i="1"/>
  <c r="O13" i="1" s="1"/>
  <c r="P13" i="1" s="1"/>
  <c r="Q13" i="1" s="1"/>
  <c r="S13" i="1" s="1"/>
  <c r="T13" i="1" s="1"/>
  <c r="M13" i="1"/>
  <c r="U13" i="1" s="1"/>
  <c r="V13" i="1" s="1"/>
  <c r="M1003" i="1"/>
  <c r="U1003" i="1" s="1"/>
  <c r="V1003" i="1" s="1"/>
  <c r="M991" i="1"/>
  <c r="U991" i="1" s="1"/>
  <c r="V991" i="1" s="1"/>
  <c r="M979" i="1"/>
  <c r="M963" i="1"/>
  <c r="M945" i="1"/>
  <c r="U945" i="1" s="1"/>
  <c r="V945" i="1" s="1"/>
  <c r="M918" i="1"/>
  <c r="U918" i="1" s="1"/>
  <c r="V918" i="1" s="1"/>
  <c r="M891" i="1"/>
  <c r="M864" i="1"/>
  <c r="N960" i="1"/>
  <c r="O960" i="1" s="1"/>
  <c r="P960" i="1" s="1"/>
  <c r="Q960" i="1" s="1"/>
  <c r="S960" i="1" s="1"/>
  <c r="T960" i="1" s="1"/>
  <c r="M960" i="1"/>
  <c r="U960" i="1" s="1"/>
  <c r="V960" i="1" s="1"/>
  <c r="N888" i="1"/>
  <c r="O888" i="1" s="1"/>
  <c r="P888" i="1" s="1"/>
  <c r="Q888" i="1" s="1"/>
  <c r="S888" i="1" s="1"/>
  <c r="T888" i="1" s="1"/>
  <c r="M888" i="1"/>
  <c r="U888" i="1" s="1"/>
  <c r="V888" i="1" s="1"/>
  <c r="N8" i="1"/>
  <c r="O8" i="1" s="1"/>
  <c r="P8" i="1" s="1"/>
  <c r="Q8" i="1" s="1"/>
  <c r="S8" i="1" s="1"/>
  <c r="T8" i="1" s="1"/>
  <c r="M8" i="1"/>
  <c r="U8" i="1" s="1"/>
  <c r="V8" i="1" s="1"/>
  <c r="M1004" i="1"/>
  <c r="N1004" i="1"/>
  <c r="O1004" i="1" s="1"/>
  <c r="P1004" i="1" s="1"/>
  <c r="Q1004" i="1" s="1"/>
  <c r="S1004" i="1" s="1"/>
  <c r="T1004" i="1" s="1"/>
  <c r="U1004" i="1" s="1"/>
  <c r="V1004" i="1" s="1"/>
  <c r="N998" i="1"/>
  <c r="O998" i="1" s="1"/>
  <c r="P998" i="1" s="1"/>
  <c r="Q998" i="1" s="1"/>
  <c r="S998" i="1" s="1"/>
  <c r="T998" i="1" s="1"/>
  <c r="M998" i="1"/>
  <c r="U998" i="1" s="1"/>
  <c r="V998" i="1" s="1"/>
  <c r="N992" i="1"/>
  <c r="O992" i="1" s="1"/>
  <c r="P992" i="1" s="1"/>
  <c r="Q992" i="1" s="1"/>
  <c r="S992" i="1" s="1"/>
  <c r="T992" i="1" s="1"/>
  <c r="M992" i="1"/>
  <c r="M986" i="1"/>
  <c r="U986" i="1" s="1"/>
  <c r="V986" i="1" s="1"/>
  <c r="N986" i="1"/>
  <c r="O986" i="1" s="1"/>
  <c r="P986" i="1" s="1"/>
  <c r="Q986" i="1" s="1"/>
  <c r="S986" i="1" s="1"/>
  <c r="T986" i="1" s="1"/>
  <c r="N980" i="1"/>
  <c r="O980" i="1" s="1"/>
  <c r="P980" i="1" s="1"/>
  <c r="Q980" i="1" s="1"/>
  <c r="S980" i="1" s="1"/>
  <c r="T980" i="1" s="1"/>
  <c r="M980" i="1"/>
  <c r="U980" i="1" s="1"/>
  <c r="V980" i="1" s="1"/>
  <c r="N974" i="1"/>
  <c r="O974" i="1" s="1"/>
  <c r="P974" i="1" s="1"/>
  <c r="Q974" i="1" s="1"/>
  <c r="S974" i="1" s="1"/>
  <c r="T974" i="1" s="1"/>
  <c r="M974" i="1"/>
  <c r="U974" i="1" s="1"/>
  <c r="V974" i="1" s="1"/>
  <c r="S968" i="1"/>
  <c r="T968" i="1" s="1"/>
  <c r="N962" i="1"/>
  <c r="O962" i="1" s="1"/>
  <c r="P962" i="1" s="1"/>
  <c r="Q962" i="1" s="1"/>
  <c r="S962" i="1" s="1"/>
  <c r="T962" i="1" s="1"/>
  <c r="M962" i="1"/>
  <c r="N956" i="1"/>
  <c r="O956" i="1" s="1"/>
  <c r="P956" i="1" s="1"/>
  <c r="Q956" i="1" s="1"/>
  <c r="S956" i="1" s="1"/>
  <c r="T956" i="1" s="1"/>
  <c r="M956" i="1"/>
  <c r="U956" i="1" s="1"/>
  <c r="V956" i="1" s="1"/>
  <c r="S950" i="1"/>
  <c r="T950" i="1" s="1"/>
  <c r="U950" i="1" s="1"/>
  <c r="V950" i="1" s="1"/>
  <c r="N944" i="1"/>
  <c r="O944" i="1" s="1"/>
  <c r="P944" i="1" s="1"/>
  <c r="Q944" i="1" s="1"/>
  <c r="S944" i="1" s="1"/>
  <c r="T944" i="1" s="1"/>
  <c r="M944" i="1"/>
  <c r="U944" i="1" s="1"/>
  <c r="V944" i="1" s="1"/>
  <c r="N938" i="1"/>
  <c r="O938" i="1" s="1"/>
  <c r="P938" i="1" s="1"/>
  <c r="Q938" i="1" s="1"/>
  <c r="S938" i="1" s="1"/>
  <c r="T938" i="1" s="1"/>
  <c r="M938" i="1"/>
  <c r="U938" i="1" s="1"/>
  <c r="V938" i="1" s="1"/>
  <c r="M932" i="1"/>
  <c r="N932" i="1"/>
  <c r="O932" i="1" s="1"/>
  <c r="P932" i="1" s="1"/>
  <c r="Q932" i="1" s="1"/>
  <c r="S932" i="1" s="1"/>
  <c r="T932" i="1" s="1"/>
  <c r="U932" i="1" s="1"/>
  <c r="V932" i="1" s="1"/>
  <c r="N926" i="1"/>
  <c r="O926" i="1" s="1"/>
  <c r="P926" i="1" s="1"/>
  <c r="Q926" i="1" s="1"/>
  <c r="S926" i="1" s="1"/>
  <c r="T926" i="1" s="1"/>
  <c r="M926" i="1"/>
  <c r="U926" i="1" s="1"/>
  <c r="V926" i="1" s="1"/>
  <c r="N920" i="1"/>
  <c r="O920" i="1" s="1"/>
  <c r="P920" i="1" s="1"/>
  <c r="Q920" i="1" s="1"/>
  <c r="S920" i="1" s="1"/>
  <c r="T920" i="1" s="1"/>
  <c r="M920" i="1"/>
  <c r="U920" i="1" s="1"/>
  <c r="V920" i="1" s="1"/>
  <c r="N914" i="1"/>
  <c r="O914" i="1" s="1"/>
  <c r="P914" i="1" s="1"/>
  <c r="Q914" i="1" s="1"/>
  <c r="S914" i="1" s="1"/>
  <c r="T914" i="1" s="1"/>
  <c r="M914" i="1"/>
  <c r="U914" i="1" s="1"/>
  <c r="V914" i="1" s="1"/>
  <c r="N908" i="1"/>
  <c r="O908" i="1" s="1"/>
  <c r="P908" i="1" s="1"/>
  <c r="Q908" i="1" s="1"/>
  <c r="S908" i="1" s="1"/>
  <c r="T908" i="1" s="1"/>
  <c r="M908" i="1"/>
  <c r="U908" i="1" s="1"/>
  <c r="V908" i="1" s="1"/>
  <c r="N902" i="1"/>
  <c r="O902" i="1" s="1"/>
  <c r="P902" i="1" s="1"/>
  <c r="Q902" i="1" s="1"/>
  <c r="S902" i="1" s="1"/>
  <c r="T902" i="1" s="1"/>
  <c r="M902" i="1"/>
  <c r="U902" i="1" s="1"/>
  <c r="V902" i="1" s="1"/>
  <c r="N896" i="1"/>
  <c r="O896" i="1" s="1"/>
  <c r="P896" i="1" s="1"/>
  <c r="Q896" i="1" s="1"/>
  <c r="S896" i="1" s="1"/>
  <c r="T896" i="1" s="1"/>
  <c r="M896" i="1"/>
  <c r="U896" i="1" s="1"/>
  <c r="V896" i="1" s="1"/>
  <c r="N890" i="1"/>
  <c r="O890" i="1" s="1"/>
  <c r="P890" i="1" s="1"/>
  <c r="Q890" i="1" s="1"/>
  <c r="S890" i="1" s="1"/>
  <c r="T890" i="1" s="1"/>
  <c r="M890" i="1"/>
  <c r="N884" i="1"/>
  <c r="O884" i="1" s="1"/>
  <c r="P884" i="1" s="1"/>
  <c r="Q884" i="1" s="1"/>
  <c r="S884" i="1" s="1"/>
  <c r="T884" i="1" s="1"/>
  <c r="M884" i="1"/>
  <c r="U884" i="1" s="1"/>
  <c r="V884" i="1" s="1"/>
  <c r="N878" i="1"/>
  <c r="O878" i="1" s="1"/>
  <c r="P878" i="1" s="1"/>
  <c r="Q878" i="1" s="1"/>
  <c r="S878" i="1" s="1"/>
  <c r="T878" i="1" s="1"/>
  <c r="M878" i="1"/>
  <c r="U878" i="1" s="1"/>
  <c r="V878" i="1" s="1"/>
  <c r="N872" i="1"/>
  <c r="O872" i="1" s="1"/>
  <c r="P872" i="1" s="1"/>
  <c r="Q872" i="1" s="1"/>
  <c r="S872" i="1" s="1"/>
  <c r="T872" i="1" s="1"/>
  <c r="M872" i="1"/>
  <c r="U872" i="1" s="1"/>
  <c r="V872" i="1" s="1"/>
  <c r="M866" i="1"/>
  <c r="U866" i="1" s="1"/>
  <c r="V866" i="1" s="1"/>
  <c r="N866" i="1"/>
  <c r="O866" i="1" s="1"/>
  <c r="P866" i="1" s="1"/>
  <c r="Q866" i="1" s="1"/>
  <c r="S866" i="1" s="1"/>
  <c r="T866" i="1" s="1"/>
  <c r="N860" i="1"/>
  <c r="O860" i="1" s="1"/>
  <c r="P860" i="1" s="1"/>
  <c r="Q860" i="1" s="1"/>
  <c r="S860" i="1" s="1"/>
  <c r="T860" i="1" s="1"/>
  <c r="M860" i="1"/>
  <c r="N854" i="1"/>
  <c r="O854" i="1" s="1"/>
  <c r="P854" i="1" s="1"/>
  <c r="Q854" i="1" s="1"/>
  <c r="S854" i="1" s="1"/>
  <c r="T854" i="1" s="1"/>
  <c r="M854" i="1"/>
  <c r="N848" i="1"/>
  <c r="O848" i="1" s="1"/>
  <c r="P848" i="1" s="1"/>
  <c r="Q848" i="1" s="1"/>
  <c r="S848" i="1" s="1"/>
  <c r="T848" i="1" s="1"/>
  <c r="U848" i="1" s="1"/>
  <c r="V848" i="1" s="1"/>
  <c r="M848" i="1"/>
  <c r="N842" i="1"/>
  <c r="O842" i="1" s="1"/>
  <c r="P842" i="1" s="1"/>
  <c r="Q842" i="1" s="1"/>
  <c r="S842" i="1" s="1"/>
  <c r="T842" i="1" s="1"/>
  <c r="M842" i="1"/>
  <c r="U842" i="1" s="1"/>
  <c r="V842" i="1" s="1"/>
  <c r="N836" i="1"/>
  <c r="O836" i="1" s="1"/>
  <c r="P836" i="1" s="1"/>
  <c r="Q836" i="1" s="1"/>
  <c r="S836" i="1" s="1"/>
  <c r="T836" i="1" s="1"/>
  <c r="M836" i="1"/>
  <c r="U836" i="1" s="1"/>
  <c r="V836" i="1" s="1"/>
  <c r="N830" i="1"/>
  <c r="O830" i="1" s="1"/>
  <c r="P830" i="1" s="1"/>
  <c r="Q830" i="1" s="1"/>
  <c r="S830" i="1" s="1"/>
  <c r="T830" i="1" s="1"/>
  <c r="M830" i="1"/>
  <c r="U830" i="1" s="1"/>
  <c r="V830" i="1" s="1"/>
  <c r="N824" i="1"/>
  <c r="O824" i="1" s="1"/>
  <c r="P824" i="1" s="1"/>
  <c r="Q824" i="1" s="1"/>
  <c r="S824" i="1" s="1"/>
  <c r="T824" i="1" s="1"/>
  <c r="M824" i="1"/>
  <c r="U824" i="1" s="1"/>
  <c r="V824" i="1" s="1"/>
  <c r="N818" i="1"/>
  <c r="O818" i="1" s="1"/>
  <c r="P818" i="1" s="1"/>
  <c r="Q818" i="1" s="1"/>
  <c r="S818" i="1" s="1"/>
  <c r="T818" i="1" s="1"/>
  <c r="M818" i="1"/>
  <c r="U818" i="1" s="1"/>
  <c r="V818" i="1" s="1"/>
  <c r="N812" i="1"/>
  <c r="O812" i="1" s="1"/>
  <c r="P812" i="1" s="1"/>
  <c r="Q812" i="1" s="1"/>
  <c r="S812" i="1" s="1"/>
  <c r="T812" i="1" s="1"/>
  <c r="M812" i="1"/>
  <c r="N806" i="1"/>
  <c r="O806" i="1" s="1"/>
  <c r="P806" i="1" s="1"/>
  <c r="Q806" i="1" s="1"/>
  <c r="S806" i="1" s="1"/>
  <c r="T806" i="1" s="1"/>
  <c r="M806" i="1"/>
  <c r="N800" i="1"/>
  <c r="O800" i="1" s="1"/>
  <c r="P800" i="1" s="1"/>
  <c r="Q800" i="1" s="1"/>
  <c r="S800" i="1" s="1"/>
  <c r="T800" i="1" s="1"/>
  <c r="M800" i="1"/>
  <c r="U800" i="1" s="1"/>
  <c r="V800" i="1" s="1"/>
  <c r="N794" i="1"/>
  <c r="O794" i="1" s="1"/>
  <c r="P794" i="1" s="1"/>
  <c r="Q794" i="1" s="1"/>
  <c r="S794" i="1" s="1"/>
  <c r="T794" i="1" s="1"/>
  <c r="U794" i="1" s="1"/>
  <c r="V794" i="1" s="1"/>
  <c r="M794" i="1"/>
  <c r="N788" i="1"/>
  <c r="O788" i="1" s="1"/>
  <c r="P788" i="1" s="1"/>
  <c r="Q788" i="1" s="1"/>
  <c r="S788" i="1" s="1"/>
  <c r="T788" i="1" s="1"/>
  <c r="M788" i="1"/>
  <c r="N782" i="1"/>
  <c r="O782" i="1" s="1"/>
  <c r="P782" i="1" s="1"/>
  <c r="Q782" i="1" s="1"/>
  <c r="S782" i="1" s="1"/>
  <c r="T782" i="1" s="1"/>
  <c r="M782" i="1"/>
  <c r="U782" i="1" s="1"/>
  <c r="V782" i="1" s="1"/>
  <c r="N776" i="1"/>
  <c r="O776" i="1" s="1"/>
  <c r="P776" i="1" s="1"/>
  <c r="Q776" i="1" s="1"/>
  <c r="S776" i="1" s="1"/>
  <c r="T776" i="1" s="1"/>
  <c r="M776" i="1"/>
  <c r="U776" i="1" s="1"/>
  <c r="V776" i="1" s="1"/>
  <c r="N770" i="1"/>
  <c r="O770" i="1" s="1"/>
  <c r="P770" i="1" s="1"/>
  <c r="Q770" i="1" s="1"/>
  <c r="S770" i="1" s="1"/>
  <c r="T770" i="1" s="1"/>
  <c r="M770" i="1"/>
  <c r="N764" i="1"/>
  <c r="O764" i="1" s="1"/>
  <c r="P764" i="1" s="1"/>
  <c r="Q764" i="1" s="1"/>
  <c r="S764" i="1" s="1"/>
  <c r="T764" i="1" s="1"/>
  <c r="M764" i="1"/>
  <c r="U764" i="1" s="1"/>
  <c r="V764" i="1" s="1"/>
  <c r="N758" i="1"/>
  <c r="O758" i="1" s="1"/>
  <c r="P758" i="1" s="1"/>
  <c r="Q758" i="1" s="1"/>
  <c r="S758" i="1" s="1"/>
  <c r="T758" i="1" s="1"/>
  <c r="M758" i="1"/>
  <c r="U758" i="1" s="1"/>
  <c r="V758" i="1" s="1"/>
  <c r="N752" i="1"/>
  <c r="O752" i="1" s="1"/>
  <c r="P752" i="1" s="1"/>
  <c r="Q752" i="1" s="1"/>
  <c r="S752" i="1" s="1"/>
  <c r="T752" i="1" s="1"/>
  <c r="M752" i="1"/>
  <c r="U752" i="1" s="1"/>
  <c r="V752" i="1" s="1"/>
  <c r="N746" i="1"/>
  <c r="O746" i="1" s="1"/>
  <c r="P746" i="1" s="1"/>
  <c r="Q746" i="1" s="1"/>
  <c r="S746" i="1" s="1"/>
  <c r="T746" i="1" s="1"/>
  <c r="M746" i="1"/>
  <c r="N740" i="1"/>
  <c r="O740" i="1" s="1"/>
  <c r="P740" i="1" s="1"/>
  <c r="Q740" i="1" s="1"/>
  <c r="S740" i="1" s="1"/>
  <c r="T740" i="1" s="1"/>
  <c r="M740" i="1"/>
  <c r="U740" i="1" s="1"/>
  <c r="V740" i="1" s="1"/>
  <c r="N734" i="1"/>
  <c r="O734" i="1" s="1"/>
  <c r="P734" i="1" s="1"/>
  <c r="Q734" i="1" s="1"/>
  <c r="S734" i="1" s="1"/>
  <c r="T734" i="1" s="1"/>
  <c r="M734" i="1"/>
  <c r="U734" i="1" s="1"/>
  <c r="V734" i="1" s="1"/>
  <c r="N728" i="1"/>
  <c r="O728" i="1" s="1"/>
  <c r="P728" i="1" s="1"/>
  <c r="Q728" i="1" s="1"/>
  <c r="S728" i="1" s="1"/>
  <c r="T728" i="1" s="1"/>
  <c r="M728" i="1"/>
  <c r="N722" i="1"/>
  <c r="O722" i="1" s="1"/>
  <c r="P722" i="1" s="1"/>
  <c r="Q722" i="1" s="1"/>
  <c r="S722" i="1" s="1"/>
  <c r="T722" i="1" s="1"/>
  <c r="M722" i="1"/>
  <c r="U722" i="1" s="1"/>
  <c r="V722" i="1" s="1"/>
  <c r="N716" i="1"/>
  <c r="O716" i="1" s="1"/>
  <c r="P716" i="1" s="1"/>
  <c r="Q716" i="1" s="1"/>
  <c r="S716" i="1" s="1"/>
  <c r="T716" i="1" s="1"/>
  <c r="M716" i="1"/>
  <c r="U716" i="1" s="1"/>
  <c r="V716" i="1" s="1"/>
  <c r="N710" i="1"/>
  <c r="O710" i="1" s="1"/>
  <c r="P710" i="1" s="1"/>
  <c r="Q710" i="1" s="1"/>
  <c r="S710" i="1" s="1"/>
  <c r="T710" i="1" s="1"/>
  <c r="M710" i="1"/>
  <c r="U710" i="1" s="1"/>
  <c r="V710" i="1" s="1"/>
  <c r="N704" i="1"/>
  <c r="O704" i="1" s="1"/>
  <c r="P704" i="1" s="1"/>
  <c r="Q704" i="1" s="1"/>
  <c r="S704" i="1" s="1"/>
  <c r="T704" i="1" s="1"/>
  <c r="M704" i="1"/>
  <c r="U704" i="1" s="1"/>
  <c r="V704" i="1" s="1"/>
  <c r="N698" i="1"/>
  <c r="O698" i="1" s="1"/>
  <c r="P698" i="1" s="1"/>
  <c r="Q698" i="1" s="1"/>
  <c r="S698" i="1" s="1"/>
  <c r="T698" i="1" s="1"/>
  <c r="M698" i="1"/>
  <c r="U698" i="1" s="1"/>
  <c r="V698" i="1" s="1"/>
  <c r="N692" i="1"/>
  <c r="O692" i="1" s="1"/>
  <c r="P692" i="1" s="1"/>
  <c r="Q692" i="1" s="1"/>
  <c r="S692" i="1" s="1"/>
  <c r="T692" i="1" s="1"/>
  <c r="M692" i="1"/>
  <c r="U692" i="1" s="1"/>
  <c r="V692" i="1" s="1"/>
  <c r="N686" i="1"/>
  <c r="O686" i="1" s="1"/>
  <c r="P686" i="1" s="1"/>
  <c r="Q686" i="1" s="1"/>
  <c r="S686" i="1" s="1"/>
  <c r="T686" i="1" s="1"/>
  <c r="M686" i="1"/>
  <c r="U686" i="1" s="1"/>
  <c r="V686" i="1" s="1"/>
  <c r="N680" i="1"/>
  <c r="O680" i="1" s="1"/>
  <c r="P680" i="1" s="1"/>
  <c r="Q680" i="1" s="1"/>
  <c r="S680" i="1" s="1"/>
  <c r="T680" i="1" s="1"/>
  <c r="M680" i="1"/>
  <c r="U680" i="1" s="1"/>
  <c r="V680" i="1" s="1"/>
  <c r="N674" i="1"/>
  <c r="O674" i="1" s="1"/>
  <c r="P674" i="1" s="1"/>
  <c r="Q674" i="1" s="1"/>
  <c r="S674" i="1" s="1"/>
  <c r="T674" i="1" s="1"/>
  <c r="M674" i="1"/>
  <c r="U674" i="1" s="1"/>
  <c r="V674" i="1" s="1"/>
  <c r="N668" i="1"/>
  <c r="O668" i="1" s="1"/>
  <c r="P668" i="1" s="1"/>
  <c r="Q668" i="1" s="1"/>
  <c r="S668" i="1" s="1"/>
  <c r="T668" i="1" s="1"/>
  <c r="M668" i="1"/>
  <c r="U668" i="1" s="1"/>
  <c r="V668" i="1" s="1"/>
  <c r="N662" i="1"/>
  <c r="O662" i="1" s="1"/>
  <c r="P662" i="1" s="1"/>
  <c r="Q662" i="1" s="1"/>
  <c r="S662" i="1" s="1"/>
  <c r="T662" i="1" s="1"/>
  <c r="M662" i="1"/>
  <c r="U662" i="1" s="1"/>
  <c r="V662" i="1" s="1"/>
  <c r="N656" i="1"/>
  <c r="O656" i="1" s="1"/>
  <c r="P656" i="1" s="1"/>
  <c r="Q656" i="1" s="1"/>
  <c r="S656" i="1" s="1"/>
  <c r="T656" i="1" s="1"/>
  <c r="M656" i="1"/>
  <c r="U656" i="1" s="1"/>
  <c r="V656" i="1" s="1"/>
  <c r="N650" i="1"/>
  <c r="O650" i="1" s="1"/>
  <c r="P650" i="1" s="1"/>
  <c r="Q650" i="1" s="1"/>
  <c r="S650" i="1" s="1"/>
  <c r="T650" i="1" s="1"/>
  <c r="M650" i="1"/>
  <c r="U650" i="1" s="1"/>
  <c r="V650" i="1" s="1"/>
  <c r="N644" i="1"/>
  <c r="O644" i="1" s="1"/>
  <c r="P644" i="1" s="1"/>
  <c r="Q644" i="1" s="1"/>
  <c r="S644" i="1" s="1"/>
  <c r="T644" i="1" s="1"/>
  <c r="M644" i="1"/>
  <c r="U644" i="1" s="1"/>
  <c r="V644" i="1" s="1"/>
  <c r="N638" i="1"/>
  <c r="O638" i="1" s="1"/>
  <c r="P638" i="1" s="1"/>
  <c r="Q638" i="1" s="1"/>
  <c r="S638" i="1" s="1"/>
  <c r="T638" i="1" s="1"/>
  <c r="M638" i="1"/>
  <c r="U638" i="1" s="1"/>
  <c r="V638" i="1" s="1"/>
  <c r="N632" i="1"/>
  <c r="O632" i="1" s="1"/>
  <c r="P632" i="1" s="1"/>
  <c r="Q632" i="1" s="1"/>
  <c r="S632" i="1" s="1"/>
  <c r="T632" i="1" s="1"/>
  <c r="M632" i="1"/>
  <c r="U632" i="1" s="1"/>
  <c r="V632" i="1" s="1"/>
  <c r="N626" i="1"/>
  <c r="O626" i="1" s="1"/>
  <c r="P626" i="1" s="1"/>
  <c r="Q626" i="1" s="1"/>
  <c r="S626" i="1" s="1"/>
  <c r="T626" i="1" s="1"/>
  <c r="M626" i="1"/>
  <c r="N620" i="1"/>
  <c r="O620" i="1" s="1"/>
  <c r="P620" i="1" s="1"/>
  <c r="Q620" i="1" s="1"/>
  <c r="S620" i="1" s="1"/>
  <c r="T620" i="1" s="1"/>
  <c r="M620" i="1"/>
  <c r="U620" i="1" s="1"/>
  <c r="V620" i="1" s="1"/>
  <c r="N614" i="1"/>
  <c r="O614" i="1" s="1"/>
  <c r="P614" i="1" s="1"/>
  <c r="Q614" i="1" s="1"/>
  <c r="S614" i="1" s="1"/>
  <c r="T614" i="1" s="1"/>
  <c r="M614" i="1"/>
  <c r="U614" i="1" s="1"/>
  <c r="V614" i="1" s="1"/>
  <c r="N608" i="1"/>
  <c r="O608" i="1" s="1"/>
  <c r="P608" i="1" s="1"/>
  <c r="Q608" i="1" s="1"/>
  <c r="S608" i="1" s="1"/>
  <c r="T608" i="1" s="1"/>
  <c r="M608" i="1"/>
  <c r="N602" i="1"/>
  <c r="O602" i="1" s="1"/>
  <c r="P602" i="1" s="1"/>
  <c r="Q602" i="1" s="1"/>
  <c r="S602" i="1" s="1"/>
  <c r="T602" i="1" s="1"/>
  <c r="M602" i="1"/>
  <c r="U602" i="1" s="1"/>
  <c r="V602" i="1" s="1"/>
  <c r="N596" i="1"/>
  <c r="O596" i="1" s="1"/>
  <c r="P596" i="1" s="1"/>
  <c r="Q596" i="1" s="1"/>
  <c r="S596" i="1" s="1"/>
  <c r="T596" i="1" s="1"/>
  <c r="U596" i="1" s="1"/>
  <c r="V596" i="1" s="1"/>
  <c r="M596" i="1"/>
  <c r="N590" i="1"/>
  <c r="O590" i="1" s="1"/>
  <c r="P590" i="1" s="1"/>
  <c r="Q590" i="1" s="1"/>
  <c r="S590" i="1" s="1"/>
  <c r="T590" i="1" s="1"/>
  <c r="M590" i="1"/>
  <c r="U590" i="1" s="1"/>
  <c r="V590" i="1" s="1"/>
  <c r="N584" i="1"/>
  <c r="O584" i="1" s="1"/>
  <c r="P584" i="1" s="1"/>
  <c r="Q584" i="1" s="1"/>
  <c r="S584" i="1" s="1"/>
  <c r="T584" i="1" s="1"/>
  <c r="M584" i="1"/>
  <c r="U584" i="1" s="1"/>
  <c r="V584" i="1" s="1"/>
  <c r="N578" i="1"/>
  <c r="O578" i="1" s="1"/>
  <c r="P578" i="1" s="1"/>
  <c r="Q578" i="1" s="1"/>
  <c r="S578" i="1" s="1"/>
  <c r="T578" i="1" s="1"/>
  <c r="M578" i="1"/>
  <c r="U578" i="1" s="1"/>
  <c r="V578" i="1" s="1"/>
  <c r="N572" i="1"/>
  <c r="O572" i="1" s="1"/>
  <c r="P572" i="1" s="1"/>
  <c r="Q572" i="1" s="1"/>
  <c r="S572" i="1" s="1"/>
  <c r="T572" i="1" s="1"/>
  <c r="M572" i="1"/>
  <c r="U572" i="1" s="1"/>
  <c r="V572" i="1" s="1"/>
  <c r="N566" i="1"/>
  <c r="O566" i="1" s="1"/>
  <c r="P566" i="1" s="1"/>
  <c r="Q566" i="1" s="1"/>
  <c r="S566" i="1" s="1"/>
  <c r="T566" i="1" s="1"/>
  <c r="M566" i="1"/>
  <c r="N560" i="1"/>
  <c r="O560" i="1" s="1"/>
  <c r="P560" i="1" s="1"/>
  <c r="Q560" i="1" s="1"/>
  <c r="S560" i="1" s="1"/>
  <c r="T560" i="1" s="1"/>
  <c r="U560" i="1" s="1"/>
  <c r="V560" i="1" s="1"/>
  <c r="M560" i="1"/>
  <c r="N554" i="1"/>
  <c r="O554" i="1" s="1"/>
  <c r="P554" i="1" s="1"/>
  <c r="Q554" i="1" s="1"/>
  <c r="S554" i="1" s="1"/>
  <c r="T554" i="1" s="1"/>
  <c r="M554" i="1"/>
  <c r="N548" i="1"/>
  <c r="O548" i="1" s="1"/>
  <c r="P548" i="1" s="1"/>
  <c r="Q548" i="1" s="1"/>
  <c r="S548" i="1" s="1"/>
  <c r="T548" i="1" s="1"/>
  <c r="M548" i="1"/>
  <c r="U548" i="1" s="1"/>
  <c r="V548" i="1" s="1"/>
  <c r="N542" i="1"/>
  <c r="O542" i="1" s="1"/>
  <c r="P542" i="1" s="1"/>
  <c r="Q542" i="1" s="1"/>
  <c r="S542" i="1" s="1"/>
  <c r="T542" i="1" s="1"/>
  <c r="M542" i="1"/>
  <c r="U542" i="1" s="1"/>
  <c r="V542" i="1" s="1"/>
  <c r="N536" i="1"/>
  <c r="O536" i="1" s="1"/>
  <c r="P536" i="1" s="1"/>
  <c r="Q536" i="1" s="1"/>
  <c r="S536" i="1" s="1"/>
  <c r="T536" i="1" s="1"/>
  <c r="M536" i="1"/>
  <c r="U536" i="1" s="1"/>
  <c r="V536" i="1" s="1"/>
  <c r="N530" i="1"/>
  <c r="O530" i="1" s="1"/>
  <c r="P530" i="1" s="1"/>
  <c r="Q530" i="1" s="1"/>
  <c r="S530" i="1" s="1"/>
  <c r="T530" i="1" s="1"/>
  <c r="M530" i="1"/>
  <c r="U530" i="1" s="1"/>
  <c r="V530" i="1" s="1"/>
  <c r="N524" i="1"/>
  <c r="O524" i="1" s="1"/>
  <c r="P524" i="1" s="1"/>
  <c r="Q524" i="1" s="1"/>
  <c r="S524" i="1" s="1"/>
  <c r="T524" i="1" s="1"/>
  <c r="M524" i="1"/>
  <c r="U524" i="1" s="1"/>
  <c r="V524" i="1" s="1"/>
  <c r="N518" i="1"/>
  <c r="O518" i="1" s="1"/>
  <c r="P518" i="1" s="1"/>
  <c r="Q518" i="1" s="1"/>
  <c r="S518" i="1" s="1"/>
  <c r="T518" i="1" s="1"/>
  <c r="M518" i="1"/>
  <c r="U518" i="1" s="1"/>
  <c r="V518" i="1" s="1"/>
  <c r="N512" i="1"/>
  <c r="O512" i="1" s="1"/>
  <c r="P512" i="1" s="1"/>
  <c r="Q512" i="1" s="1"/>
  <c r="S512" i="1" s="1"/>
  <c r="T512" i="1" s="1"/>
  <c r="M512" i="1"/>
  <c r="N506" i="1"/>
  <c r="O506" i="1" s="1"/>
  <c r="P506" i="1" s="1"/>
  <c r="Q506" i="1" s="1"/>
  <c r="S506" i="1" s="1"/>
  <c r="T506" i="1" s="1"/>
  <c r="M506" i="1"/>
  <c r="U506" i="1" s="1"/>
  <c r="V506" i="1" s="1"/>
  <c r="N500" i="1"/>
  <c r="O500" i="1" s="1"/>
  <c r="P500" i="1" s="1"/>
  <c r="Q500" i="1" s="1"/>
  <c r="S500" i="1" s="1"/>
  <c r="T500" i="1" s="1"/>
  <c r="M500" i="1"/>
  <c r="N494" i="1"/>
  <c r="O494" i="1" s="1"/>
  <c r="P494" i="1" s="1"/>
  <c r="Q494" i="1" s="1"/>
  <c r="S494" i="1" s="1"/>
  <c r="T494" i="1" s="1"/>
  <c r="M494" i="1"/>
  <c r="N488" i="1"/>
  <c r="O488" i="1" s="1"/>
  <c r="P488" i="1" s="1"/>
  <c r="Q488" i="1" s="1"/>
  <c r="S488" i="1" s="1"/>
  <c r="T488" i="1" s="1"/>
  <c r="M488" i="1"/>
  <c r="U488" i="1" s="1"/>
  <c r="V488" i="1" s="1"/>
  <c r="N482" i="1"/>
  <c r="O482" i="1" s="1"/>
  <c r="P482" i="1" s="1"/>
  <c r="Q482" i="1" s="1"/>
  <c r="S482" i="1" s="1"/>
  <c r="T482" i="1" s="1"/>
  <c r="M482" i="1"/>
  <c r="U482" i="1" s="1"/>
  <c r="V482" i="1" s="1"/>
  <c r="N476" i="1"/>
  <c r="O476" i="1" s="1"/>
  <c r="P476" i="1" s="1"/>
  <c r="Q476" i="1" s="1"/>
  <c r="S476" i="1" s="1"/>
  <c r="T476" i="1" s="1"/>
  <c r="M476" i="1"/>
  <c r="U476" i="1" s="1"/>
  <c r="V476" i="1" s="1"/>
  <c r="N470" i="1"/>
  <c r="O470" i="1" s="1"/>
  <c r="P470" i="1" s="1"/>
  <c r="Q470" i="1" s="1"/>
  <c r="S470" i="1" s="1"/>
  <c r="T470" i="1" s="1"/>
  <c r="M470" i="1"/>
  <c r="U470" i="1" s="1"/>
  <c r="V470" i="1" s="1"/>
  <c r="N464" i="1"/>
  <c r="O464" i="1" s="1"/>
  <c r="P464" i="1" s="1"/>
  <c r="Q464" i="1" s="1"/>
  <c r="S464" i="1" s="1"/>
  <c r="T464" i="1" s="1"/>
  <c r="M464" i="1"/>
  <c r="U464" i="1" s="1"/>
  <c r="V464" i="1" s="1"/>
  <c r="N458" i="1"/>
  <c r="O458" i="1" s="1"/>
  <c r="P458" i="1" s="1"/>
  <c r="Q458" i="1" s="1"/>
  <c r="S458" i="1" s="1"/>
  <c r="T458" i="1" s="1"/>
  <c r="M458" i="1"/>
  <c r="U458" i="1" s="1"/>
  <c r="V458" i="1" s="1"/>
  <c r="N452" i="1"/>
  <c r="O452" i="1" s="1"/>
  <c r="P452" i="1" s="1"/>
  <c r="Q452" i="1" s="1"/>
  <c r="S452" i="1" s="1"/>
  <c r="T452" i="1" s="1"/>
  <c r="M452" i="1"/>
  <c r="U452" i="1" s="1"/>
  <c r="V452" i="1" s="1"/>
  <c r="N446" i="1"/>
  <c r="O446" i="1" s="1"/>
  <c r="P446" i="1" s="1"/>
  <c r="Q446" i="1" s="1"/>
  <c r="S446" i="1" s="1"/>
  <c r="T446" i="1" s="1"/>
  <c r="M446" i="1"/>
  <c r="U446" i="1" s="1"/>
  <c r="V446" i="1" s="1"/>
  <c r="N440" i="1"/>
  <c r="O440" i="1" s="1"/>
  <c r="P440" i="1" s="1"/>
  <c r="Q440" i="1" s="1"/>
  <c r="S440" i="1" s="1"/>
  <c r="T440" i="1" s="1"/>
  <c r="M440" i="1"/>
  <c r="U440" i="1" s="1"/>
  <c r="V440" i="1" s="1"/>
  <c r="N434" i="1"/>
  <c r="O434" i="1" s="1"/>
  <c r="P434" i="1" s="1"/>
  <c r="Q434" i="1" s="1"/>
  <c r="S434" i="1" s="1"/>
  <c r="T434" i="1" s="1"/>
  <c r="M434" i="1"/>
  <c r="U434" i="1" s="1"/>
  <c r="V434" i="1" s="1"/>
  <c r="N428" i="1"/>
  <c r="O428" i="1" s="1"/>
  <c r="P428" i="1" s="1"/>
  <c r="Q428" i="1" s="1"/>
  <c r="S428" i="1" s="1"/>
  <c r="T428" i="1" s="1"/>
  <c r="M428" i="1"/>
  <c r="U428" i="1" s="1"/>
  <c r="V428" i="1" s="1"/>
  <c r="N422" i="1"/>
  <c r="O422" i="1" s="1"/>
  <c r="P422" i="1" s="1"/>
  <c r="Q422" i="1" s="1"/>
  <c r="S422" i="1" s="1"/>
  <c r="T422" i="1" s="1"/>
  <c r="M422" i="1"/>
  <c r="N416" i="1"/>
  <c r="O416" i="1" s="1"/>
  <c r="P416" i="1" s="1"/>
  <c r="Q416" i="1" s="1"/>
  <c r="S416" i="1" s="1"/>
  <c r="T416" i="1" s="1"/>
  <c r="M416" i="1"/>
  <c r="U416" i="1" s="1"/>
  <c r="V416" i="1" s="1"/>
  <c r="N410" i="1"/>
  <c r="O410" i="1" s="1"/>
  <c r="P410" i="1" s="1"/>
  <c r="Q410" i="1" s="1"/>
  <c r="S410" i="1" s="1"/>
  <c r="T410" i="1" s="1"/>
  <c r="M410" i="1"/>
  <c r="N404" i="1"/>
  <c r="O404" i="1" s="1"/>
  <c r="P404" i="1" s="1"/>
  <c r="Q404" i="1" s="1"/>
  <c r="S404" i="1" s="1"/>
  <c r="T404" i="1" s="1"/>
  <c r="M404" i="1"/>
  <c r="N398" i="1"/>
  <c r="O398" i="1" s="1"/>
  <c r="P398" i="1" s="1"/>
  <c r="Q398" i="1" s="1"/>
  <c r="S398" i="1" s="1"/>
  <c r="T398" i="1" s="1"/>
  <c r="M398" i="1"/>
  <c r="U398" i="1" s="1"/>
  <c r="V398" i="1" s="1"/>
  <c r="N392" i="1"/>
  <c r="O392" i="1" s="1"/>
  <c r="P392" i="1" s="1"/>
  <c r="Q392" i="1" s="1"/>
  <c r="S392" i="1" s="1"/>
  <c r="T392" i="1" s="1"/>
  <c r="M392" i="1"/>
  <c r="U392" i="1" s="1"/>
  <c r="V392" i="1" s="1"/>
  <c r="N386" i="1"/>
  <c r="O386" i="1" s="1"/>
  <c r="P386" i="1" s="1"/>
  <c r="Q386" i="1" s="1"/>
  <c r="S386" i="1" s="1"/>
  <c r="T386" i="1" s="1"/>
  <c r="M386" i="1"/>
  <c r="U386" i="1" s="1"/>
  <c r="V386" i="1" s="1"/>
  <c r="N380" i="1"/>
  <c r="O380" i="1" s="1"/>
  <c r="P380" i="1" s="1"/>
  <c r="Q380" i="1" s="1"/>
  <c r="S380" i="1" s="1"/>
  <c r="T380" i="1" s="1"/>
  <c r="M380" i="1"/>
  <c r="U380" i="1" s="1"/>
  <c r="V380" i="1" s="1"/>
  <c r="N374" i="1"/>
  <c r="O374" i="1" s="1"/>
  <c r="P374" i="1" s="1"/>
  <c r="Q374" i="1" s="1"/>
  <c r="S374" i="1" s="1"/>
  <c r="T374" i="1" s="1"/>
  <c r="M374" i="1"/>
  <c r="U374" i="1" s="1"/>
  <c r="V374" i="1" s="1"/>
  <c r="N368" i="1"/>
  <c r="O368" i="1" s="1"/>
  <c r="P368" i="1" s="1"/>
  <c r="Q368" i="1" s="1"/>
  <c r="S368" i="1" s="1"/>
  <c r="T368" i="1" s="1"/>
  <c r="M368" i="1"/>
  <c r="N362" i="1"/>
  <c r="O362" i="1" s="1"/>
  <c r="P362" i="1" s="1"/>
  <c r="Q362" i="1" s="1"/>
  <c r="S362" i="1" s="1"/>
  <c r="T362" i="1" s="1"/>
  <c r="M362" i="1"/>
  <c r="U362" i="1" s="1"/>
  <c r="V362" i="1" s="1"/>
  <c r="N356" i="1"/>
  <c r="O356" i="1" s="1"/>
  <c r="P356" i="1" s="1"/>
  <c r="Q356" i="1" s="1"/>
  <c r="S356" i="1" s="1"/>
  <c r="T356" i="1" s="1"/>
  <c r="M356" i="1"/>
  <c r="U356" i="1" s="1"/>
  <c r="V356" i="1" s="1"/>
  <c r="N350" i="1"/>
  <c r="O350" i="1" s="1"/>
  <c r="P350" i="1" s="1"/>
  <c r="Q350" i="1" s="1"/>
  <c r="S350" i="1" s="1"/>
  <c r="T350" i="1" s="1"/>
  <c r="M350" i="1"/>
  <c r="U350" i="1" s="1"/>
  <c r="V350" i="1" s="1"/>
  <c r="M344" i="1"/>
  <c r="N344" i="1"/>
  <c r="O344" i="1" s="1"/>
  <c r="P344" i="1" s="1"/>
  <c r="Q344" i="1" s="1"/>
  <c r="S344" i="1" s="1"/>
  <c r="T344" i="1" s="1"/>
  <c r="N338" i="1"/>
  <c r="O338" i="1" s="1"/>
  <c r="P338" i="1" s="1"/>
  <c r="Q338" i="1" s="1"/>
  <c r="S338" i="1" s="1"/>
  <c r="T338" i="1" s="1"/>
  <c r="M338" i="1"/>
  <c r="U338" i="1" s="1"/>
  <c r="V338" i="1" s="1"/>
  <c r="N332" i="1"/>
  <c r="O332" i="1" s="1"/>
  <c r="P332" i="1" s="1"/>
  <c r="Q332" i="1" s="1"/>
  <c r="S332" i="1" s="1"/>
  <c r="T332" i="1" s="1"/>
  <c r="M332" i="1"/>
  <c r="U332" i="1" s="1"/>
  <c r="V332" i="1" s="1"/>
  <c r="M326" i="1"/>
  <c r="U326" i="1" s="1"/>
  <c r="V326" i="1" s="1"/>
  <c r="N326" i="1"/>
  <c r="O326" i="1" s="1"/>
  <c r="P326" i="1" s="1"/>
  <c r="Q326" i="1" s="1"/>
  <c r="S326" i="1" s="1"/>
  <c r="T326" i="1" s="1"/>
  <c r="N320" i="1"/>
  <c r="O320" i="1" s="1"/>
  <c r="P320" i="1" s="1"/>
  <c r="Q320" i="1" s="1"/>
  <c r="S320" i="1" s="1"/>
  <c r="T320" i="1" s="1"/>
  <c r="M320" i="1"/>
  <c r="U320" i="1" s="1"/>
  <c r="V320" i="1" s="1"/>
  <c r="N314" i="1"/>
  <c r="O314" i="1" s="1"/>
  <c r="P314" i="1" s="1"/>
  <c r="Q314" i="1" s="1"/>
  <c r="S314" i="1" s="1"/>
  <c r="T314" i="1" s="1"/>
  <c r="M314" i="1"/>
  <c r="M308" i="1"/>
  <c r="N308" i="1"/>
  <c r="O308" i="1" s="1"/>
  <c r="P308" i="1" s="1"/>
  <c r="Q308" i="1" s="1"/>
  <c r="S308" i="1" s="1"/>
  <c r="T308" i="1" s="1"/>
  <c r="N302" i="1"/>
  <c r="O302" i="1" s="1"/>
  <c r="P302" i="1" s="1"/>
  <c r="Q302" i="1" s="1"/>
  <c r="S302" i="1" s="1"/>
  <c r="T302" i="1" s="1"/>
  <c r="M302" i="1"/>
  <c r="U302" i="1" s="1"/>
  <c r="V302" i="1" s="1"/>
  <c r="N296" i="1"/>
  <c r="O296" i="1" s="1"/>
  <c r="P296" i="1" s="1"/>
  <c r="Q296" i="1" s="1"/>
  <c r="S296" i="1" s="1"/>
  <c r="T296" i="1" s="1"/>
  <c r="M296" i="1"/>
  <c r="M290" i="1"/>
  <c r="N290" i="1"/>
  <c r="O290" i="1" s="1"/>
  <c r="P290" i="1" s="1"/>
  <c r="Q290" i="1" s="1"/>
  <c r="S290" i="1" s="1"/>
  <c r="T290" i="1" s="1"/>
  <c r="N284" i="1"/>
  <c r="O284" i="1" s="1"/>
  <c r="P284" i="1" s="1"/>
  <c r="Q284" i="1" s="1"/>
  <c r="S284" i="1" s="1"/>
  <c r="T284" i="1" s="1"/>
  <c r="M284" i="1"/>
  <c r="U284" i="1" s="1"/>
  <c r="V284" i="1" s="1"/>
  <c r="N278" i="1"/>
  <c r="O278" i="1" s="1"/>
  <c r="P278" i="1" s="1"/>
  <c r="Q278" i="1" s="1"/>
  <c r="S278" i="1" s="1"/>
  <c r="T278" i="1" s="1"/>
  <c r="M278" i="1"/>
  <c r="M272" i="1"/>
  <c r="U272" i="1" s="1"/>
  <c r="V272" i="1" s="1"/>
  <c r="N272" i="1"/>
  <c r="O272" i="1" s="1"/>
  <c r="P272" i="1" s="1"/>
  <c r="Q272" i="1" s="1"/>
  <c r="S272" i="1" s="1"/>
  <c r="T272" i="1" s="1"/>
  <c r="N266" i="1"/>
  <c r="O266" i="1" s="1"/>
  <c r="P266" i="1" s="1"/>
  <c r="Q266" i="1" s="1"/>
  <c r="S266" i="1" s="1"/>
  <c r="T266" i="1" s="1"/>
  <c r="M266" i="1"/>
  <c r="U266" i="1" s="1"/>
  <c r="V266" i="1" s="1"/>
  <c r="N260" i="1"/>
  <c r="O260" i="1" s="1"/>
  <c r="P260" i="1" s="1"/>
  <c r="Q260" i="1" s="1"/>
  <c r="S260" i="1" s="1"/>
  <c r="T260" i="1" s="1"/>
  <c r="M260" i="1"/>
  <c r="U260" i="1" s="1"/>
  <c r="V260" i="1" s="1"/>
  <c r="M254" i="1"/>
  <c r="U254" i="1" s="1"/>
  <c r="V254" i="1" s="1"/>
  <c r="N254" i="1"/>
  <c r="O254" i="1" s="1"/>
  <c r="P254" i="1" s="1"/>
  <c r="Q254" i="1" s="1"/>
  <c r="S254" i="1" s="1"/>
  <c r="T254" i="1" s="1"/>
  <c r="N248" i="1"/>
  <c r="O248" i="1" s="1"/>
  <c r="P248" i="1" s="1"/>
  <c r="Q248" i="1" s="1"/>
  <c r="S248" i="1" s="1"/>
  <c r="T248" i="1" s="1"/>
  <c r="M248" i="1"/>
  <c r="U248" i="1" s="1"/>
  <c r="V248" i="1" s="1"/>
  <c r="N242" i="1"/>
  <c r="O242" i="1" s="1"/>
  <c r="P242" i="1" s="1"/>
  <c r="Q242" i="1" s="1"/>
  <c r="S242" i="1" s="1"/>
  <c r="T242" i="1" s="1"/>
  <c r="M242" i="1"/>
  <c r="U242" i="1" s="1"/>
  <c r="V242" i="1" s="1"/>
  <c r="M236" i="1"/>
  <c r="U236" i="1" s="1"/>
  <c r="V236" i="1" s="1"/>
  <c r="N236" i="1"/>
  <c r="O236" i="1" s="1"/>
  <c r="P236" i="1" s="1"/>
  <c r="Q236" i="1" s="1"/>
  <c r="S236" i="1" s="1"/>
  <c r="T236" i="1" s="1"/>
  <c r="N230" i="1"/>
  <c r="O230" i="1" s="1"/>
  <c r="P230" i="1" s="1"/>
  <c r="Q230" i="1" s="1"/>
  <c r="S230" i="1" s="1"/>
  <c r="T230" i="1" s="1"/>
  <c r="M230" i="1"/>
  <c r="U230" i="1" s="1"/>
  <c r="V230" i="1" s="1"/>
  <c r="N224" i="1"/>
  <c r="O224" i="1" s="1"/>
  <c r="P224" i="1" s="1"/>
  <c r="Q224" i="1" s="1"/>
  <c r="S224" i="1" s="1"/>
  <c r="T224" i="1" s="1"/>
  <c r="M224" i="1"/>
  <c r="U224" i="1" s="1"/>
  <c r="V224" i="1" s="1"/>
  <c r="M218" i="1"/>
  <c r="N218" i="1"/>
  <c r="O218" i="1" s="1"/>
  <c r="P218" i="1" s="1"/>
  <c r="Q218" i="1" s="1"/>
  <c r="S218" i="1" s="1"/>
  <c r="T218" i="1" s="1"/>
  <c r="N212" i="1"/>
  <c r="O212" i="1" s="1"/>
  <c r="P212" i="1" s="1"/>
  <c r="Q212" i="1" s="1"/>
  <c r="S212" i="1" s="1"/>
  <c r="T212" i="1" s="1"/>
  <c r="M212" i="1"/>
  <c r="N206" i="1"/>
  <c r="O206" i="1" s="1"/>
  <c r="P206" i="1" s="1"/>
  <c r="Q206" i="1" s="1"/>
  <c r="S206" i="1" s="1"/>
  <c r="T206" i="1" s="1"/>
  <c r="M206" i="1"/>
  <c r="U206" i="1" s="1"/>
  <c r="V206" i="1" s="1"/>
  <c r="M200" i="1"/>
  <c r="U200" i="1" s="1"/>
  <c r="V200" i="1" s="1"/>
  <c r="N200" i="1"/>
  <c r="O200" i="1" s="1"/>
  <c r="P200" i="1" s="1"/>
  <c r="Q200" i="1" s="1"/>
  <c r="S200" i="1" s="1"/>
  <c r="T200" i="1" s="1"/>
  <c r="N194" i="1"/>
  <c r="O194" i="1" s="1"/>
  <c r="P194" i="1" s="1"/>
  <c r="Q194" i="1" s="1"/>
  <c r="S194" i="1" s="1"/>
  <c r="T194" i="1" s="1"/>
  <c r="M194" i="1"/>
  <c r="U194" i="1" s="1"/>
  <c r="V194" i="1" s="1"/>
  <c r="N188" i="1"/>
  <c r="O188" i="1" s="1"/>
  <c r="P188" i="1" s="1"/>
  <c r="Q188" i="1" s="1"/>
  <c r="S188" i="1" s="1"/>
  <c r="T188" i="1" s="1"/>
  <c r="M188" i="1"/>
  <c r="U188" i="1" s="1"/>
  <c r="V188" i="1" s="1"/>
  <c r="M182" i="1"/>
  <c r="U182" i="1" s="1"/>
  <c r="V182" i="1" s="1"/>
  <c r="N182" i="1"/>
  <c r="O182" i="1" s="1"/>
  <c r="P182" i="1" s="1"/>
  <c r="Q182" i="1" s="1"/>
  <c r="S182" i="1" s="1"/>
  <c r="T182" i="1" s="1"/>
  <c r="N176" i="1"/>
  <c r="O176" i="1" s="1"/>
  <c r="P176" i="1" s="1"/>
  <c r="Q176" i="1" s="1"/>
  <c r="S176" i="1" s="1"/>
  <c r="T176" i="1" s="1"/>
  <c r="M176" i="1"/>
  <c r="U176" i="1" s="1"/>
  <c r="V176" i="1" s="1"/>
  <c r="N170" i="1"/>
  <c r="O170" i="1" s="1"/>
  <c r="P170" i="1" s="1"/>
  <c r="Q170" i="1" s="1"/>
  <c r="S170" i="1" s="1"/>
  <c r="T170" i="1" s="1"/>
  <c r="M170" i="1"/>
  <c r="U170" i="1" s="1"/>
  <c r="V170" i="1" s="1"/>
  <c r="M164" i="1"/>
  <c r="U164" i="1" s="1"/>
  <c r="V164" i="1" s="1"/>
  <c r="N164" i="1"/>
  <c r="O164" i="1" s="1"/>
  <c r="P164" i="1" s="1"/>
  <c r="Q164" i="1" s="1"/>
  <c r="S164" i="1" s="1"/>
  <c r="T164" i="1" s="1"/>
  <c r="N158" i="1"/>
  <c r="O158" i="1" s="1"/>
  <c r="P158" i="1" s="1"/>
  <c r="Q158" i="1" s="1"/>
  <c r="S158" i="1" s="1"/>
  <c r="T158" i="1" s="1"/>
  <c r="M158" i="1"/>
  <c r="N152" i="1"/>
  <c r="O152" i="1" s="1"/>
  <c r="P152" i="1" s="1"/>
  <c r="Q152" i="1" s="1"/>
  <c r="S152" i="1" s="1"/>
  <c r="T152" i="1" s="1"/>
  <c r="M152" i="1"/>
  <c r="U152" i="1" s="1"/>
  <c r="V152" i="1" s="1"/>
  <c r="M146" i="1"/>
  <c r="U146" i="1" s="1"/>
  <c r="V146" i="1" s="1"/>
  <c r="N146" i="1"/>
  <c r="O146" i="1" s="1"/>
  <c r="P146" i="1" s="1"/>
  <c r="Q146" i="1" s="1"/>
  <c r="S146" i="1" s="1"/>
  <c r="T146" i="1" s="1"/>
  <c r="N140" i="1"/>
  <c r="O140" i="1" s="1"/>
  <c r="P140" i="1" s="1"/>
  <c r="Q140" i="1" s="1"/>
  <c r="S140" i="1" s="1"/>
  <c r="T140" i="1" s="1"/>
  <c r="M140" i="1"/>
  <c r="U140" i="1" s="1"/>
  <c r="V140" i="1" s="1"/>
  <c r="N134" i="1"/>
  <c r="O134" i="1" s="1"/>
  <c r="P134" i="1" s="1"/>
  <c r="Q134" i="1" s="1"/>
  <c r="S134" i="1" s="1"/>
  <c r="T134" i="1" s="1"/>
  <c r="M134" i="1"/>
  <c r="U134" i="1" s="1"/>
  <c r="V134" i="1" s="1"/>
  <c r="M128" i="1"/>
  <c r="U128" i="1" s="1"/>
  <c r="V128" i="1" s="1"/>
  <c r="N128" i="1"/>
  <c r="O128" i="1" s="1"/>
  <c r="P128" i="1" s="1"/>
  <c r="Q128" i="1" s="1"/>
  <c r="S128" i="1" s="1"/>
  <c r="T128" i="1" s="1"/>
  <c r="N122" i="1"/>
  <c r="O122" i="1" s="1"/>
  <c r="P122" i="1" s="1"/>
  <c r="Q122" i="1" s="1"/>
  <c r="S122" i="1" s="1"/>
  <c r="T122" i="1" s="1"/>
  <c r="M122" i="1"/>
  <c r="U122" i="1" s="1"/>
  <c r="V122" i="1" s="1"/>
  <c r="N116" i="1"/>
  <c r="O116" i="1" s="1"/>
  <c r="P116" i="1" s="1"/>
  <c r="Q116" i="1" s="1"/>
  <c r="S116" i="1" s="1"/>
  <c r="T116" i="1" s="1"/>
  <c r="M116" i="1"/>
  <c r="M110" i="1"/>
  <c r="U110" i="1" s="1"/>
  <c r="V110" i="1" s="1"/>
  <c r="N110" i="1"/>
  <c r="O110" i="1" s="1"/>
  <c r="P110" i="1" s="1"/>
  <c r="Q110" i="1" s="1"/>
  <c r="S110" i="1" s="1"/>
  <c r="T110" i="1" s="1"/>
  <c r="N104" i="1"/>
  <c r="O104" i="1" s="1"/>
  <c r="P104" i="1" s="1"/>
  <c r="Q104" i="1" s="1"/>
  <c r="S104" i="1" s="1"/>
  <c r="T104" i="1" s="1"/>
  <c r="M104" i="1"/>
  <c r="U104" i="1" s="1"/>
  <c r="V104" i="1" s="1"/>
  <c r="N98" i="1"/>
  <c r="O98" i="1" s="1"/>
  <c r="P98" i="1" s="1"/>
  <c r="Q98" i="1" s="1"/>
  <c r="S98" i="1" s="1"/>
  <c r="T98" i="1" s="1"/>
  <c r="M98" i="1"/>
  <c r="M92" i="1"/>
  <c r="U92" i="1" s="1"/>
  <c r="V92" i="1" s="1"/>
  <c r="N92" i="1"/>
  <c r="O92" i="1" s="1"/>
  <c r="P92" i="1" s="1"/>
  <c r="Q92" i="1" s="1"/>
  <c r="S92" i="1" s="1"/>
  <c r="T92" i="1" s="1"/>
  <c r="N86" i="1"/>
  <c r="O86" i="1" s="1"/>
  <c r="P86" i="1" s="1"/>
  <c r="Q86" i="1" s="1"/>
  <c r="S86" i="1" s="1"/>
  <c r="T86" i="1" s="1"/>
  <c r="M86" i="1"/>
  <c r="U86" i="1" s="1"/>
  <c r="V86" i="1" s="1"/>
  <c r="N80" i="1"/>
  <c r="O80" i="1" s="1"/>
  <c r="P80" i="1" s="1"/>
  <c r="Q80" i="1" s="1"/>
  <c r="S80" i="1" s="1"/>
  <c r="T80" i="1" s="1"/>
  <c r="M80" i="1"/>
  <c r="M74" i="1"/>
  <c r="U74" i="1" s="1"/>
  <c r="V74" i="1" s="1"/>
  <c r="N74" i="1"/>
  <c r="O74" i="1" s="1"/>
  <c r="P74" i="1" s="1"/>
  <c r="Q74" i="1" s="1"/>
  <c r="S74" i="1" s="1"/>
  <c r="T74" i="1" s="1"/>
  <c r="N68" i="1"/>
  <c r="O68" i="1" s="1"/>
  <c r="P68" i="1" s="1"/>
  <c r="Q68" i="1" s="1"/>
  <c r="S68" i="1" s="1"/>
  <c r="T68" i="1" s="1"/>
  <c r="M68" i="1"/>
  <c r="U68" i="1" s="1"/>
  <c r="V68" i="1" s="1"/>
  <c r="N62" i="1"/>
  <c r="O62" i="1" s="1"/>
  <c r="P62" i="1" s="1"/>
  <c r="Q62" i="1" s="1"/>
  <c r="S62" i="1" s="1"/>
  <c r="T62" i="1" s="1"/>
  <c r="M62" i="1"/>
  <c r="U62" i="1" s="1"/>
  <c r="V62" i="1" s="1"/>
  <c r="N56" i="1"/>
  <c r="O56" i="1" s="1"/>
  <c r="P56" i="1" s="1"/>
  <c r="Q56" i="1" s="1"/>
  <c r="S56" i="1" s="1"/>
  <c r="T56" i="1" s="1"/>
  <c r="M56" i="1"/>
  <c r="U56" i="1" s="1"/>
  <c r="V56" i="1" s="1"/>
  <c r="N50" i="1"/>
  <c r="O50" i="1" s="1"/>
  <c r="P50" i="1" s="1"/>
  <c r="Q50" i="1" s="1"/>
  <c r="S50" i="1" s="1"/>
  <c r="T50" i="1" s="1"/>
  <c r="M50" i="1"/>
  <c r="U50" i="1" s="1"/>
  <c r="V50" i="1" s="1"/>
  <c r="N44" i="1"/>
  <c r="O44" i="1" s="1"/>
  <c r="P44" i="1" s="1"/>
  <c r="Q44" i="1" s="1"/>
  <c r="S44" i="1" s="1"/>
  <c r="T44" i="1" s="1"/>
  <c r="M44" i="1"/>
  <c r="N38" i="1"/>
  <c r="O38" i="1" s="1"/>
  <c r="P38" i="1" s="1"/>
  <c r="Q38" i="1" s="1"/>
  <c r="S38" i="1" s="1"/>
  <c r="T38" i="1" s="1"/>
  <c r="M38" i="1"/>
  <c r="U38" i="1" s="1"/>
  <c r="V38" i="1" s="1"/>
  <c r="N32" i="1"/>
  <c r="O32" i="1" s="1"/>
  <c r="P32" i="1" s="1"/>
  <c r="Q32" i="1" s="1"/>
  <c r="S32" i="1" s="1"/>
  <c r="T32" i="1" s="1"/>
  <c r="M32" i="1"/>
  <c r="U32" i="1" s="1"/>
  <c r="V32" i="1" s="1"/>
  <c r="N26" i="1"/>
  <c r="O26" i="1" s="1"/>
  <c r="P26" i="1" s="1"/>
  <c r="Q26" i="1" s="1"/>
  <c r="S26" i="1" s="1"/>
  <c r="T26" i="1" s="1"/>
  <c r="M26" i="1"/>
  <c r="N20" i="1"/>
  <c r="O20" i="1" s="1"/>
  <c r="P20" i="1" s="1"/>
  <c r="Q20" i="1" s="1"/>
  <c r="S20" i="1" s="1"/>
  <c r="T20" i="1" s="1"/>
  <c r="M20" i="1"/>
  <c r="U20" i="1" s="1"/>
  <c r="V20" i="1" s="1"/>
  <c r="N14" i="1"/>
  <c r="O14" i="1" s="1"/>
  <c r="P14" i="1" s="1"/>
  <c r="Q14" i="1" s="1"/>
  <c r="S14" i="1" s="1"/>
  <c r="T14" i="1" s="1"/>
  <c r="M14" i="1"/>
  <c r="U14" i="1" s="1"/>
  <c r="V14" i="1" s="1"/>
  <c r="M1000" i="1"/>
  <c r="U1000" i="1" s="1"/>
  <c r="V1000" i="1" s="1"/>
  <c r="M988" i="1"/>
  <c r="U988" i="1" s="1"/>
  <c r="V988" i="1" s="1"/>
  <c r="M976" i="1"/>
  <c r="U976" i="1" s="1"/>
  <c r="V976" i="1" s="1"/>
  <c r="M959" i="1"/>
  <c r="M939" i="1"/>
  <c r="U939" i="1" s="1"/>
  <c r="V939" i="1" s="1"/>
  <c r="M912" i="1"/>
  <c r="U912" i="1" s="1"/>
  <c r="V912" i="1" s="1"/>
  <c r="M885" i="1"/>
  <c r="U885" i="1" s="1"/>
  <c r="V885" i="1" s="1"/>
  <c r="M858" i="1"/>
  <c r="U858" i="1" s="1"/>
  <c r="V858" i="1" s="1"/>
  <c r="N978" i="1"/>
  <c r="O978" i="1" s="1"/>
  <c r="P978" i="1" s="1"/>
  <c r="Q978" i="1" s="1"/>
  <c r="S978" i="1" s="1"/>
  <c r="T978" i="1" s="1"/>
  <c r="M978" i="1"/>
  <c r="U978" i="1" s="1"/>
  <c r="V978" i="1" s="1"/>
  <c r="N906" i="1"/>
  <c r="O906" i="1" s="1"/>
  <c r="P906" i="1" s="1"/>
  <c r="Q906" i="1" s="1"/>
  <c r="S906" i="1" s="1"/>
  <c r="T906" i="1" s="1"/>
  <c r="M906" i="1"/>
  <c r="U906" i="1" s="1"/>
  <c r="V906" i="1" s="1"/>
  <c r="Q1005" i="1"/>
  <c r="S1005" i="1" s="1"/>
  <c r="T1005" i="1" s="1"/>
  <c r="Q999" i="1"/>
  <c r="S999" i="1" s="1"/>
  <c r="T999" i="1" s="1"/>
  <c r="Q993" i="1"/>
  <c r="S993" i="1" s="1"/>
  <c r="T993" i="1" s="1"/>
  <c r="Q987" i="1"/>
  <c r="S987" i="1" s="1"/>
  <c r="T987" i="1" s="1"/>
  <c r="Q981" i="1"/>
  <c r="S981" i="1" s="1"/>
  <c r="T981" i="1" s="1"/>
  <c r="Q975" i="1"/>
  <c r="S975" i="1" s="1"/>
  <c r="T975" i="1" s="1"/>
  <c r="N969" i="1"/>
  <c r="O969" i="1" s="1"/>
  <c r="P969" i="1" s="1"/>
  <c r="Q969" i="1" s="1"/>
  <c r="S969" i="1" s="1"/>
  <c r="T969" i="1" s="1"/>
  <c r="M969" i="1"/>
  <c r="N951" i="1"/>
  <c r="O951" i="1" s="1"/>
  <c r="P951" i="1" s="1"/>
  <c r="Q951" i="1" s="1"/>
  <c r="S951" i="1" s="1"/>
  <c r="T951" i="1" s="1"/>
  <c r="M951" i="1"/>
  <c r="U951" i="1" s="1"/>
  <c r="V951" i="1" s="1"/>
  <c r="Q939" i="1"/>
  <c r="S939" i="1" s="1"/>
  <c r="T939" i="1" s="1"/>
  <c r="N933" i="1"/>
  <c r="O933" i="1" s="1"/>
  <c r="P933" i="1" s="1"/>
  <c r="Q933" i="1" s="1"/>
  <c r="S933" i="1" s="1"/>
  <c r="T933" i="1" s="1"/>
  <c r="M933" i="1"/>
  <c r="U933" i="1" s="1"/>
  <c r="V933" i="1" s="1"/>
  <c r="Q927" i="1"/>
  <c r="S927" i="1" s="1"/>
  <c r="T927" i="1" s="1"/>
  <c r="U927" i="1" s="1"/>
  <c r="V927" i="1" s="1"/>
  <c r="Q921" i="1"/>
  <c r="S921" i="1" s="1"/>
  <c r="T921" i="1" s="1"/>
  <c r="N915" i="1"/>
  <c r="O915" i="1" s="1"/>
  <c r="P915" i="1" s="1"/>
  <c r="Q915" i="1" s="1"/>
  <c r="S915" i="1" s="1"/>
  <c r="T915" i="1" s="1"/>
  <c r="M915" i="1"/>
  <c r="U915" i="1" s="1"/>
  <c r="V915" i="1" s="1"/>
  <c r="N897" i="1"/>
  <c r="O897" i="1" s="1"/>
  <c r="P897" i="1" s="1"/>
  <c r="Q897" i="1" s="1"/>
  <c r="S897" i="1" s="1"/>
  <c r="T897" i="1" s="1"/>
  <c r="M897" i="1"/>
  <c r="Q891" i="1"/>
  <c r="S891" i="1" s="1"/>
  <c r="T891" i="1" s="1"/>
  <c r="U891" i="1" s="1"/>
  <c r="V891" i="1" s="1"/>
  <c r="Q885" i="1"/>
  <c r="S885" i="1" s="1"/>
  <c r="T885" i="1" s="1"/>
  <c r="N879" i="1"/>
  <c r="O879" i="1" s="1"/>
  <c r="P879" i="1" s="1"/>
  <c r="Q879" i="1" s="1"/>
  <c r="S879" i="1" s="1"/>
  <c r="T879" i="1" s="1"/>
  <c r="M879" i="1"/>
  <c r="U879" i="1" s="1"/>
  <c r="V879" i="1" s="1"/>
  <c r="Q873" i="1"/>
  <c r="S873" i="1" s="1"/>
  <c r="T873" i="1" s="1"/>
  <c r="O867" i="1"/>
  <c r="P867" i="1" s="1"/>
  <c r="Q867" i="1" s="1"/>
  <c r="S867" i="1" s="1"/>
  <c r="T867" i="1" s="1"/>
  <c r="N861" i="1"/>
  <c r="O861" i="1" s="1"/>
  <c r="P861" i="1" s="1"/>
  <c r="Q861" i="1" s="1"/>
  <c r="S861" i="1" s="1"/>
  <c r="T861" i="1" s="1"/>
  <c r="M861" i="1"/>
  <c r="U861" i="1" s="1"/>
  <c r="V861" i="1" s="1"/>
  <c r="O855" i="1"/>
  <c r="P855" i="1" s="1"/>
  <c r="Q855" i="1" s="1"/>
  <c r="S855" i="1" s="1"/>
  <c r="T855" i="1" s="1"/>
  <c r="N849" i="1"/>
  <c r="O849" i="1" s="1"/>
  <c r="P849" i="1" s="1"/>
  <c r="Q849" i="1" s="1"/>
  <c r="S849" i="1" s="1"/>
  <c r="T849" i="1" s="1"/>
  <c r="U849" i="1" s="1"/>
  <c r="V849" i="1" s="1"/>
  <c r="M849" i="1"/>
  <c r="N843" i="1"/>
  <c r="O843" i="1" s="1"/>
  <c r="P843" i="1" s="1"/>
  <c r="Q843" i="1" s="1"/>
  <c r="S843" i="1" s="1"/>
  <c r="T843" i="1" s="1"/>
  <c r="M843" i="1"/>
  <c r="U843" i="1" s="1"/>
  <c r="V843" i="1" s="1"/>
  <c r="N837" i="1"/>
  <c r="O837" i="1" s="1"/>
  <c r="P837" i="1" s="1"/>
  <c r="Q837" i="1" s="1"/>
  <c r="S837" i="1" s="1"/>
  <c r="T837" i="1" s="1"/>
  <c r="U837" i="1" s="1"/>
  <c r="V837" i="1" s="1"/>
  <c r="M837" i="1"/>
  <c r="N831" i="1"/>
  <c r="O831" i="1" s="1"/>
  <c r="P831" i="1" s="1"/>
  <c r="Q831" i="1" s="1"/>
  <c r="S831" i="1" s="1"/>
  <c r="T831" i="1" s="1"/>
  <c r="M831" i="1"/>
  <c r="U831" i="1" s="1"/>
  <c r="V831" i="1" s="1"/>
  <c r="N825" i="1"/>
  <c r="O825" i="1" s="1"/>
  <c r="P825" i="1" s="1"/>
  <c r="Q825" i="1" s="1"/>
  <c r="S825" i="1" s="1"/>
  <c r="T825" i="1" s="1"/>
  <c r="M825" i="1"/>
  <c r="N819" i="1"/>
  <c r="O819" i="1" s="1"/>
  <c r="P819" i="1" s="1"/>
  <c r="Q819" i="1" s="1"/>
  <c r="S819" i="1" s="1"/>
  <c r="T819" i="1" s="1"/>
  <c r="M819" i="1"/>
  <c r="U819" i="1" s="1"/>
  <c r="V819" i="1" s="1"/>
  <c r="N813" i="1"/>
  <c r="O813" i="1" s="1"/>
  <c r="P813" i="1" s="1"/>
  <c r="Q813" i="1" s="1"/>
  <c r="S813" i="1" s="1"/>
  <c r="T813" i="1" s="1"/>
  <c r="M813" i="1"/>
  <c r="U813" i="1" s="1"/>
  <c r="V813" i="1" s="1"/>
  <c r="N807" i="1"/>
  <c r="O807" i="1" s="1"/>
  <c r="P807" i="1" s="1"/>
  <c r="Q807" i="1" s="1"/>
  <c r="S807" i="1" s="1"/>
  <c r="T807" i="1" s="1"/>
  <c r="M807" i="1"/>
  <c r="U807" i="1" s="1"/>
  <c r="V807" i="1" s="1"/>
  <c r="N801" i="1"/>
  <c r="O801" i="1" s="1"/>
  <c r="P801" i="1" s="1"/>
  <c r="Q801" i="1" s="1"/>
  <c r="S801" i="1" s="1"/>
  <c r="T801" i="1" s="1"/>
  <c r="M801" i="1"/>
  <c r="U801" i="1" s="1"/>
  <c r="V801" i="1" s="1"/>
  <c r="N795" i="1"/>
  <c r="O795" i="1" s="1"/>
  <c r="P795" i="1" s="1"/>
  <c r="Q795" i="1" s="1"/>
  <c r="S795" i="1" s="1"/>
  <c r="T795" i="1" s="1"/>
  <c r="M795" i="1"/>
  <c r="U795" i="1" s="1"/>
  <c r="V795" i="1" s="1"/>
  <c r="N789" i="1"/>
  <c r="O789" i="1" s="1"/>
  <c r="P789" i="1" s="1"/>
  <c r="Q789" i="1" s="1"/>
  <c r="S789" i="1" s="1"/>
  <c r="T789" i="1" s="1"/>
  <c r="M789" i="1"/>
  <c r="U789" i="1" s="1"/>
  <c r="V789" i="1" s="1"/>
  <c r="N783" i="1"/>
  <c r="O783" i="1" s="1"/>
  <c r="P783" i="1" s="1"/>
  <c r="Q783" i="1" s="1"/>
  <c r="S783" i="1" s="1"/>
  <c r="T783" i="1" s="1"/>
  <c r="M783" i="1"/>
  <c r="U783" i="1" s="1"/>
  <c r="V783" i="1" s="1"/>
  <c r="N777" i="1"/>
  <c r="O777" i="1" s="1"/>
  <c r="P777" i="1" s="1"/>
  <c r="Q777" i="1" s="1"/>
  <c r="S777" i="1" s="1"/>
  <c r="T777" i="1" s="1"/>
  <c r="M777" i="1"/>
  <c r="U777" i="1" s="1"/>
  <c r="V777" i="1" s="1"/>
  <c r="N771" i="1"/>
  <c r="O771" i="1" s="1"/>
  <c r="P771" i="1" s="1"/>
  <c r="Q771" i="1" s="1"/>
  <c r="S771" i="1" s="1"/>
  <c r="T771" i="1" s="1"/>
  <c r="M771" i="1"/>
  <c r="N765" i="1"/>
  <c r="O765" i="1" s="1"/>
  <c r="P765" i="1" s="1"/>
  <c r="Q765" i="1" s="1"/>
  <c r="S765" i="1" s="1"/>
  <c r="T765" i="1" s="1"/>
  <c r="M765" i="1"/>
  <c r="U765" i="1" s="1"/>
  <c r="V765" i="1" s="1"/>
  <c r="N759" i="1"/>
  <c r="O759" i="1" s="1"/>
  <c r="P759" i="1" s="1"/>
  <c r="Q759" i="1" s="1"/>
  <c r="S759" i="1" s="1"/>
  <c r="T759" i="1" s="1"/>
  <c r="M759" i="1"/>
  <c r="U759" i="1" s="1"/>
  <c r="V759" i="1" s="1"/>
  <c r="N753" i="1"/>
  <c r="O753" i="1" s="1"/>
  <c r="P753" i="1" s="1"/>
  <c r="Q753" i="1" s="1"/>
  <c r="S753" i="1" s="1"/>
  <c r="T753" i="1" s="1"/>
  <c r="M753" i="1"/>
  <c r="U753" i="1" s="1"/>
  <c r="V753" i="1" s="1"/>
  <c r="N747" i="1"/>
  <c r="O747" i="1" s="1"/>
  <c r="P747" i="1" s="1"/>
  <c r="Q747" i="1" s="1"/>
  <c r="S747" i="1" s="1"/>
  <c r="T747" i="1" s="1"/>
  <c r="M747" i="1"/>
  <c r="U747" i="1" s="1"/>
  <c r="V747" i="1" s="1"/>
  <c r="N741" i="1"/>
  <c r="O741" i="1" s="1"/>
  <c r="P741" i="1" s="1"/>
  <c r="Q741" i="1" s="1"/>
  <c r="S741" i="1" s="1"/>
  <c r="T741" i="1" s="1"/>
  <c r="M741" i="1"/>
  <c r="U741" i="1" s="1"/>
  <c r="V741" i="1" s="1"/>
  <c r="N735" i="1"/>
  <c r="O735" i="1" s="1"/>
  <c r="P735" i="1" s="1"/>
  <c r="Q735" i="1" s="1"/>
  <c r="S735" i="1" s="1"/>
  <c r="T735" i="1" s="1"/>
  <c r="M735" i="1"/>
  <c r="U735" i="1" s="1"/>
  <c r="V735" i="1" s="1"/>
  <c r="N729" i="1"/>
  <c r="O729" i="1" s="1"/>
  <c r="P729" i="1" s="1"/>
  <c r="Q729" i="1" s="1"/>
  <c r="S729" i="1" s="1"/>
  <c r="T729" i="1" s="1"/>
  <c r="M729" i="1"/>
  <c r="U729" i="1" s="1"/>
  <c r="V729" i="1" s="1"/>
  <c r="N723" i="1"/>
  <c r="O723" i="1" s="1"/>
  <c r="P723" i="1" s="1"/>
  <c r="Q723" i="1" s="1"/>
  <c r="S723" i="1" s="1"/>
  <c r="T723" i="1" s="1"/>
  <c r="M723" i="1"/>
  <c r="U723" i="1" s="1"/>
  <c r="V723" i="1" s="1"/>
  <c r="N717" i="1"/>
  <c r="O717" i="1" s="1"/>
  <c r="P717" i="1" s="1"/>
  <c r="Q717" i="1" s="1"/>
  <c r="S717" i="1" s="1"/>
  <c r="T717" i="1" s="1"/>
  <c r="M717" i="1"/>
  <c r="U717" i="1" s="1"/>
  <c r="V717" i="1" s="1"/>
  <c r="N711" i="1"/>
  <c r="O711" i="1" s="1"/>
  <c r="P711" i="1" s="1"/>
  <c r="Q711" i="1" s="1"/>
  <c r="S711" i="1" s="1"/>
  <c r="T711" i="1" s="1"/>
  <c r="M711" i="1"/>
  <c r="U711" i="1" s="1"/>
  <c r="V711" i="1" s="1"/>
  <c r="N705" i="1"/>
  <c r="O705" i="1" s="1"/>
  <c r="P705" i="1" s="1"/>
  <c r="Q705" i="1" s="1"/>
  <c r="S705" i="1" s="1"/>
  <c r="T705" i="1" s="1"/>
  <c r="U705" i="1" s="1"/>
  <c r="V705" i="1" s="1"/>
  <c r="M705" i="1"/>
  <c r="N699" i="1"/>
  <c r="O699" i="1" s="1"/>
  <c r="P699" i="1" s="1"/>
  <c r="Q699" i="1" s="1"/>
  <c r="S699" i="1" s="1"/>
  <c r="T699" i="1" s="1"/>
  <c r="M699" i="1"/>
  <c r="U699" i="1" s="1"/>
  <c r="V699" i="1" s="1"/>
  <c r="N693" i="1"/>
  <c r="O693" i="1" s="1"/>
  <c r="P693" i="1" s="1"/>
  <c r="Q693" i="1" s="1"/>
  <c r="S693" i="1" s="1"/>
  <c r="T693" i="1" s="1"/>
  <c r="M693" i="1"/>
  <c r="U693" i="1" s="1"/>
  <c r="V693" i="1" s="1"/>
  <c r="N687" i="1"/>
  <c r="O687" i="1" s="1"/>
  <c r="P687" i="1" s="1"/>
  <c r="Q687" i="1" s="1"/>
  <c r="S687" i="1" s="1"/>
  <c r="T687" i="1" s="1"/>
  <c r="M687" i="1"/>
  <c r="U687" i="1" s="1"/>
  <c r="V687" i="1" s="1"/>
  <c r="N681" i="1"/>
  <c r="O681" i="1" s="1"/>
  <c r="P681" i="1" s="1"/>
  <c r="Q681" i="1" s="1"/>
  <c r="S681" i="1" s="1"/>
  <c r="T681" i="1" s="1"/>
  <c r="M681" i="1"/>
  <c r="U681" i="1" s="1"/>
  <c r="V681" i="1" s="1"/>
  <c r="N675" i="1"/>
  <c r="O675" i="1" s="1"/>
  <c r="P675" i="1" s="1"/>
  <c r="Q675" i="1" s="1"/>
  <c r="S675" i="1" s="1"/>
  <c r="T675" i="1" s="1"/>
  <c r="M675" i="1"/>
  <c r="U675" i="1" s="1"/>
  <c r="V675" i="1" s="1"/>
  <c r="N669" i="1"/>
  <c r="O669" i="1" s="1"/>
  <c r="P669" i="1" s="1"/>
  <c r="Q669" i="1" s="1"/>
  <c r="S669" i="1" s="1"/>
  <c r="T669" i="1" s="1"/>
  <c r="U669" i="1" s="1"/>
  <c r="V669" i="1" s="1"/>
  <c r="M669" i="1"/>
  <c r="N663" i="1"/>
  <c r="O663" i="1" s="1"/>
  <c r="P663" i="1" s="1"/>
  <c r="Q663" i="1" s="1"/>
  <c r="S663" i="1" s="1"/>
  <c r="T663" i="1" s="1"/>
  <c r="M663" i="1"/>
  <c r="N657" i="1"/>
  <c r="O657" i="1" s="1"/>
  <c r="P657" i="1" s="1"/>
  <c r="Q657" i="1" s="1"/>
  <c r="S657" i="1" s="1"/>
  <c r="T657" i="1" s="1"/>
  <c r="M657" i="1"/>
  <c r="U657" i="1" s="1"/>
  <c r="V657" i="1" s="1"/>
  <c r="N651" i="1"/>
  <c r="O651" i="1" s="1"/>
  <c r="P651" i="1" s="1"/>
  <c r="Q651" i="1" s="1"/>
  <c r="S651" i="1" s="1"/>
  <c r="T651" i="1" s="1"/>
  <c r="M651" i="1"/>
  <c r="U651" i="1" s="1"/>
  <c r="V651" i="1" s="1"/>
  <c r="N645" i="1"/>
  <c r="O645" i="1" s="1"/>
  <c r="P645" i="1" s="1"/>
  <c r="Q645" i="1" s="1"/>
  <c r="S645" i="1" s="1"/>
  <c r="T645" i="1" s="1"/>
  <c r="M645" i="1"/>
  <c r="U645" i="1" s="1"/>
  <c r="V645" i="1" s="1"/>
  <c r="N639" i="1"/>
  <c r="O639" i="1" s="1"/>
  <c r="P639" i="1" s="1"/>
  <c r="Q639" i="1" s="1"/>
  <c r="S639" i="1" s="1"/>
  <c r="T639" i="1" s="1"/>
  <c r="M639" i="1"/>
  <c r="U639" i="1" s="1"/>
  <c r="V639" i="1" s="1"/>
  <c r="N633" i="1"/>
  <c r="O633" i="1" s="1"/>
  <c r="P633" i="1" s="1"/>
  <c r="Q633" i="1" s="1"/>
  <c r="S633" i="1" s="1"/>
  <c r="T633" i="1" s="1"/>
  <c r="M633" i="1"/>
  <c r="U633" i="1" s="1"/>
  <c r="V633" i="1" s="1"/>
  <c r="N627" i="1"/>
  <c r="O627" i="1" s="1"/>
  <c r="P627" i="1" s="1"/>
  <c r="Q627" i="1" s="1"/>
  <c r="S627" i="1" s="1"/>
  <c r="T627" i="1" s="1"/>
  <c r="M627" i="1"/>
  <c r="N621" i="1"/>
  <c r="O621" i="1" s="1"/>
  <c r="P621" i="1" s="1"/>
  <c r="Q621" i="1" s="1"/>
  <c r="S621" i="1" s="1"/>
  <c r="T621" i="1" s="1"/>
  <c r="U621" i="1" s="1"/>
  <c r="V621" i="1" s="1"/>
  <c r="M621" i="1"/>
  <c r="N615" i="1"/>
  <c r="O615" i="1" s="1"/>
  <c r="P615" i="1" s="1"/>
  <c r="Q615" i="1" s="1"/>
  <c r="S615" i="1" s="1"/>
  <c r="T615" i="1" s="1"/>
  <c r="M615" i="1"/>
  <c r="U615" i="1" s="1"/>
  <c r="V615" i="1" s="1"/>
  <c r="N609" i="1"/>
  <c r="O609" i="1" s="1"/>
  <c r="P609" i="1" s="1"/>
  <c r="Q609" i="1" s="1"/>
  <c r="S609" i="1" s="1"/>
  <c r="T609" i="1" s="1"/>
  <c r="M609" i="1"/>
  <c r="U609" i="1" s="1"/>
  <c r="V609" i="1" s="1"/>
  <c r="N603" i="1"/>
  <c r="O603" i="1" s="1"/>
  <c r="P603" i="1" s="1"/>
  <c r="Q603" i="1" s="1"/>
  <c r="S603" i="1" s="1"/>
  <c r="T603" i="1" s="1"/>
  <c r="M603" i="1"/>
  <c r="U603" i="1" s="1"/>
  <c r="V603" i="1" s="1"/>
  <c r="N597" i="1"/>
  <c r="O597" i="1" s="1"/>
  <c r="P597" i="1" s="1"/>
  <c r="Q597" i="1" s="1"/>
  <c r="S597" i="1" s="1"/>
  <c r="T597" i="1" s="1"/>
  <c r="U597" i="1" s="1"/>
  <c r="V597" i="1" s="1"/>
  <c r="M597" i="1"/>
  <c r="N591" i="1"/>
  <c r="O591" i="1" s="1"/>
  <c r="P591" i="1" s="1"/>
  <c r="Q591" i="1" s="1"/>
  <c r="S591" i="1" s="1"/>
  <c r="T591" i="1" s="1"/>
  <c r="M591" i="1"/>
  <c r="U591" i="1" s="1"/>
  <c r="V591" i="1" s="1"/>
  <c r="N585" i="1"/>
  <c r="O585" i="1" s="1"/>
  <c r="P585" i="1" s="1"/>
  <c r="Q585" i="1" s="1"/>
  <c r="S585" i="1" s="1"/>
  <c r="T585" i="1" s="1"/>
  <c r="U585" i="1" s="1"/>
  <c r="V585" i="1" s="1"/>
  <c r="M585" i="1"/>
  <c r="N579" i="1"/>
  <c r="O579" i="1" s="1"/>
  <c r="P579" i="1" s="1"/>
  <c r="Q579" i="1" s="1"/>
  <c r="S579" i="1" s="1"/>
  <c r="T579" i="1" s="1"/>
  <c r="M579" i="1"/>
  <c r="U579" i="1" s="1"/>
  <c r="V579" i="1" s="1"/>
  <c r="N573" i="1"/>
  <c r="O573" i="1" s="1"/>
  <c r="P573" i="1" s="1"/>
  <c r="Q573" i="1" s="1"/>
  <c r="S573" i="1" s="1"/>
  <c r="T573" i="1" s="1"/>
  <c r="M573" i="1"/>
  <c r="N567" i="1"/>
  <c r="O567" i="1" s="1"/>
  <c r="P567" i="1" s="1"/>
  <c r="Q567" i="1" s="1"/>
  <c r="S567" i="1" s="1"/>
  <c r="T567" i="1" s="1"/>
  <c r="M567" i="1"/>
  <c r="U567" i="1" s="1"/>
  <c r="V567" i="1" s="1"/>
  <c r="N561" i="1"/>
  <c r="O561" i="1" s="1"/>
  <c r="P561" i="1" s="1"/>
  <c r="Q561" i="1" s="1"/>
  <c r="S561" i="1" s="1"/>
  <c r="T561" i="1" s="1"/>
  <c r="M561" i="1"/>
  <c r="U561" i="1" s="1"/>
  <c r="V561" i="1" s="1"/>
  <c r="N555" i="1"/>
  <c r="O555" i="1" s="1"/>
  <c r="P555" i="1" s="1"/>
  <c r="Q555" i="1" s="1"/>
  <c r="S555" i="1" s="1"/>
  <c r="T555" i="1" s="1"/>
  <c r="M555" i="1"/>
  <c r="N549" i="1"/>
  <c r="O549" i="1" s="1"/>
  <c r="P549" i="1" s="1"/>
  <c r="Q549" i="1" s="1"/>
  <c r="S549" i="1" s="1"/>
  <c r="T549" i="1" s="1"/>
  <c r="M549" i="1"/>
  <c r="U549" i="1" s="1"/>
  <c r="V549" i="1" s="1"/>
  <c r="N543" i="1"/>
  <c r="O543" i="1" s="1"/>
  <c r="P543" i="1" s="1"/>
  <c r="Q543" i="1" s="1"/>
  <c r="S543" i="1" s="1"/>
  <c r="T543" i="1" s="1"/>
  <c r="M543" i="1"/>
  <c r="U543" i="1" s="1"/>
  <c r="V543" i="1" s="1"/>
  <c r="N537" i="1"/>
  <c r="O537" i="1" s="1"/>
  <c r="P537" i="1" s="1"/>
  <c r="Q537" i="1" s="1"/>
  <c r="S537" i="1" s="1"/>
  <c r="T537" i="1" s="1"/>
  <c r="M537" i="1"/>
  <c r="U537" i="1" s="1"/>
  <c r="V537" i="1" s="1"/>
  <c r="N531" i="1"/>
  <c r="O531" i="1" s="1"/>
  <c r="P531" i="1" s="1"/>
  <c r="Q531" i="1" s="1"/>
  <c r="S531" i="1" s="1"/>
  <c r="T531" i="1" s="1"/>
  <c r="U531" i="1" s="1"/>
  <c r="V531" i="1" s="1"/>
  <c r="M531" i="1"/>
  <c r="N525" i="1"/>
  <c r="O525" i="1" s="1"/>
  <c r="P525" i="1" s="1"/>
  <c r="Q525" i="1" s="1"/>
  <c r="S525" i="1" s="1"/>
  <c r="T525" i="1" s="1"/>
  <c r="M525" i="1"/>
  <c r="U525" i="1" s="1"/>
  <c r="V525" i="1" s="1"/>
  <c r="N519" i="1"/>
  <c r="O519" i="1" s="1"/>
  <c r="P519" i="1" s="1"/>
  <c r="Q519" i="1" s="1"/>
  <c r="S519" i="1" s="1"/>
  <c r="T519" i="1" s="1"/>
  <c r="M519" i="1"/>
  <c r="U519" i="1" s="1"/>
  <c r="V519" i="1" s="1"/>
  <c r="N513" i="1"/>
  <c r="O513" i="1" s="1"/>
  <c r="P513" i="1" s="1"/>
  <c r="Q513" i="1" s="1"/>
  <c r="S513" i="1" s="1"/>
  <c r="T513" i="1" s="1"/>
  <c r="M513" i="1"/>
  <c r="U513" i="1" s="1"/>
  <c r="V513" i="1" s="1"/>
  <c r="N507" i="1"/>
  <c r="O507" i="1" s="1"/>
  <c r="P507" i="1" s="1"/>
  <c r="Q507" i="1" s="1"/>
  <c r="S507" i="1" s="1"/>
  <c r="T507" i="1" s="1"/>
  <c r="M507" i="1"/>
  <c r="U507" i="1" s="1"/>
  <c r="V507" i="1" s="1"/>
  <c r="N501" i="1"/>
  <c r="O501" i="1" s="1"/>
  <c r="P501" i="1" s="1"/>
  <c r="Q501" i="1" s="1"/>
  <c r="S501" i="1" s="1"/>
  <c r="T501" i="1" s="1"/>
  <c r="M501" i="1"/>
  <c r="U501" i="1" s="1"/>
  <c r="V501" i="1" s="1"/>
  <c r="N495" i="1"/>
  <c r="O495" i="1" s="1"/>
  <c r="P495" i="1" s="1"/>
  <c r="Q495" i="1" s="1"/>
  <c r="S495" i="1" s="1"/>
  <c r="T495" i="1" s="1"/>
  <c r="M495" i="1"/>
  <c r="U495" i="1" s="1"/>
  <c r="V495" i="1" s="1"/>
  <c r="N489" i="1"/>
  <c r="O489" i="1" s="1"/>
  <c r="P489" i="1" s="1"/>
  <c r="Q489" i="1" s="1"/>
  <c r="S489" i="1" s="1"/>
  <c r="T489" i="1" s="1"/>
  <c r="M489" i="1"/>
  <c r="U489" i="1" s="1"/>
  <c r="V489" i="1" s="1"/>
  <c r="N483" i="1"/>
  <c r="O483" i="1" s="1"/>
  <c r="P483" i="1" s="1"/>
  <c r="Q483" i="1" s="1"/>
  <c r="S483" i="1" s="1"/>
  <c r="T483" i="1" s="1"/>
  <c r="M483" i="1"/>
  <c r="N477" i="1"/>
  <c r="O477" i="1" s="1"/>
  <c r="P477" i="1" s="1"/>
  <c r="Q477" i="1" s="1"/>
  <c r="S477" i="1" s="1"/>
  <c r="T477" i="1" s="1"/>
  <c r="M477" i="1"/>
  <c r="U477" i="1" s="1"/>
  <c r="V477" i="1" s="1"/>
  <c r="N471" i="1"/>
  <c r="O471" i="1" s="1"/>
  <c r="P471" i="1" s="1"/>
  <c r="Q471" i="1" s="1"/>
  <c r="S471" i="1" s="1"/>
  <c r="T471" i="1" s="1"/>
  <c r="M471" i="1"/>
  <c r="U471" i="1" s="1"/>
  <c r="V471" i="1" s="1"/>
  <c r="N465" i="1"/>
  <c r="O465" i="1" s="1"/>
  <c r="P465" i="1" s="1"/>
  <c r="Q465" i="1" s="1"/>
  <c r="S465" i="1" s="1"/>
  <c r="T465" i="1" s="1"/>
  <c r="M465" i="1"/>
  <c r="U465" i="1" s="1"/>
  <c r="V465" i="1" s="1"/>
  <c r="N459" i="1"/>
  <c r="O459" i="1" s="1"/>
  <c r="P459" i="1" s="1"/>
  <c r="Q459" i="1" s="1"/>
  <c r="S459" i="1" s="1"/>
  <c r="T459" i="1" s="1"/>
  <c r="M459" i="1"/>
  <c r="U459" i="1" s="1"/>
  <c r="V459" i="1" s="1"/>
  <c r="N453" i="1"/>
  <c r="O453" i="1" s="1"/>
  <c r="P453" i="1" s="1"/>
  <c r="Q453" i="1" s="1"/>
  <c r="S453" i="1" s="1"/>
  <c r="T453" i="1" s="1"/>
  <c r="M453" i="1"/>
  <c r="U453" i="1" s="1"/>
  <c r="V453" i="1" s="1"/>
  <c r="N447" i="1"/>
  <c r="O447" i="1" s="1"/>
  <c r="P447" i="1" s="1"/>
  <c r="Q447" i="1" s="1"/>
  <c r="S447" i="1" s="1"/>
  <c r="T447" i="1" s="1"/>
  <c r="M447" i="1"/>
  <c r="U447" i="1" s="1"/>
  <c r="V447" i="1" s="1"/>
  <c r="N441" i="1"/>
  <c r="O441" i="1" s="1"/>
  <c r="P441" i="1" s="1"/>
  <c r="Q441" i="1" s="1"/>
  <c r="S441" i="1" s="1"/>
  <c r="T441" i="1" s="1"/>
  <c r="M441" i="1"/>
  <c r="U441" i="1" s="1"/>
  <c r="V441" i="1" s="1"/>
  <c r="N435" i="1"/>
  <c r="O435" i="1" s="1"/>
  <c r="P435" i="1" s="1"/>
  <c r="Q435" i="1" s="1"/>
  <c r="S435" i="1" s="1"/>
  <c r="T435" i="1" s="1"/>
  <c r="U435" i="1" s="1"/>
  <c r="V435" i="1" s="1"/>
  <c r="M435" i="1"/>
  <c r="N429" i="1"/>
  <c r="O429" i="1" s="1"/>
  <c r="P429" i="1" s="1"/>
  <c r="Q429" i="1" s="1"/>
  <c r="S429" i="1" s="1"/>
  <c r="T429" i="1" s="1"/>
  <c r="M429" i="1"/>
  <c r="U429" i="1" s="1"/>
  <c r="V429" i="1" s="1"/>
  <c r="N423" i="1"/>
  <c r="O423" i="1" s="1"/>
  <c r="P423" i="1" s="1"/>
  <c r="Q423" i="1" s="1"/>
  <c r="S423" i="1" s="1"/>
  <c r="T423" i="1" s="1"/>
  <c r="M423" i="1"/>
  <c r="U423" i="1" s="1"/>
  <c r="V423" i="1" s="1"/>
  <c r="N417" i="1"/>
  <c r="O417" i="1" s="1"/>
  <c r="P417" i="1" s="1"/>
  <c r="Q417" i="1" s="1"/>
  <c r="S417" i="1" s="1"/>
  <c r="T417" i="1" s="1"/>
  <c r="M417" i="1"/>
  <c r="U417" i="1" s="1"/>
  <c r="V417" i="1" s="1"/>
  <c r="N411" i="1"/>
  <c r="O411" i="1" s="1"/>
  <c r="P411" i="1" s="1"/>
  <c r="Q411" i="1" s="1"/>
  <c r="S411" i="1" s="1"/>
  <c r="T411" i="1" s="1"/>
  <c r="M411" i="1"/>
  <c r="U411" i="1" s="1"/>
  <c r="V411" i="1" s="1"/>
  <c r="N405" i="1"/>
  <c r="O405" i="1" s="1"/>
  <c r="P405" i="1" s="1"/>
  <c r="Q405" i="1" s="1"/>
  <c r="S405" i="1" s="1"/>
  <c r="T405" i="1" s="1"/>
  <c r="M405" i="1"/>
  <c r="U405" i="1" s="1"/>
  <c r="V405" i="1" s="1"/>
  <c r="N399" i="1"/>
  <c r="O399" i="1" s="1"/>
  <c r="P399" i="1" s="1"/>
  <c r="Q399" i="1" s="1"/>
  <c r="S399" i="1" s="1"/>
  <c r="T399" i="1" s="1"/>
  <c r="M399" i="1"/>
  <c r="U399" i="1" s="1"/>
  <c r="V399" i="1" s="1"/>
  <c r="N393" i="1"/>
  <c r="O393" i="1" s="1"/>
  <c r="P393" i="1" s="1"/>
  <c r="Q393" i="1" s="1"/>
  <c r="S393" i="1" s="1"/>
  <c r="T393" i="1" s="1"/>
  <c r="M393" i="1"/>
  <c r="U393" i="1" s="1"/>
  <c r="V393" i="1" s="1"/>
  <c r="N387" i="1"/>
  <c r="O387" i="1" s="1"/>
  <c r="P387" i="1" s="1"/>
  <c r="Q387" i="1" s="1"/>
  <c r="S387" i="1" s="1"/>
  <c r="T387" i="1" s="1"/>
  <c r="U387" i="1" s="1"/>
  <c r="V387" i="1" s="1"/>
  <c r="M387" i="1"/>
  <c r="N381" i="1"/>
  <c r="O381" i="1" s="1"/>
  <c r="P381" i="1" s="1"/>
  <c r="Q381" i="1" s="1"/>
  <c r="S381" i="1" s="1"/>
  <c r="T381" i="1" s="1"/>
  <c r="M381" i="1"/>
  <c r="U381" i="1" s="1"/>
  <c r="V381" i="1" s="1"/>
  <c r="N375" i="1"/>
  <c r="O375" i="1" s="1"/>
  <c r="P375" i="1" s="1"/>
  <c r="Q375" i="1" s="1"/>
  <c r="S375" i="1" s="1"/>
  <c r="T375" i="1" s="1"/>
  <c r="M375" i="1"/>
  <c r="U375" i="1" s="1"/>
  <c r="V375" i="1" s="1"/>
  <c r="N369" i="1"/>
  <c r="O369" i="1" s="1"/>
  <c r="P369" i="1" s="1"/>
  <c r="Q369" i="1" s="1"/>
  <c r="S369" i="1" s="1"/>
  <c r="T369" i="1" s="1"/>
  <c r="U369" i="1" s="1"/>
  <c r="V369" i="1" s="1"/>
  <c r="M369" i="1"/>
  <c r="N363" i="1"/>
  <c r="O363" i="1" s="1"/>
  <c r="P363" i="1" s="1"/>
  <c r="Q363" i="1" s="1"/>
  <c r="S363" i="1" s="1"/>
  <c r="T363" i="1" s="1"/>
  <c r="M363" i="1"/>
  <c r="U363" i="1" s="1"/>
  <c r="V363" i="1" s="1"/>
  <c r="N357" i="1"/>
  <c r="O357" i="1" s="1"/>
  <c r="P357" i="1" s="1"/>
  <c r="Q357" i="1" s="1"/>
  <c r="S357" i="1" s="1"/>
  <c r="T357" i="1" s="1"/>
  <c r="M357" i="1"/>
  <c r="N351" i="1"/>
  <c r="O351" i="1" s="1"/>
  <c r="P351" i="1" s="1"/>
  <c r="Q351" i="1" s="1"/>
  <c r="S351" i="1" s="1"/>
  <c r="T351" i="1" s="1"/>
  <c r="M351" i="1"/>
  <c r="U351" i="1" s="1"/>
  <c r="V351" i="1" s="1"/>
  <c r="N345" i="1"/>
  <c r="O345" i="1" s="1"/>
  <c r="P345" i="1" s="1"/>
  <c r="Q345" i="1" s="1"/>
  <c r="S345" i="1" s="1"/>
  <c r="T345" i="1" s="1"/>
  <c r="M345" i="1"/>
  <c r="U345" i="1" s="1"/>
  <c r="V345" i="1" s="1"/>
  <c r="N339" i="1"/>
  <c r="O339" i="1" s="1"/>
  <c r="P339" i="1" s="1"/>
  <c r="Q339" i="1" s="1"/>
  <c r="S339" i="1" s="1"/>
  <c r="T339" i="1" s="1"/>
  <c r="M339" i="1"/>
  <c r="U339" i="1" s="1"/>
  <c r="V339" i="1" s="1"/>
  <c r="N333" i="1"/>
  <c r="O333" i="1" s="1"/>
  <c r="P333" i="1" s="1"/>
  <c r="Q333" i="1" s="1"/>
  <c r="S333" i="1" s="1"/>
  <c r="T333" i="1" s="1"/>
  <c r="U333" i="1" s="1"/>
  <c r="V333" i="1" s="1"/>
  <c r="M333" i="1"/>
  <c r="N327" i="1"/>
  <c r="O327" i="1" s="1"/>
  <c r="P327" i="1" s="1"/>
  <c r="Q327" i="1" s="1"/>
  <c r="S327" i="1" s="1"/>
  <c r="T327" i="1" s="1"/>
  <c r="M327" i="1"/>
  <c r="U327" i="1" s="1"/>
  <c r="V327" i="1" s="1"/>
  <c r="N321" i="1"/>
  <c r="O321" i="1" s="1"/>
  <c r="P321" i="1" s="1"/>
  <c r="Q321" i="1" s="1"/>
  <c r="S321" i="1" s="1"/>
  <c r="T321" i="1" s="1"/>
  <c r="M321" i="1"/>
  <c r="N315" i="1"/>
  <c r="O315" i="1" s="1"/>
  <c r="P315" i="1" s="1"/>
  <c r="Q315" i="1" s="1"/>
  <c r="S315" i="1" s="1"/>
  <c r="T315" i="1" s="1"/>
  <c r="M315" i="1"/>
  <c r="U315" i="1" s="1"/>
  <c r="V315" i="1" s="1"/>
  <c r="N309" i="1"/>
  <c r="O309" i="1" s="1"/>
  <c r="P309" i="1" s="1"/>
  <c r="Q309" i="1" s="1"/>
  <c r="S309" i="1" s="1"/>
  <c r="T309" i="1" s="1"/>
  <c r="M309" i="1"/>
  <c r="U309" i="1" s="1"/>
  <c r="V309" i="1" s="1"/>
  <c r="N303" i="1"/>
  <c r="O303" i="1" s="1"/>
  <c r="P303" i="1" s="1"/>
  <c r="Q303" i="1" s="1"/>
  <c r="S303" i="1" s="1"/>
  <c r="T303" i="1" s="1"/>
  <c r="M303" i="1"/>
  <c r="U303" i="1" s="1"/>
  <c r="V303" i="1" s="1"/>
  <c r="M297" i="1"/>
  <c r="U297" i="1" s="1"/>
  <c r="V297" i="1" s="1"/>
  <c r="N297" i="1"/>
  <c r="O297" i="1" s="1"/>
  <c r="P297" i="1" s="1"/>
  <c r="Q297" i="1" s="1"/>
  <c r="S297" i="1" s="1"/>
  <c r="T297" i="1" s="1"/>
  <c r="N291" i="1"/>
  <c r="O291" i="1" s="1"/>
  <c r="P291" i="1" s="1"/>
  <c r="Q291" i="1" s="1"/>
  <c r="S291" i="1" s="1"/>
  <c r="T291" i="1" s="1"/>
  <c r="M291" i="1"/>
  <c r="U291" i="1" s="1"/>
  <c r="V291" i="1" s="1"/>
  <c r="N285" i="1"/>
  <c r="O285" i="1" s="1"/>
  <c r="P285" i="1" s="1"/>
  <c r="Q285" i="1" s="1"/>
  <c r="S285" i="1" s="1"/>
  <c r="T285" i="1" s="1"/>
  <c r="M285" i="1"/>
  <c r="U285" i="1" s="1"/>
  <c r="V285" i="1" s="1"/>
  <c r="M279" i="1"/>
  <c r="U279" i="1" s="1"/>
  <c r="V279" i="1" s="1"/>
  <c r="N279" i="1"/>
  <c r="O279" i="1" s="1"/>
  <c r="P279" i="1" s="1"/>
  <c r="Q279" i="1" s="1"/>
  <c r="S279" i="1" s="1"/>
  <c r="T279" i="1" s="1"/>
  <c r="N273" i="1"/>
  <c r="O273" i="1" s="1"/>
  <c r="P273" i="1" s="1"/>
  <c r="Q273" i="1" s="1"/>
  <c r="S273" i="1" s="1"/>
  <c r="T273" i="1" s="1"/>
  <c r="M273" i="1"/>
  <c r="U273" i="1" s="1"/>
  <c r="V273" i="1" s="1"/>
  <c r="N267" i="1"/>
  <c r="O267" i="1" s="1"/>
  <c r="P267" i="1" s="1"/>
  <c r="Q267" i="1" s="1"/>
  <c r="S267" i="1" s="1"/>
  <c r="T267" i="1" s="1"/>
  <c r="M267" i="1"/>
  <c r="M261" i="1"/>
  <c r="U261" i="1" s="1"/>
  <c r="V261" i="1" s="1"/>
  <c r="N261" i="1"/>
  <c r="O261" i="1" s="1"/>
  <c r="P261" i="1" s="1"/>
  <c r="Q261" i="1" s="1"/>
  <c r="S261" i="1" s="1"/>
  <c r="T261" i="1" s="1"/>
  <c r="N255" i="1"/>
  <c r="O255" i="1" s="1"/>
  <c r="P255" i="1" s="1"/>
  <c r="Q255" i="1" s="1"/>
  <c r="S255" i="1" s="1"/>
  <c r="T255" i="1" s="1"/>
  <c r="M255" i="1"/>
  <c r="U255" i="1" s="1"/>
  <c r="V255" i="1" s="1"/>
  <c r="N249" i="1"/>
  <c r="O249" i="1" s="1"/>
  <c r="P249" i="1" s="1"/>
  <c r="Q249" i="1" s="1"/>
  <c r="S249" i="1" s="1"/>
  <c r="T249" i="1" s="1"/>
  <c r="M249" i="1"/>
  <c r="U249" i="1" s="1"/>
  <c r="V249" i="1" s="1"/>
  <c r="M243" i="1"/>
  <c r="U243" i="1" s="1"/>
  <c r="V243" i="1" s="1"/>
  <c r="N243" i="1"/>
  <c r="O243" i="1" s="1"/>
  <c r="P243" i="1" s="1"/>
  <c r="Q243" i="1" s="1"/>
  <c r="S243" i="1" s="1"/>
  <c r="T243" i="1" s="1"/>
  <c r="N237" i="1"/>
  <c r="O237" i="1" s="1"/>
  <c r="P237" i="1" s="1"/>
  <c r="Q237" i="1" s="1"/>
  <c r="S237" i="1" s="1"/>
  <c r="T237" i="1" s="1"/>
  <c r="M237" i="1"/>
  <c r="U237" i="1" s="1"/>
  <c r="V237" i="1" s="1"/>
  <c r="N231" i="1"/>
  <c r="O231" i="1" s="1"/>
  <c r="P231" i="1" s="1"/>
  <c r="Q231" i="1" s="1"/>
  <c r="S231" i="1" s="1"/>
  <c r="T231" i="1" s="1"/>
  <c r="M231" i="1"/>
  <c r="U231" i="1" s="1"/>
  <c r="V231" i="1" s="1"/>
  <c r="M225" i="1"/>
  <c r="U225" i="1" s="1"/>
  <c r="V225" i="1" s="1"/>
  <c r="N225" i="1"/>
  <c r="O225" i="1" s="1"/>
  <c r="P225" i="1" s="1"/>
  <c r="Q225" i="1" s="1"/>
  <c r="S225" i="1" s="1"/>
  <c r="T225" i="1" s="1"/>
  <c r="N219" i="1"/>
  <c r="O219" i="1" s="1"/>
  <c r="P219" i="1" s="1"/>
  <c r="Q219" i="1" s="1"/>
  <c r="S219" i="1" s="1"/>
  <c r="T219" i="1" s="1"/>
  <c r="M219" i="1"/>
  <c r="U219" i="1" s="1"/>
  <c r="V219" i="1" s="1"/>
  <c r="N213" i="1"/>
  <c r="O213" i="1" s="1"/>
  <c r="P213" i="1" s="1"/>
  <c r="Q213" i="1" s="1"/>
  <c r="S213" i="1" s="1"/>
  <c r="T213" i="1" s="1"/>
  <c r="M213" i="1"/>
  <c r="U213" i="1" s="1"/>
  <c r="V213" i="1" s="1"/>
  <c r="M207" i="1"/>
  <c r="U207" i="1" s="1"/>
  <c r="V207" i="1" s="1"/>
  <c r="N207" i="1"/>
  <c r="O207" i="1" s="1"/>
  <c r="P207" i="1" s="1"/>
  <c r="Q207" i="1" s="1"/>
  <c r="S207" i="1" s="1"/>
  <c r="T207" i="1" s="1"/>
  <c r="N201" i="1"/>
  <c r="O201" i="1" s="1"/>
  <c r="P201" i="1" s="1"/>
  <c r="Q201" i="1" s="1"/>
  <c r="S201" i="1" s="1"/>
  <c r="T201" i="1" s="1"/>
  <c r="M201" i="1"/>
  <c r="U201" i="1" s="1"/>
  <c r="V201" i="1" s="1"/>
  <c r="N195" i="1"/>
  <c r="O195" i="1" s="1"/>
  <c r="P195" i="1" s="1"/>
  <c r="Q195" i="1" s="1"/>
  <c r="S195" i="1" s="1"/>
  <c r="T195" i="1" s="1"/>
  <c r="M195" i="1"/>
  <c r="M189" i="1"/>
  <c r="U189" i="1" s="1"/>
  <c r="V189" i="1" s="1"/>
  <c r="N189" i="1"/>
  <c r="O189" i="1" s="1"/>
  <c r="P189" i="1" s="1"/>
  <c r="Q189" i="1" s="1"/>
  <c r="S189" i="1" s="1"/>
  <c r="T189" i="1" s="1"/>
  <c r="N183" i="1"/>
  <c r="O183" i="1" s="1"/>
  <c r="P183" i="1" s="1"/>
  <c r="Q183" i="1" s="1"/>
  <c r="S183" i="1" s="1"/>
  <c r="T183" i="1" s="1"/>
  <c r="U183" i="1" s="1"/>
  <c r="V183" i="1" s="1"/>
  <c r="M183" i="1"/>
  <c r="N177" i="1"/>
  <c r="O177" i="1" s="1"/>
  <c r="P177" i="1" s="1"/>
  <c r="Q177" i="1" s="1"/>
  <c r="S177" i="1" s="1"/>
  <c r="T177" i="1" s="1"/>
  <c r="M177" i="1"/>
  <c r="U177" i="1" s="1"/>
  <c r="V177" i="1" s="1"/>
  <c r="M171" i="1"/>
  <c r="U171" i="1" s="1"/>
  <c r="V171" i="1" s="1"/>
  <c r="N171" i="1"/>
  <c r="O171" i="1" s="1"/>
  <c r="P171" i="1" s="1"/>
  <c r="Q171" i="1" s="1"/>
  <c r="S171" i="1" s="1"/>
  <c r="T171" i="1" s="1"/>
  <c r="N165" i="1"/>
  <c r="O165" i="1" s="1"/>
  <c r="P165" i="1" s="1"/>
  <c r="Q165" i="1" s="1"/>
  <c r="S165" i="1" s="1"/>
  <c r="T165" i="1" s="1"/>
  <c r="M165" i="1"/>
  <c r="U165" i="1" s="1"/>
  <c r="V165" i="1" s="1"/>
  <c r="N159" i="1"/>
  <c r="O159" i="1" s="1"/>
  <c r="P159" i="1" s="1"/>
  <c r="Q159" i="1" s="1"/>
  <c r="S159" i="1" s="1"/>
  <c r="T159" i="1" s="1"/>
  <c r="M159" i="1"/>
  <c r="U159" i="1" s="1"/>
  <c r="V159" i="1" s="1"/>
  <c r="M153" i="1"/>
  <c r="U153" i="1" s="1"/>
  <c r="V153" i="1" s="1"/>
  <c r="N153" i="1"/>
  <c r="O153" i="1" s="1"/>
  <c r="P153" i="1" s="1"/>
  <c r="Q153" i="1" s="1"/>
  <c r="S153" i="1" s="1"/>
  <c r="T153" i="1" s="1"/>
  <c r="N147" i="1"/>
  <c r="O147" i="1" s="1"/>
  <c r="P147" i="1" s="1"/>
  <c r="Q147" i="1" s="1"/>
  <c r="S147" i="1" s="1"/>
  <c r="T147" i="1" s="1"/>
  <c r="M147" i="1"/>
  <c r="U147" i="1" s="1"/>
  <c r="V147" i="1" s="1"/>
  <c r="N141" i="1"/>
  <c r="O141" i="1" s="1"/>
  <c r="P141" i="1" s="1"/>
  <c r="Q141" i="1" s="1"/>
  <c r="S141" i="1" s="1"/>
  <c r="T141" i="1" s="1"/>
  <c r="M141" i="1"/>
  <c r="U141" i="1" s="1"/>
  <c r="V141" i="1" s="1"/>
  <c r="M135" i="1"/>
  <c r="U135" i="1" s="1"/>
  <c r="V135" i="1" s="1"/>
  <c r="N135" i="1"/>
  <c r="O135" i="1" s="1"/>
  <c r="P135" i="1" s="1"/>
  <c r="Q135" i="1" s="1"/>
  <c r="S135" i="1" s="1"/>
  <c r="T135" i="1" s="1"/>
  <c r="N129" i="1"/>
  <c r="O129" i="1" s="1"/>
  <c r="P129" i="1" s="1"/>
  <c r="Q129" i="1" s="1"/>
  <c r="S129" i="1" s="1"/>
  <c r="T129" i="1" s="1"/>
  <c r="U129" i="1" s="1"/>
  <c r="V129" i="1" s="1"/>
  <c r="M129" i="1"/>
  <c r="N123" i="1"/>
  <c r="O123" i="1" s="1"/>
  <c r="P123" i="1" s="1"/>
  <c r="Q123" i="1" s="1"/>
  <c r="S123" i="1" s="1"/>
  <c r="T123" i="1" s="1"/>
  <c r="M123" i="1"/>
  <c r="U123" i="1" s="1"/>
  <c r="V123" i="1" s="1"/>
  <c r="M117" i="1"/>
  <c r="U117" i="1" s="1"/>
  <c r="V117" i="1" s="1"/>
  <c r="N117" i="1"/>
  <c r="O117" i="1" s="1"/>
  <c r="P117" i="1" s="1"/>
  <c r="Q117" i="1" s="1"/>
  <c r="S117" i="1" s="1"/>
  <c r="T117" i="1" s="1"/>
  <c r="N111" i="1"/>
  <c r="O111" i="1" s="1"/>
  <c r="P111" i="1" s="1"/>
  <c r="Q111" i="1" s="1"/>
  <c r="S111" i="1" s="1"/>
  <c r="T111" i="1" s="1"/>
  <c r="U111" i="1" s="1"/>
  <c r="V111" i="1" s="1"/>
  <c r="M111" i="1"/>
  <c r="N105" i="1"/>
  <c r="O105" i="1" s="1"/>
  <c r="P105" i="1" s="1"/>
  <c r="Q105" i="1" s="1"/>
  <c r="S105" i="1" s="1"/>
  <c r="T105" i="1" s="1"/>
  <c r="M105" i="1"/>
  <c r="M99" i="1"/>
  <c r="U99" i="1" s="1"/>
  <c r="V99" i="1" s="1"/>
  <c r="N99" i="1"/>
  <c r="O99" i="1" s="1"/>
  <c r="P99" i="1" s="1"/>
  <c r="Q99" i="1" s="1"/>
  <c r="S99" i="1" s="1"/>
  <c r="T99" i="1" s="1"/>
  <c r="N93" i="1"/>
  <c r="O93" i="1" s="1"/>
  <c r="P93" i="1" s="1"/>
  <c r="Q93" i="1" s="1"/>
  <c r="S93" i="1" s="1"/>
  <c r="T93" i="1" s="1"/>
  <c r="U93" i="1" s="1"/>
  <c r="V93" i="1" s="1"/>
  <c r="M93" i="1"/>
  <c r="N87" i="1"/>
  <c r="O87" i="1" s="1"/>
  <c r="P87" i="1" s="1"/>
  <c r="Q87" i="1" s="1"/>
  <c r="S87" i="1" s="1"/>
  <c r="T87" i="1" s="1"/>
  <c r="M87" i="1"/>
  <c r="U87" i="1" s="1"/>
  <c r="V87" i="1" s="1"/>
  <c r="M81" i="1"/>
  <c r="U81" i="1" s="1"/>
  <c r="V81" i="1" s="1"/>
  <c r="N81" i="1"/>
  <c r="O81" i="1" s="1"/>
  <c r="P81" i="1" s="1"/>
  <c r="Q81" i="1" s="1"/>
  <c r="S81" i="1" s="1"/>
  <c r="T81" i="1" s="1"/>
  <c r="N75" i="1"/>
  <c r="O75" i="1" s="1"/>
  <c r="P75" i="1" s="1"/>
  <c r="Q75" i="1" s="1"/>
  <c r="S75" i="1" s="1"/>
  <c r="T75" i="1" s="1"/>
  <c r="U75" i="1" s="1"/>
  <c r="V75" i="1" s="1"/>
  <c r="M75" i="1"/>
  <c r="N69" i="1"/>
  <c r="O69" i="1" s="1"/>
  <c r="P69" i="1" s="1"/>
  <c r="Q69" i="1" s="1"/>
  <c r="S69" i="1" s="1"/>
  <c r="T69" i="1" s="1"/>
  <c r="M69" i="1"/>
  <c r="N63" i="1"/>
  <c r="O63" i="1" s="1"/>
  <c r="P63" i="1" s="1"/>
  <c r="Q63" i="1" s="1"/>
  <c r="S63" i="1" s="1"/>
  <c r="T63" i="1" s="1"/>
  <c r="M63" i="1"/>
  <c r="U63" i="1" s="1"/>
  <c r="V63" i="1" s="1"/>
  <c r="N57" i="1"/>
  <c r="O57" i="1" s="1"/>
  <c r="P57" i="1" s="1"/>
  <c r="Q57" i="1" s="1"/>
  <c r="S57" i="1" s="1"/>
  <c r="T57" i="1" s="1"/>
  <c r="M57" i="1"/>
  <c r="N51" i="1"/>
  <c r="O51" i="1" s="1"/>
  <c r="P51" i="1" s="1"/>
  <c r="Q51" i="1" s="1"/>
  <c r="S51" i="1" s="1"/>
  <c r="T51" i="1" s="1"/>
  <c r="M51" i="1"/>
  <c r="U51" i="1" s="1"/>
  <c r="V51" i="1" s="1"/>
  <c r="N45" i="1"/>
  <c r="O45" i="1" s="1"/>
  <c r="P45" i="1" s="1"/>
  <c r="Q45" i="1" s="1"/>
  <c r="S45" i="1" s="1"/>
  <c r="T45" i="1" s="1"/>
  <c r="M45" i="1"/>
  <c r="U45" i="1" s="1"/>
  <c r="V45" i="1" s="1"/>
  <c r="N39" i="1"/>
  <c r="O39" i="1" s="1"/>
  <c r="P39" i="1" s="1"/>
  <c r="Q39" i="1" s="1"/>
  <c r="S39" i="1" s="1"/>
  <c r="T39" i="1" s="1"/>
  <c r="M39" i="1"/>
  <c r="U39" i="1" s="1"/>
  <c r="V39" i="1" s="1"/>
  <c r="N33" i="1"/>
  <c r="O33" i="1" s="1"/>
  <c r="P33" i="1" s="1"/>
  <c r="Q33" i="1" s="1"/>
  <c r="S33" i="1" s="1"/>
  <c r="T33" i="1" s="1"/>
  <c r="M33" i="1"/>
  <c r="U33" i="1" s="1"/>
  <c r="V33" i="1" s="1"/>
  <c r="N27" i="1"/>
  <c r="O27" i="1" s="1"/>
  <c r="P27" i="1" s="1"/>
  <c r="Q27" i="1" s="1"/>
  <c r="S27" i="1" s="1"/>
  <c r="T27" i="1" s="1"/>
  <c r="M27" i="1"/>
  <c r="U27" i="1" s="1"/>
  <c r="V27" i="1" s="1"/>
  <c r="M999" i="1"/>
  <c r="U999" i="1" s="1"/>
  <c r="V999" i="1" s="1"/>
  <c r="M987" i="1"/>
  <c r="U987" i="1" s="1"/>
  <c r="V987" i="1" s="1"/>
  <c r="M975" i="1"/>
  <c r="U975" i="1" s="1"/>
  <c r="V975" i="1" s="1"/>
  <c r="M957" i="1"/>
  <c r="U957" i="1" s="1"/>
  <c r="V957" i="1" s="1"/>
  <c r="M936" i="1"/>
  <c r="U936" i="1" s="1"/>
  <c r="V936" i="1" s="1"/>
  <c r="M909" i="1"/>
  <c r="M882" i="1"/>
  <c r="U882" i="1" s="1"/>
  <c r="V882" i="1" s="1"/>
  <c r="M855" i="1"/>
  <c r="U855" i="1" s="1"/>
  <c r="V855" i="1" s="1"/>
  <c r="N18" i="1"/>
  <c r="O18" i="1" s="1"/>
  <c r="P18" i="1" s="1"/>
  <c r="Q18" i="1" s="1"/>
  <c r="S18" i="1" s="1"/>
  <c r="T18" i="1" s="1"/>
  <c r="M18" i="1"/>
  <c r="U18" i="1" s="1"/>
  <c r="V18" i="1" s="1"/>
  <c r="N12" i="1"/>
  <c r="O12" i="1" s="1"/>
  <c r="P12" i="1" s="1"/>
  <c r="Q12" i="1" s="1"/>
  <c r="S12" i="1" s="1"/>
  <c r="T12" i="1" s="1"/>
  <c r="U12" i="1" s="1"/>
  <c r="V12" i="1" s="1"/>
  <c r="M12" i="1"/>
  <c r="N21" i="1"/>
  <c r="O21" i="1" s="1"/>
  <c r="P21" i="1" s="1"/>
  <c r="Q21" i="1" s="1"/>
  <c r="S21" i="1" s="1"/>
  <c r="T21" i="1" s="1"/>
  <c r="M21" i="1"/>
  <c r="U21" i="1" s="1"/>
  <c r="V21" i="1" s="1"/>
  <c r="O15" i="1"/>
  <c r="P15" i="1" s="1"/>
  <c r="Q15" i="1" s="1"/>
  <c r="S15" i="1" s="1"/>
  <c r="T15" i="1" s="1"/>
  <c r="N9" i="1"/>
  <c r="O9" i="1" s="1"/>
  <c r="P9" i="1" s="1"/>
  <c r="Q9" i="1" s="1"/>
  <c r="S9" i="1" s="1"/>
  <c r="T9" i="1" s="1"/>
  <c r="U9" i="1" s="1"/>
  <c r="V9" i="1" s="1"/>
  <c r="M9" i="1"/>
  <c r="M24" i="1"/>
  <c r="N23" i="1"/>
  <c r="O23" i="1" s="1"/>
  <c r="P23" i="1" s="1"/>
  <c r="Q23" i="1" s="1"/>
  <c r="S23" i="1" s="1"/>
  <c r="T23" i="1" s="1"/>
  <c r="M23" i="1"/>
  <c r="U23" i="1" s="1"/>
  <c r="V23" i="1" s="1"/>
  <c r="N17" i="1"/>
  <c r="O17" i="1" s="1"/>
  <c r="P17" i="1" s="1"/>
  <c r="Q17" i="1" s="1"/>
  <c r="S17" i="1" s="1"/>
  <c r="T17" i="1" s="1"/>
  <c r="M17" i="1"/>
  <c r="U17" i="1" s="1"/>
  <c r="V17" i="1" s="1"/>
  <c r="M11" i="1"/>
  <c r="U11" i="1" s="1"/>
  <c r="V11" i="1" s="1"/>
  <c r="N11" i="1"/>
  <c r="O11" i="1" s="1"/>
  <c r="P11" i="1" s="1"/>
  <c r="Q11" i="1" s="1"/>
  <c r="S11" i="1" s="1"/>
  <c r="T11" i="1" s="1"/>
  <c r="M15" i="1"/>
  <c r="U15" i="1" s="1"/>
  <c r="V15" i="1" s="1"/>
  <c r="U982" i="1"/>
  <c r="V982" i="1" s="1"/>
  <c r="U940" i="1"/>
  <c r="V940" i="1" s="1"/>
  <c r="U928" i="1"/>
  <c r="V928" i="1" s="1"/>
  <c r="U910" i="1"/>
  <c r="V910" i="1" s="1"/>
  <c r="U904" i="1"/>
  <c r="V904" i="1" s="1"/>
  <c r="U892" i="1"/>
  <c r="V892" i="1" s="1"/>
  <c r="U880" i="1"/>
  <c r="V880" i="1" s="1"/>
  <c r="U868" i="1"/>
  <c r="V868" i="1" s="1"/>
  <c r="U832" i="1"/>
  <c r="V832" i="1" s="1"/>
  <c r="U814" i="1"/>
  <c r="V814" i="1" s="1"/>
  <c r="U802" i="1"/>
  <c r="V802" i="1" s="1"/>
  <c r="U796" i="1"/>
  <c r="V796" i="1" s="1"/>
  <c r="U778" i="1"/>
  <c r="V778" i="1" s="1"/>
  <c r="U772" i="1"/>
  <c r="V772" i="1" s="1"/>
  <c r="U766" i="1"/>
  <c r="V766" i="1" s="1"/>
  <c r="U760" i="1"/>
  <c r="V760" i="1" s="1"/>
  <c r="U724" i="1"/>
  <c r="V724" i="1" s="1"/>
  <c r="U706" i="1"/>
  <c r="V706" i="1" s="1"/>
  <c r="U676" i="1"/>
  <c r="V676" i="1" s="1"/>
  <c r="U670" i="1"/>
  <c r="V670" i="1" s="1"/>
  <c r="U640" i="1"/>
  <c r="V640" i="1" s="1"/>
  <c r="U616" i="1"/>
  <c r="V616" i="1" s="1"/>
  <c r="U598" i="1"/>
  <c r="V598" i="1" s="1"/>
  <c r="U580" i="1"/>
  <c r="V580" i="1" s="1"/>
  <c r="U574" i="1"/>
  <c r="V574" i="1" s="1"/>
  <c r="U556" i="1"/>
  <c r="V556" i="1" s="1"/>
  <c r="U550" i="1"/>
  <c r="V550" i="1" s="1"/>
  <c r="U532" i="1"/>
  <c r="V532" i="1" s="1"/>
  <c r="U526" i="1"/>
  <c r="V526" i="1" s="1"/>
  <c r="U508" i="1"/>
  <c r="V508" i="1" s="1"/>
  <c r="U490" i="1"/>
  <c r="V490" i="1" s="1"/>
  <c r="U478" i="1"/>
  <c r="V478" i="1" s="1"/>
  <c r="U436" i="1"/>
  <c r="V436" i="1" s="1"/>
  <c r="U382" i="1"/>
  <c r="V382" i="1" s="1"/>
  <c r="U376" i="1"/>
  <c r="V376" i="1" s="1"/>
  <c r="U364" i="1"/>
  <c r="V364" i="1" s="1"/>
  <c r="U358" i="1"/>
  <c r="V358" i="1" s="1"/>
  <c r="U352" i="1"/>
  <c r="V352" i="1" s="1"/>
  <c r="U310" i="1"/>
  <c r="V310" i="1" s="1"/>
  <c r="U298" i="1"/>
  <c r="V298" i="1" s="1"/>
  <c r="U256" i="1"/>
  <c r="V256" i="1" s="1"/>
  <c r="U220" i="1"/>
  <c r="V220" i="1" s="1"/>
  <c r="U208" i="1"/>
  <c r="V208" i="1" s="1"/>
  <c r="U184" i="1"/>
  <c r="V184" i="1" s="1"/>
  <c r="U178" i="1"/>
  <c r="V178" i="1" s="1"/>
  <c r="U142" i="1"/>
  <c r="V142" i="1" s="1"/>
  <c r="U130" i="1"/>
  <c r="V130" i="1" s="1"/>
  <c r="U100" i="1"/>
  <c r="V100" i="1" s="1"/>
  <c r="U88" i="1"/>
  <c r="V88" i="1" s="1"/>
  <c r="U58" i="1"/>
  <c r="V58" i="1" s="1"/>
  <c r="U40" i="1"/>
  <c r="V40" i="1" s="1"/>
  <c r="U487" i="1"/>
  <c r="V487" i="1" s="1"/>
  <c r="U433" i="1"/>
  <c r="V433" i="1" s="1"/>
  <c r="U390" i="1"/>
  <c r="V390" i="1" s="1"/>
  <c r="U1007" i="1"/>
  <c r="V1007" i="1" s="1"/>
  <c r="U923" i="1"/>
  <c r="V923" i="1" s="1"/>
  <c r="U851" i="1"/>
  <c r="V851" i="1" s="1"/>
  <c r="U833" i="1"/>
  <c r="V833" i="1" s="1"/>
  <c r="U815" i="1"/>
  <c r="V815" i="1" s="1"/>
  <c r="U994" i="1"/>
  <c r="V994" i="1" s="1"/>
  <c r="U898" i="1"/>
  <c r="V898" i="1" s="1"/>
  <c r="U790" i="1"/>
  <c r="V790" i="1" s="1"/>
  <c r="U634" i="1"/>
  <c r="V634" i="1" s="1"/>
  <c r="U812" i="1"/>
  <c r="V812" i="1" s="1"/>
  <c r="U368" i="1"/>
  <c r="V368" i="1" s="1"/>
  <c r="U278" i="1"/>
  <c r="V278" i="1" s="1"/>
  <c r="U979" i="1"/>
  <c r="V979" i="1" s="1"/>
  <c r="U775" i="1"/>
  <c r="V775" i="1" s="1"/>
  <c r="U739" i="1"/>
  <c r="V739" i="1" s="1"/>
  <c r="U703" i="1"/>
  <c r="V703" i="1" s="1"/>
  <c r="U631" i="1"/>
  <c r="V631" i="1" s="1"/>
  <c r="U253" i="1"/>
  <c r="V253" i="1" s="1"/>
  <c r="U157" i="1"/>
  <c r="V157" i="1" s="1"/>
  <c r="U127" i="1"/>
  <c r="V127" i="1" s="1"/>
  <c r="U966" i="1"/>
  <c r="V966" i="1" s="1"/>
  <c r="U954" i="1"/>
  <c r="V954" i="1" s="1"/>
  <c r="U864" i="1"/>
  <c r="V864" i="1" s="1"/>
  <c r="U732" i="1"/>
  <c r="V732" i="1" s="1"/>
  <c r="U702" i="1"/>
  <c r="V702" i="1" s="1"/>
  <c r="U624" i="1"/>
  <c r="V624" i="1" s="1"/>
  <c r="U372" i="1"/>
  <c r="V372" i="1" s="1"/>
  <c r="U246" i="1"/>
  <c r="V246" i="1" s="1"/>
  <c r="U210" i="1"/>
  <c r="V210" i="1" s="1"/>
  <c r="U174" i="1"/>
  <c r="V174" i="1" s="1"/>
  <c r="U24" i="1"/>
  <c r="V24" i="1" s="1"/>
  <c r="U725" i="1"/>
  <c r="V725" i="1" s="1"/>
  <c r="U617" i="1"/>
  <c r="V617" i="1" s="1"/>
  <c r="U509" i="1"/>
  <c r="V509" i="1" s="1"/>
  <c r="U401" i="1"/>
  <c r="V401" i="1" s="1"/>
  <c r="U383" i="1"/>
  <c r="V383" i="1" s="1"/>
  <c r="U311" i="1"/>
  <c r="V311" i="1" s="1"/>
  <c r="U257" i="1"/>
  <c r="V257" i="1" s="1"/>
  <c r="U221" i="1"/>
  <c r="V221" i="1" s="1"/>
  <c r="U185" i="1"/>
  <c r="V185" i="1" s="1"/>
  <c r="U131" i="1"/>
  <c r="V131" i="1" s="1"/>
  <c r="U77" i="1"/>
  <c r="V77" i="1" s="1"/>
  <c r="U472" i="1"/>
  <c r="V472" i="1" s="1"/>
  <c r="U454" i="1"/>
  <c r="V454" i="1" s="1"/>
  <c r="U418" i="1"/>
  <c r="V418" i="1" s="1"/>
  <c r="U400" i="1"/>
  <c r="V400" i="1" s="1"/>
  <c r="U346" i="1"/>
  <c r="V346" i="1" s="1"/>
  <c r="U292" i="1"/>
  <c r="V292" i="1" s="1"/>
  <c r="U238" i="1"/>
  <c r="V238" i="1" s="1"/>
  <c r="U202" i="1"/>
  <c r="V202" i="1" s="1"/>
  <c r="U148" i="1"/>
  <c r="V148" i="1" s="1"/>
  <c r="U709" i="4" l="1"/>
  <c r="V709" i="4" s="1"/>
  <c r="U945" i="4"/>
  <c r="V945" i="4" s="1"/>
  <c r="U380" i="4"/>
  <c r="V380" i="4" s="1"/>
  <c r="U33" i="4"/>
  <c r="V33" i="4" s="1"/>
  <c r="U967" i="4"/>
  <c r="V967" i="4" s="1"/>
  <c r="U858" i="4"/>
  <c r="V858" i="4" s="1"/>
  <c r="U882" i="4"/>
  <c r="V882" i="4" s="1"/>
  <c r="U818" i="4"/>
  <c r="V818" i="4" s="1"/>
  <c r="U552" i="4"/>
  <c r="V552" i="4" s="1"/>
  <c r="U341" i="4"/>
  <c r="V341" i="4" s="1"/>
  <c r="U364" i="4"/>
  <c r="V364" i="4" s="1"/>
  <c r="U830" i="4"/>
  <c r="V830" i="4" s="1"/>
  <c r="U941" i="4"/>
  <c r="V941" i="4" s="1"/>
  <c r="U840" i="4"/>
  <c r="V840" i="4" s="1"/>
  <c r="U857" i="4"/>
  <c r="V857" i="4" s="1"/>
  <c r="U614" i="4"/>
  <c r="V614" i="4" s="1"/>
  <c r="U425" i="4"/>
  <c r="V425" i="4" s="1"/>
  <c r="U407" i="4"/>
  <c r="V407" i="4" s="1"/>
  <c r="U196" i="4"/>
  <c r="V196" i="4" s="1"/>
  <c r="U993" i="4"/>
  <c r="V993" i="4" s="1"/>
  <c r="U750" i="4"/>
  <c r="V750" i="4" s="1"/>
  <c r="U350" i="4"/>
  <c r="V350" i="4" s="1"/>
  <c r="U994" i="4"/>
  <c r="V994" i="4" s="1"/>
  <c r="U730" i="4"/>
  <c r="V730" i="4" s="1"/>
  <c r="U383" i="4"/>
  <c r="V383" i="4" s="1"/>
  <c r="U611" i="4"/>
  <c r="V611" i="4" s="1"/>
  <c r="U739" i="4"/>
  <c r="V739" i="4" s="1"/>
  <c r="U401" i="4"/>
  <c r="V401" i="4" s="1"/>
  <c r="U898" i="4"/>
  <c r="V898" i="4" s="1"/>
  <c r="U979" i="4"/>
  <c r="V979" i="4" s="1"/>
  <c r="U935" i="4"/>
  <c r="V935" i="4" s="1"/>
  <c r="U966" i="4"/>
  <c r="V966" i="4" s="1"/>
  <c r="U684" i="4"/>
  <c r="V684" i="4" s="1"/>
  <c r="U52" i="4"/>
  <c r="V52" i="4" s="1"/>
  <c r="U732" i="4"/>
  <c r="V732" i="4" s="1"/>
  <c r="U736" i="4"/>
  <c r="V736" i="4" s="1"/>
  <c r="U596" i="4"/>
  <c r="V596" i="4" s="1"/>
  <c r="U623" i="4"/>
  <c r="V623" i="4" s="1"/>
  <c r="U932" i="4"/>
  <c r="V932" i="4" s="1"/>
  <c r="U889" i="4"/>
  <c r="V889" i="4" s="1"/>
  <c r="U589" i="4"/>
  <c r="V589" i="4" s="1"/>
  <c r="U362" i="4"/>
  <c r="V362" i="4" s="1"/>
  <c r="U344" i="4"/>
  <c r="V344" i="4" s="1"/>
  <c r="U340" i="4"/>
  <c r="V340" i="4" s="1"/>
  <c r="U418" i="4"/>
  <c r="V418" i="4" s="1"/>
  <c r="U42" i="4"/>
  <c r="V42" i="4" s="1"/>
  <c r="U952" i="4"/>
  <c r="V952" i="4" s="1"/>
  <c r="U923" i="4"/>
  <c r="V923" i="4" s="1"/>
  <c r="U856" i="4"/>
  <c r="V856" i="4" s="1"/>
  <c r="U812" i="4"/>
  <c r="V812" i="4" s="1"/>
  <c r="U854" i="4"/>
  <c r="V854" i="4" s="1"/>
  <c r="U604" i="4"/>
  <c r="V604" i="4" s="1"/>
  <c r="U617" i="4"/>
  <c r="V617" i="4" s="1"/>
  <c r="U292" i="4"/>
  <c r="V292" i="4" s="1"/>
  <c r="U57" i="4"/>
  <c r="V57" i="4" s="1"/>
  <c r="U46" i="4"/>
  <c r="V46" i="4" s="1"/>
  <c r="U825" i="4"/>
  <c r="V825" i="4" s="1"/>
  <c r="U703" i="4"/>
  <c r="V703" i="4" s="1"/>
  <c r="U685" i="4"/>
  <c r="V685" i="4" s="1"/>
  <c r="U648" i="4"/>
  <c r="V648" i="4" s="1"/>
  <c r="U432" i="4"/>
  <c r="V432" i="4" s="1"/>
  <c r="U410" i="4"/>
  <c r="V410" i="4" s="1"/>
  <c r="U308" i="4"/>
  <c r="V308" i="4" s="1"/>
  <c r="U569" i="4"/>
  <c r="V569" i="4" s="1"/>
  <c r="U54" i="4"/>
  <c r="V54" i="4" s="1"/>
  <c r="U61" i="4"/>
  <c r="V61" i="4" s="1"/>
  <c r="U990" i="4"/>
  <c r="V990" i="4" s="1"/>
  <c r="U718" i="4"/>
  <c r="V718" i="4" s="1"/>
  <c r="U837" i="4"/>
  <c r="V837" i="4" s="1"/>
  <c r="U829" i="4"/>
  <c r="V829" i="4" s="1"/>
  <c r="U697" i="4"/>
  <c r="V697" i="4" s="1"/>
  <c r="U627" i="4"/>
  <c r="V627" i="4" s="1"/>
  <c r="U593" i="4"/>
  <c r="V593" i="4" s="1"/>
  <c r="U371" i="4"/>
  <c r="V371" i="4" s="1"/>
  <c r="U400" i="4"/>
  <c r="V400" i="4" s="1"/>
  <c r="U67" i="4"/>
  <c r="V67" i="4" s="1"/>
  <c r="U31" i="4"/>
  <c r="V31" i="4" s="1"/>
  <c r="U9" i="4"/>
  <c r="V9" i="4" s="1"/>
  <c r="U969" i="4"/>
  <c r="V969" i="4" s="1"/>
  <c r="U963" i="4"/>
  <c r="V963" i="4" s="1"/>
  <c r="U950" i="4"/>
  <c r="V950" i="4" s="1"/>
  <c r="U847" i="4"/>
  <c r="V847" i="4" s="1"/>
  <c r="U708" i="4"/>
  <c r="V708" i="4" s="1"/>
  <c r="U608" i="4"/>
  <c r="V608" i="4" s="1"/>
  <c r="U422" i="4"/>
  <c r="V422" i="4" s="1"/>
  <c r="U404" i="4"/>
  <c r="V404" i="4" s="1"/>
  <c r="U368" i="4"/>
  <c r="V368" i="4" s="1"/>
  <c r="U304" i="4"/>
  <c r="V304" i="4" s="1"/>
  <c r="U321" i="1"/>
  <c r="V321" i="1" s="1"/>
  <c r="U357" i="1"/>
  <c r="V357" i="1" s="1"/>
  <c r="U573" i="1"/>
  <c r="V573" i="1" s="1"/>
  <c r="U771" i="1"/>
  <c r="V771" i="1" s="1"/>
  <c r="U825" i="1"/>
  <c r="V825" i="1" s="1"/>
  <c r="U962" i="1"/>
  <c r="V962" i="1" s="1"/>
  <c r="U990" i="1"/>
  <c r="V990" i="1" s="1"/>
  <c r="U42" i="1"/>
  <c r="V42" i="1" s="1"/>
  <c r="U168" i="1"/>
  <c r="V168" i="1" s="1"/>
  <c r="U258" i="1"/>
  <c r="V258" i="1" s="1"/>
  <c r="U384" i="1"/>
  <c r="V384" i="1" s="1"/>
  <c r="U402" i="1"/>
  <c r="V402" i="1" s="1"/>
  <c r="U420" i="1"/>
  <c r="V420" i="1" s="1"/>
  <c r="U546" i="1"/>
  <c r="V546" i="1" s="1"/>
  <c r="U636" i="1"/>
  <c r="V636" i="1" s="1"/>
  <c r="U708" i="1"/>
  <c r="V708" i="1" s="1"/>
  <c r="U834" i="1"/>
  <c r="V834" i="1" s="1"/>
  <c r="U852" i="1"/>
  <c r="V852" i="1" s="1"/>
  <c r="U71" i="1"/>
  <c r="V71" i="1" s="1"/>
  <c r="U143" i="1"/>
  <c r="V143" i="1" s="1"/>
  <c r="U431" i="1"/>
  <c r="V431" i="1" s="1"/>
  <c r="U485" i="1"/>
  <c r="V485" i="1" s="1"/>
  <c r="U539" i="1"/>
  <c r="V539" i="1" s="1"/>
  <c r="U593" i="1"/>
  <c r="V593" i="1" s="1"/>
  <c r="U611" i="1"/>
  <c r="V611" i="1" s="1"/>
  <c r="U683" i="1"/>
  <c r="V683" i="1" s="1"/>
  <c r="U701" i="1"/>
  <c r="V701" i="1" s="1"/>
  <c r="U755" i="1"/>
  <c r="V755" i="1" s="1"/>
  <c r="U773" i="1"/>
  <c r="V773" i="1" s="1"/>
  <c r="U863" i="1"/>
  <c r="V863" i="1" s="1"/>
  <c r="U881" i="1"/>
  <c r="V881" i="1" s="1"/>
  <c r="U917" i="1"/>
  <c r="V917" i="1" s="1"/>
  <c r="U935" i="1"/>
  <c r="V935" i="1" s="1"/>
  <c r="U16" i="1"/>
  <c r="V16" i="1" s="1"/>
  <c r="X8" i="1" s="1" a="1"/>
  <c r="U52" i="1"/>
  <c r="V52" i="1" s="1"/>
  <c r="U286" i="1"/>
  <c r="V286" i="1" s="1"/>
  <c r="U304" i="1"/>
  <c r="V304" i="1" s="1"/>
  <c r="U340" i="1"/>
  <c r="V340" i="1" s="1"/>
  <c r="U394" i="1"/>
  <c r="V394" i="1" s="1"/>
  <c r="U430" i="1"/>
  <c r="V430" i="1" s="1"/>
  <c r="U628" i="1"/>
  <c r="V628" i="1" s="1"/>
  <c r="U646" i="1"/>
  <c r="V646" i="1" s="1"/>
  <c r="U664" i="1"/>
  <c r="V664" i="1" s="1"/>
  <c r="U682" i="1"/>
  <c r="V682" i="1" s="1"/>
  <c r="U718" i="1"/>
  <c r="V718" i="1" s="1"/>
  <c r="U736" i="1"/>
  <c r="V736" i="1" s="1"/>
  <c r="U808" i="1"/>
  <c r="V808" i="1" s="1"/>
  <c r="U69" i="1"/>
  <c r="V69" i="1" s="1"/>
  <c r="U105" i="1"/>
  <c r="V105" i="1" s="1"/>
  <c r="U195" i="1"/>
  <c r="V195" i="1" s="1"/>
  <c r="U267" i="1"/>
  <c r="V267" i="1" s="1"/>
  <c r="U483" i="1"/>
  <c r="V483" i="1" s="1"/>
  <c r="U555" i="1"/>
  <c r="V555" i="1" s="1"/>
  <c r="U627" i="1"/>
  <c r="V627" i="1" s="1"/>
  <c r="U663" i="1"/>
  <c r="V663" i="1" s="1"/>
  <c r="U57" i="1"/>
  <c r="V57" i="1" s="1"/>
  <c r="U969" i="1"/>
  <c r="V969" i="1" s="1"/>
  <c r="U26" i="1"/>
  <c r="V26" i="1" s="1"/>
  <c r="U44" i="1"/>
  <c r="V44" i="1" s="1"/>
  <c r="U80" i="1"/>
  <c r="V80" i="1" s="1"/>
  <c r="U98" i="1"/>
  <c r="V98" i="1" s="1"/>
  <c r="U116" i="1"/>
  <c r="V116" i="1" s="1"/>
  <c r="U296" i="1"/>
  <c r="V296" i="1" s="1"/>
  <c r="U314" i="1"/>
  <c r="V314" i="1" s="1"/>
  <c r="U404" i="1"/>
  <c r="V404" i="1" s="1"/>
  <c r="U422" i="1"/>
  <c r="V422" i="1" s="1"/>
  <c r="U494" i="1"/>
  <c r="V494" i="1" s="1"/>
  <c r="U512" i="1"/>
  <c r="V512" i="1" s="1"/>
  <c r="U566" i="1"/>
  <c r="V566" i="1" s="1"/>
  <c r="U728" i="1"/>
  <c r="V728" i="1" s="1"/>
  <c r="U746" i="1"/>
  <c r="V746" i="1" s="1"/>
  <c r="U854" i="1"/>
  <c r="V854" i="1" s="1"/>
  <c r="U890" i="1"/>
  <c r="V890" i="1" s="1"/>
  <c r="U91" i="1"/>
  <c r="V91" i="1" s="1"/>
  <c r="U145" i="1"/>
  <c r="V145" i="1" s="1"/>
  <c r="U199" i="1"/>
  <c r="V199" i="1" s="1"/>
  <c r="U307" i="1"/>
  <c r="V307" i="1" s="1"/>
  <c r="U415" i="1"/>
  <c r="V415" i="1" s="1"/>
  <c r="U649" i="1"/>
  <c r="V649" i="1" s="1"/>
  <c r="U667" i="1"/>
  <c r="V667" i="1" s="1"/>
  <c r="U685" i="1"/>
  <c r="V685" i="1" s="1"/>
  <c r="U757" i="1"/>
  <c r="V757" i="1" s="1"/>
  <c r="U865" i="1"/>
  <c r="V865" i="1" s="1"/>
  <c r="U909" i="1"/>
  <c r="V909" i="1" s="1"/>
  <c r="U963" i="1"/>
  <c r="V963" i="1" s="1"/>
  <c r="U212" i="1"/>
  <c r="V212" i="1" s="1"/>
  <c r="U410" i="1"/>
  <c r="V410" i="1" s="1"/>
  <c r="U500" i="1"/>
  <c r="V500" i="1" s="1"/>
  <c r="U554" i="1"/>
  <c r="V554" i="1" s="1"/>
  <c r="U608" i="1"/>
  <c r="V608" i="1" s="1"/>
  <c r="U626" i="1"/>
  <c r="V626" i="1" s="1"/>
  <c r="U770" i="1"/>
  <c r="V770" i="1" s="1"/>
  <c r="U788" i="1"/>
  <c r="V788" i="1" s="1"/>
  <c r="U806" i="1"/>
  <c r="V806" i="1" s="1"/>
  <c r="U860" i="1"/>
  <c r="V860" i="1" s="1"/>
  <c r="U992" i="1"/>
  <c r="V992" i="1" s="1"/>
  <c r="U61" i="1"/>
  <c r="V61" i="1" s="1"/>
  <c r="U79" i="1"/>
  <c r="V79" i="1" s="1"/>
  <c r="U97" i="1"/>
  <c r="V97" i="1" s="1"/>
  <c r="U187" i="1"/>
  <c r="V187" i="1" s="1"/>
  <c r="U223" i="1"/>
  <c r="V223" i="1" s="1"/>
  <c r="U367" i="1"/>
  <c r="V367" i="1" s="1"/>
  <c r="U403" i="1"/>
  <c r="V403" i="1" s="1"/>
  <c r="U493" i="1"/>
  <c r="V493" i="1" s="1"/>
  <c r="U547" i="1"/>
  <c r="V547" i="1" s="1"/>
  <c r="U565" i="1"/>
  <c r="V565" i="1" s="1"/>
  <c r="U691" i="1"/>
  <c r="V691" i="1" s="1"/>
  <c r="U709" i="1"/>
  <c r="V709" i="1" s="1"/>
  <c r="U763" i="1"/>
  <c r="V763" i="1" s="1"/>
  <c r="U817" i="1"/>
  <c r="V817" i="1" s="1"/>
  <c r="U29" i="1"/>
  <c r="V29" i="1" s="1"/>
  <c r="U191" i="1"/>
  <c r="V191" i="1" s="1"/>
  <c r="U245" i="1"/>
  <c r="V245" i="1" s="1"/>
  <c r="U371" i="1"/>
  <c r="V371" i="1" s="1"/>
  <c r="U218" i="1"/>
  <c r="V218" i="1" s="1"/>
  <c r="U290" i="1"/>
  <c r="V290" i="1" s="1"/>
  <c r="U308" i="1"/>
  <c r="V308" i="1" s="1"/>
  <c r="U344" i="1"/>
  <c r="V344" i="1" s="1"/>
  <c r="U517" i="1"/>
  <c r="V517" i="1" s="1"/>
  <c r="U589" i="1"/>
  <c r="V589" i="1" s="1"/>
  <c r="U625" i="1"/>
  <c r="V625" i="1" s="1"/>
  <c r="U643" i="1"/>
  <c r="V643" i="1" s="1"/>
  <c r="U679" i="1"/>
  <c r="V679" i="1" s="1"/>
  <c r="U697" i="1"/>
  <c r="V697" i="1" s="1"/>
  <c r="U769" i="1"/>
  <c r="V769" i="1" s="1"/>
  <c r="U787" i="1"/>
  <c r="V787" i="1" s="1"/>
  <c r="U859" i="1"/>
  <c r="V859" i="1" s="1"/>
  <c r="U784" i="1"/>
  <c r="V784" i="1" s="1"/>
  <c r="U820" i="1"/>
  <c r="V820" i="1" s="1"/>
  <c r="U874" i="1"/>
  <c r="V874" i="1" s="1"/>
  <c r="U959" i="1"/>
  <c r="V959" i="1" s="1"/>
  <c r="U897" i="1"/>
  <c r="V897" i="1" s="1"/>
  <c r="U158" i="1"/>
  <c r="V158" i="1" s="1"/>
  <c r="X8" i="4" l="1" a="1"/>
  <c r="Z13" i="1"/>
  <c r="Y14" i="1"/>
  <c r="Z19" i="1"/>
  <c r="Y20" i="1"/>
  <c r="Z25" i="1"/>
  <c r="Y26" i="1"/>
  <c r="Z31" i="1"/>
  <c r="Y32" i="1"/>
  <c r="Y9" i="1"/>
  <c r="Z14" i="1"/>
  <c r="Y15" i="1"/>
  <c r="Z20" i="1"/>
  <c r="Y21" i="1"/>
  <c r="Z26" i="1"/>
  <c r="Y27" i="1"/>
  <c r="Z32" i="1"/>
  <c r="Y33" i="1"/>
  <c r="X8" i="1"/>
  <c r="Z9" i="1"/>
  <c r="Y10" i="1"/>
  <c r="Z15" i="1"/>
  <c r="Y16" i="1"/>
  <c r="Z21" i="1"/>
  <c r="Y22" i="1"/>
  <c r="Z27" i="1"/>
  <c r="Y28" i="1"/>
  <c r="Z33" i="1"/>
  <c r="Y34" i="1"/>
  <c r="Y13" i="1"/>
  <c r="Z18" i="1"/>
  <c r="Z24" i="1"/>
  <c r="Y31" i="1"/>
  <c r="Z10" i="1"/>
  <c r="Y11" i="1"/>
  <c r="Z16" i="1"/>
  <c r="Y17" i="1"/>
  <c r="Z22" i="1"/>
  <c r="Y23" i="1"/>
  <c r="Z28" i="1"/>
  <c r="Y29" i="1"/>
  <c r="Z34" i="1"/>
  <c r="Z12" i="1"/>
  <c r="Y19" i="1"/>
  <c r="Z30" i="1"/>
  <c r="Z11" i="1"/>
  <c r="Y12" i="1"/>
  <c r="Z17" i="1"/>
  <c r="Y18" i="1"/>
  <c r="Z23" i="1"/>
  <c r="Y24" i="1"/>
  <c r="Z29" i="1"/>
  <c r="Y30" i="1"/>
  <c r="Y25" i="1"/>
  <c r="D4" i="1"/>
  <c r="Z34" i="4" l="1"/>
  <c r="Y33" i="4"/>
  <c r="Z28" i="4"/>
  <c r="Y27" i="4"/>
  <c r="Z22" i="4"/>
  <c r="Y21" i="4"/>
  <c r="Z16" i="4"/>
  <c r="Y15" i="4"/>
  <c r="Z10" i="4"/>
  <c r="Y9" i="4"/>
  <c r="X8" i="4"/>
  <c r="Z21" i="4"/>
  <c r="Y34" i="4"/>
  <c r="Z29" i="4"/>
  <c r="Y28" i="4"/>
  <c r="Z23" i="4"/>
  <c r="Y22" i="4"/>
  <c r="Z17" i="4"/>
  <c r="Y16" i="4"/>
  <c r="Z11" i="4"/>
  <c r="Y10" i="4"/>
  <c r="Y20" i="4"/>
  <c r="Z30" i="4"/>
  <c r="Y29" i="4"/>
  <c r="Z24" i="4"/>
  <c r="Y23" i="4"/>
  <c r="Z18" i="4"/>
  <c r="Y17" i="4"/>
  <c r="Z12" i="4"/>
  <c r="Y11" i="4"/>
  <c r="Z33" i="4"/>
  <c r="Z27" i="4"/>
  <c r="Z9" i="4"/>
  <c r="Z31" i="4"/>
  <c r="Y30" i="4"/>
  <c r="Z25" i="4"/>
  <c r="Y24" i="4"/>
  <c r="Z19" i="4"/>
  <c r="Y18" i="4"/>
  <c r="Z13" i="4"/>
  <c r="Y12" i="4"/>
  <c r="Y26" i="4"/>
  <c r="Z15" i="4"/>
  <c r="Y14" i="4"/>
  <c r="Z32" i="4"/>
  <c r="Y31" i="4"/>
  <c r="Z26" i="4"/>
  <c r="Y25" i="4"/>
  <c r="Z20" i="4"/>
  <c r="Y19" i="4"/>
  <c r="Z14" i="4"/>
  <c r="Y13" i="4"/>
  <c r="Y32" i="4"/>
  <c r="AA11" i="1"/>
  <c r="AC11" i="1" s="1"/>
  <c r="AA19" i="1"/>
  <c r="AC19" i="1" s="1"/>
  <c r="AA22" i="1"/>
  <c r="AC22" i="1" s="1"/>
  <c r="AA33" i="1"/>
  <c r="AC33" i="1" s="1"/>
  <c r="AB33" i="1"/>
  <c r="AD33" i="1" s="1"/>
  <c r="AE33" i="1" s="1"/>
  <c r="AA15" i="1"/>
  <c r="AC15" i="1" s="1"/>
  <c r="AA26" i="1"/>
  <c r="AC26" i="1" s="1"/>
  <c r="AA30" i="1"/>
  <c r="AC30" i="1" s="1"/>
  <c r="AA12" i="1"/>
  <c r="AC12" i="1" s="1"/>
  <c r="AA17" i="1"/>
  <c r="AC17" i="1" s="1"/>
  <c r="AA32" i="1"/>
  <c r="AC32" i="1" s="1"/>
  <c r="AA14" i="1"/>
  <c r="AC14" i="1" s="1"/>
  <c r="AA25" i="1"/>
  <c r="AC25" i="1" s="1"/>
  <c r="AB25" i="1"/>
  <c r="AD25" i="1" s="1"/>
  <c r="AE25" i="1" s="1"/>
  <c r="AA13" i="1"/>
  <c r="AC13" i="1" s="1"/>
  <c r="AB13" i="1"/>
  <c r="AD13" i="1" s="1"/>
  <c r="AE13" i="1" s="1"/>
  <c r="AB29" i="1"/>
  <c r="AD29" i="1" s="1"/>
  <c r="AE29" i="1" s="1"/>
  <c r="AA29" i="1"/>
  <c r="AC29" i="1" s="1"/>
  <c r="AA31" i="1"/>
  <c r="AC31" i="1" s="1"/>
  <c r="AB31" i="1"/>
  <c r="AD31" i="1" s="1"/>
  <c r="AE31" i="1" s="1"/>
  <c r="AA10" i="1"/>
  <c r="AC10" i="1" s="1"/>
  <c r="AA21" i="1"/>
  <c r="AC21" i="1" s="1"/>
  <c r="AA18" i="1"/>
  <c r="AC18" i="1" s="1"/>
  <c r="AA23" i="1"/>
  <c r="AC23" i="1" s="1"/>
  <c r="AA20" i="1"/>
  <c r="AC20" i="1" s="1"/>
  <c r="AA24" i="1"/>
  <c r="AC24" i="1" s="1"/>
  <c r="AB24" i="1"/>
  <c r="AD24" i="1" s="1"/>
  <c r="AE24" i="1" s="1"/>
  <c r="AA28" i="1"/>
  <c r="AC28" i="1" s="1"/>
  <c r="AA34" i="1"/>
  <c r="AC34" i="1" s="1"/>
  <c r="AA16" i="1"/>
  <c r="AC16" i="1" s="1"/>
  <c r="Y8" i="1"/>
  <c r="Z8" i="1"/>
  <c r="AA27" i="1"/>
  <c r="AC27" i="1" s="1"/>
  <c r="AB27" i="1"/>
  <c r="AD27" i="1" s="1"/>
  <c r="AE27" i="1" s="1"/>
  <c r="AA9" i="1"/>
  <c r="AC9" i="1" s="1"/>
  <c r="AA13" i="4" l="1"/>
  <c r="AC13" i="4" s="1"/>
  <c r="AA9" i="4"/>
  <c r="AC9" i="4" s="1"/>
  <c r="AA27" i="4"/>
  <c r="AC27" i="4" s="1"/>
  <c r="AA18" i="4"/>
  <c r="AC18" i="4" s="1"/>
  <c r="AA11" i="4"/>
  <c r="AC11" i="4" s="1"/>
  <c r="AA29" i="4"/>
  <c r="AC29" i="4" s="1"/>
  <c r="AA16" i="4"/>
  <c r="AC16" i="4" s="1"/>
  <c r="AA34" i="4"/>
  <c r="AC34" i="4" s="1"/>
  <c r="AA26" i="4"/>
  <c r="AC26" i="4" s="1"/>
  <c r="AA21" i="4"/>
  <c r="AC21" i="4" s="1"/>
  <c r="AA14" i="4"/>
  <c r="AC14" i="4" s="1"/>
  <c r="AA12" i="4"/>
  <c r="AC12" i="4" s="1"/>
  <c r="AA30" i="4"/>
  <c r="AC30" i="4" s="1"/>
  <c r="AA23" i="4"/>
  <c r="AC23" i="4" s="1"/>
  <c r="AA10" i="4"/>
  <c r="AC10" i="4" s="1"/>
  <c r="AA28" i="4"/>
  <c r="AC28" i="4" s="1"/>
  <c r="AA25" i="4"/>
  <c r="AC25" i="4" s="1"/>
  <c r="AA32" i="4"/>
  <c r="AC32" i="4" s="1"/>
  <c r="AA19" i="4"/>
  <c r="AC19" i="4" s="1"/>
  <c r="AA15" i="4"/>
  <c r="AC15" i="4" s="1"/>
  <c r="AA33" i="4"/>
  <c r="AC33" i="4" s="1"/>
  <c r="AA31" i="4"/>
  <c r="AC31" i="4" s="1"/>
  <c r="AA20" i="4"/>
  <c r="AC20" i="4" s="1"/>
  <c r="AA24" i="4"/>
  <c r="AC24" i="4" s="1"/>
  <c r="AA17" i="4"/>
  <c r="AC17" i="4" s="1"/>
  <c r="AA22" i="4"/>
  <c r="AC22" i="4" s="1"/>
  <c r="Y8" i="4"/>
  <c r="Z8" i="4"/>
  <c r="AB9" i="1"/>
  <c r="AD9" i="1" s="1"/>
  <c r="AE9" i="1" s="1"/>
  <c r="AB30" i="1"/>
  <c r="AD30" i="1" s="1"/>
  <c r="AE30" i="1" s="1"/>
  <c r="AB18" i="1"/>
  <c r="AD18" i="1" s="1"/>
  <c r="AE18" i="1" s="1"/>
  <c r="AB22" i="1"/>
  <c r="AD22" i="1" s="1"/>
  <c r="AE22" i="1" s="1"/>
  <c r="AB32" i="1"/>
  <c r="AD32" i="1" s="1"/>
  <c r="AE32" i="1" s="1"/>
  <c r="AB26" i="1"/>
  <c r="AD26" i="1" s="1"/>
  <c r="AE26" i="1" s="1"/>
  <c r="AB34" i="1"/>
  <c r="AD34" i="1" s="1"/>
  <c r="AE34" i="1" s="1"/>
  <c r="AB20" i="1"/>
  <c r="AD20" i="1" s="1"/>
  <c r="AE20" i="1" s="1"/>
  <c r="AB21" i="1"/>
  <c r="AD21" i="1" s="1"/>
  <c r="AE21" i="1" s="1"/>
  <c r="AB14" i="1"/>
  <c r="AD14" i="1" s="1"/>
  <c r="AE14" i="1" s="1"/>
  <c r="AB12" i="1"/>
  <c r="AD12" i="1" s="1"/>
  <c r="AE12" i="1" s="1"/>
  <c r="AB15" i="1"/>
  <c r="AD15" i="1" s="1"/>
  <c r="AE15" i="1" s="1"/>
  <c r="AB19" i="1"/>
  <c r="AD19" i="1" s="1"/>
  <c r="AE19" i="1" s="1"/>
  <c r="AB28" i="1"/>
  <c r="AD28" i="1" s="1"/>
  <c r="AE28" i="1" s="1"/>
  <c r="AB23" i="1"/>
  <c r="AD23" i="1" s="1"/>
  <c r="AE23" i="1" s="1"/>
  <c r="AB10" i="1"/>
  <c r="AD10" i="1" s="1"/>
  <c r="AE10" i="1" s="1"/>
  <c r="AB11" i="1"/>
  <c r="AD11" i="1" s="1"/>
  <c r="AE11" i="1" s="1"/>
  <c r="AB16" i="1"/>
  <c r="AD16" i="1" s="1"/>
  <c r="AE16" i="1" s="1"/>
  <c r="AB17" i="1"/>
  <c r="AD17" i="1" s="1"/>
  <c r="AE17" i="1" s="1"/>
  <c r="AA8" i="1"/>
  <c r="AC8" i="1" s="1"/>
  <c r="AC2" i="1" s="1"/>
  <c r="AB11" i="4" l="1"/>
  <c r="AD11" i="4" s="1"/>
  <c r="AE11" i="4" s="1"/>
  <c r="AB17" i="4"/>
  <c r="AD17" i="4" s="1"/>
  <c r="AE17" i="4" s="1"/>
  <c r="AB23" i="4"/>
  <c r="AD23" i="4" s="1"/>
  <c r="AE23" i="4" s="1"/>
  <c r="AB29" i="4"/>
  <c r="AD29" i="4" s="1"/>
  <c r="AE29" i="4" s="1"/>
  <c r="AB10" i="4"/>
  <c r="AD10" i="4" s="1"/>
  <c r="AE10" i="4" s="1"/>
  <c r="AB34" i="4"/>
  <c r="AD34" i="4" s="1"/>
  <c r="AE34" i="4" s="1"/>
  <c r="AB22" i="4"/>
  <c r="AD22" i="4" s="1"/>
  <c r="AE22" i="4" s="1"/>
  <c r="AB28" i="4"/>
  <c r="AD28" i="4" s="1"/>
  <c r="AE28" i="4" s="1"/>
  <c r="AB31" i="4"/>
  <c r="AD31" i="4" s="1"/>
  <c r="AE31" i="4" s="1"/>
  <c r="AB19" i="4"/>
  <c r="AD19" i="4" s="1"/>
  <c r="AE19" i="4" s="1"/>
  <c r="AB30" i="4"/>
  <c r="AD30" i="4" s="1"/>
  <c r="AE30" i="4" s="1"/>
  <c r="AB21" i="4"/>
  <c r="AD21" i="4" s="1"/>
  <c r="AE21" i="4" s="1"/>
  <c r="AB16" i="4"/>
  <c r="AD16" i="4" s="1"/>
  <c r="AE16" i="4" s="1"/>
  <c r="AB18" i="4"/>
  <c r="AD18" i="4" s="1"/>
  <c r="AE18" i="4" s="1"/>
  <c r="AB13" i="4"/>
  <c r="AD13" i="4" s="1"/>
  <c r="AE13" i="4" s="1"/>
  <c r="AA8" i="4"/>
  <c r="AC8" i="4" s="1"/>
  <c r="AC2" i="4" s="1"/>
  <c r="AB24" i="4"/>
  <c r="AD24" i="4" s="1"/>
  <c r="AE24" i="4" s="1"/>
  <c r="AB33" i="4"/>
  <c r="AD33" i="4" s="1"/>
  <c r="AE33" i="4" s="1"/>
  <c r="AB32" i="4"/>
  <c r="AD32" i="4" s="1"/>
  <c r="AE32" i="4" s="1"/>
  <c r="AB12" i="4"/>
  <c r="AD12" i="4" s="1"/>
  <c r="AE12" i="4" s="1"/>
  <c r="AB26" i="4"/>
  <c r="AD26" i="4" s="1"/>
  <c r="AE26" i="4" s="1"/>
  <c r="AB27" i="4"/>
  <c r="AD27" i="4" s="1"/>
  <c r="AE27" i="4" s="1"/>
  <c r="AB20" i="4"/>
  <c r="AD20" i="4" s="1"/>
  <c r="AE20" i="4" s="1"/>
  <c r="AB15" i="4"/>
  <c r="AD15" i="4" s="1"/>
  <c r="AE15" i="4" s="1"/>
  <c r="AB25" i="4"/>
  <c r="AD25" i="4" s="1"/>
  <c r="AE25" i="4" s="1"/>
  <c r="AB14" i="4"/>
  <c r="AD14" i="4" s="1"/>
  <c r="AE14" i="4" s="1"/>
  <c r="AB9" i="4"/>
  <c r="AD9" i="4" s="1"/>
  <c r="AE9" i="4" s="1"/>
  <c r="AB8" i="1"/>
  <c r="AD8" i="1" s="1"/>
  <c r="AE8" i="1"/>
  <c r="AE2" i="1" s="1"/>
  <c r="AD2" i="1"/>
  <c r="AB8" i="4" l="1"/>
  <c r="AD8" i="4" s="1"/>
  <c r="AD2" i="4" l="1"/>
  <c r="AF2" i="4" s="1"/>
  <c r="AE8" i="4"/>
  <c r="AE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FC6C0-B134-4A3D-AD39-F770AD539E92}" keepAlive="1" name="Запрос — 100_заявлений" description="Соединение с запросом &quot;100_заявлений&quot; в книге." type="5" refreshedVersion="8" background="1" saveData="1">
    <dbPr connection="Provider=Microsoft.Mashup.OleDb.1;Data Source=$Workbook$;Location=100_заявлений;Extended Properties=&quot;&quot;" command="SELECT * FROM [100_заявлений]"/>
  </connection>
  <connection id="2" xr16:uid="{401519AD-60A7-4493-BD29-3101DFF634B1}" keepAlive="1" name="Запрос — 100_заявлений (2)" description="Соединение с запросом &quot;100_заявлений (2)&quot; в книге." type="5" refreshedVersion="0" background="1">
    <dbPr connection="Provider=Microsoft.Mashup.OleDb.1;Data Source=$Workbook$;Location=&quot;100_заявлений (2)&quot;;Extended Properties=&quot;&quot;" command="SELECT * FROM [100_заявлений (2)]"/>
  </connection>
  <connection id="3" xr16:uid="{49CBF883-2F82-4AC6-94DE-3C3EBF560104}" keepAlive="1" name="Запрос — 1000_заявлений" description="Соединение с запросом &quot;1000_заявлений&quot; в книге." type="5" refreshedVersion="8" background="1" saveData="1">
    <dbPr connection="Provider=Microsoft.Mashup.OleDb.1;Data Source=$Workbook$;Location=1000_заявлений;Extended Properties=&quot;&quot;" command="SELECT * FROM [1000_заявлений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<sst xmlns="http://schemas.openxmlformats.org/spreadsheetml/2006/main" count="8107" uniqueCount="6910">
  <si>
    <t>ext_source_3</t>
  </si>
  <si>
    <t>ext_source_2</t>
  </si>
  <si>
    <t>days_registration</t>
  </si>
  <si>
    <t>days_birth</t>
  </si>
  <si>
    <t>days_id_publish</t>
  </si>
  <si>
    <t xml:space="preserve"> annuity_to_income_proportion</t>
  </si>
  <si>
    <t xml:space="preserve"> interest_rate</t>
  </si>
  <si>
    <t>days_employed</t>
  </si>
  <si>
    <t>weighted_ext_score</t>
  </si>
  <si>
    <t xml:space="preserve"> amt_annuity</t>
  </si>
  <si>
    <t>Проверка отказа</t>
  </si>
  <si>
    <t>Базовая сумма</t>
  </si>
  <si>
    <t>annuity_to_income</t>
  </si>
  <si>
    <t>age_years</t>
  </si>
  <si>
    <t>interest_rate</t>
  </si>
  <si>
    <t>Минимум 20000</t>
  </si>
  <si>
    <t>Итоговая сумма</t>
  </si>
  <si>
    <t>threshold</t>
  </si>
  <si>
    <t>min_sum</t>
  </si>
  <si>
    <t>max_sum</t>
  </si>
  <si>
    <t>proba_less_for_sum</t>
  </si>
  <si>
    <t>condition1</t>
  </si>
  <si>
    <t>coef1</t>
  </si>
  <si>
    <t>coef2</t>
  </si>
  <si>
    <t>condition2</t>
  </si>
  <si>
    <t>condition3</t>
  </si>
  <si>
    <t>coef3</t>
  </si>
  <si>
    <t>proba</t>
  </si>
  <si>
    <t>id</t>
  </si>
  <si>
    <t>Column1</t>
  </si>
  <si>
    <t>annuity_to_income_proportion</t>
  </si>
  <si>
    <t>0.3327641206132701</t>
  </si>
  <si>
    <t>0.3365582763192264</t>
  </si>
  <si>
    <t>0.5100895</t>
  </si>
  <si>
    <t>0.46882638</t>
  </si>
  <si>
    <t>-13252.0</t>
  </si>
  <si>
    <t>0.1302666666666666</t>
  </si>
  <si>
    <t>10.286382966226505</t>
  </si>
  <si>
    <t>0.1647667168806656</t>
  </si>
  <si>
    <t>0.6567637677860341</t>
  </si>
  <si>
    <t>0.8128226</t>
  </si>
  <si>
    <t>0.5851475</t>
  </si>
  <si>
    <t>-2832.0</t>
  </si>
  <si>
    <t>0.0845428571428571</t>
  </si>
  <si>
    <t>5.262763196925069</t>
  </si>
  <si>
    <t>0.20927631496119886</t>
  </si>
  <si>
    <t>0.660740637551938</t>
  </si>
  <si>
    <t>0.66585493</t>
  </si>
  <si>
    <t>0.41578013</t>
  </si>
  <si>
    <t>-9257.0</t>
  </si>
  <si>
    <t>0.1854571428571428</t>
  </si>
  <si>
    <t>16.031722325569575</t>
  </si>
  <si>
    <t>0.666125971080747</t>
  </si>
  <si>
    <t>0.2255135445531536</t>
  </si>
  <si>
    <t>0.53527623</t>
  </si>
  <si>
    <t>0.26651978</t>
  </si>
  <si>
    <t>-4957.0</t>
  </si>
  <si>
    <t>0.20924</t>
  </si>
  <si>
    <t>0.9263040911869692</t>
  </si>
  <si>
    <t>0.2515486161931931</t>
  </si>
  <si>
    <t>0.503130800946699</t>
  </si>
  <si>
    <t>0.79226446</t>
  </si>
  <si>
    <t>0.6677294</t>
  </si>
  <si>
    <t>-3208.0</t>
  </si>
  <si>
    <t>0.16545</t>
  </si>
  <si>
    <t>2.38451772076127</t>
  </si>
  <si>
    <t>0.3929445276810413</t>
  </si>
  <si>
    <t>0.4181608909767079</t>
  </si>
  <si>
    <t>0.57620883</t>
  </si>
  <si>
    <t>0.6466736</t>
  </si>
  <si>
    <t>-1976.0</t>
  </si>
  <si>
    <t>0.2667428571428571</t>
  </si>
  <si>
    <t>1.557296632421834</t>
  </si>
  <si>
    <t>0.6560773604026818</t>
  </si>
  <si>
    <t>0.2276690267229509</t>
  </si>
  <si>
    <t>0.6212263</t>
  </si>
  <si>
    <t>0.0092263855</t>
  </si>
  <si>
    <t>-644.0</t>
  </si>
  <si>
    <t>0.23025</t>
  </si>
  <si>
    <t>1.826989682865876</t>
  </si>
  <si>
    <t>0.4515510006965235</t>
  </si>
  <si>
    <t>0.3568197941517482</t>
  </si>
  <si>
    <t>0.4632753</t>
  </si>
  <si>
    <t>0.583485</t>
  </si>
  <si>
    <t>-7970.0</t>
  </si>
  <si>
    <t>0.1711</t>
  </si>
  <si>
    <t>5.373077905188306</t>
  </si>
  <si>
    <t>0.19779021601467595</t>
  </si>
  <si>
    <t>0.4978209706807676</t>
  </si>
  <si>
    <t>0.7517237</t>
  </si>
  <si>
    <t>0.6965612</t>
  </si>
  <si>
    <t>-2639.0</t>
  </si>
  <si>
    <t>0.0365466666666666</t>
  </si>
  <si>
    <t>5.041883844694683</t>
  </si>
  <si>
    <t>0.42960217972997594</t>
  </si>
  <si>
    <t>0.3558477455899367</t>
  </si>
  <si>
    <t>0.7463002</t>
  </si>
  <si>
    <t>0.2649283</t>
  </si>
  <si>
    <t>-4041.0</t>
  </si>
  <si>
    <t>0.10825</t>
  </si>
  <si>
    <t>0.9643634185798168</t>
  </si>
  <si>
    <t>0.7824464951084797</t>
  </si>
  <si>
    <t>0.3505918427475524</t>
  </si>
  <si>
    <t>0.21396685</t>
  </si>
  <si>
    <t>0.25164637</t>
  </si>
  <si>
    <t>-1827.0</t>
  </si>
  <si>
    <t>0.3266666666666666</t>
  </si>
  <si>
    <t>3.668589070030981</t>
  </si>
  <si>
    <t>0.6863646085140306</t>
  </si>
  <si>
    <t>0.3443711466298985</t>
  </si>
  <si>
    <t>0.30314636</t>
  </si>
  <si>
    <t>0.41661963</t>
  </si>
  <si>
    <t>-3833.0</t>
  </si>
  <si>
    <t>0.2590222222222222</t>
  </si>
  <si>
    <t>2.724447230294258</t>
  </si>
  <si>
    <t>0.5259930621166408</t>
  </si>
  <si>
    <t>0.4775589312275728</t>
  </si>
  <si>
    <t>0.09261717</t>
  </si>
  <si>
    <t>0.6033201</t>
  </si>
  <si>
    <t>-2976.0</t>
  </si>
  <si>
    <t>0.1955641025641025</t>
  </si>
  <si>
    <t>0.7949343386267627</t>
  </si>
  <si>
    <t>0.6338819901310816</t>
  </si>
  <si>
    <t>0.25553928874769</t>
  </si>
  <si>
    <t>0.4758499</t>
  </si>
  <si>
    <t>0.25723392</t>
  </si>
  <si>
    <t>-9548.0</t>
  </si>
  <si>
    <t>0.23186</t>
  </si>
  <si>
    <t>3.0093052346896743</t>
  </si>
  <si>
    <t>0.6328921738883326</t>
  </si>
  <si>
    <t>0.2739420405578383</t>
  </si>
  <si>
    <t>0.162442</t>
  </si>
  <si>
    <t>0.66340226</t>
  </si>
  <si>
    <t>-2274.0</t>
  </si>
  <si>
    <t>0.1118846153846153</t>
  </si>
  <si>
    <t>5.498706542509924</t>
  </si>
  <si>
    <t>0.6327747233157515</t>
  </si>
  <si>
    <t>0.2778744080253729</t>
  </si>
  <si>
    <t>0.51729655</t>
  </si>
  <si>
    <t>0.27987823</t>
  </si>
  <si>
    <t>-1609.0</t>
  </si>
  <si>
    <t>0.2020555555555555</t>
  </si>
  <si>
    <t>5.762908497556762</t>
  </si>
  <si>
    <t>0.14924627515960168</t>
  </si>
  <si>
    <t>0.6721212151897362</t>
  </si>
  <si>
    <t>0.7662337</t>
  </si>
  <si>
    <t>0.58609736</t>
  </si>
  <si>
    <t>-13390.0</t>
  </si>
  <si>
    <t>0.2007714285714285</t>
  </si>
  <si>
    <t>5.985265309962706</t>
  </si>
  <si>
    <t>0.6651640960501773</t>
  </si>
  <si>
    <t>0.2628407350917128</t>
  </si>
  <si>
    <t>0.15100753</t>
  </si>
  <si>
    <t>0.6419277</t>
  </si>
  <si>
    <t>-1029.0</t>
  </si>
  <si>
    <t>0.1001346153846153</t>
  </si>
  <si>
    <t>2.762280235344816</t>
  </si>
  <si>
    <t>0.14288943720146066</t>
  </si>
  <si>
    <t>0.4375707631035926</t>
  </si>
  <si>
    <t>0.6986675</t>
  </si>
  <si>
    <t>0.5699751</t>
  </si>
  <si>
    <t>-3377.0</t>
  </si>
  <si>
    <t>0.3333333333333333</t>
  </si>
  <si>
    <t>21.314007495657773</t>
  </si>
  <si>
    <t>0.6634741919073996</t>
  </si>
  <si>
    <t>0.357802761785135</t>
  </si>
  <si>
    <t>0.32016337</t>
  </si>
  <si>
    <t>0.49797913</t>
  </si>
  <si>
    <t>-698.0</t>
  </si>
  <si>
    <t>0.2160333333333333</t>
  </si>
  <si>
    <t>2.69023827658732</t>
  </si>
  <si>
    <t>0.28797514734271557</t>
  </si>
  <si>
    <t>0.5038527353261825</t>
  </si>
  <si>
    <t>0.66102356</t>
  </si>
  <si>
    <t>0.44874454</t>
  </si>
  <si>
    <t>-8675.0</t>
  </si>
  <si>
    <t>0.0591666666666666</t>
  </si>
  <si>
    <t>22.045005956744767</t>
  </si>
  <si>
    <t>0.27592197858476475</t>
  </si>
  <si>
    <t>0.4743575960489937</t>
  </si>
  <si>
    <t>0.6512602</t>
  </si>
  <si>
    <t>0.7362398</t>
  </si>
  <si>
    <t>-255.0</t>
  </si>
  <si>
    <t>0.1563111111111111</t>
  </si>
  <si>
    <t>1.8332418263201644</t>
  </si>
  <si>
    <t>0.22235678206427545</t>
  </si>
  <si>
    <t>0.4335982699982622</t>
  </si>
  <si>
    <t>0.508287</t>
  </si>
  <si>
    <t>0.76999426</t>
  </si>
  <si>
    <t>-11653.0</t>
  </si>
  <si>
    <t>0.1784222222222222</t>
  </si>
  <si>
    <t>8.2687408516259</t>
  </si>
  <si>
    <t>0.2787762696397228</t>
  </si>
  <si>
    <t>0.3837797281439876</t>
  </si>
  <si>
    <t>0.735221</t>
  </si>
  <si>
    <t>0.36339077</t>
  </si>
  <si>
    <t>-6418.0</t>
  </si>
  <si>
    <t>0.1666666666666666</t>
  </si>
  <si>
    <t>10.620975977978109</t>
  </si>
  <si>
    <t>0.4862217732031502</t>
  </si>
  <si>
    <t>0.4204162109935988</t>
  </si>
  <si>
    <t>0.4382814</t>
  </si>
  <si>
    <t>0.6394157</t>
  </si>
  <si>
    <t>-2772.0</t>
  </si>
  <si>
    <t>0.1726</t>
  </si>
  <si>
    <t>4.564470572753354</t>
  </si>
  <si>
    <t>0.3190198755516444</t>
  </si>
  <si>
    <t>0.5753442964515861</t>
  </si>
  <si>
    <t>0.7016958</t>
  </si>
  <si>
    <t>0.5253629</t>
  </si>
  <si>
    <t>-11870.0</t>
  </si>
  <si>
    <t>0.4114166666666666</t>
  </si>
  <si>
    <t>2.201218119289728</t>
  </si>
  <si>
    <t>0.41938893832905594</t>
  </si>
  <si>
    <t>0.5097274792153961</t>
  </si>
  <si>
    <t>0.7688076</t>
  </si>
  <si>
    <t>0.20162591</t>
  </si>
  <si>
    <t>-2657.0</t>
  </si>
  <si>
    <t>0.3192666666666666</t>
  </si>
  <si>
    <t>4.087712281582245</t>
  </si>
  <si>
    <t>0.42744540852685553</t>
  </si>
  <si>
    <t>0.3646984840940173</t>
  </si>
  <si>
    <t>0.80045134</t>
  </si>
  <si>
    <t>0.23183757</t>
  </si>
  <si>
    <t>-2901.0</t>
  </si>
  <si>
    <t>0.0874666666666666</t>
  </si>
  <si>
    <t>1.862084261175268</t>
  </si>
  <si>
    <t>0.6941786116162703</t>
  </si>
  <si>
    <t>0.3372281970969101</t>
  </si>
  <si>
    <t>0.24054141</t>
  </si>
  <si>
    <t>0.372698</t>
  </si>
  <si>
    <t>-5263.0</t>
  </si>
  <si>
    <t>0.175725</t>
  </si>
  <si>
    <t>4.246628301895528</t>
  </si>
  <si>
    <t>0.4980223513460799</t>
  </si>
  <si>
    <t>0.3304829960702041</t>
  </si>
  <si>
    <t>0.24585122</t>
  </si>
  <si>
    <t>0.7447111</t>
  </si>
  <si>
    <t>-1903.0</t>
  </si>
  <si>
    <t>0.1291555555555555</t>
  </si>
  <si>
    <t>0.659447287183057</t>
  </si>
  <si>
    <t>0.7247180882426465</t>
  </si>
  <si>
    <t>0.1816069090786962</t>
  </si>
  <si>
    <t>0.35729328</t>
  </si>
  <si>
    <t>0.16149798</t>
  </si>
  <si>
    <t>-5472.0</t>
  </si>
  <si>
    <t>0.023433734939759</t>
  </si>
  <si>
    <t>7.368158390302737</t>
  </si>
  <si>
    <t>0.5276982965875425</t>
  </si>
  <si>
    <t>0.2854586908265412</t>
  </si>
  <si>
    <t>0.5513813</t>
  </si>
  <si>
    <t>0.26525635</t>
  </si>
  <si>
    <t>-10927.0</t>
  </si>
  <si>
    <t>0.2935</t>
  </si>
  <si>
    <t>1.930591673496496</t>
  </si>
  <si>
    <t>0.41946951294648166</t>
  </si>
  <si>
    <t>0.4013673665535836</t>
  </si>
  <si>
    <t>0.7062051</t>
  </si>
  <si>
    <t>0.44996196</t>
  </si>
  <si>
    <t>-7239.0</t>
  </si>
  <si>
    <t>0.34012</t>
  </si>
  <si>
    <t>1.959904499710663</t>
  </si>
  <si>
    <t>0.513447055710246</t>
  </si>
  <si>
    <t>0.4409741185001203</t>
  </si>
  <si>
    <t>0.49386287</t>
  </si>
  <si>
    <t>0.35322994</t>
  </si>
  <si>
    <t>-284.0</t>
  </si>
  <si>
    <t>0.18888</t>
  </si>
  <si>
    <t>0.1471237056283714</t>
  </si>
  <si>
    <t>0.23844680030205995</t>
  </si>
  <si>
    <t>0.6290930672809768</t>
  </si>
  <si>
    <t>0.5531647</t>
  </si>
  <si>
    <t>0.6533645</t>
  </si>
  <si>
    <t>-7532.0</t>
  </si>
  <si>
    <t>0.175</t>
  </si>
  <si>
    <t>0.6826026434357825</t>
  </si>
  <si>
    <t>0.0869376542519501</t>
  </si>
  <si>
    <t>0.26801434</t>
  </si>
  <si>
    <t>-2626.0</t>
  </si>
  <si>
    <t>0.198</t>
  </si>
  <si>
    <t>6.1588020226530205</t>
  </si>
  <si>
    <t>0.15226356523996096</t>
  </si>
  <si>
    <t>0.7196134496200555</t>
  </si>
  <si>
    <t>0.785052</t>
  </si>
  <si>
    <t>0.7133054</t>
  </si>
  <si>
    <t>-1281.0</t>
  </si>
  <si>
    <t>0.1558333333333333</t>
  </si>
  <si>
    <t>1.92515651712244</t>
  </si>
  <si>
    <t>0.5265512434127673</t>
  </si>
  <si>
    <t>0.3174148617040617</t>
  </si>
  <si>
    <t>0.28589788</t>
  </si>
  <si>
    <t>-19.0</t>
  </si>
  <si>
    <t>0.2104333333333333</t>
  </si>
  <si>
    <t>4.292457170357222</t>
  </si>
  <si>
    <t>0.16108107395879442</t>
  </si>
  <si>
    <t>0.553344192991022</t>
  </si>
  <si>
    <t>0.6971469</t>
  </si>
  <si>
    <t>0.70260453</t>
  </si>
  <si>
    <t>-5895.0</t>
  </si>
  <si>
    <t>0.08365</t>
  </si>
  <si>
    <t>19.27496468308892</t>
  </si>
  <si>
    <t>0.47204097157784014</t>
  </si>
  <si>
    <t>0.3439049409915697</t>
  </si>
  <si>
    <t>0.6058363</t>
  </si>
  <si>
    <t>0.38472155</t>
  </si>
  <si>
    <t>-5694.0</t>
  </si>
  <si>
    <t>0.079090909090909</t>
  </si>
  <si>
    <t>1.4868885179382565</t>
  </si>
  <si>
    <t>0.7194194917041704</t>
  </si>
  <si>
    <t>0.2265877952129129</t>
  </si>
  <si>
    <t>0.05763929</t>
  </si>
  <si>
    <t>0.6342673</t>
  </si>
  <si>
    <t>-550.0</t>
  </si>
  <si>
    <t>0.10045</t>
  </si>
  <si>
    <t>1.5550073913220608</t>
  </si>
  <si>
    <t>0.5364172076135212</t>
  </si>
  <si>
    <t>0.1763484453859922</t>
  </si>
  <si>
    <t>0.54365295</t>
  </si>
  <si>
    <t>-914.0</t>
  </si>
  <si>
    <t>0.0971</t>
  </si>
  <si>
    <t>2.7268436150310382</t>
  </si>
  <si>
    <t>0.6010576962261884</t>
  </si>
  <si>
    <t>0.2735611661966226</t>
  </si>
  <si>
    <t>0.25946766</t>
  </si>
  <si>
    <t>0.55404884</t>
  </si>
  <si>
    <t>-6230.0</t>
  </si>
  <si>
    <t>0.06</t>
  </si>
  <si>
    <t>2.9117343591587685</t>
  </si>
  <si>
    <t>0.8151192861566495</t>
  </si>
  <si>
    <t>0.1609730635463404</t>
  </si>
  <si>
    <t>0.09322509</t>
  </si>
  <si>
    <t>0.39231142</t>
  </si>
  <si>
    <t>-5901.0</t>
  </si>
  <si>
    <t>0.1838484848484848</t>
  </si>
  <si>
    <t>0.1460751642536895</t>
  </si>
  <si>
    <t>0.24043873934206828</t>
  </si>
  <si>
    <t>0.6588641830856944</t>
  </si>
  <si>
    <t>0.73609966</t>
  </si>
  <si>
    <t>-10083.0</t>
  </si>
  <si>
    <t>0.1331</t>
  </si>
  <si>
    <t>4.173813122912073</t>
  </si>
  <si>
    <t>0.5290794685087693</t>
  </si>
  <si>
    <t>0.2885178619743305</t>
  </si>
  <si>
    <t>0.27933532</t>
  </si>
  <si>
    <t>0.5780063</t>
  </si>
  <si>
    <t>-3150.0</t>
  </si>
  <si>
    <t>0.1372142857142857</t>
  </si>
  <si>
    <t>2.348481555469606</t>
  </si>
  <si>
    <t>0.16227495053875093</t>
  </si>
  <si>
    <t>0.5327520070885874</t>
  </si>
  <si>
    <t>0.7862666</t>
  </si>
  <si>
    <t>0.765734</t>
  </si>
  <si>
    <t>-65.0</t>
  </si>
  <si>
    <t>0.3483980803102766</t>
  </si>
  <si>
    <t>0.5272446540553777</t>
  </si>
  <si>
    <t>0.64607376</t>
  </si>
  <si>
    <t>-3286.0</t>
  </si>
  <si>
    <t>0.145725</t>
  </si>
  <si>
    <t>1.8177757625655435</t>
  </si>
  <si>
    <t>0.41753527720480166</t>
  </si>
  <si>
    <t>0.3799092269203752</t>
  </si>
  <si>
    <t>0.49927202</t>
  </si>
  <si>
    <t>0.61453116</t>
  </si>
  <si>
    <t>-7476.0</t>
  </si>
  <si>
    <t>0.1529777777777777</t>
  </si>
  <si>
    <t>2.9312945721189587</t>
  </si>
  <si>
    <t>0.2889150433721152</t>
  </si>
  <si>
    <t>0.6277791223870433</t>
  </si>
  <si>
    <t>0.6561584</t>
  </si>
  <si>
    <t>0.5658164</t>
  </si>
  <si>
    <t>-972.0</t>
  </si>
  <si>
    <t>0.1813166666666666</t>
  </si>
  <si>
    <t>4.054495699018124</t>
  </si>
  <si>
    <t>0.4668434950672995</t>
  </si>
  <si>
    <t>0.5568337348709067</t>
  </si>
  <si>
    <t>0.23401517</t>
  </si>
  <si>
    <t>0.6778192</t>
  </si>
  <si>
    <t>-3383.0</t>
  </si>
  <si>
    <t>0.14</t>
  </si>
  <si>
    <t>1.7926354583625903</t>
  </si>
  <si>
    <t>0.5895299387293161</t>
  </si>
  <si>
    <t>0.3497139586640669</t>
  </si>
  <si>
    <t>0.32022926</t>
  </si>
  <si>
    <t>-1709.0</t>
  </si>
  <si>
    <t>0.0751</t>
  </si>
  <si>
    <t>2.75292954662234</t>
  </si>
  <si>
    <t>0.728321794764491</t>
  </si>
  <si>
    <t>0.0347109596401117</t>
  </si>
  <si>
    <t>0.10700812</t>
  </si>
  <si>
    <t>-3074.0</t>
  </si>
  <si>
    <t>0.1078333333333333</t>
  </si>
  <si>
    <t>3.837715958506638</t>
  </si>
  <si>
    <t>0.19270777740820452</t>
  </si>
  <si>
    <t>0.4762903374731881</t>
  </si>
  <si>
    <t>0.7032033</t>
  </si>
  <si>
    <t>0.6842839</t>
  </si>
  <si>
    <t>-1512.0</t>
  </si>
  <si>
    <t>0.1875666666666666</t>
  </si>
  <si>
    <t>19.866106837814645</t>
  </si>
  <si>
    <t>0.44497086894268134</t>
  </si>
  <si>
    <t>0.2116550355765702</t>
  </si>
  <si>
    <t>0.6524973</t>
  </si>
  <si>
    <t>-7460.0</t>
  </si>
  <si>
    <t>0.10578</t>
  </si>
  <si>
    <t>1.553822504158875</t>
  </si>
  <si>
    <t>0.4728283323350839</t>
  </si>
  <si>
    <t>0.3244231265797119</t>
  </si>
  <si>
    <t>0.19862005</t>
  </si>
  <si>
    <t>0.77869016</t>
  </si>
  <si>
    <t>-3358.0</t>
  </si>
  <si>
    <t>0.2176</t>
  </si>
  <si>
    <t>4.276757604091652</t>
  </si>
  <si>
    <t>0.6474236114655002</t>
  </si>
  <si>
    <t>0.2670561181403983</t>
  </si>
  <si>
    <t>0.35895124</t>
  </si>
  <si>
    <t>0.42307514</t>
  </si>
  <si>
    <t>-8789.0</t>
  </si>
  <si>
    <t>0.3038181818181818</t>
  </si>
  <si>
    <t>3.170228873216318</t>
  </si>
  <si>
    <t>0.6592907618187503</t>
  </si>
  <si>
    <t>0.4020218748859336</t>
  </si>
  <si>
    <t>0.20092608</t>
  </si>
  <si>
    <t>0.36729494</t>
  </si>
  <si>
    <t>-7667.0</t>
  </si>
  <si>
    <t>0.0238416666666666</t>
  </si>
  <si>
    <t>0.1862635106955945</t>
  </si>
  <si>
    <t>0.37135696018444847</t>
  </si>
  <si>
    <t>0.3926532239664195</t>
  </si>
  <si>
    <t>0.59892625</t>
  </si>
  <si>
    <t>0.5427088</t>
  </si>
  <si>
    <t>-1340.0</t>
  </si>
  <si>
    <t>0.12772</t>
  </si>
  <si>
    <t>2.039209604505454</t>
  </si>
  <si>
    <t>0.2764449918397937</t>
  </si>
  <si>
    <t>0.6595031871560757</t>
  </si>
  <si>
    <t>0.3376727</t>
  </si>
  <si>
    <t>0.7893891</t>
  </si>
  <si>
    <t>-157.0</t>
  </si>
  <si>
    <t>0.1378620689655172</t>
  </si>
  <si>
    <t>2.992865327858185</t>
  </si>
  <si>
    <t>0.5932929527073343</t>
  </si>
  <si>
    <t>0.4161537464347586</t>
  </si>
  <si>
    <t>0.27500036</t>
  </si>
  <si>
    <t>0.5580974</t>
  </si>
  <si>
    <t>-6.0</t>
  </si>
  <si>
    <t>0.336</t>
  </si>
  <si>
    <t>0.26147767454620807</t>
  </si>
  <si>
    <t>0.5325310275506068</t>
  </si>
  <si>
    <t>0.6848277</t>
  </si>
  <si>
    <t>0.6255349</t>
  </si>
  <si>
    <t>-10249.0</t>
  </si>
  <si>
    <t>0.1867777777777777</t>
  </si>
  <si>
    <t>6.804566841957915</t>
  </si>
  <si>
    <t>0.8868943990632794</t>
  </si>
  <si>
    <t>0.0626263375057883</t>
  </si>
  <si>
    <t>0.16048893</t>
  </si>
  <si>
    <t>0.014128651</t>
  </si>
  <si>
    <t>-3711.0</t>
  </si>
  <si>
    <t>0.141</t>
  </si>
  <si>
    <t>3.669499049789726</t>
  </si>
  <si>
    <t>0.1884853198941724</t>
  </si>
  <si>
    <t>0.457190313402856</t>
  </si>
  <si>
    <t>0.6254017</t>
  </si>
  <si>
    <t>-13299.0</t>
  </si>
  <si>
    <t>0.1895564516129032</t>
  </si>
  <si>
    <t>6.151467897447316</t>
  </si>
  <si>
    <t>0.43750613549723194</t>
  </si>
  <si>
    <t>0.2496728163507788</t>
  </si>
  <si>
    <t>0.7696998</t>
  </si>
  <si>
    <t>-4202.0</t>
  </si>
  <si>
    <t>0.25185</t>
  </si>
  <si>
    <t>1.751899695752801</t>
  </si>
  <si>
    <t>0.3695820336497402</t>
  </si>
  <si>
    <t>0.3898258085587933</t>
  </si>
  <si>
    <t>0.6109913</t>
  </si>
  <si>
    <t>0.52054036</t>
  </si>
  <si>
    <t>-4583.0</t>
  </si>
  <si>
    <t>0.0722</t>
  </si>
  <si>
    <t>3.5200104837707302</t>
  </si>
  <si>
    <t>0.3150844792120138</t>
  </si>
  <si>
    <t>0.6077478495035493</t>
  </si>
  <si>
    <t>0.41184855</t>
  </si>
  <si>
    <t>0.7013419</t>
  </si>
  <si>
    <t>-4262.0</t>
  </si>
  <si>
    <t>0.1341334527541424</t>
  </si>
  <si>
    <t>3.3035993533333974</t>
  </si>
  <si>
    <t>0.27375730820206756</t>
  </si>
  <si>
    <t>0.4272575683001852</t>
  </si>
  <si>
    <t>0.71215516</t>
  </si>
  <si>
    <t>0.5231431</t>
  </si>
  <si>
    <t>-8758.0</t>
  </si>
  <si>
    <t>0.0628666666666666</t>
  </si>
  <si>
    <t>10.283915034473344</t>
  </si>
  <si>
    <t>0.6667559533062994</t>
  </si>
  <si>
    <t>0.2482032065629649</t>
  </si>
  <si>
    <t>0.19845209</t>
  </si>
  <si>
    <t>-330.0</t>
  </si>
  <si>
    <t>0.1899</t>
  </si>
  <si>
    <t>1.8143178924610703</t>
  </si>
  <si>
    <t>0.26916869809792393</t>
  </si>
  <si>
    <t>0.4570676400006763</t>
  </si>
  <si>
    <t>0.66263777</t>
  </si>
  <si>
    <t>0.67025226</t>
  </si>
  <si>
    <t>-999.0</t>
  </si>
  <si>
    <t>0.17815</t>
  </si>
  <si>
    <t>6.591910793029299</t>
  </si>
  <si>
    <t>0.8212371605477625</t>
  </si>
  <si>
    <t>0.1591721832947445</t>
  </si>
  <si>
    <t>0.25123945</t>
  </si>
  <si>
    <t>0.2105807</t>
  </si>
  <si>
    <t>-4367.0</t>
  </si>
  <si>
    <t>0.136</t>
  </si>
  <si>
    <t>4.711173618599562</t>
  </si>
  <si>
    <t>0.2991763528547644</t>
  </si>
  <si>
    <t>0.5685677522262258</t>
  </si>
  <si>
    <t>0.49372622</t>
  </si>
  <si>
    <t>-63.0</t>
  </si>
  <si>
    <t>0.1869142857142857</t>
  </si>
  <si>
    <t>0.8421833376493382</t>
  </si>
  <si>
    <t>0.2201223931955044</t>
  </si>
  <si>
    <t>0.6914041251857652</t>
  </si>
  <si>
    <t>0.5797274</t>
  </si>
  <si>
    <t>0.6744961</t>
  </si>
  <si>
    <t>-2945.0</t>
  </si>
  <si>
    <t>0.0983466666666666</t>
  </si>
  <si>
    <t>2.004042707967746</t>
  </si>
  <si>
    <t>0.5174868016503996</t>
  </si>
  <si>
    <t>0.3103286597241465</t>
  </si>
  <si>
    <t>0.24186149</t>
  </si>
  <si>
    <t>0.687027</t>
  </si>
  <si>
    <t>-5458.0</t>
  </si>
  <si>
    <t>0.0714</t>
  </si>
  <si>
    <t>14.857017933503336</t>
  </si>
  <si>
    <t>0.669749388662091</t>
  </si>
  <si>
    <t>0.2517640056322474</t>
  </si>
  <si>
    <t>0.08226851</t>
  </si>
  <si>
    <t>0.6844209</t>
  </si>
  <si>
    <t>-4340.0</t>
  </si>
  <si>
    <t>0.0746</t>
  </si>
  <si>
    <t>9.852226459068469</t>
  </si>
  <si>
    <t>0.472807618053434</t>
  </si>
  <si>
    <t>0.4564447443128239</t>
  </si>
  <si>
    <t>0.6893123</t>
  </si>
  <si>
    <t>-1214.0</t>
  </si>
  <si>
    <t>0.09184</t>
  </si>
  <si>
    <t>4.233004438565491</t>
  </si>
  <si>
    <t>0.3397037486704926</t>
  </si>
  <si>
    <t>0.5640897064417081</t>
  </si>
  <si>
    <t>0.53348166</t>
  </si>
  <si>
    <t>0.6361016</t>
  </si>
  <si>
    <t>-8731.0</t>
  </si>
  <si>
    <t>0.1095192307692307</t>
  </si>
  <si>
    <t>0.632466185775904</t>
  </si>
  <si>
    <t>0.22171444935165316</t>
  </si>
  <si>
    <t>0.6183544378651102</t>
  </si>
  <si>
    <t>0.57091653</t>
  </si>
  <si>
    <t>0.699796</t>
  </si>
  <si>
    <t>-3489.0</t>
  </si>
  <si>
    <t>0.0900857142857142</t>
  </si>
  <si>
    <t>3.646160740949189</t>
  </si>
  <si>
    <t>0.538574834437823</t>
  </si>
  <si>
    <t>0.5032843383959608</t>
  </si>
  <si>
    <t>0.2127563</t>
  </si>
  <si>
    <t>0.57418275</t>
  </si>
  <si>
    <t>-8202.0</t>
  </si>
  <si>
    <t>0.2193888888888888</t>
  </si>
  <si>
    <t>3.295638478387519</t>
  </si>
  <si>
    <t>0.47130473326308703</t>
  </si>
  <si>
    <t>0.5057364563223385</t>
  </si>
  <si>
    <t>0.2851799</t>
  </si>
  <si>
    <t>0.69817185</t>
  </si>
  <si>
    <t>-3406.0</t>
  </si>
  <si>
    <t>0.2913</t>
  </si>
  <si>
    <t>0.45093375513753275</t>
  </si>
  <si>
    <t>0.3731343016827491</t>
  </si>
  <si>
    <t>0.36896873</t>
  </si>
  <si>
    <t>0.7389275</t>
  </si>
  <si>
    <t>-2549.0</t>
  </si>
  <si>
    <t>0.1024666666666666</t>
  </si>
  <si>
    <t>7.40166623449261</t>
  </si>
  <si>
    <t>0.6653891744366546</t>
  </si>
  <si>
    <t>0.4310603137401815</t>
  </si>
  <si>
    <t>0.39621958</t>
  </si>
  <si>
    <t>0.1344452</t>
  </si>
  <si>
    <t>-1659.0</t>
  </si>
  <si>
    <t>0.1825833333333333</t>
  </si>
  <si>
    <t>6.152613606985469</t>
  </si>
  <si>
    <t>0.45093071945118424</t>
  </si>
  <si>
    <t>0.3666670831866651</t>
  </si>
  <si>
    <t>0.7435593</t>
  </si>
  <si>
    <t>0.3013385</t>
  </si>
  <si>
    <t>0.1725</t>
  </si>
  <si>
    <t>1.8435982397603248</t>
  </si>
  <si>
    <t>0.29313138650223414</t>
  </si>
  <si>
    <t>0.4298172665597911</t>
  </si>
  <si>
    <t>0.6894792</t>
  </si>
  <si>
    <t>0.5563169</t>
  </si>
  <si>
    <t>-343.0</t>
  </si>
  <si>
    <t>0.1721428571428571</t>
  </si>
  <si>
    <t>3.425916132856277</t>
  </si>
  <si>
    <t>0.5882832136846904</t>
  </si>
  <si>
    <t>0.2910391870010853</t>
  </si>
  <si>
    <t>0.5814837</t>
  </si>
  <si>
    <t>0.24889727</t>
  </si>
  <si>
    <t>-1786.0</t>
  </si>
  <si>
    <t>0.15895</t>
  </si>
  <si>
    <t>13.594085045309324</t>
  </si>
  <si>
    <t>0.21548966266669153</t>
  </si>
  <si>
    <t>0.6350274068606642</t>
  </si>
  <si>
    <t>0.63637614</t>
  </si>
  <si>
    <t>0.7025543</t>
  </si>
  <si>
    <t>-9436.0</t>
  </si>
  <si>
    <t>0.2151590106007067</t>
  </si>
  <si>
    <t>3.554968765400024</t>
  </si>
  <si>
    <t>0.6273097596722221</t>
  </si>
  <si>
    <t>0.3864488668422944</t>
  </si>
  <si>
    <t>0.066663794</t>
  </si>
  <si>
    <t>-7837.0</t>
  </si>
  <si>
    <t>0.2394666666666666</t>
  </si>
  <si>
    <t>3.361981760594301</t>
  </si>
  <si>
    <t>0.5331739864788256</t>
  </si>
  <si>
    <t>0.3483822866859093</t>
  </si>
  <si>
    <t>0.40835884</t>
  </si>
  <si>
    <t>0.61870295</t>
  </si>
  <si>
    <t>-5119.0</t>
  </si>
  <si>
    <t>0.2264666666666666</t>
  </si>
  <si>
    <t>2.8867379599879284</t>
  </si>
  <si>
    <t>0.39379781918453916</t>
  </si>
  <si>
    <t>0.5306524933888106</t>
  </si>
  <si>
    <t>0.37740424</t>
  </si>
  <si>
    <t>0.6443568</t>
  </si>
  <si>
    <t>-9015.0</t>
  </si>
  <si>
    <t>0.0289142857142857</t>
  </si>
  <si>
    <t>3.628286983143792</t>
  </si>
  <si>
    <t>0.2724615632908386</t>
  </si>
  <si>
    <t>0.4408907874815937</t>
  </si>
  <si>
    <t>0.66745776</t>
  </si>
  <si>
    <t>0.61500764</t>
  </si>
  <si>
    <t>-7875.0</t>
  </si>
  <si>
    <t>0.2586</t>
  </si>
  <si>
    <t>2.62954293619444</t>
  </si>
  <si>
    <t>0.286631099166659</t>
  </si>
  <si>
    <t>0.5220184541035722</t>
  </si>
  <si>
    <t>0.37962028</t>
  </si>
  <si>
    <t>-6664.0</t>
  </si>
  <si>
    <t>0.1084833333333333</t>
  </si>
  <si>
    <t>1.860078908874763</t>
  </si>
  <si>
    <t>0.1906429274673217</t>
  </si>
  <si>
    <t>0.5215388117786023</t>
  </si>
  <si>
    <t>0.824595</t>
  </si>
  <si>
    <t>0.68843114</t>
  </si>
  <si>
    <t>-5806.0</t>
  </si>
  <si>
    <t>0.2720333333333333</t>
  </si>
  <si>
    <t>5.531542867642036</t>
  </si>
  <si>
    <t>0.4835946781455653</t>
  </si>
  <si>
    <t>0.4922648469033964</t>
  </si>
  <si>
    <t>0.32965505</t>
  </si>
  <si>
    <t>0.5900174</t>
  </si>
  <si>
    <t>-4183.0</t>
  </si>
  <si>
    <t>0.1466333333333333</t>
  </si>
  <si>
    <t>3.717850223740582</t>
  </si>
  <si>
    <t>0.6915181618484667</t>
  </si>
  <si>
    <t>0.2740224057892206</t>
  </si>
  <si>
    <t>0.25670558</t>
  </si>
  <si>
    <t>0.55855036</t>
  </si>
  <si>
    <t>-3370.0</t>
  </si>
  <si>
    <t>0.1549090909090909</t>
  </si>
  <si>
    <t>0.3532700404130118</t>
  </si>
  <si>
    <t>0.7849133170255629</t>
  </si>
  <si>
    <t>0.2053587151069349</t>
  </si>
  <si>
    <t>0.44636557</t>
  </si>
  <si>
    <t>-9298.0</t>
  </si>
  <si>
    <t>0.1068</t>
  </si>
  <si>
    <t>2.8854197754306865</t>
  </si>
  <si>
    <t>0.21240807023146754</t>
  </si>
  <si>
    <t>0.6123129786413131</t>
  </si>
  <si>
    <t>0.6801388</t>
  </si>
  <si>
    <t>0.72190624</t>
  </si>
  <si>
    <t>-5740.0</t>
  </si>
  <si>
    <t>0.157225</t>
  </si>
  <si>
    <t>0.4308647595698378</t>
  </si>
  <si>
    <t>0.3426215261141134</t>
  </si>
  <si>
    <t>0.5616448975899915</t>
  </si>
  <si>
    <t>0.8297501</t>
  </si>
  <si>
    <t>0.20352283</t>
  </si>
  <si>
    <t>-9512.0</t>
  </si>
  <si>
    <t>0.20235</t>
  </si>
  <si>
    <t>2.6226309622799926</t>
  </si>
  <si>
    <t>0.2794258474868533</t>
  </si>
  <si>
    <t>0.4772431108122704</t>
  </si>
  <si>
    <t>0.7151031</t>
  </si>
  <si>
    <t>0.6739534</t>
  </si>
  <si>
    <t>-5237.0</t>
  </si>
  <si>
    <t>0.37676</t>
  </si>
  <si>
    <t>3.0631897893805826</t>
  </si>
  <si>
    <t>0.3451272514538291</t>
  </si>
  <si>
    <t>0.4416696032681179</t>
  </si>
  <si>
    <t>0.6577838</t>
  </si>
  <si>
    <t>0.62819463</t>
  </si>
  <si>
    <t>-10953.0</t>
  </si>
  <si>
    <t>0.4051</t>
  </si>
  <si>
    <t>6.552632321350638</t>
  </si>
  <si>
    <t>0.44322348198697314</t>
  </si>
  <si>
    <t>0.3419542858404185</t>
  </si>
  <si>
    <t>0.63470554</t>
  </si>
  <si>
    <t>0.3465201</t>
  </si>
  <si>
    <t>-7974.0</t>
  </si>
  <si>
    <t>0.3418666666666666</t>
  </si>
  <si>
    <t>2.02560375330767</t>
  </si>
  <si>
    <t>amt_annuity</t>
  </si>
  <si>
    <t>17586.0</t>
  </si>
  <si>
    <t>13315.5</t>
  </si>
  <si>
    <t>29209.5</t>
  </si>
  <si>
    <t>23539.5</t>
  </si>
  <si>
    <t>44671.5</t>
  </si>
  <si>
    <t>42012.0</t>
  </si>
  <si>
    <t>33156.0</t>
  </si>
  <si>
    <t>15399.0</t>
  </si>
  <si>
    <t>12334.5</t>
  </si>
  <si>
    <t>9742.5</t>
  </si>
  <si>
    <t>22050.0</t>
  </si>
  <si>
    <t>52452.0</t>
  </si>
  <si>
    <t>68643.0</t>
  </si>
  <si>
    <t>52168.5</t>
  </si>
  <si>
    <t>13090.5</t>
  </si>
  <si>
    <t>16366.5</t>
  </si>
  <si>
    <t>31621.5</t>
  </si>
  <si>
    <t>23431.5</t>
  </si>
  <si>
    <t>225000.0</t>
  </si>
  <si>
    <t>29164.5</t>
  </si>
  <si>
    <t>7987.5</t>
  </si>
  <si>
    <t>31653.0</t>
  </si>
  <si>
    <t>36130.5</t>
  </si>
  <si>
    <t>11250.0</t>
  </si>
  <si>
    <t>19417.5</t>
  </si>
  <si>
    <t>22216.5</t>
  </si>
  <si>
    <t>43101.0</t>
  </si>
  <si>
    <t>29520.0</t>
  </si>
  <si>
    <t>31630.5</t>
  </si>
  <si>
    <t>26154.0</t>
  </si>
  <si>
    <t>8752.5</t>
  </si>
  <si>
    <t>23773.5</t>
  </si>
  <si>
    <t>38263.5</t>
  </si>
  <si>
    <t>42498.0</t>
  </si>
  <si>
    <t>15750.0</t>
  </si>
  <si>
    <t>24948.0</t>
  </si>
  <si>
    <t>42075.0</t>
  </si>
  <si>
    <t>28408.5</t>
  </si>
  <si>
    <t>22585.5</t>
  </si>
  <si>
    <t>19575.0</t>
  </si>
  <si>
    <t>45202.5</t>
  </si>
  <si>
    <t>26217.0</t>
  </si>
  <si>
    <t>17550.0</t>
  </si>
  <si>
    <t>27301.5</t>
  </si>
  <si>
    <t>35937.0</t>
  </si>
  <si>
    <t>43222.5</t>
  </si>
  <si>
    <t>22500.0</t>
  </si>
  <si>
    <t>26230.5</t>
  </si>
  <si>
    <t>30978.0</t>
  </si>
  <si>
    <t>48955.5</t>
  </si>
  <si>
    <t>37800.0</t>
  </si>
  <si>
    <t>16897.5</t>
  </si>
  <si>
    <t>14557.5</t>
  </si>
  <si>
    <t>25321.5</t>
  </si>
  <si>
    <t>23800.5</t>
  </si>
  <si>
    <t>29376.0</t>
  </si>
  <si>
    <t>30078.0</t>
  </si>
  <si>
    <t>12874.5</t>
  </si>
  <si>
    <t>28737.0</t>
  </si>
  <si>
    <t>35982.0</t>
  </si>
  <si>
    <t>22693.5</t>
  </si>
  <si>
    <t>19035.0</t>
  </si>
  <si>
    <t>21154.5</t>
  </si>
  <si>
    <t>45333.0</t>
  </si>
  <si>
    <t>4873.5</t>
  </si>
  <si>
    <t>33696.0</t>
  </si>
  <si>
    <t>8487.0</t>
  </si>
  <si>
    <t>34182.0</t>
  </si>
  <si>
    <t>32067.0</t>
  </si>
  <si>
    <t>16524.0</t>
  </si>
  <si>
    <t>29439.0</t>
  </si>
  <si>
    <t>33192.0</t>
  </si>
  <si>
    <t>4819.5</t>
  </si>
  <si>
    <t>10071.0</t>
  </si>
  <si>
    <t>20664.0</t>
  </si>
  <si>
    <t>25627.5</t>
  </si>
  <si>
    <t>14188.5</t>
  </si>
  <si>
    <t>17770.5</t>
  </si>
  <si>
    <t>13833.0</t>
  </si>
  <si>
    <t>49297.5</t>
  </si>
  <si>
    <t>31050.0</t>
  </si>
  <si>
    <t>54225.0</t>
  </si>
  <si>
    <t>14305.5</t>
  </si>
  <si>
    <t>54801.0</t>
  </si>
  <si>
    <t>16164.0</t>
  </si>
  <si>
    <t>30573.0</t>
  </si>
  <si>
    <t>4554.0</t>
  </si>
  <si>
    <t>34911.0</t>
  </si>
  <si>
    <t>29290.5</t>
  </si>
  <si>
    <t>73449.0</t>
  </si>
  <si>
    <t>19795.5</t>
  </si>
  <si>
    <t>15336.0</t>
  </si>
  <si>
    <t>33642.0</t>
  </si>
  <si>
    <t>28300.5</t>
  </si>
  <si>
    <t>36423.0</t>
  </si>
  <si>
    <t>42385.5</t>
  </si>
  <si>
    <t>36459.0</t>
  </si>
  <si>
    <t>23076.0</t>
  </si>
  <si>
    <t>Уникальные суммы</t>
  </si>
  <si>
    <t>Средняя вероятность дефолта в группе</t>
  </si>
  <si>
    <t>Количество выдачей в группе</t>
  </si>
  <si>
    <t>Количество заявок</t>
  </si>
  <si>
    <t>weighted_ext_score2</t>
  </si>
  <si>
    <t>days_employed3</t>
  </si>
  <si>
    <t>days_birth4</t>
  </si>
  <si>
    <t>Дефолт</t>
  </si>
  <si>
    <t>Издержки</t>
  </si>
  <si>
    <t>Прибыль</t>
  </si>
  <si>
    <t>Доход</t>
  </si>
  <si>
    <t>Вернут</t>
  </si>
  <si>
    <t>Сумма дохода</t>
  </si>
  <si>
    <t>0.4725197323329102</t>
  </si>
  <si>
    <t>0.305229644843539</t>
  </si>
  <si>
    <t>0.19070596</t>
  </si>
  <si>
    <t>0.7283437</t>
  </si>
  <si>
    <t>-15644.0</t>
  </si>
  <si>
    <t>0.0784666666666666</t>
  </si>
  <si>
    <t>1.429237229471747</t>
  </si>
  <si>
    <t>10593.0</t>
  </si>
  <si>
    <t>0.39691330795812796</t>
  </si>
  <si>
    <t>0.3732327435928001</t>
  </si>
  <si>
    <t>0.66195047</t>
  </si>
  <si>
    <t>-8481.0</t>
  </si>
  <si>
    <t>0.15662</t>
  </si>
  <si>
    <t>1.811764251211212</t>
  </si>
  <si>
    <t>35239.5</t>
  </si>
  <si>
    <t>0.379238032567742</t>
  </si>
  <si>
    <t>0.3903527512249554</t>
  </si>
  <si>
    <t>0.48845518</t>
  </si>
  <si>
    <t>0.6587871</t>
  </si>
  <si>
    <t>-6999.0</t>
  </si>
  <si>
    <t>0.1279142857142857</t>
  </si>
  <si>
    <t>1.9928337601828</t>
  </si>
  <si>
    <t>20146.5</t>
  </si>
  <si>
    <t>0.2121752552877779</t>
  </si>
  <si>
    <t>0.5541048851723622</t>
  </si>
  <si>
    <t>0.6817059</t>
  </si>
  <si>
    <t>0.64116335</t>
  </si>
  <si>
    <t>-8425.0</t>
  </si>
  <si>
    <t>0.1023</t>
  </si>
  <si>
    <t>13.07367088265121</t>
  </si>
  <si>
    <t>18414.0</t>
  </si>
  <si>
    <t>0.6860702468628247</t>
  </si>
  <si>
    <t>0.2473586185967183</t>
  </si>
  <si>
    <t>0.35233998</t>
  </si>
  <si>
    <t>0.36972228</t>
  </si>
  <si>
    <t>-888.0</t>
  </si>
  <si>
    <t>0.1101666666666666</t>
  </si>
  <si>
    <t>4.194831776398433</t>
  </si>
  <si>
    <t>29745.0</t>
  </si>
  <si>
    <t>0.4277902030599279</t>
  </si>
  <si>
    <t>0.3448329509508494</t>
  </si>
  <si>
    <t>0.37064964</t>
  </si>
  <si>
    <t>0.649805</t>
  </si>
  <si>
    <t>-12795.0</t>
  </si>
  <si>
    <t>0.2576222222222222</t>
  </si>
  <si>
    <t>0.4476115008840452</t>
  </si>
  <si>
    <t>0.3697244331459218</t>
  </si>
  <si>
    <t>0.39740068</t>
  </si>
  <si>
    <t>-2728.0</t>
  </si>
  <si>
    <t>0.12724</t>
  </si>
  <si>
    <t>2.633589484131149</t>
  </si>
  <si>
    <t>14314.5</t>
  </si>
  <si>
    <t>0.5304046621602914</t>
  </si>
  <si>
    <t>0.3168334797508617</t>
  </si>
  <si>
    <t>0.6587822</t>
  </si>
  <si>
    <t>-10679.0</t>
  </si>
  <si>
    <t>0.0860222222222222</t>
  </si>
  <si>
    <t>2.348350569148283</t>
  </si>
  <si>
    <t>17419.5</t>
  </si>
  <si>
    <t>0.2173500395284633</t>
  </si>
  <si>
    <t>0.4716956265179017</t>
  </si>
  <si>
    <t>0.69583505</t>
  </si>
  <si>
    <t>-4700.0</t>
  </si>
  <si>
    <t>0.11085</t>
  </si>
  <si>
    <t>1.9880377818094264</t>
  </si>
  <si>
    <t>19953.0</t>
  </si>
  <si>
    <t>0.8153539630021729</t>
  </si>
  <si>
    <t>0.159696095112073</t>
  </si>
  <si>
    <t>0.2940831</t>
  </si>
  <si>
    <t>0.16442709</t>
  </si>
  <si>
    <t>-935.0</t>
  </si>
  <si>
    <t>0.2805238095238095</t>
  </si>
  <si>
    <t>7.398075753038413</t>
  </si>
  <si>
    <t>26509.5</t>
  </si>
  <si>
    <t>0.5070125976650015</t>
  </si>
  <si>
    <t>0.3310655440514313</t>
  </si>
  <si>
    <t>0.6463299</t>
  </si>
  <si>
    <t>0.29999128</t>
  </si>
  <si>
    <t>-4487.0</t>
  </si>
  <si>
    <t>0.25421875</t>
  </si>
  <si>
    <t>2.76892642097617</t>
  </si>
  <si>
    <t>36607.5</t>
  </si>
  <si>
    <t>0.3641066898579818</t>
  </si>
  <si>
    <t>0.5092244010506274</t>
  </si>
  <si>
    <t>0.16040532</t>
  </si>
  <si>
    <t>-8180.0</t>
  </si>
  <si>
    <t>0.11748</t>
  </si>
  <si>
    <t>16.1520258188667</t>
  </si>
  <si>
    <t>26433.0</t>
  </si>
  <si>
    <t>0.600882366060179</t>
  </si>
  <si>
    <t>0.4048738621085709</t>
  </si>
  <si>
    <t>0.48485148</t>
  </si>
  <si>
    <t>0.33112994</t>
  </si>
  <si>
    <t>-957.0</t>
  </si>
  <si>
    <t>0.35888</t>
  </si>
  <si>
    <t>5.282928313453228</t>
  </si>
  <si>
    <t>40374.0</t>
  </si>
  <si>
    <t>0.42376270780909386</t>
  </si>
  <si>
    <t>0.4051613513721963</t>
  </si>
  <si>
    <t>0.5679372</t>
  </si>
  <si>
    <t>-5081.0</t>
  </si>
  <si>
    <t>0.1412333333333333</t>
  </si>
  <si>
    <t>1.624149134292363</t>
  </si>
  <si>
    <t>19066.5</t>
  </si>
  <si>
    <t>0.47641817304154344</t>
  </si>
  <si>
    <t>0.4823822432741323</t>
  </si>
  <si>
    <t>0.5744466</t>
  </si>
  <si>
    <t>0.13183565</t>
  </si>
  <si>
    <t>-11027.0</t>
  </si>
  <si>
    <t>0.2273333333333333</t>
  </si>
  <si>
    <t>2.661797430216928</t>
  </si>
  <si>
    <t>12276.0</t>
  </si>
  <si>
    <t>0.4323688757234359</t>
  </si>
  <si>
    <t>0.15575876917054</t>
  </si>
  <si>
    <t>0.4801784</t>
  </si>
  <si>
    <t>-557.0</t>
  </si>
  <si>
    <t>0.2120333333333333</t>
  </si>
  <si>
    <t>16.058848345088663</t>
  </si>
  <si>
    <t>28624.5</t>
  </si>
  <si>
    <t>0.5701646703948601</t>
  </si>
  <si>
    <t>0.319946446326616</t>
  </si>
  <si>
    <t>0.38762534</t>
  </si>
  <si>
    <t>0.5541569</t>
  </si>
  <si>
    <t>-3334.0</t>
  </si>
  <si>
    <t>0.1111111111111111</t>
  </si>
  <si>
    <t>9000.0</t>
  </si>
  <si>
    <t>0.36342846714266075</t>
  </si>
  <si>
    <t>0.3802098986811213</t>
  </si>
  <si>
    <t>0.4258929</t>
  </si>
  <si>
    <t>0.6972725</t>
  </si>
  <si>
    <t>-3580.0</t>
  </si>
  <si>
    <t>0.1330715935334873</t>
  </si>
  <si>
    <t>1.6187033766684955</t>
  </si>
  <si>
    <t>25929.0</t>
  </si>
  <si>
    <t>0.23354151801957224</t>
  </si>
  <si>
    <t>0.4841413070030517</t>
  </si>
  <si>
    <t>0.8193177</t>
  </si>
  <si>
    <t>0.5790248</t>
  </si>
  <si>
    <t>-1370.0</t>
  </si>
  <si>
    <t>0.157</t>
  </si>
  <si>
    <t>6.972645248034515</t>
  </si>
  <si>
    <t>17662.5</t>
  </si>
  <si>
    <t>0.2186751418412467</t>
  </si>
  <si>
    <t>0.6230454957978208</t>
  </si>
  <si>
    <t>0.73381454</t>
  </si>
  <si>
    <t>0.68386805</t>
  </si>
  <si>
    <t>-2916.0</t>
  </si>
  <si>
    <t>0.1269310344827586</t>
  </si>
  <si>
    <t>5.295793269543481</t>
  </si>
  <si>
    <t>16564.5</t>
  </si>
  <si>
    <t>0.6567912178799851</t>
  </si>
  <si>
    <t>0.1294753640437664</t>
  </si>
  <si>
    <t>0.39915103</t>
  </si>
  <si>
    <t>-7903.0</t>
  </si>
  <si>
    <t>0.3</t>
  </si>
  <si>
    <t>5.851968762364468</t>
  </si>
  <si>
    <t>20250.0</t>
  </si>
  <si>
    <t>0.07152299705261239</t>
  </si>
  <si>
    <t>0.8179079773842883</t>
  </si>
  <si>
    <t>0.8625103</t>
  </si>
  <si>
    <t>0.72917366</t>
  </si>
  <si>
    <t>-5536.0</t>
  </si>
  <si>
    <t>0.2963846153846153</t>
  </si>
  <si>
    <t>7.92686005419263</t>
  </si>
  <si>
    <t>17338.5</t>
  </si>
  <si>
    <t>0.36989711915251</t>
  </si>
  <si>
    <t>0.2170502988370227</t>
  </si>
  <si>
    <t>0.66913</t>
  </si>
  <si>
    <t>-4934.0</t>
  </si>
  <si>
    <t>0.0600285714285714</t>
  </si>
  <si>
    <t>21.398878966830324</t>
  </si>
  <si>
    <t>9454.5</t>
  </si>
  <si>
    <t>0.23142823037599242</t>
  </si>
  <si>
    <t>0.4518714354888243</t>
  </si>
  <si>
    <t>0.6446794</t>
  </si>
  <si>
    <t>0.674256</t>
  </si>
  <si>
    <t>-14.0</t>
  </si>
  <si>
    <t>0.1471666666666666</t>
  </si>
  <si>
    <t>2.010677446654552</t>
  </si>
  <si>
    <t>19867.5</t>
  </si>
  <si>
    <t>0.6428086762721141</t>
  </si>
  <si>
    <t>0.3543802848077294</t>
  </si>
  <si>
    <t>0.36061257</t>
  </si>
  <si>
    <t>0.39993796</t>
  </si>
  <si>
    <t>-4604.0</t>
  </si>
  <si>
    <t>0.2542631578947368</t>
  </si>
  <si>
    <t>8.511599687302173</t>
  </si>
  <si>
    <t>21739.5</t>
  </si>
  <si>
    <t>0.3925030091863748</t>
  </si>
  <si>
    <t>0.2459122081864217</t>
  </si>
  <si>
    <t>0.75810647</t>
  </si>
  <si>
    <t>-9650.0</t>
  </si>
  <si>
    <t>0.2000888888888889</t>
  </si>
  <si>
    <t>2.9690062773990444</t>
  </si>
  <si>
    <t>40518.0</t>
  </si>
  <si>
    <t>0.3661793104780737</t>
  </si>
  <si>
    <t>0.5419888207177332</t>
  </si>
  <si>
    <t>0.44896227</t>
  </si>
  <si>
    <t>0.606101</t>
  </si>
  <si>
    <t>-1673.0</t>
  </si>
  <si>
    <t>0.1752666666666666</t>
  </si>
  <si>
    <t>1.8914674618260463</t>
  </si>
  <si>
    <t>47322.0</t>
  </si>
  <si>
    <t>0.3952051081184141</t>
  </si>
  <si>
    <t>0.40619667103682</t>
  </si>
  <si>
    <t>0.5316861</t>
  </si>
  <si>
    <t>0.65943074</t>
  </si>
  <si>
    <t>-3291.0</t>
  </si>
  <si>
    <t>0.25595</t>
  </si>
  <si>
    <t>1.6132866586914707</t>
  </si>
  <si>
    <t>23035.5</t>
  </si>
  <si>
    <t>0.7155398812974503</t>
  </si>
  <si>
    <t>0.1791249575668069</t>
  </si>
  <si>
    <t>0.31364906</t>
  </si>
  <si>
    <t>-4003.0</t>
  </si>
  <si>
    <t>0.1513333333333333</t>
  </si>
  <si>
    <t>0.4715958946662324</t>
  </si>
  <si>
    <t>10215.0</t>
  </si>
  <si>
    <t>0.7834031022950911</t>
  </si>
  <si>
    <t>0.1952464655964316</t>
  </si>
  <si>
    <t>0.3656165</t>
  </si>
  <si>
    <t>0.19426645</t>
  </si>
  <si>
    <t>-10735.0</t>
  </si>
  <si>
    <t>0.6932941176470588</t>
  </si>
  <si>
    <t>2.068130918196976</t>
  </si>
  <si>
    <t>26518.5</t>
  </si>
  <si>
    <t>0.6587478131741369</t>
  </si>
  <si>
    <t>0.2571765042853101</t>
  </si>
  <si>
    <t>0.5585066</t>
  </si>
  <si>
    <t>0.17012268</t>
  </si>
  <si>
    <t>-1856.0</t>
  </si>
  <si>
    <t>0.2072941176470588</t>
  </si>
  <si>
    <t>1.3176524534436185</t>
  </si>
  <si>
    <t>15858.0</t>
  </si>
  <si>
    <t>0.32229960822194254</t>
  </si>
  <si>
    <t>0.4163648865116636</t>
  </si>
  <si>
    <t>0.7269179</t>
  </si>
  <si>
    <t>-8095.0</t>
  </si>
  <si>
    <t>0.0855846153846153</t>
  </si>
  <si>
    <t>1.908903689752206</t>
  </si>
  <si>
    <t>25033.5</t>
  </si>
  <si>
    <t>0.42927742123189555</t>
  </si>
  <si>
    <t>0.3828573848901331</t>
  </si>
  <si>
    <t>0.70543426</t>
  </si>
  <si>
    <t>-3822.0</t>
  </si>
  <si>
    <t>0.2009714285714285</t>
  </si>
  <si>
    <t>0.3092637104857559</t>
  </si>
  <si>
    <t>0.4413128667753832</t>
  </si>
  <si>
    <t>0.6430256</t>
  </si>
  <si>
    <t>0.6435496</t>
  </si>
  <si>
    <t>-8719.0</t>
  </si>
  <si>
    <t>0.2214</t>
  </si>
  <si>
    <t>2.6785816018740194</t>
  </si>
  <si>
    <t>29889.0</t>
  </si>
  <si>
    <t>0.3987770634031846</t>
  </si>
  <si>
    <t>0.5160480642163053</t>
  </si>
  <si>
    <t>0.50468135</t>
  </si>
  <si>
    <t>0.59326655</t>
  </si>
  <si>
    <t>-8404.0</t>
  </si>
  <si>
    <t>0.28855</t>
  </si>
  <si>
    <t>4.574133274001335</t>
  </si>
  <si>
    <t>25969.5</t>
  </si>
  <si>
    <t>0.11200765165237171</t>
  </si>
  <si>
    <t>0.6872543821194341</t>
  </si>
  <si>
    <t>0.75839305</t>
  </si>
  <si>
    <t>0.7568934</t>
  </si>
  <si>
    <t>-1316.0</t>
  </si>
  <si>
    <t>0.1318</t>
  </si>
  <si>
    <t>19.68260497332144</t>
  </si>
  <si>
    <t>29655.0</t>
  </si>
  <si>
    <t>0.671463185240469</t>
  </si>
  <si>
    <t>0.3822316436398115</t>
  </si>
  <si>
    <t>0.14199154</t>
  </si>
  <si>
    <t>0.45711583</t>
  </si>
  <si>
    <t>-173.0</t>
  </si>
  <si>
    <t>0.091525</t>
  </si>
  <si>
    <t>3.410006721083514</t>
  </si>
  <si>
    <t>16474.5</t>
  </si>
  <si>
    <t>0.2601157726221659</t>
  </si>
  <si>
    <t>0.4288642018862224</t>
  </si>
  <si>
    <t>0.55337876</t>
  </si>
  <si>
    <t>-1295.0</t>
  </si>
  <si>
    <t>0.1388888888888889</t>
  </si>
  <si>
    <t>16875.0</t>
  </si>
  <si>
    <t>0.7531693239474274</t>
  </si>
  <si>
    <t>0.3456043907975915</t>
  </si>
  <si>
    <t>0.12217975</t>
  </si>
  <si>
    <t>0.45867914</t>
  </si>
  <si>
    <t>-3497.0</t>
  </si>
  <si>
    <t>0.17522</t>
  </si>
  <si>
    <t>3.5736040808111325</t>
  </si>
  <si>
    <t>39424.5</t>
  </si>
  <si>
    <t>0.48961935905235837</t>
  </si>
  <si>
    <t>0.4628277632374029</t>
  </si>
  <si>
    <t>0.56560796</t>
  </si>
  <si>
    <t>0.39320847</t>
  </si>
  <si>
    <t>-11551.0</t>
  </si>
  <si>
    <t>0.19472</t>
  </si>
  <si>
    <t>2.8029246753719983</t>
  </si>
  <si>
    <t>21906.0</t>
  </si>
  <si>
    <t>0.23617327490174228</t>
  </si>
  <si>
    <t>0.6774710405227562</t>
  </si>
  <si>
    <t>0.8050197</t>
  </si>
  <si>
    <t>0.4454201</t>
  </si>
  <si>
    <t>-6274.0</t>
  </si>
  <si>
    <t>0.2718333333333333</t>
  </si>
  <si>
    <t>0.3656907802113363</t>
  </si>
  <si>
    <t>36697.5</t>
  </si>
  <si>
    <t>0.4854340342439772</t>
  </si>
  <si>
    <t>0.2862439669376246</t>
  </si>
  <si>
    <t>0.30467218</t>
  </si>
  <si>
    <t>0.5427468</t>
  </si>
  <si>
    <t>-9743.0</t>
  </si>
  <si>
    <t>0.1239454545454545</t>
  </si>
  <si>
    <t>3.16119848475458</t>
  </si>
  <si>
    <t>30676.5</t>
  </si>
  <si>
    <t>0.3623131633458695</t>
  </si>
  <si>
    <t>0.4000285825885102</t>
  </si>
  <si>
    <t>0.44183582</t>
  </si>
  <si>
    <t>0.74059457</t>
  </si>
  <si>
    <t>-8827.0</t>
  </si>
  <si>
    <t>0.11182</t>
  </si>
  <si>
    <t>1.925819811999996</t>
  </si>
  <si>
    <t>25159.5</t>
  </si>
  <si>
    <t>0.5838411003218609</t>
  </si>
  <si>
    <t>0.3090019102080626</t>
  </si>
  <si>
    <t>0.44241872</t>
  </si>
  <si>
    <t>-10010.0</t>
  </si>
  <si>
    <t>0.1751428571428571</t>
  </si>
  <si>
    <t>4.018296701029733</t>
  </si>
  <si>
    <t>22068.0</t>
  </si>
  <si>
    <t>0.5454795023313285</t>
  </si>
  <si>
    <t>0.4468823106039815</t>
  </si>
  <si>
    <t>0.45610973</t>
  </si>
  <si>
    <t>0.47097254</t>
  </si>
  <si>
    <t>-1569.0</t>
  </si>
  <si>
    <t>0.3248</t>
  </si>
  <si>
    <t>6.304877624387029</t>
  </si>
  <si>
    <t>14616.0</t>
  </si>
  <si>
    <t>0.5134711745227106</t>
  </si>
  <si>
    <t>0.4693887570598096</t>
  </si>
  <si>
    <t>0.23661083</t>
  </si>
  <si>
    <t>0.72028786</t>
  </si>
  <si>
    <t>-1403.0</t>
  </si>
  <si>
    <t>0.2286792452830188</t>
  </si>
  <si>
    <t>0.6431747973760116</t>
  </si>
  <si>
    <t>54540.0</t>
  </si>
  <si>
    <t>0.27371933174743346</t>
  </si>
  <si>
    <t>0.5658829830750801</t>
  </si>
  <si>
    <t>0.6769925</t>
  </si>
  <si>
    <t>0.5410857</t>
  </si>
  <si>
    <t>-1542.0</t>
  </si>
  <si>
    <t>0.2619714285714286</t>
  </si>
  <si>
    <t>4.107860839187705</t>
  </si>
  <si>
    <t>41260.5</t>
  </si>
  <si>
    <t>0.5707361404686853</t>
  </si>
  <si>
    <t>0.2853554974744167</t>
  </si>
  <si>
    <t>0.37910047</t>
  </si>
  <si>
    <t>0.4570236</t>
  </si>
  <si>
    <t>-1296.0</t>
  </si>
  <si>
    <t>0.0734181818181818</t>
  </si>
  <si>
    <t>8.766453584155244</t>
  </si>
  <si>
    <t>18171.0</t>
  </si>
  <si>
    <t>0.3851093397206713</t>
  </si>
  <si>
    <t>0.4856421605795706</t>
  </si>
  <si>
    <t>0.3457848</t>
  </si>
  <si>
    <t>0.6059182</t>
  </si>
  <si>
    <t>-7217.0</t>
  </si>
  <si>
    <t>0.1</t>
  </si>
  <si>
    <t>24750.0</t>
  </si>
  <si>
    <t>0.201393093241433</t>
  </si>
  <si>
    <t>0.6633873898245917</t>
  </si>
  <si>
    <t>0.7252764</t>
  </si>
  <si>
    <t>0.6489536</t>
  </si>
  <si>
    <t>-5192.0</t>
  </si>
  <si>
    <t>0.1161846153846153</t>
  </si>
  <si>
    <t>0.1452904644109631</t>
  </si>
  <si>
    <t>33984.0</t>
  </si>
  <si>
    <t>0.2533692374496953</t>
  </si>
  <si>
    <t>0.4669558494480426</t>
  </si>
  <si>
    <t>0.68326885</t>
  </si>
  <si>
    <t>0.67773324</t>
  </si>
  <si>
    <t>-9404.0</t>
  </si>
  <si>
    <t>0.12674</t>
  </si>
  <si>
    <t>6.658802838976796</t>
  </si>
  <si>
    <t>28516.5</t>
  </si>
  <si>
    <t>0.45811161755133345</t>
  </si>
  <si>
    <t>0.3374714869684819</t>
  </si>
  <si>
    <t>0.51369375</t>
  </si>
  <si>
    <t>0.46762308</t>
  </si>
  <si>
    <t>-10656.0</t>
  </si>
  <si>
    <t>0.2919090909090909</t>
  </si>
  <si>
    <t>4.537282084742111</t>
  </si>
  <si>
    <t>28899.0</t>
  </si>
  <si>
    <t>0.3700709052375154</t>
  </si>
  <si>
    <t>0.4820758549006571</t>
  </si>
  <si>
    <t>0.5064842</t>
  </si>
  <si>
    <t>0.6530524</t>
  </si>
  <si>
    <t>-3538.0</t>
  </si>
  <si>
    <t>0.0909090909090909</t>
  </si>
  <si>
    <t>0.5208796553646912</t>
  </si>
  <si>
    <t>0.3513474093092624</t>
  </si>
  <si>
    <t>0.6690567</t>
  </si>
  <si>
    <t>0.33717754</t>
  </si>
  <si>
    <t>-1427.0</t>
  </si>
  <si>
    <t>0.2771388888888889</t>
  </si>
  <si>
    <t>2.766836193423572</t>
  </si>
  <si>
    <t>44896.5</t>
  </si>
  <si>
    <t>0.22290984689569263</t>
  </si>
  <si>
    <t>0.6721545537334443</t>
  </si>
  <si>
    <t>0.7675231</t>
  </si>
  <si>
    <t>0.60632545</t>
  </si>
  <si>
    <t>-1125.0</t>
  </si>
  <si>
    <t>0.3128235294117647</t>
  </si>
  <si>
    <t>1.9277550027686048</t>
  </si>
  <si>
    <t>23931.0</t>
  </si>
  <si>
    <t>0.6360049314921794</t>
  </si>
  <si>
    <t>0.2952726908129779</t>
  </si>
  <si>
    <t>0.2091547</t>
  </si>
  <si>
    <t>0.67707855</t>
  </si>
  <si>
    <t>-7589.0</t>
  </si>
  <si>
    <t>0.3599</t>
  </si>
  <si>
    <t>2.935435040293255</t>
  </si>
  <si>
    <t>48586.5</t>
  </si>
  <si>
    <t>0.7832313767386643</t>
  </si>
  <si>
    <t>0.179359422619151</t>
  </si>
  <si>
    <t>0.29708663</t>
  </si>
  <si>
    <t>0.22169706</t>
  </si>
  <si>
    <t>-3816.0</t>
  </si>
  <si>
    <t>0.1830253545337344</t>
  </si>
  <si>
    <t>2.48252919616061</t>
  </si>
  <si>
    <t>38331.0</t>
  </si>
  <si>
    <t>0.6581079314363457</t>
  </si>
  <si>
    <t>0.2789858964147274</t>
  </si>
  <si>
    <t>0.5859541</t>
  </si>
  <si>
    <t>-3940.0</t>
  </si>
  <si>
    <t>0.4908636363636364</t>
  </si>
  <si>
    <t>18.47224032253348</t>
  </si>
  <si>
    <t>48595.5</t>
  </si>
  <si>
    <t>0.5631202896093496</t>
  </si>
  <si>
    <t>0.2910691672937826</t>
  </si>
  <si>
    <t>0.32806316</t>
  </si>
  <si>
    <t>0.5315422</t>
  </si>
  <si>
    <t>-1416.0</t>
  </si>
  <si>
    <t>0.0571428571428571</t>
  </si>
  <si>
    <t>0.48775734449112396</t>
  </si>
  <si>
    <t>0.5063472612941461</t>
  </si>
  <si>
    <t>0.3077367</t>
  </si>
  <si>
    <t>0.6733717</t>
  </si>
  <si>
    <t>-5629.0</t>
  </si>
  <si>
    <t>0.2640857142857143</t>
  </si>
  <si>
    <t>5.400505175097492</t>
  </si>
  <si>
    <t>41593.5</t>
  </si>
  <si>
    <t>0.28472898522346074</t>
  </si>
  <si>
    <t>0.4414706340668738</t>
  </si>
  <si>
    <t>0.7223929</t>
  </si>
  <si>
    <t>0.555545</t>
  </si>
  <si>
    <t>-6585.0</t>
  </si>
  <si>
    <t>0.1625</t>
  </si>
  <si>
    <t>29250.0</t>
  </si>
  <si>
    <t>0.6680681410110668</t>
  </si>
  <si>
    <t>0.3399319808445552</t>
  </si>
  <si>
    <t>0.4985805</t>
  </si>
  <si>
    <t>-8685.0</t>
  </si>
  <si>
    <t>0.0423818181818181</t>
  </si>
  <si>
    <t>2.687489098018858</t>
  </si>
  <si>
    <t>10489.5</t>
  </si>
  <si>
    <t>0.6391329811052627</t>
  </si>
  <si>
    <t>0.3812320444616613</t>
  </si>
  <si>
    <t>0.13595104</t>
  </si>
  <si>
    <t>0.58036745</t>
  </si>
  <si>
    <t>-6303.0</t>
  </si>
  <si>
    <t>0.1071230769230769</t>
  </si>
  <si>
    <t>0.6623323900712075</t>
  </si>
  <si>
    <t>31333.5</t>
  </si>
  <si>
    <t>0.29768816167666995</t>
  </si>
  <si>
    <t>0.4074410469759</t>
  </si>
  <si>
    <t>0.89600956</t>
  </si>
  <si>
    <t>0.25706267</t>
  </si>
  <si>
    <t>-9448.0</t>
  </si>
  <si>
    <t>0.25584</t>
  </si>
  <si>
    <t>28782.0</t>
  </si>
  <si>
    <t>0.5271679676404334</t>
  </si>
  <si>
    <t>0.3473505799908667</t>
  </si>
  <si>
    <t>0.6116315</t>
  </si>
  <si>
    <t>-3128.0</t>
  </si>
  <si>
    <t>0.28375</t>
  </si>
  <si>
    <t>3.2308359537540854</t>
  </si>
  <si>
    <t>25537.5</t>
  </si>
  <si>
    <t>0.6944228736454525</t>
  </si>
  <si>
    <t>0.2363799310863984</t>
  </si>
  <si>
    <t>0.40314168</t>
  </si>
  <si>
    <t>0.2792352</t>
  </si>
  <si>
    <t>-3533.0</t>
  </si>
  <si>
    <t>0.194</t>
  </si>
  <si>
    <t>3.913881711815725</t>
  </si>
  <si>
    <t>30555.0</t>
  </si>
  <si>
    <t>0.25646463246086204</t>
  </si>
  <si>
    <t>0.4511318617961792</t>
  </si>
  <si>
    <t>0.62461466</t>
  </si>
  <si>
    <t>0.6943473</t>
  </si>
  <si>
    <t>-6807.0</t>
  </si>
  <si>
    <t>0.1065833333333333</t>
  </si>
  <si>
    <t>0.8527808675114379</t>
  </si>
  <si>
    <t>28777.5</t>
  </si>
  <si>
    <t>0.30332415505911303</t>
  </si>
  <si>
    <t>0.2188765925475128</t>
  </si>
  <si>
    <t>0.67476016</t>
  </si>
  <si>
    <t>-6454.0</t>
  </si>
  <si>
    <t>0.16685</t>
  </si>
  <si>
    <t>17.0330161411125</t>
  </si>
  <si>
    <t>15016.5</t>
  </si>
  <si>
    <t>0.4358990580146589</t>
  </si>
  <si>
    <t>0.2908808261046079</t>
  </si>
  <si>
    <t>0.70436525</t>
  </si>
  <si>
    <t>-4305.0</t>
  </si>
  <si>
    <t>0.19216</t>
  </si>
  <si>
    <t>4.6977512469178695</t>
  </si>
  <si>
    <t>43236.0</t>
  </si>
  <si>
    <t>0.5096063838297924</t>
  </si>
  <si>
    <t>0.1975860319729672</t>
  </si>
  <si>
    <t>0.6091249</t>
  </si>
  <si>
    <t>-528.0</t>
  </si>
  <si>
    <t>0.1448888888888889</t>
  </si>
  <si>
    <t>5.511387643519927</t>
  </si>
  <si>
    <t>29340.0</t>
  </si>
  <si>
    <t>0.4218745093330246</t>
  </si>
  <si>
    <t>0.2365466790117724</t>
  </si>
  <si>
    <t>0.7292341</t>
  </si>
  <si>
    <t>-2967.0</t>
  </si>
  <si>
    <t>0.3345428571428571</t>
  </si>
  <si>
    <t>7.115047089948789</t>
  </si>
  <si>
    <t>52690.5</t>
  </si>
  <si>
    <t>0.5822772098293205</t>
  </si>
  <si>
    <t>0.3593165119654382</t>
  </si>
  <si>
    <t>0.29859498</t>
  </si>
  <si>
    <t>0.60420424</t>
  </si>
  <si>
    <t>-4156.0</t>
  </si>
  <si>
    <t>0.31565</t>
  </si>
  <si>
    <t>0.6856261822409226</t>
  </si>
  <si>
    <t>0.3134188935196762</t>
  </si>
  <si>
    <t>0.20796417</t>
  </si>
  <si>
    <t>0.35240605</t>
  </si>
  <si>
    <t>-5592.0</t>
  </si>
  <si>
    <t>0.0802916666666666</t>
  </si>
  <si>
    <t>6.302439373973523</t>
  </si>
  <si>
    <t>8671.5</t>
  </si>
  <si>
    <t>0.44691986181230553</t>
  </si>
  <si>
    <t>0.3542195195306364</t>
  </si>
  <si>
    <t>0.60333586</t>
  </si>
  <si>
    <t>-18337.0</t>
  </si>
  <si>
    <t>0.2014333333333333</t>
  </si>
  <si>
    <t>3.67279320857663</t>
  </si>
  <si>
    <t>27193.5</t>
  </si>
  <si>
    <t>0.47958385516803964</t>
  </si>
  <si>
    <t>0.3547617319645627</t>
  </si>
  <si>
    <t>0.39794633</t>
  </si>
  <si>
    <t>0.6499792</t>
  </si>
  <si>
    <t>-979.0</t>
  </si>
  <si>
    <t>0.0633333333333333</t>
  </si>
  <si>
    <t>3.141768340793938</t>
  </si>
  <si>
    <t>21375.0</t>
  </si>
  <si>
    <t>0.22342094123540476</t>
  </si>
  <si>
    <t>0.629251814430835</t>
  </si>
  <si>
    <t>0.78260785</t>
  </si>
  <si>
    <t>0.62631315</t>
  </si>
  <si>
    <t>-6231.0</t>
  </si>
  <si>
    <t>0.2132333333333333</t>
  </si>
  <si>
    <t>1.610814388423809</t>
  </si>
  <si>
    <t>28786.5</t>
  </si>
  <si>
    <t>0.3435971087869158</t>
  </si>
  <si>
    <t>0.5366983934979382</t>
  </si>
  <si>
    <t>0.41359675</t>
  </si>
  <si>
    <t>0.71742404</t>
  </si>
  <si>
    <t>-2938.0</t>
  </si>
  <si>
    <t>0.14355</t>
  </si>
  <si>
    <t>2.348568805414164</t>
  </si>
  <si>
    <t>25839.0</t>
  </si>
  <si>
    <t>0.18688735661386244</t>
  </si>
  <si>
    <t>0.6898529909492689</t>
  </si>
  <si>
    <t>0.6528965</t>
  </si>
  <si>
    <t>0.65271044</t>
  </si>
  <si>
    <t>-9725.0</t>
  </si>
  <si>
    <t>0.199375</t>
  </si>
  <si>
    <t>1.9292258400437576</t>
  </si>
  <si>
    <t>21532.5</t>
  </si>
  <si>
    <t>0.38337396569949883</t>
  </si>
  <si>
    <t>0.3807516472013104</t>
  </si>
  <si>
    <t>0.82770264</t>
  </si>
  <si>
    <t>0.25094283</t>
  </si>
  <si>
    <t>-9247.0</t>
  </si>
  <si>
    <t>0.20845</t>
  </si>
  <si>
    <t>3.25076363213761</t>
  </si>
  <si>
    <t>18760.5</t>
  </si>
  <si>
    <t>0.2594205829339875</t>
  </si>
  <si>
    <t>0.4805843996079456</t>
  </si>
  <si>
    <t>0.6956219</t>
  </si>
  <si>
    <t>0.7059747</t>
  </si>
  <si>
    <t>-10111.0</t>
  </si>
  <si>
    <t>0.24068</t>
  </si>
  <si>
    <t>3.215144584117735</t>
  </si>
  <si>
    <t>27076.5</t>
  </si>
  <si>
    <t>0.5513574345201294</t>
  </si>
  <si>
    <t>0.3218388028986615</t>
  </si>
  <si>
    <t>0.24977724</t>
  </si>
  <si>
    <t>-160.0</t>
  </si>
  <si>
    <t>0.1904571428571428</t>
  </si>
  <si>
    <t>2.935334048945726</t>
  </si>
  <si>
    <t>29997.0</t>
  </si>
  <si>
    <t>0.5847991442286748</t>
  </si>
  <si>
    <t>0.2614776311644705</t>
  </si>
  <si>
    <t>0.36239982</t>
  </si>
  <si>
    <t>-4975.0</t>
  </si>
  <si>
    <t>0.2352857142857143</t>
  </si>
  <si>
    <t>2.755662003177961</t>
  </si>
  <si>
    <t>22234.5</t>
  </si>
  <si>
    <t>0.5825619360564597</t>
  </si>
  <si>
    <t>0.1336580449112465</t>
  </si>
  <si>
    <t>0.41204554</t>
  </si>
  <si>
    <t>-901.0</t>
  </si>
  <si>
    <t>0.15</t>
  </si>
  <si>
    <t>0.21554242272685073</t>
  </si>
  <si>
    <t>0.486454809472982</t>
  </si>
  <si>
    <t>0.7919912</t>
  </si>
  <si>
    <t>-854.0</t>
  </si>
  <si>
    <t>0.1030857142857142</t>
  </si>
  <si>
    <t>6.151071431300448</t>
  </si>
  <si>
    <t>32472.0</t>
  </si>
  <si>
    <t>0.6952963987422842</t>
  </si>
  <si>
    <t>0.2530852731046494</t>
  </si>
  <si>
    <t>0.22009465</t>
  </si>
  <si>
    <t>0.5348242</t>
  </si>
  <si>
    <t>-2018.0</t>
  </si>
  <si>
    <t>0.1485</t>
  </si>
  <si>
    <t>3.388889752843593</t>
  </si>
  <si>
    <t>13365.0</t>
  </si>
  <si>
    <t>0.34902247063139796</t>
  </si>
  <si>
    <t>0.3880231667077615</t>
  </si>
  <si>
    <t>0.53707</t>
  </si>
  <si>
    <t>0.59740204</t>
  </si>
  <si>
    <t>-5318.0</t>
  </si>
  <si>
    <t>0.1383285714285714</t>
  </si>
  <si>
    <t>7.130288348914404</t>
  </si>
  <si>
    <t>43573.5</t>
  </si>
  <si>
    <t>0.47795591158302847</t>
  </si>
  <si>
    <t>0.3808229463701067</t>
  </si>
  <si>
    <t>0.41534716</t>
  </si>
  <si>
    <t>0.71092045</t>
  </si>
  <si>
    <t>-1001.0</t>
  </si>
  <si>
    <t>0.2404666666666666</t>
  </si>
  <si>
    <t>0.5796734145490756</t>
  </si>
  <si>
    <t>16231.5</t>
  </si>
  <si>
    <t>0.23397132708418095</t>
  </si>
  <si>
    <t>0.4606618871921427</t>
  </si>
  <si>
    <t>0.79813725</t>
  </si>
  <si>
    <t>0.5302569</t>
  </si>
  <si>
    <t>-13337.0</t>
  </si>
  <si>
    <t>0.1122</t>
  </si>
  <si>
    <t>2.038924617625848</t>
  </si>
  <si>
    <t>22720.5</t>
  </si>
  <si>
    <t>0.3267993662886027</t>
  </si>
  <si>
    <t>0.5411250020777589</t>
  </si>
  <si>
    <t>0.3842068</t>
  </si>
  <si>
    <t>0.6680495</t>
  </si>
  <si>
    <t>-6544.0</t>
  </si>
  <si>
    <t>0.0967714285714285</t>
  </si>
  <si>
    <t>7.131448888358616</t>
  </si>
  <si>
    <t>15241.5</t>
  </si>
  <si>
    <t>0.6347941998823917</t>
  </si>
  <si>
    <t>0.337224484567044</t>
  </si>
  <si>
    <t>0.27213368</t>
  </si>
  <si>
    <t>0.36667517</t>
  </si>
  <si>
    <t>-4616.0</t>
  </si>
  <si>
    <t>0.0666666666666666</t>
  </si>
  <si>
    <t>13500.0</t>
  </si>
  <si>
    <t>0.5921211637701971</t>
  </si>
  <si>
    <t>0.2192004339276496</t>
  </si>
  <si>
    <t>0.5208976</t>
  </si>
  <si>
    <t>0.09498111</t>
  </si>
  <si>
    <t>-4445.0</t>
  </si>
  <si>
    <t>0.1231363636363636</t>
  </si>
  <si>
    <t>4.821797777383274</t>
  </si>
  <si>
    <t>12190.5</t>
  </si>
  <si>
    <t>0.2957680973758908</t>
  </si>
  <si>
    <t>0.4107858455334081</t>
  </si>
  <si>
    <t>0.65161914</t>
  </si>
  <si>
    <t>-4260.0</t>
  </si>
  <si>
    <t>0.1574814814814814</t>
  </si>
  <si>
    <t>1.0200492132227623</t>
  </si>
  <si>
    <t>19134.0</t>
  </si>
  <si>
    <t>0.3962440494578123</t>
  </si>
  <si>
    <t>0.4115455476771533</t>
  </si>
  <si>
    <t>0.563835</t>
  </si>
  <si>
    <t>0.64007586</t>
  </si>
  <si>
    <t>-4544.0</t>
  </si>
  <si>
    <t>0.1244545454545454</t>
  </si>
  <si>
    <t>2.0296992496886324</t>
  </si>
  <si>
    <t>30802.5</t>
  </si>
  <si>
    <t>0.7882900969409671</t>
  </si>
  <si>
    <t>0.1632575838705214</t>
  </si>
  <si>
    <t>0.16540746</t>
  </si>
  <si>
    <t>0.31887412</t>
  </si>
  <si>
    <t>-8867.0</t>
  </si>
  <si>
    <t>0.2251111111111111</t>
  </si>
  <si>
    <t>7.326012614668698</t>
  </si>
  <si>
    <t>9117.0</t>
  </si>
  <si>
    <t>0.11219633399742235</t>
  </si>
  <si>
    <t>0.5198112723204246</t>
  </si>
  <si>
    <t>0.8182475</t>
  </si>
  <si>
    <t>0.6901826</t>
  </si>
  <si>
    <t>-6225.0</t>
  </si>
  <si>
    <t>0.26105</t>
  </si>
  <si>
    <t>16.28528609509616</t>
  </si>
  <si>
    <t>23494.5</t>
  </si>
  <si>
    <t>0.45789152776080866</t>
  </si>
  <si>
    <t>0.3818282353009104</t>
  </si>
  <si>
    <t>0.5726825</t>
  </si>
  <si>
    <t>0.53859776</t>
  </si>
  <si>
    <t>-4199.0</t>
  </si>
  <si>
    <t>0.17544</t>
  </si>
  <si>
    <t>1.5597220007393495</t>
  </si>
  <si>
    <t>39474.0</t>
  </si>
  <si>
    <t>0.4316273675999387</t>
  </si>
  <si>
    <t>0.3525862656374459</t>
  </si>
  <si>
    <t>0.48124933</t>
  </si>
  <si>
    <t>0.5503935</t>
  </si>
  <si>
    <t>-3512.0</t>
  </si>
  <si>
    <t>0.0618</t>
  </si>
  <si>
    <t>5.431690725403637</t>
  </si>
  <si>
    <t>6952.5</t>
  </si>
  <si>
    <t>0.5179085275767711</t>
  </si>
  <si>
    <t>0.2859565080182844</t>
  </si>
  <si>
    <t>0.20559815</t>
  </si>
  <si>
    <t>0.6523237</t>
  </si>
  <si>
    <t>-9380.0</t>
  </si>
  <si>
    <t>0.0481927710843373</t>
  </si>
  <si>
    <t>18000.0</t>
  </si>
  <si>
    <t>0.8331024962741854</t>
  </si>
  <si>
    <t>0.1162233874273538</t>
  </si>
  <si>
    <t>0.13259749</t>
  </si>
  <si>
    <t>0.21045715</t>
  </si>
  <si>
    <t>-5908.0</t>
  </si>
  <si>
    <t>0.0691428571428571</t>
  </si>
  <si>
    <t>4.615647185914384</t>
  </si>
  <si>
    <t>10890.0</t>
  </si>
  <si>
    <t>0.3702735989648675</t>
  </si>
  <si>
    <t>0.5236272954444317</t>
  </si>
  <si>
    <t>0.6238379</t>
  </si>
  <si>
    <t>-2777.0</t>
  </si>
  <si>
    <t>0.18672</t>
  </si>
  <si>
    <t>4.723901863916646</t>
  </si>
  <si>
    <t>21006.0</t>
  </si>
  <si>
    <t>0.4444221159774548</t>
  </si>
  <si>
    <t>0.5033496443725137</t>
  </si>
  <si>
    <t>0.21346687</t>
  </si>
  <si>
    <t>-5965.0</t>
  </si>
  <si>
    <t>0.0369975</t>
  </si>
  <si>
    <t>0.8909168772058385</t>
  </si>
  <si>
    <t>66595.5</t>
  </si>
  <si>
    <t>0.5661184543833967</t>
  </si>
  <si>
    <t>0.3422281890655428</t>
  </si>
  <si>
    <t>0.7237944</t>
  </si>
  <si>
    <t>-4147.0</t>
  </si>
  <si>
    <t>0.2664</t>
  </si>
  <si>
    <t>3.15638580360984</t>
  </si>
  <si>
    <t>29970.0</t>
  </si>
  <si>
    <t>0.29624442460998124</t>
  </si>
  <si>
    <t>0.4793673458384226</t>
  </si>
  <si>
    <t>0.6457187</t>
  </si>
  <si>
    <t>-6860.0</t>
  </si>
  <si>
    <t>0.3680666666666666</t>
  </si>
  <si>
    <t>5.6463095175507405</t>
  </si>
  <si>
    <t>24844.5</t>
  </si>
  <si>
    <t>0.2877628749496409</t>
  </si>
  <si>
    <t>0.4550152841548865</t>
  </si>
  <si>
    <t>0.6722429</t>
  </si>
  <si>
    <t>0.6532159</t>
  </si>
  <si>
    <t>-6218.0</t>
  </si>
  <si>
    <t>0.3068666666666667</t>
  </si>
  <si>
    <t>5.859037873319872</t>
  </si>
  <si>
    <t>41427.0</t>
  </si>
  <si>
    <t>0.2045553215050148</t>
  </si>
  <si>
    <t>0.4685676660877101</t>
  </si>
  <si>
    <t>0.6479769</t>
  </si>
  <si>
    <t>0.72205114</t>
  </si>
  <si>
    <t>-1137.0</t>
  </si>
  <si>
    <t>0.3035</t>
  </si>
  <si>
    <t>9.403221120406148</t>
  </si>
  <si>
    <t>109260.0</t>
  </si>
  <si>
    <t>0.4299145435462799</t>
  </si>
  <si>
    <t>0.4651141533159333</t>
  </si>
  <si>
    <t>0.44845787</t>
  </si>
  <si>
    <t>-279.0</t>
  </si>
  <si>
    <t>0.2686</t>
  </si>
  <si>
    <t>1.6167929030843189</t>
  </si>
  <si>
    <t>36261.0</t>
  </si>
  <si>
    <t>0.887446820148143</t>
  </si>
  <si>
    <t>0.1036193737910565</t>
  </si>
  <si>
    <t>0.055630874</t>
  </si>
  <si>
    <t>-110.0</t>
  </si>
  <si>
    <t>0.06878125</t>
  </si>
  <si>
    <t>0.19376321711837</t>
  </si>
  <si>
    <t>9904.5</t>
  </si>
  <si>
    <t>0.7509745262186995</t>
  </si>
  <si>
    <t>0.1801926500650797</t>
  </si>
  <si>
    <t>0.12713069</t>
  </si>
  <si>
    <t>-9147.0</t>
  </si>
  <si>
    <t>0.3293333333333333</t>
  </si>
  <si>
    <t>2.6702755583182025</t>
  </si>
  <si>
    <t>17784.0</t>
  </si>
  <si>
    <t>0.1778510824196271</t>
  </si>
  <si>
    <t>0.642180637105232</t>
  </si>
  <si>
    <t>0.7591876</t>
  </si>
  <si>
    <t>-2398.0</t>
  </si>
  <si>
    <t>0.1288166666666666</t>
  </si>
  <si>
    <t>2.347410222615532</t>
  </si>
  <si>
    <t>34780.5</t>
  </si>
  <si>
    <t>0.49722837637166195</t>
  </si>
  <si>
    <t>0.4445998392166523</t>
  </si>
  <si>
    <t>0.3740208</t>
  </si>
  <si>
    <t>0.40508127</t>
  </si>
  <si>
    <t>-2258.0</t>
  </si>
  <si>
    <t>0.1401428571428571</t>
  </si>
  <si>
    <t>19.295760932610385</t>
  </si>
  <si>
    <t>22072.5</t>
  </si>
  <si>
    <t>0.25850549016218716</t>
  </si>
  <si>
    <t>0.4196212046016417</t>
  </si>
  <si>
    <t>0.56737924</t>
  </si>
  <si>
    <t>0.6610201</t>
  </si>
  <si>
    <t>-14632.0</t>
  </si>
  <si>
    <t>0.0976071428571428</t>
  </si>
  <si>
    <t>4.034030340780848</t>
  </si>
  <si>
    <t>12298.5</t>
  </si>
  <si>
    <t>0.3882007260429811</t>
  </si>
  <si>
    <t>0.5162060599023761</t>
  </si>
  <si>
    <t>0.44717857</t>
  </si>
  <si>
    <t>0.72927296</t>
  </si>
  <si>
    <t>-3163.0</t>
  </si>
  <si>
    <t>0.292391304347826</t>
  </si>
  <si>
    <t>1.557693661068238</t>
  </si>
  <si>
    <t>30262.5</t>
  </si>
  <si>
    <t>0.460038889061477</t>
  </si>
  <si>
    <t>0.213476755573113</t>
  </si>
  <si>
    <t>0.65811336</t>
  </si>
  <si>
    <t>-8933.0</t>
  </si>
  <si>
    <t>0.1004705882352941</t>
  </si>
  <si>
    <t>1.290448115208087</t>
  </si>
  <si>
    <t>7686.0</t>
  </si>
  <si>
    <t>0.2669964670195271</t>
  </si>
  <si>
    <t>0.5878883595894069</t>
  </si>
  <si>
    <t>0.5937176</t>
  </si>
  <si>
    <t>0.7053297</t>
  </si>
  <si>
    <t>-5023.0</t>
  </si>
  <si>
    <t>0.0845818181818181</t>
  </si>
  <si>
    <t>1.974251297830465</t>
  </si>
  <si>
    <t>20934.0</t>
  </si>
  <si>
    <t>0.6197917103510672</t>
  </si>
  <si>
    <t>0.3781697061305581</t>
  </si>
  <si>
    <t>0.18959527</t>
  </si>
  <si>
    <t>0.5260281</t>
  </si>
  <si>
    <t>-784.0</t>
  </si>
  <si>
    <t>0.05</t>
  </si>
  <si>
    <t>6750.0</t>
  </si>
  <si>
    <t>0.18435329636837713</t>
  </si>
  <si>
    <t>0.6863451007004349</t>
  </si>
  <si>
    <t>0.4767843</t>
  </si>
  <si>
    <t>-7656.0</t>
  </si>
  <si>
    <t>0.3643333333333333</t>
  </si>
  <si>
    <t>6.752952952281688</t>
  </si>
  <si>
    <t>24592.5</t>
  </si>
  <si>
    <t>0.3533941824359062</t>
  </si>
  <si>
    <t>0.5862930855978552</t>
  </si>
  <si>
    <t>0.7479032</t>
  </si>
  <si>
    <t>-5494.0</t>
  </si>
  <si>
    <t>0.1057666666666666</t>
  </si>
  <si>
    <t>4.548480455336867</t>
  </si>
  <si>
    <t>28557.0</t>
  </si>
  <si>
    <t>0.49117535091752185</t>
  </si>
  <si>
    <t>0.2950177528703209</t>
  </si>
  <si>
    <t>0.032838803</t>
  </si>
  <si>
    <t>-4135.0</t>
  </si>
  <si>
    <t>0.1004074074074074</t>
  </si>
  <si>
    <t>20.6078276905636</t>
  </si>
  <si>
    <t>12199.5</t>
  </si>
  <si>
    <t>0.5626475499537904</t>
  </si>
  <si>
    <t>0.3630705582496888</t>
  </si>
  <si>
    <t>0.41709965</t>
  </si>
  <si>
    <t>0.40160796</t>
  </si>
  <si>
    <t>-2946.0</t>
  </si>
  <si>
    <t>0.1184</t>
  </si>
  <si>
    <t>7.962014379761895</t>
  </si>
  <si>
    <t>26640.0</t>
  </si>
  <si>
    <t>0.3213543200165744</t>
  </si>
  <si>
    <t>0.5762206566281195</t>
  </si>
  <si>
    <t>0.63377</t>
  </si>
  <si>
    <t>-2163.0</t>
  </si>
  <si>
    <t>0.1347</t>
  </si>
  <si>
    <t>1.9221929010054373</t>
  </si>
  <si>
    <t>24246.0</t>
  </si>
  <si>
    <t>0.5138349392820606</t>
  </si>
  <si>
    <t>0.3522551173478654</t>
  </si>
  <si>
    <t>0.58323795</t>
  </si>
  <si>
    <t>0.4356599</t>
  </si>
  <si>
    <t>-1084.0</t>
  </si>
  <si>
    <t>0.1921944444444444</t>
  </si>
  <si>
    <t>2.6649247534693776</t>
  </si>
  <si>
    <t>31135.5</t>
  </si>
  <si>
    <t>0.5211728313973014</t>
  </si>
  <si>
    <t>0.4741283279714017</t>
  </si>
  <si>
    <t>0.311122</t>
  </si>
  <si>
    <t>-9847.0</t>
  </si>
  <si>
    <t>0.0861</t>
  </si>
  <si>
    <t>4.85440846591334</t>
  </si>
  <si>
    <t>11623.5</t>
  </si>
  <si>
    <t>0.35476079726299087</t>
  </si>
  <si>
    <t>0.4078021561845749</t>
  </si>
  <si>
    <t>0.6313545</t>
  </si>
  <si>
    <t>0.5532544</t>
  </si>
  <si>
    <t>-2634.0</t>
  </si>
  <si>
    <t>0.1349333333333333</t>
  </si>
  <si>
    <t>4.342548674651092</t>
  </si>
  <si>
    <t>27324.0</t>
  </si>
  <si>
    <t>0.8451656715543407</t>
  </si>
  <si>
    <t>0.2733786340773398</t>
  </si>
  <si>
    <t>0.065993205</t>
  </si>
  <si>
    <t>0.2631436</t>
  </si>
  <si>
    <t>-4504.0</t>
  </si>
  <si>
    <t>0.2942666666666667</t>
  </si>
  <si>
    <t>6.7100044535153724</t>
  </si>
  <si>
    <t>39726.0</t>
  </si>
  <si>
    <t>0.8125463827972045</t>
  </si>
  <si>
    <t>0.184178534776254</t>
  </si>
  <si>
    <t>0.18629295</t>
  </si>
  <si>
    <t>0.2695788</t>
  </si>
  <si>
    <t>-10175.0</t>
  </si>
  <si>
    <t>0.1221333333333333</t>
  </si>
  <si>
    <t>0.4731728476764063</t>
  </si>
  <si>
    <t>24732.0</t>
  </si>
  <si>
    <t>0.6511909711049298</t>
  </si>
  <si>
    <t>0.3859649307697179</t>
  </si>
  <si>
    <t>0.33125088</t>
  </si>
  <si>
    <t>0.3279942</t>
  </si>
  <si>
    <t>-5621.0</t>
  </si>
  <si>
    <t>0.1542727272727272</t>
  </si>
  <si>
    <t>5.114056733910699</t>
  </si>
  <si>
    <t>15273.0</t>
  </si>
  <si>
    <t>0.7298188546030296</t>
  </si>
  <si>
    <t>0.2288731180613212</t>
  </si>
  <si>
    <t>0.11175637</t>
  </si>
  <si>
    <t>0.58097446</t>
  </si>
  <si>
    <t>-399.0</t>
  </si>
  <si>
    <t>0.1048421052631578</t>
  </si>
  <si>
    <t>4.2410016173807685</t>
  </si>
  <si>
    <t>17928.0</t>
  </si>
  <si>
    <t>0.5425838528866576</t>
  </si>
  <si>
    <t>0.3692721309681955</t>
  </si>
  <si>
    <t>0.3062023</t>
  </si>
  <si>
    <t>0.6282815</t>
  </si>
  <si>
    <t>-2247.0</t>
  </si>
  <si>
    <t>0.3597830716535673</t>
  </si>
  <si>
    <t>0.3660137257919287</t>
  </si>
  <si>
    <t>0.6738301</t>
  </si>
  <si>
    <t>0.37706923</t>
  </si>
  <si>
    <t>-5.0</t>
  </si>
  <si>
    <t>0.1428571428571428</t>
  </si>
  <si>
    <t>0.3706514282546204</t>
  </si>
  <si>
    <t>0.4992603195794645</t>
  </si>
  <si>
    <t>0.53039855</t>
  </si>
  <si>
    <t>-4685.0</t>
  </si>
  <si>
    <t>0.16864</t>
  </si>
  <si>
    <t>5.948470717431054</t>
  </si>
  <si>
    <t>18972.0</t>
  </si>
  <si>
    <t>0.13492064521600464</t>
  </si>
  <si>
    <t>0.7153633490214564</t>
  </si>
  <si>
    <t>0.7281413</t>
  </si>
  <si>
    <t>0.7095974</t>
  </si>
  <si>
    <t>-8948.0</t>
  </si>
  <si>
    <t>0.2953421052631579</t>
  </si>
  <si>
    <t>11.973330598845733</t>
  </si>
  <si>
    <t>50503.5</t>
  </si>
  <si>
    <t>0.3810615421411012</t>
  </si>
  <si>
    <t>0.5280418101717356</t>
  </si>
  <si>
    <t>0.45969045</t>
  </si>
  <si>
    <t>0.6071029</t>
  </si>
  <si>
    <t>-11398.0</t>
  </si>
  <si>
    <t>0.2572753367189225</t>
  </si>
  <si>
    <t>0.5826252762762805</t>
  </si>
  <si>
    <t>0.2973767261114409</t>
  </si>
  <si>
    <t>0.4002319</t>
  </si>
  <si>
    <t>-3556.0</t>
  </si>
  <si>
    <t>0.2408</t>
  </si>
  <si>
    <t>4.658588392196239</t>
  </si>
  <si>
    <t>21672.0</t>
  </si>
  <si>
    <t>0.5516728615503005</t>
  </si>
  <si>
    <t>0.2586672184710064</t>
  </si>
  <si>
    <t>0.21035023</t>
  </si>
  <si>
    <t>0.562897</t>
  </si>
  <si>
    <t>-1495.0</t>
  </si>
  <si>
    <t>0.0566666666666666</t>
  </si>
  <si>
    <t>19125.0</t>
  </si>
  <si>
    <t>0.5548462923790272</t>
  </si>
  <si>
    <t>0.2964051795188325</t>
  </si>
  <si>
    <t>0.28511724</t>
  </si>
  <si>
    <t>-2666.0</t>
  </si>
  <si>
    <t>0.101</t>
  </si>
  <si>
    <t>9.61084512397916</t>
  </si>
  <si>
    <t>6817.5</t>
  </si>
  <si>
    <t>0.4518050959483302</t>
  </si>
  <si>
    <t>0.2889043490849819</t>
  </si>
  <si>
    <t>0.6780818</t>
  </si>
  <si>
    <t>-10968.0</t>
  </si>
  <si>
    <t>0.27788</t>
  </si>
  <si>
    <t>7.874425963126019</t>
  </si>
  <si>
    <t>31261.5</t>
  </si>
  <si>
    <t>0.7077237100311596</t>
  </si>
  <si>
    <t>0.2295570990732418</t>
  </si>
  <si>
    <t>0.27788568</t>
  </si>
  <si>
    <t>0.39785635</t>
  </si>
  <si>
    <t>-6936.0</t>
  </si>
  <si>
    <t>0.168</t>
  </si>
  <si>
    <t>0.28683321732174827</t>
  </si>
  <si>
    <t>0.4264987140233351</t>
  </si>
  <si>
    <t>0.62630427</t>
  </si>
  <si>
    <t>0.61652356</t>
  </si>
  <si>
    <t>-3087.0</t>
  </si>
  <si>
    <t>0.1444444444444444</t>
  </si>
  <si>
    <t>0.28818974808457026</t>
  </si>
  <si>
    <t>0.4233478658045654</t>
  </si>
  <si>
    <t>0.5662998</t>
  </si>
  <si>
    <t>-9953.0</t>
  </si>
  <si>
    <t>0.295225</t>
  </si>
  <si>
    <t>1.8585352948174536</t>
  </si>
  <si>
    <t>53140.5</t>
  </si>
  <si>
    <t>0.25292146892329764</t>
  </si>
  <si>
    <t>0.4580406403312222</t>
  </si>
  <si>
    <t>0.6914344</t>
  </si>
  <si>
    <t>-11753.0</t>
  </si>
  <si>
    <t>0.25865</t>
  </si>
  <si>
    <t>6.806757983632572</t>
  </si>
  <si>
    <t>46557.0</t>
  </si>
  <si>
    <t>0.33426636089185996</t>
  </si>
  <si>
    <t>0.5273287342456371</t>
  </si>
  <si>
    <t>0.65174323</t>
  </si>
  <si>
    <t>0.1942</t>
  </si>
  <si>
    <t>0.3397493724869323</t>
  </si>
  <si>
    <t>0.4152032640797614</t>
  </si>
  <si>
    <t>0.70769936</t>
  </si>
  <si>
    <t>0.4909497</t>
  </si>
  <si>
    <t>-7791.0</t>
  </si>
  <si>
    <t>0.2691428571428571</t>
  </si>
  <si>
    <t>0.3491252752225504</t>
  </si>
  <si>
    <t>42390.0</t>
  </si>
  <si>
    <t>0.4324914498902343</t>
  </si>
  <si>
    <t>0.3595253956167836</t>
  </si>
  <si>
    <t>0.5190973</t>
  </si>
  <si>
    <t>0.5295869</t>
  </si>
  <si>
    <t>-372.0</t>
  </si>
  <si>
    <t>0.12258</t>
  </si>
  <si>
    <t>15.12526236235452</t>
  </si>
  <si>
    <t>27580.5</t>
  </si>
  <si>
    <t>0.4386448954040404</t>
  </si>
  <si>
    <t>0.5133577527028863</t>
  </si>
  <si>
    <t>0.6636171</t>
  </si>
  <si>
    <t>-3692.0</t>
  </si>
  <si>
    <t>0.0967888888888888</t>
  </si>
  <si>
    <t>1.8851410580202896</t>
  </si>
  <si>
    <t>39199.5</t>
  </si>
  <si>
    <t>0.29599513845009773</t>
  </si>
  <si>
    <t>0.4463133954940143</t>
  </si>
  <si>
    <t>0.7354279</t>
  </si>
  <si>
    <t>-5329.0</t>
  </si>
  <si>
    <t>0.15422</t>
  </si>
  <si>
    <t>1.6360935604026183</t>
  </si>
  <si>
    <t>34699.5</t>
  </si>
  <si>
    <t>0.2759894262008608</t>
  </si>
  <si>
    <t>0.5588944986585784</t>
  </si>
  <si>
    <t>0.5460232</t>
  </si>
  <si>
    <t>0.50439715</t>
  </si>
  <si>
    <t>-9661.0</t>
  </si>
  <si>
    <t>0.0865050505050505</t>
  </si>
  <si>
    <t>5.389256560728106</t>
  </si>
  <si>
    <t>19269.0</t>
  </si>
  <si>
    <t>0.6262759983608088</t>
  </si>
  <si>
    <t>0.2757575515387521</t>
  </si>
  <si>
    <t>0.42413032</t>
  </si>
  <si>
    <t>0.37722847</t>
  </si>
  <si>
    <t>-6464.0</t>
  </si>
  <si>
    <t>0.0969210526315789</t>
  </si>
  <si>
    <t>0.3044909998291656</t>
  </si>
  <si>
    <t>16573.5</t>
  </si>
  <si>
    <t>0.6064369548125458</t>
  </si>
  <si>
    <t>0.3839144212743438</t>
  </si>
  <si>
    <t>0.21640296</t>
  </si>
  <si>
    <t>0.564446</t>
  </si>
  <si>
    <t>-3856.0</t>
  </si>
  <si>
    <t>0.37191980755021903</t>
  </si>
  <si>
    <t>0.4138913343036957</t>
  </si>
  <si>
    <t>0.67041177</t>
  </si>
  <si>
    <t>-3551.0</t>
  </si>
  <si>
    <t>0.0642857142857142</t>
  </si>
  <si>
    <t>10125.0</t>
  </si>
  <si>
    <t>0.187158894690838</t>
  </si>
  <si>
    <t>0.6193761455850245</t>
  </si>
  <si>
    <t>0.70189124</t>
  </si>
  <si>
    <t>-1160.0</t>
  </si>
  <si>
    <t>0.1725833333333333</t>
  </si>
  <si>
    <t>15.640678798713914</t>
  </si>
  <si>
    <t>46597.5</t>
  </si>
  <si>
    <t>0.17557779781210714</t>
  </si>
  <si>
    <t>0.7041861561635124</t>
  </si>
  <si>
    <t>0.5567274</t>
  </si>
  <si>
    <t>0.7746049</t>
  </si>
  <si>
    <t>-7662.0</t>
  </si>
  <si>
    <t>0.39776</t>
  </si>
  <si>
    <t>4.420484752808473</t>
  </si>
  <si>
    <t>44748.0</t>
  </si>
  <si>
    <t>0.35624573681659333</t>
  </si>
  <si>
    <t>0.3807458621360698</t>
  </si>
  <si>
    <t>0.5691488</t>
  </si>
  <si>
    <t>0.5392009</t>
  </si>
  <si>
    <t>-6613.0</t>
  </si>
  <si>
    <t>0.03125</t>
  </si>
  <si>
    <t>7875.0</t>
  </si>
  <si>
    <t>0.8680568347891536</t>
  </si>
  <si>
    <t>0.1712159793863017</t>
  </si>
  <si>
    <t>0.05724877</t>
  </si>
  <si>
    <t>0.34488782</t>
  </si>
  <si>
    <t>-3077.0</t>
  </si>
  <si>
    <t>0.20844</t>
  </si>
  <si>
    <t>4.0233439542941785</t>
  </si>
  <si>
    <t>23449.5</t>
  </si>
  <si>
    <t>0.53187765028625</t>
  </si>
  <si>
    <t>0.4870980164374611</t>
  </si>
  <si>
    <t>0.5426491</t>
  </si>
  <si>
    <t>-5716.0</t>
  </si>
  <si>
    <t>0.2005</t>
  </si>
  <si>
    <t>1.9752072638505425</t>
  </si>
  <si>
    <t>36090.0</t>
  </si>
  <si>
    <t>0.6105778966090124</t>
  </si>
  <si>
    <t>0.3428057923241756</t>
  </si>
  <si>
    <t>0.4650692</t>
  </si>
  <si>
    <t>0.3999642</t>
  </si>
  <si>
    <t>-1437.0</t>
  </si>
  <si>
    <t>0.07434375</t>
  </si>
  <si>
    <t>1.028325647043382</t>
  </si>
  <si>
    <t>10705.5</t>
  </si>
  <si>
    <t>0.7332272255937853</t>
  </si>
  <si>
    <t>0.1101768863824755</t>
  </si>
  <si>
    <t>0.1003587</t>
  </si>
  <si>
    <t>-2795.0</t>
  </si>
  <si>
    <t>0.1365230769230769</t>
  </si>
  <si>
    <t>2.7750950317010803</t>
  </si>
  <si>
    <t>39933.0</t>
  </si>
  <si>
    <t>0.5288275566430208</t>
  </si>
  <si>
    <t>0.3306995830348669</t>
  </si>
  <si>
    <t>0.36920777</t>
  </si>
  <si>
    <t>-1048.0</t>
  </si>
  <si>
    <t>0.1052533333333333</t>
  </si>
  <si>
    <t>1.978816034068776</t>
  </si>
  <si>
    <t>35523.0</t>
  </si>
  <si>
    <t>0.3438400304229264</t>
  </si>
  <si>
    <t>0.3741606311312369</t>
  </si>
  <si>
    <t>0.51549536</t>
  </si>
  <si>
    <t>0.5787209</t>
  </si>
  <si>
    <t>-7129.0</t>
  </si>
  <si>
    <t>0.1757</t>
  </si>
  <si>
    <t>5.3380953232158745</t>
  </si>
  <si>
    <t>15813.0</t>
  </si>
  <si>
    <t>0.5203456465480258</t>
  </si>
  <si>
    <t>0.2638261636369414</t>
  </si>
  <si>
    <t>0.6075573</t>
  </si>
  <si>
    <t>0.13593315</t>
  </si>
  <si>
    <t>-406.0</t>
  </si>
  <si>
    <t>0.1297619047619047</t>
  </si>
  <si>
    <t>1.85954198967182</t>
  </si>
  <si>
    <t>24525.0</t>
  </si>
  <si>
    <t>0.23497722202427604</t>
  </si>
  <si>
    <t>0.4621073050797891</t>
  </si>
  <si>
    <t>0.832785</t>
  </si>
  <si>
    <t>0.4960822</t>
  </si>
  <si>
    <t>-236.0</t>
  </si>
  <si>
    <t>0.0904255319148936</t>
  </si>
  <si>
    <t>0.7160809159715119</t>
  </si>
  <si>
    <t>0.352680119660641</t>
  </si>
  <si>
    <t>0.19977057</t>
  </si>
  <si>
    <t>0.4154296</t>
  </si>
  <si>
    <t>-1578.0</t>
  </si>
  <si>
    <t>0.2512777777777777</t>
  </si>
  <si>
    <t>3.103774011228277</t>
  </si>
  <si>
    <t>20353.5</t>
  </si>
  <si>
    <t>0.7425345134947865</t>
  </si>
  <si>
    <t>0.1867780694274728</t>
  </si>
  <si>
    <t>0.28371188</t>
  </si>
  <si>
    <t>0.25947976</t>
  </si>
  <si>
    <t>-7691.0</t>
  </si>
  <si>
    <t>0.1605428571428571</t>
  </si>
  <si>
    <t>3.009389851801348</t>
  </si>
  <si>
    <t>50571.0</t>
  </si>
  <si>
    <t>0.8007769090406539</t>
  </si>
  <si>
    <t>0.1577314902455706</t>
  </si>
  <si>
    <t>0.066439174</t>
  </si>
  <si>
    <t>0.41218328</t>
  </si>
  <si>
    <t>-1858.0</t>
  </si>
  <si>
    <t>0.19672</t>
  </si>
  <si>
    <t>8.064758492650359</t>
  </si>
  <si>
    <t>22131.0</t>
  </si>
  <si>
    <t>0.5323964284686831</t>
  </si>
  <si>
    <t>0.2685730433592674</t>
  </si>
  <si>
    <t>0.4899715</t>
  </si>
  <si>
    <t>-6905.0</t>
  </si>
  <si>
    <t>0.0424680851063829</t>
  </si>
  <si>
    <t>2.7786277482288124</t>
  </si>
  <si>
    <t>8982.0</t>
  </si>
  <si>
    <t>0.3813226285116123</t>
  </si>
  <si>
    <t>0.4840937251374937</t>
  </si>
  <si>
    <t>0.5388627</t>
  </si>
  <si>
    <t>0.5843404</t>
  </si>
  <si>
    <t>-5375.0</t>
  </si>
  <si>
    <t>0.1070444444444444</t>
  </si>
  <si>
    <t>2.0651442936309605</t>
  </si>
  <si>
    <t>21676.5</t>
  </si>
  <si>
    <t>0.4552046292452769</t>
  </si>
  <si>
    <t>0.3050122970061704</t>
  </si>
  <si>
    <t>0.5495965</t>
  </si>
  <si>
    <t>0.32752684</t>
  </si>
  <si>
    <t>-10219.0</t>
  </si>
  <si>
    <t>0.2639777777777777</t>
  </si>
  <si>
    <t>1.856838223670109</t>
  </si>
  <si>
    <t>53455.5</t>
  </si>
  <si>
    <t>0.7348651420107225</t>
  </si>
  <si>
    <t>0.3100265087373393</t>
  </si>
  <si>
    <t>0.15568937</t>
  </si>
  <si>
    <t>0.27794313</t>
  </si>
  <si>
    <t>-3656.0</t>
  </si>
  <si>
    <t>0.1243703703703703</t>
  </si>
  <si>
    <t>11.319571504745628</t>
  </si>
  <si>
    <t>15111.0</t>
  </si>
  <si>
    <t>0.6585007775577048</t>
  </si>
  <si>
    <t>0.251659685914656</t>
  </si>
  <si>
    <t>0.10479462</t>
  </si>
  <si>
    <t>0.6589837</t>
  </si>
  <si>
    <t>-7989.0</t>
  </si>
  <si>
    <t>0.1412222222222222</t>
  </si>
  <si>
    <t>1.616434335510819</t>
  </si>
  <si>
    <t>28597.5</t>
  </si>
  <si>
    <t>0.5151876354582445</t>
  </si>
  <si>
    <t>0.3490819869419682</t>
  </si>
  <si>
    <t>0.4974689</t>
  </si>
  <si>
    <t>0.5215063</t>
  </si>
  <si>
    <t>-5050.0</t>
  </si>
  <si>
    <t>0.1613</t>
  </si>
  <si>
    <t>2.3522351798308527</t>
  </si>
  <si>
    <t>21775.5</t>
  </si>
  <si>
    <t>0.7516737059189905</t>
  </si>
  <si>
    <t>0.017149893000006</t>
  </si>
  <si>
    <t>0.05287027</t>
  </si>
  <si>
    <t>-5737.0</t>
  </si>
  <si>
    <t>0.04054</t>
  </si>
  <si>
    <t>5.895171236372598</t>
  </si>
  <si>
    <t>9121.5</t>
  </si>
  <si>
    <t>0.2699144425217208</t>
  </si>
  <si>
    <t>0.5807248178518973</t>
  </si>
  <si>
    <t>0.71455145</t>
  </si>
  <si>
    <t>-3819.0</t>
  </si>
  <si>
    <t>0.045</t>
  </si>
  <si>
    <t>0.34397693397940277</t>
  </si>
  <si>
    <t>0.472922140173844</t>
  </si>
  <si>
    <t>0.4740513</t>
  </si>
  <si>
    <t>0.7139132</t>
  </si>
  <si>
    <t>-8436.0</t>
  </si>
  <si>
    <t>0.07276</t>
  </si>
  <si>
    <t>3.007199440863761</t>
  </si>
  <si>
    <t>16371.0</t>
  </si>
  <si>
    <t>0.23835272152814152</t>
  </si>
  <si>
    <t>0.4888423720857051</t>
  </si>
  <si>
    <t>0.7522036</t>
  </si>
  <si>
    <t>-7600.0</t>
  </si>
  <si>
    <t>0.11665</t>
  </si>
  <si>
    <t>2.811176564751805</t>
  </si>
  <si>
    <t>20997.0</t>
  </si>
  <si>
    <t>0.384500600812875</t>
  </si>
  <si>
    <t>0.3296169237354101</t>
  </si>
  <si>
    <t>0.44943705</t>
  </si>
  <si>
    <t>-6075.0</t>
  </si>
  <si>
    <t>0.3694666666666666</t>
  </si>
  <si>
    <t>16.188849297297025</t>
  </si>
  <si>
    <t>24939.0</t>
  </si>
  <si>
    <t>0.4448641491895241</t>
  </si>
  <si>
    <t>0.3932679849727242</t>
  </si>
  <si>
    <t>0.66174495</t>
  </si>
  <si>
    <t>-2162.0</t>
  </si>
  <si>
    <t>0.1816333333333333</t>
  </si>
  <si>
    <t>0.3791273239067916</t>
  </si>
  <si>
    <t>49041.0</t>
  </si>
  <si>
    <t>0.5736474025212992</t>
  </si>
  <si>
    <t>0.1679995522650112</t>
  </si>
  <si>
    <t>0.5179147</t>
  </si>
  <si>
    <t>-5160.0</t>
  </si>
  <si>
    <t>0.1812666666666666</t>
  </si>
  <si>
    <t>0.9195661300996472</t>
  </si>
  <si>
    <t>24471.0</t>
  </si>
  <si>
    <t>0.5585936793323165</t>
  </si>
  <si>
    <t>0.3670213328835983</t>
  </si>
  <si>
    <t>0.2636468</t>
  </si>
  <si>
    <t>0.6872244</t>
  </si>
  <si>
    <t>-4069.0</t>
  </si>
  <si>
    <t>0.1399358974358974</t>
  </si>
  <si>
    <t>3.022382211602359</t>
  </si>
  <si>
    <t>49117.5</t>
  </si>
  <si>
    <t>0.32447058846337823</t>
  </si>
  <si>
    <t>0.493878641830313</t>
  </si>
  <si>
    <t>0.5902333</t>
  </si>
  <si>
    <t>0.51926315</t>
  </si>
  <si>
    <t>-12297.0</t>
  </si>
  <si>
    <t>0.1002444444444444</t>
  </si>
  <si>
    <t>4.684172512789142</t>
  </si>
  <si>
    <t>20299.5</t>
  </si>
  <si>
    <t>0.14944493382770124</t>
  </si>
  <si>
    <t>0.5173253128601898</t>
  </si>
  <si>
    <t>0.81391746</t>
  </si>
  <si>
    <t>0.6873466</t>
  </si>
  <si>
    <t>-15425.0</t>
  </si>
  <si>
    <t>0.3528</t>
  </si>
  <si>
    <t>5.800583856708097</t>
  </si>
  <si>
    <t>23814.0</t>
  </si>
  <si>
    <t>0.417468995064179</t>
  </si>
  <si>
    <t>0.3752719167234486</t>
  </si>
  <si>
    <t>0.7738957</t>
  </si>
  <si>
    <t>0.29404205</t>
  </si>
  <si>
    <t>-10232.0</t>
  </si>
  <si>
    <t>0.2035333333333333</t>
  </si>
  <si>
    <t>3.762932116762374</t>
  </si>
  <si>
    <t>13738.5</t>
  </si>
  <si>
    <t>0.8396840581966504</t>
  </si>
  <si>
    <t>0.1318321970685384</t>
  </si>
  <si>
    <t>0.06501496</t>
  </si>
  <si>
    <t>-810.0</t>
  </si>
  <si>
    <t>0.231625</t>
  </si>
  <si>
    <t>2.5880350924250006</t>
  </si>
  <si>
    <t>41692.5</t>
  </si>
  <si>
    <t>0.5698313875584203</t>
  </si>
  <si>
    <t>0.3229599840713411</t>
  </si>
  <si>
    <t>0.38079968</t>
  </si>
  <si>
    <t>0.57105744</t>
  </si>
  <si>
    <t>-3548.0</t>
  </si>
  <si>
    <t>0.18275</t>
  </si>
  <si>
    <t>26316.0</t>
  </si>
  <si>
    <t>0.2797863503044578</t>
  </si>
  <si>
    <t>0.4698216946521419</t>
  </si>
  <si>
    <t>0.7394118</t>
  </si>
  <si>
    <t>0.6239713</t>
  </si>
  <si>
    <t>-10024.0</t>
  </si>
  <si>
    <t>2.888528038178117</t>
  </si>
  <si>
    <t>18216.0</t>
  </si>
  <si>
    <t>0.6555743805075178</t>
  </si>
  <si>
    <t>0.3492641696353141</t>
  </si>
  <si>
    <t>0.40140742</t>
  </si>
  <si>
    <t>0.33067483</t>
  </si>
  <si>
    <t>-4832.0</t>
  </si>
  <si>
    <t>0.17585</t>
  </si>
  <si>
    <t>0.22413757429787237</t>
  </si>
  <si>
    <t>0.6295104407817995</t>
  </si>
  <si>
    <t>0.48665315</t>
  </si>
  <si>
    <t>0.7085734</t>
  </si>
  <si>
    <t>-5474.0</t>
  </si>
  <si>
    <t>0.09356</t>
  </si>
  <si>
    <t>1.5538905227287625</t>
  </si>
  <si>
    <t>21051.0</t>
  </si>
  <si>
    <t>0.6039665950878478</t>
  </si>
  <si>
    <t>0.2305999658081936</t>
  </si>
  <si>
    <t>0.48166868</t>
  </si>
  <si>
    <t>-14371.0</t>
  </si>
  <si>
    <t>0.1506333333333333</t>
  </si>
  <si>
    <t>1.9658997549038213</t>
  </si>
  <si>
    <t>20335.5</t>
  </si>
  <si>
    <t>0.6578225482018347</t>
  </si>
  <si>
    <t>0.2242405414420393</t>
  </si>
  <si>
    <t>0.23444527</t>
  </si>
  <si>
    <t>-12883.0</t>
  </si>
  <si>
    <t>0.3110666666666666</t>
  </si>
  <si>
    <t>5.720807014556284</t>
  </si>
  <si>
    <t>10498.5</t>
  </si>
  <si>
    <t>0.3231277615456879</t>
  </si>
  <si>
    <t>0.4360168612303297</t>
  </si>
  <si>
    <t>0.5840961</t>
  </si>
  <si>
    <t>-3777.0</t>
  </si>
  <si>
    <t>0.1652765957446808</t>
  </si>
  <si>
    <t>5.389072673250195</t>
  </si>
  <si>
    <t>34956.0</t>
  </si>
  <si>
    <t>0.27145547123492536</t>
  </si>
  <si>
    <t>0.4327332133996362</t>
  </si>
  <si>
    <t>0.5050094</t>
  </si>
  <si>
    <t>-7693.0</t>
  </si>
  <si>
    <t>0.2509333333333333</t>
  </si>
  <si>
    <t>2.636239028928577</t>
  </si>
  <si>
    <t>33876.0</t>
  </si>
  <si>
    <t>0.7127537418691097</t>
  </si>
  <si>
    <t>0.1869372620023045</t>
  </si>
  <si>
    <t>0.24719094</t>
  </si>
  <si>
    <t>0.30068973</t>
  </si>
  <si>
    <t>-1432.0</t>
  </si>
  <si>
    <t>0.222125</t>
  </si>
  <si>
    <t>8.026903125060269</t>
  </si>
  <si>
    <t>23989.5</t>
  </si>
  <si>
    <t>0.430961908216348</t>
  </si>
  <si>
    <t>0.5187697795445978</t>
  </si>
  <si>
    <t>0.18848953</t>
  </si>
  <si>
    <t>0.63730043</t>
  </si>
  <si>
    <t>-8059.0</t>
  </si>
  <si>
    <t>0.2615111111111111</t>
  </si>
  <si>
    <t>18.40938842976509</t>
  </si>
  <si>
    <t>52956.0</t>
  </si>
  <si>
    <t>0.43520281492540663</t>
  </si>
  <si>
    <t>0.3573437059230346</t>
  </si>
  <si>
    <t>0.7636367</t>
  </si>
  <si>
    <t>-4589.0</t>
  </si>
  <si>
    <t>0.0632368421052631</t>
  </si>
  <si>
    <t>8.340093789628344</t>
  </si>
  <si>
    <t>10813.5</t>
  </si>
  <si>
    <t>0.1954260479792299</t>
  </si>
  <si>
    <t>0.5548641869762372</t>
  </si>
  <si>
    <t>0.81061804</t>
  </si>
  <si>
    <t>0.5945745</t>
  </si>
  <si>
    <t>-5065.0</t>
  </si>
  <si>
    <t>0.1408666666666666</t>
  </si>
  <si>
    <t>8.943334839231065</t>
  </si>
  <si>
    <t>9508.5</t>
  </si>
  <si>
    <t>0.7672693869324677</t>
  </si>
  <si>
    <t>0.0360802660180859</t>
  </si>
  <si>
    <t>0.111229464</t>
  </si>
  <si>
    <t>-3784.0</t>
  </si>
  <si>
    <t>0.1125</t>
  </si>
  <si>
    <t>0.3414779463012651</t>
  </si>
  <si>
    <t>0.3870523986849222</t>
  </si>
  <si>
    <t>0.30333108</t>
  </si>
  <si>
    <t>-6818.0</t>
  </si>
  <si>
    <t>0.15232</t>
  </si>
  <si>
    <t>8.112397687301542</t>
  </si>
  <si>
    <t>34272.0</t>
  </si>
  <si>
    <t>0.3116496773643369</t>
  </si>
  <si>
    <t>0.4950958822151509</t>
  </si>
  <si>
    <t>0.6252429</t>
  </si>
  <si>
    <t>-2202.0</t>
  </si>
  <si>
    <t>0.14125</t>
  </si>
  <si>
    <t>9.701244432469336</t>
  </si>
  <si>
    <t>50850.0</t>
  </si>
  <si>
    <t>0.2123398679204007</t>
  </si>
  <si>
    <t>0.4774794554959184</t>
  </si>
  <si>
    <t>0.6380435</t>
  </si>
  <si>
    <t>0.7606</t>
  </si>
  <si>
    <t>-6436.0</t>
  </si>
  <si>
    <t>0.3990309384924302</t>
  </si>
  <si>
    <t>0.3651938526740037</t>
  </si>
  <si>
    <t>0.52809274</t>
  </si>
  <si>
    <t>0.5370323</t>
  </si>
  <si>
    <t>-8172.0</t>
  </si>
  <si>
    <t>0.12</t>
  </si>
  <si>
    <t>0.5855737464152927</t>
  </si>
  <si>
    <t>0.4093056314587904</t>
  </si>
  <si>
    <t>0.6532407</t>
  </si>
  <si>
    <t>-11042.0</t>
  </si>
  <si>
    <t>0.15835</t>
  </si>
  <si>
    <t>1.8700185498822908</t>
  </si>
  <si>
    <t>28503.0</t>
  </si>
  <si>
    <t>0.22142469472973614</t>
  </si>
  <si>
    <t>0.5036377100474937</t>
  </si>
  <si>
    <t>0.7726311</t>
  </si>
  <si>
    <t>0.69118243</t>
  </si>
  <si>
    <t>-712.0</t>
  </si>
  <si>
    <t>0.1907</t>
  </si>
  <si>
    <t>4.487703099502372</t>
  </si>
  <si>
    <t>34326.0</t>
  </si>
  <si>
    <t>0.0907272382869462</t>
  </si>
  <si>
    <t>0.7406793996478314</t>
  </si>
  <si>
    <t>0.83478415</t>
  </si>
  <si>
    <t>0.64656866</t>
  </si>
  <si>
    <t>-8248.0</t>
  </si>
  <si>
    <t>0.2139230769230769</t>
  </si>
  <si>
    <t>2.965415527049009</t>
  </si>
  <si>
    <t>62572.5</t>
  </si>
  <si>
    <t>0.6740700689599902</t>
  </si>
  <si>
    <t>0.2710828654011444</t>
  </si>
  <si>
    <t>0.39526084</t>
  </si>
  <si>
    <t>-7538.0</t>
  </si>
  <si>
    <t>0.1269444444444444</t>
  </si>
  <si>
    <t>2.432408297385491</t>
  </si>
  <si>
    <t>51412.5</t>
  </si>
  <si>
    <t>0.44506518567798564</t>
  </si>
  <si>
    <t>0.4570179818088075</t>
  </si>
  <si>
    <t>0.5424451</t>
  </si>
  <si>
    <t>0.51672983</t>
  </si>
  <si>
    <t>-1603.0</t>
  </si>
  <si>
    <t>0.1621428571428571</t>
  </si>
  <si>
    <t>0.2894800822162179</t>
  </si>
  <si>
    <t>0.540963701193385</t>
  </si>
  <si>
    <t>0.6157167</t>
  </si>
  <si>
    <t>-4366.0</t>
  </si>
  <si>
    <t>0.2063833333333333</t>
  </si>
  <si>
    <t>1.8524729505591253</t>
  </si>
  <si>
    <t>55723.5</t>
  </si>
  <si>
    <t>0.34467703194432486</t>
  </si>
  <si>
    <t>0.406979402231289</t>
  </si>
  <si>
    <t>0.33179864</t>
  </si>
  <si>
    <t>0.0861071428571428</t>
  </si>
  <si>
    <t>5.6691271542646415</t>
  </si>
  <si>
    <t>10849.5</t>
  </si>
  <si>
    <t>0.5824855619754291</t>
  </si>
  <si>
    <t>0.2601749515180905</t>
  </si>
  <si>
    <t>-567.0</t>
  </si>
  <si>
    <t>0.1828181818181818</t>
  </si>
  <si>
    <t>0.9163020595945204</t>
  </si>
  <si>
    <t>9049.5</t>
  </si>
  <si>
    <t>0.2178854385178406</t>
  </si>
  <si>
    <t>0.652020378804992</t>
  </si>
  <si>
    <t>0.64136827</t>
  </si>
  <si>
    <t>0.5512808</t>
  </si>
  <si>
    <t>-161.0</t>
  </si>
  <si>
    <t>0.24664</t>
  </si>
  <si>
    <t>6.690478508760767</t>
  </si>
  <si>
    <t>83241.0</t>
  </si>
  <si>
    <t>0.5190774095473296</t>
  </si>
  <si>
    <t>0.422824266675724</t>
  </si>
  <si>
    <t>0.1900808</t>
  </si>
  <si>
    <t>-245.0</t>
  </si>
  <si>
    <t>0.17148</t>
  </si>
  <si>
    <t>3.2195561160111907</t>
  </si>
  <si>
    <t>19291.5</t>
  </si>
  <si>
    <t>0.2098671510770577</t>
  </si>
  <si>
    <t>0.6272757236348331</t>
  </si>
  <si>
    <t>0.5311447</t>
  </si>
  <si>
    <t>-10411.0</t>
  </si>
  <si>
    <t>0.1404444444444444</t>
  </si>
  <si>
    <t>0.625752283152714</t>
  </si>
  <si>
    <t>5688.0</t>
  </si>
  <si>
    <t>0.562014806271585</t>
  </si>
  <si>
    <t>0.4101083158640559</t>
  </si>
  <si>
    <t>0.1951984</t>
  </si>
  <si>
    <t>0.6401615</t>
  </si>
  <si>
    <t>-2045.0</t>
  </si>
  <si>
    <t>0.1473090909090909</t>
  </si>
  <si>
    <t>0.5279605584376474</t>
  </si>
  <si>
    <t>0.2833209675706974</t>
  </si>
  <si>
    <t>0.63298804</t>
  </si>
  <si>
    <t>-3590.0</t>
  </si>
  <si>
    <t>0.2514545454545454</t>
  </si>
  <si>
    <t>2.8658670371595862</t>
  </si>
  <si>
    <t>24894.0</t>
  </si>
  <si>
    <t>0.3370458924136021</t>
  </si>
  <si>
    <t>0.3865195856171428</t>
  </si>
  <si>
    <t>0.6248585</t>
  </si>
  <si>
    <t>-56.0</t>
  </si>
  <si>
    <t>0.1650888888888889</t>
  </si>
  <si>
    <t>1.8240246402264404</t>
  </si>
  <si>
    <t>33430.5</t>
  </si>
  <si>
    <t>0.4996267456261042</t>
  </si>
  <si>
    <t>0.3599105218987912</t>
  </si>
  <si>
    <t>0.5930132</t>
  </si>
  <si>
    <t>-1502.0</t>
  </si>
  <si>
    <t>0.2156</t>
  </si>
  <si>
    <t>3.646035316184526</t>
  </si>
  <si>
    <t>14553.0</t>
  </si>
  <si>
    <t>0.2991274103151625</t>
  </si>
  <si>
    <t>0.6657762276646512</t>
  </si>
  <si>
    <t>0.60238636</t>
  </si>
  <si>
    <t>0.6808536</t>
  </si>
  <si>
    <t>-7341.0</t>
  </si>
  <si>
    <t>0.4808666666666666</t>
  </si>
  <si>
    <t>0.8132443414484936</t>
  </si>
  <si>
    <t>32458.5</t>
  </si>
  <si>
    <t>0.7658481911434574</t>
  </si>
  <si>
    <t>0.1183777983894292</t>
  </si>
  <si>
    <t>0.14198947</t>
  </si>
  <si>
    <t>-1197.0</t>
  </si>
  <si>
    <t>0.1593777777777777</t>
  </si>
  <si>
    <t>3.1422132425377614</t>
  </si>
  <si>
    <t>32274.0</t>
  </si>
  <si>
    <t>0.4898334186016401</t>
  </si>
  <si>
    <t>0.3133296087996962</t>
  </si>
  <si>
    <t>0.505649</t>
  </si>
  <si>
    <t>-2298.0</t>
  </si>
  <si>
    <t>0.1317777777777777</t>
  </si>
  <si>
    <t>3.20369395237341</t>
  </si>
  <si>
    <t>26685.0</t>
  </si>
  <si>
    <t>0.7020260284389748</t>
  </si>
  <si>
    <t>0.2201419226088523</t>
  </si>
  <si>
    <t>0.47764915</t>
  </si>
  <si>
    <t>0.14610364</t>
  </si>
  <si>
    <t>-5395.0</t>
  </si>
  <si>
    <t>0.0598</t>
  </si>
  <si>
    <t>1.7420083037559708</t>
  </si>
  <si>
    <t>6727.5</t>
  </si>
  <si>
    <t>0.8551633357671293</t>
  </si>
  <si>
    <t>0.1952639024980194</t>
  </si>
  <si>
    <t>0.29109737</t>
  </si>
  <si>
    <t>0.04206741</t>
  </si>
  <si>
    <t>-1954.0</t>
  </si>
  <si>
    <t>0.19804</t>
  </si>
  <si>
    <t>4.4431335941533145</t>
  </si>
  <si>
    <t>22279.5</t>
  </si>
  <si>
    <t>0.4060201964392294</t>
  </si>
  <si>
    <t>0.2010759054655589</t>
  </si>
  <si>
    <t>0.6198836</t>
  </si>
  <si>
    <t>-797.0</t>
  </si>
  <si>
    <t>0.2163666666666666</t>
  </si>
  <si>
    <t>0.5554642372752359</t>
  </si>
  <si>
    <t>0.4166232758856298</t>
  </si>
  <si>
    <t>0.46074307</t>
  </si>
  <si>
    <t>-3770.0</t>
  </si>
  <si>
    <t>0.2213142857142857</t>
  </si>
  <si>
    <t>0.9323649047997762</t>
  </si>
  <si>
    <t>34857.0</t>
  </si>
  <si>
    <t>0.6476192181447313</t>
  </si>
  <si>
    <t>0.4178057982236239</t>
  </si>
  <si>
    <t>0.13765447</t>
  </si>
  <si>
    <t>0.41182834</t>
  </si>
  <si>
    <t>-9049.0</t>
  </si>
  <si>
    <t>0.1465416666666666</t>
  </si>
  <si>
    <t>0.4323478453738502</t>
  </si>
  <si>
    <t>0.576318186472905</t>
  </si>
  <si>
    <t>0.4332689</t>
  </si>
  <si>
    <t>-2855.0</t>
  </si>
  <si>
    <t>0.2228</t>
  </si>
  <si>
    <t>0.3465869279241973</t>
  </si>
  <si>
    <t>40104.0</t>
  </si>
  <si>
    <t>0.641344271001418</t>
  </si>
  <si>
    <t>0.2844188830264294</t>
  </si>
  <si>
    <t>0.29603875</t>
  </si>
  <si>
    <t>-9357.0</t>
  </si>
  <si>
    <t>0.239</t>
  </si>
  <si>
    <t>5.937745488451829</t>
  </si>
  <si>
    <t>26887.5</t>
  </si>
  <si>
    <t>0.5494490843993014</t>
  </si>
  <si>
    <t>0.2534570523399845</t>
  </si>
  <si>
    <t>0.47944897</t>
  </si>
  <si>
    <t>0.24680193</t>
  </si>
  <si>
    <t>0.0919666666666666</t>
  </si>
  <si>
    <t>7.9578463776431185</t>
  </si>
  <si>
    <t>12415.5</t>
  </si>
  <si>
    <t>0.5617439897978747</t>
  </si>
  <si>
    <t>0.2987553987823218</t>
  </si>
  <si>
    <t>0.61782616</t>
  </si>
  <si>
    <t>0.23216486</t>
  </si>
  <si>
    <t>-1447.0</t>
  </si>
  <si>
    <t>0.111925</t>
  </si>
  <si>
    <t>11.301244761190542</t>
  </si>
  <si>
    <t>0.2542841463190801</t>
  </si>
  <si>
    <t>0.4560080687702382</t>
  </si>
  <si>
    <t>0.5884878</t>
  </si>
  <si>
    <t>0.74965966</t>
  </si>
  <si>
    <t>-752.0</t>
  </si>
  <si>
    <t>0.1683673469387755</t>
  </si>
  <si>
    <t>2.765396331652248</t>
  </si>
  <si>
    <t>37125.0</t>
  </si>
  <si>
    <t>0.2017411739604989</t>
  </si>
  <si>
    <t>0.4534958785152859</t>
  </si>
  <si>
    <t>0.72065336</t>
  </si>
  <si>
    <t>-10150.0</t>
  </si>
  <si>
    <t>0.13675</t>
  </si>
  <si>
    <t>6.906318986311288</t>
  </si>
  <si>
    <t>12307.5</t>
  </si>
  <si>
    <t>0.5148741110624964</t>
  </si>
  <si>
    <t>0.4739995063252312</t>
  </si>
  <si>
    <t>0.2525987</t>
  </si>
  <si>
    <t>0.5709985</t>
  </si>
  <si>
    <t>-8851.0</t>
  </si>
  <si>
    <t>0.12374</t>
  </si>
  <si>
    <t>4.297995429044188</t>
  </si>
  <si>
    <t>27841.5</t>
  </si>
  <si>
    <t>0.22241357476425044</t>
  </si>
  <si>
    <t>0.658862538717345</t>
  </si>
  <si>
    <t>0.6127042</t>
  </si>
  <si>
    <t>0.72731274</t>
  </si>
  <si>
    <t>-904.0</t>
  </si>
  <si>
    <t>0.1691428571428571</t>
  </si>
  <si>
    <t>0.5310122249339894</t>
  </si>
  <si>
    <t>0.321501084616695</t>
  </si>
  <si>
    <t>0.47777176</t>
  </si>
  <si>
    <t>-2141.0</t>
  </si>
  <si>
    <t>0.24288</t>
  </si>
  <si>
    <t>0.32406893483331867</t>
  </si>
  <si>
    <t>0.6377840935779753</t>
  </si>
  <si>
    <t>0.5770086</t>
  </si>
  <si>
    <t>-1288.0</t>
  </si>
  <si>
    <t>0.2037555555555555</t>
  </si>
  <si>
    <t>2.806482808731348</t>
  </si>
  <si>
    <t>0.7870111273275475</t>
  </si>
  <si>
    <t>0.2241281906326009</t>
  </si>
  <si>
    <t>0.115176156</t>
  </si>
  <si>
    <t>-3230.0</t>
  </si>
  <si>
    <t>0.0892</t>
  </si>
  <si>
    <t>0.1200660220049387</t>
  </si>
  <si>
    <t>12042.0</t>
  </si>
  <si>
    <t>0.19392139939362732</t>
  </si>
  <si>
    <t>0.4976196206780227</t>
  </si>
  <si>
    <t>0.7295667</t>
  </si>
  <si>
    <t>0.72064453</t>
  </si>
  <si>
    <t>-6600.0</t>
  </si>
  <si>
    <t>0.19332</t>
  </si>
  <si>
    <t>15.432227422724145</t>
  </si>
  <si>
    <t>21748.5</t>
  </si>
  <si>
    <t>0.3495696126162745</t>
  </si>
  <si>
    <t>0.433097214108484</t>
  </si>
  <si>
    <t>0.6545293</t>
  </si>
  <si>
    <t>0.605396</t>
  </si>
  <si>
    <t>-3493.0</t>
  </si>
  <si>
    <t>0.2446333333333333</t>
  </si>
  <si>
    <t>1.8302979515786968</t>
  </si>
  <si>
    <t>33025.5</t>
  </si>
  <si>
    <t>0.4468100676345818</t>
  </si>
  <si>
    <t>0.4038324387796597</t>
  </si>
  <si>
    <t>0.7043607</t>
  </si>
  <si>
    <t>-3331.0</t>
  </si>
  <si>
    <t>0.40815</t>
  </si>
  <si>
    <t>1.5529715214878117</t>
  </si>
  <si>
    <t>36733.5</t>
  </si>
  <si>
    <t>0.5669827850068694</t>
  </si>
  <si>
    <t>0.296674361442754</t>
  </si>
  <si>
    <t>0.25533178</t>
  </si>
  <si>
    <t>0.6299143</t>
  </si>
  <si>
    <t>-1896.0</t>
  </si>
  <si>
    <t>0.04</t>
  </si>
  <si>
    <t>0.24380029264060543</t>
  </si>
  <si>
    <t>0.4323390128098549</t>
  </si>
  <si>
    <t>0.67474574</t>
  </si>
  <si>
    <t>-5247.0</t>
  </si>
  <si>
    <t>0.08936</t>
  </si>
  <si>
    <t>18.03975075907492</t>
  </si>
  <si>
    <t>10053.0</t>
  </si>
  <si>
    <t>0.487467482081364</t>
  </si>
  <si>
    <t>0.2816034085943975</t>
  </si>
  <si>
    <t>0.60927564</t>
  </si>
  <si>
    <t>0.18882157</t>
  </si>
  <si>
    <t>-5889.0</t>
  </si>
  <si>
    <t>0.15622</t>
  </si>
  <si>
    <t>3.000256677997415</t>
  </si>
  <si>
    <t>35149.5</t>
  </si>
  <si>
    <t>0.29409007540575055</t>
  </si>
  <si>
    <t>0.3986123209368941</t>
  </si>
  <si>
    <t>0.58248556</t>
  </si>
  <si>
    <t>-9638.0</t>
  </si>
  <si>
    <t>0.1845666666666666</t>
  </si>
  <si>
    <t>2.1390440360010032</t>
  </si>
  <si>
    <t>24916.5</t>
  </si>
  <si>
    <t>0.6531297577849814</t>
  </si>
  <si>
    <t>0.3744092686452666</t>
  </si>
  <si>
    <t>0.31236538</t>
  </si>
  <si>
    <t>0.34494215</t>
  </si>
  <si>
    <t>-3060.0</t>
  </si>
  <si>
    <t>0.075</t>
  </si>
  <si>
    <t>0.6673826088959403</t>
  </si>
  <si>
    <t>0.212984649370254</t>
  </si>
  <si>
    <t>0.33285058</t>
  </si>
  <si>
    <t>0.28548285</t>
  </si>
  <si>
    <t>-1756.0</t>
  </si>
  <si>
    <t>0.0718</t>
  </si>
  <si>
    <t>17.76451485509225</t>
  </si>
  <si>
    <t>14539.5</t>
  </si>
  <si>
    <t>0.4872870053965301</t>
  </si>
  <si>
    <t>0.3475790149772226</t>
  </si>
  <si>
    <t>0.5409771</t>
  </si>
  <si>
    <t>-6236.0</t>
  </si>
  <si>
    <t>0.13108</t>
  </si>
  <si>
    <t>2.2179541803807767</t>
  </si>
  <si>
    <t>14746.5</t>
  </si>
  <si>
    <t>0.313571690432295</t>
  </si>
  <si>
    <t>0.4467041243470653</t>
  </si>
  <si>
    <t>0.6675838</t>
  </si>
  <si>
    <t>-2536.0</t>
  </si>
  <si>
    <t>0.30243635484744646</t>
  </si>
  <si>
    <t>0.4937165670811805</t>
  </si>
  <si>
    <t>0.84543794</t>
  </si>
  <si>
    <t>0.2717285</t>
  </si>
  <si>
    <t>-5711.0</t>
  </si>
  <si>
    <t>0.0541554410120548</t>
  </si>
  <si>
    <t>1.8135854052051537</t>
  </si>
  <si>
    <t>15214.5</t>
  </si>
  <si>
    <t>0.3903141790669679</t>
  </si>
  <si>
    <t>0.3169870582727987</t>
  </si>
  <si>
    <t>0.6496203</t>
  </si>
  <si>
    <t>0.252921</t>
  </si>
  <si>
    <t>-5283.0</t>
  </si>
  <si>
    <t>0.1063809523809523</t>
  </si>
  <si>
    <t>0.4059605560333399</t>
  </si>
  <si>
    <t>0.3520710544722237</t>
  </si>
  <si>
    <t>0.5249921</t>
  </si>
  <si>
    <t>-4250.0</t>
  </si>
  <si>
    <t>0.1697555555555555</t>
  </si>
  <si>
    <t>0.9348829017177928</t>
  </si>
  <si>
    <t>34375.5</t>
  </si>
  <si>
    <t>0.6066623195208222</t>
  </si>
  <si>
    <t>0.2466219991137815</t>
  </si>
  <si>
    <t>0.1276923</t>
  </si>
  <si>
    <t>-408.0</t>
  </si>
  <si>
    <t>0.2314857142857143</t>
  </si>
  <si>
    <t>0.7989519383772601</t>
  </si>
  <si>
    <t>0.0465049395384565</t>
  </si>
  <si>
    <t>0.143367</t>
  </si>
  <si>
    <t>-430.0</t>
  </si>
  <si>
    <t>0.2378571428571428</t>
  </si>
  <si>
    <t>0.3893222792588747</t>
  </si>
  <si>
    <t>0.389632886112493</t>
  </si>
  <si>
    <t>0.45789954</t>
  </si>
  <si>
    <t>0.69063604</t>
  </si>
  <si>
    <t>-8161.0</t>
  </si>
  <si>
    <t>0.091375</t>
  </si>
  <si>
    <t>32895.0</t>
  </si>
  <si>
    <t>0.2746062543173587</t>
  </si>
  <si>
    <t>0.4129820278458415</t>
  </si>
  <si>
    <t>0.7136314</t>
  </si>
  <si>
    <t>0.47748804</t>
  </si>
  <si>
    <t>-9709.0</t>
  </si>
  <si>
    <t>0.175695652173913</t>
  </si>
  <si>
    <t>0.6832735595367234</t>
  </si>
  <si>
    <t>18184.5</t>
  </si>
  <si>
    <t>0.3145052397535459</t>
  </si>
  <si>
    <t>0.5683057698620381</t>
  </si>
  <si>
    <t>0.64520323</t>
  </si>
  <si>
    <t>-6215.0</t>
  </si>
  <si>
    <t>0.33224</t>
  </si>
  <si>
    <t>2.986213072680699</t>
  </si>
  <si>
    <t>37377.0</t>
  </si>
  <si>
    <t>0.4916332380294599</t>
  </si>
  <si>
    <t>0.2291166742167364</t>
  </si>
  <si>
    <t>0.70632863</t>
  </si>
  <si>
    <t>-6864.0</t>
  </si>
  <si>
    <t>0.10776</t>
  </si>
  <si>
    <t>0.6305837769589717</t>
  </si>
  <si>
    <t>0.3659177484070982</t>
  </si>
  <si>
    <t>0.22258076</t>
  </si>
  <si>
    <t>0.57727545</t>
  </si>
  <si>
    <t>-6012.0</t>
  </si>
  <si>
    <t>6.667880224972</t>
  </si>
  <si>
    <t>28260.0</t>
  </si>
  <si>
    <t>0.6064146323542119</t>
  </si>
  <si>
    <t>0.2595766858398903</t>
  </si>
  <si>
    <t>0.5226973</t>
  </si>
  <si>
    <t>0.2174478</t>
  </si>
  <si>
    <t>-1486.0</t>
  </si>
  <si>
    <t>0.3927692307692307</t>
  </si>
  <si>
    <t>3.1058245681402807</t>
  </si>
  <si>
    <t>22977.0</t>
  </si>
  <si>
    <t>0.1717226026508542</t>
  </si>
  <si>
    <t>0.4953633071040286</t>
  </si>
  <si>
    <t>0.7073844</t>
  </si>
  <si>
    <t>-6216.0</t>
  </si>
  <si>
    <t>0.1519125</t>
  </si>
  <si>
    <t>2.860018614433524</t>
  </si>
  <si>
    <t>54688.5</t>
  </si>
  <si>
    <t>0.37794018738660656</t>
  </si>
  <si>
    <t>0.439488775469728</t>
  </si>
  <si>
    <t>0.7660712</t>
  </si>
  <si>
    <t>0.25205</t>
  </si>
  <si>
    <t>1.2339984858082742</t>
  </si>
  <si>
    <t>22684.5</t>
  </si>
  <si>
    <t>0.3115359986409265</t>
  </si>
  <si>
    <t>0.2207529635600734</t>
  </si>
  <si>
    <t>0.6805447</t>
  </si>
  <si>
    <t>-3232.0</t>
  </si>
  <si>
    <t>0.03606875</t>
  </si>
  <si>
    <t>0.3860161514670174</t>
  </si>
  <si>
    <t>0.3508944570423242</t>
  </si>
  <si>
    <t>0.5411617</t>
  </si>
  <si>
    <t>-17596.0</t>
  </si>
  <si>
    <t>0.0759</t>
  </si>
  <si>
    <t>1.8085691636156032</t>
  </si>
  <si>
    <t>13662.0</t>
  </si>
  <si>
    <t>0.5170118972760013</t>
  </si>
  <si>
    <t>0.4349786285817932</t>
  </si>
  <si>
    <t>0.3060319</t>
  </si>
  <si>
    <t>-3369.0</t>
  </si>
  <si>
    <t>0.15044</t>
  </si>
  <si>
    <t>5.513456388583293</t>
  </si>
  <si>
    <t>16924.5</t>
  </si>
  <si>
    <t>0.15070370353633294</t>
  </si>
  <si>
    <t>0.506216701031536</t>
  </si>
  <si>
    <t>0.7284908</t>
  </si>
  <si>
    <t>-9099.0</t>
  </si>
  <si>
    <t>0.1941333333333333</t>
  </si>
  <si>
    <t>19.80129166743476</t>
  </si>
  <si>
    <t>26208.0</t>
  </si>
  <si>
    <t>0.26831871157424336</t>
  </si>
  <si>
    <t>0.5630826107187323</t>
  </si>
  <si>
    <t>0.29869333</t>
  </si>
  <si>
    <t>-2518.0</t>
  </si>
  <si>
    <t>0.2113</t>
  </si>
  <si>
    <t>18.936503113190085</t>
  </si>
  <si>
    <t>28525.5</t>
  </si>
  <si>
    <t>0.20128699600310104</t>
  </si>
  <si>
    <t>0.6174994251750232</t>
  </si>
  <si>
    <t>0.6841138</t>
  </si>
  <si>
    <t>-6457.0</t>
  </si>
  <si>
    <t>0.1744</t>
  </si>
  <si>
    <t>3.2988185230846234</t>
  </si>
  <si>
    <t>15696.0</t>
  </si>
  <si>
    <t>0.6173330600744292</t>
  </si>
  <si>
    <t>0.2597630075729495</t>
  </si>
  <si>
    <t>0.19600429</t>
  </si>
  <si>
    <t>-6050.0</t>
  </si>
  <si>
    <t>0.14058</t>
  </si>
  <si>
    <t>0.20754401425439795</t>
  </si>
  <si>
    <t>0.4524019839229011</t>
  </si>
  <si>
    <t>0.59197664</t>
  </si>
  <si>
    <t>0.7346528</t>
  </si>
  <si>
    <t>-7020.0</t>
  </si>
  <si>
    <t>0.2851</t>
  </si>
  <si>
    <t>5.27077595625145</t>
  </si>
  <si>
    <t>64147.5</t>
  </si>
  <si>
    <t>0.2918391100462749</t>
  </si>
  <si>
    <t>0.4605517502195974</t>
  </si>
  <si>
    <t>0.69255906</t>
  </si>
  <si>
    <t>0.6476323</t>
  </si>
  <si>
    <t>0.0746705882352941</t>
  </si>
  <si>
    <t>4.250940026924988</t>
  </si>
  <si>
    <t>28561.5</t>
  </si>
  <si>
    <t>0.385168313889882</t>
  </si>
  <si>
    <t>0.601660458421583</t>
  </si>
  <si>
    <t>0.56019425</t>
  </si>
  <si>
    <t>-1847.0</t>
  </si>
  <si>
    <t>0.2305</t>
  </si>
  <si>
    <t>0.7868633858392649</t>
  </si>
  <si>
    <t>72607.5</t>
  </si>
  <si>
    <t>0.31593906723082443</t>
  </si>
  <si>
    <t>0.5701983287215552</t>
  </si>
  <si>
    <t>0.5602843</t>
  </si>
  <si>
    <t>0.66939145</t>
  </si>
  <si>
    <t>-5726.0</t>
  </si>
  <si>
    <t>0.26245</t>
  </si>
  <si>
    <t>0.9277028205842752</t>
  </si>
  <si>
    <t>23620.5</t>
  </si>
  <si>
    <t>0.4785638204379599</t>
  </si>
  <si>
    <t>0.3535445867210373</t>
  </si>
  <si>
    <t>0.42765737</t>
  </si>
  <si>
    <t>0.61310047</t>
  </si>
  <si>
    <t>-5948.0</t>
  </si>
  <si>
    <t>0.1151714285714285</t>
  </si>
  <si>
    <t>4.220228662046921</t>
  </si>
  <si>
    <t>18139.5</t>
  </si>
  <si>
    <t>0.3160351159765255</t>
  </si>
  <si>
    <t>0.6131144481857835</t>
  </si>
  <si>
    <t>0.518144</t>
  </si>
  <si>
    <t>-226.0</t>
  </si>
  <si>
    <t>0.3479333333333333</t>
  </si>
  <si>
    <t>0.1908408860046284</t>
  </si>
  <si>
    <t>23485.5</t>
  </si>
  <si>
    <t>0.5245581215889478</t>
  </si>
  <si>
    <t>0.3263463313709182</t>
  </si>
  <si>
    <t>0.07755368</t>
  </si>
  <si>
    <t>-1132.0</t>
  </si>
  <si>
    <t>0.1961</t>
  </si>
  <si>
    <t>2.717737329122727</t>
  </si>
  <si>
    <t>26473.5</t>
  </si>
  <si>
    <t>0.5098666848483041</t>
  </si>
  <si>
    <t>0.3272666224094265</t>
  </si>
  <si>
    <t>0.67091405</t>
  </si>
  <si>
    <t>-8965.0</t>
  </si>
  <si>
    <t>0.21412</t>
  </si>
  <si>
    <t>1.9249556558857737</t>
  </si>
  <si>
    <t>24088.5</t>
  </si>
  <si>
    <t>0.48457701572502787</t>
  </si>
  <si>
    <t>0.3398769895888058</t>
  </si>
  <si>
    <t>0.58469087</t>
  </si>
  <si>
    <t>-3880.0</t>
  </si>
  <si>
    <t>0.0904</t>
  </si>
  <si>
    <t>6.6680277189273385</t>
  </si>
  <si>
    <t>12204.0</t>
  </si>
  <si>
    <t>0.3866061613895307</t>
  </si>
  <si>
    <t>0.517123767221702</t>
  </si>
  <si>
    <t>0.5290911</t>
  </si>
  <si>
    <t>-6615.0</t>
  </si>
  <si>
    <t>0.1750181818181818</t>
  </si>
  <si>
    <t>1.917819064761584</t>
  </si>
  <si>
    <t>43317.0</t>
  </si>
  <si>
    <t>0.6036084082726332</t>
  </si>
  <si>
    <t>0.3284919943103691</t>
  </si>
  <si>
    <t>0.44539624</t>
  </si>
  <si>
    <t>0.4151747</t>
  </si>
  <si>
    <t>-4542.0</t>
  </si>
  <si>
    <t>0.1805714285714285</t>
  </si>
  <si>
    <t>4.691426332606885</t>
  </si>
  <si>
    <t>28440.0</t>
  </si>
  <si>
    <t>0.4994329907706432</t>
  </si>
  <si>
    <t>0.3710401863095651</t>
  </si>
  <si>
    <t>0.32617486</t>
  </si>
  <si>
    <t>-1534.0</t>
  </si>
  <si>
    <t>0.12081</t>
  </si>
  <si>
    <t>0.9488954631662329</t>
  </si>
  <si>
    <t>54364.5</t>
  </si>
  <si>
    <t>0.17937954294284597</t>
  </si>
  <si>
    <t>0.6966116735853133</t>
  </si>
  <si>
    <t>0.6910212</t>
  </si>
  <si>
    <t>0.74757326</t>
  </si>
  <si>
    <t>-10435.0</t>
  </si>
  <si>
    <t>0.2716857142857143</t>
  </si>
  <si>
    <t>1.9168748142531555</t>
  </si>
  <si>
    <t>42790.5</t>
  </si>
  <si>
    <t>0.25347911336970425</t>
  </si>
  <si>
    <t>0.576847605528654</t>
  </si>
  <si>
    <t>0.7472058</t>
  </si>
  <si>
    <t>-405.0</t>
  </si>
  <si>
    <t>0.16978</t>
  </si>
  <si>
    <t>2.2007756120440813</t>
  </si>
  <si>
    <t>38200.5</t>
  </si>
  <si>
    <t>0.6515350311876282</t>
  </si>
  <si>
    <t>0.1001728114151104</t>
  </si>
  <si>
    <t>0.30881613</t>
  </si>
  <si>
    <t>-1773.0</t>
  </si>
  <si>
    <t>0.0666571428571428</t>
  </si>
  <si>
    <t>0.6318512068938652</t>
  </si>
  <si>
    <t>0.2696423979469076</t>
  </si>
  <si>
    <t>0.30271682</t>
  </si>
  <si>
    <t>-1807.0</t>
  </si>
  <si>
    <t>0.1101851851851851</t>
  </si>
  <si>
    <t>3.738130879820867</t>
  </si>
  <si>
    <t>13387.5</t>
  </si>
  <si>
    <t>0.2680635793406099</t>
  </si>
  <si>
    <t>0.4386983680206369</t>
  </si>
  <si>
    <t>0.7490217</t>
  </si>
  <si>
    <t>0.51730865</t>
  </si>
  <si>
    <t>-10418.0</t>
  </si>
  <si>
    <t>33750.0</t>
  </si>
  <si>
    <t>0.7798007995977494</t>
  </si>
  <si>
    <t>0.2439465708742301</t>
  </si>
  <si>
    <t>0.13177013</t>
  </si>
  <si>
    <t>0.3446013</t>
  </si>
  <si>
    <t>-786.0</t>
  </si>
  <si>
    <t>0.0288492063492063</t>
  </si>
  <si>
    <t>2.4256444821580514</t>
  </si>
  <si>
    <t>16357.5</t>
  </si>
  <si>
    <t>0.5308590626956919</t>
  </si>
  <si>
    <t>0.337112701977135</t>
  </si>
  <si>
    <t>0.54067844</t>
  </si>
  <si>
    <t>-1947.0</t>
  </si>
  <si>
    <t>0.089</t>
  </si>
  <si>
    <t>26032.5</t>
  </si>
  <si>
    <t>0.2598880279910228</t>
  </si>
  <si>
    <t>0.6738985211738817</t>
  </si>
  <si>
    <t>0.47045612</t>
  </si>
  <si>
    <t>0.7493764</t>
  </si>
  <si>
    <t>-6739.0</t>
  </si>
  <si>
    <t>0.1152142857142857</t>
  </si>
  <si>
    <t>36292.5</t>
  </si>
  <si>
    <t>0.585928932154272</t>
  </si>
  <si>
    <t>0.41038697527421</t>
  </si>
  <si>
    <t>0.3655891</t>
  </si>
  <si>
    <t>-722.0</t>
  </si>
  <si>
    <t>0.22365</t>
  </si>
  <si>
    <t>2.8351517859499964</t>
  </si>
  <si>
    <t>20128.5</t>
  </si>
  <si>
    <t>0.4373085081839793</t>
  </si>
  <si>
    <t>0.5451325351224668</t>
  </si>
  <si>
    <t>0.36394525</t>
  </si>
  <si>
    <t>0.5405861</t>
  </si>
  <si>
    <t>-1877.0</t>
  </si>
  <si>
    <t>0.1697</t>
  </si>
  <si>
    <t>0.41696553229965877</t>
  </si>
  <si>
    <t>0.4443184677614272</t>
  </si>
  <si>
    <t>0.4188543</t>
  </si>
  <si>
    <t>0.5671214</t>
  </si>
  <si>
    <t>-3111.0</t>
  </si>
  <si>
    <t>0.1166136363636363</t>
  </si>
  <si>
    <t>1.88126997763014</t>
  </si>
  <si>
    <t>23089.5</t>
  </si>
  <si>
    <t>0.24945482422124649</t>
  </si>
  <si>
    <t>0.6697920070908198</t>
  </si>
  <si>
    <t>0.4614824</t>
  </si>
  <si>
    <t>0.7967772</t>
  </si>
  <si>
    <t>-2509.0</t>
  </si>
  <si>
    <t>0.25935</t>
  </si>
  <si>
    <t>3.611293526462189</t>
  </si>
  <si>
    <t>46683.0</t>
  </si>
  <si>
    <t>0.5332451488929125</t>
  </si>
  <si>
    <t>0.4458992632666403</t>
  </si>
  <si>
    <t>0.30010775</t>
  </si>
  <si>
    <t>0.5993307</t>
  </si>
  <si>
    <t>-2366.0</t>
  </si>
  <si>
    <t>0.1932666666666666</t>
  </si>
  <si>
    <t>3.011200811456427</t>
  </si>
  <si>
    <t>26091.0</t>
  </si>
  <si>
    <t>0.1483214556268287</t>
  </si>
  <si>
    <t>0.5224966660315065</t>
  </si>
  <si>
    <t>0.80274546</t>
  </si>
  <si>
    <t>0.7157453</t>
  </si>
  <si>
    <t>-13759.0</t>
  </si>
  <si>
    <t>0.3158666666666667</t>
  </si>
  <si>
    <t>2.956145397046872</t>
  </si>
  <si>
    <t>42642.0</t>
  </si>
  <si>
    <t>0.3601499588831311</t>
  </si>
  <si>
    <t>0.3878888232739947</t>
  </si>
  <si>
    <t>0.6832626</t>
  </si>
  <si>
    <t>-3013.0</t>
  </si>
  <si>
    <t>0.090525</t>
  </si>
  <si>
    <t>5.31034209624297</t>
  </si>
  <si>
    <t>16294.5</t>
  </si>
  <si>
    <t>0.7299918094090091</t>
  </si>
  <si>
    <t>0.2282678840628452</t>
  </si>
  <si>
    <t>0.3217353</t>
  </si>
  <si>
    <t>0.34499156</t>
  </si>
  <si>
    <t>-5440.0</t>
  </si>
  <si>
    <t>0.1525666666666666</t>
  </si>
  <si>
    <t>2.8229305639809743</t>
  </si>
  <si>
    <t>20596.5</t>
  </si>
  <si>
    <t>0.685380270980476</t>
  </si>
  <si>
    <t>0.2339529029200728</t>
  </si>
  <si>
    <t>0.1276988</t>
  </si>
  <si>
    <t>0.5788595</t>
  </si>
  <si>
    <t>-7897.0</t>
  </si>
  <si>
    <t>0.1125333333333333</t>
  </si>
  <si>
    <t>2.932784288566737</t>
  </si>
  <si>
    <t>30384.0</t>
  </si>
  <si>
    <t>0.29403833523832446</t>
  </si>
  <si>
    <t>0.5450915353293295</t>
  </si>
  <si>
    <t>0.6754133</t>
  </si>
  <si>
    <t>0.50272983</t>
  </si>
  <si>
    <t>-3783.0</t>
  </si>
  <si>
    <t>0.1424166666666666</t>
  </si>
  <si>
    <t>1.953968866324396</t>
  </si>
  <si>
    <t>38452.5</t>
  </si>
  <si>
    <t>0.25874976950619427</t>
  </si>
  <si>
    <t>0.5508785158159935</t>
  </si>
  <si>
    <t>0.6680835</t>
  </si>
  <si>
    <t>-7076.0</t>
  </si>
  <si>
    <t>0.1522847936211008</t>
  </si>
  <si>
    <t>0.48026770859323</t>
  </si>
  <si>
    <t>0.8510087</t>
  </si>
  <si>
    <t>0.5317491</t>
  </si>
  <si>
    <t>-1473.0</t>
  </si>
  <si>
    <t>0.2646313697515834</t>
  </si>
  <si>
    <t>0.46470265078653</t>
  </si>
  <si>
    <t>0.75971216</t>
  </si>
  <si>
    <t>0.58555615</t>
  </si>
  <si>
    <t>-44.0</t>
  </si>
  <si>
    <t>0.11675</t>
  </si>
  <si>
    <t>4.302637018717981</t>
  </si>
  <si>
    <t>31522.5</t>
  </si>
  <si>
    <t>0.22704649384471096</t>
  </si>
  <si>
    <t>0.6325559714187463</t>
  </si>
  <si>
    <t>0.6144144</t>
  </si>
  <si>
    <t>0.7341239</t>
  </si>
  <si>
    <t>-9462.0</t>
  </si>
  <si>
    <t>0.2322666666666666</t>
  </si>
  <si>
    <t>1.8424271783653576</t>
  </si>
  <si>
    <t>31356.0</t>
  </si>
  <si>
    <t>0.7471118537637522</t>
  </si>
  <si>
    <t>0.0535814092204361</t>
  </si>
  <si>
    <t>0.16518258</t>
  </si>
  <si>
    <t>-2685.0</t>
  </si>
  <si>
    <t>0.8834580868009128</t>
  </si>
  <si>
    <t>0.1255958740749354</t>
  </si>
  <si>
    <t>0.0054692947</t>
  </si>
  <si>
    <t>-3470.0</t>
  </si>
  <si>
    <t>0.07244</t>
  </si>
  <si>
    <t>2.5248311151313096</t>
  </si>
  <si>
    <t>32598.0</t>
  </si>
  <si>
    <t>0.3990577244064998</t>
  </si>
  <si>
    <t>0.4081741302613211</t>
  </si>
  <si>
    <t>0.695636</t>
  </si>
  <si>
    <t>-3293.0</t>
  </si>
  <si>
    <t>0.2304444444444444</t>
  </si>
  <si>
    <t>2.557177823726109</t>
  </si>
  <si>
    <t>46665.0</t>
  </si>
  <si>
    <t>0.5739727452576678</t>
  </si>
  <si>
    <t>0.3037789403816242</t>
  </si>
  <si>
    <t>0.46949628</t>
  </si>
  <si>
    <t>-3715.0</t>
  </si>
  <si>
    <t>0.2192592592592592</t>
  </si>
  <si>
    <t>0.3320693695009251</t>
  </si>
  <si>
    <t>0.5285943488377896</t>
  </si>
  <si>
    <t>0.52449644</t>
  </si>
  <si>
    <t>0.658674</t>
  </si>
  <si>
    <t>-2638.0</t>
  </si>
  <si>
    <t>0.1487333333333333</t>
  </si>
  <si>
    <t>2.6366193776769187</t>
  </si>
  <si>
    <t>10039.5</t>
  </si>
  <si>
    <t>0.27360988431913313</t>
  </si>
  <si>
    <t>0.5464810139755111</t>
  </si>
  <si>
    <t>0.41419277</t>
  </si>
  <si>
    <t>-7620.0</t>
  </si>
  <si>
    <t>0.20482</t>
  </si>
  <si>
    <t>2.7691108986026114</t>
  </si>
  <si>
    <t>46084.5</t>
  </si>
  <si>
    <t>0.766551218958913</t>
  </si>
  <si>
    <t>0.1407958512374988</t>
  </si>
  <si>
    <t>0.3392877</t>
  </si>
  <si>
    <t>0.055759683</t>
  </si>
  <si>
    <t>-4395.0</t>
  </si>
  <si>
    <t>0.2285333333333333</t>
  </si>
  <si>
    <t>18.86994327581053</t>
  </si>
  <si>
    <t>30852.0</t>
  </si>
  <si>
    <t>0.8738036403715757</t>
  </si>
  <si>
    <t>0.0856723539316189</t>
  </si>
  <si>
    <t>0.15474363</t>
  </si>
  <si>
    <t>0.0022719458</t>
  </si>
  <si>
    <t>-1685.0</t>
  </si>
  <si>
    <t>0.152078947368421</t>
  </si>
  <si>
    <t>11.30819409313295</t>
  </si>
  <si>
    <t>26005.5</t>
  </si>
  <si>
    <t>0.4850214267400246</t>
  </si>
  <si>
    <t>0.363638001810242</t>
  </si>
  <si>
    <t>0.4040909</t>
  </si>
  <si>
    <t>-1792.0</t>
  </si>
  <si>
    <t>0.16185</t>
  </si>
  <si>
    <t>4.251229139800605</t>
  </si>
  <si>
    <t>14566.5</t>
  </si>
  <si>
    <t>0.47425260639522665</t>
  </si>
  <si>
    <t>0.3491915730048335</t>
  </si>
  <si>
    <t>0.367291</t>
  </si>
  <si>
    <t>0.66698664</t>
  </si>
  <si>
    <t>-2941.0</t>
  </si>
  <si>
    <t>0.1113833333333333</t>
  </si>
  <si>
    <t>0.367856561257196</t>
  </si>
  <si>
    <t>30073.5</t>
  </si>
  <si>
    <t>0.20929930334777644</t>
  </si>
  <si>
    <t>0.4627382761082559</t>
  </si>
  <si>
    <t>0.6841469</t>
  </si>
  <si>
    <t>-1499.0</t>
  </si>
  <si>
    <t>0.07864</t>
  </si>
  <si>
    <t>19.691649916928377</t>
  </si>
  <si>
    <t>17694.0</t>
  </si>
  <si>
    <t>0.33924817751468345</t>
  </si>
  <si>
    <t>0.3718585258980239</t>
  </si>
  <si>
    <t>0.4184278</t>
  </si>
  <si>
    <t>-2.0</t>
  </si>
  <si>
    <t>0.0974666666666666</t>
  </si>
  <si>
    <t>19737.0</t>
  </si>
  <si>
    <t>0.4884057114277765</t>
  </si>
  <si>
    <t>0.3563700702874954</t>
  </si>
  <si>
    <t>0.7130952</t>
  </si>
  <si>
    <t>-2682.0</t>
  </si>
  <si>
    <t>0.1462</t>
  </si>
  <si>
    <t>0.11908739197417152</t>
  </si>
  <si>
    <t>0.739627527264914</t>
  </si>
  <si>
    <t>0.7366227</t>
  </si>
  <si>
    <t>0.73475087</t>
  </si>
  <si>
    <t>-1360.0</t>
  </si>
  <si>
    <t>0.22245</t>
  </si>
  <si>
    <t>1.3165092391182798</t>
  </si>
  <si>
    <t>20020.5</t>
  </si>
  <si>
    <t>0.5477523357013935</t>
  </si>
  <si>
    <t>0.3262825159606143</t>
  </si>
  <si>
    <t>0.5888584</t>
  </si>
  <si>
    <t>-6014.0</t>
  </si>
  <si>
    <t>0.1495555555555555</t>
  </si>
  <si>
    <t>1.4303680980906508</t>
  </si>
  <si>
    <t>0.15548080436638648</t>
  </si>
  <si>
    <t>0.7411486187657932</t>
  </si>
  <si>
    <t>0.7106744</t>
  </si>
  <si>
    <t>0.72039354</t>
  </si>
  <si>
    <t>-6922.0</t>
  </si>
  <si>
    <t>2.3491507247920707</t>
  </si>
  <si>
    <t>30600.0</t>
  </si>
  <si>
    <t>0.42777057819715536</t>
  </si>
  <si>
    <t>0.6053033372831514</t>
  </si>
  <si>
    <t>0.3944954</t>
  </si>
  <si>
    <t>0.61052454</t>
  </si>
  <si>
    <t>-2113.0</t>
  </si>
  <si>
    <t>0.37495</t>
  </si>
  <si>
    <t>2.3454601274720543</t>
  </si>
  <si>
    <t>33745.5</t>
  </si>
  <si>
    <t>0.19066201055569199</t>
  </si>
  <si>
    <t>0.4441665212648478</t>
  </si>
  <si>
    <t>0.65790176</t>
  </si>
  <si>
    <t>-9773.0</t>
  </si>
  <si>
    <t>0.8613293868859493</t>
  </si>
  <si>
    <t>0.0842600491805181</t>
  </si>
  <si>
    <t>0.10211879</t>
  </si>
  <si>
    <t>0.14590187</t>
  </si>
  <si>
    <t>-10694.0</t>
  </si>
  <si>
    <t>0.1330666666666666</t>
  </si>
  <si>
    <t>0.2798958792099696</t>
  </si>
  <si>
    <t>0.4716255465129296</t>
  </si>
  <si>
    <t>0.69212914</t>
  </si>
  <si>
    <t>-3479.0</t>
  </si>
  <si>
    <t>0.2557333333333333</t>
  </si>
  <si>
    <t>0.3822308445287969</t>
  </si>
  <si>
    <t>34524.0</t>
  </si>
  <si>
    <t>0.34615100614667027</t>
  </si>
  <si>
    <t>0.2327646392672379</t>
  </si>
  <si>
    <t>0.7175747</t>
  </si>
  <si>
    <t>-12259.0</t>
  </si>
  <si>
    <t>0.2397666666666666</t>
  </si>
  <si>
    <t>1.5593427177521546</t>
  </si>
  <si>
    <t>32368.5</t>
  </si>
  <si>
    <t>0.21667496344708895</t>
  </si>
  <si>
    <t>0.6091499076376155</t>
  </si>
  <si>
    <t>0.45253357</t>
  </si>
  <si>
    <t>0.6674479</t>
  </si>
  <si>
    <t>-3631.0</t>
  </si>
  <si>
    <t>0.7279668970511673</t>
  </si>
  <si>
    <t>0.0077583251204137</t>
  </si>
  <si>
    <t>0.023917627</t>
  </si>
  <si>
    <t>-9301.0</t>
  </si>
  <si>
    <t>0.23544</t>
  </si>
  <si>
    <t>4.568687765915969</t>
  </si>
  <si>
    <t>26487.0</t>
  </si>
  <si>
    <t>0.7216373007651321</t>
  </si>
  <si>
    <t>0.1624178292166961</t>
  </si>
  <si>
    <t>0.42061096</t>
  </si>
  <si>
    <t>0.03174487</t>
  </si>
  <si>
    <t>-2562.0</t>
  </si>
  <si>
    <t>0.25456</t>
  </si>
  <si>
    <t>6.673185288403238</t>
  </si>
  <si>
    <t>28638.0</t>
  </si>
  <si>
    <t>0.6405408199914984</t>
  </si>
  <si>
    <t>0.2585130132282739</t>
  </si>
  <si>
    <t>0.34905526</t>
  </si>
  <si>
    <t>0.40777174</t>
  </si>
  <si>
    <t>-3703.0</t>
  </si>
  <si>
    <t>0.1543777777777777</t>
  </si>
  <si>
    <t>2.5401224748646367</t>
  </si>
  <si>
    <t>0.2054996302056046</t>
  </si>
  <si>
    <t>0.4776517888454797</t>
  </si>
  <si>
    <t>0.7836727</t>
  </si>
  <si>
    <t>-940.0</t>
  </si>
  <si>
    <t>0.0789333333333333</t>
  </si>
  <si>
    <t>17.60959941860505</t>
  </si>
  <si>
    <t>5328.0</t>
  </si>
  <si>
    <t>0.232388517778391</t>
  </si>
  <si>
    <t>0.4864512065365164</t>
  </si>
  <si>
    <t>0.7827036</t>
  </si>
  <si>
    <t>0.1675111111111111</t>
  </si>
  <si>
    <t>3.125671997962054</t>
  </si>
  <si>
    <t>33921.0</t>
  </si>
  <si>
    <t>0.28452247460462937</t>
  </si>
  <si>
    <t>0.592700748765894</t>
  </si>
  <si>
    <t>0.58810115</t>
  </si>
  <si>
    <t>-959.0</t>
  </si>
  <si>
    <t>0.23</t>
  </si>
  <si>
    <t>2.491022669693832</t>
  </si>
  <si>
    <t>0.27512334836524177</t>
  </si>
  <si>
    <t>0.4430292093487706</t>
  </si>
  <si>
    <t>0.5549468</t>
  </si>
  <si>
    <t>0.7470447</t>
  </si>
  <si>
    <t>-1182.0</t>
  </si>
  <si>
    <t>0.26575</t>
  </si>
  <si>
    <t>1.7969831186940066</t>
  </si>
  <si>
    <t>14350.5</t>
  </si>
  <si>
    <t>0.426978603916427</t>
  </si>
  <si>
    <t>0.4504434008380784</t>
  </si>
  <si>
    <t>0.50287825</t>
  </si>
  <si>
    <t>0.3357666</t>
  </si>
  <si>
    <t>-190.0</t>
  </si>
  <si>
    <t>0.0978260869565217</t>
  </si>
  <si>
    <t>0.2857964922789845</t>
  </si>
  <si>
    <t>0.4156714672764457</t>
  </si>
  <si>
    <t>0.7127192</t>
  </si>
  <si>
    <t>-13009.0</t>
  </si>
  <si>
    <t>0.21132</t>
  </si>
  <si>
    <t>0.4049910200690148</t>
  </si>
  <si>
    <t>0.4987209255276459</t>
  </si>
  <si>
    <t>0.5244631</t>
  </si>
  <si>
    <t>-2358.0</t>
  </si>
  <si>
    <t>0.1624324324324324</t>
  </si>
  <si>
    <t>2.694971757002995</t>
  </si>
  <si>
    <t>13522.5</t>
  </si>
  <si>
    <t>0.43351056090333023</t>
  </si>
  <si>
    <t>0.4118083891841952</t>
  </si>
  <si>
    <t>0.7530057</t>
  </si>
  <si>
    <t>-4077.0</t>
  </si>
  <si>
    <t>0.3985714285714286</t>
  </si>
  <si>
    <t>1.548217914065253</t>
  </si>
  <si>
    <t>37665.0</t>
  </si>
  <si>
    <t>0.633148061517211</t>
  </si>
  <si>
    <t>0.2746970273977349</t>
  </si>
  <si>
    <t>0.26205534</t>
  </si>
  <si>
    <t>-1565.0</t>
  </si>
  <si>
    <t>0.19276</t>
  </si>
  <si>
    <t>4.476921886884999</t>
  </si>
  <si>
    <t>21685.5</t>
  </si>
  <si>
    <t>0.43068250252741014</t>
  </si>
  <si>
    <t>0.4525578785911256</t>
  </si>
  <si>
    <t>0.6579263</t>
  </si>
  <si>
    <t>-4820.0</t>
  </si>
  <si>
    <t>0.2057586206896551</t>
  </si>
  <si>
    <t>3.708011342658857</t>
  </si>
  <si>
    <t>26851.5</t>
  </si>
  <si>
    <t>0.3270488222904425</t>
  </si>
  <si>
    <t>0.5090690837120562</t>
  </si>
  <si>
    <t>0.5620605</t>
  </si>
  <si>
    <t>0.5943214</t>
  </si>
  <si>
    <t>-7095.0</t>
  </si>
  <si>
    <t>0.221275</t>
  </si>
  <si>
    <t>5.294893797951139</t>
  </si>
  <si>
    <t>39829.5</t>
  </si>
  <si>
    <t>0.4321723410115539</t>
  </si>
  <si>
    <t>0.3231642497157679</t>
  </si>
  <si>
    <t>0.41749153</t>
  </si>
  <si>
    <t>-11312.0</t>
  </si>
  <si>
    <t>0.2246571428571428</t>
  </si>
  <si>
    <t>1.1174012037416192</t>
  </si>
  <si>
    <t>35383.5</t>
  </si>
  <si>
    <t>0.5466906840428503</t>
  </si>
  <si>
    <t>0.4387077285178861</t>
  </si>
  <si>
    <t>0.6243253</t>
  </si>
  <si>
    <t>-2246.0</t>
  </si>
  <si>
    <t>0.17765</t>
  </si>
  <si>
    <t>8.915146910373895</t>
  </si>
  <si>
    <t>15988.5</t>
  </si>
  <si>
    <t>0.46752686433149465</t>
  </si>
  <si>
    <t>0.4678828141217885</t>
  </si>
  <si>
    <t>0.43143344</t>
  </si>
  <si>
    <t>-6021.0</t>
  </si>
  <si>
    <t>0.217</t>
  </si>
  <si>
    <t>3.017958394635123</t>
  </si>
  <si>
    <t>48825.0</t>
  </si>
  <si>
    <t>0.5229990536082895</t>
  </si>
  <si>
    <t>0.3285613148549045</t>
  </si>
  <si>
    <t>0.61268544</t>
  </si>
  <si>
    <t>-4631.0</t>
  </si>
  <si>
    <t>0.1329777777777777</t>
  </si>
  <si>
    <t>1.891651850923748</t>
  </si>
  <si>
    <t>26928.0</t>
  </si>
  <si>
    <t>0.3019659931431617</t>
  </si>
  <si>
    <t>0.4245660392927016</t>
  </si>
  <si>
    <t>0.5470525</t>
  </si>
  <si>
    <t>-3612.0</t>
  </si>
  <si>
    <t>0.1236904761904761</t>
  </si>
  <si>
    <t>2.156352996185573</t>
  </si>
  <si>
    <t>23377.5</t>
  </si>
  <si>
    <t>0.30598493182654907</t>
  </si>
  <si>
    <t>0.3716294194863468</t>
  </si>
  <si>
    <t>0.58297473</t>
  </si>
  <si>
    <t>-355.0</t>
  </si>
  <si>
    <t>0.1166666666666666</t>
  </si>
  <si>
    <t>0.36348338304146877</t>
  </si>
  <si>
    <t>0.2200887240566279</t>
  </si>
  <si>
    <t>0.67849696</t>
  </si>
  <si>
    <t>-6975.0</t>
  </si>
  <si>
    <t>0.0464285714285714</t>
  </si>
  <si>
    <t>6.646430752108534</t>
  </si>
  <si>
    <t>7312.5</t>
  </si>
  <si>
    <t>0.3626850162727778</t>
  </si>
  <si>
    <t>0.4813682281933287</t>
  </si>
  <si>
    <t>0.65062565</t>
  </si>
  <si>
    <t>-3668.0</t>
  </si>
  <si>
    <t>0.26662</t>
  </si>
  <si>
    <t>5.528320408165843</t>
  </si>
  <si>
    <t>59989.5</t>
  </si>
  <si>
    <t>0.5888144354665422</t>
  </si>
  <si>
    <t>0.3167260725309387</t>
  </si>
  <si>
    <t>0.59992397</t>
  </si>
  <si>
    <t>-6430.0</t>
  </si>
  <si>
    <t>0.2552777777777777</t>
  </si>
  <si>
    <t>2.4240672998245616</t>
  </si>
  <si>
    <t>20677.5</t>
  </si>
  <si>
    <t>0.2659437398554511</t>
  </si>
  <si>
    <t>0.4566437508870073</t>
  </si>
  <si>
    <t>0.73098737</t>
  </si>
  <si>
    <t>0.59273875</t>
  </si>
  <si>
    <t>-5079.0</t>
  </si>
  <si>
    <t>0.2307692307692307</t>
  </si>
  <si>
    <t>0.5929092885208431</t>
  </si>
  <si>
    <t>0.2435073957521346</t>
  </si>
  <si>
    <t>0.3578496</t>
  </si>
  <si>
    <t>-4906.0</t>
  </si>
  <si>
    <t>0.1210666666666666</t>
  </si>
  <si>
    <t>4.774329808842337</t>
  </si>
  <si>
    <t>32688.0</t>
  </si>
  <si>
    <t>0.5084789375424283</t>
  </si>
  <si>
    <t>0.3647413427700178</t>
  </si>
  <si>
    <t>0.6749521</t>
  </si>
  <si>
    <t>-400.0</t>
  </si>
  <si>
    <t>0.10848</t>
  </si>
  <si>
    <t>3.695382939349656</t>
  </si>
  <si>
    <t>0.6039957845124633</t>
  </si>
  <si>
    <t>0.2848553491523158</t>
  </si>
  <si>
    <t>0.52629495</t>
  </si>
  <si>
    <t>0.2913665</t>
  </si>
  <si>
    <t>-7664.0</t>
  </si>
  <si>
    <t>0.2263333333333333</t>
  </si>
  <si>
    <t>4.132231334967984</t>
  </si>
  <si>
    <t>39721.5</t>
  </si>
  <si>
    <t>0.20328138248911623</t>
  </si>
  <si>
    <t>0.5571622429298666</t>
  </si>
  <si>
    <t>0.55184335</t>
  </si>
  <si>
    <t>-10943.0</t>
  </si>
  <si>
    <t>0.2078571428571428</t>
  </si>
  <si>
    <t>2.456186956440587</t>
  </si>
  <si>
    <t>32737.5</t>
  </si>
  <si>
    <t>0.7671326392664698</t>
  </si>
  <si>
    <t>0.1912946713962506</t>
  </si>
  <si>
    <t>0.17352743</t>
  </si>
  <si>
    <t>0.3962544</t>
  </si>
  <si>
    <t>-454.0</t>
  </si>
  <si>
    <t>0.1330444444444444</t>
  </si>
  <si>
    <t>4.686670505383139</t>
  </si>
  <si>
    <t>26941.5</t>
  </si>
  <si>
    <t>0.5930354045229048</t>
  </si>
  <si>
    <t>0.3741250443100254</t>
  </si>
  <si>
    <t>0.3178254</t>
  </si>
  <si>
    <t>0.2104</t>
  </si>
  <si>
    <t>2.0262652400656167</t>
  </si>
  <si>
    <t>23670.0</t>
  </si>
  <si>
    <t>0.5730876911023745</t>
  </si>
  <si>
    <t>0.3749591613144351</t>
  </si>
  <si>
    <t>0.5503556</t>
  </si>
  <si>
    <t>-6459.0</t>
  </si>
  <si>
    <t>0.2461666666666666</t>
  </si>
  <si>
    <t>3.712106667067427</t>
  </si>
  <si>
    <t>33232.5</t>
  </si>
  <si>
    <t>0.7473390755679437</t>
  </si>
  <si>
    <t>0.230540783590368</t>
  </si>
  <si>
    <t>0.14644207</t>
  </si>
  <si>
    <t>0.5474426</t>
  </si>
  <si>
    <t>0.148</t>
  </si>
  <si>
    <t>7.170774278057368</t>
  </si>
  <si>
    <t>16650.0</t>
  </si>
  <si>
    <t>0.3176900383240879</t>
  </si>
  <si>
    <t>0.5561135886353433</t>
  </si>
  <si>
    <t>0.26118514</t>
  </si>
  <si>
    <t>-4030.0</t>
  </si>
  <si>
    <t>0.1435333333333333</t>
  </si>
  <si>
    <t>6.661032642917997</t>
  </si>
  <si>
    <t>29065.5</t>
  </si>
  <si>
    <t>0.6959720298683949</t>
  </si>
  <si>
    <t>0.2714016566787827</t>
  </si>
  <si>
    <t>0.045052115</t>
  </si>
  <si>
    <t>0.6539289</t>
  </si>
  <si>
    <t>-2131.0</t>
  </si>
  <si>
    <t>0.3207567567567567</t>
  </si>
  <si>
    <t>17.30119134365353</t>
  </si>
  <si>
    <t>53406.0</t>
  </si>
  <si>
    <t>0.321200023244521</t>
  </si>
  <si>
    <t>0.5469996398956316</t>
  </si>
  <si>
    <t>0.71011084</t>
  </si>
  <si>
    <t>-1173.0</t>
  </si>
  <si>
    <t>0.0892133333333333</t>
  </si>
  <si>
    <t>1.1920383011848612</t>
  </si>
  <si>
    <t>30109.5</t>
  </si>
  <si>
    <t>0.4989887653916704</t>
  </si>
  <si>
    <t>0.4554319499187088</t>
  </si>
  <si>
    <t>0.19292139</t>
  </si>
  <si>
    <t>-9073.0</t>
  </si>
  <si>
    <t>0.2275777777777777</t>
  </si>
  <si>
    <t>0.8731621102741537</t>
  </si>
  <si>
    <t>0.1109554673635734</t>
  </si>
  <si>
    <t>0.15663983</t>
  </si>
  <si>
    <t>0.1674109</t>
  </si>
  <si>
    <t>-5278.0</t>
  </si>
  <si>
    <t>0.3234</t>
  </si>
  <si>
    <t>5.238971943615178</t>
  </si>
  <si>
    <t>43659.0</t>
  </si>
  <si>
    <t>0.36273912519361334</t>
  </si>
  <si>
    <t>0.3363173030922524</t>
  </si>
  <si>
    <t>0.7449322</t>
  </si>
  <si>
    <t>0.20624445</t>
  </si>
  <si>
    <t>-7196.0</t>
  </si>
  <si>
    <t>0.090758064516129</t>
  </si>
  <si>
    <t>0.3360986881519157</t>
  </si>
  <si>
    <t>0.6162337696535021</t>
  </si>
  <si>
    <t>0.71673197</t>
  </si>
  <si>
    <t>-6353.0</t>
  </si>
  <si>
    <t>0.5059333333333333</t>
  </si>
  <si>
    <t>0.7963583738874069</t>
  </si>
  <si>
    <t>68301.0</t>
  </si>
  <si>
    <t>0.7365924716719681</t>
  </si>
  <si>
    <t>0.2053414677864533</t>
  </si>
  <si>
    <t>0.032977276</t>
  </si>
  <si>
    <t>0.59626544</t>
  </si>
  <si>
    <t>-6167.0</t>
  </si>
  <si>
    <t>0.1185833333333333</t>
  </si>
  <si>
    <t>2.53860268729722</t>
  </si>
  <si>
    <t>32017.5</t>
  </si>
  <si>
    <t>0.5895128938797947</t>
  </si>
  <si>
    <t>0.3258507501491196</t>
  </si>
  <si>
    <t>0.34090644</t>
  </si>
  <si>
    <t>0.62444836</t>
  </si>
  <si>
    <t>-2697.0</t>
  </si>
  <si>
    <t>0.23288</t>
  </si>
  <si>
    <t>3.1678965401418013</t>
  </si>
  <si>
    <t>26199.0</t>
  </si>
  <si>
    <t>0.2718177697409768</t>
  </si>
  <si>
    <t>0.596676933895202</t>
  </si>
  <si>
    <t>0.4483659</t>
  </si>
  <si>
    <t>-8193.0</t>
  </si>
  <si>
    <t>0.0838648648648648</t>
  </si>
  <si>
    <t>6.793866415419325</t>
  </si>
  <si>
    <t>13963.5</t>
  </si>
  <si>
    <t>0.391501840537522</t>
  </si>
  <si>
    <t>0.5271501854978016</t>
  </si>
  <si>
    <t>0.54392964</t>
  </si>
  <si>
    <t>-6003.0</t>
  </si>
  <si>
    <t>0.1360384615384615</t>
  </si>
  <si>
    <t>1.5408003086077482</t>
  </si>
  <si>
    <t>15916.5</t>
  </si>
  <si>
    <t>0.4880019446587799</t>
  </si>
  <si>
    <t>0.4169287801329762</t>
  </si>
  <si>
    <t>0.45074728</t>
  </si>
  <si>
    <t>0.5171448</t>
  </si>
  <si>
    <t>-4519.0</t>
  </si>
  <si>
    <t>0.1541489361702127</t>
  </si>
  <si>
    <t>6.604453996372839</t>
  </si>
  <si>
    <t>32602.5</t>
  </si>
  <si>
    <t>0.4398088786223073</t>
  </si>
  <si>
    <t>0.3625859838048274</t>
  </si>
  <si>
    <t>0.5450469</t>
  </si>
  <si>
    <t>-5595.0</t>
  </si>
  <si>
    <t>0.0906</t>
  </si>
  <si>
    <t>6.150963043854096</t>
  </si>
  <si>
    <t>24462.0</t>
  </si>
  <si>
    <t>0.2996992508562421</t>
  </si>
  <si>
    <t>0.4502036632023412</t>
  </si>
  <si>
    <t>0.57605827</t>
  </si>
  <si>
    <t>-9249.0</t>
  </si>
  <si>
    <t>0.100695652173913</t>
  </si>
  <si>
    <t>3.634030907046082</t>
  </si>
  <si>
    <t>10422.0</t>
  </si>
  <si>
    <t>0.6905432466857886</t>
  </si>
  <si>
    <t>0.0860430260725387</t>
  </si>
  <si>
    <t>-3086.0</t>
  </si>
  <si>
    <t>0.161</t>
  </si>
  <si>
    <t>1.5084641275079802</t>
  </si>
  <si>
    <t>7245.0</t>
  </si>
  <si>
    <t>0.7025156254252799</t>
  </si>
  <si>
    <t>0.2508752592216803</t>
  </si>
  <si>
    <t>0.4455173</t>
  </si>
  <si>
    <t>-9142.0</t>
  </si>
  <si>
    <t>0.1181777777777777</t>
  </si>
  <si>
    <t>0.566180696545185</t>
  </si>
  <si>
    <t>0.297189044134483</t>
  </si>
  <si>
    <t>0.4432982</t>
  </si>
  <si>
    <t>-5200.0</t>
  </si>
  <si>
    <t>0.1534358974358974</t>
  </si>
  <si>
    <t>0.7146619976144898</t>
  </si>
  <si>
    <t>0.2513040839878121</t>
  </si>
  <si>
    <t>0.27216578</t>
  </si>
  <si>
    <t>-503.0</t>
  </si>
  <si>
    <t>0.336076923076923</t>
  </si>
  <si>
    <t>4.6012822456166</t>
  </si>
  <si>
    <t>19660.5</t>
  </si>
  <si>
    <t>0.6556053064703031</t>
  </si>
  <si>
    <t>0.2524490180528211</t>
  </si>
  <si>
    <t>0.49813768</t>
  </si>
  <si>
    <t>-4938.0</t>
  </si>
  <si>
    <t>0.1003653846153846</t>
  </si>
  <si>
    <t>4.469815580879399</t>
  </si>
  <si>
    <t>0.3051221514088952</t>
  </si>
  <si>
    <t>0.5362586769034242</t>
  </si>
  <si>
    <t>0.604748</t>
  </si>
  <si>
    <t>-6911.0</t>
  </si>
  <si>
    <t>0.191475</t>
  </si>
  <si>
    <t>2.4343221817980654</t>
  </si>
  <si>
    <t>34465.5</t>
  </si>
  <si>
    <t>0.6869032334354624</t>
  </si>
  <si>
    <t>0.2078951019403194</t>
  </si>
  <si>
    <t>0.11035481</t>
  </si>
  <si>
    <t>-2611.0</t>
  </si>
  <si>
    <t>0.5840217235045699</t>
  </si>
  <si>
    <t>0.0717703008159212</t>
  </si>
  <si>
    <t>0.22125591</t>
  </si>
  <si>
    <t>-13932.0</t>
  </si>
  <si>
    <t>0.2078</t>
  </si>
  <si>
    <t>8.75349584564178</t>
  </si>
  <si>
    <t>9351.0</t>
  </si>
  <si>
    <t>0.5378945498581703</t>
  </si>
  <si>
    <t>0.3106371570842878</t>
  </si>
  <si>
    <t>0.73801965</t>
  </si>
  <si>
    <t>0.13478401</t>
  </si>
  <si>
    <t>-4872.0</t>
  </si>
  <si>
    <t>0.1701851851851852</t>
  </si>
  <si>
    <t>8.125574441059458</t>
  </si>
  <si>
    <t>0.449223947604404</t>
  </si>
  <si>
    <t>0.5413219948109916</t>
  </si>
  <si>
    <t>0.7680366</t>
  </si>
  <si>
    <t>-7261.0</t>
  </si>
  <si>
    <t>0.1885681818181818</t>
  </si>
  <si>
    <t>4.45752205823815</t>
  </si>
  <si>
    <t>37336.5</t>
  </si>
  <si>
    <t>0.26429904562087636</t>
  </si>
  <si>
    <t>0.4324071721608856</t>
  </si>
  <si>
    <t>0.68666947</t>
  </si>
  <si>
    <t>-3927.0</t>
  </si>
  <si>
    <t>0.2957</t>
  </si>
  <si>
    <t>0.2672800730349811</t>
  </si>
  <si>
    <t>66532.5</t>
  </si>
  <si>
    <t>0.4922316743161237</t>
  </si>
  <si>
    <t>0.3185833600969889</t>
  </si>
  <si>
    <t>0.58674</t>
  </si>
  <si>
    <t>0.32795084</t>
  </si>
  <si>
    <t>-203.0</t>
  </si>
  <si>
    <t>0.17</t>
  </si>
  <si>
    <t>0.21940814624798602</t>
  </si>
  <si>
    <t>0.6523178910911145</t>
  </si>
  <si>
    <t>0.6643343</t>
  </si>
  <si>
    <t>-2382.0</t>
  </si>
  <si>
    <t>0.20212</t>
  </si>
  <si>
    <t>2.7837303471027752</t>
  </si>
  <si>
    <t>22738.5</t>
  </si>
  <si>
    <t>0.7622474957694618</t>
  </si>
  <si>
    <t>0.2597835656473102</t>
  </si>
  <si>
    <t>0.07596568</t>
  </si>
  <si>
    <t>0.16986968</t>
  </si>
  <si>
    <t>-5007.0</t>
  </si>
  <si>
    <t>0.0876363636363636</t>
  </si>
  <si>
    <t>2.0570353975046807</t>
  </si>
  <si>
    <t>21690.0</t>
  </si>
  <si>
    <t>0.27386727987647586</t>
  </si>
  <si>
    <t>0.5900842113736795</t>
  </si>
  <si>
    <t>0.7331881</t>
  </si>
  <si>
    <t>-3102.0</t>
  </si>
  <si>
    <t>0.3552666666666667</t>
  </si>
  <si>
    <t>2.426065291379276</t>
  </si>
  <si>
    <t>47961.0</t>
  </si>
  <si>
    <t>0.348390510805483</t>
  </si>
  <si>
    <t>0.5498959808061319</t>
  </si>
  <si>
    <t>0.6099732</t>
  </si>
  <si>
    <t>-10658.0</t>
  </si>
  <si>
    <t>0.1445555555555555</t>
  </si>
  <si>
    <t>2.34461711785523</t>
  </si>
  <si>
    <t>17563.5</t>
  </si>
  <si>
    <t>0.7386004831358561</t>
  </si>
  <si>
    <t>0.227278254867242</t>
  </si>
  <si>
    <t>0.5838198</t>
  </si>
  <si>
    <t>-2150.0</t>
  </si>
  <si>
    <t>0.2425</t>
  </si>
  <si>
    <t>9.254805804641064</t>
  </si>
  <si>
    <t>13095.0</t>
  </si>
  <si>
    <t>0.45113510673694845</t>
  </si>
  <si>
    <t>0.4554821716537361</t>
  </si>
  <si>
    <t>0.5686346</t>
  </si>
  <si>
    <t>-5465.0</t>
  </si>
  <si>
    <t>0.135023923444976</t>
  </si>
  <si>
    <t>3.5954086203865643</t>
  </si>
  <si>
    <t>12699.0</t>
  </si>
  <si>
    <t>0.4379059824925637</t>
  </si>
  <si>
    <t>0.2010073646317235</t>
  </si>
  <si>
    <t>0.6196723</t>
  </si>
  <si>
    <t>-8865.0</t>
  </si>
  <si>
    <t>0.1134857142857142</t>
  </si>
  <si>
    <t>4.755225234224025</t>
  </si>
  <si>
    <t>17874.0</t>
  </si>
  <si>
    <t>0.47854327638248806</t>
  </si>
  <si>
    <t>0.3502422146224234</t>
  </si>
  <si>
    <t>0.668355</t>
  </si>
  <si>
    <t>0.2698334651403079</t>
  </si>
  <si>
    <t>0.5876309361221593</t>
  </si>
  <si>
    <t>0.6956823</t>
  </si>
  <si>
    <t>-2413.0</t>
  </si>
  <si>
    <t>0.21536</t>
  </si>
  <si>
    <t>2.762716030388868</t>
  </si>
  <si>
    <t>48456.0</t>
  </si>
  <si>
    <t>0.26372987307413115</t>
  </si>
  <si>
    <t>0.630169071791775</t>
  </si>
  <si>
    <t>0.65358233</t>
  </si>
  <si>
    <t>-2260.0</t>
  </si>
  <si>
    <t>0.1471914893617021</t>
  </si>
  <si>
    <t>7.394295107928506</t>
  </si>
  <si>
    <t>31131.0</t>
  </si>
  <si>
    <t>0.3588103281232251</t>
  </si>
  <si>
    <t>0.5436416394001298</t>
  </si>
  <si>
    <t>0.49984333</t>
  </si>
  <si>
    <t>-1.0</t>
  </si>
  <si>
    <t>0.1951962405645123</t>
  </si>
  <si>
    <t>0.4759988798891023</t>
  </si>
  <si>
    <t>0.7056114</t>
  </si>
  <si>
    <t>-12188.0</t>
  </si>
  <si>
    <t>0.1638333333333333</t>
  </si>
  <si>
    <t>1.8065110861085865</t>
  </si>
  <si>
    <t>35388.0</t>
  </si>
  <si>
    <t>0.15742480594010763</t>
  </si>
  <si>
    <t>0.6847444559593265</t>
  </si>
  <si>
    <t>0.66636467</t>
  </si>
  <si>
    <t>-10245.0</t>
  </si>
  <si>
    <t>0.0570153846153846</t>
  </si>
  <si>
    <t>3.126688230945973</t>
  </si>
  <si>
    <t>16677.0</t>
  </si>
  <si>
    <t>0.6333570973859037</t>
  </si>
  <si>
    <t>0.2551524071760998</t>
  </si>
  <si>
    <t>0.37707952</t>
  </si>
  <si>
    <t>-7356.0</t>
  </si>
  <si>
    <t>0.1375</t>
  </si>
  <si>
    <t>12375.0</t>
  </si>
  <si>
    <t>0.8625785286326136</t>
  </si>
  <si>
    <t>0.0976940408872951</t>
  </si>
  <si>
    <t>0.1110424</t>
  </si>
  <si>
    <t>0.17736721</t>
  </si>
  <si>
    <t>-8323.0</t>
  </si>
  <si>
    <t>0.1859714285714285</t>
  </si>
  <si>
    <t>0.17796612171379853</t>
  </si>
  <si>
    <t>0.6866111627880684</t>
  </si>
  <si>
    <t>0.61273736</t>
  </si>
  <si>
    <t>-4792.0</t>
  </si>
  <si>
    <t>0.1154444444444444</t>
  </si>
  <si>
    <t>4.980631962377857</t>
  </si>
  <si>
    <t>0.7312729600313401</t>
  </si>
  <si>
    <t>0.1690891171126894</t>
  </si>
  <si>
    <t>0.44361532</t>
  </si>
  <si>
    <t>0.026662515</t>
  </si>
  <si>
    <t>-5071.0</t>
  </si>
  <si>
    <t>0.312516129032258</t>
  </si>
  <si>
    <t>6.152084230883426</t>
  </si>
  <si>
    <t>43596.0</t>
  </si>
  <si>
    <t>0.8884307189820213</t>
  </si>
  <si>
    <t>0.0931993759029172</t>
  </si>
  <si>
    <t>0.2032521</t>
  </si>
  <si>
    <t>0.060701236</t>
  </si>
  <si>
    <t>-1394.0</t>
  </si>
  <si>
    <t>0.19185</t>
  </si>
  <si>
    <t>5.258921591618671</t>
  </si>
  <si>
    <t>17266.5</t>
  </si>
  <si>
    <t>0.33771976833548206</t>
  </si>
  <si>
    <t>0.4197210936920134</t>
  </si>
  <si>
    <t>0.6594055</t>
  </si>
  <si>
    <t>0.5587229</t>
  </si>
  <si>
    <t>-10604.0</t>
  </si>
  <si>
    <t>0.2755333333333333</t>
  </si>
  <si>
    <t>3.603001346593437</t>
  </si>
  <si>
    <t>37197.0</t>
  </si>
  <si>
    <t>0.44633678320507036</t>
  </si>
  <si>
    <t>0.3763263027413489</t>
  </si>
  <si>
    <t>0.4830502</t>
  </si>
  <si>
    <t>0.6215722</t>
  </si>
  <si>
    <t>-8728.0</t>
  </si>
  <si>
    <t>0.3105666666666666</t>
  </si>
  <si>
    <t>7.99513954455684</t>
  </si>
  <si>
    <t>41926.5</t>
  </si>
  <si>
    <t>0.5616848021757697</t>
  </si>
  <si>
    <t>0.2641310796371027</t>
  </si>
  <si>
    <t>0.58499</t>
  </si>
  <si>
    <t>0.16203468</t>
  </si>
  <si>
    <t>-3029.0</t>
  </si>
  <si>
    <t>0.11</t>
  </si>
  <si>
    <t>0.5256764196798659</t>
  </si>
  <si>
    <t>0.4907252817892489</t>
  </si>
  <si>
    <t>0.37571102</t>
  </si>
  <si>
    <t>0.328679</t>
  </si>
  <si>
    <t>-2255.0</t>
  </si>
  <si>
    <t>0.2196</t>
  </si>
  <si>
    <t>4.486793850705984</t>
  </si>
  <si>
    <t>34587.0</t>
  </si>
  <si>
    <t>0.3975380752939851</t>
  </si>
  <si>
    <t>0.5619079637612268</t>
  </si>
  <si>
    <t>0.33445412</t>
  </si>
  <si>
    <t>0.6554564</t>
  </si>
  <si>
    <t>-6813.0</t>
  </si>
  <si>
    <t>0.1346285714285714</t>
  </si>
  <si>
    <t>5.441049589128544</t>
  </si>
  <si>
    <t>21204.0</t>
  </si>
  <si>
    <t>0.34942343339221915</t>
  </si>
  <si>
    <t>0.3460223516903927</t>
  </si>
  <si>
    <t>0.5954562</t>
  </si>
  <si>
    <t>0.40282252</t>
  </si>
  <si>
    <t>-9159.0</t>
  </si>
  <si>
    <t>0.1540571428571428</t>
  </si>
  <si>
    <t>7.94527935128273</t>
  </si>
  <si>
    <t>12132.0</t>
  </si>
  <si>
    <t>0.2846872468594353</t>
  </si>
  <si>
    <t>0.5771779827184583</t>
  </si>
  <si>
    <t>0.5417644</t>
  </si>
  <si>
    <t>-14244.0</t>
  </si>
  <si>
    <t>0.17485</t>
  </si>
  <si>
    <t>12.330360577349088</t>
  </si>
  <si>
    <t>31473.0</t>
  </si>
  <si>
    <t>0.5439344402345823</t>
  </si>
  <si>
    <t>0.4156448692143001</t>
  </si>
  <si>
    <t>0.1677878787878788</t>
  </si>
  <si>
    <t>0.557303523663085</t>
  </si>
  <si>
    <t>0.3188310294804729</t>
  </si>
  <si>
    <t>0.3820954</t>
  </si>
  <si>
    <t>-7712.0</t>
  </si>
  <si>
    <t>0.4189333333333333</t>
  </si>
  <si>
    <t>5.484224578873032</t>
  </si>
  <si>
    <t>56556.0</t>
  </si>
  <si>
    <t>0.2915589691156037</t>
  </si>
  <si>
    <t>0.4356448784703004</t>
  </si>
  <si>
    <t>0.5539678</t>
  </si>
  <si>
    <t>-85.0</t>
  </si>
  <si>
    <t>0.0561904761904761</t>
  </si>
  <si>
    <t>4.033985938381379</t>
  </si>
  <si>
    <t>10620.0</t>
  </si>
  <si>
    <t>0.6277037440189098</t>
  </si>
  <si>
    <t>0.2069757192319208</t>
  </si>
  <si>
    <t>0.3034651</t>
  </si>
  <si>
    <t>-12534.0</t>
  </si>
  <si>
    <t>0.14704</t>
  </si>
  <si>
    <t>3.5421482136394733</t>
  </si>
  <si>
    <t>16542.0</t>
  </si>
  <si>
    <t>0.6282164129714259</t>
  </si>
  <si>
    <t>0.4099643877654265</t>
  </si>
  <si>
    <t>0.5971924</t>
  </si>
  <si>
    <t>0.25337163</t>
  </si>
  <si>
    <t>-4752.0</t>
  </si>
  <si>
    <t>0.3981</t>
  </si>
  <si>
    <t>3.463571668204879</t>
  </si>
  <si>
    <t>17914.5</t>
  </si>
  <si>
    <t>0.3315214842309922</t>
  </si>
  <si>
    <t>0.3706009129723749</t>
  </si>
  <si>
    <t>0.5456921</t>
  </si>
  <si>
    <t>-2378.0</t>
  </si>
  <si>
    <t>0.1875</t>
  </si>
  <si>
    <t>0.6995852809742319</t>
  </si>
  <si>
    <t>0.3046589303953496</t>
  </si>
  <si>
    <t>0.49697325</t>
  </si>
  <si>
    <t>-4174.0</t>
  </si>
  <si>
    <t>0.1051111111111111</t>
  </si>
  <si>
    <t>3.1464829729480392</t>
  </si>
  <si>
    <t>21285.0</t>
  </si>
  <si>
    <t>0.26220756528848543</t>
  </si>
  <si>
    <t>0.6027042637207789</t>
  </si>
  <si>
    <t>0.57145375</t>
  </si>
  <si>
    <t>-6020.0</t>
  </si>
  <si>
    <t>0.1825</t>
  </si>
  <si>
    <t>1.8235001699941968</t>
  </si>
  <si>
    <t>8212.5</t>
  </si>
  <si>
    <t>0.7128684279120571</t>
  </si>
  <si>
    <t>0.2681845051238696</t>
  </si>
  <si>
    <t>0.25757667</t>
  </si>
  <si>
    <t>-898.0</t>
  </si>
  <si>
    <t>0.0261194029850746</t>
  </si>
  <si>
    <t>0.43216478492107085</t>
  </si>
  <si>
    <t>0.3810478737799256</t>
  </si>
  <si>
    <t>0.69409263</t>
  </si>
  <si>
    <t>0.4008252</t>
  </si>
  <si>
    <t>-4794.0</t>
  </si>
  <si>
    <t>0.1544</t>
  </si>
  <si>
    <t>5.6187976884243485</t>
  </si>
  <si>
    <t>17370.0</t>
  </si>
  <si>
    <t>0.31247293031347995</t>
  </si>
  <si>
    <t>0.3588836771531933</t>
  </si>
  <si>
    <t>-12316.0</t>
  </si>
  <si>
    <t>0.4906157172672964</t>
  </si>
  <si>
    <t>0.3287274158846299</t>
  </si>
  <si>
    <t>0.5478105</t>
  </si>
  <si>
    <t>0.40262792</t>
  </si>
  <si>
    <t>0.2626666666666666</t>
  </si>
  <si>
    <t>5.13044964836491</t>
  </si>
  <si>
    <t>19503.0</t>
  </si>
  <si>
    <t>0.3467854006468958</t>
  </si>
  <si>
    <t>0.3726741196827909</t>
  </si>
  <si>
    <t>0.6877506</t>
  </si>
  <si>
    <t>-3788.0</t>
  </si>
  <si>
    <t>0.27685</t>
  </si>
  <si>
    <t>7.942204957321297</t>
  </si>
  <si>
    <t>74749.5</t>
  </si>
  <si>
    <t>0.49277965359143655</t>
  </si>
  <si>
    <t>0.3082735670728532</t>
  </si>
  <si>
    <t>0.26531175</t>
  </si>
  <si>
    <t>-862.0</t>
  </si>
  <si>
    <t>0.31592</t>
  </si>
  <si>
    <t>1.809969769396824</t>
  </si>
  <si>
    <t>35541.0</t>
  </si>
  <si>
    <t>0.5920808934070034</t>
  </si>
  <si>
    <t>0.415460965809662</t>
  </si>
  <si>
    <t>0.007006274</t>
  </si>
  <si>
    <t>-1965.0</t>
  </si>
  <si>
    <t>0.17821875</t>
  </si>
  <si>
    <t>1.898862940649959</t>
  </si>
  <si>
    <t>25663.5</t>
  </si>
  <si>
    <t>0.5578353062426191</t>
  </si>
  <si>
    <t>0.501914711769968</t>
  </si>
  <si>
    <t>0.13342926</t>
  </si>
  <si>
    <t>0.6780436</t>
  </si>
  <si>
    <t>-2169.0</t>
  </si>
  <si>
    <t>0.2187777777777777</t>
  </si>
  <si>
    <t>3.0449571214181903</t>
  </si>
  <si>
    <t>44302.5</t>
  </si>
  <si>
    <t>0.3625962969654392</t>
  </si>
  <si>
    <t>0.3969169824517924</t>
  </si>
  <si>
    <t>0.70509785</t>
  </si>
  <si>
    <t>0.1603142857142857</t>
  </si>
  <si>
    <t>2.581800983744942</t>
  </si>
  <si>
    <t>25249.5</t>
  </si>
  <si>
    <t>0.664257979020057</t>
  </si>
  <si>
    <t>0.3540368490818087</t>
  </si>
  <si>
    <t>0.119877964</t>
  </si>
  <si>
    <t>0.59996593</t>
  </si>
  <si>
    <t>-952.0</t>
  </si>
  <si>
    <t>0.04792</t>
  </si>
  <si>
    <t>1.2401137322411326</t>
  </si>
  <si>
    <t>10782.0</t>
  </si>
  <si>
    <t>0.42524828188163877</t>
  </si>
  <si>
    <t>0.4418837175726263</t>
  </si>
  <si>
    <t>0.68543077</t>
  </si>
  <si>
    <t>-10480.0</t>
  </si>
  <si>
    <t>0.197525</t>
  </si>
  <si>
    <t>4.714320577625042</t>
  </si>
  <si>
    <t>35554.5</t>
  </si>
  <si>
    <t>0.7576392498411313</t>
  </si>
  <si>
    <t>0.3693387818999897</t>
  </si>
  <si>
    <t>0.3261941</t>
  </si>
  <si>
    <t>-389.0</t>
  </si>
  <si>
    <t>0.2114444444444444</t>
  </si>
  <si>
    <t>2.884927222912448</t>
  </si>
  <si>
    <t>34254.0</t>
  </si>
  <si>
    <t>0.4095701388374419</t>
  </si>
  <si>
    <t>0.5286618265685132</t>
  </si>
  <si>
    <t>0.6044814</t>
  </si>
  <si>
    <t>-4322.0</t>
  </si>
  <si>
    <t>0.1652156862745098</t>
  </si>
  <si>
    <t>2.0050891586311126</t>
  </si>
  <si>
    <t>18958.5</t>
  </si>
  <si>
    <t>0.2279930671838118</t>
  </si>
  <si>
    <t>0.6610113570667865</t>
  </si>
  <si>
    <t>0.7060655</t>
  </si>
  <si>
    <t>-4518.0</t>
  </si>
  <si>
    <t>0.1396285714285714</t>
  </si>
  <si>
    <t>1.915085271571337</t>
  </si>
  <si>
    <t>43983.0</t>
  </si>
  <si>
    <t>0.4417267842313764</t>
  </si>
  <si>
    <t>0.4661450182431219</t>
  </si>
  <si>
    <t>0.28665248</t>
  </si>
  <si>
    <t>0.77041614</t>
  </si>
  <si>
    <t>-4980.0</t>
  </si>
  <si>
    <t>0.1971333333333333</t>
  </si>
  <si>
    <t>2.418578838757579</t>
  </si>
  <si>
    <t>26613.0</t>
  </si>
  <si>
    <t>0.46757228308878557</t>
  </si>
  <si>
    <t>0.2840496919823252</t>
  </si>
  <si>
    <t>0.2213352</t>
  </si>
  <si>
    <t>0.6288992</t>
  </si>
  <si>
    <t>-13999.0</t>
  </si>
  <si>
    <t>0.09622</t>
  </si>
  <si>
    <t>6.158882550699585</t>
  </si>
  <si>
    <t>21649.5</t>
  </si>
  <si>
    <t>0.3303154735777337</t>
  </si>
  <si>
    <t>0.5757061576715399</t>
  </si>
  <si>
    <t>0.5954176</t>
  </si>
  <si>
    <t>-9016.0</t>
  </si>
  <si>
    <t>0.1864705882352941</t>
  </si>
  <si>
    <t>17.9529054994916</t>
  </si>
  <si>
    <t>57060.0</t>
  </si>
  <si>
    <t>0.8565807880380463</t>
  </si>
  <si>
    <t>0.1042834501087751</t>
  </si>
  <si>
    <t>0.14287253</t>
  </si>
  <si>
    <t>0.1621921</t>
  </si>
  <si>
    <t>-8045.0</t>
  </si>
  <si>
    <t>0.1169666666666666</t>
  </si>
  <si>
    <t>2.157526213274385</t>
  </si>
  <si>
    <t>15790.5</t>
  </si>
  <si>
    <t>0.3028670515197686</t>
  </si>
  <si>
    <t>0.449022163425098</t>
  </si>
  <si>
    <t>0.6120885</t>
  </si>
  <si>
    <t>-6349.0</t>
  </si>
  <si>
    <t>0.1854791666666666</t>
  </si>
  <si>
    <t>3.076612026921444</t>
  </si>
  <si>
    <t>40063.5</t>
  </si>
  <si>
    <t>0.47780252172208343</t>
  </si>
  <si>
    <t>0.3892010899334561</t>
  </si>
  <si>
    <t>0.34741822</t>
  </si>
  <si>
    <t>0.6821162</t>
  </si>
  <si>
    <t>-5248.0</t>
  </si>
  <si>
    <t>0.1855333333333333</t>
  </si>
  <si>
    <t>7.986661245484239</t>
  </si>
  <si>
    <t>25047.0</t>
  </si>
  <si>
    <t>0.516430933956124</t>
  </si>
  <si>
    <t>0.3078052042725796</t>
  </si>
  <si>
    <t>0.5901919</t>
  </si>
  <si>
    <t>-1558.0</t>
  </si>
  <si>
    <t>0.2178545454545454</t>
  </si>
  <si>
    <t>0.2990095810042836</t>
  </si>
  <si>
    <t>53919.0</t>
  </si>
  <si>
    <t>0.1882711674913474</t>
  </si>
  <si>
    <t>0.6418322730348001</t>
  </si>
  <si>
    <t>0.73231024</t>
  </si>
  <si>
    <t>-4396.0</t>
  </si>
  <si>
    <t>0.1662272727272727</t>
  </si>
  <si>
    <t>5.310182866446178</t>
  </si>
  <si>
    <t>16456.5</t>
  </si>
  <si>
    <t>0.35859404633513886</t>
  </si>
  <si>
    <t>0.2773421184352111</t>
  </si>
  <si>
    <t>0.85499966</t>
  </si>
  <si>
    <t>-93.0</t>
  </si>
  <si>
    <t>0.2639555555555555</t>
  </si>
  <si>
    <t>3.745318603056957</t>
  </si>
  <si>
    <t>53451.0</t>
  </si>
  <si>
    <t>0.47072847898291964</t>
  </si>
  <si>
    <t>0.3589930974605931</t>
  </si>
  <si>
    <t>0.7687215</t>
  </si>
  <si>
    <t>-9626.0</t>
  </si>
  <si>
    <t>0.2436666666666666</t>
  </si>
  <si>
    <t>0.4148266059560614</t>
  </si>
  <si>
    <t>0.4591739452808642</t>
  </si>
  <si>
    <t>0.42236966</t>
  </si>
  <si>
    <t>0.678745</t>
  </si>
  <si>
    <t>-5987.0</t>
  </si>
  <si>
    <t>0.1978</t>
  </si>
  <si>
    <t>2.817237696165109</t>
  </si>
  <si>
    <t>40054.5</t>
  </si>
  <si>
    <t>0.3170142381734837</t>
  </si>
  <si>
    <t>0.2324365320574675</t>
  </si>
  <si>
    <t>0.7165632</t>
  </si>
  <si>
    <t>-12043.0</t>
  </si>
  <si>
    <t>0.2799425287356322</t>
  </si>
  <si>
    <t>14.992658932298951</t>
  </si>
  <si>
    <t>109597.5</t>
  </si>
  <si>
    <t>0.5074135348535788</t>
  </si>
  <si>
    <t>0.3381987883826081</t>
  </si>
  <si>
    <t>0.6856429</t>
  </si>
  <si>
    <t>-2667.0</t>
  </si>
  <si>
    <t>0.1798428571428571</t>
  </si>
  <si>
    <t>0.51789434242</t>
  </si>
  <si>
    <t>56650.5</t>
  </si>
  <si>
    <t>0.5131557498597867</t>
  </si>
  <si>
    <t>0.4105498403778364</t>
  </si>
  <si>
    <t>0.665153</t>
  </si>
  <si>
    <t>-10085.0</t>
  </si>
  <si>
    <t>0.032975</t>
  </si>
  <si>
    <t>0.1501413900813153</t>
  </si>
  <si>
    <t>5935.5</t>
  </si>
  <si>
    <t>0.2328099001006086</t>
  </si>
  <si>
    <t>0.5257853587200403</t>
  </si>
  <si>
    <t>0.64923257</t>
  </si>
  <si>
    <t>-2911.0</t>
  </si>
  <si>
    <t>0.20084240675205625</t>
  </si>
  <si>
    <t>0.6106281506309489</t>
  </si>
  <si>
    <t>0.6681514</t>
  </si>
  <si>
    <t>-1102.0</t>
  </si>
  <si>
    <t>0.1333333333333333</t>
  </si>
  <si>
    <t>0.6673775297455448</t>
  </si>
  <si>
    <t>0.2531793829690959</t>
  </si>
  <si>
    <t>0.44005784</t>
  </si>
  <si>
    <t>0.28986526</t>
  </si>
  <si>
    <t>-610.0</t>
  </si>
  <si>
    <t>0.22396</t>
  </si>
  <si>
    <t>6.086763195458733</t>
  </si>
  <si>
    <t>50391.0</t>
  </si>
  <si>
    <t>0.38965428761086623</t>
  </si>
  <si>
    <t>0.4209328816341194</t>
  </si>
  <si>
    <t>0.6103113</t>
  </si>
  <si>
    <t>-7028.0</t>
  </si>
  <si>
    <t>0.2694</t>
  </si>
  <si>
    <t>2.615180284766372</t>
  </si>
  <si>
    <t>36369.0</t>
  </si>
  <si>
    <t>0.39753068797143</t>
  </si>
  <si>
    <t>0.4018254041251388</t>
  </si>
  <si>
    <t>0.62598556</t>
  </si>
  <si>
    <t>-2486.0</t>
  </si>
  <si>
    <t>0.1944</t>
  </si>
  <si>
    <t>1.841953513217276</t>
  </si>
  <si>
    <t>30618.0</t>
  </si>
  <si>
    <t>0.5147415401394475</t>
  </si>
  <si>
    <t>0.3106028558661504</t>
  </si>
  <si>
    <t>0.44100586</t>
  </si>
  <si>
    <t>-11232.0</t>
  </si>
  <si>
    <t>0.3856123400730042</t>
  </si>
  <si>
    <t>0.538823394590069</t>
  </si>
  <si>
    <t>0.20739956</t>
  </si>
  <si>
    <t>-3284.0</t>
  </si>
  <si>
    <t>0.21128</t>
  </si>
  <si>
    <t>2.0412361833087145</t>
  </si>
  <si>
    <t>23769.0</t>
  </si>
  <si>
    <t>0.6940539406805366</t>
  </si>
  <si>
    <t>0.1728574843887689</t>
  </si>
  <si>
    <t>0.12373532</t>
  </si>
  <si>
    <t>0.39493158</t>
  </si>
  <si>
    <t>-9883.0</t>
  </si>
  <si>
    <t>0.0950555555555555</t>
  </si>
  <si>
    <t>0.1887094926991204</t>
  </si>
  <si>
    <t>0.7040864289040467</t>
  </si>
  <si>
    <t>0.74079907</t>
  </si>
  <si>
    <t>0.6995203</t>
  </si>
  <si>
    <t>-9789.0</t>
  </si>
  <si>
    <t>0.32364</t>
  </si>
  <si>
    <t>2.994475723647993</t>
  </si>
  <si>
    <t>36409.5</t>
  </si>
  <si>
    <t>0.22913722962473554</t>
  </si>
  <si>
    <t>0.6377052635066751</t>
  </si>
  <si>
    <t>0.6784206</t>
  </si>
  <si>
    <t>-3079.0</t>
  </si>
  <si>
    <t>0.1273666666666666</t>
  </si>
  <si>
    <t>5.445652718752236</t>
  </si>
  <si>
    <t>17194.5</t>
  </si>
  <si>
    <t>0.4880302276163518</t>
  </si>
  <si>
    <t>0.3226501126937465</t>
  </si>
  <si>
    <t>0.27644068</t>
  </si>
  <si>
    <t>0.68645775</t>
  </si>
  <si>
    <t>-3522.0</t>
  </si>
  <si>
    <t>0.2984782608695652</t>
  </si>
  <si>
    <t>1.551914641886376</t>
  </si>
  <si>
    <t>30892.5</t>
  </si>
  <si>
    <t>0.49781516525720515</t>
  </si>
  <si>
    <t>0.3053482843767416</t>
  </si>
  <si>
    <t>0.43080062</t>
  </si>
  <si>
    <t>-6106.0</t>
  </si>
  <si>
    <t>0.2968333333333333</t>
  </si>
  <si>
    <t>2.64339607546078</t>
  </si>
  <si>
    <t>24043.5</t>
  </si>
  <si>
    <t>0.17553375687354994</t>
  </si>
  <si>
    <t>0.6628886035715289</t>
  </si>
  <si>
    <t>0.8463781</t>
  </si>
  <si>
    <t>0.52008736</t>
  </si>
  <si>
    <t>-9856.0</t>
  </si>
  <si>
    <t>0.41535</t>
  </si>
  <si>
    <t>3.277209566794581</t>
  </si>
  <si>
    <t>74763.0</t>
  </si>
  <si>
    <t>0.33448759632235336</t>
  </si>
  <si>
    <t>0.3767332534789307</t>
  </si>
  <si>
    <t>0.7623356</t>
  </si>
  <si>
    <t>0.3114361</t>
  </si>
  <si>
    <t>-1129.0</t>
  </si>
  <si>
    <t>0.19614</t>
  </si>
  <si>
    <t>0.7215463365638275</t>
  </si>
  <si>
    <t>44131.5</t>
  </si>
  <si>
    <t>0.25931160241792406</t>
  </si>
  <si>
    <t>0.4754635593036079</t>
  </si>
  <si>
    <t>0.7378249</t>
  </si>
  <si>
    <t>0.1578363636363636</t>
  </si>
  <si>
    <t>2.599757003028436</t>
  </si>
  <si>
    <t>39064.5</t>
  </si>
  <si>
    <t>0.32966387770272626</t>
  </si>
  <si>
    <t>0.5106388557450972</t>
  </si>
  <si>
    <t>0.5796696</t>
  </si>
  <si>
    <t>-2891.0</t>
  </si>
  <si>
    <t>0.246325</t>
  </si>
  <si>
    <t>0.7187575773648591</t>
  </si>
  <si>
    <t>44338.5</t>
  </si>
  <si>
    <t>0.8117266329656923</t>
  </si>
  <si>
    <t>0.2126657441945366</t>
  </si>
  <si>
    <t>0.39801353</t>
  </si>
  <si>
    <t>-1178.0</t>
  </si>
  <si>
    <t>0.1808888888888888</t>
  </si>
  <si>
    <t>3.3160864595632944</t>
  </si>
  <si>
    <t>21978.0</t>
  </si>
  <si>
    <t>0.6445269538851229</t>
  </si>
  <si>
    <t>0.2902264291864009</t>
  </si>
  <si>
    <t>0.6006575</t>
  </si>
  <si>
    <t>0.050950486</t>
  </si>
  <si>
    <t>-58.0</t>
  </si>
  <si>
    <t>0.1468666666666666</t>
  </si>
  <si>
    <t>8.146923849915645</t>
  </si>
  <si>
    <t>19827.0</t>
  </si>
  <si>
    <t>0.5428031935092025</t>
  </si>
  <si>
    <t>0.387275367160443</t>
  </si>
  <si>
    <t>0.28873673</t>
  </si>
  <si>
    <t>-1064.0</t>
  </si>
  <si>
    <t>0.1670666666666666</t>
  </si>
  <si>
    <t>7.02670443680582</t>
  </si>
  <si>
    <t>22554.0</t>
  </si>
  <si>
    <t>0.28178373348061797</t>
  </si>
  <si>
    <t>0.6095221404026326</t>
  </si>
  <si>
    <t>0.7349341</t>
  </si>
  <si>
    <t>-6077.0</t>
  </si>
  <si>
    <t>0.2765666666666667</t>
  </si>
  <si>
    <t>0.20420463643995254</t>
  </si>
  <si>
    <t>0.6947492996774038</t>
  </si>
  <si>
    <t>0.58037806</t>
  </si>
  <si>
    <t>-3828.0</t>
  </si>
  <si>
    <t>0.3584</t>
  </si>
  <si>
    <t>6.523404471268779</t>
  </si>
  <si>
    <t>40320.0</t>
  </si>
  <si>
    <t>0.5005586400219928</t>
  </si>
  <si>
    <t>0.2979361249652771</t>
  </si>
  <si>
    <t>0.67065173</t>
  </si>
  <si>
    <t>0.17074104</t>
  </si>
  <si>
    <t>-5029.0</t>
  </si>
  <si>
    <t>0.1830666666666666</t>
  </si>
  <si>
    <t>10.277211811432307</t>
  </si>
  <si>
    <t>37071.0</t>
  </si>
  <si>
    <t>0.28367054379205914</t>
  </si>
  <si>
    <t>0.5770986273846721</t>
  </si>
  <si>
    <t>0.7024492</t>
  </si>
  <si>
    <t>-7520.0</t>
  </si>
  <si>
    <t>0.1223166666666666</t>
  </si>
  <si>
    <t>0.2287087896593313</t>
  </si>
  <si>
    <t>0.4392996499729144</t>
  </si>
  <si>
    <t>0.7000991</t>
  </si>
  <si>
    <t>-10479.0</t>
  </si>
  <si>
    <t>0.1254137931034482</t>
  </si>
  <si>
    <t>2.1071422843475185</t>
  </si>
  <si>
    <t>0.37445302375327816</t>
  </si>
  <si>
    <t>0.40875121310283</t>
  </si>
  <si>
    <t>0.665304</t>
  </si>
  <si>
    <t>-3621.0</t>
  </si>
  <si>
    <t>0.1129333333333333</t>
  </si>
  <si>
    <t>1.5778628429607533</t>
  </si>
  <si>
    <t>7623.0</t>
  </si>
  <si>
    <t>0.32315576972567506</t>
  </si>
  <si>
    <t>0.4971750448622838</t>
  </si>
  <si>
    <t>0.5151515</t>
  </si>
  <si>
    <t>-6217.0</t>
  </si>
  <si>
    <t>0.3841827992111046</t>
  </si>
  <si>
    <t>0.2126613661768976</t>
  </si>
  <si>
    <t>0.65559965</t>
  </si>
  <si>
    <t>-8334.0</t>
  </si>
  <si>
    <t>0.21856</t>
  </si>
  <si>
    <t>16.211785382357213</t>
  </si>
  <si>
    <t>24588.0</t>
  </si>
  <si>
    <t>0.29025289432350126</t>
  </si>
  <si>
    <t>0.6013407446545457</t>
  </si>
  <si>
    <t>0.4069851</t>
  </si>
  <si>
    <t>-4364.0</t>
  </si>
  <si>
    <t>0.0723783783783783</t>
  </si>
  <si>
    <t>10.0054708468446</t>
  </si>
  <si>
    <t>6025.5</t>
  </si>
  <si>
    <t>0.41642737978595656</t>
  </si>
  <si>
    <t>0.454492713780084</t>
  </si>
  <si>
    <t>0.344155</t>
  </si>
  <si>
    <t>0.7426979</t>
  </si>
  <si>
    <t>-4644.0</t>
  </si>
  <si>
    <t>0.1474333333333333</t>
  </si>
  <si>
    <t>1.024447167603748</t>
  </si>
  <si>
    <t>19903.5</t>
  </si>
  <si>
    <t>0.5016828286096281</t>
  </si>
  <si>
    <t>0.4391263594233109</t>
  </si>
  <si>
    <t>0.5915663</t>
  </si>
  <si>
    <t>-7702.0</t>
  </si>
  <si>
    <t>0.2863179878858231</t>
  </si>
  <si>
    <t>0.5611393729688271</t>
  </si>
  <si>
    <t>0.6205841</t>
  </si>
  <si>
    <t>-1587.0</t>
  </si>
  <si>
    <t>0.2281454545454545</t>
  </si>
  <si>
    <t>1.8730048452707315</t>
  </si>
  <si>
    <t>28233.0</t>
  </si>
  <si>
    <t>0.4506845743750397</t>
  </si>
  <si>
    <t>0.312881865712463</t>
  </si>
  <si>
    <t>0.28078958</t>
  </si>
  <si>
    <t>0.65149504</t>
  </si>
  <si>
    <t>-3750.0</t>
  </si>
  <si>
    <t>0.09776</t>
  </si>
  <si>
    <t>3.2316332548520954</t>
  </si>
  <si>
    <t>10998.0</t>
  </si>
  <si>
    <t>0.5545873770974477</t>
  </si>
  <si>
    <t>0.3016943304704142</t>
  </si>
  <si>
    <t>0.47477174</t>
  </si>
  <si>
    <t>-17.0</t>
  </si>
  <si>
    <t>0.1714285714285714</t>
  </si>
  <si>
    <t>27000.0</t>
  </si>
  <si>
    <t>0.6305337451836127</t>
  </si>
  <si>
    <t>0.3834887818744339</t>
  </si>
  <si>
    <t>0.29398757</t>
  </si>
  <si>
    <t>-4976.0</t>
  </si>
  <si>
    <t>0.1925384615384615</t>
  </si>
  <si>
    <t>1.6188658411483203</t>
  </si>
  <si>
    <t>11263.5</t>
  </si>
  <si>
    <t>0.3582344789040959</t>
  </si>
  <si>
    <t>0.3896034783536992</t>
  </si>
  <si>
    <t>0.4427586</t>
  </si>
  <si>
    <t>-8034.0</t>
  </si>
  <si>
    <t>0.23785</t>
  </si>
  <si>
    <t>5.441732405982935</t>
  </si>
  <si>
    <t>21406.5</t>
  </si>
  <si>
    <t>0.3551864579030298</t>
  </si>
  <si>
    <t>0.4001578655546403</t>
  </si>
  <si>
    <t>0.5298898</t>
  </si>
  <si>
    <t>0.6428169</t>
  </si>
  <si>
    <t>-3.0</t>
  </si>
  <si>
    <t>0.1008125</t>
  </si>
  <si>
    <t>0.47627259444189873</t>
  </si>
  <si>
    <t>0.3387179653584806</t>
  </si>
  <si>
    <t>0.39588302</t>
  </si>
  <si>
    <t>-4656.0</t>
  </si>
  <si>
    <t>0.123425</t>
  </si>
  <si>
    <t>2.784093187525416</t>
  </si>
  <si>
    <t>0.6770726660270309</t>
  </si>
  <si>
    <t>0.353254918194297</t>
  </si>
  <si>
    <t>0.3852911</t>
  </si>
  <si>
    <t>-3898.0</t>
  </si>
  <si>
    <t>0.2704444444444444</t>
  </si>
  <si>
    <t>0.45766975389540826</t>
  </si>
  <si>
    <t>0.4432152466071511</t>
  </si>
  <si>
    <t>0.54115087</t>
  </si>
  <si>
    <t>-6127.0</t>
  </si>
  <si>
    <t>0.2646666666666666</t>
  </si>
  <si>
    <t>8.05806190441578</t>
  </si>
  <si>
    <t>53595.0</t>
  </si>
  <si>
    <t>0.24456920140133642</t>
  </si>
  <si>
    <t>0.5244691429908573</t>
  </si>
  <si>
    <t>0.6382704</t>
  </si>
  <si>
    <t>-7150.0</t>
  </si>
  <si>
    <t>0.1580571428571428</t>
  </si>
  <si>
    <t>3.2391149578721468</t>
  </si>
  <si>
    <t>0.678401224350868</t>
  </si>
  <si>
    <t>0.3171207056522611</t>
  </si>
  <si>
    <t>0.5269058</t>
  </si>
  <si>
    <t>-3413.0</t>
  </si>
  <si>
    <t>0.20656</t>
  </si>
  <si>
    <t>5.7157346235332085</t>
  </si>
  <si>
    <t>23238.0</t>
  </si>
  <si>
    <t>0.6495616908963415</t>
  </si>
  <si>
    <t>0.3500768752569938</t>
  </si>
  <si>
    <t>0.6063046</t>
  </si>
  <si>
    <t>-3666.0</t>
  </si>
  <si>
    <t>0.1131785714285714</t>
  </si>
  <si>
    <t>5.969012039137134</t>
  </si>
  <si>
    <t>14260.5</t>
  </si>
  <si>
    <t>0.6552367631028818</t>
  </si>
  <si>
    <t>0.2660255864598525</t>
  </si>
  <si>
    <t>0.5308179</t>
  </si>
  <si>
    <t>-9067.0</t>
  </si>
  <si>
    <t>0.0923</t>
  </si>
  <si>
    <t>0.130100530564059</t>
  </si>
  <si>
    <t>8307.0</t>
  </si>
  <si>
    <t>0.1588742763503642</t>
  </si>
  <si>
    <t>0.6965589613599793</t>
  </si>
  <si>
    <t>0.71803284</t>
  </si>
  <si>
    <t>0.6713243</t>
  </si>
  <si>
    <t>-7052.0</t>
  </si>
  <si>
    <t>0.2412888888888888</t>
  </si>
  <si>
    <t>15.621589857852667</t>
  </si>
  <si>
    <t>48861.0</t>
  </si>
  <si>
    <t>0.34623032556141137</t>
  </si>
  <si>
    <t>0.3826299805193573</t>
  </si>
  <si>
    <t>0.6790119</t>
  </si>
  <si>
    <t>0.074175</t>
  </si>
  <si>
    <t>26703.0</t>
  </si>
  <si>
    <t>0.7133580156938482</t>
  </si>
  <si>
    <t>0.224484377743579</t>
  </si>
  <si>
    <t>0.19294223</t>
  </si>
  <si>
    <t>0.47692612</t>
  </si>
  <si>
    <t>-11349.0</t>
  </si>
  <si>
    <t>0.448</t>
  </si>
  <si>
    <t>0.4914251815077511</t>
  </si>
  <si>
    <t>0.3504592206202727</t>
  </si>
  <si>
    <t>0.7110777</t>
  </si>
  <si>
    <t>-942.0</t>
  </si>
  <si>
    <t>0.1821142857142857</t>
  </si>
  <si>
    <t>3.1914411000596443</t>
  </si>
  <si>
    <t>28683.0</t>
  </si>
  <si>
    <t>0.27711130413225465</t>
  </si>
  <si>
    <t>0.6420718274859893</t>
  </si>
  <si>
    <t>0.5406544</t>
  </si>
  <si>
    <t>0.715683</t>
  </si>
  <si>
    <t>-390.0</t>
  </si>
  <si>
    <t>0.2488444444444444</t>
  </si>
  <si>
    <t>0.6622160460245411</t>
  </si>
  <si>
    <t>0.302669689421401</t>
  </si>
  <si>
    <t>0.5063759</t>
  </si>
  <si>
    <t>-42.0</t>
  </si>
  <si>
    <t>0.1984857142857143</t>
  </si>
  <si>
    <t>0.7592302293275035</t>
  </si>
  <si>
    <t>0.2753419813076635</t>
  </si>
  <si>
    <t>0.31820008</t>
  </si>
  <si>
    <t>-1291.0</t>
  </si>
  <si>
    <t>0.055</t>
  </si>
  <si>
    <t>3.3372809348847454</t>
  </si>
  <si>
    <t>17077.5</t>
  </si>
  <si>
    <t>0.18994046201189255</t>
  </si>
  <si>
    <t>0.6731722119240375</t>
  </si>
  <si>
    <t>0.68002146</t>
  </si>
  <si>
    <t>-10293.0</t>
  </si>
  <si>
    <t>0.1223454545454545</t>
  </si>
  <si>
    <t>3.176181822362123</t>
  </si>
  <si>
    <t>30280.5</t>
  </si>
  <si>
    <t>0.1839741095290318</t>
  </si>
  <si>
    <t>0.6796932599009824</t>
  </si>
  <si>
    <t>0.70018387</t>
  </si>
  <si>
    <t>0.5876296</t>
  </si>
  <si>
    <t>-1636.0</t>
  </si>
  <si>
    <t>0.033906976744186</t>
  </si>
  <si>
    <t>6.373300279770389</t>
  </si>
  <si>
    <t>6561.0</t>
  </si>
  <si>
    <t>0.4176077200817774</t>
  </si>
  <si>
    <t>0.3731498159424543</t>
  </si>
  <si>
    <t>0.5217082</t>
  </si>
  <si>
    <t>-5194.0</t>
  </si>
  <si>
    <t>0.132075</t>
  </si>
  <si>
    <t>0.5014903657018094</t>
  </si>
  <si>
    <t>0.4248946990586446</t>
  </si>
  <si>
    <t>0.50880265</t>
  </si>
  <si>
    <t>0.0</t>
  </si>
  <si>
    <t>0.2646285714285714</t>
  </si>
  <si>
    <t>0.3438472137709647</t>
  </si>
  <si>
    <t>41679.0</t>
  </si>
  <si>
    <t>0.32634940326710055</t>
  </si>
  <si>
    <t>0.595539108955923</t>
  </si>
  <si>
    <t>0.6281129</t>
  </si>
  <si>
    <t>-8819.0</t>
  </si>
  <si>
    <t>0.1734833333333333</t>
  </si>
  <si>
    <t>1.8920663505571864</t>
  </si>
  <si>
    <t>46840.5</t>
  </si>
  <si>
    <t>0.35033242476795534</t>
  </si>
  <si>
    <t>0.3746363292178946</t>
  </si>
  <si>
    <t>0.6996398</t>
  </si>
  <si>
    <t>-2908.0</t>
  </si>
  <si>
    <t>0.0865375</t>
  </si>
  <si>
    <t>5.952448547549971</t>
  </si>
  <si>
    <t>31153.5</t>
  </si>
  <si>
    <t>0.5573843665512871</t>
  </si>
  <si>
    <t>0.4035411500487961</t>
  </si>
  <si>
    <t>0.17249547</t>
  </si>
  <si>
    <t>0.63986933</t>
  </si>
  <si>
    <t>-4539.0</t>
  </si>
  <si>
    <t>0.0957818181818181</t>
  </si>
  <si>
    <t>4.073327386598868</t>
  </si>
  <si>
    <t>23706.0</t>
  </si>
  <si>
    <t>0.4855421574288061</t>
  </si>
  <si>
    <t>0.4497704224642361</t>
  </si>
  <si>
    <t>0.3433923</t>
  </si>
  <si>
    <t>-14519.0</t>
  </si>
  <si>
    <t>0.2680333333333333</t>
  </si>
  <si>
    <t>2.9382994718097466</t>
  </si>
  <si>
    <t>36184.5</t>
  </si>
  <si>
    <t>0.14740253690370841</t>
  </si>
  <si>
    <t>0.6983725736481082</t>
  </si>
  <si>
    <t>0.6195277</t>
  </si>
  <si>
    <t>0.68469006</t>
  </si>
  <si>
    <t>-9413.0</t>
  </si>
  <si>
    <t>0.1763333333333333</t>
  </si>
  <si>
    <t>3.394080688569856</t>
  </si>
  <si>
    <t>19044.0</t>
  </si>
  <si>
    <t>0.48596254519404025</t>
  </si>
  <si>
    <t>0.2990909871621571</t>
  </si>
  <si>
    <t>0.51253486</t>
  </si>
  <si>
    <t>-4110.0</t>
  </si>
  <si>
    <t>0.0819555555555555</t>
  </si>
  <si>
    <t>0.123460316453583</t>
  </si>
  <si>
    <t>16596.0</t>
  </si>
  <si>
    <t>0.35261785543048635</t>
  </si>
  <si>
    <t>0.5684851212894102</t>
  </si>
  <si>
    <t>0.31436035</t>
  </si>
  <si>
    <t>-4126.0</t>
  </si>
  <si>
    <t>0.0635</t>
  </si>
  <si>
    <t>5.622885126579602</t>
  </si>
  <si>
    <t>11430.0</t>
  </si>
  <si>
    <t>0.43513740927470296</t>
  </si>
  <si>
    <t>0.4960470323219442</t>
  </si>
  <si>
    <t>0.6585659</t>
  </si>
  <si>
    <t>-7497.0</t>
  </si>
  <si>
    <t>0.1426</t>
  </si>
  <si>
    <t>0.7460487666334892</t>
  </si>
  <si>
    <t>16042.5</t>
  </si>
  <si>
    <t>0.2094724084027985</t>
  </si>
  <si>
    <t>0.579954320630584</t>
  </si>
  <si>
    <t>0.7565915</t>
  </si>
  <si>
    <t>-2905.0</t>
  </si>
  <si>
    <t>0.5639271912439994</t>
  </si>
  <si>
    <t>0.3326179958743658</t>
  </si>
  <si>
    <t>0.70744324</t>
  </si>
  <si>
    <t>-4648.0</t>
  </si>
  <si>
    <t>0.120127659574468</t>
  </si>
  <si>
    <t>2.6757393730520995</t>
  </si>
  <si>
    <t>25407.0</t>
  </si>
  <si>
    <t>0.6148138678560542</t>
  </si>
  <si>
    <t>0.188262700916707</t>
  </si>
  <si>
    <t>0.4185502</t>
  </si>
  <si>
    <t>-8910.0</t>
  </si>
  <si>
    <t>0.14232</t>
  </si>
  <si>
    <t>6.242309880479735</t>
  </si>
  <si>
    <t>16011.0</t>
  </si>
  <si>
    <t>0.29481854915457234</t>
  </si>
  <si>
    <t>0.4124715748402928</t>
  </si>
  <si>
    <t>0.622922</t>
  </si>
  <si>
    <t>0.5770513</t>
  </si>
  <si>
    <t>-7818.0</t>
  </si>
  <si>
    <t>0.0800666666666666</t>
  </si>
  <si>
    <t>13.900342489061712</t>
  </si>
  <si>
    <t>10809.0</t>
  </si>
  <si>
    <t>0.5391241200254967</t>
  </si>
  <si>
    <t>0.2721354425457936</t>
  </si>
  <si>
    <t>0.6149248</t>
  </si>
  <si>
    <t>-2379.0</t>
  </si>
  <si>
    <t>0.134</t>
  </si>
  <si>
    <t>2.2392870662879094</t>
  </si>
  <si>
    <t>15075.0</t>
  </si>
  <si>
    <t>0.570361456115711</t>
  </si>
  <si>
    <t>0.2649378765968854</t>
  </si>
  <si>
    <t>0.3672746</t>
  </si>
  <si>
    <t>-433.0</t>
  </si>
  <si>
    <t>0.1449125</t>
  </si>
  <si>
    <t>15.562973481363018</t>
  </si>
  <si>
    <t>0.31340291468842124</t>
  </si>
  <si>
    <t>0.4413416395406958</t>
  </si>
  <si>
    <t>0.70470643</t>
  </si>
  <si>
    <t>0.57486695</t>
  </si>
  <si>
    <t>-1559.0</t>
  </si>
  <si>
    <t>0.1979833333333333</t>
  </si>
  <si>
    <t>0.4444914320036378</t>
  </si>
  <si>
    <t>0.4745005934162759</t>
  </si>
  <si>
    <t>0.5477785</t>
  </si>
  <si>
    <t>-102.0</t>
  </si>
  <si>
    <t>0.1136526315789473</t>
  </si>
  <si>
    <t>0.3070310914491724</t>
  </si>
  <si>
    <t>0.5352945466049244</t>
  </si>
  <si>
    <t>0.6887828</t>
  </si>
  <si>
    <t>-10507.0</t>
  </si>
  <si>
    <t>0.2247258064516129</t>
  </si>
  <si>
    <t>0.8118619605139488</t>
  </si>
  <si>
    <t>62698.5</t>
  </si>
  <si>
    <t>0.2040444685228555</t>
  </si>
  <si>
    <t>0.5024099047238365</t>
  </si>
  <si>
    <t>0.6589591</t>
  </si>
  <si>
    <t>-9708.0</t>
  </si>
  <si>
    <t>0.12352</t>
  </si>
  <si>
    <t>3.2092760948154275</t>
  </si>
  <si>
    <t>27792.0</t>
  </si>
  <si>
    <t>0.49691699161341724</t>
  </si>
  <si>
    <t>0.2266759245921709</t>
  </si>
  <si>
    <t>0.41457486</t>
  </si>
  <si>
    <t>-2038.0</t>
  </si>
  <si>
    <t>0.08075</t>
  </si>
  <si>
    <t>17.68335141907911</t>
  </si>
  <si>
    <t>7267.5</t>
  </si>
  <si>
    <t>0.4027341364173243</t>
  </si>
  <si>
    <t>0.3882440178484458</t>
  </si>
  <si>
    <t>0.5329849</t>
  </si>
  <si>
    <t>-4078.0</t>
  </si>
  <si>
    <t>0.1792222222222222</t>
  </si>
  <si>
    <t>29034.0</t>
  </si>
  <si>
    <t>0.5457775367916501</t>
  </si>
  <si>
    <t>0.2834444299381312</t>
  </si>
  <si>
    <t>0.4567957</t>
  </si>
  <si>
    <t>-5872.0</t>
  </si>
  <si>
    <t>0.1381</t>
  </si>
  <si>
    <t>5.831278212383761</t>
  </si>
  <si>
    <t>43501.5</t>
  </si>
  <si>
    <t>0.21472721882982462</t>
  </si>
  <si>
    <t>0.6436188206343527</t>
  </si>
  <si>
    <t>0.7767509</t>
  </si>
  <si>
    <t>-3299.0</t>
  </si>
  <si>
    <t>0.367125</t>
  </si>
  <si>
    <t>0.5664021230015222</t>
  </si>
  <si>
    <t>0.3132929608109294</t>
  </si>
  <si>
    <t>0.6345919</t>
  </si>
  <si>
    <t>-4639.0</t>
  </si>
  <si>
    <t>0.1383</t>
  </si>
  <si>
    <t>7.376845248571828</t>
  </si>
  <si>
    <t>12447.0</t>
  </si>
  <si>
    <t>0.260444956041366</t>
  </si>
  <si>
    <t>0.4305260567955715</t>
  </si>
  <si>
    <t>0.63303167</t>
  </si>
  <si>
    <t>0.62143844</t>
  </si>
  <si>
    <t>-7747.0</t>
  </si>
  <si>
    <t>0.1641875</t>
  </si>
  <si>
    <t>1.5541663579072609</t>
  </si>
  <si>
    <t>23643.0</t>
  </si>
  <si>
    <t>0.2179614100874326</t>
  </si>
  <si>
    <t>0.668021889326686</t>
  </si>
  <si>
    <t>0.60216296</t>
  </si>
  <si>
    <t>-5938.0</t>
  </si>
  <si>
    <t>0.3111428571428571</t>
  </si>
  <si>
    <t>1.9444842699775533</t>
  </si>
  <si>
    <t>39204.0</t>
  </si>
  <si>
    <t>0.18054589875964464</t>
  </si>
  <si>
    <t>0.4308994830998635</t>
  </si>
  <si>
    <t>0.62799084</t>
  </si>
  <si>
    <t>0.62820995</t>
  </si>
  <si>
    <t>-7950.0</t>
  </si>
  <si>
    <t>0.14025</t>
  </si>
  <si>
    <t>19.12465715396603</t>
  </si>
  <si>
    <t>7573.5</t>
  </si>
  <si>
    <t>0.2949489360008462</t>
  </si>
  <si>
    <t>0.4369612648189851</t>
  </si>
  <si>
    <t>0.45719182</t>
  </si>
  <si>
    <t>-10615.0</t>
  </si>
  <si>
    <t>0.3012333333333333</t>
  </si>
  <si>
    <t>1.4569002857824698</t>
  </si>
  <si>
    <t>40666.5</t>
  </si>
  <si>
    <t>0.16850609594366717</t>
  </si>
  <si>
    <t>0.6558726741058256</t>
  </si>
  <si>
    <t>0.8160924</t>
  </si>
  <si>
    <t>0.57994664</t>
  </si>
  <si>
    <t>-4983.0</t>
  </si>
  <si>
    <t>0.1297</t>
  </si>
  <si>
    <t>2.029300937618417</t>
  </si>
  <si>
    <t>46692.0</t>
  </si>
  <si>
    <t>0.17843101496154296</t>
  </si>
  <si>
    <t>0.4625542454950287</t>
  </si>
  <si>
    <t>0.7485788</t>
  </si>
  <si>
    <t>-5732.0</t>
  </si>
  <si>
    <t>0.0489285714285714</t>
  </si>
  <si>
    <t>23.513723920043205</t>
  </si>
  <si>
    <t>6165.0</t>
  </si>
  <si>
    <t>0.5861774579908104</t>
  </si>
  <si>
    <t>0.2607205452143495</t>
  </si>
  <si>
    <t>0.14375806</t>
  </si>
  <si>
    <t>0.64347434</t>
  </si>
  <si>
    <t>-3731.0</t>
  </si>
  <si>
    <t>0.3032523245508316</t>
  </si>
  <si>
    <t>0.5610803119966081</t>
  </si>
  <si>
    <t>0.49361143</t>
  </si>
  <si>
    <t>-5122.0</t>
  </si>
  <si>
    <t>0.1991142857142857</t>
  </si>
  <si>
    <t>4.511647488050263</t>
  </si>
  <si>
    <t>31360.5</t>
  </si>
  <si>
    <t>0.26845163305088393</t>
  </si>
  <si>
    <t>0.4346940103501212</t>
  </si>
  <si>
    <t>0.7352875</t>
  </si>
  <si>
    <t>-9535.0</t>
  </si>
  <si>
    <t>0.39671535569890326</t>
  </si>
  <si>
    <t>0.5368913030306026</t>
  </si>
  <si>
    <t>0.63087726</t>
  </si>
  <si>
    <t>-3894.0</t>
  </si>
  <si>
    <t>0.1653076923076923</t>
  </si>
  <si>
    <t>0.1911061499875854</t>
  </si>
  <si>
    <t>9670.5</t>
  </si>
  <si>
    <t>0.3013803131959821</t>
  </si>
  <si>
    <t>0.4240098397101085</t>
  </si>
  <si>
    <t>0.6413092</t>
  </si>
  <si>
    <t>-9359.0</t>
  </si>
  <si>
    <t>0.2643</t>
  </si>
  <si>
    <t>7.585405498036191</t>
  </si>
  <si>
    <t>23787.0</t>
  </si>
  <si>
    <t>0.13840433103261102</t>
  </si>
  <si>
    <t>0.5176112074742256</t>
  </si>
  <si>
    <t>0.75440615</t>
  </si>
  <si>
    <t>0.7545804</t>
  </si>
  <si>
    <t>-13277.0</t>
  </si>
  <si>
    <t>0.1741625</t>
  </si>
  <si>
    <t>0.9165521192053938</t>
  </si>
  <si>
    <t>0.0263620682649446</t>
  </si>
  <si>
    <t>0.06733951</t>
  </si>
  <si>
    <t>0.00618935</t>
  </si>
  <si>
    <t>0.2116333333333333</t>
  </si>
  <si>
    <t>5.523228691913262</t>
  </si>
  <si>
    <t>28570.5</t>
  </si>
  <si>
    <t>0.22702393322457368</t>
  </si>
  <si>
    <t>0.4691133036740935</t>
  </si>
  <si>
    <t>0.72373325</t>
  </si>
  <si>
    <t>-9051.0</t>
  </si>
  <si>
    <t>0.173925</t>
  </si>
  <si>
    <t>5.089701106475064</t>
  </si>
  <si>
    <t>62613.0</t>
  </si>
  <si>
    <t>0.3579529663831253</t>
  </si>
  <si>
    <t>0.4251370723446836</t>
  </si>
  <si>
    <t>0.5488129</t>
  </si>
  <si>
    <t>-4277.0</t>
  </si>
  <si>
    <t>0.2906</t>
  </si>
  <si>
    <t>0.667107951617366</t>
  </si>
  <si>
    <t>0.2399804104072091</t>
  </si>
  <si>
    <t>0.32331124</t>
  </si>
  <si>
    <t>0.37934223</t>
  </si>
  <si>
    <t>-10501.0</t>
  </si>
  <si>
    <t>0.09928125</t>
  </si>
  <si>
    <t>1.7993141473565233</t>
  </si>
  <si>
    <t>14296.5</t>
  </si>
  <si>
    <t>0.5155349526566305</t>
  </si>
  <si>
    <t>0.3181866435118242</t>
  </si>
  <si>
    <t>-12353.0</t>
  </si>
  <si>
    <t>0.14036</t>
  </si>
  <si>
    <t>0.30120211373047157</t>
  </si>
  <si>
    <t>0.469702206914635</t>
  </si>
  <si>
    <t>0.63970757</t>
  </si>
  <si>
    <t>0.44634396</t>
  </si>
  <si>
    <t>-5736.0</t>
  </si>
  <si>
    <t>0.12068</t>
  </si>
  <si>
    <t>15.124742007257996</t>
  </si>
  <si>
    <t>27153.0</t>
  </si>
  <si>
    <t>0.3315149576471609</t>
  </si>
  <si>
    <t>0.4374990083117306</t>
  </si>
  <si>
    <t>0.618966</t>
  </si>
  <si>
    <t>-3310.0</t>
  </si>
  <si>
    <t>0.21162</t>
  </si>
  <si>
    <t>0.3196361986092411</t>
  </si>
  <si>
    <t>47614.5</t>
  </si>
  <si>
    <t>0.43809462140728245</t>
  </si>
  <si>
    <t>0.4728218020957574</t>
  </si>
  <si>
    <t>0.5849723</t>
  </si>
  <si>
    <t>-3374.0</t>
  </si>
  <si>
    <t>0.084075</t>
  </si>
  <si>
    <t>0.6784262580572298</t>
  </si>
  <si>
    <t>15133.5</t>
  </si>
  <si>
    <t>0.27917785019699076</t>
  </si>
  <si>
    <t>0.4581526138733158</t>
  </si>
  <si>
    <t>0.80388504</t>
  </si>
  <si>
    <t>0.5161127</t>
  </si>
  <si>
    <t>-411.0</t>
  </si>
  <si>
    <t>0.0987058823529411</t>
  </si>
  <si>
    <t>2.4823644894277352</t>
  </si>
  <si>
    <t>37755.0</t>
  </si>
  <si>
    <t>0.41667745474874623</t>
  </si>
  <si>
    <t>0.3506867344885086</t>
  </si>
  <si>
    <t>0.63741666</t>
  </si>
  <si>
    <t>-329.0</t>
  </si>
  <si>
    <t>0.21748</t>
  </si>
  <si>
    <t>1.846564243080473</t>
  </si>
  <si>
    <t>24466.5</t>
  </si>
  <si>
    <t>0.6774278988669331</t>
  </si>
  <si>
    <t>0.3046264771354114</t>
  </si>
  <si>
    <t>0.37904367</t>
  </si>
  <si>
    <t>-5627.0</t>
  </si>
  <si>
    <t>0.23274</t>
  </si>
  <si>
    <t>1.470262920698806</t>
  </si>
  <si>
    <t>52366.5</t>
  </si>
  <si>
    <t>0.24854965436808255</t>
  </si>
  <si>
    <t>0.4790799856845392</t>
  </si>
  <si>
    <t>0.7673932</t>
  </si>
  <si>
    <t>-153.0</t>
  </si>
  <si>
    <t>0.27855</t>
  </si>
  <si>
    <t>5.515314232378232</t>
  </si>
  <si>
    <t>50139.0</t>
  </si>
  <si>
    <t>0.9266790496816402</t>
  </si>
  <si>
    <t>0.0427706159384628</t>
  </si>
  <si>
    <t>0.095692724</t>
  </si>
  <si>
    <t>0.025161617</t>
  </si>
  <si>
    <t>-5532.0</t>
  </si>
  <si>
    <t>0.35308</t>
  </si>
  <si>
    <t>0.2936017758919025</t>
  </si>
  <si>
    <t>0.616842101299349</t>
  </si>
  <si>
    <t>0.460466</t>
  </si>
  <si>
    <t>-4694.0</t>
  </si>
  <si>
    <t>0.2343</t>
  </si>
  <si>
    <t>0.21909019324074153</t>
  </si>
  <si>
    <t>0.6304001331741454</t>
  </si>
  <si>
    <t>0.7334233</t>
  </si>
  <si>
    <t>-4186.0</t>
  </si>
  <si>
    <t>0.0839523809523809</t>
  </si>
  <si>
    <t>6.084427084813315</t>
  </si>
  <si>
    <t>7933.5</t>
  </si>
  <si>
    <t>0.4661158331516192</t>
  </si>
  <si>
    <t>0.3401169845210844</t>
  </si>
  <si>
    <t>0.6501582</t>
  </si>
  <si>
    <t>-11205.0</t>
  </si>
  <si>
    <t>0.0958846153846153</t>
  </si>
  <si>
    <t>3.3105015253756864</t>
  </si>
  <si>
    <t>22437.0</t>
  </si>
  <si>
    <t>0.44313614371963567</t>
  </si>
  <si>
    <t>0.5154353846874865</t>
  </si>
  <si>
    <t>0.5383369</t>
  </si>
  <si>
    <t>-4809.0</t>
  </si>
  <si>
    <t>0.1764444444444444</t>
  </si>
  <si>
    <t>0.1471896632018632</t>
  </si>
  <si>
    <t>35730.0</t>
  </si>
  <si>
    <t>0.5764737199719794</t>
  </si>
  <si>
    <t>0.3352179607410378</t>
  </si>
  <si>
    <t>0.4313369</t>
  </si>
  <si>
    <t>-2475.0</t>
  </si>
  <si>
    <t>0.125475</t>
  </si>
  <si>
    <t>4.634686533320997</t>
  </si>
  <si>
    <t>0.5389970800207665</t>
  </si>
  <si>
    <t>0.3167084043954195</t>
  </si>
  <si>
    <t>0.17092378</t>
  </si>
  <si>
    <t>-4354.0</t>
  </si>
  <si>
    <t>0.1216</t>
  </si>
  <si>
    <t>7.403453425005613</t>
  </si>
  <si>
    <t>16416.0</t>
  </si>
  <si>
    <t>0.6894271188486668</t>
  </si>
  <si>
    <t>0.2273424330271663</t>
  </si>
  <si>
    <t>0.048925865</t>
  </si>
  <si>
    <t>0.6463088</t>
  </si>
  <si>
    <t>-7993.0</t>
  </si>
  <si>
    <t>0.5090925060308545</t>
  </si>
  <si>
    <t>0.3907692617852836</t>
  </si>
  <si>
    <t>0.44017047</t>
  </si>
  <si>
    <t>-572.0</t>
  </si>
  <si>
    <t>0.31844</t>
  </si>
  <si>
    <t>5.361242836824709</t>
  </si>
  <si>
    <t>35824.5</t>
  </si>
  <si>
    <t>0.5316265469356877</t>
  </si>
  <si>
    <t>0.3094756443116127</t>
  </si>
  <si>
    <t>0.4495074</t>
  </si>
  <si>
    <t>-5906.0</t>
  </si>
  <si>
    <t>0.1142307692307692</t>
  </si>
  <si>
    <t>1.89770631998214</t>
  </si>
  <si>
    <t>0.7109778522625965</t>
  </si>
  <si>
    <t>-10484.0</t>
  </si>
  <si>
    <t>0.36228</t>
  </si>
  <si>
    <t>1.4748676475483613</t>
  </si>
  <si>
    <t>40756.5</t>
  </si>
  <si>
    <t>0.5286797502054357</t>
  </si>
  <si>
    <t>0.3107507409295167</t>
  </si>
  <si>
    <t>0.45432106</t>
  </si>
  <si>
    <t>0.45144534</t>
  </si>
  <si>
    <t>-2801.0</t>
  </si>
  <si>
    <t>0.0951333333333333</t>
  </si>
  <si>
    <t>6.1380826058724525</t>
  </si>
  <si>
    <t>19264.5</t>
  </si>
  <si>
    <t>0.18406929004688638</t>
  </si>
  <si>
    <t>0.6759911025051776</t>
  </si>
  <si>
    <t>0.75509834</t>
  </si>
  <si>
    <t>-7283.0</t>
  </si>
  <si>
    <t>0.132</t>
  </si>
  <si>
    <t>59400.0</t>
  </si>
  <si>
    <t>0.6810292772575488</t>
  </si>
  <si>
    <t>0.41206369912802</t>
  </si>
  <si>
    <t>0.31703177</t>
  </si>
  <si>
    <t>0.40833163</t>
  </si>
  <si>
    <t>-2931.0</t>
  </si>
  <si>
    <t>0.3517</t>
  </si>
  <si>
    <t>0.5442872663732932</t>
  </si>
  <si>
    <t>0.274917345467199</t>
  </si>
  <si>
    <t>0.59935695</t>
  </si>
  <si>
    <t>-2345.0</t>
  </si>
  <si>
    <t>0.0728260869565217</t>
  </si>
  <si>
    <t>7537.5</t>
  </si>
  <si>
    <t>0.7195198647654937</t>
  </si>
  <si>
    <t>0.0182348622863093</t>
  </si>
  <si>
    <t>0.05621505</t>
  </si>
  <si>
    <t>-3011.0</t>
  </si>
  <si>
    <t>0.1883421052631579</t>
  </si>
  <si>
    <t>1.6111969763714873</t>
  </si>
  <si>
    <t>32206.5</t>
  </si>
  <si>
    <t>0.2888545082038634</t>
  </si>
  <si>
    <t>0.5945940462956547</t>
  </si>
  <si>
    <t>0.6785677</t>
  </si>
  <si>
    <t>0.5488454</t>
  </si>
  <si>
    <t>-6502.0</t>
  </si>
  <si>
    <t>0.2306521739130435</t>
  </si>
  <si>
    <t>0.4891001977719966</t>
  </si>
  <si>
    <t>23872.5</t>
  </si>
  <si>
    <t>0.2577297234786532</t>
  </si>
  <si>
    <t>0.3729156460937801</t>
  </si>
  <si>
    <t>0.7610264</t>
  </si>
  <si>
    <t>0.30112675</t>
  </si>
  <si>
    <t>-3653.0</t>
  </si>
  <si>
    <t>0.1747857142857143</t>
  </si>
  <si>
    <t>20.746764236831083</t>
  </si>
  <si>
    <t>11011.5</t>
  </si>
  <si>
    <t>0.8442012680091543</t>
  </si>
  <si>
    <t>0.1945760412709351</t>
  </si>
  <si>
    <t>0.08895492</t>
  </si>
  <si>
    <t>-6707.0</t>
  </si>
  <si>
    <t>0.1941428571428571</t>
  </si>
  <si>
    <t>0.48472552386579565</t>
  </si>
  <si>
    <t>0.3426325979087621</t>
  </si>
  <si>
    <t>0.26225838</t>
  </si>
  <si>
    <t>-8708.0</t>
  </si>
  <si>
    <t>0.4768798851647604</t>
  </si>
  <si>
    <t>0.24882821480864906</t>
  </si>
  <si>
    <t>0.4793523502691003</t>
  </si>
  <si>
    <t>0.7317955</t>
  </si>
  <si>
    <t>-3726.0</t>
  </si>
  <si>
    <t>0.1386181818181818</t>
  </si>
  <si>
    <t>4.946912943142423</t>
  </si>
  <si>
    <t>34308.0</t>
  </si>
  <si>
    <t>0.6536559797227467</t>
  </si>
  <si>
    <t>0.3524467445968214</t>
  </si>
  <si>
    <t>0.12465459</t>
  </si>
  <si>
    <t>-1909.0</t>
  </si>
  <si>
    <t>0.07105</t>
  </si>
  <si>
    <t>5.242147150698884</t>
  </si>
  <si>
    <t>12789.0</t>
  </si>
  <si>
    <t>0.23754786816479664</t>
  </si>
  <si>
    <t>0.4599110794653266</t>
  </si>
  <si>
    <t>0.76754534</t>
  </si>
  <si>
    <t>0.125</t>
  </si>
  <si>
    <t>0.4667339222798731</t>
  </si>
  <si>
    <t>0.3220525490051003</t>
  </si>
  <si>
    <t>0.5870519</t>
  </si>
  <si>
    <t>-6328.0</t>
  </si>
  <si>
    <t>0.0625</t>
  </si>
  <si>
    <t>0.4421435086783553</t>
  </si>
  <si>
    <t>0.5900716517370748</t>
  </si>
  <si>
    <t>0.71368086</t>
  </si>
  <si>
    <t>-286.0</t>
  </si>
  <si>
    <t>0.1252857142857142</t>
  </si>
  <si>
    <t>1.5441713827084813</t>
  </si>
  <si>
    <t>39465.0</t>
  </si>
  <si>
    <t>0.37671881960958303</t>
  </si>
  <si>
    <t>0.4005928536449104</t>
  </si>
  <si>
    <t>0.71642995</t>
  </si>
  <si>
    <t>-7629.0</t>
  </si>
  <si>
    <t>0.12475</t>
  </si>
  <si>
    <t>1.823163197430122</t>
  </si>
  <si>
    <t>33682.5</t>
  </si>
  <si>
    <t>0.3692996189585832</t>
  </si>
  <si>
    <t>0.404913177117583</t>
  </si>
  <si>
    <t>0.49346384</t>
  </si>
  <si>
    <t>-7512.0</t>
  </si>
  <si>
    <t>0.3363714285714286</t>
  </si>
  <si>
    <t>11.944734621092469</t>
  </si>
  <si>
    <t>52978.5</t>
  </si>
  <si>
    <t>0.6204466550123108</t>
  </si>
  <si>
    <t>0.2542784436777202</t>
  </si>
  <si>
    <t>0.34213117</t>
  </si>
  <si>
    <t>-6163.0</t>
  </si>
  <si>
    <t>0.254575</t>
  </si>
  <si>
    <t>4.4594441217255865</t>
  </si>
  <si>
    <t>45823.5</t>
  </si>
  <si>
    <t>0.6189094195041783</t>
  </si>
  <si>
    <t>0.2800665070620649</t>
  </si>
  <si>
    <t>0.3556387</t>
  </si>
  <si>
    <t>0.46687734</t>
  </si>
  <si>
    <t>-6058.0</t>
  </si>
  <si>
    <t>0.1688666666666666</t>
  </si>
  <si>
    <t>6.799525694989095</t>
  </si>
  <si>
    <t>11398.5</t>
  </si>
  <si>
    <t>0.48510314422363465</t>
  </si>
  <si>
    <t>0.5030443765385941</t>
  </si>
  <si>
    <t>-9722.0</t>
  </si>
  <si>
    <t>0.2994</t>
  </si>
  <si>
    <t>2.768272522706683</t>
  </si>
  <si>
    <t>26946.0</t>
  </si>
  <si>
    <t>0.1669117317915011</t>
  </si>
  <si>
    <t>0.6732443544210338</t>
  </si>
  <si>
    <t>0.69752634</t>
  </si>
  <si>
    <t>-1104.0</t>
  </si>
  <si>
    <t>0.5819444146585788</t>
  </si>
  <si>
    <t>0.2842811795918061</t>
  </si>
  <si>
    <t>0.3817805</t>
  </si>
  <si>
    <t>-3942.0</t>
  </si>
  <si>
    <t>0.16204</t>
  </si>
  <si>
    <t>0.20406877695480652</t>
  </si>
  <si>
    <t>0.5003016725211985</t>
  </si>
  <si>
    <t>0.7072214</t>
  </si>
  <si>
    <t>-8319.0</t>
  </si>
  <si>
    <t>0.130024776255246</t>
  </si>
  <si>
    <t>2.922342472634587</t>
  </si>
  <si>
    <t>23143.5</t>
  </si>
  <si>
    <t>0.5039709113186877</t>
  </si>
  <si>
    <t>0.3278595948968452</t>
  </si>
  <si>
    <t>0.4359825</t>
  </si>
  <si>
    <t>-3584.0</t>
  </si>
  <si>
    <t>0.13644</t>
  </si>
  <si>
    <t>3.527374641918657</t>
  </si>
  <si>
    <t>15349.5</t>
  </si>
  <si>
    <t>0.5381166851892293</t>
  </si>
  <si>
    <t>0.4330525061720038</t>
  </si>
  <si>
    <t>0.65384966</t>
  </si>
  <si>
    <t>-1158.0</t>
  </si>
  <si>
    <t>0.3505333333333333</t>
  </si>
  <si>
    <t>0.15797597046345827</t>
  </si>
  <si>
    <t>0.7232636317993371</t>
  </si>
  <si>
    <t>0.74668914</t>
  </si>
  <si>
    <t>-9691.0</t>
  </si>
  <si>
    <t>0.192</t>
  </si>
  <si>
    <t>1.6234930228638644</t>
  </si>
  <si>
    <t>56160.0</t>
  </si>
  <si>
    <t>0.23256553142329034</t>
  </si>
  <si>
    <t>0.5685049824935476</t>
  </si>
  <si>
    <t>0.71907467</t>
  </si>
  <si>
    <t>-4690.0</t>
  </si>
  <si>
    <t>0.1646833333333333</t>
  </si>
  <si>
    <t>4.187415702096375</t>
  </si>
  <si>
    <t>44464.5</t>
  </si>
  <si>
    <t>0.16941217668886555</t>
  </si>
  <si>
    <t>0.6659827034508479</t>
  </si>
  <si>
    <t>0.57796913</t>
  </si>
  <si>
    <t>0.56332743</t>
  </si>
  <si>
    <t>-1693.0</t>
  </si>
  <si>
    <t>0.1623666666666666</t>
  </si>
  <si>
    <t>21919.5</t>
  </si>
  <si>
    <t>0.12564204399294165</t>
  </si>
  <si>
    <t>0.7335390712199884</t>
  </si>
  <si>
    <t>0.5967128</t>
  </si>
  <si>
    <t>-1309.0</t>
  </si>
  <si>
    <t>0.1636363636363636</t>
  </si>
  <si>
    <t>40500.0</t>
  </si>
  <si>
    <t>0.7658023637630565</t>
  </si>
  <si>
    <t>0.253373816218323</t>
  </si>
  <si>
    <t>0.17982176</t>
  </si>
  <si>
    <t>0.33364356</t>
  </si>
  <si>
    <t>0.1561428571428571</t>
  </si>
  <si>
    <t>0.7183125728946287</t>
  </si>
  <si>
    <t>0.2486428297165961</t>
  </si>
  <si>
    <t>0.15574045</t>
  </si>
  <si>
    <t>-5115.0</t>
  </si>
  <si>
    <t>0.358</t>
  </si>
  <si>
    <t>0.6371205585090634</t>
  </si>
  <si>
    <t>27387.0</t>
  </si>
  <si>
    <t>0.5516295191089652</t>
  </si>
  <si>
    <t>0.306836265018377</t>
  </si>
  <si>
    <t>-12162.0</t>
  </si>
  <si>
    <t>0.213575</t>
  </si>
  <si>
    <t>1.7860355393922056</t>
  </si>
  <si>
    <t>38443.5</t>
  </si>
  <si>
    <t>0.6600356705299416</t>
  </si>
  <si>
    <t>0.2538035620083801</t>
  </si>
  <si>
    <t>0.17165013</t>
  </si>
  <si>
    <t>-7893.0</t>
  </si>
  <si>
    <t>0.1103333333333333</t>
  </si>
  <si>
    <t>8.534146451109304</t>
  </si>
  <si>
    <t>14895.0</t>
  </si>
  <si>
    <t>0.757233471114624</t>
  </si>
  <si>
    <t>0.2197441931214061</t>
  </si>
  <si>
    <t>0.20442262</t>
  </si>
  <si>
    <t>0.4495128</t>
  </si>
  <si>
    <t>-1735.0</t>
  </si>
  <si>
    <t>0.3681875</t>
  </si>
  <si>
    <t>0.2916801623748239</t>
  </si>
  <si>
    <t>0.5342266919671521</t>
  </si>
  <si>
    <t>0.68001676</t>
  </si>
  <si>
    <t>0.312532230112653</t>
  </si>
  <si>
    <t>0.566796357237886</t>
  </si>
  <si>
    <t>0.44121072</t>
  </si>
  <si>
    <t>-7278.0</t>
  </si>
  <si>
    <t>0.353</t>
  </si>
  <si>
    <t>5.438937394286625</t>
  </si>
  <si>
    <t>31770.0</t>
  </si>
  <si>
    <t>0.6022076842039062</t>
  </si>
  <si>
    <t>0.2909355773640416</t>
  </si>
  <si>
    <t>0.5275762</t>
  </si>
  <si>
    <t>-2360.0</t>
  </si>
  <si>
    <t>0.242</t>
  </si>
  <si>
    <t>1.1499771829354133</t>
  </si>
  <si>
    <t>32670.0</t>
  </si>
  <si>
    <t>0.12227380931820082</t>
  </si>
  <si>
    <t>0.7487628088120517</t>
  </si>
  <si>
    <t>0.6605937</t>
  </si>
  <si>
    <t>-13244.0</t>
  </si>
  <si>
    <t>0.1681470588235294</t>
  </si>
  <si>
    <t>2.11706988758722</t>
  </si>
  <si>
    <t>25726.5</t>
  </si>
  <si>
    <t>0.21170302562540053</t>
  </si>
  <si>
    <t>0.4568848508024806</t>
  </si>
  <si>
    <t>0.5010187</t>
  </si>
  <si>
    <t>-4403.0</t>
  </si>
  <si>
    <t>0.2565333333333333</t>
  </si>
  <si>
    <t>1.868482137726324</t>
  </si>
  <si>
    <t>51948.0</t>
  </si>
  <si>
    <t>0.3541222171394201</t>
  </si>
  <si>
    <t>0.5966070053539927</t>
  </si>
  <si>
    <t>0.59586006</t>
  </si>
  <si>
    <t>-7077.0</t>
  </si>
  <si>
    <t>0.1457118644067796</t>
  </si>
  <si>
    <t>2.8211127982832096</t>
  </si>
  <si>
    <t>38686.5</t>
  </si>
  <si>
    <t>0.2762620566840377</t>
  </si>
  <si>
    <t>0.4601177427347749</t>
  </si>
  <si>
    <t>0.59716535</t>
  </si>
  <si>
    <t>-2986.0</t>
  </si>
  <si>
    <t>0.13894</t>
  </si>
  <si>
    <t>0.6970956750502894</t>
  </si>
  <si>
    <t>0.2569268009247298</t>
  </si>
  <si>
    <t>0.24451639</t>
  </si>
  <si>
    <t>0.51943785</t>
  </si>
  <si>
    <t>-8288.0</t>
  </si>
  <si>
    <t>0.2075247386272247</t>
  </si>
  <si>
    <t>6.84762299246271</t>
  </si>
  <si>
    <t>26707.5</t>
  </si>
  <si>
    <t>0.5421152334416022</t>
  </si>
  <si>
    <t>0.2589407215460868</t>
  </si>
  <si>
    <t>0.20546512</t>
  </si>
  <si>
    <t>-10584.0</t>
  </si>
  <si>
    <t>0.1916470588235294</t>
  </si>
  <si>
    <t>2.3462351916581525</t>
  </si>
  <si>
    <t>14661.0</t>
  </si>
  <si>
    <t>0.5381712338745971</t>
  </si>
  <si>
    <t>0.3325696533444419</t>
  </si>
  <si>
    <t>0.54423475</t>
  </si>
  <si>
    <t>0.4184597</t>
  </si>
  <si>
    <t>-8713.0</t>
  </si>
  <si>
    <t>0.1468888888888889</t>
  </si>
  <si>
    <t>0.17616751014258253</t>
  </si>
  <si>
    <t>0.5069988037698211</t>
  </si>
  <si>
    <t>0.63447523</t>
  </si>
  <si>
    <t>-4153.0</t>
  </si>
  <si>
    <t>0.319027027027027</t>
  </si>
  <si>
    <t>15.56811382618104</t>
  </si>
  <si>
    <t>53118.0</t>
  </si>
  <si>
    <t>0.14026526442990075</t>
  </si>
  <si>
    <t>0.5115807263610841</t>
  </si>
  <si>
    <t>0.8083936</t>
  </si>
  <si>
    <t>0.67579585</t>
  </si>
  <si>
    <t>-11403.0</t>
  </si>
  <si>
    <t>0.1988</t>
  </si>
  <si>
    <t>6.620434271643649</t>
  </si>
  <si>
    <t>26838.0</t>
  </si>
  <si>
    <t>0.26458851352426177</t>
  </si>
  <si>
    <t>0.6475058758753393</t>
  </si>
  <si>
    <t>0.6682289</t>
  </si>
  <si>
    <t>-2147.0</t>
  </si>
  <si>
    <t>0.3732666666666667</t>
  </si>
  <si>
    <t>0.4749925547784838</t>
  </si>
  <si>
    <t>0.3772112689143981</t>
  </si>
  <si>
    <t>0.5481143</t>
  </si>
  <si>
    <t>-8000.0</t>
  </si>
  <si>
    <t>0.46288</t>
  </si>
  <si>
    <t>6.780697449532069</t>
  </si>
  <si>
    <t>52074.0</t>
  </si>
  <si>
    <t>0.27331661984315603</t>
  </si>
  <si>
    <t>0.5512938928661548</t>
  </si>
  <si>
    <t>0.3360615</t>
  </si>
  <si>
    <t>0.5377499</t>
  </si>
  <si>
    <t>-7274.0</t>
  </si>
  <si>
    <t>0.1383333333333333</t>
  </si>
  <si>
    <t>19.09347564465971</t>
  </si>
  <si>
    <t>20542.5</t>
  </si>
  <si>
    <t>0.3072703198451383</t>
  </si>
  <si>
    <t>0.5112169108747322</t>
  </si>
  <si>
    <t>0.6210628</t>
  </si>
  <si>
    <t>-3596.0</t>
  </si>
  <si>
    <t>0.12276</t>
  </si>
  <si>
    <t>5.7188056341743065</t>
  </si>
  <si>
    <t>27621.0</t>
  </si>
  <si>
    <t>0.3214417895235496</t>
  </si>
  <si>
    <t>0.3987933795590871</t>
  </si>
  <si>
    <t>0.575225</t>
  </si>
  <si>
    <t>0.1889555555555555</t>
  </si>
  <si>
    <t>0.256207351344935</t>
  </si>
  <si>
    <t>0.6600645735322165</t>
  </si>
  <si>
    <t>0.5149931</t>
  </si>
  <si>
    <t>0.1940857142857142</t>
  </si>
  <si>
    <t>1.851235609470847</t>
  </si>
  <si>
    <t>30568.5</t>
  </si>
  <si>
    <t>0.1466878627335775</t>
  </si>
  <si>
    <t>0.4970759974720373</t>
  </si>
  <si>
    <t>0.71896863</t>
  </si>
  <si>
    <t>-4548.0</t>
  </si>
  <si>
    <t>0.13855</t>
  </si>
  <si>
    <t>0.5703666708340336</t>
  </si>
  <si>
    <t>0.3012103947383115</t>
  </si>
  <si>
    <t>0.10262394</t>
  </si>
  <si>
    <t>-7204.0</t>
  </si>
  <si>
    <t>0.2429428571428571</t>
  </si>
  <si>
    <t>0.4133161202095267</t>
  </si>
  <si>
    <t>0.3819815916228753</t>
  </si>
  <si>
    <t>0.6687475</t>
  </si>
  <si>
    <t>-103.0</t>
  </si>
  <si>
    <t>0.11499</t>
  </si>
  <si>
    <t>2.309822321353772</t>
  </si>
  <si>
    <t>51745.5</t>
  </si>
  <si>
    <t>0.7726498938249905</t>
  </si>
  <si>
    <t>0.0936626114150674</t>
  </si>
  <si>
    <t>0.051009733</t>
  </si>
  <si>
    <t>-3035.0</t>
  </si>
  <si>
    <t>0.08</t>
  </si>
  <si>
    <t>0.6549667923883318</t>
  </si>
  <si>
    <t>0.2424870787899036</t>
  </si>
  <si>
    <t>0.23700997</t>
  </si>
  <si>
    <t>-9592.0</t>
  </si>
  <si>
    <t>0.0963469387755102</t>
  </si>
  <si>
    <t>2.1938214425792912</t>
  </si>
  <si>
    <t>21244.5</t>
  </si>
  <si>
    <t>0.49140702448456197</t>
  </si>
  <si>
    <t>0.3296389777416483</t>
  </si>
  <si>
    <t>0.14092451</t>
  </si>
  <si>
    <t>-8226.0</t>
  </si>
  <si>
    <t>0.28</t>
  </si>
  <si>
    <t>0.5349046093094609</t>
  </si>
  <si>
    <t>0.4114106253797427</t>
  </si>
  <si>
    <t>0.5639406</t>
  </si>
  <si>
    <t>-9020.0</t>
  </si>
  <si>
    <t>0.2391714285714285</t>
  </si>
  <si>
    <t>1.556365286037087</t>
  </si>
  <si>
    <t>37669.5</t>
  </si>
  <si>
    <t>0.3107782454679103</t>
  </si>
  <si>
    <t>0.4532715994684869</t>
  </si>
  <si>
    <t>0.5488508</t>
  </si>
  <si>
    <t>-4802.0</t>
  </si>
  <si>
    <t>0.20275</t>
  </si>
  <si>
    <t>0.5491544124044179</t>
  </si>
  <si>
    <t>47443.5</t>
  </si>
  <si>
    <t>0.6994639791680535</t>
  </si>
  <si>
    <t>0.179860461009054</t>
  </si>
  <si>
    <t>0.15426542</t>
  </si>
  <si>
    <t>-9569.0</t>
  </si>
  <si>
    <t>0.2672</t>
  </si>
  <si>
    <t>1.7530391856589</t>
  </si>
  <si>
    <t>30060.0</t>
  </si>
  <si>
    <t>0.20070533276981478</t>
  </si>
  <si>
    <t>0.5109216194402801</t>
  </si>
  <si>
    <t>0.7961036</t>
  </si>
  <si>
    <t>-5209.0</t>
  </si>
  <si>
    <t>0.636310644657851</t>
  </si>
  <si>
    <t>0.3554843716881706</t>
  </si>
  <si>
    <t>0.45182446</t>
  </si>
  <si>
    <t>-4000.0</t>
  </si>
  <si>
    <t>0.2784761904761905</t>
  </si>
  <si>
    <t>0.41539352805027774</t>
  </si>
  <si>
    <t>0.3497573049247758</t>
  </si>
  <si>
    <t>0.743637</t>
  </si>
  <si>
    <t>2.1181403334651794</t>
  </si>
  <si>
    <t>16200.0</t>
  </si>
  <si>
    <t>0.65738109166667</t>
  </si>
  <si>
    <t>0.2608324019278485</t>
  </si>
  <si>
    <t>0.4365065</t>
  </si>
  <si>
    <t>0.31741783</t>
  </si>
  <si>
    <t>-6416.0</t>
  </si>
  <si>
    <t>0.25655</t>
  </si>
  <si>
    <t>0.5043295592539025</t>
  </si>
  <si>
    <t>0.4268508980283153</t>
  </si>
  <si>
    <t>0.14798786</t>
  </si>
  <si>
    <t>-653.0</t>
  </si>
  <si>
    <t>0.185</t>
  </si>
  <si>
    <t>0.4149723240179574</t>
  </si>
  <si>
    <t>0.4440438543443391</t>
  </si>
  <si>
    <t>0.6090884</t>
  </si>
  <si>
    <t>-6184.0</t>
  </si>
  <si>
    <t>0.025</t>
  </si>
  <si>
    <t>0.4246879129123447</t>
  </si>
  <si>
    <t>0.5279821348069218</t>
  </si>
  <si>
    <t>0.56590235</t>
  </si>
  <si>
    <t>-1710.0</t>
  </si>
  <si>
    <t>0.1664571428571428</t>
  </si>
  <si>
    <t>0.22964863099278607</t>
  </si>
  <si>
    <t>0.5508822590819156</t>
  </si>
  <si>
    <t>0.8061493</t>
  </si>
  <si>
    <t>0.18648</t>
  </si>
  <si>
    <t>5.0755928561322605</t>
  </si>
  <si>
    <t>20979.0</t>
  </si>
  <si>
    <t>0.5950130610743429</t>
  </si>
  <si>
    <t>0.421429417048498</t>
  </si>
  <si>
    <t>0.5557177</t>
  </si>
  <si>
    <t>-6896.0</t>
  </si>
  <si>
    <t>0.122325</t>
  </si>
  <si>
    <t>8.086644367888951</t>
  </si>
  <si>
    <t>22018.5</t>
  </si>
  <si>
    <t>0.4950918756470705</t>
  </si>
  <si>
    <t>0.3147827076988764</t>
  </si>
  <si>
    <t>0.39566863</t>
  </si>
  <si>
    <t>-4869.0</t>
  </si>
  <si>
    <t>0.1152666666666666</t>
  </si>
  <si>
    <t>8.226293047087285</t>
  </si>
  <si>
    <t>38902.5</t>
  </si>
  <si>
    <t>0.2573794936630285</t>
  </si>
  <si>
    <t>0.5307610632644149</t>
  </si>
  <si>
    <t>0.58815414</t>
  </si>
  <si>
    <t>-6031.0</t>
  </si>
  <si>
    <t>0.5650294300721437</t>
  </si>
  <si>
    <t>0.293427424022925</t>
  </si>
  <si>
    <t>0.21155076</t>
  </si>
  <si>
    <t>0.6687184</t>
  </si>
  <si>
    <t>-5564.0</t>
  </si>
  <si>
    <t>0.1095</t>
  </si>
  <si>
    <t>3.635424493164807</t>
  </si>
  <si>
    <t>15768.0</t>
  </si>
  <si>
    <t>0.1647650226539413</t>
  </si>
  <si>
    <t>0.4780439818782012</t>
  </si>
  <si>
    <t>0.61654425</t>
  </si>
  <si>
    <t>-5140.0</t>
  </si>
  <si>
    <t>0.1991111111111111</t>
  </si>
  <si>
    <t>0.44094729697304513</t>
  </si>
  <si>
    <t>0.3882788359688198</t>
  </si>
  <si>
    <t>0.61421514</t>
  </si>
  <si>
    <t>-8630.0</t>
  </si>
  <si>
    <t>0.2143</t>
  </si>
  <si>
    <t>4.197108134341576</t>
  </si>
  <si>
    <t>19287.0</t>
  </si>
  <si>
    <t>0.2705335664215701</t>
  </si>
  <si>
    <t>0.3745680648387789</t>
  </si>
  <si>
    <t>0.7886808</t>
  </si>
  <si>
    <t>0.27538747</t>
  </si>
  <si>
    <t>-10318.0</t>
  </si>
  <si>
    <t>0.0641025641025641</t>
  </si>
  <si>
    <t>0.6037739910043336</t>
  </si>
  <si>
    <t>0.274230194255972</t>
  </si>
  <si>
    <t>0.22383131</t>
  </si>
  <si>
    <t>0.59584427</t>
  </si>
  <si>
    <t>-485.0</t>
  </si>
  <si>
    <t>0.10444</t>
  </si>
  <si>
    <t>2.8474080979920435</t>
  </si>
  <si>
    <t>23499.0</t>
  </si>
  <si>
    <t>0.7651455445507216</t>
  </si>
  <si>
    <t>0.1985485212202929</t>
  </si>
  <si>
    <t>0.29248747</t>
  </si>
  <si>
    <t>-10186.0</t>
  </si>
  <si>
    <t>0.2898</t>
  </si>
  <si>
    <t>0.5924570400271837</t>
  </si>
  <si>
    <t>0.2692927759804948</t>
  </si>
  <si>
    <t>0.58062303</t>
  </si>
  <si>
    <t>-2093.0</t>
  </si>
  <si>
    <t>0.3033928571428571</t>
  </si>
  <si>
    <t>3.952046525056408</t>
  </si>
  <si>
    <t>38227.5</t>
  </si>
  <si>
    <t>0.20384533489741458</t>
  </si>
  <si>
    <t>0.6251719174035426</t>
  </si>
  <si>
    <t>0.6864154</t>
  </si>
  <si>
    <t>-3304.0</t>
  </si>
  <si>
    <t>0.2324444444444444</t>
  </si>
  <si>
    <t>19.710687414046667</t>
  </si>
  <si>
    <t>28242.0</t>
  </si>
  <si>
    <t>0.39939260091114415</t>
  </si>
  <si>
    <t>0.3964720585491174</t>
  </si>
  <si>
    <t>0.69772005</t>
  </si>
  <si>
    <t>-8350.0</t>
  </si>
  <si>
    <t>0.1775</t>
  </si>
  <si>
    <t>3.1874551089236647</t>
  </si>
  <si>
    <t>14377.5</t>
  </si>
  <si>
    <t>0.6535563444397972</t>
  </si>
  <si>
    <t>0.2851599676182126</t>
  </si>
  <si>
    <t>0.17801584</t>
  </si>
  <si>
    <t>-1301.0</t>
  </si>
  <si>
    <t>0.3208153846153846</t>
  </si>
  <si>
    <t>5.17302065389873</t>
  </si>
  <si>
    <t>93838.5</t>
  </si>
  <si>
    <t>0.23738377613779538</t>
  </si>
  <si>
    <t>0.4563916182006977</t>
  </si>
  <si>
    <t>0.57488835</t>
  </si>
  <si>
    <t>-8822.0</t>
  </si>
  <si>
    <t>0.4573948235842555</t>
  </si>
  <si>
    <t>0.2152573056565919</t>
  </si>
  <si>
    <t>0.6636025</t>
  </si>
  <si>
    <t>-8661.0</t>
  </si>
  <si>
    <t>0.4314412417022507</t>
  </si>
  <si>
    <t>0.3888088599804342</t>
  </si>
  <si>
    <t>0.80026716</t>
  </si>
  <si>
    <t>-9223.0</t>
  </si>
  <si>
    <t>0.165</t>
  </si>
  <si>
    <t>2.344457700092639</t>
  </si>
  <si>
    <t>33412.5</t>
  </si>
  <si>
    <t>0.6252321103882422</t>
  </si>
  <si>
    <t>0.2812321000833555</t>
  </si>
  <si>
    <t>0.13937578</t>
  </si>
  <si>
    <t>0.7115941</t>
  </si>
  <si>
    <t>-772.0</t>
  </si>
  <si>
    <t>0.059276923076923</t>
  </si>
  <si>
    <t>5.2520850670259245</t>
  </si>
  <si>
    <t>0.5623908886916523</t>
  </si>
  <si>
    <t>0.2893312409496275</t>
  </si>
  <si>
    <t>0.13851288</t>
  </si>
  <si>
    <t>0.7375245</t>
  </si>
  <si>
    <t>-6659.0</t>
  </si>
  <si>
    <t>0.2383</t>
  </si>
  <si>
    <t>18.459392406573127</t>
  </si>
  <si>
    <t>32170.5</t>
  </si>
  <si>
    <t>0.46791173617031695</t>
  </si>
  <si>
    <t>0.349926853698786</t>
  </si>
  <si>
    <t>0.38046524</t>
  </si>
  <si>
    <t>-8434.0</t>
  </si>
  <si>
    <t>0.2886</t>
  </si>
  <si>
    <t>0.6713528281827785</t>
  </si>
  <si>
    <t>0.3631612283388846</t>
  </si>
  <si>
    <t>0.42468786</t>
  </si>
  <si>
    <t>-6002.0</t>
  </si>
  <si>
    <t>0.12144</t>
  </si>
  <si>
    <t>0.27354832032085813</t>
  </si>
  <si>
    <t>0.4279722018990094</t>
  </si>
  <si>
    <t>0.61169904</t>
  </si>
  <si>
    <t>-9305.0</t>
  </si>
  <si>
    <t>0.3197272727272727</t>
  </si>
  <si>
    <t>0.5299425306283866</t>
  </si>
  <si>
    <t>0.3320625630689321</t>
  </si>
  <si>
    <t>0.32727644</t>
  </si>
  <si>
    <t>-4999.0</t>
  </si>
  <si>
    <t>0.3302344995067162</t>
  </si>
  <si>
    <t>1.9426935794560896</t>
  </si>
  <si>
    <t>39163.5</t>
  </si>
  <si>
    <t>0.5239876355895927</t>
  </si>
  <si>
    <t>0.3111725928841122</t>
  </si>
  <si>
    <t>0.51944876</t>
  </si>
  <si>
    <t>-6531.0</t>
  </si>
  <si>
    <t>0.1144897959183673</t>
  </si>
  <si>
    <t>0.905065991676124</t>
  </si>
  <si>
    <t>25245.0</t>
  </si>
  <si>
    <t>0.10351994395108964</t>
  </si>
  <si>
    <t>0.6697020449607443</t>
  </si>
  <si>
    <t>0.5832671</t>
  </si>
  <si>
    <t>-3678.0</t>
  </si>
  <si>
    <t>0.1658</t>
  </si>
  <si>
    <t>20.02210664523034</t>
  </si>
  <si>
    <t>22383.0</t>
  </si>
  <si>
    <t>0.36389218554542485</t>
  </si>
  <si>
    <t>0.2237214758316591</t>
  </si>
  <si>
    <t>0.68969613</t>
  </si>
  <si>
    <t>-1519.0</t>
  </si>
  <si>
    <t>0.1116571428571428</t>
  </si>
  <si>
    <t>0.6923414733479571</t>
  </si>
  <si>
    <t>0.7682207688407003</t>
  </si>
  <si>
    <t>0.1869448451472004</t>
  </si>
  <si>
    <t>0.107357584</t>
  </si>
  <si>
    <t>0.1557894736842105</t>
  </si>
  <si>
    <t>0.49837313276795353</t>
  </si>
  <si>
    <t>0.3539491461584267</t>
  </si>
  <si>
    <t>0.40042087</t>
  </si>
  <si>
    <t>-3361.0</t>
  </si>
  <si>
    <t>0.233625</t>
  </si>
  <si>
    <t>2.9218723618718245</t>
  </si>
  <si>
    <t>16821.0</t>
  </si>
  <si>
    <t>0.4573333507309587</t>
  </si>
  <si>
    <t>0.4067449134758812</t>
  </si>
  <si>
    <t>0.5898481</t>
  </si>
  <si>
    <t>-4248.0</t>
  </si>
  <si>
    <t>0.1780833333333333</t>
  </si>
  <si>
    <t>1.8158375382876453</t>
  </si>
  <si>
    <t>48082.5</t>
  </si>
  <si>
    <t>0.6895045526886346</t>
  </si>
  <si>
    <t>0.2410589024458067</t>
  </si>
  <si>
    <t>0.47495168</t>
  </si>
  <si>
    <t>-9152.0</t>
  </si>
  <si>
    <t>0.2077666666666666</t>
  </si>
  <si>
    <t>2.6810148158052938</t>
  </si>
  <si>
    <t>28048.5</t>
  </si>
  <si>
    <t>0.13623027503366683</t>
  </si>
  <si>
    <t>0.6833390527710903</t>
  </si>
  <si>
    <t>0.700448</t>
  </si>
  <si>
    <t>-3790.0</t>
  </si>
  <si>
    <t>0.4929738973752784</t>
  </si>
  <si>
    <t>0.4041067941505249</t>
  </si>
  <si>
    <t>0.5481306</t>
  </si>
  <si>
    <t>-542.0</t>
  </si>
  <si>
    <t>0.1400869565217391</t>
  </si>
  <si>
    <t>6.04224315458306</t>
  </si>
  <si>
    <t>14499.0</t>
  </si>
  <si>
    <t>0.19247948413273566</t>
  </si>
  <si>
    <t>0.6712894332426219</t>
  </si>
  <si>
    <t>0.7538588</t>
  </si>
  <si>
    <t>-5832.0</t>
  </si>
  <si>
    <t>0.1440545454545454</t>
  </si>
  <si>
    <t>2.495695240849738</t>
  </si>
  <si>
    <t>35653.5</t>
  </si>
  <si>
    <t>0.321224944364051</t>
  </si>
  <si>
    <t>0.4374493265229268</t>
  </si>
  <si>
    <t>0.64278173</t>
  </si>
  <si>
    <t>-4689.0</t>
  </si>
  <si>
    <t>0.1414736842105263</t>
  </si>
  <si>
    <t>9.220872751257314</t>
  </si>
  <si>
    <t>24192.0</t>
  </si>
  <si>
    <t>0.6250286627704122</t>
  </si>
  <si>
    <t>0.242789242791667</t>
  </si>
  <si>
    <t>0.15967923</t>
  </si>
  <si>
    <t>-10975.0</t>
  </si>
  <si>
    <t>0.23852</t>
  </si>
  <si>
    <t>4.569365195684316</t>
  </si>
  <si>
    <t>26833.5</t>
  </si>
  <si>
    <t>0.46925589189585737</t>
  </si>
  <si>
    <t>0.3583662316458084</t>
  </si>
  <si>
    <t>0.6279648</t>
  </si>
  <si>
    <t>-11861.0</t>
  </si>
  <si>
    <t>0.0976</t>
  </si>
  <si>
    <t>3.5822909386149737</t>
  </si>
  <si>
    <t>15372.0</t>
  </si>
  <si>
    <t>0.43221391062980535</t>
  </si>
  <si>
    <t>0.371863877662013</t>
  </si>
  <si>
    <t>0.48248765</t>
  </si>
  <si>
    <t>-3624.0</t>
  </si>
  <si>
    <t>0.14505</t>
  </si>
  <si>
    <t>6.721820083227481</t>
  </si>
  <si>
    <t>26109.0</t>
  </si>
  <si>
    <t>0.6458411378579002</t>
  </si>
  <si>
    <t>0.2445528712852946</t>
  </si>
  <si>
    <t>0.0061693406</t>
  </si>
  <si>
    <t>-1335.0</t>
  </si>
  <si>
    <t>0.10892</t>
  </si>
  <si>
    <t>1.3742805427511715</t>
  </si>
  <si>
    <t>12253.5</t>
  </si>
  <si>
    <t>0.0968260103571334</t>
  </si>
  <si>
    <t>0.5537714645188677</t>
  </si>
  <si>
    <t>0.77866757</t>
  </si>
  <si>
    <t>-10551.0</t>
  </si>
  <si>
    <t>0.7578024821459692</t>
  </si>
  <si>
    <t>0.2375302207940432</t>
  </si>
  <si>
    <t>0.5806869</t>
  </si>
  <si>
    <t>-2280.0</t>
  </si>
  <si>
    <t>0.3893777777777777</t>
  </si>
  <si>
    <t>0.5659400167489441</t>
  </si>
  <si>
    <t>0.357193378693699</t>
  </si>
  <si>
    <t>0.5043589</t>
  </si>
  <si>
    <t>-3633.0</t>
  </si>
  <si>
    <t>0.554</t>
  </si>
  <si>
    <t>1.6118962964976502</t>
  </si>
  <si>
    <t>32409.0</t>
  </si>
  <si>
    <t>0.4497430577188551</t>
  </si>
  <si>
    <t>0.5203181279054557</t>
  </si>
  <si>
    <t>0.15008518</t>
  </si>
  <si>
    <t>0.7203319</t>
  </si>
  <si>
    <t>-5409.0</t>
  </si>
  <si>
    <t>0.07184</t>
  </si>
  <si>
    <t>0.43539016515843254</t>
  </si>
  <si>
    <t>0.318265026398646</t>
  </si>
  <si>
    <t>0.41010258</t>
  </si>
  <si>
    <t>0.52391225</t>
  </si>
  <si>
    <t>-3136.0</t>
  </si>
  <si>
    <t>0.1559102564102564</t>
  </si>
  <si>
    <t>5.499675211027255</t>
  </si>
  <si>
    <t>54724.5</t>
  </si>
  <si>
    <t>0.8111714345918156</t>
  </si>
  <si>
    <t>0.1477460708261608</t>
  </si>
  <si>
    <t>0.34252888</t>
  </si>
  <si>
    <t>0.073572285</t>
  </si>
  <si>
    <t>-3342.0</t>
  </si>
  <si>
    <t>0.1235666666666666</t>
  </si>
  <si>
    <t>1.1186364039436292</t>
  </si>
  <si>
    <t>16681.5</t>
  </si>
  <si>
    <t>0.13697022664029534</t>
  </si>
  <si>
    <t>0.7663217454493242</t>
  </si>
  <si>
    <t>0.5945587</t>
  </si>
  <si>
    <t>-10303.0</t>
  </si>
  <si>
    <t>0.1637</t>
  </si>
  <si>
    <t>2.1960270245411806</t>
  </si>
  <si>
    <t>22099.5</t>
  </si>
  <si>
    <t>0.2722068055685389</t>
  </si>
  <si>
    <t>0.4147504148111603</t>
  </si>
  <si>
    <t>0.5098683</t>
  </si>
  <si>
    <t>-10395.0</t>
  </si>
  <si>
    <t>0.21156</t>
  </si>
  <si>
    <t>0.19315309099193628</t>
  </si>
  <si>
    <t>0.7554327959527216</t>
  </si>
  <si>
    <t>0.69416165</t>
  </si>
  <si>
    <t>-4060.0</t>
  </si>
  <si>
    <t>0.2630666666666666</t>
  </si>
  <si>
    <t>2.7613330217712395</t>
  </si>
  <si>
    <t>35514.0</t>
  </si>
  <si>
    <t>0.45108819595701316</t>
  </si>
  <si>
    <t>0.4492876354175953</t>
  </si>
  <si>
    <t>0.3117926</t>
  </si>
  <si>
    <t>-5003.0</t>
  </si>
  <si>
    <t>0.0935</t>
  </si>
  <si>
    <t>5.451424373508074</t>
  </si>
  <si>
    <t>11781.0</t>
  </si>
  <si>
    <t>0.14649360178767712</t>
  </si>
  <si>
    <t>0.696579030539076</t>
  </si>
  <si>
    <t>0.6923854</t>
  </si>
  <si>
    <t>-7526.0</t>
  </si>
  <si>
    <t>0.0994857142857142</t>
  </si>
  <si>
    <t>11.267010234141228</t>
  </si>
  <si>
    <t>15669.0</t>
  </si>
  <si>
    <t>0.7603659464770104</t>
  </si>
  <si>
    <t>0.1910338290769511</t>
  </si>
  <si>
    <t>0.19240439</t>
  </si>
  <si>
    <t>-1556.0</t>
  </si>
  <si>
    <t>0.15815</t>
  </si>
  <si>
    <t>3.4952491230592075</t>
  </si>
  <si>
    <t>14233.5</t>
  </si>
  <si>
    <t>0.2428259814933237</t>
  </si>
  <si>
    <t>0.4434797786916545</t>
  </si>
  <si>
    <t>0.6337751</t>
  </si>
  <si>
    <t>-2391.0</t>
  </si>
  <si>
    <t>0.1968</t>
  </si>
  <si>
    <t>2.0827548004397123</t>
  </si>
  <si>
    <t>22140.0</t>
  </si>
  <si>
    <t>0.8043060182763206</t>
  </si>
  <si>
    <t>0.3405197657573384</t>
  </si>
  <si>
    <t>0.17312895</t>
  </si>
  <si>
    <t>-1863.0</t>
  </si>
  <si>
    <t>0.2924</t>
  </si>
  <si>
    <t>0.4852174570857283</t>
  </si>
  <si>
    <t>0.346262156547989</t>
  </si>
  <si>
    <t>0.54893744</t>
  </si>
  <si>
    <t>-958.0</t>
  </si>
  <si>
    <t>0.1013888888888888</t>
  </si>
  <si>
    <t>0.34412837580999744</t>
  </si>
  <si>
    <t>0.5761292593117008</t>
  </si>
  <si>
    <t>0.7488298</t>
  </si>
  <si>
    <t>0.134625</t>
  </si>
  <si>
    <t>24232.5</t>
  </si>
  <si>
    <t>0.4629144438747043</t>
  </si>
  <si>
    <t>0.3814702119474329</t>
  </si>
  <si>
    <t>0.37057367</t>
  </si>
  <si>
    <t>-2125.0</t>
  </si>
  <si>
    <t>0.3588813559322034</t>
  </si>
  <si>
    <t>0.1496438652894394</t>
  </si>
  <si>
    <t>47641.5</t>
  </si>
  <si>
    <t>0.356698323878273</t>
  </si>
  <si>
    <t>0.4742034753633612</t>
  </si>
  <si>
    <t>0.71710914</t>
  </si>
  <si>
    <t>0.3432</t>
  </si>
  <si>
    <t>6.623442490696219</t>
  </si>
  <si>
    <t>30888.0</t>
  </si>
  <si>
    <t>0.38460204176362894</t>
  </si>
  <si>
    <t>0.439528033909016</t>
  </si>
  <si>
    <t>0.49566582</t>
  </si>
  <si>
    <t>0.6027286</t>
  </si>
  <si>
    <t>-3416.0</t>
  </si>
  <si>
    <t>0.10425</t>
  </si>
  <si>
    <t>7.924138708770245</t>
  </si>
  <si>
    <t>28147.5</t>
  </si>
  <si>
    <t>0.30048556098377327</t>
  </si>
  <si>
    <t>0.5517245428717539</t>
  </si>
  <si>
    <t>0.57043594</t>
  </si>
  <si>
    <t>-3920.0</t>
  </si>
  <si>
    <t>0.46769498457143743</t>
  </si>
  <si>
    <t>0.4458072956078676</t>
  </si>
  <si>
    <t>0.68206877</t>
  </si>
  <si>
    <t>-2603.0</t>
  </si>
  <si>
    <t>0.119675</t>
  </si>
  <si>
    <t>1.608426753003411</t>
  </si>
  <si>
    <t>21541.5</t>
  </si>
  <si>
    <t>0.2697033775009789</t>
  </si>
  <si>
    <t>0.4923147802927528</t>
  </si>
  <si>
    <t>0.64107275</t>
  </si>
  <si>
    <t>-8140.0</t>
  </si>
  <si>
    <t>0.36975</t>
  </si>
  <si>
    <t>1.8204097363297755</t>
  </si>
  <si>
    <t>33277.5</t>
  </si>
  <si>
    <t>0.42188451257118154</t>
  </si>
  <si>
    <t>0.5316208199584188</t>
  </si>
  <si>
    <t>0.6292309</t>
  </si>
  <si>
    <t>-12420.0</t>
  </si>
  <si>
    <t>0.12368</t>
  </si>
  <si>
    <t>3.5287995537941264</t>
  </si>
  <si>
    <t>13914.0</t>
  </si>
  <si>
    <t>0.678704593958565</t>
  </si>
  <si>
    <t>0.2031435080512645</t>
  </si>
  <si>
    <t>0.087678425</t>
  </si>
  <si>
    <t>-2153.0</t>
  </si>
  <si>
    <t>0.1833333333333333</t>
  </si>
  <si>
    <t>0.1609592104956529</t>
  </si>
  <si>
    <t>0.6944738660416337</t>
  </si>
  <si>
    <t>0.5860337</t>
  </si>
  <si>
    <t>0.2275</t>
  </si>
  <si>
    <t>1.8346578859793403</t>
  </si>
  <si>
    <t>30712.5</t>
  </si>
  <si>
    <t>0.27643025566713453</t>
  </si>
  <si>
    <t>0.6453522704413404</t>
  </si>
  <si>
    <t>0.55645186</t>
  </si>
  <si>
    <t>-4139.0</t>
  </si>
  <si>
    <t>0.1034333333333333</t>
  </si>
  <si>
    <t>2.2556233504269274</t>
  </si>
  <si>
    <t>0.5133766449682644</t>
  </si>
  <si>
    <t>0.3676950324617506</t>
  </si>
  <si>
    <t>0.70491594</t>
  </si>
  <si>
    <t>-2251.0</t>
  </si>
  <si>
    <t>0.063825</t>
  </si>
  <si>
    <t>0.20499432438448367</t>
  </si>
  <si>
    <t>0.4558712389438524</t>
  </si>
  <si>
    <t>0.6314932</t>
  </si>
  <si>
    <t>-10587.0</t>
  </si>
  <si>
    <t>0.3461333333333333</t>
  </si>
  <si>
    <t>14.970708609582385</t>
  </si>
  <si>
    <t>23364.0</t>
  </si>
  <si>
    <t>0.7189743999502156</t>
  </si>
  <si>
    <t>0.0001970358693291</t>
  </si>
  <si>
    <t>0.00060742884</t>
  </si>
  <si>
    <t>-5605.0</t>
  </si>
  <si>
    <t>0.1639</t>
  </si>
  <si>
    <t>5.429536602788687</t>
  </si>
  <si>
    <t>14751.0</t>
  </si>
  <si>
    <t>0.5680511950762578</t>
  </si>
  <si>
    <t>0.4989682506213871</t>
  </si>
  <si>
    <t>0.17044613</t>
  </si>
  <si>
    <t>0.6631337</t>
  </si>
  <si>
    <t>-1100.0</t>
  </si>
  <si>
    <t>0.2011333333333333</t>
  </si>
  <si>
    <t>3.0275459574706343</t>
  </si>
  <si>
    <t>54306.0</t>
  </si>
  <si>
    <t>0.48991601131218293</t>
  </si>
  <si>
    <t>0.5248727695017497</t>
  </si>
  <si>
    <t>0.48784044</t>
  </si>
  <si>
    <t>-11749.0</t>
  </si>
  <si>
    <t>0.39696</t>
  </si>
  <si>
    <t>3.500879456739048</t>
  </si>
  <si>
    <t>44658.0</t>
  </si>
  <si>
    <t>0.22860174012784107</t>
  </si>
  <si>
    <t>0.4252640586832934</t>
  </si>
  <si>
    <t>0.50107515</t>
  </si>
  <si>
    <t>0.75234216</t>
  </si>
  <si>
    <t>0.0901333333333333</t>
  </si>
  <si>
    <t>20.14310374893473</t>
  </si>
  <si>
    <t>6084.0</t>
  </si>
  <si>
    <t>0.8523099177888565</t>
  </si>
  <si>
    <t>0.1324929879025778</t>
  </si>
  <si>
    <t>0.106841944</t>
  </si>
  <si>
    <t>0.2893299</t>
  </si>
  <si>
    <t>-1270.0</t>
  </si>
  <si>
    <t>0.1963666666666666</t>
  </si>
  <si>
    <t>0.4860783106713845</t>
  </si>
  <si>
    <t>0.3792738695953929</t>
  </si>
  <si>
    <t>0.33976278</t>
  </si>
  <si>
    <t>-4432.0</t>
  </si>
  <si>
    <t>0.2093333333333333</t>
  </si>
  <si>
    <t>0.6793558213155467</t>
  </si>
  <si>
    <t>0.2316931804630825</t>
  </si>
  <si>
    <t>0.06790159</t>
  </si>
  <si>
    <t>-4223.0</t>
  </si>
  <si>
    <t>0.3110869565217391</t>
  </si>
  <si>
    <t>2.841829283798792</t>
  </si>
  <si>
    <t>32197.5</t>
  </si>
  <si>
    <t>0.7346184147647488</t>
  </si>
  <si>
    <t>0.2355417701564615</t>
  </si>
  <si>
    <t>0.62219435</t>
  </si>
  <si>
    <t>-9781.0</t>
  </si>
  <si>
    <t>0.3411052631578947</t>
  </si>
  <si>
    <t>0.6567030332380225</t>
  </si>
  <si>
    <t>0.2705871919238031</t>
  </si>
  <si>
    <t>0.23922628</t>
  </si>
  <si>
    <t>0.5674488</t>
  </si>
  <si>
    <t>0.20088</t>
  </si>
  <si>
    <t>5.75228174740714</t>
  </si>
  <si>
    <t>22599.0</t>
  </si>
  <si>
    <t>0.46786314134556894</t>
  </si>
  <si>
    <t>0.4654210716853486</t>
  </si>
  <si>
    <t>0.66282094</t>
  </si>
  <si>
    <t>-3117.0</t>
  </si>
  <si>
    <t>0.1698</t>
  </si>
  <si>
    <t>2.996834732052056</t>
  </si>
  <si>
    <t>26743.5</t>
  </si>
  <si>
    <t>0.3890377472991193</t>
  </si>
  <si>
    <t>0.3768902284439042</t>
  </si>
  <si>
    <t>0.482575</t>
  </si>
  <si>
    <t>-451.0</t>
  </si>
  <si>
    <t>0.13836</t>
  </si>
  <si>
    <t>0.42724356664848</t>
  </si>
  <si>
    <t>0.3403993024383487</t>
  </si>
  <si>
    <t>0.25372756</t>
  </si>
  <si>
    <t>-5593.0</t>
  </si>
  <si>
    <t>0.2596</t>
  </si>
  <si>
    <t>18.92247541941874</t>
  </si>
  <si>
    <t>29205.0</t>
  </si>
  <si>
    <t>0.332590251661499</t>
  </si>
  <si>
    <t>0.5338774712781318</t>
  </si>
  <si>
    <t>0.67817724</t>
  </si>
  <si>
    <t>-2457.0</t>
  </si>
  <si>
    <t>0.13368</t>
  </si>
  <si>
    <t>1.8506623973437275</t>
  </si>
  <si>
    <t>0.3274876270368913</t>
  </si>
  <si>
    <t>0.4219913151795224</t>
  </si>
  <si>
    <t>0.72617495</t>
  </si>
  <si>
    <t>-4099.0</t>
  </si>
  <si>
    <t>0.15204</t>
  </si>
  <si>
    <t>1.7010510856940275</t>
  </si>
  <si>
    <t>34209.0</t>
  </si>
  <si>
    <t>0.4117870249570388</t>
  </si>
  <si>
    <t>0.5104746021567798</t>
  </si>
  <si>
    <t>0.52340496</t>
  </si>
  <si>
    <t>-8687.0</t>
  </si>
  <si>
    <t>0.2799259259259259</t>
  </si>
  <si>
    <t>3.19759587096764</t>
  </si>
  <si>
    <t>34011.0</t>
  </si>
  <si>
    <t>0.17522602180679936</t>
  </si>
  <si>
    <t>0.4767681257114141</t>
  </si>
  <si>
    <t>0.79344904</t>
  </si>
  <si>
    <t>0.5851369</t>
  </si>
  <si>
    <t>-13119.0</t>
  </si>
  <si>
    <t>0.2059090909090909</t>
  </si>
  <si>
    <t>5.403186100339918</t>
  </si>
  <si>
    <t>10192.5</t>
  </si>
  <si>
    <t>0.45958891127601076</t>
  </si>
  <si>
    <t>0.498470889501399</t>
  </si>
  <si>
    <t>0.13680053</t>
  </si>
  <si>
    <t>-9144.0</t>
  </si>
  <si>
    <t>0.113</t>
  </si>
  <si>
    <t>2.6277948857579725</t>
  </si>
  <si>
    <t>12712.5</t>
  </si>
  <si>
    <t>0.21842212953598694</t>
  </si>
  <si>
    <t>0.4694560659191246</t>
  </si>
  <si>
    <t>0.7012869</t>
  </si>
  <si>
    <t>-8986.0</t>
  </si>
  <si>
    <t>0.2246857142857143</t>
  </si>
  <si>
    <t>2.9033515753932537</t>
  </si>
  <si>
    <t>0.7229213196603272</t>
  </si>
  <si>
    <t>0.217952999338826</t>
  </si>
  <si>
    <t>0.43334946</t>
  </si>
  <si>
    <t>-4606.0</t>
  </si>
  <si>
    <t>0.3884</t>
  </si>
  <si>
    <t>0.7177235802645254</t>
  </si>
  <si>
    <t>0.2465480120898223</t>
  </si>
  <si>
    <t>0.2608559</t>
  </si>
  <si>
    <t>0.46922395</t>
  </si>
  <si>
    <t>-1967.0</t>
  </si>
  <si>
    <t>0.0786666666666666</t>
  </si>
  <si>
    <t>0.6093932296373556</t>
  </si>
  <si>
    <t>0.3778496213452751</t>
  </si>
  <si>
    <t>0.35424975</t>
  </si>
  <si>
    <t>-2610.0</t>
  </si>
  <si>
    <t>0.08616</t>
  </si>
  <si>
    <t>2.280824154225436</t>
  </si>
  <si>
    <t>19386.0</t>
  </si>
  <si>
    <t>0.22371370836426732</t>
  </si>
  <si>
    <t>0.4414176865541073</t>
  </si>
  <si>
    <t>0.5869353</t>
  </si>
  <si>
    <t>-20452.0</t>
  </si>
  <si>
    <t>0.1265333333333333</t>
  </si>
  <si>
    <t>5.524541344830003</t>
  </si>
  <si>
    <t>51246.0</t>
  </si>
  <si>
    <t>0.56224563909745</t>
  </si>
  <si>
    <t>0.354438378337</t>
  </si>
  <si>
    <t>0.45612836</t>
  </si>
  <si>
    <t>-8669.0</t>
  </si>
  <si>
    <t>0.55375</t>
  </si>
  <si>
    <t>2.743668085727724</t>
  </si>
  <si>
    <t>49837.5</t>
  </si>
  <si>
    <t>0.4120297550533884</t>
  </si>
  <si>
    <t>0.3895723094011118</t>
  </si>
  <si>
    <t>0.46686402</t>
  </si>
  <si>
    <t>0.6804543</t>
  </si>
  <si>
    <t>-4049.0</t>
  </si>
  <si>
    <t>0.0570333333333333</t>
  </si>
  <si>
    <t>7.302236340643287</t>
  </si>
  <si>
    <t>0.23755754360837622</t>
  </si>
  <si>
    <t>0.420774000036384</t>
  </si>
  <si>
    <t>0.6429876</t>
  </si>
  <si>
    <t>-10124.0</t>
  </si>
  <si>
    <t>0.1893333333333333</t>
  </si>
  <si>
    <t>6.7244601860445785</t>
  </si>
  <si>
    <t>25560.0</t>
  </si>
  <si>
    <t>0.31500202903068764</t>
  </si>
  <si>
    <t>0.5928533401230515</t>
  </si>
  <si>
    <t>0.5166206</t>
  </si>
  <si>
    <t>-2534.0</t>
  </si>
  <si>
    <t>0.25574</t>
  </si>
  <si>
    <t>1.4810525792484208</t>
  </si>
  <si>
    <t>57541.5</t>
  </si>
  <si>
    <t>0.18752450346109317</t>
  </si>
  <si>
    <t>0.7136059895100432</t>
  </si>
  <si>
    <t>0.7482329</t>
  </si>
  <si>
    <t>-8775.0</t>
  </si>
  <si>
    <t>0.351942952567953</t>
  </si>
  <si>
    <t>0.4161440613509307</t>
  </si>
  <si>
    <t>0.68009764</t>
  </si>
  <si>
    <t>-2552.0</t>
  </si>
  <si>
    <t>0.0857142857142857</t>
  </si>
  <si>
    <t>0.4673152528281405</t>
  </si>
  <si>
    <t>0.4439418750165337</t>
  </si>
  <si>
    <t>0.30927536</t>
  </si>
  <si>
    <t>0.7687332</t>
  </si>
  <si>
    <t>-2354.0</t>
  </si>
  <si>
    <t>0.1767142857142857</t>
  </si>
  <si>
    <t>0.9658685105146114</t>
  </si>
  <si>
    <t>22266.0</t>
  </si>
  <si>
    <t>0.2669057645734852</t>
  </si>
  <si>
    <t>0.3760262204281035</t>
  </si>
  <si>
    <t>0.40487838</t>
  </si>
  <si>
    <t>0.70780516</t>
  </si>
  <si>
    <t>-12468.0</t>
  </si>
  <si>
    <t>0.265</t>
  </si>
  <si>
    <t>19.916048564726484</t>
  </si>
  <si>
    <t>23850.0</t>
  </si>
  <si>
    <t>0.5561818022828445</t>
  </si>
  <si>
    <t>0.3081015423508915</t>
  </si>
  <si>
    <t>0.33705047</t>
  </si>
  <si>
    <t>-6350.0</t>
  </si>
  <si>
    <t>0.0676363636363636</t>
  </si>
  <si>
    <t>5.154419133325083</t>
  </si>
  <si>
    <t>10044.0</t>
  </si>
  <si>
    <t>0.3148769308224762</t>
  </si>
  <si>
    <t>0.4541009414574103</t>
  </si>
  <si>
    <t>0.70161664</t>
  </si>
  <si>
    <t>-6560.0</t>
  </si>
  <si>
    <t>0.23392</t>
  </si>
  <si>
    <t>0.42199577318444703</t>
  </si>
  <si>
    <t>0.3352116831902863</t>
  </si>
  <si>
    <t>0.17764817</t>
  </si>
  <si>
    <t>-6005.0</t>
  </si>
  <si>
    <t>0.2040384615384615</t>
  </si>
  <si>
    <t>13.911280549916397</t>
  </si>
  <si>
    <t>0.49509369142975984</t>
  </si>
  <si>
    <t>0.3337385575242095</t>
  </si>
  <si>
    <t>0.27757025</t>
  </si>
  <si>
    <t>-5610.0</t>
  </si>
  <si>
    <t>0.1333043478260869</t>
  </si>
  <si>
    <t>0.1429315036841183</t>
  </si>
  <si>
    <t>27594.0</t>
  </si>
  <si>
    <t>0.1967609481059246</t>
  </si>
  <si>
    <t>0.5835823736368739</t>
  </si>
  <si>
    <t>0.6530326</t>
  </si>
  <si>
    <t>-4021.0</t>
  </si>
  <si>
    <t>0.10938</t>
  </si>
  <si>
    <t>19.914107299959948</t>
  </si>
  <si>
    <t>24610.5</t>
  </si>
  <si>
    <t>0.7261671840243681</t>
  </si>
  <si>
    <t>0.2339561573909251</t>
  </si>
  <si>
    <t>-4490.0</t>
  </si>
  <si>
    <t>0.1387142857142857</t>
  </si>
  <si>
    <t>21847.5</t>
  </si>
  <si>
    <t>0.5352446134969847</t>
  </si>
  <si>
    <t>0.4821945139551243</t>
  </si>
  <si>
    <t>0.6309129</t>
  </si>
  <si>
    <t>-1028.0</t>
  </si>
  <si>
    <t>0.2231395348837209</t>
  </si>
  <si>
    <t>1.8469862410156248</t>
  </si>
  <si>
    <t>43177.5</t>
  </si>
  <si>
    <t>0.6055087625753057</t>
  </si>
  <si>
    <t>0.2433707977325572</t>
  </si>
  <si>
    <t>0.119644284</t>
  </si>
  <si>
    <t>-7881.0</t>
  </si>
  <si>
    <t>0.22105</t>
  </si>
  <si>
    <t>1.5342064087895624</t>
  </si>
  <si>
    <t>19894.5</t>
  </si>
  <si>
    <t>0.27445128813706543</t>
  </si>
  <si>
    <t>0.456129698864344</t>
  </si>
  <si>
    <t>0.7421816</t>
  </si>
  <si>
    <t>0.57867295</t>
  </si>
  <si>
    <t>-6525.0</t>
  </si>
  <si>
    <t>0.21653125</t>
  </si>
  <si>
    <t>1.838282299422489</t>
  </si>
  <si>
    <t>31180.5</t>
  </si>
  <si>
    <t>0.35712080959390785</t>
  </si>
  <si>
    <t>0.6002341240789802</t>
  </si>
  <si>
    <t>0.57121813</t>
  </si>
  <si>
    <t>-7961.0</t>
  </si>
  <si>
    <t>0.09692</t>
  </si>
  <si>
    <t>3.1821297950472616</t>
  </si>
  <si>
    <t>21807.0</t>
  </si>
  <si>
    <t>0.5207963481517472</t>
  </si>
  <si>
    <t>0.3350732535341282</t>
  </si>
  <si>
    <t>0.34222963</t>
  </si>
  <si>
    <t>-1829.0</t>
  </si>
  <si>
    <t>0.169825</t>
  </si>
  <si>
    <t>0.37964255863348456</t>
  </si>
  <si>
    <t>0.4005456728021856</t>
  </si>
  <si>
    <t>0.4978042</t>
  </si>
  <si>
    <t>-6876.0</t>
  </si>
  <si>
    <t>0.244</t>
  </si>
  <si>
    <t>3.949753292952352</t>
  </si>
  <si>
    <t>38430.0</t>
  </si>
  <si>
    <t>0.26570812348784695</t>
  </si>
  <si>
    <t>0.5723661396503142</t>
  </si>
  <si>
    <t>0.7298597</t>
  </si>
  <si>
    <t>-631.0</t>
  </si>
  <si>
    <t>0.2458</t>
  </si>
  <si>
    <t>0.1493941872895421</t>
  </si>
  <si>
    <t>49774.5</t>
  </si>
  <si>
    <t>0.28732717543105346</t>
  </si>
  <si>
    <t>0.441431794602204</t>
  </si>
  <si>
    <t>0.5287697</t>
  </si>
  <si>
    <t>-6443.0</t>
  </si>
  <si>
    <t>0.1885090909090909</t>
  </si>
  <si>
    <t>2.762365199158534</t>
  </si>
  <si>
    <t>46656.0</t>
  </si>
  <si>
    <t>0.5273631042371862</t>
  </si>
  <si>
    <t>0.3418772576863482</t>
  </si>
  <si>
    <t>0.37233368</t>
  </si>
  <si>
    <t>0.63881546</t>
  </si>
  <si>
    <t>-823.0</t>
  </si>
  <si>
    <t>0.11578</t>
  </si>
  <si>
    <t>3.2915090857940754</t>
  </si>
  <si>
    <t>26050.5</t>
  </si>
  <si>
    <t>0.8460869365973797</t>
  </si>
  <si>
    <t>0.1665288170326442</t>
  </si>
  <si>
    <t>0.43296167</t>
  </si>
  <si>
    <t>0.030647876</t>
  </si>
  <si>
    <t>-7223.0</t>
  </si>
  <si>
    <t>0.507</t>
  </si>
  <si>
    <t>4.25540052820943</t>
  </si>
  <si>
    <t>45630.0</t>
  </si>
  <si>
    <t>0.2974347070129546</t>
  </si>
  <si>
    <t>0.4657865513253824</t>
  </si>
  <si>
    <t>0.68465227</t>
  </si>
  <si>
    <t>-212.0</t>
  </si>
  <si>
    <t>0.15235</t>
  </si>
  <si>
    <t>6.02875662298703</t>
  </si>
  <si>
    <t>27423.0</t>
  </si>
  <si>
    <t>0.6290676377729935</t>
  </si>
  <si>
    <t>0.42506562767392</t>
  </si>
  <si>
    <t>0.36227724</t>
  </si>
  <si>
    <t>0.29672733</t>
  </si>
  <si>
    <t>-252.0</t>
  </si>
  <si>
    <t>0.1285813953488372</t>
  </si>
  <si>
    <t>3.10354059337088</t>
  </si>
  <si>
    <t>24880.5</t>
  </si>
  <si>
    <t>0.43578318916704706</t>
  </si>
  <si>
    <t>0.3882560448623773</t>
  </si>
  <si>
    <t>0.76474404</t>
  </si>
  <si>
    <t>0.112</t>
  </si>
  <si>
    <t>0.3496480776496945</t>
  </si>
  <si>
    <t>0.5571636691552623</t>
  </si>
  <si>
    <t>0.6743089</t>
  </si>
  <si>
    <t>-6285.0</t>
  </si>
  <si>
    <t>0.12865</t>
  </si>
  <si>
    <t>1.5565411951107944</t>
  </si>
  <si>
    <t>23157.0</t>
  </si>
  <si>
    <t>0.3991527986126708</t>
  </si>
  <si>
    <t>0.4086093850587333</t>
  </si>
  <si>
    <t>0.56703544</t>
  </si>
  <si>
    <t>-9409.0</t>
  </si>
  <si>
    <t>0.3697647058823529</t>
  </si>
  <si>
    <t>2.0744323074349147</t>
  </si>
  <si>
    <t>28287.0</t>
  </si>
  <si>
    <t>0.35908196290389577</t>
  </si>
  <si>
    <t>0.563883424241173</t>
  </si>
  <si>
    <t>0.57681113</t>
  </si>
  <si>
    <t>-755.0</t>
  </si>
  <si>
    <t>0.04708</t>
  </si>
  <si>
    <t>5296.5</t>
  </si>
  <si>
    <t>0.6695550206604441</t>
  </si>
  <si>
    <t>0.255495837421186</t>
  </si>
  <si>
    <t>0.4311918</t>
  </si>
  <si>
    <t>0.30689174</t>
  </si>
  <si>
    <t>-606.0</t>
  </si>
  <si>
    <t>0.2493555555555555</t>
  </si>
  <si>
    <t>2.733901478636125</t>
  </si>
  <si>
    <t>50494.5</t>
  </si>
  <si>
    <t>0.6706816542919977</t>
  </si>
  <si>
    <t>0.3513266179097873</t>
  </si>
  <si>
    <t>0.15380259</t>
  </si>
  <si>
    <t>0.5814694</t>
  </si>
  <si>
    <t>-381.0</t>
  </si>
  <si>
    <t>0.1138222222222222</t>
  </si>
  <si>
    <t>3.080677096961315</t>
  </si>
  <si>
    <t>23049.0</t>
  </si>
  <si>
    <t>0.8691306194417054</t>
  </si>
  <si>
    <t>0.131458251435607</t>
  </si>
  <si>
    <t>0.06003538</t>
  </si>
  <si>
    <t>0.2623303</t>
  </si>
  <si>
    <t>-2411.0</t>
  </si>
  <si>
    <t>0.40648084756071656</t>
  </si>
  <si>
    <t>0.4995399370704221</t>
  </si>
  <si>
    <t>0.5118918</t>
  </si>
  <si>
    <t>0.5584263</t>
  </si>
  <si>
    <t>-4814.0</t>
  </si>
  <si>
    <t>0.1542333333333333</t>
  </si>
  <si>
    <t>3.629330153758148</t>
  </si>
  <si>
    <t>20821.5</t>
  </si>
  <si>
    <t>0.2905777746432521</t>
  </si>
  <si>
    <t>0.4306211666259603</t>
  </si>
  <si>
    <t>0.66750616</t>
  </si>
  <si>
    <t>-1119.0</t>
  </si>
  <si>
    <t>0.18411695311309248</t>
  </si>
  <si>
    <t>0.4758731194548671</t>
  </si>
  <si>
    <t>0.61852753</t>
  </si>
  <si>
    <t>-5489.0</t>
  </si>
  <si>
    <t>0.1551964285714285</t>
  </si>
  <si>
    <t>0.3426401109044352</t>
  </si>
  <si>
    <t>39109.5</t>
  </si>
  <si>
    <t>0.22601265773496246</t>
  </si>
  <si>
    <t>0.5653269854771277</t>
  </si>
  <si>
    <t>0.7178627</t>
  </si>
  <si>
    <t>0.1890333333333333</t>
  </si>
  <si>
    <t>18.753981063816493</t>
  </si>
  <si>
    <t>25519.5</t>
  </si>
  <si>
    <t>0.6253886633037387</t>
  </si>
  <si>
    <t>0.3257193941180767</t>
  </si>
  <si>
    <t>0.19633396</t>
  </si>
  <si>
    <t>0.46307474</t>
  </si>
  <si>
    <t>-933.0</t>
  </si>
  <si>
    <t>0.1328282828282828</t>
  </si>
  <si>
    <t>17.930115078858243</t>
  </si>
  <si>
    <t>59175.0</t>
  </si>
  <si>
    <t>0.144047178103989</t>
  </si>
  <si>
    <t>0.7306021887965787</t>
  </si>
  <si>
    <t>0.7228053</t>
  </si>
  <si>
    <t>-6614.0</t>
  </si>
  <si>
    <t>0.12556</t>
  </si>
  <si>
    <t>4.540394194346287</t>
  </si>
  <si>
    <t>14125.5</t>
  </si>
  <si>
    <t>0.2629342057521903</t>
  </si>
  <si>
    <t>0.6267958727856385</t>
  </si>
  <si>
    <t>0.74250567</t>
  </si>
  <si>
    <t>-1698.0</t>
  </si>
  <si>
    <t>0.1944222222222222</t>
  </si>
  <si>
    <t>6.979634914283195</t>
  </si>
  <si>
    <t>78741.0</t>
  </si>
  <si>
    <t>0.4594645887101051</t>
  </si>
  <si>
    <t>0.4931250217450565</t>
  </si>
  <si>
    <t>0.44684657</t>
  </si>
  <si>
    <t>-593.0</t>
  </si>
  <si>
    <t>0.1307111111111111</t>
  </si>
  <si>
    <t>8.334575760380769</t>
  </si>
  <si>
    <t>26469.0</t>
  </si>
  <si>
    <t>0.26789814677527335</t>
  </si>
  <si>
    <t>0.4743206660638916</t>
  </si>
  <si>
    <t>0.7180664</t>
  </si>
  <si>
    <t>-4735.0</t>
  </si>
  <si>
    <t>0.0571666666666666</t>
  </si>
  <si>
    <t>2.7597457011603987</t>
  </si>
  <si>
    <t>9261.0</t>
  </si>
  <si>
    <t>0.3377314291608935</t>
  </si>
  <si>
    <t>0.4233478727546756</t>
  </si>
  <si>
    <t>0.54678696</t>
  </si>
  <si>
    <t>-2467.0</t>
  </si>
  <si>
    <t>0.1881</t>
  </si>
  <si>
    <t>1.911060937674125</t>
  </si>
  <si>
    <t>25393.5</t>
  </si>
  <si>
    <t>0.1993123289489855</t>
  </si>
  <si>
    <t>0.4208451496635055</t>
  </si>
  <si>
    <t>0.708596</t>
  </si>
  <si>
    <t>-4281.0</t>
  </si>
  <si>
    <t>0.10384</t>
  </si>
  <si>
    <t>0.32885988975627684</t>
  </si>
  <si>
    <t>0.5031425514906324</t>
  </si>
  <si>
    <t>0.51372033</t>
  </si>
  <si>
    <t>-8998.0</t>
  </si>
  <si>
    <t>0.1202</t>
  </si>
  <si>
    <t>2.137304728470002</t>
  </si>
  <si>
    <t>24340.5</t>
  </si>
  <si>
    <t>0.37110959157844725</t>
  </si>
  <si>
    <t>0.4015967462025931</t>
  </si>
  <si>
    <t>0.7267112</t>
  </si>
  <si>
    <t>0.42780572</t>
  </si>
  <si>
    <t>-5185.0</t>
  </si>
  <si>
    <t>0.21</t>
  </si>
  <si>
    <t>0.2855558434856026</t>
  </si>
  <si>
    <t>0.4123516173734456</t>
  </si>
  <si>
    <t>0.56168073</t>
  </si>
  <si>
    <t>-13391.0</t>
  </si>
  <si>
    <t>0.2350833333333333</t>
  </si>
  <si>
    <t>1.9740828021630907</t>
  </si>
  <si>
    <t>12694.5</t>
  </si>
  <si>
    <t>0.10899453760182273</t>
  </si>
  <si>
    <t>0.7405535381940751</t>
  </si>
  <si>
    <t>0.7874762</t>
  </si>
  <si>
    <t>0.7132338</t>
  </si>
  <si>
    <t>-4709.0</t>
  </si>
  <si>
    <t>0.2688333333333333</t>
  </si>
  <si>
    <t>0.4017811448860129</t>
  </si>
  <si>
    <t>0.3856465366423691</t>
  </si>
  <si>
    <t>0.72969157</t>
  </si>
  <si>
    <t>-5488.0</t>
  </si>
  <si>
    <t>0.10834</t>
  </si>
  <si>
    <t>0.925408526828364</t>
  </si>
  <si>
    <t>24376.5</t>
  </si>
  <si>
    <t>0.6319589527451411</t>
  </si>
  <si>
    <t>0.3546772499698346</t>
  </si>
  <si>
    <t>0.38625488</t>
  </si>
  <si>
    <t>-337.0</t>
  </si>
  <si>
    <t>0.2</t>
  </si>
  <si>
    <t>0.20559819442674135</t>
  </si>
  <si>
    <t>0.5114341368134689</t>
  </si>
  <si>
    <t>0.7507088</t>
  </si>
  <si>
    <t>-8314.0</t>
  </si>
  <si>
    <t>0.2632666666666666</t>
  </si>
  <si>
    <t>0.26093531274643234</t>
  </si>
  <si>
    <t>0.4783850989519887</t>
  </si>
  <si>
    <t>0.62046564</t>
  </si>
  <si>
    <t>-10300.0</t>
  </si>
  <si>
    <t>0.2139066656884072</t>
  </si>
  <si>
    <t>0.4413868441146488</t>
  </si>
  <si>
    <t>0.66430503</t>
  </si>
  <si>
    <t>-9103.0</t>
  </si>
  <si>
    <t>0.0466714490674318</t>
  </si>
  <si>
    <t>4.674805516367586</t>
  </si>
  <si>
    <t>14638.5</t>
  </si>
  <si>
    <t>0.6313800420391231</t>
  </si>
  <si>
    <t>0.330493913480645</t>
  </si>
  <si>
    <t>0.46865967</t>
  </si>
  <si>
    <t>0.26611388</t>
  </si>
  <si>
    <t>0.1340444444444444</t>
  </si>
  <si>
    <t>4.619788600346375</t>
  </si>
  <si>
    <t>13572.0</t>
  </si>
  <si>
    <t>0.32938044574695</t>
  </si>
  <si>
    <t>0.23819510715001</t>
  </si>
  <si>
    <t>0.73431593</t>
  </si>
  <si>
    <t>0.22095</t>
  </si>
  <si>
    <t>4.540477380912988</t>
  </si>
  <si>
    <t>19885.5</t>
  </si>
  <si>
    <t>0.43000761544250865</t>
  </si>
  <si>
    <t>0.2188625762227138</t>
  </si>
  <si>
    <t>0.67471695</t>
  </si>
  <si>
    <t>-9181.0</t>
  </si>
  <si>
    <t>0.16286</t>
  </si>
  <si>
    <t>0.9850572967408766</t>
  </si>
  <si>
    <t>36643.5</t>
  </si>
  <si>
    <t>0.3643414970942231</t>
  </si>
  <si>
    <t>0.3838989145230137</t>
  </si>
  <si>
    <t>0.5687312</t>
  </si>
  <si>
    <t>-4688.0</t>
  </si>
  <si>
    <t>0.1262</t>
  </si>
  <si>
    <t>20.819231115180603</t>
  </si>
  <si>
    <t>11358.0</t>
  </si>
  <si>
    <t>0.29866565035999304</t>
  </si>
  <si>
    <t>0.4450503990189229</t>
  </si>
  <si>
    <t>0.74486494</t>
  </si>
  <si>
    <t>-1923.0</t>
  </si>
  <si>
    <t>0.375224317181369</t>
  </si>
  <si>
    <t>0.4203234190602171</t>
  </si>
  <si>
    <t>0.47225335</t>
  </si>
  <si>
    <t>0.769246</t>
  </si>
  <si>
    <t>-6206.0</t>
  </si>
  <si>
    <t>0.2395111111111111</t>
  </si>
  <si>
    <t>2.7716363984807035</t>
  </si>
  <si>
    <t>48501.0</t>
  </si>
  <si>
    <t>0.34751458605013547</t>
  </si>
  <si>
    <t>0.4233070575424944</t>
  </si>
  <si>
    <t>0.7776594</t>
  </si>
  <si>
    <t>0.43793005</t>
  </si>
  <si>
    <t>-2880.0</t>
  </si>
  <si>
    <t>0.2488235294117647</t>
  </si>
  <si>
    <t>0.4636546340323468</t>
  </si>
  <si>
    <t>0.3036308637375388</t>
  </si>
  <si>
    <t>0.31333375</t>
  </si>
  <si>
    <t>-8645.0</t>
  </si>
  <si>
    <t>0.2318333333333333</t>
  </si>
  <si>
    <t>8.391802814114468</t>
  </si>
  <si>
    <t>12519.0</t>
  </si>
  <si>
    <t>0.2340750913803645</t>
  </si>
  <si>
    <t>0.4671904242226259</t>
  </si>
  <si>
    <t>0.56497276</t>
  </si>
  <si>
    <t>-1024.0</t>
  </si>
  <si>
    <t>0.2142222222222222</t>
  </si>
  <si>
    <t>2.0876895055377043</t>
  </si>
  <si>
    <t>17352.0</t>
  </si>
  <si>
    <t>0.7450556085679094</t>
  </si>
  <si>
    <t>0.0083043234138829</t>
  </si>
  <si>
    <t>0.025600849</t>
  </si>
  <si>
    <t>-4169.0</t>
  </si>
  <si>
    <t>0.2730612268217166</t>
  </si>
  <si>
    <t>0.5713831756250436</t>
  </si>
  <si>
    <t>0.63533187</t>
  </si>
  <si>
    <t>-2699.0</t>
  </si>
  <si>
    <t>0.34439806229787817</t>
  </si>
  <si>
    <t>0.5907106893957617</t>
  </si>
  <si>
    <t>0.22693627</t>
  </si>
  <si>
    <t>-6814.0</t>
  </si>
  <si>
    <t>0.21552</t>
  </si>
  <si>
    <t>0.5725872166626929</t>
  </si>
  <si>
    <t>0.3797595835007495</t>
  </si>
  <si>
    <t>0.56911194</t>
  </si>
  <si>
    <t>-4157.0</t>
  </si>
  <si>
    <t>0.0764888888888888</t>
  </si>
  <si>
    <t>0.6713402697784199</t>
  </si>
  <si>
    <t>15489.0</t>
  </si>
  <si>
    <t>0.3876008365123396</t>
  </si>
  <si>
    <t>0.3364514311978934</t>
  </si>
  <si>
    <t>0.5106826</t>
  </si>
  <si>
    <t>-4440.0</t>
  </si>
  <si>
    <t>0.17952</t>
  </si>
  <si>
    <t>3.6797817706826654</t>
  </si>
  <si>
    <t>40392.0</t>
  </si>
  <si>
    <t>0.36204747314154845</t>
  </si>
  <si>
    <t>0.577331558482366</t>
  </si>
  <si>
    <t>0.56269795</t>
  </si>
  <si>
    <t>-9766.0</t>
  </si>
  <si>
    <t>0.170625</t>
  </si>
  <si>
    <t>6.463847429349423</t>
  </si>
  <si>
    <t>0.2577454539273285</t>
  </si>
  <si>
    <t>0.4647773058051612</t>
  </si>
  <si>
    <t>0.678015</t>
  </si>
  <si>
    <t>-10521.0</t>
  </si>
  <si>
    <t>0.1284444444444444</t>
  </si>
  <si>
    <t>1.2790431401705105</t>
  </si>
  <si>
    <t>26010.0</t>
  </si>
  <si>
    <t>0.35205717599464237</t>
  </si>
  <si>
    <t>0.4905697318786762</t>
  </si>
  <si>
    <t>0.5073762</t>
  </si>
  <si>
    <t>-3632.0</t>
  </si>
  <si>
    <t>0.29156</t>
  </si>
  <si>
    <t>18.607327631321223</t>
  </si>
  <si>
    <t>32800.5</t>
  </si>
  <si>
    <t>0.7799650273964851</t>
  </si>
  <si>
    <t>0.2518336020191815</t>
  </si>
  <si>
    <t>0.0950704</t>
  </si>
  <si>
    <t>0.5177509</t>
  </si>
  <si>
    <t>0.1708444444444444</t>
  </si>
  <si>
    <t>2.8808034623690526</t>
  </si>
  <si>
    <t>34596.0</t>
  </si>
  <si>
    <t>0.32601085992286</t>
  </si>
  <si>
    <t>0.4432400552256342</t>
  </si>
  <si>
    <t>-3626.0</t>
  </si>
  <si>
    <t>0.3311111111111111</t>
  </si>
  <si>
    <t>2.809326066163842</t>
  </si>
  <si>
    <t>40230.0</t>
  </si>
  <si>
    <t>0.4439518426803554</t>
  </si>
  <si>
    <t>0.4042370874943168</t>
  </si>
  <si>
    <t>0.7096244</t>
  </si>
  <si>
    <t>-9824.0</t>
  </si>
  <si>
    <t>0.25159375</t>
  </si>
  <si>
    <t>1.9679451853873653</t>
  </si>
  <si>
    <t>36229.5</t>
  </si>
  <si>
    <t>0.5197519059536199</t>
  </si>
  <si>
    <t>0.3476005809662378</t>
  </si>
  <si>
    <t>0.5023362</t>
  </si>
  <si>
    <t>-4149.0</t>
  </si>
  <si>
    <t>0.2877142857142857</t>
  </si>
  <si>
    <t>6.69076848831931</t>
  </si>
  <si>
    <t>27189.0</t>
  </si>
  <si>
    <t>0.34349747136624914</t>
  </si>
  <si>
    <t>0.479682076144886</t>
  </si>
  <si>
    <t>0.43864068</t>
  </si>
  <si>
    <t>-5184.0</t>
  </si>
  <si>
    <t>0.1277</t>
  </si>
  <si>
    <t>11.320433528897643</t>
  </si>
  <si>
    <t>11493.0</t>
  </si>
  <si>
    <t>0.7626453182974063</t>
  </si>
  <si>
    <t>0.2039379518885372</t>
  </si>
  <si>
    <t>0.15951954</t>
  </si>
  <si>
    <t>0.4508497</t>
  </si>
  <si>
    <t>-3145.0</t>
  </si>
  <si>
    <t>0.0509</t>
  </si>
  <si>
    <t>8.247303862355725</t>
  </si>
  <si>
    <t>6871.5</t>
  </si>
  <si>
    <t>0.13338848522459973</t>
  </si>
  <si>
    <t>0.7258184711081098</t>
  </si>
  <si>
    <t>0.6161217</t>
  </si>
  <si>
    <t>0.7520487</t>
  </si>
  <si>
    <t>-169.0</t>
  </si>
  <si>
    <t>0.09804</t>
  </si>
  <si>
    <t>0.97257351522535</t>
  </si>
  <si>
    <t>22059.0</t>
  </si>
  <si>
    <t>0.2967283574250997</t>
  </si>
  <si>
    <t>0.5960514185817588</t>
  </si>
  <si>
    <t>0.6117406</t>
  </si>
  <si>
    <t>0.30272</t>
  </si>
  <si>
    <t>15.880550595418018</t>
  </si>
  <si>
    <t>34056.0</t>
  </si>
  <si>
    <t>0.23648418092370704</t>
  </si>
  <si>
    <t>0.5921537463381283</t>
  </si>
  <si>
    <t>0.6673994</t>
  </si>
  <si>
    <t>-1164.0</t>
  </si>
  <si>
    <t>0.1085</t>
  </si>
  <si>
    <t>5.95981831616228</t>
  </si>
  <si>
    <t>14647.5</t>
  </si>
  <si>
    <t>0.45981186162873333</t>
  </si>
  <si>
    <t>0.4047669351150471</t>
  </si>
  <si>
    <t>0.58519524</t>
  </si>
  <si>
    <t>-3287.0</t>
  </si>
  <si>
    <t>0.1792</t>
  </si>
  <si>
    <t>0.35271005108644743</t>
  </si>
  <si>
    <t>0.4918489169799248</t>
  </si>
  <si>
    <t>0.75752455</t>
  </si>
  <si>
    <t>-5272.0</t>
  </si>
  <si>
    <t>0.1600833333333333</t>
  </si>
  <si>
    <t>0.6446203180017654</t>
  </si>
  <si>
    <t>0.2750324534751163</t>
  </si>
  <si>
    <t>0.2881296</t>
  </si>
  <si>
    <t>0.5266278</t>
  </si>
  <si>
    <t>-1260.0</t>
  </si>
  <si>
    <t>0.1711111111111111</t>
  </si>
  <si>
    <t>7.383638155701822</t>
  </si>
  <si>
    <t>20790.0</t>
  </si>
  <si>
    <t>0.636283269717984</t>
  </si>
  <si>
    <t>0.2244427487670044</t>
  </si>
  <si>
    <t>0.38530666</t>
  </si>
  <si>
    <t>-1307.0</t>
  </si>
  <si>
    <t>0.1144117647058823</t>
  </si>
  <si>
    <t>5.1408205272921</t>
  </si>
  <si>
    <t>0.3730764012114823</t>
  </si>
  <si>
    <t>0.4316686263731855</t>
  </si>
  <si>
    <t>0.6028124</t>
  </si>
  <si>
    <t>-4894.0</t>
  </si>
  <si>
    <t>0.185425</t>
  </si>
  <si>
    <t>0.945275935280776</t>
  </si>
  <si>
    <t>33376.5</t>
  </si>
  <si>
    <t>0.20356336261049657</t>
  </si>
  <si>
    <t>0.4492669643099996</t>
  </si>
  <si>
    <t>0.692376</t>
  </si>
  <si>
    <t>-4127.0</t>
  </si>
  <si>
    <t>0.0787166666666666</t>
  </si>
  <si>
    <t>0.4684148077708672</t>
  </si>
  <si>
    <t>42507.0</t>
  </si>
  <si>
    <t>0.29322499331350976</t>
  </si>
  <si>
    <t>0.3846699284139067</t>
  </si>
  <si>
    <t>0.34474453</t>
  </si>
  <si>
    <t>-4893.0</t>
  </si>
  <si>
    <t>0.2022666666666666</t>
  </si>
  <si>
    <t>8.963701052249284</t>
  </si>
  <si>
    <t>13653.0</t>
  </si>
  <si>
    <t>0.7206481010122289</t>
  </si>
  <si>
    <t>0.3327833049743556</t>
  </si>
  <si>
    <t>0.35458997</t>
  </si>
  <si>
    <t>-7007.0</t>
  </si>
  <si>
    <t>0.1894333333333333</t>
  </si>
  <si>
    <t>3.944299320223044</t>
  </si>
  <si>
    <t>25573.5</t>
  </si>
  <si>
    <t>0.3609332261982326</t>
  </si>
  <si>
    <t>0.396634621394818</t>
  </si>
  <si>
    <t>0.59608644</t>
  </si>
  <si>
    <t>-5323.0</t>
  </si>
  <si>
    <t>0.28536</t>
  </si>
  <si>
    <t>4.341782764591029</t>
  </si>
  <si>
    <t>64206.0</t>
  </si>
  <si>
    <t>0.7087102727451291</t>
  </si>
  <si>
    <t>0.339377984663645</t>
  </si>
  <si>
    <t>0.1886642</t>
  </si>
  <si>
    <t>-4718.0</t>
  </si>
  <si>
    <t>0.3821666666666666</t>
  </si>
  <si>
    <t>1.7941920551238555</t>
  </si>
  <si>
    <t>20637.0</t>
  </si>
  <si>
    <t>0.5921896848594788</t>
  </si>
  <si>
    <t>0.1755456288374789</t>
  </si>
  <si>
    <t>0.541178</t>
  </si>
  <si>
    <t>-2921.0</t>
  </si>
  <si>
    <t>0.3695652173913043</t>
  </si>
  <si>
    <t>1.78610056239632</t>
  </si>
  <si>
    <t>38250.0</t>
  </si>
  <si>
    <t>0.637997871868165</t>
  </si>
  <si>
    <t>0.3253871886438072</t>
  </si>
  <si>
    <t>0.63755316</t>
  </si>
  <si>
    <t>0.2916666666666667</t>
  </si>
  <si>
    <t>43312.5</t>
  </si>
  <si>
    <t>0.3271978407708699</t>
  </si>
  <si>
    <t>0.2368698329866509</t>
  </si>
  <si>
    <t>0.73023033</t>
  </si>
  <si>
    <t>-10818.0</t>
  </si>
  <si>
    <t>0.2744366197183098</t>
  </si>
  <si>
    <t>3.62695279578984</t>
  </si>
  <si>
    <t>35073.0</t>
  </si>
  <si>
    <t>0.6882959381397789</t>
  </si>
  <si>
    <t>0.3883250647446247</t>
  </si>
  <si>
    <t>0.23118396</t>
  </si>
  <si>
    <t>-6856.0</t>
  </si>
  <si>
    <t>0.11772</t>
  </si>
  <si>
    <t>0.4739060872107542</t>
  </si>
  <si>
    <t>0.3604680102494045</t>
  </si>
  <si>
    <t>0.6186359</t>
  </si>
  <si>
    <t>-1694.0</t>
  </si>
  <si>
    <t>0.20013</t>
  </si>
  <si>
    <t>0.1418852371896983</t>
  </si>
  <si>
    <t>90058.5</t>
  </si>
  <si>
    <t>0.5217326847645092</t>
  </si>
  <si>
    <t>0.3408985962008425</t>
  </si>
  <si>
    <t>0.6263592</t>
  </si>
  <si>
    <t>-2716.0</t>
  </si>
  <si>
    <t>0.15128</t>
  </si>
  <si>
    <t>0.3448363281255862</t>
  </si>
  <si>
    <t>17019.0</t>
  </si>
  <si>
    <t>0.48547343329782766</t>
  </si>
  <si>
    <t>0.3545779853442869</t>
  </si>
  <si>
    <t>0.39277387</t>
  </si>
  <si>
    <t>0.6551798</t>
  </si>
  <si>
    <t>-7022.0</t>
  </si>
  <si>
    <t>0.1187692307692307</t>
  </si>
  <si>
    <t>2.548510137265514</t>
  </si>
  <si>
    <t>34740.0</t>
  </si>
  <si>
    <t>0.2133789712570035</t>
  </si>
  <si>
    <t>0.4499053277776391</t>
  </si>
  <si>
    <t>0.6029433</t>
  </si>
  <si>
    <t>-2421.0</t>
  </si>
  <si>
    <t>0.2055</t>
  </si>
  <si>
    <t>10.03339565315029</t>
  </si>
  <si>
    <t>9247.5</t>
  </si>
  <si>
    <t>0.48542409376448803</t>
  </si>
  <si>
    <t>0.3275577444201777</t>
  </si>
  <si>
    <t>0.26205957</t>
  </si>
  <si>
    <t>-3951.0</t>
  </si>
  <si>
    <t>0.12382</t>
  </si>
  <si>
    <t>2.078562093508274</t>
  </si>
  <si>
    <t>27859.5</t>
  </si>
  <si>
    <t>0.5111099138722321</t>
  </si>
  <si>
    <t>0.4412704664724291</t>
  </si>
  <si>
    <t>0.6541713</t>
  </si>
  <si>
    <t>-4085.0</t>
  </si>
  <si>
    <t>0.3173333333333333</t>
  </si>
  <si>
    <t>3.136607485218157</t>
  </si>
  <si>
    <t>21420.0</t>
  </si>
  <si>
    <t>0.637116781738057</t>
  </si>
  <si>
    <t>0.4005493422033856</t>
  </si>
  <si>
    <t>0.10411992</t>
  </si>
  <si>
    <t>0.46761766</t>
  </si>
  <si>
    <t>-9014.0</t>
  </si>
  <si>
    <t>0.1702</t>
  </si>
  <si>
    <t>45954.0</t>
  </si>
  <si>
    <t>0.6436946968860475</t>
  </si>
  <si>
    <t>0.2066868859752578</t>
  </si>
  <si>
    <t>0.22392364</t>
  </si>
  <si>
    <t>-13608.0</t>
  </si>
  <si>
    <t>0.20468</t>
  </si>
  <si>
    <t>23026.5</t>
  </si>
  <si>
    <t>0.6868447805607273</t>
  </si>
  <si>
    <t>0.3222923515644011</t>
  </si>
  <si>
    <t>0.5641449</t>
  </si>
  <si>
    <t>-4626.0</t>
  </si>
  <si>
    <t>0.3655083602692981</t>
  </si>
  <si>
    <t>0.4255935875920749</t>
  </si>
  <si>
    <t>0.7252391</t>
  </si>
  <si>
    <t>-6626.0</t>
  </si>
  <si>
    <t>0.6330714285714286</t>
  </si>
  <si>
    <t>3.071073661671808</t>
  </si>
  <si>
    <t>39883.5</t>
  </si>
  <si>
    <t>0.16923284259519436</t>
  </si>
  <si>
    <t>0.6699829137208393</t>
  </si>
  <si>
    <t>0.8658959</t>
  </si>
  <si>
    <t>0.48194712</t>
  </si>
  <si>
    <t>-7244.0</t>
  </si>
  <si>
    <t>0.3768571428571428</t>
  </si>
  <si>
    <t>1.3373336568745176</t>
  </si>
  <si>
    <t>23742.0</t>
  </si>
  <si>
    <t>0.18694776594429774</t>
  </si>
  <si>
    <t>0.6317474456904494</t>
  </si>
  <si>
    <t>0.6781248</t>
  </si>
  <si>
    <t>-7193.0</t>
  </si>
  <si>
    <t>0.2466333333333333</t>
  </si>
  <si>
    <t>3.017751115549294</t>
  </si>
  <si>
    <t>33295.5</t>
  </si>
  <si>
    <t>0.8091420744036242</t>
  </si>
  <si>
    <t>0.3049696273733777</t>
  </si>
  <si>
    <t>0.074460685</t>
  </si>
  <si>
    <t>0.24214499</t>
  </si>
  <si>
    <t>-7440.0</t>
  </si>
  <si>
    <t>0.20028125</t>
  </si>
  <si>
    <t>2.198266808807059</t>
  </si>
  <si>
    <t>28840.5</t>
  </si>
  <si>
    <t>0.5313141472032182</t>
  </si>
  <si>
    <t>0.4045798670898571</t>
  </si>
  <si>
    <t>0.6254222</t>
  </si>
  <si>
    <t>-6639.0</t>
  </si>
  <si>
    <t>0.2700666666666667</t>
  </si>
  <si>
    <t>0.41349504754709027</t>
  </si>
  <si>
    <t>0.4606341072171079</t>
  </si>
  <si>
    <t>0.49229965</t>
  </si>
  <si>
    <t>-1828.0</t>
  </si>
  <si>
    <t>0.15545</t>
  </si>
  <si>
    <t>1.788672199811625</t>
  </si>
  <si>
    <t>13990.5</t>
  </si>
  <si>
    <t>0.6002808469904539</t>
  </si>
  <si>
    <t>0.2746731757188008</t>
  </si>
  <si>
    <t>0.6642483</t>
  </si>
  <si>
    <t>0.10616477</t>
  </si>
  <si>
    <t>-7633.0</t>
  </si>
  <si>
    <t>0.2124</t>
  </si>
  <si>
    <t>2.8391717827317864</t>
  </si>
  <si>
    <t>23895.0</t>
  </si>
  <si>
    <t>0.5138576436262139</t>
  </si>
  <si>
    <t>0.2877333886330557</t>
  </si>
  <si>
    <t>0.63632935</t>
  </si>
  <si>
    <t>0.27885</t>
  </si>
  <si>
    <t>0.9050596099380526</t>
  </si>
  <si>
    <t>25096.5</t>
  </si>
  <si>
    <t>0.19997116812798615</t>
  </si>
  <si>
    <t>0.4978702485173193</t>
  </si>
  <si>
    <t>0.7713616</t>
  </si>
  <si>
    <t>0.67481774</t>
  </si>
  <si>
    <t>-7873.0</t>
  </si>
  <si>
    <t>0.36695</t>
  </si>
  <si>
    <t>0.840801721409935</t>
  </si>
  <si>
    <t>0.168311233644879</t>
  </si>
  <si>
    <t>0.048468694</t>
  </si>
  <si>
    <t>-449.0</t>
  </si>
  <si>
    <t>0.0714285714285714</t>
  </si>
  <si>
    <t>0.5084059229306921</t>
  </si>
  <si>
    <t>0.4036775713340689</t>
  </si>
  <si>
    <t>0.28893438</t>
  </si>
  <si>
    <t>-441.0</t>
  </si>
  <si>
    <t>0.16332</t>
  </si>
  <si>
    <t>1.802595260038653</t>
  </si>
  <si>
    <t>36747.0</t>
  </si>
  <si>
    <t>0.42921921367034677</t>
  </si>
  <si>
    <t>0.3694847961421629</t>
  </si>
  <si>
    <t>0.6065029</t>
  </si>
  <si>
    <t>-9412.0</t>
  </si>
  <si>
    <t>0.1766</t>
  </si>
  <si>
    <t>0.19298977386834446</t>
  </si>
  <si>
    <t>0.4871901415769357</t>
  </si>
  <si>
    <t>0.77008706</t>
  </si>
  <si>
    <t>0.6433138</t>
  </si>
  <si>
    <t>-4304.0</t>
  </si>
  <si>
    <t>0.3853</t>
  </si>
  <si>
    <t>0.4408224955706434</t>
  </si>
  <si>
    <t>0.3194275168378334</t>
  </si>
  <si>
    <t>0.40396455</t>
  </si>
  <si>
    <t>-1644.0</t>
  </si>
  <si>
    <t>0.24644</t>
  </si>
  <si>
    <t>5.565855968160305</t>
  </si>
  <si>
    <t>27724.5</t>
  </si>
  <si>
    <t>0.4171027011599596</t>
  </si>
  <si>
    <t>0.4598868241228422</t>
  </si>
  <si>
    <t>0.57404906</t>
  </si>
  <si>
    <t>-5765.0</t>
  </si>
  <si>
    <t>0.0997714285714285</t>
  </si>
  <si>
    <t>1.6161409414402472</t>
  </si>
  <si>
    <t>15714.0</t>
  </si>
  <si>
    <t>0.5588448393252973</t>
  </si>
  <si>
    <t>0.4219669926144714</t>
  </si>
  <si>
    <t>0.249114</t>
  </si>
  <si>
    <t>-645.0</t>
  </si>
  <si>
    <t>0.264275</t>
  </si>
  <si>
    <t>2.939384917103616</t>
  </si>
  <si>
    <t>47569.5</t>
  </si>
  <si>
    <t>0.45730660597956024</t>
  </si>
  <si>
    <t>0.2883091950598903</t>
  </si>
  <si>
    <t>0.14999802</t>
  </si>
  <si>
    <t>-10169.0</t>
  </si>
  <si>
    <t>0.0781297709923664</t>
  </si>
  <si>
    <t>2.6534979594745822</t>
  </si>
  <si>
    <t>9211.5</t>
  </si>
  <si>
    <t>0.2566946146866497</t>
  </si>
  <si>
    <t>0.5687604890771751</t>
  </si>
  <si>
    <t>0.5816344</t>
  </si>
  <si>
    <t>-6412.0</t>
  </si>
  <si>
    <t>0.11545</t>
  </si>
  <si>
    <t>1.8460847781981649</t>
  </si>
  <si>
    <t>31171.5</t>
  </si>
  <si>
    <t>0.6283873640871824</t>
  </si>
  <si>
    <t>0.2673658482816589</t>
  </si>
  <si>
    <t>0.57884884</t>
  </si>
  <si>
    <t>-3082.0</t>
  </si>
  <si>
    <t>0.1975166666666666</t>
  </si>
  <si>
    <t>4.706688834965567</t>
  </si>
  <si>
    <t>53329.5</t>
  </si>
  <si>
    <t>0.6228355703065427</t>
  </si>
  <si>
    <t>0.2367889675213807</t>
  </si>
  <si>
    <t>0.13140824</t>
  </si>
  <si>
    <t>-5537.0</t>
  </si>
  <si>
    <t>0.3214666666666667</t>
  </si>
  <si>
    <t>5.785687033554465</t>
  </si>
  <si>
    <t>21699.0</t>
  </si>
  <si>
    <t>0.18914125458422262</t>
  </si>
  <si>
    <t>0.6614782773440292</t>
  </si>
  <si>
    <t>0.7344396</t>
  </si>
  <si>
    <t>-3944.0</t>
  </si>
  <si>
    <t>0.1470888888888888</t>
  </si>
  <si>
    <t>11.010295969665073</t>
  </si>
  <si>
    <t>29785.5</t>
  </si>
  <si>
    <t>0.8799020783162622</t>
  </si>
  <si>
    <t>0.099136039171247</t>
  </si>
  <si>
    <t>0.062103037</t>
  </si>
  <si>
    <t>0.23637784</t>
  </si>
  <si>
    <t>-6392.0</t>
  </si>
  <si>
    <t>0.242125</t>
  </si>
  <si>
    <t>3.0199637947596614</t>
  </si>
  <si>
    <t>26149.5</t>
  </si>
  <si>
    <t>0.4238530291516025</t>
  </si>
  <si>
    <t>0.475632826758858</t>
  </si>
  <si>
    <t>0.21826382</t>
  </si>
  <si>
    <t>-3402.0</t>
  </si>
  <si>
    <t>0.1792333333333333</t>
  </si>
  <si>
    <t>2.145654792262164</t>
  </si>
  <si>
    <t>24196.5</t>
  </si>
  <si>
    <t>0.4800896224656527</t>
  </si>
  <si>
    <t>0.3584077892800089</t>
  </si>
  <si>
    <t>0.5983641</t>
  </si>
  <si>
    <t>-9727.0</t>
  </si>
  <si>
    <t>0.0783466666666666</t>
  </si>
  <si>
    <t>2.492216448069473</t>
  </si>
  <si>
    <t>26442.0</t>
  </si>
  <si>
    <t>0.5790034196727676</t>
  </si>
  <si>
    <t>0.3747569548964843</t>
  </si>
  <si>
    <t>0.18195911</t>
  </si>
  <si>
    <t>0.43201286</t>
  </si>
  <si>
    <t>-3227.0</t>
  </si>
  <si>
    <t>0.1813666666666666</t>
  </si>
  <si>
    <t>3.058506282644835</t>
  </si>
  <si>
    <t>24484.5</t>
  </si>
  <si>
    <t>0.3799956377937323</t>
  </si>
  <si>
    <t>0.5456452301040481</t>
  </si>
  <si>
    <t>0.36025512</t>
  </si>
  <si>
    <t>-3428.0</t>
  </si>
  <si>
    <t>0.1191818181818181</t>
  </si>
  <si>
    <t>6.975166092256058</t>
  </si>
  <si>
    <t>11799.0</t>
  </si>
  <si>
    <t>0.3612557018257004</t>
  </si>
  <si>
    <t>0.4536751292750849</t>
  </si>
  <si>
    <t>0.70596564</t>
  </si>
  <si>
    <t>-658.0</t>
  </si>
  <si>
    <t>0.3496</t>
  </si>
  <si>
    <t>1.0360080504014046</t>
  </si>
  <si>
    <t>31464.0</t>
  </si>
  <si>
    <t>0.762624930549565</t>
  </si>
  <si>
    <t>0.1861718776731503</t>
  </si>
  <si>
    <t>0.391055</t>
  </si>
  <si>
    <t>0.13792822</t>
  </si>
  <si>
    <t>-9729.0</t>
  </si>
  <si>
    <t>0.2579545454545454</t>
  </si>
  <si>
    <t>0.5572282578246784</t>
  </si>
  <si>
    <t>0.2785618638543742</t>
  </si>
  <si>
    <t>0.5275217</t>
  </si>
  <si>
    <t>-5744.0</t>
  </si>
  <si>
    <t>0.1282444444444444</t>
  </si>
  <si>
    <t>0.614475480157887</t>
  </si>
  <si>
    <t>0.2594612099213507</t>
  </si>
  <si>
    <t>-2234.0</t>
  </si>
  <si>
    <t>0.3392496411801709</t>
  </si>
  <si>
    <t>0.4312513030534834</t>
  </si>
  <si>
    <t>0.5321683</t>
  </si>
  <si>
    <t>-4038.0</t>
  </si>
  <si>
    <t>0.2193928571428571</t>
  </si>
  <si>
    <t>5.552278022568369</t>
  </si>
  <si>
    <t>27643.5</t>
  </si>
  <si>
    <t>0.7519954543663765</t>
  </si>
  <si>
    <t>0.175166234252625</t>
  </si>
  <si>
    <t>0.20031261</t>
  </si>
  <si>
    <t>-2024.0</t>
  </si>
  <si>
    <t>0.29516</t>
  </si>
  <si>
    <t>12.286346593134612</t>
  </si>
  <si>
    <t>33205.5</t>
  </si>
  <si>
    <t>0.4401983503675251</t>
  </si>
  <si>
    <t>0.3709682123526738</t>
  </si>
  <si>
    <t>0.6170921</t>
  </si>
  <si>
    <t>-7017.0</t>
  </si>
  <si>
    <t>0.138075</t>
  </si>
  <si>
    <t>2.74553671684854</t>
  </si>
  <si>
    <t>24853.5</t>
  </si>
  <si>
    <t>0.33541657918381634</t>
  </si>
  <si>
    <t>0.5377569912663933</t>
  </si>
  <si>
    <t>0.54216605</t>
  </si>
  <si>
    <t>-7255.0</t>
  </si>
  <si>
    <t>0.09335</t>
  </si>
  <si>
    <t>6.522778132273954</t>
  </si>
  <si>
    <t>16803.0</t>
  </si>
  <si>
    <t>0.364664476269384</t>
  </si>
  <si>
    <t>0.3462516147989085</t>
  </si>
  <si>
    <t>0.76401937</t>
  </si>
  <si>
    <t>-10609.0</t>
  </si>
  <si>
    <t>0.0833333333333333</t>
  </si>
  <si>
    <t>0.2002575354404536</t>
  </si>
  <si>
    <t>0.636347291046593</t>
  </si>
  <si>
    <t>0.5664502</t>
  </si>
  <si>
    <t>-1053.0</t>
  </si>
  <si>
    <t>0.27548</t>
  </si>
  <si>
    <t>8.360844598676076</t>
  </si>
  <si>
    <t>30991.5</t>
  </si>
  <si>
    <t>0.3564967767291134</t>
  </si>
  <si>
    <t>0.5943240082328307</t>
  </si>
  <si>
    <t>0.29994535</t>
  </si>
  <si>
    <t>-210.0</t>
  </si>
  <si>
    <t>0.164275</t>
  </si>
  <si>
    <t>2.020678768659989</t>
  </si>
  <si>
    <t>29569.5</t>
  </si>
  <si>
    <t>0.20158115963854603</t>
  </si>
  <si>
    <t>0.6998389665319553</t>
  </si>
  <si>
    <t>0.7636399</t>
  </si>
  <si>
    <t>0.58681333</t>
  </si>
  <si>
    <t>-2120.0</t>
  </si>
  <si>
    <t>0.1640285714285714</t>
  </si>
  <si>
    <t>4.256170107465995</t>
  </si>
  <si>
    <t>25834.5</t>
  </si>
  <si>
    <t>0.770161185943919</t>
  </si>
  <si>
    <t>0.2539739144549894</t>
  </si>
  <si>
    <t>0.12931429</t>
  </si>
  <si>
    <t>0.30844286</t>
  </si>
  <si>
    <t>-5053.0</t>
  </si>
  <si>
    <t>0.0959206349206349</t>
  </si>
  <si>
    <t>1.0780536447814848</t>
  </si>
  <si>
    <t>0.24849589167429606</t>
  </si>
  <si>
    <t>0.639165612800595</t>
  </si>
  <si>
    <t>0.61178213</t>
  </si>
  <si>
    <t>-8410.0</t>
  </si>
  <si>
    <t>0.509</t>
  </si>
  <si>
    <t>2.9036947910837663</t>
  </si>
  <si>
    <t>0.7616749873441525</t>
  </si>
  <si>
    <t>0.2957009128082802</t>
  </si>
  <si>
    <t>0.2020866</t>
  </si>
  <si>
    <t>0.3678846</t>
  </si>
  <si>
    <t>-3934.0</t>
  </si>
  <si>
    <t>0.14172</t>
  </si>
  <si>
    <t>3.5631677749233592</t>
  </si>
  <si>
    <t>15943.5</t>
  </si>
  <si>
    <t>0.8113406260724186</t>
  </si>
  <si>
    <t>0.1553241056241264</t>
  </si>
  <si>
    <t>0.23205961</t>
  </si>
  <si>
    <t>-3982.0</t>
  </si>
  <si>
    <t>0.2405142857142857</t>
  </si>
  <si>
    <t>1.9522972394078408</t>
  </si>
  <si>
    <t>37881.0</t>
  </si>
  <si>
    <t>0.5713893265331457</t>
  </si>
  <si>
    <t>0.4299495561248664</t>
  </si>
  <si>
    <t>0.16146308</t>
  </si>
  <si>
    <t>0.63584346</t>
  </si>
  <si>
    <t>-4132.0</t>
  </si>
  <si>
    <t>0.1437111111111111</t>
  </si>
  <si>
    <t>3.760169122667034</t>
  </si>
  <si>
    <t>29101.5</t>
  </si>
  <si>
    <t>0.734143425038845</t>
  </si>
  <si>
    <t>0.178978339677707</t>
  </si>
  <si>
    <t>0.00052726525</t>
  </si>
  <si>
    <t>0.5511726</t>
  </si>
  <si>
    <t>-771.0</t>
  </si>
  <si>
    <t>0.1875571428571428</t>
  </si>
  <si>
    <t>11.877728931461018</t>
  </si>
  <si>
    <t>59080.5</t>
  </si>
  <si>
    <t>0.1643825954974236</t>
  </si>
  <si>
    <t>0.6871796894995921</t>
  </si>
  <si>
    <t>0.54920816</t>
  </si>
  <si>
    <t>-6797.0</t>
  </si>
  <si>
    <t>0.1466363636363636</t>
  </si>
  <si>
    <t>10.887460851050037</t>
  </si>
  <si>
    <t>0.7774176515232958</t>
  </si>
  <si>
    <t>0.0071142771043498</t>
  </si>
  <si>
    <t>0.021932134</t>
  </si>
  <si>
    <t>-5797.0</t>
  </si>
  <si>
    <t>0.1071428571428571</t>
  </si>
  <si>
    <t>0.21508531386088722</t>
  </si>
  <si>
    <t>0.4843015808570404</t>
  </si>
  <si>
    <t>0.5979962</t>
  </si>
  <si>
    <t>0.1448555555555555</t>
  </si>
  <si>
    <t>1.308201152003119</t>
  </si>
  <si>
    <t>58666.5</t>
  </si>
  <si>
    <t>0.19365350438288445</t>
  </si>
  <si>
    <t>0.475086205588734</t>
  </si>
  <si>
    <t>0.6102957</t>
  </si>
  <si>
    <t>-12965.0</t>
  </si>
  <si>
    <t>0.29690139377290753</t>
  </si>
  <si>
    <t>0.5696279478248909</t>
  </si>
  <si>
    <t>0.56957304</t>
  </si>
  <si>
    <t>-2032.0</t>
  </si>
  <si>
    <t>0.19018</t>
  </si>
  <si>
    <t>0.746431267059795</t>
  </si>
  <si>
    <t>0.2111411092793598</t>
  </si>
  <si>
    <t>0.18520208</t>
  </si>
  <si>
    <t>0.44442096</t>
  </si>
  <si>
    <t>-5596.0</t>
  </si>
  <si>
    <t>0.2555142857142857</t>
  </si>
  <si>
    <t>1.939910243558596</t>
  </si>
  <si>
    <t>40243.5</t>
  </si>
  <si>
    <t>0.42024443552619795</t>
  </si>
  <si>
    <t>0.3375737505304879</t>
  </si>
  <si>
    <t>0.4338865</t>
  </si>
  <si>
    <t>-10389.0</t>
  </si>
  <si>
    <t>0.3025</t>
  </si>
  <si>
    <t>2.7681660652494555</t>
  </si>
  <si>
    <t>29947.5</t>
  </si>
  <si>
    <t>0.20783752542667974</t>
  </si>
  <si>
    <t>0.6763174861487629</t>
  </si>
  <si>
    <t>0.6775469</t>
  </si>
  <si>
    <t>-417.0</t>
  </si>
  <si>
    <t>0.3531333333333333</t>
  </si>
  <si>
    <t>4.983678085595367</t>
  </si>
  <si>
    <t>23836.5</t>
  </si>
  <si>
    <t>0.356042925007661</t>
  </si>
  <si>
    <t>0.4120363103954811</t>
  </si>
  <si>
    <t>0.68946207</t>
  </si>
  <si>
    <t>-4152.0</t>
  </si>
  <si>
    <t>0.17924</t>
  </si>
  <si>
    <t>2.767316807046294</t>
  </si>
  <si>
    <t>20164.5</t>
  </si>
  <si>
    <t>0.5274530039944595</t>
  </si>
  <si>
    <t>0.4222755049206258</t>
  </si>
  <si>
    <t>0.22508687</t>
  </si>
  <si>
    <t>0.51668614</t>
  </si>
  <si>
    <t>0.1318666666666666</t>
  </si>
  <si>
    <t>18.591808020228527</t>
  </si>
  <si>
    <t>17802.0</t>
  </si>
  <si>
    <t>0.28833164380792664</t>
  </si>
  <si>
    <t>0.5893132719982455</t>
  </si>
  <si>
    <t>0.6556885</t>
  </si>
  <si>
    <t>0.12405</t>
  </si>
  <si>
    <t>8.48181473354439</t>
  </si>
  <si>
    <t>22329.0</t>
  </si>
  <si>
    <t>0.744665336518101</t>
  </si>
  <si>
    <t>0.1859503893883936</t>
  </si>
  <si>
    <t>0.19134985</t>
  </si>
  <si>
    <t>-3684.0</t>
  </si>
  <si>
    <t>0.14548</t>
  </si>
  <si>
    <t>2.009760307264674</t>
  </si>
  <si>
    <t>32733.0</t>
  </si>
  <si>
    <t>0.6306621465469828</t>
  </si>
  <si>
    <t>0.2817031498628318</t>
  </si>
  <si>
    <t>0.26504943</t>
  </si>
  <si>
    <t>0.5729258</t>
  </si>
  <si>
    <t>-5169.0</t>
  </si>
  <si>
    <t>0.10636</t>
  </si>
  <si>
    <t>0.6758145733515731</t>
  </si>
  <si>
    <t>0.2692403891621725</t>
  </si>
  <si>
    <t>0.13960338</t>
  </si>
  <si>
    <t>-6748.0</t>
  </si>
  <si>
    <t>0.5110762301998255</t>
  </si>
  <si>
    <t>0.4222586144288444</t>
  </si>
  <si>
    <t>0.42092025</t>
  </si>
  <si>
    <t>-353.0</t>
  </si>
  <si>
    <t>0.0869733333333333</t>
  </si>
  <si>
    <t>2.568025050498868</t>
  </si>
  <si>
    <t>29353.5</t>
  </si>
  <si>
    <t>0.774147559792347</t>
  </si>
  <si>
    <t>0.0446076267548007</t>
  </si>
  <si>
    <t>0.1375179</t>
  </si>
  <si>
    <t>0.1836111111111111</t>
  </si>
  <si>
    <t>3.617384183372296</t>
  </si>
  <si>
    <t>14872.5</t>
  </si>
  <si>
    <t>0.5374175976572122</t>
  </si>
  <si>
    <t>0.3103326923596571</t>
  </si>
  <si>
    <t>0.32015786</t>
  </si>
  <si>
    <t>-10571.0</t>
  </si>
  <si>
    <t>0.2112857142857143</t>
  </si>
  <si>
    <t>0.4060692117637617</t>
  </si>
  <si>
    <t>0.5425128932270527</t>
  </si>
  <si>
    <t>0.5538759</t>
  </si>
  <si>
    <t>-225.0</t>
  </si>
  <si>
    <t>0.2321</t>
  </si>
  <si>
    <t>0.8357708804344672</t>
  </si>
  <si>
    <t>0.1205496013786904</t>
  </si>
  <si>
    <t>0.05203641</t>
  </si>
  <si>
    <t>0.31361613</t>
  </si>
  <si>
    <t>-4593.0</t>
  </si>
  <si>
    <t>0.0978666666666666</t>
  </si>
  <si>
    <t>9.22395307949271</t>
  </si>
  <si>
    <t>13212.0</t>
  </si>
  <si>
    <t>0.5709508149260832</t>
  </si>
  <si>
    <t>0.4217027989689329</t>
  </si>
  <si>
    <t>0.3893388</t>
  </si>
  <si>
    <t>0.5396844</t>
  </si>
  <si>
    <t>-654.0</t>
  </si>
  <si>
    <t>0.2416296296296296</t>
  </si>
  <si>
    <t>0.4232916217219218</t>
  </si>
  <si>
    <t>29358.0</t>
  </si>
  <si>
    <t>0.2693641765058265</t>
  </si>
  <si>
    <t>0.4480551484823247</t>
  </si>
  <si>
    <t>0.5922266</t>
  </si>
  <si>
    <t>0.1076363636363636</t>
  </si>
  <si>
    <t>0.3032879501407123</t>
  </si>
  <si>
    <t>0.5324252123467714</t>
  </si>
  <si>
    <t>0.7389696</t>
  </si>
  <si>
    <t>-8499.0</t>
  </si>
  <si>
    <t>0.5304457701245556</t>
  </si>
  <si>
    <t>0.2809243693235316</t>
  </si>
  <si>
    <t>0.7091891</t>
  </si>
  <si>
    <t>0.07532919</t>
  </si>
  <si>
    <t>-10582.0</t>
  </si>
  <si>
    <t>0.1711333333333333</t>
  </si>
  <si>
    <t>2.855928551354081</t>
  </si>
  <si>
    <t>23103.0</t>
  </si>
  <si>
    <t>0.3343016228698741</t>
  </si>
  <si>
    <t>0.4017304640820629</t>
  </si>
  <si>
    <t>0.42821795</t>
  </si>
  <si>
    <t>-8199.0</t>
  </si>
  <si>
    <t>0.1662</t>
  </si>
  <si>
    <t>4.6383977884151495</t>
  </si>
  <si>
    <t>0.4357056925973463</t>
  </si>
  <si>
    <t>0.329163858440971</t>
  </si>
  <si>
    <t>0.46010202</t>
  </si>
  <si>
    <t>-5338.0</t>
  </si>
  <si>
    <t>0.0822857142857142</t>
  </si>
  <si>
    <t>4.216917870337689</t>
  </si>
  <si>
    <t>10368.0</t>
  </si>
  <si>
    <t>0.5739886758335713</t>
  </si>
  <si>
    <t>0.3391492761058229</t>
  </si>
  <si>
    <t>0.7530674</t>
  </si>
  <si>
    <t>0.20590457</t>
  </si>
  <si>
    <t>-7675.0</t>
  </si>
  <si>
    <t>0.6039</t>
  </si>
  <si>
    <t>0.9775116365463576</t>
  </si>
  <si>
    <t>54351.0</t>
  </si>
  <si>
    <t>0.5345355516623952</t>
  </si>
  <si>
    <t>0.3247506175889753</t>
  </si>
  <si>
    <t>0.4945352</t>
  </si>
  <si>
    <t>-3636.0</t>
  </si>
  <si>
    <t>0.280875</t>
  </si>
  <si>
    <t>2.4291033470041468</t>
  </si>
  <si>
    <t>40446.0</t>
  </si>
  <si>
    <t>0.4928286720399457</t>
  </si>
  <si>
    <t>0.3184994908153</t>
  </si>
  <si>
    <t>0.4011036</t>
  </si>
  <si>
    <t>-6792.0</t>
  </si>
  <si>
    <t>0.3183318285038469</t>
  </si>
  <si>
    <t>0.4532682819746829</t>
  </si>
  <si>
    <t>0.70660526</t>
  </si>
  <si>
    <t>-5550.0</t>
  </si>
  <si>
    <t>0.2084186046511628</t>
  </si>
  <si>
    <t>1.5530351902124373</t>
  </si>
  <si>
    <t>40329.0</t>
  </si>
  <si>
    <t>0.5672363962429943</t>
  </si>
  <si>
    <t>0.3812305718477267</t>
  </si>
  <si>
    <t>1.3159556e-06</t>
  </si>
  <si>
    <t>-1425.0</t>
  </si>
  <si>
    <t>0.2944531878142122</t>
  </si>
  <si>
    <t>0.4267418023238717</t>
  </si>
  <si>
    <t>0.6191568</t>
  </si>
  <si>
    <t>-9019.0</t>
  </si>
  <si>
    <t>0.0673823529411764</t>
  </si>
  <si>
    <t>5.75012101135548</t>
  </si>
  <si>
    <t>10309.5</t>
  </si>
  <si>
    <t>0.2950408895565681</t>
  </si>
  <si>
    <t>0.5986591836529054</t>
  </si>
  <si>
    <t>0.631656</t>
  </si>
  <si>
    <t>-7789.0</t>
  </si>
  <si>
    <t>0.1094333333333333</t>
  </si>
  <si>
    <t>1.5365561313066989</t>
  </si>
  <si>
    <t>29547.0</t>
  </si>
  <si>
    <t>0.7015008165313599</t>
  </si>
  <si>
    <t>0.3514513815755972</t>
  </si>
  <si>
    <t>0.50249475</t>
  </si>
  <si>
    <t>-11493.0</t>
  </si>
  <si>
    <t>0.2839666666666666</t>
  </si>
  <si>
    <t>6.536257948055835</t>
  </si>
  <si>
    <t>38335.5</t>
  </si>
  <si>
    <t>0.28581643678748875</t>
  </si>
  <si>
    <t>0.6175565459702166</t>
  </si>
  <si>
    <t>0.6577639</t>
  </si>
  <si>
    <t>-6757.0</t>
  </si>
  <si>
    <t>0.1426666666666666</t>
  </si>
  <si>
    <t>2.388326837702648</t>
  </si>
  <si>
    <t>9630.0</t>
  </si>
  <si>
    <t>0.399524388955552</t>
  </si>
  <si>
    <t>0.5008963316612236</t>
  </si>
  <si>
    <t>0.73661757</t>
  </si>
  <si>
    <t>-6109.0</t>
  </si>
  <si>
    <t>0.1655</t>
  </si>
  <si>
    <t>4.2374892445733225</t>
  </si>
  <si>
    <t>31279.5</t>
  </si>
  <si>
    <t>0.2895357458764512</t>
  </si>
  <si>
    <t>0.3774012167969669</t>
  </si>
  <si>
    <t>0.53679305</t>
  </si>
  <si>
    <t>-296.0</t>
  </si>
  <si>
    <t>0.122</t>
  </si>
  <si>
    <t>6.693927591099569</t>
  </si>
  <si>
    <t>24705.0</t>
  </si>
  <si>
    <t>0.5474142229654952</t>
  </si>
  <si>
    <t>0.272498985731102</t>
  </si>
  <si>
    <t>-3038.0</t>
  </si>
  <si>
    <t>0.28275</t>
  </si>
  <si>
    <t>15268.5</t>
  </si>
  <si>
    <t>0.48721335588149806</t>
  </si>
  <si>
    <t>0.3572047018324467</t>
  </si>
  <si>
    <t>0.6065916</t>
  </si>
  <si>
    <t>-9657.0</t>
  </si>
  <si>
    <t>0.3870869565217391</t>
  </si>
  <si>
    <t>0.46534048174618775</t>
  </si>
  <si>
    <t>0.4747394753347597</t>
  </si>
  <si>
    <t>0.3264752</t>
  </si>
  <si>
    <t>0.6517333</t>
  </si>
  <si>
    <t>-4611.0</t>
  </si>
  <si>
    <t>0.10908</t>
  </si>
  <si>
    <t>4.39092013706075</t>
  </si>
  <si>
    <t>24543.0</t>
  </si>
  <si>
    <t>0.3840061481482534</t>
  </si>
  <si>
    <t>0.4861627338754116</t>
  </si>
  <si>
    <t>0.62967426</t>
  </si>
  <si>
    <t>0.43676233</t>
  </si>
  <si>
    <t>-3842.0</t>
  </si>
  <si>
    <t>0.169054054054054</t>
  </si>
  <si>
    <t>0.5711553285114354</t>
  </si>
  <si>
    <t>0.3381238211035809</t>
  </si>
  <si>
    <t>0.6695753</t>
  </si>
  <si>
    <t>-5879.0</t>
  </si>
  <si>
    <t>0.527570557028626</t>
  </si>
  <si>
    <t>0.520792770389925</t>
  </si>
  <si>
    <t>0.35069585</t>
  </si>
  <si>
    <t>0.49299926</t>
  </si>
  <si>
    <t>-3924.0</t>
  </si>
  <si>
    <t>0.2494857142857142</t>
  </si>
  <si>
    <t>39294.0</t>
  </si>
  <si>
    <t>0.574742816530891</t>
  </si>
  <si>
    <t>0.3908534947425214</t>
  </si>
  <si>
    <t>0.43423566</t>
  </si>
  <si>
    <t>-930.0</t>
  </si>
  <si>
    <t>0.1614</t>
  </si>
  <si>
    <t>0.8613841127909527</t>
  </si>
  <si>
    <t>47209.5</t>
  </si>
  <si>
    <t>0.7104895379405058</t>
  </si>
  <si>
    <t>0.2007296587976773</t>
  </si>
  <si>
    <t>0.17019062</t>
  </si>
  <si>
    <t>-3872.0</t>
  </si>
  <si>
    <t>0.2391077134410368</t>
  </si>
  <si>
    <t>36031.5</t>
  </si>
  <si>
    <t>0.42081858743795414</t>
  </si>
  <si>
    <t>0.304658444489106</t>
  </si>
  <si>
    <t>0.38591468</t>
  </si>
  <si>
    <t>0.50893384</t>
  </si>
  <si>
    <t>-6142.0</t>
  </si>
  <si>
    <t>0.0555555555555555</t>
  </si>
  <si>
    <t>0.16041900659984717</t>
  </si>
  <si>
    <t>0.5017712582992351</t>
  </si>
  <si>
    <t>0.6896915</t>
  </si>
  <si>
    <t>-149.0</t>
  </si>
  <si>
    <t>0.1821714285714285</t>
  </si>
  <si>
    <t>4.859400320881768</t>
  </si>
  <si>
    <t>28692.0</t>
  </si>
  <si>
    <t>0.6076375805447607</t>
  </si>
  <si>
    <t>0.3037248006611022</t>
  </si>
  <si>
    <t>0.56700325</t>
  </si>
  <si>
    <t>-2429.0</t>
  </si>
  <si>
    <t>0.2921333333333333</t>
  </si>
  <si>
    <t>5.308711817198564</t>
  </si>
  <si>
    <t>39438.0</t>
  </si>
  <si>
    <t>0.5194347802616256</t>
  </si>
  <si>
    <t>0.4443443492511166</t>
  </si>
  <si>
    <t>0.45826653</t>
  </si>
  <si>
    <t>-4290.0</t>
  </si>
  <si>
    <t>0.1797708333333333</t>
  </si>
  <si>
    <t>6.537400839618179</t>
  </si>
  <si>
    <t>38830.5</t>
  </si>
  <si>
    <t>0.22696464742336545</t>
  </si>
  <si>
    <t>0.4074960304429795</t>
  </si>
  <si>
    <t>0.39905664</t>
  </si>
  <si>
    <t>-11581.0</t>
  </si>
  <si>
    <t>0.19735</t>
  </si>
  <si>
    <t>20.37251547594485</t>
  </si>
  <si>
    <t>17761.5</t>
  </si>
  <si>
    <t>Сумма издержек</t>
  </si>
  <si>
    <t>Сумма прибыли</t>
  </si>
  <si>
    <t>Прибыль/издержки</t>
  </si>
  <si>
    <t>Коэффициенты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</si>
</sst>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71" formatCode="0.00000"/>
    <numFmt numFmtId="179" formatCode="#,##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171" fontId="1" fillId="0" borderId="0" xfId="0" applyNumberFormat="1" applyFont="1"/>
    <xf numFmtId="1" fontId="1" fillId="0" borderId="0" xfId="0" applyNumberFormat="1" applyFont="1"/>
    <xf numFmtId="168" fontId="1" fillId="0" borderId="0" xfId="0" applyNumberFormat="1" applyFont="1"/>
    <xf numFmtId="0" fontId="3" fillId="0" borderId="0" xfId="0" applyFont="1"/>
    <xf numFmtId="4" fontId="1" fillId="0" borderId="0" xfId="0" applyNumberFormat="1" applyFont="1"/>
    <xf numFmtId="4" fontId="4" fillId="0" borderId="0" xfId="0" applyNumberFormat="1" applyFont="1" applyAlignment="1">
      <alignment horizontal="left" vertical="center" indent="1"/>
    </xf>
    <xf numFmtId="179" fontId="1" fillId="0" borderId="0" xfId="0" applyNumberFormat="1" applyFont="1"/>
    <xf numFmtId="0" fontId="2" fillId="2" borderId="1" xfId="1" applyBorder="1"/>
    <xf numFmtId="4" fontId="2" fillId="2" borderId="1" xfId="1" applyNumberFormat="1" applyBorder="1"/>
  </cellXfs>
  <cellStyles count="2">
    <cellStyle name="Акцент5" xfId="1" builtinId="45"/>
    <cellStyle name="Обычный" xfId="0" builtinId="0"/>
  </cellStyles>
  <dxfs count="56"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8" formatCode="0.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71" formatCode="0.0000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8" formatCode="0.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" formatCode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71" formatCode="0.0000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8E294AE-5B66-4BF9-B58A-D16CC53712A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proba" tableColumnId="2"/>
      <queryTableField id="3" name="weighted_ext_score" tableColumnId="3"/>
      <queryTableField id="4" name="ext_source_3" tableColumnId="4"/>
      <queryTableField id="5" name="ext_source_2" tableColumnId="5"/>
      <queryTableField id="6" name="days_registration" tableColumnId="6"/>
      <queryTableField id="7" name="days_birth" tableColumnId="7"/>
      <queryTableField id="8" name="days_id_publish" tableColumnId="8"/>
      <queryTableField id="9" name="annuity_to_income_proportion" tableColumnId="9"/>
      <queryTableField id="10" name="interest_rate" tableColumnId="10"/>
      <queryTableField id="11" name="days_employed" tableColumnId="11"/>
      <queryTableField id="12" name="amt_annu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99056E-8E31-4663-BC8D-B98E2C707DE1}" name="_1000_заявлений" displayName="_1000_заявлений" ref="A1:L1001" tableType="queryTable" totalsRowShown="0">
  <autoFilter ref="A1:L1001" xr:uid="{8C99056E-8E31-4663-BC8D-B98E2C707DE1}"/>
  <tableColumns count="12">
    <tableColumn id="1" xr3:uid="{EFDE1DA5-9DD6-4F96-8185-B8FC10CB0E34}" uniqueName="1" name="Column1" queryTableFieldId="1"/>
    <tableColumn id="2" xr3:uid="{D470D52B-6DE2-473B-8189-F79982F0E28C}" uniqueName="2" name="proba" queryTableFieldId="2" dataDxfId="55"/>
    <tableColumn id="3" xr3:uid="{78905B6C-B835-448A-850A-971196B31774}" uniqueName="3" name="weighted_ext_score" queryTableFieldId="3" dataDxfId="54"/>
    <tableColumn id="4" xr3:uid="{EAFCF651-8BC6-444A-80FE-08668F18266D}" uniqueName="4" name="ext_source_3" queryTableFieldId="4" dataDxfId="53"/>
    <tableColumn id="5" xr3:uid="{8B4E4C22-D13E-4FC6-9C89-901A2377B8A4}" uniqueName="5" name="ext_source_2" queryTableFieldId="5" dataDxfId="52"/>
    <tableColumn id="6" xr3:uid="{7BD0B273-3D74-4DB0-983D-EFE6F72E0AC2}" uniqueName="6" name="days_registration" queryTableFieldId="6" dataDxfId="51"/>
    <tableColumn id="7" xr3:uid="{19450F2D-3A8C-413E-B49B-5248CC97B67F}" uniqueName="7" name="days_birth" queryTableFieldId="7"/>
    <tableColumn id="8" xr3:uid="{A1DC801E-3D79-4CC2-8D49-E8F4BCB6E395}" uniqueName="8" name="days_id_publish" queryTableFieldId="8"/>
    <tableColumn id="9" xr3:uid="{71337BF1-94AB-4E80-982D-3E211A3F551D}" uniqueName="9" name="annuity_to_income_proportion" queryTableFieldId="9" dataDxfId="50"/>
    <tableColumn id="10" xr3:uid="{282C5695-BA00-44F6-945C-6CA14546264A}" uniqueName="10" name="interest_rate" queryTableFieldId="10" dataDxfId="49"/>
    <tableColumn id="11" xr3:uid="{7884189D-1A38-4CE4-AE4A-5360295506E8}" uniqueName="11" name="days_employed" queryTableFieldId="11"/>
    <tableColumn id="12" xr3:uid="{D79E5881-D259-455D-888F-E419A1564A59}" uniqueName="12" name="amt_annuity" queryTableFieldId="12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7F1AA0-6300-488B-93DD-CD5FE311708F}" name="Данные" displayName="Данные" ref="A7:V1007" totalsRowShown="0" headerRowDxfId="35" dataDxfId="34">
  <autoFilter ref="A7:V1007" xr:uid="{427F1AA0-6300-488B-93DD-CD5FE311708F}"/>
  <sortState xmlns:xlrd2="http://schemas.microsoft.com/office/spreadsheetml/2017/richdata2" ref="A8:V1007">
    <sortCondition ref="A7:A1007"/>
  </sortState>
  <tableColumns count="22">
    <tableColumn id="1" xr3:uid="{36BCBA51-343B-4873-AF7D-D2FACC0538CA}" name="id" dataDxfId="47">
      <calculatedColumnFormula>'1000_заявлений'!A2</calculatedColumnFormula>
    </tableColumn>
    <tableColumn id="2" xr3:uid="{C06C1245-64E8-432E-B4C8-860CEFAB24FB}" name="proba" dataDxfId="46">
      <calculatedColumnFormula>VALUE(SUBSTITUTE('1000_заявлений'!B2, ".", ","))</calculatedColumnFormula>
    </tableColumn>
    <tableColumn id="3" xr3:uid="{C8DE174A-33C2-4DB9-8A05-F3A03E6F6C16}" name="weighted_ext_score" dataDxfId="45">
      <calculatedColumnFormula>VALUE(SUBSTITUTE('1000_заявлений'!C2, ".", ","))</calculatedColumnFormula>
    </tableColumn>
    <tableColumn id="4" xr3:uid="{51C5C1FF-5BE7-40EE-B50E-73ABECF95650}" name="ext_source_3" dataDxfId="44">
      <calculatedColumnFormula>VALUE(SUBSTITUTE('1000_заявлений'!D2, ".", ","))</calculatedColumnFormula>
    </tableColumn>
    <tableColumn id="5" xr3:uid="{60D88A41-C1B6-4E6A-B41C-ADECC138CD0F}" name="ext_source_2" dataDxfId="43">
      <calculatedColumnFormula>VALUE(SUBSTITUTE('1000_заявлений'!E2, ".", ","))</calculatedColumnFormula>
    </tableColumn>
    <tableColumn id="6" xr3:uid="{BDBCC591-3890-4724-B79F-A294912165D1}" name="days_registration" dataDxfId="42">
      <calculatedColumnFormula>VALUE(SUBSTITUTE('1000_заявлений'!F2, ".", ","))</calculatedColumnFormula>
    </tableColumn>
    <tableColumn id="7" xr3:uid="{FB69FECD-DA51-4131-A30E-FFF8A14505D6}" name="days_birth" dataDxfId="41">
      <calculatedColumnFormula>VALUE(SUBSTITUTE('1000_заявлений'!G2, ".", ","))</calculatedColumnFormula>
    </tableColumn>
    <tableColumn id="8" xr3:uid="{3A7EEAB1-41F5-486B-AD69-D560243E45DE}" name="days_id_publish" dataDxfId="40">
      <calculatedColumnFormula>VALUE(SUBSTITUTE('1000_заявлений'!H2, ".", ","))</calculatedColumnFormula>
    </tableColumn>
    <tableColumn id="9" xr3:uid="{5FCB90E2-C321-4CCE-965F-9A828915360D}" name=" annuity_to_income_proportion" dataDxfId="39">
      <calculatedColumnFormula>VALUE(SUBSTITUTE('1000_заявлений'!I2, ".", ","))</calculatedColumnFormula>
    </tableColumn>
    <tableColumn id="10" xr3:uid="{29DAAB1F-512C-481C-9FD5-55C3B48370D2}" name=" interest_rate" dataDxfId="38">
      <calculatedColumnFormula>VALUE(SUBSTITUTE('1000_заявлений'!J2, ".", ","))</calculatedColumnFormula>
    </tableColumn>
    <tableColumn id="11" xr3:uid="{D4ACD40F-9C4E-4127-AC29-92FF99CAD79D}" name="days_employed" dataDxfId="37">
      <calculatedColumnFormula>VALUE(SUBSTITUTE('1000_заявлений'!K2, ".", ","))</calculatedColumnFormula>
    </tableColumn>
    <tableColumn id="12" xr3:uid="{DE1E3C74-7888-4982-BB5E-DC4A20B5A588}" name=" amt_annuity" dataDxfId="36">
      <calculatedColumnFormula>VALUE(SUBSTITUTE('1000_заявлений'!L2, ".", ","))</calculatedColumnFormula>
    </tableColumn>
    <tableColumn id="13" xr3:uid="{2597A56E-BF28-49D5-8212-557A4F151EBE}" name="Проверка отказа" dataDxfId="33">
      <calculatedColumnFormula>IF(Данные[[#This Row],[proba]]&gt;$C$6, "отказ", "одобрение")</calculatedColumnFormula>
    </tableColumn>
    <tableColumn id="14" xr3:uid="{E29D91FA-6BAC-4944-BE18-0B752DF2E130}" name="Базовая сумма" dataDxfId="32">
      <calculatedColumnFormula>IF(Данные[[#This Row],[proba]]&lt;$D$2,$C$2,IF(Данные[[#This Row],[proba]]&lt;$D$3,$C$3,IF(Данные[[#This Row],[proba]]&gt;$C$6,0,$C$4)))</calculatedColumnFormula>
    </tableColumn>
    <tableColumn id="15" xr3:uid="{B2CA2DC6-1781-4B8A-8C74-C8935643ED93}" name="weighted_ext_score2" dataDxfId="31">
      <calculatedColumnFormula>IF(Данные[[#This Row],[weighted_ext_score]]&gt;$O$1,MIN(Данные[[#This Row],[Базовая сумма]]*$O$2,$C$2),IF(Данные[[#This Row],[weighted_ext_score]]&lt;$O$3,Данные[[#This Row],[Базовая сумма]]*$O$4,N8))</calculatedColumnFormula>
    </tableColumn>
    <tableColumn id="16" xr3:uid="{1AF2074E-C36E-4F97-8CB4-3C1A62AD557F}" name="annuity_to_income" dataDxfId="30">
      <calculatedColumnFormula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calculatedColumnFormula>
    </tableColumn>
    <tableColumn id="17" xr3:uid="{A6274E13-6570-40CE-808C-4FFBC0B9D8A4}" name="days_employed3" dataDxfId="29">
      <calculatedColumnFormula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calculatedColumnFormula>
    </tableColumn>
    <tableColumn id="18" xr3:uid="{9C9EC784-BA41-4CD4-A31B-65DA05D7A932}" name="age_years" dataDxfId="28">
      <calculatedColumnFormula>ABS(Данные[[#This Row],[days_birth]])/365.2425</calculatedColumnFormula>
    </tableColumn>
    <tableColumn id="19" xr3:uid="{122181A9-BF79-4BB3-9303-667D46CAA80B}" name="days_birth4" dataDxfId="27">
      <calculatedColumnFormula>IF(Данные[[#This Row],[age_years]]&lt;$S$1,Данные[[#This Row],[days_employed3]]*$S$2,IF(Данные[[#This Row],[age_years]]&gt;$S$3,MIN(Данные[[#This Row],[days_employed3]]*$S$4,$C$2),Данные[[#This Row],[days_employed3]]))</calculatedColumnFormula>
    </tableColumn>
    <tableColumn id="20" xr3:uid="{BC2AD643-E867-4C27-9963-A5F3769DD0BA}" name="interest_rate" dataDxfId="26">
      <calculatedColumnFormula>IF(Данные[[#This Row],[ interest_rate]]&gt;$T$1,Данные[[#This Row],[days_birth4]]*$T$2,Данные[[#This Row],[days_birth4]])</calculatedColumnFormula>
    </tableColumn>
    <tableColumn id="21" xr3:uid="{9C8C694C-CCE7-4340-8CE5-725B6487091A}" name="Минимум 20000" dataDxfId="25">
      <calculatedColumnFormula>IF(Данные[[#This Row],[Проверка отказа]]="отказ",0,MAX(Данные[[#This Row],[interest_rate]],$C$1))</calculatedColumnFormula>
    </tableColumn>
    <tableColumn id="22" xr3:uid="{81A11BE3-71DE-4FF1-AF6D-B9578755E3EE}" name="Итоговая сумма" dataDxfId="24">
      <calculatedColumnFormula>MROUND(Данные[[#This Row],[Минимум 20000]], 100)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9BE7C8-2096-4944-814C-4ECE8B2E3CC0}" name="Данные6" displayName="Данные6" ref="A7:V1007" totalsRowShown="0" headerRowDxfId="23" dataDxfId="22">
  <autoFilter ref="A7:V1007" xr:uid="{A29BE7C8-2096-4944-814C-4ECE8B2E3CC0}"/>
  <sortState xmlns:xlrd2="http://schemas.microsoft.com/office/spreadsheetml/2017/richdata2" ref="A8:V1007">
    <sortCondition ref="A7:A1007"/>
  </sortState>
  <tableColumns count="22">
    <tableColumn id="1" xr3:uid="{D430AD19-125C-468F-95A5-1EEACA04487B}" name="id" dataDxfId="21">
      <calculatedColumnFormula>'1000_заявлений'!A2</calculatedColumnFormula>
    </tableColumn>
    <tableColumn id="2" xr3:uid="{1A348CC0-6A4F-45DE-8874-E2B2ACB6C790}" name="proba" dataDxfId="20">
      <calculatedColumnFormula>VALUE(SUBSTITUTE('1000_заявлений'!B2, ".", ","))</calculatedColumnFormula>
    </tableColumn>
    <tableColumn id="3" xr3:uid="{5E7E494B-09FD-4C76-9844-310572AE1052}" name="weighted_ext_score" dataDxfId="19">
      <calculatedColumnFormula>VALUE(SUBSTITUTE('1000_заявлений'!C2, ".", ","))</calculatedColumnFormula>
    </tableColumn>
    <tableColumn id="4" xr3:uid="{5C17F2C4-B0DE-49A4-9D10-ACFE8C2B3ED4}" name="ext_source_3" dataDxfId="18">
      <calculatedColumnFormula>VALUE(SUBSTITUTE('1000_заявлений'!D2, ".", ","))</calculatedColumnFormula>
    </tableColumn>
    <tableColumn id="5" xr3:uid="{4039E61C-EA39-4FD9-8C25-5A4A7154F180}" name="ext_source_2" dataDxfId="17">
      <calculatedColumnFormula>VALUE(SUBSTITUTE('1000_заявлений'!E2, ".", ","))</calculatedColumnFormula>
    </tableColumn>
    <tableColumn id="6" xr3:uid="{D39367C5-7624-477B-A192-9EBDF9328EAB}" name="days_registration" dataDxfId="16">
      <calculatedColumnFormula>VALUE(SUBSTITUTE('1000_заявлений'!F2, ".", ","))</calculatedColumnFormula>
    </tableColumn>
    <tableColumn id="7" xr3:uid="{3B10C198-CDEB-47EA-858D-97FD9C3B7CDC}" name="days_birth" dataDxfId="15">
      <calculatedColumnFormula>VALUE(SUBSTITUTE('1000_заявлений'!G2, ".", ","))</calculatedColumnFormula>
    </tableColumn>
    <tableColumn id="8" xr3:uid="{FC2E05D7-39BA-4E5A-A942-8DCA870758D3}" name="days_id_publish" dataDxfId="14">
      <calculatedColumnFormula>VALUE(SUBSTITUTE('1000_заявлений'!H2, ".", ","))</calculatedColumnFormula>
    </tableColumn>
    <tableColumn id="9" xr3:uid="{6F8DAE5E-F484-4E96-B6F4-92D86100A6FF}" name=" annuity_to_income_proportion" dataDxfId="13">
      <calculatedColumnFormula>VALUE(SUBSTITUTE('1000_заявлений'!I2, ".", ","))</calculatedColumnFormula>
    </tableColumn>
    <tableColumn id="10" xr3:uid="{839ADADE-BEA8-4E37-9D16-DBE9D78E2217}" name=" interest_rate" dataDxfId="12">
      <calculatedColumnFormula>VALUE(SUBSTITUTE('1000_заявлений'!J2, ".", ","))</calculatedColumnFormula>
    </tableColumn>
    <tableColumn id="11" xr3:uid="{2DFE53DA-71EC-4EFB-A0B5-5EA710894053}" name="days_employed" dataDxfId="11">
      <calculatedColumnFormula>VALUE(SUBSTITUTE('1000_заявлений'!K2, ".", ","))</calculatedColumnFormula>
    </tableColumn>
    <tableColumn id="12" xr3:uid="{2397561C-BFCB-452C-95EB-860901B9F54F}" name=" amt_annuity" dataDxfId="10">
      <calculatedColumnFormula>VALUE(SUBSTITUTE('1000_заявлений'!L2, ".", ","))</calculatedColumnFormula>
    </tableColumn>
    <tableColumn id="13" xr3:uid="{10B90FA8-1644-4015-85B0-CD3D7A7C1C14}" name="Проверка отказа" dataDxfId="9">
      <calculatedColumnFormula>IF(Данные6[[#This Row],[proba]]&gt;$C$6, "отказ", "одобрение")</calculatedColumnFormula>
    </tableColumn>
    <tableColumn id="14" xr3:uid="{C5F09D1E-E000-4554-BFAA-68F64E4EB217}" name="Базовая сумма" dataDxfId="8">
      <calculatedColumnFormula>IF(Данные6[[#This Row],[proba]]&lt;$D$2,$C$2,IF(Данные6[[#This Row],[proba]]&lt;$D$3,$C$3,IF(Данные6[[#This Row],[proba]]&gt;$C$6,0,$C$4)))</calculatedColumnFormula>
    </tableColumn>
    <tableColumn id="15" xr3:uid="{414C4F48-271F-4730-B943-34B6AC064A3B}" name="weighted_ext_score2" dataDxfId="7">
      <calculatedColumnFormula>IF(Данные6[[#This Row],[weighted_ext_score]]&gt;$O$1,MIN(Данные6[[#This Row],[Базовая сумма]]*$O$2,$C$2),IF(Данные6[[#This Row],[weighted_ext_score]]&lt;$O$3,Данные6[[#This Row],[Базовая сумма]]*$O$4,N8))</calculatedColumnFormula>
    </tableColumn>
    <tableColumn id="16" xr3:uid="{6D879317-1B8F-4C2B-9069-644189E0EC5A}" name="annuity_to_income" dataDxfId="6">
      <calculatedColumnFormula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calculatedColumnFormula>
    </tableColumn>
    <tableColumn id="17" xr3:uid="{EA8FAE16-89A2-4CD2-8284-EBC9D0E80B51}" name="days_employed3" dataDxfId="5">
      <calculatedColumnFormula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calculatedColumnFormula>
    </tableColumn>
    <tableColumn id="18" xr3:uid="{0B37A16F-6A12-400A-BE9E-713FB036E789}" name="age_years" dataDxfId="4">
      <calculatedColumnFormula>ABS(Данные6[[#This Row],[days_birth]])/365.2425</calculatedColumnFormula>
    </tableColumn>
    <tableColumn id="19" xr3:uid="{609023A1-0C95-41EB-B286-83215A43CECF}" name="days_birth4" dataDxfId="3">
      <calculatedColumnFormula>IF(Данные6[[#This Row],[age_years]]&lt;$S$1,Данные6[[#This Row],[days_employed3]]*$S$2,IF(Данные6[[#This Row],[age_years]]&gt;$S$3,MIN(Данные6[[#This Row],[days_employed3]]*$S$4,$C$2),Данные6[[#This Row],[days_employed3]]))</calculatedColumnFormula>
    </tableColumn>
    <tableColumn id="20" xr3:uid="{C75A13B9-6B85-4515-B011-36B5733AC22D}" name="interest_rate" dataDxfId="0">
      <calculatedColumnFormula>IF(Данные6[[#This Row],[ interest_rate]]&gt;$T$1,Данные6[[#This Row],[days_birth4]]*$T$2,Данные6[[#This Row],[days_birth4]])</calculatedColumnFormula>
    </tableColumn>
    <tableColumn id="21" xr3:uid="{4F53098A-5AC7-4D8A-A0D0-CDD5DFD9F8CE}" name="Минимум 20000" dataDxfId="2">
      <calculatedColumnFormula>IF(Данные6[[#This Row],[Проверка отказа]]="отказ",0,MAX(Данные6[[#This Row],[interest_rate]],$C$1))</calculatedColumnFormula>
    </tableColumn>
    <tableColumn id="22" xr3:uid="{DF29313C-0106-48D4-ABF8-4C8F0CBD3513}" name="Итоговая сумма" dataDxfId="1">
      <calculatedColumnFormula>MROUND(Данные6[[#This Row],[Минимум 20000]], 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7B6-DAD4-49F1-B010-CC18BAE46F4E}">
  <dimension ref="A1:L1001"/>
  <sheetViews>
    <sheetView workbookViewId="0">
      <selection activeCell="E27" sqref="E27"/>
    </sheetView>
  </sheetViews>
  <sheetFormatPr defaultRowHeight="15" x14ac:dyDescent="0.25"/>
  <cols>
    <col min="1" max="1" width="11.140625" bestFit="1" customWidth="1"/>
    <col min="2" max="2" width="19.85546875" bestFit="1" customWidth="1"/>
    <col min="3" max="3" width="21.5703125" bestFit="1" customWidth="1"/>
    <col min="4" max="5" width="15" bestFit="1" customWidth="1"/>
    <col min="6" max="6" width="18.7109375" bestFit="1" customWidth="1"/>
    <col min="7" max="7" width="12.5703125" bestFit="1" customWidth="1"/>
    <col min="8" max="8" width="17.7109375" bestFit="1" customWidth="1"/>
    <col min="9" max="9" width="31.5703125" bestFit="1" customWidth="1"/>
    <col min="10" max="10" width="18.85546875" bestFit="1" customWidth="1"/>
    <col min="11" max="11" width="17.42578125" bestFit="1" customWidth="1"/>
    <col min="12" max="12" width="14.42578125" bestFit="1" customWidth="1"/>
  </cols>
  <sheetData>
    <row r="1" spans="1:12" x14ac:dyDescent="0.25">
      <c r="A1" t="s">
        <v>29</v>
      </c>
      <c r="B1" t="s">
        <v>27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30</v>
      </c>
      <c r="J1" t="s">
        <v>14</v>
      </c>
      <c r="K1" t="s">
        <v>7</v>
      </c>
      <c r="L1" t="s">
        <v>709</v>
      </c>
    </row>
    <row r="2" spans="1:12" x14ac:dyDescent="0.25">
      <c r="A2">
        <v>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>
        <v>-24248</v>
      </c>
      <c r="H2">
        <v>-4638</v>
      </c>
      <c r="I2" s="1" t="s">
        <v>36</v>
      </c>
      <c r="J2" s="1" t="s">
        <v>37</v>
      </c>
      <c r="K2">
        <v>365243</v>
      </c>
      <c r="L2" s="1" t="s">
        <v>710</v>
      </c>
    </row>
    <row r="3" spans="1:12" x14ac:dyDescent="0.25">
      <c r="A3">
        <v>1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>
        <v>-13436</v>
      </c>
      <c r="H3">
        <v>-5901</v>
      </c>
      <c r="I3" s="1" t="s">
        <v>43</v>
      </c>
      <c r="J3" s="1" t="s">
        <v>44</v>
      </c>
      <c r="K3">
        <v>-193</v>
      </c>
      <c r="L3" s="1" t="s">
        <v>711</v>
      </c>
    </row>
    <row r="4" spans="1:12" x14ac:dyDescent="0.25">
      <c r="A4">
        <v>2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>
        <v>-20066</v>
      </c>
      <c r="H4">
        <v>-3474</v>
      </c>
      <c r="I4" s="1" t="s">
        <v>50</v>
      </c>
      <c r="J4" s="1" t="s">
        <v>51</v>
      </c>
      <c r="K4">
        <v>-153</v>
      </c>
      <c r="L4" s="1" t="s">
        <v>712</v>
      </c>
    </row>
    <row r="5" spans="1:12" x14ac:dyDescent="0.25">
      <c r="A5">
        <v>3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>
        <v>-16953</v>
      </c>
      <c r="H5">
        <v>-510</v>
      </c>
      <c r="I5" s="1" t="s">
        <v>57</v>
      </c>
      <c r="J5" s="1" t="s">
        <v>58</v>
      </c>
      <c r="K5">
        <v>-4400</v>
      </c>
      <c r="L5" s="1" t="s">
        <v>713</v>
      </c>
    </row>
    <row r="6" spans="1:12" x14ac:dyDescent="0.25">
      <c r="A6">
        <v>4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>
        <v>-9028</v>
      </c>
      <c r="H6">
        <v>-1695</v>
      </c>
      <c r="I6" s="1" t="s">
        <v>64</v>
      </c>
      <c r="J6" s="1" t="s">
        <v>65</v>
      </c>
      <c r="K6">
        <v>-1056</v>
      </c>
      <c r="L6" s="1" t="s">
        <v>714</v>
      </c>
    </row>
    <row r="7" spans="1:12" x14ac:dyDescent="0.25">
      <c r="A7">
        <v>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>
        <v>-17356</v>
      </c>
      <c r="H7">
        <v>-910</v>
      </c>
      <c r="I7" s="1" t="s">
        <v>71</v>
      </c>
      <c r="J7" s="1" t="s">
        <v>72</v>
      </c>
      <c r="K7">
        <v>-1897</v>
      </c>
      <c r="L7" s="1" t="s">
        <v>715</v>
      </c>
    </row>
    <row r="8" spans="1:12" x14ac:dyDescent="0.25">
      <c r="A8">
        <v>6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>
        <v>-23233</v>
      </c>
      <c r="H8">
        <v>-4172</v>
      </c>
      <c r="I8" s="1" t="s">
        <v>78</v>
      </c>
      <c r="J8" s="1" t="s">
        <v>79</v>
      </c>
      <c r="K8">
        <v>-881</v>
      </c>
      <c r="L8" s="1" t="s">
        <v>716</v>
      </c>
    </row>
    <row r="9" spans="1:12" x14ac:dyDescent="0.25">
      <c r="A9">
        <v>7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>
        <v>-18719</v>
      </c>
      <c r="H9">
        <v>-2278</v>
      </c>
      <c r="I9" s="1" t="s">
        <v>85</v>
      </c>
      <c r="J9" s="1" t="s">
        <v>86</v>
      </c>
      <c r="K9">
        <v>-9768</v>
      </c>
      <c r="L9" s="1" t="s">
        <v>717</v>
      </c>
    </row>
    <row r="10" spans="1:12" x14ac:dyDescent="0.25">
      <c r="A10">
        <v>8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91</v>
      </c>
      <c r="G10">
        <v>-14817</v>
      </c>
      <c r="H10">
        <v>-4892</v>
      </c>
      <c r="I10" s="1" t="s">
        <v>92</v>
      </c>
      <c r="J10" s="1" t="s">
        <v>93</v>
      </c>
      <c r="K10">
        <v>-648</v>
      </c>
      <c r="L10" s="1" t="s">
        <v>718</v>
      </c>
    </row>
    <row r="11" spans="1:12" x14ac:dyDescent="0.25">
      <c r="A11">
        <v>9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>
        <v>-19962</v>
      </c>
      <c r="H11">
        <v>-3519</v>
      </c>
      <c r="I11" s="1" t="s">
        <v>99</v>
      </c>
      <c r="J11" s="1" t="s">
        <v>100</v>
      </c>
      <c r="K11">
        <v>-6395</v>
      </c>
      <c r="L11" s="1" t="s">
        <v>719</v>
      </c>
    </row>
    <row r="12" spans="1:12" x14ac:dyDescent="0.25">
      <c r="A12">
        <v>10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>
        <v>-14908</v>
      </c>
      <c r="H12">
        <v>-1827</v>
      </c>
      <c r="I12" s="1" t="s">
        <v>106</v>
      </c>
      <c r="J12" s="1" t="s">
        <v>107</v>
      </c>
      <c r="K12">
        <v>-125</v>
      </c>
      <c r="L12" s="1" t="s">
        <v>720</v>
      </c>
    </row>
    <row r="13" spans="1:12" x14ac:dyDescent="0.25">
      <c r="A13">
        <v>11</v>
      </c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>
        <v>-9400</v>
      </c>
      <c r="H13">
        <v>-1953</v>
      </c>
      <c r="I13" s="1" t="s">
        <v>113</v>
      </c>
      <c r="J13" s="1" t="s">
        <v>114</v>
      </c>
      <c r="K13">
        <v>-536</v>
      </c>
      <c r="L13" s="1" t="s">
        <v>721</v>
      </c>
    </row>
    <row r="14" spans="1:12" x14ac:dyDescent="0.25">
      <c r="A14">
        <v>12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>
        <v>-22336</v>
      </c>
      <c r="H14">
        <v>-992</v>
      </c>
      <c r="I14" s="1" t="s">
        <v>120</v>
      </c>
      <c r="J14" s="1" t="s">
        <v>121</v>
      </c>
      <c r="K14">
        <v>365243</v>
      </c>
      <c r="L14" s="1" t="s">
        <v>722</v>
      </c>
    </row>
    <row r="15" spans="1:12" x14ac:dyDescent="0.25">
      <c r="A15">
        <v>13</v>
      </c>
      <c r="B15" s="1" t="s">
        <v>122</v>
      </c>
      <c r="C15" s="1" t="s">
        <v>123</v>
      </c>
      <c r="D15" s="1" t="s">
        <v>124</v>
      </c>
      <c r="E15" s="1" t="s">
        <v>125</v>
      </c>
      <c r="F15" s="1" t="s">
        <v>126</v>
      </c>
      <c r="G15">
        <v>-15828</v>
      </c>
      <c r="H15">
        <v>-3502</v>
      </c>
      <c r="I15" s="1" t="s">
        <v>127</v>
      </c>
      <c r="J15" s="1" t="s">
        <v>128</v>
      </c>
      <c r="K15">
        <v>-2758</v>
      </c>
      <c r="L15" s="1" t="s">
        <v>723</v>
      </c>
    </row>
    <row r="16" spans="1:12" x14ac:dyDescent="0.25">
      <c r="A16">
        <v>14</v>
      </c>
      <c r="B16" s="1" t="s">
        <v>129</v>
      </c>
      <c r="C16" s="1" t="s">
        <v>130</v>
      </c>
      <c r="D16" s="1" t="s">
        <v>131</v>
      </c>
      <c r="E16" s="1" t="s">
        <v>132</v>
      </c>
      <c r="F16" s="1" t="s">
        <v>133</v>
      </c>
      <c r="G16">
        <v>-16140</v>
      </c>
      <c r="H16">
        <v>-2280</v>
      </c>
      <c r="I16" s="1" t="s">
        <v>134</v>
      </c>
      <c r="J16" s="1" t="s">
        <v>135</v>
      </c>
      <c r="K16">
        <v>-372</v>
      </c>
      <c r="L16" s="1" t="s">
        <v>724</v>
      </c>
    </row>
    <row r="17" spans="1:12" x14ac:dyDescent="0.25">
      <c r="A17">
        <v>15</v>
      </c>
      <c r="B17" s="1" t="s">
        <v>136</v>
      </c>
      <c r="C17" s="1" t="s">
        <v>137</v>
      </c>
      <c r="D17" s="1" t="s">
        <v>138</v>
      </c>
      <c r="E17" s="1" t="s">
        <v>139</v>
      </c>
      <c r="F17" s="1" t="s">
        <v>140</v>
      </c>
      <c r="G17">
        <v>-16802</v>
      </c>
      <c r="H17">
        <v>-341</v>
      </c>
      <c r="I17" s="1" t="s">
        <v>141</v>
      </c>
      <c r="J17" s="1" t="s">
        <v>142</v>
      </c>
      <c r="K17">
        <v>-1322</v>
      </c>
      <c r="L17" s="1" t="s">
        <v>725</v>
      </c>
    </row>
    <row r="18" spans="1:12" x14ac:dyDescent="0.25">
      <c r="A18">
        <v>16</v>
      </c>
      <c r="B18" s="1" t="s">
        <v>143</v>
      </c>
      <c r="C18" s="1" t="s">
        <v>144</v>
      </c>
      <c r="D18" s="1" t="s">
        <v>145</v>
      </c>
      <c r="E18" s="1" t="s">
        <v>146</v>
      </c>
      <c r="F18" s="1" t="s">
        <v>147</v>
      </c>
      <c r="G18">
        <v>-21511</v>
      </c>
      <c r="H18">
        <v>-4947</v>
      </c>
      <c r="I18" s="1" t="s">
        <v>148</v>
      </c>
      <c r="J18" s="1" t="s">
        <v>149</v>
      </c>
      <c r="K18">
        <v>-14318</v>
      </c>
      <c r="L18" s="1" t="s">
        <v>726</v>
      </c>
    </row>
    <row r="19" spans="1:12" x14ac:dyDescent="0.25">
      <c r="A19">
        <v>17</v>
      </c>
      <c r="B19" s="1" t="s">
        <v>150</v>
      </c>
      <c r="C19" s="1" t="s">
        <v>151</v>
      </c>
      <c r="D19" s="1" t="s">
        <v>152</v>
      </c>
      <c r="E19" s="1" t="s">
        <v>153</v>
      </c>
      <c r="F19" s="1" t="s">
        <v>154</v>
      </c>
      <c r="G19">
        <v>-17129</v>
      </c>
      <c r="H19">
        <v>-666</v>
      </c>
      <c r="I19" s="1" t="s">
        <v>155</v>
      </c>
      <c r="J19" s="1" t="s">
        <v>156</v>
      </c>
      <c r="K19">
        <v>-833</v>
      </c>
      <c r="L19" s="1" t="s">
        <v>727</v>
      </c>
    </row>
    <row r="20" spans="1:12" x14ac:dyDescent="0.25">
      <c r="A20">
        <v>18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>
        <v>-21040</v>
      </c>
      <c r="H20">
        <v>-4385</v>
      </c>
      <c r="I20" s="1" t="s">
        <v>162</v>
      </c>
      <c r="J20" s="1" t="s">
        <v>163</v>
      </c>
      <c r="K20">
        <v>-2228</v>
      </c>
      <c r="L20" s="1" t="s">
        <v>728</v>
      </c>
    </row>
    <row r="21" spans="1:12" x14ac:dyDescent="0.25">
      <c r="A21">
        <v>19</v>
      </c>
      <c r="B21" s="1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>
        <v>-9907</v>
      </c>
      <c r="H21">
        <v>-314</v>
      </c>
      <c r="I21" s="1" t="s">
        <v>169</v>
      </c>
      <c r="J21" s="1" t="s">
        <v>170</v>
      </c>
      <c r="K21">
        <v>-1616</v>
      </c>
      <c r="L21" s="1" t="s">
        <v>729</v>
      </c>
    </row>
    <row r="22" spans="1:12" x14ac:dyDescent="0.25">
      <c r="A22">
        <v>20</v>
      </c>
      <c r="B22" s="1" t="s">
        <v>171</v>
      </c>
      <c r="C22" s="1" t="s">
        <v>172</v>
      </c>
      <c r="D22" s="1" t="s">
        <v>173</v>
      </c>
      <c r="E22" s="1" t="s">
        <v>174</v>
      </c>
      <c r="F22" s="1" t="s">
        <v>175</v>
      </c>
      <c r="G22">
        <v>-8706</v>
      </c>
      <c r="H22">
        <v>-1398</v>
      </c>
      <c r="I22" s="1" t="s">
        <v>176</v>
      </c>
      <c r="J22" s="1" t="s">
        <v>177</v>
      </c>
      <c r="K22">
        <v>-350</v>
      </c>
      <c r="L22" s="1" t="s">
        <v>730</v>
      </c>
    </row>
    <row r="23" spans="1:12" x14ac:dyDescent="0.25">
      <c r="A23">
        <v>21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>
        <v>-16020</v>
      </c>
      <c r="H23">
        <v>-2225</v>
      </c>
      <c r="I23" s="1" t="s">
        <v>183</v>
      </c>
      <c r="J23" s="1" t="s">
        <v>184</v>
      </c>
      <c r="K23">
        <v>-1062</v>
      </c>
      <c r="L23" s="1" t="s">
        <v>731</v>
      </c>
    </row>
    <row r="24" spans="1:12" x14ac:dyDescent="0.25">
      <c r="A24">
        <v>22</v>
      </c>
      <c r="B24" s="1" t="s">
        <v>185</v>
      </c>
      <c r="C24" s="1" t="s">
        <v>186</v>
      </c>
      <c r="D24" s="1" t="s">
        <v>187</v>
      </c>
      <c r="E24" s="1" t="s">
        <v>188</v>
      </c>
      <c r="F24" s="1" t="s">
        <v>189</v>
      </c>
      <c r="G24">
        <v>-21284</v>
      </c>
      <c r="H24">
        <v>-4302</v>
      </c>
      <c r="I24" s="1" t="s">
        <v>190</v>
      </c>
      <c r="J24" s="1" t="s">
        <v>191</v>
      </c>
      <c r="K24">
        <v>365243</v>
      </c>
      <c r="L24" s="1" t="s">
        <v>732</v>
      </c>
    </row>
    <row r="25" spans="1:12" x14ac:dyDescent="0.25">
      <c r="A25">
        <v>23</v>
      </c>
      <c r="B25" s="1" t="s">
        <v>192</v>
      </c>
      <c r="C25" s="1" t="s">
        <v>193</v>
      </c>
      <c r="D25" s="1" t="s">
        <v>194</v>
      </c>
      <c r="E25" s="1" t="s">
        <v>195</v>
      </c>
      <c r="F25" s="1" t="s">
        <v>196</v>
      </c>
      <c r="G25">
        <v>-22555</v>
      </c>
      <c r="H25">
        <v>-4424</v>
      </c>
      <c r="I25" s="1" t="s">
        <v>197</v>
      </c>
      <c r="J25" s="1" t="s">
        <v>198</v>
      </c>
      <c r="K25">
        <v>365243</v>
      </c>
      <c r="L25" s="1" t="s">
        <v>733</v>
      </c>
    </row>
    <row r="26" spans="1:12" x14ac:dyDescent="0.25">
      <c r="A26">
        <v>24</v>
      </c>
      <c r="B26" s="1" t="s">
        <v>199</v>
      </c>
      <c r="C26" s="1" t="s">
        <v>200</v>
      </c>
      <c r="D26" s="1" t="s">
        <v>201</v>
      </c>
      <c r="E26" s="1" t="s">
        <v>202</v>
      </c>
      <c r="F26" s="1" t="s">
        <v>203</v>
      </c>
      <c r="G26">
        <v>-9089</v>
      </c>
      <c r="H26">
        <v>-1752</v>
      </c>
      <c r="I26" s="1" t="s">
        <v>204</v>
      </c>
      <c r="J26" s="1" t="s">
        <v>205</v>
      </c>
      <c r="K26">
        <v>-519</v>
      </c>
      <c r="L26" s="1" t="s">
        <v>734</v>
      </c>
    </row>
    <row r="27" spans="1:12" x14ac:dyDescent="0.25">
      <c r="A27">
        <v>25</v>
      </c>
      <c r="B27" s="1" t="s">
        <v>206</v>
      </c>
      <c r="C27" s="1" t="s">
        <v>207</v>
      </c>
      <c r="D27" s="1" t="s">
        <v>208</v>
      </c>
      <c r="E27" s="1" t="s">
        <v>209</v>
      </c>
      <c r="F27" s="1" t="s">
        <v>210</v>
      </c>
      <c r="G27">
        <v>-18715</v>
      </c>
      <c r="H27">
        <v>-2043</v>
      </c>
      <c r="I27" s="1" t="s">
        <v>211</v>
      </c>
      <c r="J27" s="1" t="s">
        <v>212</v>
      </c>
      <c r="K27">
        <v>-12117</v>
      </c>
      <c r="L27" s="1" t="s">
        <v>735</v>
      </c>
    </row>
    <row r="28" spans="1:12" x14ac:dyDescent="0.25">
      <c r="A28">
        <v>26</v>
      </c>
      <c r="B28" s="1" t="s">
        <v>213</v>
      </c>
      <c r="C28" s="1" t="s">
        <v>214</v>
      </c>
      <c r="D28" s="1" t="s">
        <v>215</v>
      </c>
      <c r="E28" s="1" t="s">
        <v>216</v>
      </c>
      <c r="F28" s="1" t="s">
        <v>217</v>
      </c>
      <c r="G28">
        <v>-16228</v>
      </c>
      <c r="H28">
        <v>-2385</v>
      </c>
      <c r="I28" s="1" t="s">
        <v>218</v>
      </c>
      <c r="J28" s="1" t="s">
        <v>219</v>
      </c>
      <c r="K28">
        <v>-2127</v>
      </c>
      <c r="L28" s="1" t="s">
        <v>736</v>
      </c>
    </row>
    <row r="29" spans="1:12" x14ac:dyDescent="0.25">
      <c r="A29">
        <v>27</v>
      </c>
      <c r="B29" s="1" t="s">
        <v>220</v>
      </c>
      <c r="C29" s="1" t="s">
        <v>221</v>
      </c>
      <c r="D29" s="1" t="s">
        <v>222</v>
      </c>
      <c r="E29" s="1" t="s">
        <v>223</v>
      </c>
      <c r="F29" s="1" t="s">
        <v>224</v>
      </c>
      <c r="G29">
        <v>-17125</v>
      </c>
      <c r="H29">
        <v>-686</v>
      </c>
      <c r="I29" s="1" t="s">
        <v>225</v>
      </c>
      <c r="J29" s="1" t="s">
        <v>226</v>
      </c>
      <c r="K29">
        <v>-1681</v>
      </c>
      <c r="L29" s="1" t="s">
        <v>737</v>
      </c>
    </row>
    <row r="30" spans="1:12" x14ac:dyDescent="0.25">
      <c r="A30">
        <v>28</v>
      </c>
      <c r="B30" s="1" t="s">
        <v>227</v>
      </c>
      <c r="C30" s="1" t="s">
        <v>228</v>
      </c>
      <c r="D30" s="1" t="s">
        <v>229</v>
      </c>
      <c r="E30" s="1" t="s">
        <v>230</v>
      </c>
      <c r="F30" s="1" t="s">
        <v>231</v>
      </c>
      <c r="G30">
        <v>-12471</v>
      </c>
      <c r="H30">
        <v>-2988</v>
      </c>
      <c r="I30" s="1" t="s">
        <v>232</v>
      </c>
      <c r="J30" s="1" t="s">
        <v>233</v>
      </c>
      <c r="K30">
        <v>-515</v>
      </c>
      <c r="L30" s="1" t="s">
        <v>738</v>
      </c>
    </row>
    <row r="31" spans="1:12" x14ac:dyDescent="0.25">
      <c r="A31">
        <v>29</v>
      </c>
      <c r="B31" s="1" t="s">
        <v>234</v>
      </c>
      <c r="C31" s="1" t="s">
        <v>235</v>
      </c>
      <c r="D31" s="1" t="s">
        <v>236</v>
      </c>
      <c r="E31" s="1" t="s">
        <v>237</v>
      </c>
      <c r="F31" s="1" t="s">
        <v>238</v>
      </c>
      <c r="G31">
        <v>-21717</v>
      </c>
      <c r="H31">
        <v>-4150</v>
      </c>
      <c r="I31" s="1" t="s">
        <v>239</v>
      </c>
      <c r="J31" s="1" t="s">
        <v>240</v>
      </c>
      <c r="K31">
        <v>-876</v>
      </c>
      <c r="L31" s="1" t="s">
        <v>739</v>
      </c>
    </row>
    <row r="32" spans="1:12" x14ac:dyDescent="0.25">
      <c r="A32">
        <v>30</v>
      </c>
      <c r="B32" s="1" t="s">
        <v>241</v>
      </c>
      <c r="C32" s="1" t="s">
        <v>242</v>
      </c>
      <c r="D32" s="1" t="s">
        <v>243</v>
      </c>
      <c r="E32" s="1" t="s">
        <v>244</v>
      </c>
      <c r="F32" s="1" t="s">
        <v>245</v>
      </c>
      <c r="G32">
        <v>-18034</v>
      </c>
      <c r="H32">
        <v>-1574</v>
      </c>
      <c r="I32" s="1" t="s">
        <v>246</v>
      </c>
      <c r="J32" s="1" t="s">
        <v>247</v>
      </c>
      <c r="K32">
        <v>-4269</v>
      </c>
      <c r="L32" s="1" t="s">
        <v>740</v>
      </c>
    </row>
    <row r="33" spans="1:12" x14ac:dyDescent="0.25">
      <c r="A33">
        <v>31</v>
      </c>
      <c r="B33" s="1" t="s">
        <v>248</v>
      </c>
      <c r="C33" s="1" t="s">
        <v>249</v>
      </c>
      <c r="D33" s="1" t="s">
        <v>250</v>
      </c>
      <c r="E33" s="1" t="s">
        <v>251</v>
      </c>
      <c r="F33" s="1" t="s">
        <v>252</v>
      </c>
      <c r="G33">
        <v>-22048</v>
      </c>
      <c r="H33">
        <v>-3997</v>
      </c>
      <c r="I33" s="1" t="s">
        <v>253</v>
      </c>
      <c r="J33" s="1" t="s">
        <v>254</v>
      </c>
      <c r="K33">
        <v>365243</v>
      </c>
      <c r="L33" s="1" t="s">
        <v>741</v>
      </c>
    </row>
    <row r="34" spans="1:12" x14ac:dyDescent="0.25">
      <c r="A34">
        <v>32</v>
      </c>
      <c r="B34" s="1" t="s">
        <v>255</v>
      </c>
      <c r="C34" s="1" t="s">
        <v>256</v>
      </c>
      <c r="D34" s="1" t="s">
        <v>257</v>
      </c>
      <c r="E34" s="1" t="s">
        <v>258</v>
      </c>
      <c r="F34" s="1" t="s">
        <v>259</v>
      </c>
      <c r="G34">
        <v>-13259</v>
      </c>
      <c r="H34">
        <v>-4117</v>
      </c>
      <c r="I34" s="1" t="s">
        <v>260</v>
      </c>
      <c r="J34" s="1" t="s">
        <v>261</v>
      </c>
      <c r="K34">
        <v>-179</v>
      </c>
      <c r="L34" s="1" t="s">
        <v>742</v>
      </c>
    </row>
    <row r="35" spans="1:12" x14ac:dyDescent="0.25">
      <c r="A35">
        <v>33</v>
      </c>
      <c r="B35" s="1" t="s">
        <v>262</v>
      </c>
      <c r="C35" s="1" t="s">
        <v>263</v>
      </c>
      <c r="D35" s="1" t="s">
        <v>264</v>
      </c>
      <c r="E35" s="1" t="s">
        <v>265</v>
      </c>
      <c r="F35" s="1" t="s">
        <v>266</v>
      </c>
      <c r="G35">
        <v>-15895</v>
      </c>
      <c r="H35">
        <v>-4570</v>
      </c>
      <c r="I35" s="1" t="s">
        <v>267</v>
      </c>
      <c r="J35" s="1" t="s">
        <v>268</v>
      </c>
      <c r="K35">
        <v>-733</v>
      </c>
      <c r="L35" s="1" t="s">
        <v>743</v>
      </c>
    </row>
    <row r="36" spans="1:12" x14ac:dyDescent="0.25">
      <c r="A36">
        <v>34</v>
      </c>
      <c r="B36" s="1" t="s">
        <v>269</v>
      </c>
      <c r="C36" s="1" t="s">
        <v>270</v>
      </c>
      <c r="D36" s="1" t="s">
        <v>271</v>
      </c>
      <c r="E36" s="1" t="s">
        <v>272</v>
      </c>
      <c r="F36" s="1" t="s">
        <v>273</v>
      </c>
      <c r="G36">
        <v>-15913</v>
      </c>
      <c r="H36">
        <v>-3950</v>
      </c>
      <c r="I36" s="1" t="s">
        <v>274</v>
      </c>
      <c r="J36" s="1" t="s">
        <v>198</v>
      </c>
      <c r="K36">
        <v>-3079</v>
      </c>
      <c r="L36" s="1" t="s">
        <v>744</v>
      </c>
    </row>
    <row r="37" spans="1:12" x14ac:dyDescent="0.25">
      <c r="A37">
        <v>35</v>
      </c>
      <c r="B37" s="1" t="s">
        <v>275</v>
      </c>
      <c r="C37" s="1" t="s">
        <v>276</v>
      </c>
      <c r="D37" s="1" t="s">
        <v>54</v>
      </c>
      <c r="E37" s="1" t="s">
        <v>277</v>
      </c>
      <c r="F37" s="1" t="s">
        <v>278</v>
      </c>
      <c r="G37">
        <v>-15026</v>
      </c>
      <c r="H37">
        <v>-4224</v>
      </c>
      <c r="I37" s="1" t="s">
        <v>279</v>
      </c>
      <c r="J37" s="1" t="s">
        <v>280</v>
      </c>
      <c r="K37">
        <v>-2916</v>
      </c>
      <c r="L37" s="1" t="s">
        <v>745</v>
      </c>
    </row>
    <row r="38" spans="1:12" x14ac:dyDescent="0.25">
      <c r="A38">
        <v>36</v>
      </c>
      <c r="B38" s="1" t="s">
        <v>281</v>
      </c>
      <c r="C38" s="1" t="s">
        <v>282</v>
      </c>
      <c r="D38" s="1" t="s">
        <v>283</v>
      </c>
      <c r="E38" s="1" t="s">
        <v>284</v>
      </c>
      <c r="F38" s="1" t="s">
        <v>285</v>
      </c>
      <c r="G38">
        <v>-11540</v>
      </c>
      <c r="H38">
        <v>-4208</v>
      </c>
      <c r="I38" s="1" t="s">
        <v>286</v>
      </c>
      <c r="J38" s="1" t="s">
        <v>287</v>
      </c>
      <c r="K38">
        <v>-838</v>
      </c>
      <c r="L38" s="1" t="s">
        <v>746</v>
      </c>
    </row>
    <row r="39" spans="1:12" x14ac:dyDescent="0.25">
      <c r="A39">
        <v>37</v>
      </c>
      <c r="B39" s="1" t="s">
        <v>288</v>
      </c>
      <c r="C39" s="1" t="s">
        <v>289</v>
      </c>
      <c r="D39" s="1" t="s">
        <v>75</v>
      </c>
      <c r="E39" s="1" t="s">
        <v>290</v>
      </c>
      <c r="F39" s="1" t="s">
        <v>291</v>
      </c>
      <c r="G39">
        <v>-19197</v>
      </c>
      <c r="H39">
        <v>-2428</v>
      </c>
      <c r="I39" s="1" t="s">
        <v>292</v>
      </c>
      <c r="J39" s="1" t="s">
        <v>293</v>
      </c>
      <c r="K39">
        <v>-449</v>
      </c>
      <c r="L39" s="1" t="s">
        <v>747</v>
      </c>
    </row>
    <row r="40" spans="1:12" x14ac:dyDescent="0.25">
      <c r="A40">
        <v>38</v>
      </c>
      <c r="B40" s="1" t="s">
        <v>294</v>
      </c>
      <c r="C40" s="1" t="s">
        <v>295</v>
      </c>
      <c r="D40" s="1" t="s">
        <v>296</v>
      </c>
      <c r="E40" s="1" t="s">
        <v>297</v>
      </c>
      <c r="F40" s="1" t="s">
        <v>298</v>
      </c>
      <c r="G40">
        <v>-12330</v>
      </c>
      <c r="H40">
        <v>-4627</v>
      </c>
      <c r="I40" s="1" t="s">
        <v>299</v>
      </c>
      <c r="J40" s="1" t="s">
        <v>300</v>
      </c>
      <c r="K40">
        <v>-4770</v>
      </c>
      <c r="L40" s="1" t="s">
        <v>748</v>
      </c>
    </row>
    <row r="41" spans="1:12" x14ac:dyDescent="0.25">
      <c r="A41">
        <v>39</v>
      </c>
      <c r="B41" s="1" t="s">
        <v>301</v>
      </c>
      <c r="C41" s="1" t="s">
        <v>302</v>
      </c>
      <c r="D41" s="1" t="s">
        <v>303</v>
      </c>
      <c r="E41" s="1" t="s">
        <v>304</v>
      </c>
      <c r="F41" s="1" t="s">
        <v>305</v>
      </c>
      <c r="G41">
        <v>-13788</v>
      </c>
      <c r="H41">
        <v>-4242</v>
      </c>
      <c r="I41" s="1" t="s">
        <v>306</v>
      </c>
      <c r="J41" s="1" t="s">
        <v>307</v>
      </c>
      <c r="K41">
        <v>-3822</v>
      </c>
      <c r="L41" s="1" t="s">
        <v>749</v>
      </c>
    </row>
    <row r="42" spans="1:12" x14ac:dyDescent="0.25">
      <c r="A42">
        <v>40</v>
      </c>
      <c r="B42" s="1" t="s">
        <v>308</v>
      </c>
      <c r="C42" s="1" t="s">
        <v>309</v>
      </c>
      <c r="D42" s="1" t="s">
        <v>310</v>
      </c>
      <c r="E42" s="1" t="s">
        <v>311</v>
      </c>
      <c r="F42" s="1" t="s">
        <v>312</v>
      </c>
      <c r="G42">
        <v>-15399</v>
      </c>
      <c r="H42">
        <v>-1866</v>
      </c>
      <c r="I42" s="1" t="s">
        <v>313</v>
      </c>
      <c r="J42" s="1" t="s">
        <v>314</v>
      </c>
      <c r="K42">
        <v>-1642</v>
      </c>
      <c r="L42" s="1" t="s">
        <v>750</v>
      </c>
    </row>
    <row r="43" spans="1:12" x14ac:dyDescent="0.25">
      <c r="A43">
        <v>41</v>
      </c>
      <c r="B43" s="1" t="s">
        <v>315</v>
      </c>
      <c r="C43" s="1" t="s">
        <v>316</v>
      </c>
      <c r="D43" s="1" t="s">
        <v>54</v>
      </c>
      <c r="E43" s="1" t="s">
        <v>317</v>
      </c>
      <c r="F43" s="1" t="s">
        <v>318</v>
      </c>
      <c r="G43">
        <v>-17467</v>
      </c>
      <c r="H43">
        <v>-998</v>
      </c>
      <c r="I43" s="1" t="s">
        <v>319</v>
      </c>
      <c r="J43" s="1" t="s">
        <v>320</v>
      </c>
      <c r="K43">
        <v>-1337</v>
      </c>
      <c r="L43" s="1" t="s">
        <v>751</v>
      </c>
    </row>
    <row r="44" spans="1:12" x14ac:dyDescent="0.25">
      <c r="A44">
        <v>42</v>
      </c>
      <c r="B44" s="1" t="s">
        <v>321</v>
      </c>
      <c r="C44" s="1" t="s">
        <v>322</v>
      </c>
      <c r="D44" s="1" t="s">
        <v>323</v>
      </c>
      <c r="E44" s="1" t="s">
        <v>324</v>
      </c>
      <c r="F44" s="1" t="s">
        <v>325</v>
      </c>
      <c r="G44">
        <v>-15728</v>
      </c>
      <c r="H44">
        <v>-4180</v>
      </c>
      <c r="I44" s="1" t="s">
        <v>326</v>
      </c>
      <c r="J44" s="1" t="s">
        <v>327</v>
      </c>
      <c r="K44">
        <v>-1213</v>
      </c>
      <c r="L44" s="1" t="s">
        <v>752</v>
      </c>
    </row>
    <row r="45" spans="1:12" x14ac:dyDescent="0.25">
      <c r="A45">
        <v>43</v>
      </c>
      <c r="B45" s="1" t="s">
        <v>328</v>
      </c>
      <c r="C45" s="1" t="s">
        <v>329</v>
      </c>
      <c r="D45" s="1" t="s">
        <v>330</v>
      </c>
      <c r="E45" s="1" t="s">
        <v>331</v>
      </c>
      <c r="F45" s="1" t="s">
        <v>332</v>
      </c>
      <c r="G45">
        <v>-13835</v>
      </c>
      <c r="H45">
        <v>-4659</v>
      </c>
      <c r="I45" s="1" t="s">
        <v>333</v>
      </c>
      <c r="J45" s="1" t="s">
        <v>334</v>
      </c>
      <c r="K45">
        <v>-3565</v>
      </c>
      <c r="L45" s="1" t="s">
        <v>753</v>
      </c>
    </row>
    <row r="46" spans="1:12" x14ac:dyDescent="0.25">
      <c r="A46">
        <v>44</v>
      </c>
      <c r="B46" s="1" t="s">
        <v>335</v>
      </c>
      <c r="C46" s="1" t="s">
        <v>336</v>
      </c>
      <c r="D46" s="1" t="s">
        <v>187</v>
      </c>
      <c r="E46" s="1" t="s">
        <v>337</v>
      </c>
      <c r="F46" s="1" t="s">
        <v>338</v>
      </c>
      <c r="G46">
        <v>-16927</v>
      </c>
      <c r="H46">
        <v>-455</v>
      </c>
      <c r="I46" s="1" t="s">
        <v>339</v>
      </c>
      <c r="J46" s="1" t="s">
        <v>340</v>
      </c>
      <c r="K46">
        <v>-2654</v>
      </c>
      <c r="L46" s="1" t="s">
        <v>754</v>
      </c>
    </row>
    <row r="47" spans="1:12" x14ac:dyDescent="0.25">
      <c r="A47">
        <v>45</v>
      </c>
      <c r="B47" s="1" t="s">
        <v>341</v>
      </c>
      <c r="C47" s="1" t="s">
        <v>342</v>
      </c>
      <c r="D47" s="1" t="s">
        <v>343</v>
      </c>
      <c r="E47" s="1" t="s">
        <v>344</v>
      </c>
      <c r="F47" s="1" t="s">
        <v>345</v>
      </c>
      <c r="G47">
        <v>-22277</v>
      </c>
      <c r="H47">
        <v>-5818</v>
      </c>
      <c r="I47" s="1" t="s">
        <v>346</v>
      </c>
      <c r="J47" s="1" t="s">
        <v>347</v>
      </c>
      <c r="K47">
        <v>-1454</v>
      </c>
      <c r="L47" s="1" t="s">
        <v>755</v>
      </c>
    </row>
    <row r="48" spans="1:12" x14ac:dyDescent="0.25">
      <c r="A48">
        <v>46</v>
      </c>
      <c r="B48" s="1" t="s">
        <v>348</v>
      </c>
      <c r="C48" s="1" t="s">
        <v>349</v>
      </c>
      <c r="D48" s="1" t="s">
        <v>350</v>
      </c>
      <c r="E48" s="1" t="s">
        <v>351</v>
      </c>
      <c r="F48" s="1" t="s">
        <v>352</v>
      </c>
      <c r="G48">
        <v>-18589</v>
      </c>
      <c r="H48">
        <v>-2112</v>
      </c>
      <c r="I48" s="1" t="s">
        <v>197</v>
      </c>
      <c r="J48" s="1" t="s">
        <v>198</v>
      </c>
      <c r="K48">
        <v>-7927</v>
      </c>
      <c r="L48" s="1" t="s">
        <v>756</v>
      </c>
    </row>
    <row r="49" spans="1:12" x14ac:dyDescent="0.25">
      <c r="A49">
        <v>47</v>
      </c>
      <c r="B49" s="1" t="s">
        <v>353</v>
      </c>
      <c r="C49" s="1" t="s">
        <v>354</v>
      </c>
      <c r="D49" s="1" t="s">
        <v>138</v>
      </c>
      <c r="E49" s="1" t="s">
        <v>355</v>
      </c>
      <c r="F49" s="1" t="s">
        <v>356</v>
      </c>
      <c r="G49">
        <v>-17386</v>
      </c>
      <c r="H49">
        <v>-906</v>
      </c>
      <c r="I49" s="1" t="s">
        <v>357</v>
      </c>
      <c r="J49" s="1" t="s">
        <v>358</v>
      </c>
      <c r="K49">
        <v>-7926</v>
      </c>
      <c r="L49" s="1" t="s">
        <v>757</v>
      </c>
    </row>
    <row r="50" spans="1:12" x14ac:dyDescent="0.25">
      <c r="A50">
        <v>48</v>
      </c>
      <c r="B50" s="1" t="s">
        <v>359</v>
      </c>
      <c r="C50" s="1" t="s">
        <v>360</v>
      </c>
      <c r="D50" s="1" t="s">
        <v>361</v>
      </c>
      <c r="E50" s="1" t="s">
        <v>362</v>
      </c>
      <c r="F50" s="1" t="s">
        <v>363</v>
      </c>
      <c r="G50">
        <v>-13422</v>
      </c>
      <c r="H50">
        <v>-4450</v>
      </c>
      <c r="I50" s="1" t="s">
        <v>364</v>
      </c>
      <c r="J50" s="1" t="s">
        <v>365</v>
      </c>
      <c r="K50">
        <v>-1395</v>
      </c>
      <c r="L50" s="1" t="s">
        <v>758</v>
      </c>
    </row>
    <row r="51" spans="1:12" x14ac:dyDescent="0.25">
      <c r="A51">
        <v>49</v>
      </c>
      <c r="B51" s="1" t="s">
        <v>366</v>
      </c>
      <c r="C51" s="1" t="s">
        <v>367</v>
      </c>
      <c r="D51" s="1" t="s">
        <v>368</v>
      </c>
      <c r="E51" s="1" t="s">
        <v>369</v>
      </c>
      <c r="F51" s="1" t="s">
        <v>370</v>
      </c>
      <c r="G51">
        <v>-10487</v>
      </c>
      <c r="H51">
        <v>-1142</v>
      </c>
      <c r="I51" s="1" t="s">
        <v>371</v>
      </c>
      <c r="J51" s="1" t="s">
        <v>372</v>
      </c>
      <c r="K51">
        <v>-940</v>
      </c>
      <c r="L51" s="1" t="s">
        <v>759</v>
      </c>
    </row>
    <row r="52" spans="1:12" x14ac:dyDescent="0.25">
      <c r="A52">
        <v>50</v>
      </c>
      <c r="B52" s="1" t="s">
        <v>373</v>
      </c>
      <c r="C52" s="1" t="s">
        <v>374</v>
      </c>
      <c r="D52" s="1" t="s">
        <v>375</v>
      </c>
      <c r="E52" s="1" t="s">
        <v>376</v>
      </c>
      <c r="F52" s="1" t="s">
        <v>377</v>
      </c>
      <c r="G52">
        <v>-14391</v>
      </c>
      <c r="H52">
        <v>-2274</v>
      </c>
      <c r="I52" s="1" t="s">
        <v>378</v>
      </c>
      <c r="J52" s="1" t="s">
        <v>379</v>
      </c>
      <c r="K52">
        <v>-3010</v>
      </c>
      <c r="L52" s="1" t="s">
        <v>760</v>
      </c>
    </row>
    <row r="53" spans="1:12" x14ac:dyDescent="0.25">
      <c r="A53">
        <v>51</v>
      </c>
      <c r="B53" s="1" t="s">
        <v>380</v>
      </c>
      <c r="C53" s="1" t="s">
        <v>381</v>
      </c>
      <c r="D53" s="1" t="s">
        <v>187</v>
      </c>
      <c r="E53" s="1" t="s">
        <v>382</v>
      </c>
      <c r="F53" s="1" t="s">
        <v>383</v>
      </c>
      <c r="G53">
        <v>-10594</v>
      </c>
      <c r="H53">
        <v>-2141</v>
      </c>
      <c r="I53" s="1" t="s">
        <v>384</v>
      </c>
      <c r="J53" s="1" t="s">
        <v>385</v>
      </c>
      <c r="K53">
        <v>-127</v>
      </c>
      <c r="L53" s="1" t="s">
        <v>761</v>
      </c>
    </row>
    <row r="54" spans="1:12" x14ac:dyDescent="0.25">
      <c r="A54">
        <v>52</v>
      </c>
      <c r="B54" s="1" t="s">
        <v>386</v>
      </c>
      <c r="C54" s="1" t="s">
        <v>387</v>
      </c>
      <c r="D54" s="1" t="s">
        <v>54</v>
      </c>
      <c r="E54" s="1" t="s">
        <v>388</v>
      </c>
      <c r="F54" s="1" t="s">
        <v>389</v>
      </c>
      <c r="G54">
        <v>-20539</v>
      </c>
      <c r="H54">
        <v>-4034</v>
      </c>
      <c r="I54" s="1" t="s">
        <v>390</v>
      </c>
      <c r="J54" s="1" t="s">
        <v>391</v>
      </c>
      <c r="K54">
        <v>-1682</v>
      </c>
      <c r="L54" s="1" t="s">
        <v>762</v>
      </c>
    </row>
    <row r="55" spans="1:12" x14ac:dyDescent="0.25">
      <c r="A55">
        <v>53</v>
      </c>
      <c r="B55" s="1" t="s">
        <v>392</v>
      </c>
      <c r="C55" s="1" t="s">
        <v>393</v>
      </c>
      <c r="D55" s="1" t="s">
        <v>394</v>
      </c>
      <c r="E55" s="1" t="s">
        <v>395</v>
      </c>
      <c r="F55" s="1" t="s">
        <v>396</v>
      </c>
      <c r="G55">
        <v>-16197</v>
      </c>
      <c r="H55">
        <v>-4301</v>
      </c>
      <c r="I55" s="1" t="s">
        <v>397</v>
      </c>
      <c r="J55" s="1" t="s">
        <v>398</v>
      </c>
      <c r="K55">
        <v>-1428</v>
      </c>
      <c r="L55" s="1" t="s">
        <v>763</v>
      </c>
    </row>
    <row r="56" spans="1:12" x14ac:dyDescent="0.25">
      <c r="A56">
        <v>54</v>
      </c>
      <c r="B56" s="1" t="s">
        <v>399</v>
      </c>
      <c r="C56" s="1" t="s">
        <v>400</v>
      </c>
      <c r="D56" s="1" t="s">
        <v>54</v>
      </c>
      <c r="E56" s="1" t="s">
        <v>401</v>
      </c>
      <c r="F56" s="1" t="s">
        <v>402</v>
      </c>
      <c r="G56">
        <v>-19217</v>
      </c>
      <c r="H56">
        <v>-2691</v>
      </c>
      <c r="I56" s="1" t="s">
        <v>403</v>
      </c>
      <c r="J56" s="1" t="s">
        <v>404</v>
      </c>
      <c r="K56">
        <v>-2935</v>
      </c>
      <c r="L56" s="1" t="s">
        <v>764</v>
      </c>
    </row>
    <row r="57" spans="1:12" x14ac:dyDescent="0.25">
      <c r="A57">
        <v>55</v>
      </c>
      <c r="B57" s="1" t="s">
        <v>405</v>
      </c>
      <c r="C57" s="1" t="s">
        <v>406</v>
      </c>
      <c r="D57" s="1" t="s">
        <v>407</v>
      </c>
      <c r="E57" s="1" t="s">
        <v>408</v>
      </c>
      <c r="F57" s="1" t="s">
        <v>409</v>
      </c>
      <c r="G57">
        <v>-20632</v>
      </c>
      <c r="H57">
        <v>-3886</v>
      </c>
      <c r="I57" s="1" t="s">
        <v>410</v>
      </c>
      <c r="J57" s="1" t="s">
        <v>411</v>
      </c>
      <c r="K57">
        <v>365243</v>
      </c>
      <c r="L57" s="1" t="s">
        <v>765</v>
      </c>
    </row>
    <row r="58" spans="1:12" x14ac:dyDescent="0.25">
      <c r="A58">
        <v>56</v>
      </c>
      <c r="B58" s="1" t="s">
        <v>412</v>
      </c>
      <c r="C58" s="1" t="s">
        <v>413</v>
      </c>
      <c r="D58" s="1" t="s">
        <v>414</v>
      </c>
      <c r="E58" s="1" t="s">
        <v>415</v>
      </c>
      <c r="F58" s="1" t="s">
        <v>416</v>
      </c>
      <c r="G58">
        <v>-15839</v>
      </c>
      <c r="H58">
        <v>-4949</v>
      </c>
      <c r="I58" s="1" t="s">
        <v>417</v>
      </c>
      <c r="J58" s="1" t="s">
        <v>418</v>
      </c>
      <c r="K58">
        <v>-1391</v>
      </c>
      <c r="L58" s="1" t="s">
        <v>766</v>
      </c>
    </row>
    <row r="59" spans="1:12" x14ac:dyDescent="0.25">
      <c r="A59">
        <v>57</v>
      </c>
      <c r="B59" s="1" t="s">
        <v>419</v>
      </c>
      <c r="C59" s="1" t="s">
        <v>420</v>
      </c>
      <c r="D59" s="1" t="s">
        <v>421</v>
      </c>
      <c r="E59" s="1" t="s">
        <v>422</v>
      </c>
      <c r="F59" s="1" t="s">
        <v>423</v>
      </c>
      <c r="G59">
        <v>-13521</v>
      </c>
      <c r="H59">
        <v>-4589</v>
      </c>
      <c r="I59" s="1" t="s">
        <v>424</v>
      </c>
      <c r="J59" s="1" t="s">
        <v>425</v>
      </c>
      <c r="K59">
        <v>-3715</v>
      </c>
      <c r="L59" s="1" t="s">
        <v>767</v>
      </c>
    </row>
    <row r="60" spans="1:12" x14ac:dyDescent="0.25">
      <c r="A60">
        <v>58</v>
      </c>
      <c r="B60" s="1" t="s">
        <v>426</v>
      </c>
      <c r="C60" s="1" t="s">
        <v>427</v>
      </c>
      <c r="D60" s="1" t="s">
        <v>428</v>
      </c>
      <c r="E60" s="1" t="s">
        <v>429</v>
      </c>
      <c r="F60" s="1" t="s">
        <v>430</v>
      </c>
      <c r="G60">
        <v>-19731</v>
      </c>
      <c r="H60">
        <v>-3272</v>
      </c>
      <c r="I60" s="1" t="s">
        <v>431</v>
      </c>
      <c r="J60" s="1" t="s">
        <v>432</v>
      </c>
      <c r="K60">
        <v>-3282</v>
      </c>
      <c r="L60" s="1" t="s">
        <v>768</v>
      </c>
    </row>
    <row r="61" spans="1:12" x14ac:dyDescent="0.25">
      <c r="A61">
        <v>59</v>
      </c>
      <c r="B61" s="1" t="s">
        <v>433</v>
      </c>
      <c r="C61" s="1" t="s">
        <v>434</v>
      </c>
      <c r="D61" s="1" t="s">
        <v>435</v>
      </c>
      <c r="E61" s="1" t="s">
        <v>436</v>
      </c>
      <c r="F61" s="1" t="s">
        <v>437</v>
      </c>
      <c r="G61">
        <v>-20390</v>
      </c>
      <c r="H61">
        <v>-3906</v>
      </c>
      <c r="I61" s="1" t="s">
        <v>438</v>
      </c>
      <c r="J61" s="1" t="s">
        <v>439</v>
      </c>
      <c r="K61">
        <v>-5326</v>
      </c>
      <c r="L61" s="1" t="s">
        <v>769</v>
      </c>
    </row>
    <row r="62" spans="1:12" x14ac:dyDescent="0.25">
      <c r="A62">
        <v>60</v>
      </c>
      <c r="B62" s="1" t="s">
        <v>440</v>
      </c>
      <c r="C62" s="1" t="s">
        <v>441</v>
      </c>
      <c r="D62" s="1" t="s">
        <v>442</v>
      </c>
      <c r="E62" s="1" t="s">
        <v>443</v>
      </c>
      <c r="F62" s="1" t="s">
        <v>444</v>
      </c>
      <c r="G62">
        <v>-15994</v>
      </c>
      <c r="H62">
        <v>-4904</v>
      </c>
      <c r="I62" s="1" t="s">
        <v>445</v>
      </c>
      <c r="J62" s="1" t="s">
        <v>379</v>
      </c>
      <c r="K62">
        <v>-290</v>
      </c>
      <c r="L62" s="1" t="s">
        <v>760</v>
      </c>
    </row>
    <row r="63" spans="1:12" x14ac:dyDescent="0.25">
      <c r="A63">
        <v>61</v>
      </c>
      <c r="B63" s="1" t="s">
        <v>446</v>
      </c>
      <c r="C63" s="1" t="s">
        <v>447</v>
      </c>
      <c r="D63" s="1" t="s">
        <v>448</v>
      </c>
      <c r="E63" s="1" t="s">
        <v>449</v>
      </c>
      <c r="F63" s="1" t="s">
        <v>450</v>
      </c>
      <c r="G63">
        <v>-11533</v>
      </c>
      <c r="H63">
        <v>-3764</v>
      </c>
      <c r="I63" s="1" t="s">
        <v>451</v>
      </c>
      <c r="J63" s="1" t="s">
        <v>452</v>
      </c>
      <c r="K63">
        <v>-4063</v>
      </c>
      <c r="L63" s="1" t="s">
        <v>770</v>
      </c>
    </row>
    <row r="64" spans="1:12" x14ac:dyDescent="0.25">
      <c r="A64">
        <v>62</v>
      </c>
      <c r="B64" s="1" t="s">
        <v>453</v>
      </c>
      <c r="C64" s="1" t="s">
        <v>454</v>
      </c>
      <c r="D64" s="1" t="s">
        <v>455</v>
      </c>
      <c r="E64" s="1" t="s">
        <v>456</v>
      </c>
      <c r="F64" s="1" t="s">
        <v>457</v>
      </c>
      <c r="G64">
        <v>-14250</v>
      </c>
      <c r="H64">
        <v>-5027</v>
      </c>
      <c r="I64" s="1" t="s">
        <v>458</v>
      </c>
      <c r="J64" s="1" t="s">
        <v>459</v>
      </c>
      <c r="K64">
        <v>-664</v>
      </c>
      <c r="L64" s="1" t="s">
        <v>771</v>
      </c>
    </row>
    <row r="65" spans="1:12" x14ac:dyDescent="0.25">
      <c r="A65">
        <v>63</v>
      </c>
      <c r="B65" s="1" t="s">
        <v>460</v>
      </c>
      <c r="C65" s="1" t="s">
        <v>461</v>
      </c>
      <c r="D65" s="1" t="s">
        <v>394</v>
      </c>
      <c r="E65" s="1" t="s">
        <v>462</v>
      </c>
      <c r="F65" s="1" t="s">
        <v>463</v>
      </c>
      <c r="G65">
        <v>-22689</v>
      </c>
      <c r="H65">
        <v>-5200</v>
      </c>
      <c r="I65" s="1" t="s">
        <v>464</v>
      </c>
      <c r="J65" s="1" t="s">
        <v>465</v>
      </c>
      <c r="K65">
        <v>365243</v>
      </c>
      <c r="L65" s="1" t="s">
        <v>772</v>
      </c>
    </row>
    <row r="66" spans="1:12" x14ac:dyDescent="0.25">
      <c r="A66">
        <v>64</v>
      </c>
      <c r="B66" s="1" t="s">
        <v>466</v>
      </c>
      <c r="C66" s="1" t="s">
        <v>467</v>
      </c>
      <c r="D66" s="1" t="s">
        <v>54</v>
      </c>
      <c r="E66" s="1" t="s">
        <v>468</v>
      </c>
      <c r="F66" s="1" t="s">
        <v>469</v>
      </c>
      <c r="G66">
        <v>-12252</v>
      </c>
      <c r="H66">
        <v>-4197</v>
      </c>
      <c r="I66" s="1" t="s">
        <v>470</v>
      </c>
      <c r="J66" s="1" t="s">
        <v>471</v>
      </c>
      <c r="K66">
        <v>-2662</v>
      </c>
      <c r="L66" s="1" t="s">
        <v>773</v>
      </c>
    </row>
    <row r="67" spans="1:12" x14ac:dyDescent="0.25">
      <c r="A67">
        <v>65</v>
      </c>
      <c r="B67" s="1" t="s">
        <v>472</v>
      </c>
      <c r="C67" s="1" t="s">
        <v>473</v>
      </c>
      <c r="D67" s="1" t="s">
        <v>474</v>
      </c>
      <c r="E67" s="1" t="s">
        <v>475</v>
      </c>
      <c r="F67" s="1" t="s">
        <v>476</v>
      </c>
      <c r="G67">
        <v>-19389</v>
      </c>
      <c r="H67">
        <v>-2921</v>
      </c>
      <c r="I67" s="1" t="s">
        <v>477</v>
      </c>
      <c r="J67" s="1" t="s">
        <v>478</v>
      </c>
      <c r="K67">
        <v>-7472</v>
      </c>
      <c r="L67" s="1" t="s">
        <v>774</v>
      </c>
    </row>
    <row r="68" spans="1:12" x14ac:dyDescent="0.25">
      <c r="A68">
        <v>66</v>
      </c>
      <c r="B68" s="1" t="s">
        <v>479</v>
      </c>
      <c r="C68" s="1" t="s">
        <v>480</v>
      </c>
      <c r="D68" s="1" t="s">
        <v>481</v>
      </c>
      <c r="E68" s="1" t="s">
        <v>482</v>
      </c>
      <c r="F68" s="1" t="s">
        <v>483</v>
      </c>
      <c r="G68">
        <v>-14467</v>
      </c>
      <c r="H68">
        <v>-4262</v>
      </c>
      <c r="I68" s="1" t="s">
        <v>484</v>
      </c>
      <c r="J68" s="1" t="s">
        <v>485</v>
      </c>
      <c r="K68">
        <v>-1066</v>
      </c>
      <c r="L68" s="1" t="s">
        <v>775</v>
      </c>
    </row>
    <row r="69" spans="1:12" x14ac:dyDescent="0.25">
      <c r="A69">
        <v>67</v>
      </c>
      <c r="B69" s="1" t="s">
        <v>486</v>
      </c>
      <c r="C69" s="1" t="s">
        <v>487</v>
      </c>
      <c r="D69" s="1" t="s">
        <v>488</v>
      </c>
      <c r="E69" s="1" t="s">
        <v>489</v>
      </c>
      <c r="F69" s="1" t="s">
        <v>490</v>
      </c>
      <c r="G69">
        <v>-15407</v>
      </c>
      <c r="H69">
        <v>-3731</v>
      </c>
      <c r="I69" s="1" t="s">
        <v>491</v>
      </c>
      <c r="J69" s="1" t="s">
        <v>492</v>
      </c>
      <c r="K69">
        <v>-2506</v>
      </c>
      <c r="L69" s="1" t="s">
        <v>776</v>
      </c>
    </row>
    <row r="70" spans="1:12" x14ac:dyDescent="0.25">
      <c r="A70">
        <v>68</v>
      </c>
      <c r="B70" s="1" t="s">
        <v>493</v>
      </c>
      <c r="C70" s="1" t="s">
        <v>494</v>
      </c>
      <c r="D70" s="1" t="s">
        <v>187</v>
      </c>
      <c r="E70" s="1" t="s">
        <v>495</v>
      </c>
      <c r="F70" s="1" t="s">
        <v>496</v>
      </c>
      <c r="G70">
        <v>-15370</v>
      </c>
      <c r="H70">
        <v>-4069</v>
      </c>
      <c r="I70" s="1" t="s">
        <v>497</v>
      </c>
      <c r="J70" s="1" t="s">
        <v>498</v>
      </c>
      <c r="K70">
        <v>-5520</v>
      </c>
      <c r="L70" s="1" t="s">
        <v>777</v>
      </c>
    </row>
    <row r="71" spans="1:12" x14ac:dyDescent="0.25">
      <c r="A71">
        <v>69</v>
      </c>
      <c r="B71" s="1" t="s">
        <v>499</v>
      </c>
      <c r="C71" s="1" t="s">
        <v>500</v>
      </c>
      <c r="D71" s="1" t="s">
        <v>501</v>
      </c>
      <c r="E71" s="1" t="s">
        <v>502</v>
      </c>
      <c r="F71" s="1" t="s">
        <v>503</v>
      </c>
      <c r="G71">
        <v>-16323</v>
      </c>
      <c r="H71">
        <v>-3933</v>
      </c>
      <c r="I71" s="1" t="s">
        <v>504</v>
      </c>
      <c r="J71" s="1" t="s">
        <v>505</v>
      </c>
      <c r="K71">
        <v>-6486</v>
      </c>
      <c r="L71" s="1" t="s">
        <v>778</v>
      </c>
    </row>
    <row r="72" spans="1:12" x14ac:dyDescent="0.25">
      <c r="A72">
        <v>70</v>
      </c>
      <c r="B72" s="1" t="s">
        <v>506</v>
      </c>
      <c r="C72" s="1" t="s">
        <v>507</v>
      </c>
      <c r="D72" s="1" t="s">
        <v>508</v>
      </c>
      <c r="E72" s="1" t="s">
        <v>509</v>
      </c>
      <c r="F72" s="1" t="s">
        <v>510</v>
      </c>
      <c r="G72">
        <v>-9658</v>
      </c>
      <c r="H72">
        <v>-2217</v>
      </c>
      <c r="I72" s="1" t="s">
        <v>511</v>
      </c>
      <c r="J72" s="1" t="s">
        <v>512</v>
      </c>
      <c r="K72">
        <v>-907</v>
      </c>
      <c r="L72" s="1" t="s">
        <v>779</v>
      </c>
    </row>
    <row r="73" spans="1:12" x14ac:dyDescent="0.25">
      <c r="A73">
        <v>71</v>
      </c>
      <c r="B73" s="1" t="s">
        <v>513</v>
      </c>
      <c r="C73" s="1" t="s">
        <v>514</v>
      </c>
      <c r="D73" s="1" t="s">
        <v>257</v>
      </c>
      <c r="E73" s="1" t="s">
        <v>515</v>
      </c>
      <c r="F73" s="1" t="s">
        <v>516</v>
      </c>
      <c r="G73">
        <v>-15195</v>
      </c>
      <c r="H73">
        <v>-4280</v>
      </c>
      <c r="I73" s="1" t="s">
        <v>517</v>
      </c>
      <c r="J73" s="1" t="s">
        <v>518</v>
      </c>
      <c r="K73">
        <v>-7078</v>
      </c>
      <c r="L73" s="1" t="s">
        <v>780</v>
      </c>
    </row>
    <row r="74" spans="1:12" x14ac:dyDescent="0.25">
      <c r="A74">
        <v>72</v>
      </c>
      <c r="B74" s="1" t="s">
        <v>519</v>
      </c>
      <c r="C74" s="1" t="s">
        <v>520</v>
      </c>
      <c r="D74" s="1" t="s">
        <v>521</v>
      </c>
      <c r="E74" s="1" t="s">
        <v>522</v>
      </c>
      <c r="F74" s="1" t="s">
        <v>523</v>
      </c>
      <c r="G74">
        <v>-18067</v>
      </c>
      <c r="H74">
        <v>-1616</v>
      </c>
      <c r="I74" s="1" t="s">
        <v>524</v>
      </c>
      <c r="J74" s="1" t="s">
        <v>525</v>
      </c>
      <c r="K74">
        <v>-3543</v>
      </c>
      <c r="L74" s="1" t="s">
        <v>781</v>
      </c>
    </row>
    <row r="75" spans="1:12" x14ac:dyDescent="0.25">
      <c r="A75">
        <v>73</v>
      </c>
      <c r="B75" s="1" t="s">
        <v>526</v>
      </c>
      <c r="C75" s="1" t="s">
        <v>527</v>
      </c>
      <c r="D75" s="1" t="s">
        <v>528</v>
      </c>
      <c r="E75" s="1" t="s">
        <v>529</v>
      </c>
      <c r="F75" s="1" t="s">
        <v>530</v>
      </c>
      <c r="G75">
        <v>-16657</v>
      </c>
      <c r="H75">
        <v>-38</v>
      </c>
      <c r="I75" s="1" t="s">
        <v>531</v>
      </c>
      <c r="J75" s="1" t="s">
        <v>532</v>
      </c>
      <c r="K75">
        <v>-3952</v>
      </c>
      <c r="L75" s="1" t="s">
        <v>782</v>
      </c>
    </row>
    <row r="76" spans="1:12" x14ac:dyDescent="0.25">
      <c r="A76">
        <v>74</v>
      </c>
      <c r="B76" s="1" t="s">
        <v>533</v>
      </c>
      <c r="C76" s="1" t="s">
        <v>534</v>
      </c>
      <c r="D76" s="1" t="s">
        <v>535</v>
      </c>
      <c r="E76" s="1" t="s">
        <v>536</v>
      </c>
      <c r="F76" s="1" t="s">
        <v>537</v>
      </c>
      <c r="G76">
        <v>-10309</v>
      </c>
      <c r="H76">
        <v>-2977</v>
      </c>
      <c r="I76" s="1" t="s">
        <v>538</v>
      </c>
      <c r="J76" s="1" t="s">
        <v>539</v>
      </c>
      <c r="K76">
        <v>-2821</v>
      </c>
      <c r="L76" s="1" t="s">
        <v>783</v>
      </c>
    </row>
    <row r="77" spans="1:12" x14ac:dyDescent="0.25">
      <c r="A77">
        <v>75</v>
      </c>
      <c r="B77" s="1" t="s">
        <v>540</v>
      </c>
      <c r="C77" s="1" t="s">
        <v>541</v>
      </c>
      <c r="D77" s="1" t="s">
        <v>421</v>
      </c>
      <c r="E77" s="1" t="s">
        <v>542</v>
      </c>
      <c r="F77" s="1" t="s">
        <v>543</v>
      </c>
      <c r="G77">
        <v>-20120</v>
      </c>
      <c r="H77">
        <v>-3608</v>
      </c>
      <c r="I77" s="1" t="s">
        <v>544</v>
      </c>
      <c r="J77" s="1" t="s">
        <v>545</v>
      </c>
      <c r="K77">
        <v>-1032</v>
      </c>
      <c r="L77" s="1" t="s">
        <v>784</v>
      </c>
    </row>
    <row r="78" spans="1:12" x14ac:dyDescent="0.25">
      <c r="A78">
        <v>76</v>
      </c>
      <c r="B78" s="1" t="s">
        <v>546</v>
      </c>
      <c r="C78" s="1" t="s">
        <v>547</v>
      </c>
      <c r="D78" s="1" t="s">
        <v>548</v>
      </c>
      <c r="E78" s="1" t="s">
        <v>549</v>
      </c>
      <c r="F78" s="1" t="s">
        <v>550</v>
      </c>
      <c r="G78">
        <v>-10945</v>
      </c>
      <c r="H78">
        <v>-2225</v>
      </c>
      <c r="I78" s="1" t="s">
        <v>551</v>
      </c>
      <c r="J78" s="1" t="s">
        <v>552</v>
      </c>
      <c r="K78">
        <v>-1085</v>
      </c>
      <c r="L78" s="1" t="s">
        <v>785</v>
      </c>
    </row>
    <row r="79" spans="1:12" x14ac:dyDescent="0.25">
      <c r="A79">
        <v>77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>
        <v>-20302</v>
      </c>
      <c r="H79">
        <v>-3489</v>
      </c>
      <c r="I79" s="1" t="s">
        <v>558</v>
      </c>
      <c r="J79" s="1" t="s">
        <v>559</v>
      </c>
      <c r="K79">
        <v>-2247</v>
      </c>
      <c r="L79" s="1" t="s">
        <v>786</v>
      </c>
    </row>
    <row r="80" spans="1:12" x14ac:dyDescent="0.25">
      <c r="A80">
        <v>78</v>
      </c>
      <c r="B80" s="1" t="s">
        <v>560</v>
      </c>
      <c r="C80" s="1" t="s">
        <v>561</v>
      </c>
      <c r="D80" s="1" t="s">
        <v>562</v>
      </c>
      <c r="E80" s="1" t="s">
        <v>563</v>
      </c>
      <c r="F80" s="1" t="s">
        <v>564</v>
      </c>
      <c r="G80">
        <v>-15426</v>
      </c>
      <c r="H80">
        <v>-5005</v>
      </c>
      <c r="I80" s="1" t="s">
        <v>565</v>
      </c>
      <c r="J80" s="1" t="s">
        <v>566</v>
      </c>
      <c r="K80">
        <v>-2885</v>
      </c>
      <c r="L80" s="1" t="s">
        <v>787</v>
      </c>
    </row>
    <row r="81" spans="1:12" x14ac:dyDescent="0.25">
      <c r="A81">
        <v>79</v>
      </c>
      <c r="B81" s="1" t="s">
        <v>567</v>
      </c>
      <c r="C81" s="1" t="s">
        <v>568</v>
      </c>
      <c r="D81" s="1" t="s">
        <v>569</v>
      </c>
      <c r="E81" s="1" t="s">
        <v>570</v>
      </c>
      <c r="F81" s="1" t="s">
        <v>571</v>
      </c>
      <c r="G81">
        <v>-15734</v>
      </c>
      <c r="H81">
        <v>-4949</v>
      </c>
      <c r="I81" s="1" t="s">
        <v>572</v>
      </c>
      <c r="J81" s="1" t="s">
        <v>320</v>
      </c>
      <c r="K81">
        <v>-7319</v>
      </c>
      <c r="L81" s="1" t="s">
        <v>751</v>
      </c>
    </row>
    <row r="82" spans="1:12" x14ac:dyDescent="0.25">
      <c r="A82">
        <v>80</v>
      </c>
      <c r="B82" s="1" t="s">
        <v>573</v>
      </c>
      <c r="C82" s="1" t="s">
        <v>574</v>
      </c>
      <c r="D82" s="1" t="s">
        <v>575</v>
      </c>
      <c r="E82" s="1" t="s">
        <v>576</v>
      </c>
      <c r="F82" s="1" t="s">
        <v>577</v>
      </c>
      <c r="G82">
        <v>-11788</v>
      </c>
      <c r="H82">
        <v>-2583</v>
      </c>
      <c r="I82" s="1" t="s">
        <v>578</v>
      </c>
      <c r="J82" s="1" t="s">
        <v>579</v>
      </c>
      <c r="K82">
        <v>-720</v>
      </c>
      <c r="L82" s="1" t="s">
        <v>788</v>
      </c>
    </row>
    <row r="83" spans="1:12" x14ac:dyDescent="0.25">
      <c r="A83">
        <v>81</v>
      </c>
      <c r="B83" s="1" t="s">
        <v>580</v>
      </c>
      <c r="C83" s="1" t="s">
        <v>581</v>
      </c>
      <c r="D83" s="1" t="s">
        <v>582</v>
      </c>
      <c r="E83" s="1" t="s">
        <v>583</v>
      </c>
      <c r="F83" s="1" t="s">
        <v>584</v>
      </c>
      <c r="G83">
        <v>-10900</v>
      </c>
      <c r="H83">
        <v>-2407</v>
      </c>
      <c r="I83" s="1" t="s">
        <v>585</v>
      </c>
      <c r="J83" s="1" t="s">
        <v>586</v>
      </c>
      <c r="K83">
        <v>-2083</v>
      </c>
      <c r="L83" s="1" t="s">
        <v>789</v>
      </c>
    </row>
    <row r="84" spans="1:12" x14ac:dyDescent="0.25">
      <c r="A84">
        <v>82</v>
      </c>
      <c r="B84" s="1" t="s">
        <v>587</v>
      </c>
      <c r="C84" s="1" t="s">
        <v>588</v>
      </c>
      <c r="D84" s="1" t="s">
        <v>589</v>
      </c>
      <c r="E84" s="1" t="s">
        <v>590</v>
      </c>
      <c r="F84" s="1" t="s">
        <v>318</v>
      </c>
      <c r="G84">
        <v>-17456</v>
      </c>
      <c r="H84">
        <v>-992</v>
      </c>
      <c r="I84" s="1" t="s">
        <v>591</v>
      </c>
      <c r="J84" s="1" t="s">
        <v>592</v>
      </c>
      <c r="K84">
        <v>-2423</v>
      </c>
      <c r="L84" s="1" t="s">
        <v>790</v>
      </c>
    </row>
    <row r="85" spans="1:12" x14ac:dyDescent="0.25">
      <c r="A85">
        <v>83</v>
      </c>
      <c r="B85" s="1" t="s">
        <v>593</v>
      </c>
      <c r="C85" s="1" t="s">
        <v>594</v>
      </c>
      <c r="D85" s="1" t="s">
        <v>595</v>
      </c>
      <c r="E85" s="1" t="s">
        <v>596</v>
      </c>
      <c r="F85" s="1" t="s">
        <v>597</v>
      </c>
      <c r="G85">
        <v>-19925</v>
      </c>
      <c r="H85">
        <v>-3273</v>
      </c>
      <c r="I85" s="1" t="s">
        <v>598</v>
      </c>
      <c r="J85" s="1" t="s">
        <v>599</v>
      </c>
      <c r="K85">
        <v>-6329</v>
      </c>
      <c r="L85" s="1" t="s">
        <v>791</v>
      </c>
    </row>
    <row r="86" spans="1:12" x14ac:dyDescent="0.25">
      <c r="A86">
        <v>84</v>
      </c>
      <c r="B86" s="1" t="s">
        <v>600</v>
      </c>
      <c r="C86" s="1" t="s">
        <v>601</v>
      </c>
      <c r="D86" s="1" t="s">
        <v>602</v>
      </c>
      <c r="E86" s="1" t="s">
        <v>603</v>
      </c>
      <c r="F86" s="1" t="s">
        <v>604</v>
      </c>
      <c r="G86">
        <v>-8993</v>
      </c>
      <c r="H86">
        <v>-1674</v>
      </c>
      <c r="I86" s="1" t="s">
        <v>605</v>
      </c>
      <c r="J86" s="1" t="s">
        <v>606</v>
      </c>
      <c r="K86">
        <v>-152</v>
      </c>
      <c r="L86" s="1" t="s">
        <v>792</v>
      </c>
    </row>
    <row r="87" spans="1:12" x14ac:dyDescent="0.25">
      <c r="A87">
        <v>85</v>
      </c>
      <c r="B87" s="1" t="s">
        <v>607</v>
      </c>
      <c r="C87" s="1" t="s">
        <v>608</v>
      </c>
      <c r="D87" s="1" t="s">
        <v>609</v>
      </c>
      <c r="E87" s="1" t="s">
        <v>610</v>
      </c>
      <c r="F87" s="1" t="s">
        <v>611</v>
      </c>
      <c r="G87">
        <v>-17254</v>
      </c>
      <c r="H87">
        <v>-792</v>
      </c>
      <c r="I87" s="1" t="s">
        <v>612</v>
      </c>
      <c r="J87" s="1" t="s">
        <v>613</v>
      </c>
      <c r="K87">
        <v>-9131</v>
      </c>
      <c r="L87" s="1" t="s">
        <v>793</v>
      </c>
    </row>
    <row r="88" spans="1:12" x14ac:dyDescent="0.25">
      <c r="A88">
        <v>86</v>
      </c>
      <c r="B88" s="1" t="s">
        <v>614</v>
      </c>
      <c r="C88" s="1" t="s">
        <v>615</v>
      </c>
      <c r="D88" s="1" t="s">
        <v>271</v>
      </c>
      <c r="E88" s="1" t="s">
        <v>616</v>
      </c>
      <c r="F88" s="1" t="s">
        <v>617</v>
      </c>
      <c r="G88">
        <v>-15658</v>
      </c>
      <c r="H88">
        <v>-4838</v>
      </c>
      <c r="I88" s="1" t="s">
        <v>618</v>
      </c>
      <c r="J88" s="1" t="s">
        <v>619</v>
      </c>
      <c r="K88">
        <v>-2214</v>
      </c>
      <c r="L88" s="1" t="s">
        <v>794</v>
      </c>
    </row>
    <row r="89" spans="1:12" x14ac:dyDescent="0.25">
      <c r="A89">
        <v>87</v>
      </c>
      <c r="B89" s="1" t="s">
        <v>620</v>
      </c>
      <c r="C89" s="1" t="s">
        <v>621</v>
      </c>
      <c r="D89" s="1" t="s">
        <v>622</v>
      </c>
      <c r="E89" s="1" t="s">
        <v>623</v>
      </c>
      <c r="F89" s="1" t="s">
        <v>624</v>
      </c>
      <c r="G89">
        <v>-10774</v>
      </c>
      <c r="H89">
        <v>-3436</v>
      </c>
      <c r="I89" s="1" t="s">
        <v>625</v>
      </c>
      <c r="J89" s="1" t="s">
        <v>626</v>
      </c>
      <c r="K89">
        <v>-412</v>
      </c>
      <c r="L89" s="1" t="s">
        <v>795</v>
      </c>
    </row>
    <row r="90" spans="1:12" x14ac:dyDescent="0.25">
      <c r="A90">
        <v>88</v>
      </c>
      <c r="B90" s="1" t="s">
        <v>627</v>
      </c>
      <c r="C90" s="1" t="s">
        <v>628</v>
      </c>
      <c r="D90" s="1" t="s">
        <v>629</v>
      </c>
      <c r="E90" s="1" t="s">
        <v>630</v>
      </c>
      <c r="F90" s="1" t="s">
        <v>631</v>
      </c>
      <c r="G90">
        <v>-16690</v>
      </c>
      <c r="H90">
        <v>-241</v>
      </c>
      <c r="I90" s="1" t="s">
        <v>632</v>
      </c>
      <c r="J90" s="1" t="s">
        <v>633</v>
      </c>
      <c r="K90">
        <v>-9011</v>
      </c>
      <c r="L90" s="1" t="s">
        <v>796</v>
      </c>
    </row>
    <row r="91" spans="1:12" x14ac:dyDescent="0.25">
      <c r="A91">
        <v>89</v>
      </c>
      <c r="B91" s="1" t="s">
        <v>634</v>
      </c>
      <c r="C91" s="1" t="s">
        <v>635</v>
      </c>
      <c r="D91" s="1" t="s">
        <v>636</v>
      </c>
      <c r="E91" s="1" t="s">
        <v>637</v>
      </c>
      <c r="F91" s="1" t="s">
        <v>638</v>
      </c>
      <c r="G91">
        <v>-15467</v>
      </c>
      <c r="H91">
        <v>-4983</v>
      </c>
      <c r="I91" s="1" t="s">
        <v>639</v>
      </c>
      <c r="J91" s="1" t="s">
        <v>640</v>
      </c>
      <c r="K91">
        <v>365243</v>
      </c>
      <c r="L91" s="1" t="s">
        <v>797</v>
      </c>
    </row>
    <row r="92" spans="1:12" x14ac:dyDescent="0.25">
      <c r="A92">
        <v>90</v>
      </c>
      <c r="B92" s="1" t="s">
        <v>641</v>
      </c>
      <c r="C92" s="1" t="s">
        <v>642</v>
      </c>
      <c r="D92" s="1" t="s">
        <v>194</v>
      </c>
      <c r="E92" s="1" t="s">
        <v>643</v>
      </c>
      <c r="F92" s="1" t="s">
        <v>644</v>
      </c>
      <c r="G92">
        <v>-20335</v>
      </c>
      <c r="H92">
        <v>-3825</v>
      </c>
      <c r="I92" s="1" t="s">
        <v>645</v>
      </c>
      <c r="J92" s="1" t="s">
        <v>646</v>
      </c>
      <c r="K92">
        <v>-2056</v>
      </c>
      <c r="L92" s="1" t="s">
        <v>798</v>
      </c>
    </row>
    <row r="93" spans="1:12" x14ac:dyDescent="0.25">
      <c r="A93">
        <v>91</v>
      </c>
      <c r="B93" s="1" t="s">
        <v>647</v>
      </c>
      <c r="C93" s="1" t="s">
        <v>648</v>
      </c>
      <c r="D93" s="1" t="s">
        <v>649</v>
      </c>
      <c r="E93" s="1" t="s">
        <v>650</v>
      </c>
      <c r="F93" s="1" t="s">
        <v>651</v>
      </c>
      <c r="G93">
        <v>-11995</v>
      </c>
      <c r="H93">
        <v>-3888</v>
      </c>
      <c r="I93" s="1" t="s">
        <v>652</v>
      </c>
      <c r="J93" s="1" t="s">
        <v>653</v>
      </c>
      <c r="K93">
        <v>-3785</v>
      </c>
      <c r="L93" s="1" t="s">
        <v>799</v>
      </c>
    </row>
    <row r="94" spans="1:12" x14ac:dyDescent="0.25">
      <c r="A94">
        <v>92</v>
      </c>
      <c r="B94" s="1" t="s">
        <v>654</v>
      </c>
      <c r="C94" s="1" t="s">
        <v>655</v>
      </c>
      <c r="D94" s="1" t="s">
        <v>656</v>
      </c>
      <c r="E94" s="1" t="s">
        <v>657</v>
      </c>
      <c r="F94" s="1" t="s">
        <v>658</v>
      </c>
      <c r="G94">
        <v>-17237</v>
      </c>
      <c r="H94">
        <v>-647</v>
      </c>
      <c r="I94" s="1" t="s">
        <v>659</v>
      </c>
      <c r="J94" s="1" t="s">
        <v>660</v>
      </c>
      <c r="K94">
        <v>-1458</v>
      </c>
      <c r="L94" s="1" t="s">
        <v>800</v>
      </c>
    </row>
    <row r="95" spans="1:12" x14ac:dyDescent="0.25">
      <c r="A95">
        <v>93</v>
      </c>
      <c r="B95" s="1" t="s">
        <v>661</v>
      </c>
      <c r="C95" s="1" t="s">
        <v>662</v>
      </c>
      <c r="D95" s="1" t="s">
        <v>663</v>
      </c>
      <c r="E95" s="1" t="s">
        <v>664</v>
      </c>
      <c r="F95" s="1" t="s">
        <v>665</v>
      </c>
      <c r="G95">
        <v>-10033</v>
      </c>
      <c r="H95">
        <v>-2516</v>
      </c>
      <c r="I95" s="1" t="s">
        <v>666</v>
      </c>
      <c r="J95" s="1" t="s">
        <v>667</v>
      </c>
      <c r="K95">
        <v>-558</v>
      </c>
      <c r="L95" s="1" t="s">
        <v>801</v>
      </c>
    </row>
    <row r="96" spans="1:12" x14ac:dyDescent="0.25">
      <c r="A96">
        <v>94</v>
      </c>
      <c r="B96" s="1" t="s">
        <v>668</v>
      </c>
      <c r="C96" s="1" t="s">
        <v>669</v>
      </c>
      <c r="D96" s="1" t="s">
        <v>310</v>
      </c>
      <c r="E96" s="1" t="s">
        <v>670</v>
      </c>
      <c r="F96" s="1" t="s">
        <v>671</v>
      </c>
      <c r="G96">
        <v>-11378</v>
      </c>
      <c r="H96">
        <v>-3317</v>
      </c>
      <c r="I96" s="1" t="s">
        <v>672</v>
      </c>
      <c r="J96" s="1" t="s">
        <v>673</v>
      </c>
      <c r="K96">
        <v>-3440</v>
      </c>
      <c r="L96" s="1" t="s">
        <v>802</v>
      </c>
    </row>
    <row r="97" spans="1:12" x14ac:dyDescent="0.25">
      <c r="A97">
        <v>95</v>
      </c>
      <c r="B97" s="1" t="s">
        <v>674</v>
      </c>
      <c r="C97" s="1" t="s">
        <v>675</v>
      </c>
      <c r="D97" s="1" t="s">
        <v>676</v>
      </c>
      <c r="E97" s="1" t="s">
        <v>677</v>
      </c>
      <c r="F97" s="1" t="s">
        <v>678</v>
      </c>
      <c r="G97">
        <v>-13758</v>
      </c>
      <c r="H97">
        <v>-4594</v>
      </c>
      <c r="I97" s="1" t="s">
        <v>679</v>
      </c>
      <c r="J97" s="1" t="s">
        <v>680</v>
      </c>
      <c r="K97">
        <v>-1604</v>
      </c>
      <c r="L97" s="1" t="s">
        <v>803</v>
      </c>
    </row>
    <row r="98" spans="1:12" x14ac:dyDescent="0.25">
      <c r="A98">
        <v>96</v>
      </c>
      <c r="B98" s="1" t="s">
        <v>681</v>
      </c>
      <c r="C98" s="1" t="s">
        <v>682</v>
      </c>
      <c r="D98" s="1" t="s">
        <v>683</v>
      </c>
      <c r="E98" s="1" t="s">
        <v>684</v>
      </c>
      <c r="F98" s="1" t="s">
        <v>685</v>
      </c>
      <c r="G98">
        <v>-17026</v>
      </c>
      <c r="H98">
        <v>-398</v>
      </c>
      <c r="I98" s="1" t="s">
        <v>686</v>
      </c>
      <c r="J98" s="1" t="s">
        <v>687</v>
      </c>
      <c r="K98">
        <v>-3342</v>
      </c>
      <c r="L98" s="1" t="s">
        <v>804</v>
      </c>
    </row>
    <row r="99" spans="1:12" x14ac:dyDescent="0.25">
      <c r="A99">
        <v>97</v>
      </c>
      <c r="B99" s="1" t="s">
        <v>688</v>
      </c>
      <c r="C99" s="1" t="s">
        <v>689</v>
      </c>
      <c r="D99" s="1" t="s">
        <v>690</v>
      </c>
      <c r="E99" s="1" t="s">
        <v>691</v>
      </c>
      <c r="F99" s="1" t="s">
        <v>692</v>
      </c>
      <c r="G99">
        <v>-16413</v>
      </c>
      <c r="H99">
        <v>-4552</v>
      </c>
      <c r="I99" s="1" t="s">
        <v>693</v>
      </c>
      <c r="J99" s="1" t="s">
        <v>694</v>
      </c>
      <c r="K99">
        <v>-2659</v>
      </c>
      <c r="L99" s="1" t="s">
        <v>805</v>
      </c>
    </row>
    <row r="100" spans="1:12" x14ac:dyDescent="0.25">
      <c r="A100">
        <v>98</v>
      </c>
      <c r="B100" s="1" t="s">
        <v>695</v>
      </c>
      <c r="C100" s="1" t="s">
        <v>696</v>
      </c>
      <c r="D100" s="1" t="s">
        <v>697</v>
      </c>
      <c r="E100" s="1" t="s">
        <v>698</v>
      </c>
      <c r="F100" s="1" t="s">
        <v>699</v>
      </c>
      <c r="G100">
        <v>-17428</v>
      </c>
      <c r="H100">
        <v>-960</v>
      </c>
      <c r="I100" s="1" t="s">
        <v>700</v>
      </c>
      <c r="J100" s="1" t="s">
        <v>701</v>
      </c>
      <c r="K100">
        <v>-5088</v>
      </c>
      <c r="L100" s="1" t="s">
        <v>806</v>
      </c>
    </row>
    <row r="101" spans="1:12" x14ac:dyDescent="0.25">
      <c r="A101">
        <v>99</v>
      </c>
      <c r="B101" s="1" t="s">
        <v>702</v>
      </c>
      <c r="C101" s="1" t="s">
        <v>703</v>
      </c>
      <c r="D101" s="1" t="s">
        <v>704</v>
      </c>
      <c r="E101" s="1" t="s">
        <v>705</v>
      </c>
      <c r="F101" s="1" t="s">
        <v>706</v>
      </c>
      <c r="G101">
        <v>-21144</v>
      </c>
      <c r="H101">
        <v>-4194</v>
      </c>
      <c r="I101" s="1" t="s">
        <v>707</v>
      </c>
      <c r="J101" s="1" t="s">
        <v>708</v>
      </c>
      <c r="K101">
        <v>365243</v>
      </c>
      <c r="L101" s="1" t="s">
        <v>807</v>
      </c>
    </row>
    <row r="102" spans="1:12" x14ac:dyDescent="0.25">
      <c r="A102">
        <v>100</v>
      </c>
      <c r="B102" s="1" t="s">
        <v>821</v>
      </c>
      <c r="C102" s="1" t="s">
        <v>822</v>
      </c>
      <c r="D102" s="1" t="s">
        <v>823</v>
      </c>
      <c r="E102" s="1" t="s">
        <v>824</v>
      </c>
      <c r="F102" s="1" t="s">
        <v>825</v>
      </c>
      <c r="G102">
        <v>-23902</v>
      </c>
      <c r="H102">
        <v>-1755</v>
      </c>
      <c r="I102" s="1" t="s">
        <v>826</v>
      </c>
      <c r="J102" s="1" t="s">
        <v>827</v>
      </c>
      <c r="K102">
        <v>365243</v>
      </c>
      <c r="L102" s="1" t="s">
        <v>828</v>
      </c>
    </row>
    <row r="103" spans="1:12" x14ac:dyDescent="0.25">
      <c r="A103">
        <v>101</v>
      </c>
      <c r="B103" s="1" t="s">
        <v>829</v>
      </c>
      <c r="C103" s="1" t="s">
        <v>830</v>
      </c>
      <c r="D103" s="1" t="s">
        <v>201</v>
      </c>
      <c r="E103" s="1" t="s">
        <v>831</v>
      </c>
      <c r="F103" s="1" t="s">
        <v>832</v>
      </c>
      <c r="G103">
        <v>-20490</v>
      </c>
      <c r="H103">
        <v>-4033</v>
      </c>
      <c r="I103" s="1" t="s">
        <v>833</v>
      </c>
      <c r="J103" s="1" t="s">
        <v>834</v>
      </c>
      <c r="K103">
        <v>-5229</v>
      </c>
      <c r="L103" s="1" t="s">
        <v>835</v>
      </c>
    </row>
    <row r="104" spans="1:12" x14ac:dyDescent="0.25">
      <c r="A104">
        <v>102</v>
      </c>
      <c r="B104" s="1" t="s">
        <v>836</v>
      </c>
      <c r="C104" s="1" t="s">
        <v>837</v>
      </c>
      <c r="D104" s="1" t="s">
        <v>838</v>
      </c>
      <c r="E104" s="1" t="s">
        <v>839</v>
      </c>
      <c r="F104" s="1" t="s">
        <v>840</v>
      </c>
      <c r="G104">
        <v>-19803</v>
      </c>
      <c r="H104">
        <v>-3337</v>
      </c>
      <c r="I104" s="1" t="s">
        <v>841</v>
      </c>
      <c r="J104" s="1" t="s">
        <v>842</v>
      </c>
      <c r="K104">
        <v>-5955</v>
      </c>
      <c r="L104" s="1" t="s">
        <v>843</v>
      </c>
    </row>
    <row r="105" spans="1:12" x14ac:dyDescent="0.25">
      <c r="A105">
        <v>103</v>
      </c>
      <c r="B105" s="1" t="s">
        <v>844</v>
      </c>
      <c r="C105" s="1" t="s">
        <v>845</v>
      </c>
      <c r="D105" s="1" t="s">
        <v>846</v>
      </c>
      <c r="E105" s="1" t="s">
        <v>847</v>
      </c>
      <c r="F105" s="1" t="s">
        <v>848</v>
      </c>
      <c r="G105">
        <v>-11395</v>
      </c>
      <c r="H105">
        <v>-3910</v>
      </c>
      <c r="I105" s="1" t="s">
        <v>849</v>
      </c>
      <c r="J105" s="1" t="s">
        <v>850</v>
      </c>
      <c r="K105">
        <v>-4611</v>
      </c>
      <c r="L105" s="1" t="s">
        <v>851</v>
      </c>
    </row>
    <row r="106" spans="1:12" x14ac:dyDescent="0.25">
      <c r="A106">
        <v>104</v>
      </c>
      <c r="B106" s="1" t="s">
        <v>852</v>
      </c>
      <c r="C106" s="1" t="s">
        <v>853</v>
      </c>
      <c r="D106" s="1" t="s">
        <v>854</v>
      </c>
      <c r="E106" s="1" t="s">
        <v>855</v>
      </c>
      <c r="F106" s="1" t="s">
        <v>856</v>
      </c>
      <c r="G106">
        <v>-10284</v>
      </c>
      <c r="H106">
        <v>-2955</v>
      </c>
      <c r="I106" s="1" t="s">
        <v>857</v>
      </c>
      <c r="J106" s="1" t="s">
        <v>858</v>
      </c>
      <c r="K106">
        <v>-550</v>
      </c>
      <c r="L106" s="1" t="s">
        <v>859</v>
      </c>
    </row>
    <row r="107" spans="1:12" x14ac:dyDescent="0.25">
      <c r="A107">
        <v>105</v>
      </c>
      <c r="B107" s="1" t="s">
        <v>860</v>
      </c>
      <c r="C107" s="1" t="s">
        <v>861</v>
      </c>
      <c r="D107" s="1" t="s">
        <v>862</v>
      </c>
      <c r="E107" s="1" t="s">
        <v>863</v>
      </c>
      <c r="F107" s="1" t="s">
        <v>864</v>
      </c>
      <c r="G107">
        <v>-21145</v>
      </c>
      <c r="H107">
        <v>-839</v>
      </c>
      <c r="I107" s="1" t="s">
        <v>865</v>
      </c>
      <c r="J107" s="1" t="s">
        <v>128</v>
      </c>
      <c r="K107">
        <v>365243</v>
      </c>
      <c r="L107" s="1" t="s">
        <v>723</v>
      </c>
    </row>
    <row r="108" spans="1:12" x14ac:dyDescent="0.25">
      <c r="A108">
        <v>106</v>
      </c>
      <c r="B108" s="1" t="s">
        <v>866</v>
      </c>
      <c r="C108" s="1" t="s">
        <v>867</v>
      </c>
      <c r="D108" s="1" t="s">
        <v>47</v>
      </c>
      <c r="E108" s="1" t="s">
        <v>868</v>
      </c>
      <c r="F108" s="1" t="s">
        <v>869</v>
      </c>
      <c r="G108">
        <v>-17239</v>
      </c>
      <c r="H108">
        <v>-766</v>
      </c>
      <c r="I108" s="1" t="s">
        <v>870</v>
      </c>
      <c r="J108" s="1" t="s">
        <v>871</v>
      </c>
      <c r="K108">
        <v>-3037</v>
      </c>
      <c r="L108" s="1" t="s">
        <v>872</v>
      </c>
    </row>
    <row r="109" spans="1:12" x14ac:dyDescent="0.25">
      <c r="A109">
        <v>107</v>
      </c>
      <c r="B109" s="1" t="s">
        <v>873</v>
      </c>
      <c r="C109" s="1" t="s">
        <v>874</v>
      </c>
      <c r="D109" s="1" t="s">
        <v>569</v>
      </c>
      <c r="E109" s="1" t="s">
        <v>875</v>
      </c>
      <c r="F109" s="1" t="s">
        <v>876</v>
      </c>
      <c r="G109">
        <v>-18213</v>
      </c>
      <c r="H109">
        <v>-1766</v>
      </c>
      <c r="I109" s="1" t="s">
        <v>877</v>
      </c>
      <c r="J109" s="1" t="s">
        <v>878</v>
      </c>
      <c r="K109">
        <v>-3025</v>
      </c>
      <c r="L109" s="1" t="s">
        <v>879</v>
      </c>
    </row>
    <row r="110" spans="1:12" x14ac:dyDescent="0.25">
      <c r="A110">
        <v>108</v>
      </c>
      <c r="B110" s="1" t="s">
        <v>880</v>
      </c>
      <c r="C110" s="1" t="s">
        <v>881</v>
      </c>
      <c r="D110" s="1" t="s">
        <v>676</v>
      </c>
      <c r="E110" s="1" t="s">
        <v>882</v>
      </c>
      <c r="F110" s="1" t="s">
        <v>883</v>
      </c>
      <c r="G110">
        <v>-18821</v>
      </c>
      <c r="H110">
        <v>-2355</v>
      </c>
      <c r="I110" s="1" t="s">
        <v>884</v>
      </c>
      <c r="J110" s="1" t="s">
        <v>885</v>
      </c>
      <c r="K110">
        <v>365243</v>
      </c>
      <c r="L110" s="1" t="s">
        <v>886</v>
      </c>
    </row>
    <row r="111" spans="1:12" x14ac:dyDescent="0.25">
      <c r="A111">
        <v>109</v>
      </c>
      <c r="B111" s="1" t="s">
        <v>887</v>
      </c>
      <c r="C111" s="1" t="s">
        <v>888</v>
      </c>
      <c r="D111" s="1" t="s">
        <v>889</v>
      </c>
      <c r="E111" s="1" t="s">
        <v>890</v>
      </c>
      <c r="F111" s="1" t="s">
        <v>891</v>
      </c>
      <c r="G111">
        <v>-11816</v>
      </c>
      <c r="H111">
        <v>-4141</v>
      </c>
      <c r="I111" s="1" t="s">
        <v>892</v>
      </c>
      <c r="J111" s="1" t="s">
        <v>893</v>
      </c>
      <c r="K111">
        <v>-439</v>
      </c>
      <c r="L111" s="1" t="s">
        <v>894</v>
      </c>
    </row>
    <row r="112" spans="1:12" x14ac:dyDescent="0.25">
      <c r="A112">
        <v>110</v>
      </c>
      <c r="B112" s="1" t="s">
        <v>895</v>
      </c>
      <c r="C112" s="1" t="s">
        <v>896</v>
      </c>
      <c r="D112" s="1" t="s">
        <v>897</v>
      </c>
      <c r="E112" s="1" t="s">
        <v>898</v>
      </c>
      <c r="F112" s="1" t="s">
        <v>899</v>
      </c>
      <c r="G112">
        <v>-15856</v>
      </c>
      <c r="H112">
        <v>-4626</v>
      </c>
      <c r="I112" s="1" t="s">
        <v>900</v>
      </c>
      <c r="J112" s="1" t="s">
        <v>901</v>
      </c>
      <c r="K112">
        <v>-1108</v>
      </c>
      <c r="L112" s="1" t="s">
        <v>902</v>
      </c>
    </row>
    <row r="113" spans="1:12" x14ac:dyDescent="0.25">
      <c r="A113">
        <v>111</v>
      </c>
      <c r="B113" s="1" t="s">
        <v>903</v>
      </c>
      <c r="C113" s="1" t="s">
        <v>904</v>
      </c>
      <c r="D113" s="1" t="s">
        <v>846</v>
      </c>
      <c r="E113" s="1" t="s">
        <v>905</v>
      </c>
      <c r="F113" s="1" t="s">
        <v>906</v>
      </c>
      <c r="G113">
        <v>-17865</v>
      </c>
      <c r="H113">
        <v>-1276</v>
      </c>
      <c r="I113" s="1" t="s">
        <v>907</v>
      </c>
      <c r="J113" s="1" t="s">
        <v>908</v>
      </c>
      <c r="K113">
        <v>-3178</v>
      </c>
      <c r="L113" s="1" t="s">
        <v>909</v>
      </c>
    </row>
    <row r="114" spans="1:12" x14ac:dyDescent="0.25">
      <c r="A114">
        <v>112</v>
      </c>
      <c r="B114" s="1" t="s">
        <v>910</v>
      </c>
      <c r="C114" s="1" t="s">
        <v>911</v>
      </c>
      <c r="D114" s="1" t="s">
        <v>912</v>
      </c>
      <c r="E114" s="1" t="s">
        <v>913</v>
      </c>
      <c r="F114" s="1" t="s">
        <v>914</v>
      </c>
      <c r="G114">
        <v>-11825</v>
      </c>
      <c r="H114">
        <v>-3432</v>
      </c>
      <c r="I114" s="1" t="s">
        <v>915</v>
      </c>
      <c r="J114" s="1" t="s">
        <v>916</v>
      </c>
      <c r="K114">
        <v>-844</v>
      </c>
      <c r="L114" s="1" t="s">
        <v>917</v>
      </c>
    </row>
    <row r="115" spans="1:12" x14ac:dyDescent="0.25">
      <c r="A115">
        <v>113</v>
      </c>
      <c r="B115" s="1" t="s">
        <v>918</v>
      </c>
      <c r="C115" s="1" t="s">
        <v>919</v>
      </c>
      <c r="D115" s="1" t="s">
        <v>54</v>
      </c>
      <c r="E115" s="1" t="s">
        <v>920</v>
      </c>
      <c r="F115" s="1" t="s">
        <v>921</v>
      </c>
      <c r="G115">
        <v>-12740</v>
      </c>
      <c r="H115">
        <v>-4807</v>
      </c>
      <c r="I115" s="1" t="s">
        <v>922</v>
      </c>
      <c r="J115" s="1" t="s">
        <v>923</v>
      </c>
      <c r="K115">
        <v>-1656</v>
      </c>
      <c r="L115" s="1" t="s">
        <v>924</v>
      </c>
    </row>
    <row r="116" spans="1:12" x14ac:dyDescent="0.25">
      <c r="A116">
        <v>114</v>
      </c>
      <c r="B116" s="1" t="s">
        <v>925</v>
      </c>
      <c r="C116" s="1" t="s">
        <v>926</v>
      </c>
      <c r="D116" s="1" t="s">
        <v>927</v>
      </c>
      <c r="E116" s="1" t="s">
        <v>928</v>
      </c>
      <c r="F116" s="1" t="s">
        <v>929</v>
      </c>
      <c r="G116">
        <v>-19959</v>
      </c>
      <c r="H116">
        <v>-3405</v>
      </c>
      <c r="I116" s="1" t="s">
        <v>930</v>
      </c>
      <c r="J116" s="1" t="s">
        <v>931</v>
      </c>
      <c r="K116">
        <v>365243</v>
      </c>
      <c r="L116" s="1" t="s">
        <v>932</v>
      </c>
    </row>
    <row r="117" spans="1:12" x14ac:dyDescent="0.25">
      <c r="A117">
        <v>115</v>
      </c>
      <c r="B117" s="1" t="s">
        <v>933</v>
      </c>
      <c r="C117" s="1" t="s">
        <v>934</v>
      </c>
      <c r="D117" s="1" t="s">
        <v>54</v>
      </c>
      <c r="E117" s="1" t="s">
        <v>935</v>
      </c>
      <c r="F117" s="1" t="s">
        <v>936</v>
      </c>
      <c r="G117">
        <v>-21032</v>
      </c>
      <c r="H117">
        <v>-4042</v>
      </c>
      <c r="I117" s="1" t="s">
        <v>937</v>
      </c>
      <c r="J117" s="1" t="s">
        <v>938</v>
      </c>
      <c r="K117">
        <v>365243</v>
      </c>
      <c r="L117" s="1" t="s">
        <v>939</v>
      </c>
    </row>
    <row r="118" spans="1:12" x14ac:dyDescent="0.25">
      <c r="A118">
        <v>116</v>
      </c>
      <c r="B118" s="1" t="s">
        <v>940</v>
      </c>
      <c r="C118" s="1" t="s">
        <v>941</v>
      </c>
      <c r="D118" s="1" t="s">
        <v>942</v>
      </c>
      <c r="E118" s="1" t="s">
        <v>943</v>
      </c>
      <c r="F118" s="1" t="s">
        <v>944</v>
      </c>
      <c r="G118">
        <v>-8140</v>
      </c>
      <c r="H118">
        <v>-813</v>
      </c>
      <c r="I118" s="1" t="s">
        <v>945</v>
      </c>
      <c r="J118" s="1" t="s">
        <v>198</v>
      </c>
      <c r="K118">
        <v>-1548</v>
      </c>
      <c r="L118" s="1" t="s">
        <v>946</v>
      </c>
    </row>
    <row r="119" spans="1:12" x14ac:dyDescent="0.25">
      <c r="A119">
        <v>117</v>
      </c>
      <c r="B119" s="1" t="s">
        <v>947</v>
      </c>
      <c r="C119" s="1" t="s">
        <v>948</v>
      </c>
      <c r="D119" s="1" t="s">
        <v>949</v>
      </c>
      <c r="E119" s="1" t="s">
        <v>950</v>
      </c>
      <c r="F119" s="1" t="s">
        <v>951</v>
      </c>
      <c r="G119">
        <v>-19570</v>
      </c>
      <c r="H119">
        <v>-3122</v>
      </c>
      <c r="I119" s="1" t="s">
        <v>952</v>
      </c>
      <c r="J119" s="1" t="s">
        <v>953</v>
      </c>
      <c r="K119">
        <v>365243</v>
      </c>
      <c r="L119" s="1" t="s">
        <v>954</v>
      </c>
    </row>
    <row r="120" spans="1:12" x14ac:dyDescent="0.25">
      <c r="A120">
        <v>118</v>
      </c>
      <c r="B120" s="1" t="s">
        <v>955</v>
      </c>
      <c r="C120" s="1" t="s">
        <v>956</v>
      </c>
      <c r="D120" s="1" t="s">
        <v>957</v>
      </c>
      <c r="E120" s="1" t="s">
        <v>958</v>
      </c>
      <c r="F120" s="1" t="s">
        <v>959</v>
      </c>
      <c r="G120">
        <v>-17928</v>
      </c>
      <c r="H120">
        <v>-1426</v>
      </c>
      <c r="I120" s="1" t="s">
        <v>960</v>
      </c>
      <c r="J120" s="1" t="s">
        <v>961</v>
      </c>
      <c r="K120">
        <v>-3243</v>
      </c>
      <c r="L120" s="1" t="s">
        <v>962</v>
      </c>
    </row>
    <row r="121" spans="1:12" x14ac:dyDescent="0.25">
      <c r="A121">
        <v>119</v>
      </c>
      <c r="B121" s="1" t="s">
        <v>963</v>
      </c>
      <c r="C121" s="1" t="s">
        <v>964</v>
      </c>
      <c r="D121" s="1" t="s">
        <v>965</v>
      </c>
      <c r="E121" s="1" t="s">
        <v>966</v>
      </c>
      <c r="F121" s="1" t="s">
        <v>967</v>
      </c>
      <c r="G121">
        <v>-11512</v>
      </c>
      <c r="H121">
        <v>-677</v>
      </c>
      <c r="I121" s="1" t="s">
        <v>968</v>
      </c>
      <c r="J121" s="1" t="s">
        <v>969</v>
      </c>
      <c r="K121">
        <v>-1354</v>
      </c>
      <c r="L121" s="1" t="s">
        <v>970</v>
      </c>
    </row>
    <row r="122" spans="1:12" x14ac:dyDescent="0.25">
      <c r="A122">
        <v>120</v>
      </c>
      <c r="B122" s="1" t="s">
        <v>971</v>
      </c>
      <c r="C122" s="1" t="s">
        <v>972</v>
      </c>
      <c r="D122" s="1" t="s">
        <v>54</v>
      </c>
      <c r="E122" s="1" t="s">
        <v>973</v>
      </c>
      <c r="F122" s="1" t="s">
        <v>974</v>
      </c>
      <c r="G122">
        <v>-15526</v>
      </c>
      <c r="H122">
        <v>-1256</v>
      </c>
      <c r="I122" s="1" t="s">
        <v>975</v>
      </c>
      <c r="J122" s="1" t="s">
        <v>976</v>
      </c>
      <c r="K122">
        <v>-911</v>
      </c>
      <c r="L122" s="1" t="s">
        <v>977</v>
      </c>
    </row>
    <row r="123" spans="1:12" x14ac:dyDescent="0.25">
      <c r="A123">
        <v>121</v>
      </c>
      <c r="B123" s="1" t="s">
        <v>978</v>
      </c>
      <c r="C123" s="1" t="s">
        <v>979</v>
      </c>
      <c r="D123" s="1" t="s">
        <v>980</v>
      </c>
      <c r="E123" s="1" t="s">
        <v>981</v>
      </c>
      <c r="F123" s="1" t="s">
        <v>982</v>
      </c>
      <c r="G123">
        <v>-24111</v>
      </c>
      <c r="H123">
        <v>-4475</v>
      </c>
      <c r="I123" s="1" t="s">
        <v>983</v>
      </c>
      <c r="J123" s="1" t="s">
        <v>984</v>
      </c>
      <c r="K123">
        <v>365243</v>
      </c>
      <c r="L123" s="1" t="s">
        <v>985</v>
      </c>
    </row>
    <row r="124" spans="1:12" x14ac:dyDescent="0.25">
      <c r="A124">
        <v>122</v>
      </c>
      <c r="B124" s="1" t="s">
        <v>986</v>
      </c>
      <c r="C124" s="1" t="s">
        <v>987</v>
      </c>
      <c r="D124" s="1" t="s">
        <v>54</v>
      </c>
      <c r="E124" s="1" t="s">
        <v>988</v>
      </c>
      <c r="F124" s="1" t="s">
        <v>989</v>
      </c>
      <c r="G124">
        <v>-11419</v>
      </c>
      <c r="H124">
        <v>-3739</v>
      </c>
      <c r="I124" s="1" t="s">
        <v>990</v>
      </c>
      <c r="J124" s="1" t="s">
        <v>991</v>
      </c>
      <c r="K124">
        <v>-963</v>
      </c>
      <c r="L124" s="1" t="s">
        <v>992</v>
      </c>
    </row>
    <row r="125" spans="1:12" x14ac:dyDescent="0.25">
      <c r="A125">
        <v>123</v>
      </c>
      <c r="B125" s="1" t="s">
        <v>993</v>
      </c>
      <c r="C125" s="1" t="s">
        <v>994</v>
      </c>
      <c r="D125" s="1" t="s">
        <v>995</v>
      </c>
      <c r="E125" s="1" t="s">
        <v>996</v>
      </c>
      <c r="F125" s="1" t="s">
        <v>997</v>
      </c>
      <c r="G125">
        <v>-21503</v>
      </c>
      <c r="H125">
        <v>-4733</v>
      </c>
      <c r="I125" s="1" t="s">
        <v>998</v>
      </c>
      <c r="J125" s="1" t="s">
        <v>999</v>
      </c>
      <c r="K125">
        <v>365243</v>
      </c>
      <c r="L125" s="1" t="s">
        <v>1000</v>
      </c>
    </row>
    <row r="126" spans="1:12" x14ac:dyDescent="0.25">
      <c r="A126">
        <v>124</v>
      </c>
      <c r="B126" s="1" t="s">
        <v>1001</v>
      </c>
      <c r="C126" s="1" t="s">
        <v>1002</v>
      </c>
      <c r="D126" s="1" t="s">
        <v>1003</v>
      </c>
      <c r="E126" s="1" t="s">
        <v>1004</v>
      </c>
      <c r="F126" s="1" t="s">
        <v>1005</v>
      </c>
      <c r="G126">
        <v>-9881</v>
      </c>
      <c r="H126">
        <v>-2545</v>
      </c>
      <c r="I126" s="1" t="s">
        <v>1006</v>
      </c>
      <c r="J126" s="1" t="s">
        <v>1007</v>
      </c>
      <c r="K126">
        <v>-1350</v>
      </c>
      <c r="L126" s="1" t="s">
        <v>1008</v>
      </c>
    </row>
    <row r="127" spans="1:12" x14ac:dyDescent="0.25">
      <c r="A127">
        <v>125</v>
      </c>
      <c r="B127" s="1" t="s">
        <v>1009</v>
      </c>
      <c r="C127" s="1" t="s">
        <v>1010</v>
      </c>
      <c r="D127" s="1" t="s">
        <v>54</v>
      </c>
      <c r="E127" s="1" t="s">
        <v>1011</v>
      </c>
      <c r="F127" s="1" t="s">
        <v>1012</v>
      </c>
      <c r="G127">
        <v>-15690</v>
      </c>
      <c r="H127">
        <v>-4448</v>
      </c>
      <c r="I127" s="1" t="s">
        <v>1013</v>
      </c>
      <c r="J127" s="1" t="s">
        <v>1014</v>
      </c>
      <c r="K127">
        <v>-244</v>
      </c>
      <c r="L127" s="1" t="s">
        <v>1015</v>
      </c>
    </row>
    <row r="128" spans="1:12" x14ac:dyDescent="0.25">
      <c r="A128">
        <v>126</v>
      </c>
      <c r="B128" s="1" t="s">
        <v>1016</v>
      </c>
      <c r="C128" s="1" t="s">
        <v>1017</v>
      </c>
      <c r="D128" s="1" t="s">
        <v>1018</v>
      </c>
      <c r="E128" s="1" t="s">
        <v>1019</v>
      </c>
      <c r="F128" s="1" t="s">
        <v>1020</v>
      </c>
      <c r="G128">
        <v>-16127</v>
      </c>
      <c r="H128">
        <v>-4186</v>
      </c>
      <c r="I128" s="1" t="s">
        <v>1021</v>
      </c>
      <c r="J128" s="1" t="s">
        <v>1022</v>
      </c>
      <c r="K128">
        <v>-1087</v>
      </c>
      <c r="L128" s="1" t="s">
        <v>1023</v>
      </c>
    </row>
    <row r="129" spans="1:12" x14ac:dyDescent="0.25">
      <c r="A129">
        <v>127</v>
      </c>
      <c r="B129" s="1" t="s">
        <v>1024</v>
      </c>
      <c r="C129" s="1" t="s">
        <v>1025</v>
      </c>
      <c r="D129" s="1" t="s">
        <v>1026</v>
      </c>
      <c r="E129" s="1" t="s">
        <v>1027</v>
      </c>
      <c r="F129" s="1" t="s">
        <v>1028</v>
      </c>
      <c r="G129">
        <v>-19444</v>
      </c>
      <c r="H129">
        <v>-2974</v>
      </c>
      <c r="I129" s="1" t="s">
        <v>1029</v>
      </c>
      <c r="J129" s="1" t="s">
        <v>1030</v>
      </c>
      <c r="K129">
        <v>-377</v>
      </c>
      <c r="L129" s="1" t="s">
        <v>1031</v>
      </c>
    </row>
    <row r="130" spans="1:12" x14ac:dyDescent="0.25">
      <c r="A130">
        <v>128</v>
      </c>
      <c r="B130" s="1" t="s">
        <v>1032</v>
      </c>
      <c r="C130" s="1" t="s">
        <v>1033</v>
      </c>
      <c r="D130" s="1" t="s">
        <v>103</v>
      </c>
      <c r="E130" s="1" t="s">
        <v>1034</v>
      </c>
      <c r="F130" s="1" t="s">
        <v>1035</v>
      </c>
      <c r="G130">
        <v>-22795</v>
      </c>
      <c r="H130">
        <v>-4423</v>
      </c>
      <c r="I130" s="1" t="s">
        <v>1036</v>
      </c>
      <c r="J130" s="1" t="s">
        <v>1037</v>
      </c>
      <c r="K130">
        <v>365243</v>
      </c>
      <c r="L130" s="1" t="s">
        <v>1038</v>
      </c>
    </row>
    <row r="131" spans="1:12" x14ac:dyDescent="0.25">
      <c r="A131">
        <v>129</v>
      </c>
      <c r="B131" s="1" t="s">
        <v>1039</v>
      </c>
      <c r="C131" s="1" t="s">
        <v>1040</v>
      </c>
      <c r="D131" s="1" t="s">
        <v>1041</v>
      </c>
      <c r="E131" s="1" t="s">
        <v>1042</v>
      </c>
      <c r="F131" s="1" t="s">
        <v>1043</v>
      </c>
      <c r="G131">
        <v>-21450</v>
      </c>
      <c r="H131">
        <v>-4043</v>
      </c>
      <c r="I131" s="1" t="s">
        <v>1044</v>
      </c>
      <c r="J131" s="1" t="s">
        <v>1045</v>
      </c>
      <c r="K131">
        <v>365243</v>
      </c>
      <c r="L131" s="1" t="s">
        <v>1046</v>
      </c>
    </row>
    <row r="132" spans="1:12" x14ac:dyDescent="0.25">
      <c r="A132">
        <v>130</v>
      </c>
      <c r="B132" s="1" t="s">
        <v>1047</v>
      </c>
      <c r="C132" s="1" t="s">
        <v>1048</v>
      </c>
      <c r="D132" s="1" t="s">
        <v>1049</v>
      </c>
      <c r="E132" s="1" t="s">
        <v>1050</v>
      </c>
      <c r="F132" s="1" t="s">
        <v>1051</v>
      </c>
      <c r="G132">
        <v>-19767</v>
      </c>
      <c r="H132">
        <v>-1778</v>
      </c>
      <c r="I132" s="1" t="s">
        <v>1052</v>
      </c>
      <c r="J132" s="1" t="s">
        <v>1053</v>
      </c>
      <c r="K132">
        <v>-481</v>
      </c>
      <c r="L132" s="1" t="s">
        <v>1054</v>
      </c>
    </row>
    <row r="133" spans="1:12" x14ac:dyDescent="0.25">
      <c r="A133">
        <v>131</v>
      </c>
      <c r="B133" s="1" t="s">
        <v>1055</v>
      </c>
      <c r="C133" s="1" t="s">
        <v>1056</v>
      </c>
      <c r="D133" s="1" t="s">
        <v>361</v>
      </c>
      <c r="E133" s="1" t="s">
        <v>1057</v>
      </c>
      <c r="F133" s="1" t="s">
        <v>1058</v>
      </c>
      <c r="G133">
        <v>-19611</v>
      </c>
      <c r="H133">
        <v>-3061</v>
      </c>
      <c r="I133" s="1" t="s">
        <v>1059</v>
      </c>
      <c r="J133" s="1" t="s">
        <v>1060</v>
      </c>
      <c r="K133">
        <v>-76</v>
      </c>
      <c r="L133" s="1" t="s">
        <v>1061</v>
      </c>
    </row>
    <row r="134" spans="1:12" x14ac:dyDescent="0.25">
      <c r="A134">
        <v>132</v>
      </c>
      <c r="B134" s="1" t="s">
        <v>1062</v>
      </c>
      <c r="C134" s="1" t="s">
        <v>1063</v>
      </c>
      <c r="D134" s="1" t="s">
        <v>949</v>
      </c>
      <c r="E134" s="1" t="s">
        <v>1064</v>
      </c>
      <c r="F134" s="1" t="s">
        <v>1065</v>
      </c>
      <c r="G134">
        <v>-15276</v>
      </c>
      <c r="H134">
        <v>-4880</v>
      </c>
      <c r="I134" s="1" t="s">
        <v>1066</v>
      </c>
      <c r="J134" s="1" t="s">
        <v>184</v>
      </c>
      <c r="K134">
        <v>-1184</v>
      </c>
      <c r="L134" s="1" t="s">
        <v>731</v>
      </c>
    </row>
    <row r="135" spans="1:12" x14ac:dyDescent="0.25">
      <c r="A135">
        <v>133</v>
      </c>
      <c r="B135" s="1" t="s">
        <v>1067</v>
      </c>
      <c r="C135" s="1" t="s">
        <v>1068</v>
      </c>
      <c r="D135" s="1" t="s">
        <v>1069</v>
      </c>
      <c r="E135" s="1" t="s">
        <v>1070</v>
      </c>
      <c r="F135" s="1" t="s">
        <v>1071</v>
      </c>
      <c r="G135">
        <v>-16257</v>
      </c>
      <c r="H135">
        <v>-4128</v>
      </c>
      <c r="I135" s="1" t="s">
        <v>1072</v>
      </c>
      <c r="J135" s="1" t="s">
        <v>1073</v>
      </c>
      <c r="K135">
        <v>-3861</v>
      </c>
      <c r="L135" s="1" t="s">
        <v>1074</v>
      </c>
    </row>
    <row r="136" spans="1:12" x14ac:dyDescent="0.25">
      <c r="A136">
        <v>134</v>
      </c>
      <c r="B136" s="1" t="s">
        <v>1075</v>
      </c>
      <c r="C136" s="1" t="s">
        <v>1076</v>
      </c>
      <c r="D136" s="1" t="s">
        <v>1077</v>
      </c>
      <c r="E136" s="1" t="s">
        <v>1078</v>
      </c>
      <c r="F136" s="1" t="s">
        <v>1079</v>
      </c>
      <c r="G136">
        <v>-17096</v>
      </c>
      <c r="H136">
        <v>-647</v>
      </c>
      <c r="I136" s="1" t="s">
        <v>1080</v>
      </c>
      <c r="J136" s="1" t="s">
        <v>1081</v>
      </c>
      <c r="K136">
        <v>-3101</v>
      </c>
      <c r="L136" s="1" t="s">
        <v>1082</v>
      </c>
    </row>
    <row r="137" spans="1:12" x14ac:dyDescent="0.25">
      <c r="A137">
        <v>135</v>
      </c>
      <c r="B137" s="1" t="s">
        <v>1083</v>
      </c>
      <c r="C137" s="1" t="s">
        <v>1084</v>
      </c>
      <c r="D137" s="1" t="s">
        <v>1085</v>
      </c>
      <c r="E137" s="1" t="s">
        <v>1086</v>
      </c>
      <c r="F137" s="1" t="s">
        <v>1087</v>
      </c>
      <c r="G137">
        <v>-17241</v>
      </c>
      <c r="H137">
        <v>-731</v>
      </c>
      <c r="I137" s="1" t="s">
        <v>1088</v>
      </c>
      <c r="J137" s="1" t="s">
        <v>1089</v>
      </c>
      <c r="K137">
        <v>-3326</v>
      </c>
      <c r="L137" s="1" t="s">
        <v>1090</v>
      </c>
    </row>
    <row r="138" spans="1:12" x14ac:dyDescent="0.25">
      <c r="A138">
        <v>136</v>
      </c>
      <c r="B138" s="1" t="s">
        <v>1091</v>
      </c>
      <c r="C138" s="1" t="s">
        <v>1092</v>
      </c>
      <c r="D138" s="1" t="s">
        <v>1093</v>
      </c>
      <c r="E138" s="1" t="s">
        <v>1094</v>
      </c>
      <c r="F138" s="1" t="s">
        <v>1095</v>
      </c>
      <c r="G138">
        <v>-14622</v>
      </c>
      <c r="H138">
        <v>-4304</v>
      </c>
      <c r="I138" s="1" t="s">
        <v>1096</v>
      </c>
      <c r="J138" s="1" t="s">
        <v>1097</v>
      </c>
      <c r="K138">
        <v>-1145</v>
      </c>
      <c r="L138" s="1" t="s">
        <v>1098</v>
      </c>
    </row>
    <row r="139" spans="1:12" x14ac:dyDescent="0.25">
      <c r="A139">
        <v>137</v>
      </c>
      <c r="B139" s="1" t="s">
        <v>1099</v>
      </c>
      <c r="C139" s="1" t="s">
        <v>1100</v>
      </c>
      <c r="D139" s="1" t="s">
        <v>595</v>
      </c>
      <c r="E139" s="1" t="s">
        <v>1101</v>
      </c>
      <c r="F139" s="1" t="s">
        <v>1102</v>
      </c>
      <c r="G139">
        <v>-21154</v>
      </c>
      <c r="H139">
        <v>-4654</v>
      </c>
      <c r="I139" s="1" t="s">
        <v>1103</v>
      </c>
      <c r="J139" s="1" t="s">
        <v>198</v>
      </c>
      <c r="K139">
        <v>-520</v>
      </c>
      <c r="L139" s="1" t="s">
        <v>1104</v>
      </c>
    </row>
    <row r="140" spans="1:12" x14ac:dyDescent="0.25">
      <c r="A140">
        <v>138</v>
      </c>
      <c r="B140" s="1" t="s">
        <v>1105</v>
      </c>
      <c r="C140" s="1" t="s">
        <v>1106</v>
      </c>
      <c r="D140" s="1" t="s">
        <v>1107</v>
      </c>
      <c r="E140" s="1" t="s">
        <v>1108</v>
      </c>
      <c r="F140" s="1" t="s">
        <v>1109</v>
      </c>
      <c r="G140">
        <v>-8729</v>
      </c>
      <c r="H140">
        <v>-278</v>
      </c>
      <c r="I140" s="1" t="s">
        <v>1110</v>
      </c>
      <c r="J140" s="1" t="s">
        <v>1111</v>
      </c>
      <c r="K140">
        <v>-1060</v>
      </c>
      <c r="L140" s="1" t="s">
        <v>1112</v>
      </c>
    </row>
    <row r="141" spans="1:12" x14ac:dyDescent="0.25">
      <c r="A141">
        <v>139</v>
      </c>
      <c r="B141" s="1" t="s">
        <v>1113</v>
      </c>
      <c r="C141" s="1" t="s">
        <v>1114</v>
      </c>
      <c r="D141" s="1" t="s">
        <v>1115</v>
      </c>
      <c r="E141" s="1" t="s">
        <v>1116</v>
      </c>
      <c r="F141" s="1" t="s">
        <v>1117</v>
      </c>
      <c r="G141">
        <v>-11592</v>
      </c>
      <c r="H141">
        <v>-579</v>
      </c>
      <c r="I141" s="1" t="s">
        <v>1118</v>
      </c>
      <c r="J141" s="1" t="s">
        <v>1119</v>
      </c>
      <c r="K141">
        <v>-2253</v>
      </c>
      <c r="L141" s="1" t="s">
        <v>1120</v>
      </c>
    </row>
    <row r="142" spans="1:12" x14ac:dyDescent="0.25">
      <c r="A142">
        <v>140</v>
      </c>
      <c r="B142" s="1" t="s">
        <v>1121</v>
      </c>
      <c r="C142" s="1" t="s">
        <v>1122</v>
      </c>
      <c r="D142" s="1" t="s">
        <v>1123</v>
      </c>
      <c r="E142" s="1" t="s">
        <v>1124</v>
      </c>
      <c r="F142" s="1" t="s">
        <v>1125</v>
      </c>
      <c r="G142">
        <v>-14278</v>
      </c>
      <c r="H142">
        <v>-4921</v>
      </c>
      <c r="I142" s="1" t="s">
        <v>1126</v>
      </c>
      <c r="J142" s="1" t="s">
        <v>1127</v>
      </c>
      <c r="K142">
        <v>-3282</v>
      </c>
      <c r="L142" s="1" t="s">
        <v>1128</v>
      </c>
    </row>
    <row r="143" spans="1:12" x14ac:dyDescent="0.25">
      <c r="A143">
        <v>141</v>
      </c>
      <c r="B143" s="1" t="s">
        <v>1129</v>
      </c>
      <c r="C143" s="1" t="s">
        <v>1130</v>
      </c>
      <c r="D143" s="1" t="s">
        <v>1131</v>
      </c>
      <c r="E143" s="1" t="s">
        <v>1132</v>
      </c>
      <c r="F143" s="1" t="s">
        <v>1133</v>
      </c>
      <c r="G143">
        <v>-22464</v>
      </c>
      <c r="H143">
        <v>-4001</v>
      </c>
      <c r="I143" s="1" t="s">
        <v>1134</v>
      </c>
      <c r="J143" s="1" t="s">
        <v>1135</v>
      </c>
      <c r="K143">
        <v>365243</v>
      </c>
      <c r="L143" s="1" t="s">
        <v>1136</v>
      </c>
    </row>
    <row r="144" spans="1:12" x14ac:dyDescent="0.25">
      <c r="A144">
        <v>142</v>
      </c>
      <c r="B144" s="1" t="s">
        <v>1137</v>
      </c>
      <c r="C144" s="1" t="s">
        <v>1138</v>
      </c>
      <c r="D144" s="1" t="s">
        <v>1139</v>
      </c>
      <c r="E144" s="1" t="s">
        <v>1140</v>
      </c>
      <c r="F144" s="1" t="s">
        <v>1141</v>
      </c>
      <c r="G144">
        <v>-19368</v>
      </c>
      <c r="H144">
        <v>-2784</v>
      </c>
      <c r="I144" s="1" t="s">
        <v>1142</v>
      </c>
      <c r="J144" s="1" t="s">
        <v>1143</v>
      </c>
      <c r="K144">
        <v>-3018</v>
      </c>
      <c r="L144" s="1" t="s">
        <v>1144</v>
      </c>
    </row>
    <row r="145" spans="1:12" x14ac:dyDescent="0.25">
      <c r="A145">
        <v>143</v>
      </c>
      <c r="B145" s="1" t="s">
        <v>1145</v>
      </c>
      <c r="C145" s="1" t="s">
        <v>1146</v>
      </c>
      <c r="D145" s="1" t="s">
        <v>1131</v>
      </c>
      <c r="E145" s="1" t="s">
        <v>1147</v>
      </c>
      <c r="F145" s="1" t="s">
        <v>1148</v>
      </c>
      <c r="G145">
        <v>-18919</v>
      </c>
      <c r="H145">
        <v>-671</v>
      </c>
      <c r="I145" s="1" t="s">
        <v>1149</v>
      </c>
      <c r="J145" s="1" t="s">
        <v>1150</v>
      </c>
      <c r="K145">
        <v>365243</v>
      </c>
      <c r="L145" s="1" t="s">
        <v>1151</v>
      </c>
    </row>
    <row r="146" spans="1:12" x14ac:dyDescent="0.25">
      <c r="A146">
        <v>144</v>
      </c>
      <c r="B146" s="1" t="s">
        <v>1152</v>
      </c>
      <c r="C146" s="1" t="s">
        <v>1153</v>
      </c>
      <c r="D146" s="1" t="s">
        <v>1154</v>
      </c>
      <c r="E146" s="1" t="s">
        <v>1155</v>
      </c>
      <c r="F146" s="1" t="s">
        <v>1156</v>
      </c>
      <c r="G146">
        <v>-12215</v>
      </c>
      <c r="H146">
        <v>-2757</v>
      </c>
      <c r="I146" s="1" t="s">
        <v>1157</v>
      </c>
      <c r="J146" s="1" t="s">
        <v>1158</v>
      </c>
      <c r="K146">
        <v>-1449</v>
      </c>
      <c r="L146" s="1" t="s">
        <v>1159</v>
      </c>
    </row>
    <row r="147" spans="1:12" x14ac:dyDescent="0.25">
      <c r="A147">
        <v>145</v>
      </c>
      <c r="B147" s="1" t="s">
        <v>1160</v>
      </c>
      <c r="C147" s="1" t="s">
        <v>1161</v>
      </c>
      <c r="D147" s="1" t="s">
        <v>1162</v>
      </c>
      <c r="E147" s="1" t="s">
        <v>1163</v>
      </c>
      <c r="F147" s="1" t="s">
        <v>1164</v>
      </c>
      <c r="G147">
        <v>-12343</v>
      </c>
      <c r="H147">
        <v>-3769</v>
      </c>
      <c r="I147" s="1" t="s">
        <v>1165</v>
      </c>
      <c r="J147" s="1" t="s">
        <v>1166</v>
      </c>
      <c r="K147">
        <v>-1799</v>
      </c>
      <c r="L147" s="1" t="s">
        <v>1167</v>
      </c>
    </row>
    <row r="148" spans="1:12" x14ac:dyDescent="0.25">
      <c r="A148">
        <v>146</v>
      </c>
      <c r="B148" s="1" t="s">
        <v>1168</v>
      </c>
      <c r="C148" s="1" t="s">
        <v>1169</v>
      </c>
      <c r="D148" s="1" t="s">
        <v>1170</v>
      </c>
      <c r="E148" s="1" t="s">
        <v>1171</v>
      </c>
      <c r="F148" s="1" t="s">
        <v>1172</v>
      </c>
      <c r="G148">
        <v>-19688</v>
      </c>
      <c r="H148">
        <v>-3237</v>
      </c>
      <c r="I148" s="1" t="s">
        <v>1173</v>
      </c>
      <c r="J148" s="1" t="s">
        <v>1174</v>
      </c>
      <c r="K148">
        <v>-2171</v>
      </c>
      <c r="L148" s="1" t="s">
        <v>1175</v>
      </c>
    </row>
    <row r="149" spans="1:12" x14ac:dyDescent="0.25">
      <c r="A149">
        <v>147</v>
      </c>
      <c r="B149" s="1" t="s">
        <v>1176</v>
      </c>
      <c r="C149" s="1" t="s">
        <v>1177</v>
      </c>
      <c r="D149" s="1" t="s">
        <v>1178</v>
      </c>
      <c r="E149" s="1" t="s">
        <v>1179</v>
      </c>
      <c r="F149" s="1" t="s">
        <v>1180</v>
      </c>
      <c r="G149">
        <v>-17368</v>
      </c>
      <c r="H149">
        <v>-880</v>
      </c>
      <c r="I149" s="1" t="s">
        <v>1181</v>
      </c>
      <c r="J149" s="1" t="s">
        <v>1182</v>
      </c>
      <c r="K149">
        <v>-2540</v>
      </c>
      <c r="L149" s="1" t="s">
        <v>1183</v>
      </c>
    </row>
    <row r="150" spans="1:12" x14ac:dyDescent="0.25">
      <c r="A150">
        <v>148</v>
      </c>
      <c r="B150" s="1" t="s">
        <v>1184</v>
      </c>
      <c r="C150" s="1" t="s">
        <v>1185</v>
      </c>
      <c r="D150" s="1" t="s">
        <v>1186</v>
      </c>
      <c r="E150" s="1" t="s">
        <v>1187</v>
      </c>
      <c r="F150" s="1" t="s">
        <v>1188</v>
      </c>
      <c r="G150">
        <v>-14984</v>
      </c>
      <c r="H150">
        <v>-5181</v>
      </c>
      <c r="I150" s="1" t="s">
        <v>1189</v>
      </c>
      <c r="J150" s="1" t="s">
        <v>198</v>
      </c>
      <c r="K150">
        <v>-3165</v>
      </c>
      <c r="L150" s="1" t="s">
        <v>1190</v>
      </c>
    </row>
    <row r="151" spans="1:12" x14ac:dyDescent="0.25">
      <c r="A151">
        <v>149</v>
      </c>
      <c r="B151" s="1" t="s">
        <v>1191</v>
      </c>
      <c r="C151" s="1" t="s">
        <v>1192</v>
      </c>
      <c r="D151" s="1" t="s">
        <v>1193</v>
      </c>
      <c r="E151" s="1" t="s">
        <v>1194</v>
      </c>
      <c r="F151" s="1" t="s">
        <v>1195</v>
      </c>
      <c r="G151">
        <v>-12649</v>
      </c>
      <c r="H151">
        <v>-3498</v>
      </c>
      <c r="I151" s="1" t="s">
        <v>1196</v>
      </c>
      <c r="J151" s="1" t="s">
        <v>1197</v>
      </c>
      <c r="K151">
        <v>-1167</v>
      </c>
      <c r="L151" s="1" t="s">
        <v>1198</v>
      </c>
    </row>
    <row r="152" spans="1:12" x14ac:dyDescent="0.25">
      <c r="A152">
        <v>150</v>
      </c>
      <c r="B152" s="1" t="s">
        <v>1199</v>
      </c>
      <c r="C152" s="1" t="s">
        <v>1200</v>
      </c>
      <c r="D152" s="1" t="s">
        <v>1201</v>
      </c>
      <c r="E152" s="1" t="s">
        <v>1202</v>
      </c>
      <c r="F152" s="1" t="s">
        <v>1203</v>
      </c>
      <c r="G152">
        <v>-11676</v>
      </c>
      <c r="H152">
        <v>-3965</v>
      </c>
      <c r="I152" s="1" t="s">
        <v>1204</v>
      </c>
      <c r="J152" s="1" t="s">
        <v>1205</v>
      </c>
      <c r="K152">
        <v>-1216</v>
      </c>
      <c r="L152" s="1" t="s">
        <v>1206</v>
      </c>
    </row>
    <row r="153" spans="1:12" x14ac:dyDescent="0.25">
      <c r="A153">
        <v>151</v>
      </c>
      <c r="B153" s="1" t="s">
        <v>1207</v>
      </c>
      <c r="C153" s="1" t="s">
        <v>1208</v>
      </c>
      <c r="D153" s="1" t="s">
        <v>1209</v>
      </c>
      <c r="E153" s="1" t="s">
        <v>1210</v>
      </c>
      <c r="F153" s="1" t="s">
        <v>1211</v>
      </c>
      <c r="G153">
        <v>-22864</v>
      </c>
      <c r="H153">
        <v>-4497</v>
      </c>
      <c r="I153" s="1" t="s">
        <v>1212</v>
      </c>
      <c r="J153" s="1" t="s">
        <v>1213</v>
      </c>
      <c r="K153">
        <v>-381</v>
      </c>
      <c r="L153" s="1" t="s">
        <v>1214</v>
      </c>
    </row>
    <row r="154" spans="1:12" x14ac:dyDescent="0.25">
      <c r="A154">
        <v>152</v>
      </c>
      <c r="B154" s="1" t="s">
        <v>1215</v>
      </c>
      <c r="C154" s="1" t="s">
        <v>1216</v>
      </c>
      <c r="D154" s="1" t="s">
        <v>1217</v>
      </c>
      <c r="E154" s="1" t="s">
        <v>1218</v>
      </c>
      <c r="F154" s="1" t="s">
        <v>1219</v>
      </c>
      <c r="G154">
        <v>-8687</v>
      </c>
      <c r="H154">
        <v>-1374</v>
      </c>
      <c r="I154" s="1" t="s">
        <v>1220</v>
      </c>
      <c r="J154" s="1" t="s">
        <v>198</v>
      </c>
      <c r="K154">
        <v>-211</v>
      </c>
      <c r="L154" s="1" t="s">
        <v>946</v>
      </c>
    </row>
    <row r="155" spans="1:12" x14ac:dyDescent="0.25">
      <c r="A155">
        <v>153</v>
      </c>
      <c r="B155" s="1" t="s">
        <v>1221</v>
      </c>
      <c r="C155" s="1" t="s">
        <v>1222</v>
      </c>
      <c r="D155" s="1" t="s">
        <v>1223</v>
      </c>
      <c r="E155" s="1" t="s">
        <v>1224</v>
      </c>
      <c r="F155" s="1" t="s">
        <v>1225</v>
      </c>
      <c r="G155">
        <v>-13334</v>
      </c>
      <c r="H155">
        <v>-1250</v>
      </c>
      <c r="I155" s="1" t="s">
        <v>1226</v>
      </c>
      <c r="J155" s="1" t="s">
        <v>1227</v>
      </c>
      <c r="K155">
        <v>-356</v>
      </c>
      <c r="L155" s="1" t="s">
        <v>1228</v>
      </c>
    </row>
    <row r="156" spans="1:12" x14ac:dyDescent="0.25">
      <c r="A156">
        <v>154</v>
      </c>
      <c r="B156" s="1" t="s">
        <v>1229</v>
      </c>
      <c r="C156" s="1" t="s">
        <v>1230</v>
      </c>
      <c r="D156" s="1" t="s">
        <v>1231</v>
      </c>
      <c r="E156" s="1" t="s">
        <v>1232</v>
      </c>
      <c r="F156" s="1" t="s">
        <v>1233</v>
      </c>
      <c r="G156">
        <v>-14955</v>
      </c>
      <c r="H156">
        <v>-4207</v>
      </c>
      <c r="I156" s="1" t="s">
        <v>1234</v>
      </c>
      <c r="J156" s="1" t="s">
        <v>1235</v>
      </c>
      <c r="K156">
        <v>-1987</v>
      </c>
      <c r="L156" s="1" t="s">
        <v>1236</v>
      </c>
    </row>
    <row r="157" spans="1:12" x14ac:dyDescent="0.25">
      <c r="A157">
        <v>155</v>
      </c>
      <c r="B157" s="1" t="s">
        <v>1237</v>
      </c>
      <c r="C157" s="1" t="s">
        <v>1238</v>
      </c>
      <c r="D157" s="1" t="s">
        <v>1239</v>
      </c>
      <c r="E157" s="1" t="s">
        <v>1240</v>
      </c>
      <c r="F157" s="1" t="s">
        <v>1241</v>
      </c>
      <c r="G157">
        <v>-13469</v>
      </c>
      <c r="H157">
        <v>-4332</v>
      </c>
      <c r="I157" s="1" t="s">
        <v>1242</v>
      </c>
      <c r="J157" s="1" t="s">
        <v>1243</v>
      </c>
      <c r="K157">
        <v>-2862</v>
      </c>
      <c r="L157" s="1" t="s">
        <v>1244</v>
      </c>
    </row>
    <row r="158" spans="1:12" x14ac:dyDescent="0.25">
      <c r="A158">
        <v>156</v>
      </c>
      <c r="B158" s="1" t="s">
        <v>1245</v>
      </c>
      <c r="C158" s="1" t="s">
        <v>1246</v>
      </c>
      <c r="D158" s="1" t="s">
        <v>1247</v>
      </c>
      <c r="E158" s="1" t="s">
        <v>1248</v>
      </c>
      <c r="F158" s="1" t="s">
        <v>1249</v>
      </c>
      <c r="G158">
        <v>-12141</v>
      </c>
      <c r="H158">
        <v>-3817</v>
      </c>
      <c r="I158" s="1" t="s">
        <v>1250</v>
      </c>
      <c r="J158" s="1" t="s">
        <v>1251</v>
      </c>
      <c r="K158">
        <v>-3279</v>
      </c>
      <c r="L158" s="1" t="s">
        <v>1252</v>
      </c>
    </row>
    <row r="159" spans="1:12" x14ac:dyDescent="0.25">
      <c r="A159">
        <v>157</v>
      </c>
      <c r="B159" s="1" t="s">
        <v>1253</v>
      </c>
      <c r="C159" s="1" t="s">
        <v>1254</v>
      </c>
      <c r="D159" s="1" t="s">
        <v>236</v>
      </c>
      <c r="E159" s="1" t="s">
        <v>1255</v>
      </c>
      <c r="F159" s="1" t="s">
        <v>1256</v>
      </c>
      <c r="G159">
        <v>-10192</v>
      </c>
      <c r="H159">
        <v>-2167</v>
      </c>
      <c r="I159" s="1" t="s">
        <v>1257</v>
      </c>
      <c r="J159" s="1" t="s">
        <v>1258</v>
      </c>
      <c r="K159">
        <v>-1371</v>
      </c>
      <c r="L159" s="1" t="s">
        <v>1259</v>
      </c>
    </row>
    <row r="160" spans="1:12" x14ac:dyDescent="0.25">
      <c r="A160">
        <v>158</v>
      </c>
      <c r="B160" s="1" t="s">
        <v>1260</v>
      </c>
      <c r="C160" s="1" t="s">
        <v>1261</v>
      </c>
      <c r="D160" s="1" t="s">
        <v>1262</v>
      </c>
      <c r="E160" s="1" t="s">
        <v>1263</v>
      </c>
      <c r="F160" s="1" t="s">
        <v>1264</v>
      </c>
      <c r="G160">
        <v>-12046</v>
      </c>
      <c r="H160">
        <v>-3903</v>
      </c>
      <c r="I160" s="1" t="s">
        <v>1265</v>
      </c>
      <c r="J160" s="1" t="s">
        <v>198</v>
      </c>
      <c r="K160">
        <v>-954</v>
      </c>
      <c r="L160" s="1" t="s">
        <v>946</v>
      </c>
    </row>
    <row r="161" spans="1:12" x14ac:dyDescent="0.25">
      <c r="A161">
        <v>159</v>
      </c>
      <c r="B161" s="1" t="s">
        <v>1266</v>
      </c>
      <c r="C161" s="1" t="s">
        <v>1267</v>
      </c>
      <c r="D161" s="1" t="s">
        <v>1268</v>
      </c>
      <c r="E161" s="1" t="s">
        <v>1269</v>
      </c>
      <c r="F161" s="1" t="s">
        <v>1270</v>
      </c>
      <c r="G161">
        <v>-11280</v>
      </c>
      <c r="H161">
        <v>-1499</v>
      </c>
      <c r="I161" s="1" t="s">
        <v>1271</v>
      </c>
      <c r="J161" s="1" t="s">
        <v>1272</v>
      </c>
      <c r="K161">
        <v>-2012</v>
      </c>
      <c r="L161" s="1" t="s">
        <v>1273</v>
      </c>
    </row>
    <row r="162" spans="1:12" x14ac:dyDescent="0.25">
      <c r="A162">
        <v>160</v>
      </c>
      <c r="B162" s="1" t="s">
        <v>1274</v>
      </c>
      <c r="C162" s="1" t="s">
        <v>1275</v>
      </c>
      <c r="D162" s="1" t="s">
        <v>1276</v>
      </c>
      <c r="E162" s="1" t="s">
        <v>1277</v>
      </c>
      <c r="F162" s="1" t="s">
        <v>1278</v>
      </c>
      <c r="G162">
        <v>-16539</v>
      </c>
      <c r="H162">
        <v>-83</v>
      </c>
      <c r="I162" s="1" t="s">
        <v>1279</v>
      </c>
      <c r="J162" s="1" t="s">
        <v>198</v>
      </c>
      <c r="K162">
        <v>-1250</v>
      </c>
      <c r="L162" s="1" t="s">
        <v>1280</v>
      </c>
    </row>
    <row r="163" spans="1:12" x14ac:dyDescent="0.25">
      <c r="A163">
        <v>161</v>
      </c>
      <c r="B163" s="1" t="s">
        <v>1281</v>
      </c>
      <c r="C163" s="1" t="s">
        <v>1282</v>
      </c>
      <c r="D163" s="1" t="s">
        <v>375</v>
      </c>
      <c r="E163" s="1" t="s">
        <v>1283</v>
      </c>
      <c r="F163" s="1" t="s">
        <v>1284</v>
      </c>
      <c r="G163">
        <v>-8708</v>
      </c>
      <c r="H163">
        <v>-1139</v>
      </c>
      <c r="I163" s="1" t="s">
        <v>1285</v>
      </c>
      <c r="J163" s="1" t="s">
        <v>1286</v>
      </c>
      <c r="K163">
        <v>-990</v>
      </c>
      <c r="L163" s="1" t="s">
        <v>1287</v>
      </c>
    </row>
    <row r="164" spans="1:12" x14ac:dyDescent="0.25">
      <c r="A164">
        <v>162</v>
      </c>
      <c r="B164" s="1" t="s">
        <v>1288</v>
      </c>
      <c r="C164" s="1" t="s">
        <v>1289</v>
      </c>
      <c r="D164" s="1" t="s">
        <v>1290</v>
      </c>
      <c r="E164" s="1" t="s">
        <v>1291</v>
      </c>
      <c r="F164" s="1" t="s">
        <v>1292</v>
      </c>
      <c r="G164">
        <v>-12291</v>
      </c>
      <c r="H164">
        <v>-4129</v>
      </c>
      <c r="I164" s="1" t="s">
        <v>1293</v>
      </c>
      <c r="J164" s="1" t="s">
        <v>1294</v>
      </c>
      <c r="K164">
        <v>-2682</v>
      </c>
      <c r="L164" s="1" t="s">
        <v>1295</v>
      </c>
    </row>
    <row r="165" spans="1:12" x14ac:dyDescent="0.25">
      <c r="A165">
        <v>163</v>
      </c>
      <c r="B165" s="1" t="s">
        <v>1296</v>
      </c>
      <c r="C165" s="1" t="s">
        <v>1297</v>
      </c>
      <c r="D165" s="1" t="s">
        <v>1298</v>
      </c>
      <c r="E165" s="1" t="s">
        <v>1299</v>
      </c>
      <c r="F165" s="1" t="s">
        <v>1300</v>
      </c>
      <c r="G165">
        <v>-22671</v>
      </c>
      <c r="H165">
        <v>-1623</v>
      </c>
      <c r="I165" s="1" t="s">
        <v>1301</v>
      </c>
      <c r="J165" s="1" t="s">
        <v>226</v>
      </c>
      <c r="K165">
        <v>365243</v>
      </c>
      <c r="L165" s="1" t="s">
        <v>1302</v>
      </c>
    </row>
    <row r="166" spans="1:12" x14ac:dyDescent="0.25">
      <c r="A166">
        <v>164</v>
      </c>
      <c r="B166" s="1" t="s">
        <v>1303</v>
      </c>
      <c r="C166" s="1" t="s">
        <v>1304</v>
      </c>
      <c r="D166" s="1" t="s">
        <v>481</v>
      </c>
      <c r="E166" s="1" t="s">
        <v>1305</v>
      </c>
      <c r="F166" s="1" t="s">
        <v>1306</v>
      </c>
      <c r="G166">
        <v>-13882</v>
      </c>
      <c r="H166">
        <v>-4667</v>
      </c>
      <c r="I166" s="1" t="s">
        <v>1307</v>
      </c>
      <c r="J166" s="1" t="s">
        <v>1308</v>
      </c>
      <c r="K166">
        <v>-3967</v>
      </c>
      <c r="L166" s="1" t="s">
        <v>1309</v>
      </c>
    </row>
    <row r="167" spans="1:12" x14ac:dyDescent="0.25">
      <c r="A167">
        <v>165</v>
      </c>
      <c r="B167" s="1" t="s">
        <v>1310</v>
      </c>
      <c r="C167" s="1" t="s">
        <v>1311</v>
      </c>
      <c r="D167" s="1" t="s">
        <v>1312</v>
      </c>
      <c r="E167" s="1" t="s">
        <v>1313</v>
      </c>
      <c r="F167" s="1" t="s">
        <v>1314</v>
      </c>
      <c r="G167">
        <v>-17325</v>
      </c>
      <c r="H167">
        <v>-848</v>
      </c>
      <c r="I167" s="1" t="s">
        <v>1315</v>
      </c>
      <c r="J167" s="1" t="s">
        <v>1316</v>
      </c>
      <c r="K167">
        <v>-1168</v>
      </c>
      <c r="L167" s="1" t="s">
        <v>1317</v>
      </c>
    </row>
    <row r="168" spans="1:12" x14ac:dyDescent="0.25">
      <c r="A168">
        <v>166</v>
      </c>
      <c r="B168" s="1" t="s">
        <v>1318</v>
      </c>
      <c r="C168" s="1" t="s">
        <v>1319</v>
      </c>
      <c r="D168" s="1" t="s">
        <v>1320</v>
      </c>
      <c r="E168" s="1" t="s">
        <v>1321</v>
      </c>
      <c r="F168" s="1" t="s">
        <v>1322</v>
      </c>
      <c r="G168">
        <v>-21406</v>
      </c>
      <c r="H168">
        <v>-3969</v>
      </c>
      <c r="I168" s="1" t="s">
        <v>1323</v>
      </c>
      <c r="J168" s="1" t="s">
        <v>1324</v>
      </c>
      <c r="K168">
        <v>-4472</v>
      </c>
      <c r="L168" s="1" t="s">
        <v>1325</v>
      </c>
    </row>
    <row r="169" spans="1:12" x14ac:dyDescent="0.25">
      <c r="A169">
        <v>167</v>
      </c>
      <c r="B169" s="1" t="s">
        <v>1326</v>
      </c>
      <c r="C169" s="1" t="s">
        <v>1327</v>
      </c>
      <c r="D169" s="1" t="s">
        <v>54</v>
      </c>
      <c r="E169" s="1" t="s">
        <v>1328</v>
      </c>
      <c r="F169" s="1" t="s">
        <v>1329</v>
      </c>
      <c r="G169">
        <v>-24559</v>
      </c>
      <c r="H169">
        <v>-2310</v>
      </c>
      <c r="I169" s="1" t="s">
        <v>1330</v>
      </c>
      <c r="J169" s="1" t="s">
        <v>1331</v>
      </c>
      <c r="K169">
        <v>365243</v>
      </c>
      <c r="L169" s="1" t="s">
        <v>1332</v>
      </c>
    </row>
    <row r="170" spans="1:12" x14ac:dyDescent="0.25">
      <c r="A170">
        <v>168</v>
      </c>
      <c r="B170" s="1" t="s">
        <v>1333</v>
      </c>
      <c r="C170" s="1" t="s">
        <v>1334</v>
      </c>
      <c r="D170" s="1" t="s">
        <v>54</v>
      </c>
      <c r="E170" s="1" t="s">
        <v>1335</v>
      </c>
      <c r="F170" s="1" t="s">
        <v>1336</v>
      </c>
      <c r="G170">
        <v>-11983</v>
      </c>
      <c r="H170">
        <v>-1716</v>
      </c>
      <c r="I170" s="1" t="s">
        <v>1337</v>
      </c>
      <c r="J170" s="1" t="s">
        <v>1338</v>
      </c>
      <c r="K170">
        <v>-1825</v>
      </c>
      <c r="L170" s="1" t="s">
        <v>1339</v>
      </c>
    </row>
    <row r="171" spans="1:12" x14ac:dyDescent="0.25">
      <c r="A171">
        <v>169</v>
      </c>
      <c r="B171" s="1" t="s">
        <v>1340</v>
      </c>
      <c r="C171" s="1" t="s">
        <v>1341</v>
      </c>
      <c r="D171" s="1" t="s">
        <v>54</v>
      </c>
      <c r="E171" s="1" t="s">
        <v>1342</v>
      </c>
      <c r="F171" s="1" t="s">
        <v>1343</v>
      </c>
      <c r="G171">
        <v>-16509</v>
      </c>
      <c r="H171">
        <v>-22</v>
      </c>
      <c r="I171" s="1" t="s">
        <v>1344</v>
      </c>
      <c r="J171" s="1" t="s">
        <v>1345</v>
      </c>
      <c r="K171">
        <v>-1901</v>
      </c>
      <c r="L171" s="1" t="s">
        <v>1346</v>
      </c>
    </row>
    <row r="172" spans="1:12" x14ac:dyDescent="0.25">
      <c r="A172">
        <v>170</v>
      </c>
      <c r="B172" s="1" t="s">
        <v>1347</v>
      </c>
      <c r="C172" s="1" t="s">
        <v>1348</v>
      </c>
      <c r="D172" s="1" t="s">
        <v>54</v>
      </c>
      <c r="E172" s="1" t="s">
        <v>1349</v>
      </c>
      <c r="F172" s="1" t="s">
        <v>1350</v>
      </c>
      <c r="G172">
        <v>-19142</v>
      </c>
      <c r="H172">
        <v>-2689</v>
      </c>
      <c r="I172" s="1" t="s">
        <v>1351</v>
      </c>
      <c r="J172" s="1" t="s">
        <v>1352</v>
      </c>
      <c r="K172">
        <v>-2554</v>
      </c>
      <c r="L172" s="1" t="s">
        <v>1353</v>
      </c>
    </row>
    <row r="173" spans="1:12" x14ac:dyDescent="0.25">
      <c r="A173">
        <v>171</v>
      </c>
      <c r="B173" s="1" t="s">
        <v>1354</v>
      </c>
      <c r="C173" s="1" t="s">
        <v>1355</v>
      </c>
      <c r="D173" s="1" t="s">
        <v>1356</v>
      </c>
      <c r="E173" s="1" t="s">
        <v>1357</v>
      </c>
      <c r="F173" s="1" t="s">
        <v>1358</v>
      </c>
      <c r="G173">
        <v>-13742</v>
      </c>
      <c r="H173">
        <v>-5016</v>
      </c>
      <c r="I173" s="1" t="s">
        <v>1359</v>
      </c>
      <c r="J173" s="1" t="s">
        <v>293</v>
      </c>
      <c r="K173">
        <v>-524</v>
      </c>
      <c r="L173" s="1" t="s">
        <v>747</v>
      </c>
    </row>
    <row r="174" spans="1:12" x14ac:dyDescent="0.25">
      <c r="A174">
        <v>172</v>
      </c>
      <c r="B174" s="1" t="s">
        <v>1360</v>
      </c>
      <c r="C174" s="1" t="s">
        <v>1361</v>
      </c>
      <c r="D174" s="1" t="s">
        <v>1362</v>
      </c>
      <c r="E174" s="1" t="s">
        <v>1363</v>
      </c>
      <c r="F174" s="1" t="s">
        <v>1364</v>
      </c>
      <c r="G174">
        <v>-15213</v>
      </c>
      <c r="H174">
        <v>-4088</v>
      </c>
      <c r="I174" s="1" t="s">
        <v>1365</v>
      </c>
      <c r="J174" s="1" t="s">
        <v>1366</v>
      </c>
      <c r="K174">
        <v>-1091</v>
      </c>
      <c r="L174" s="1" t="s">
        <v>1367</v>
      </c>
    </row>
    <row r="175" spans="1:12" x14ac:dyDescent="0.25">
      <c r="A175">
        <v>173</v>
      </c>
      <c r="B175" s="1" t="s">
        <v>1368</v>
      </c>
      <c r="C175" s="1" t="s">
        <v>1369</v>
      </c>
      <c r="D175" s="1" t="s">
        <v>201</v>
      </c>
      <c r="E175" s="1" t="s">
        <v>1370</v>
      </c>
      <c r="F175" s="1" t="s">
        <v>1371</v>
      </c>
      <c r="G175">
        <v>-18665</v>
      </c>
      <c r="H175">
        <v>-2144</v>
      </c>
      <c r="I175" s="1" t="s">
        <v>1372</v>
      </c>
      <c r="J175" s="1" t="s">
        <v>1373</v>
      </c>
      <c r="K175">
        <v>-2595</v>
      </c>
      <c r="L175" s="1" t="s">
        <v>1374</v>
      </c>
    </row>
    <row r="176" spans="1:12" x14ac:dyDescent="0.25">
      <c r="A176">
        <v>174</v>
      </c>
      <c r="B176" s="1" t="s">
        <v>1375</v>
      </c>
      <c r="C176" s="1" t="s">
        <v>1376</v>
      </c>
      <c r="D176" s="1" t="s">
        <v>1377</v>
      </c>
      <c r="E176" s="1" t="s">
        <v>1378</v>
      </c>
      <c r="F176" s="1" t="s">
        <v>1379</v>
      </c>
      <c r="G176">
        <v>-11826</v>
      </c>
      <c r="H176">
        <v>-3847</v>
      </c>
      <c r="I176" s="1" t="s">
        <v>1380</v>
      </c>
      <c r="J176" s="1" t="s">
        <v>1381</v>
      </c>
      <c r="K176">
        <v>-516</v>
      </c>
      <c r="L176" s="1" t="s">
        <v>1382</v>
      </c>
    </row>
    <row r="177" spans="1:12" x14ac:dyDescent="0.25">
      <c r="A177">
        <v>175</v>
      </c>
      <c r="B177" s="1" t="s">
        <v>1383</v>
      </c>
      <c r="C177" s="1" t="s">
        <v>1384</v>
      </c>
      <c r="D177" s="1" t="s">
        <v>1385</v>
      </c>
      <c r="E177" s="1" t="s">
        <v>1386</v>
      </c>
      <c r="F177" s="1" t="s">
        <v>1387</v>
      </c>
      <c r="G177">
        <v>-11904</v>
      </c>
      <c r="H177">
        <v>-2218</v>
      </c>
      <c r="I177" s="1" t="s">
        <v>1388</v>
      </c>
      <c r="J177" s="1" t="s">
        <v>1389</v>
      </c>
      <c r="K177">
        <v>-1057</v>
      </c>
      <c r="L177" s="1" t="s">
        <v>1390</v>
      </c>
    </row>
    <row r="178" spans="1:12" x14ac:dyDescent="0.25">
      <c r="A178">
        <v>176</v>
      </c>
      <c r="B178" s="1" t="s">
        <v>1391</v>
      </c>
      <c r="C178" s="1" t="s">
        <v>1392</v>
      </c>
      <c r="D178" s="1" t="s">
        <v>1393</v>
      </c>
      <c r="E178" s="1" t="s">
        <v>1394</v>
      </c>
      <c r="F178" s="1" t="s">
        <v>1395</v>
      </c>
      <c r="G178">
        <v>-15921</v>
      </c>
      <c r="H178">
        <v>-4639</v>
      </c>
      <c r="I178" s="1" t="s">
        <v>1396</v>
      </c>
      <c r="J178" s="1" t="s">
        <v>1397</v>
      </c>
      <c r="K178">
        <v>-246</v>
      </c>
      <c r="L178" s="1" t="s">
        <v>1398</v>
      </c>
    </row>
    <row r="179" spans="1:12" x14ac:dyDescent="0.25">
      <c r="A179">
        <v>177</v>
      </c>
      <c r="B179" s="1" t="s">
        <v>1399</v>
      </c>
      <c r="C179" s="1" t="s">
        <v>1400</v>
      </c>
      <c r="D179" s="1" t="s">
        <v>1401</v>
      </c>
      <c r="E179" s="1" t="s">
        <v>1402</v>
      </c>
      <c r="F179" s="1" t="s">
        <v>1403</v>
      </c>
      <c r="G179">
        <v>-21284</v>
      </c>
      <c r="H179">
        <v>-4456</v>
      </c>
      <c r="I179" s="1" t="s">
        <v>1404</v>
      </c>
      <c r="J179" s="1" t="s">
        <v>1405</v>
      </c>
      <c r="K179">
        <v>-1847</v>
      </c>
      <c r="L179" s="1" t="s">
        <v>1406</v>
      </c>
    </row>
    <row r="180" spans="1:12" x14ac:dyDescent="0.25">
      <c r="A180">
        <v>178</v>
      </c>
      <c r="B180" s="1" t="s">
        <v>1407</v>
      </c>
      <c r="C180" s="1" t="s">
        <v>1408</v>
      </c>
      <c r="D180" s="1" t="s">
        <v>1409</v>
      </c>
      <c r="E180" s="1" t="s">
        <v>1410</v>
      </c>
      <c r="F180" s="1" t="s">
        <v>1411</v>
      </c>
      <c r="G180">
        <v>-19584</v>
      </c>
      <c r="H180">
        <v>-3121</v>
      </c>
      <c r="I180" s="1" t="s">
        <v>1412</v>
      </c>
      <c r="J180" s="1" t="s">
        <v>1413</v>
      </c>
      <c r="K180">
        <v>-1258</v>
      </c>
      <c r="L180" s="1" t="s">
        <v>1414</v>
      </c>
    </row>
    <row r="181" spans="1:12" x14ac:dyDescent="0.25">
      <c r="A181">
        <v>179</v>
      </c>
      <c r="B181" s="1" t="s">
        <v>1415</v>
      </c>
      <c r="C181" s="1" t="s">
        <v>1416</v>
      </c>
      <c r="D181" s="1" t="s">
        <v>1417</v>
      </c>
      <c r="E181" s="1" t="s">
        <v>1418</v>
      </c>
      <c r="F181" s="1" t="s">
        <v>1419</v>
      </c>
      <c r="G181">
        <v>-18001</v>
      </c>
      <c r="H181">
        <v>-1554</v>
      </c>
      <c r="I181" s="1" t="s">
        <v>1420</v>
      </c>
      <c r="J181" s="1" t="s">
        <v>1421</v>
      </c>
      <c r="K181">
        <v>-1255</v>
      </c>
      <c r="L181" s="1" t="s">
        <v>1422</v>
      </c>
    </row>
    <row r="182" spans="1:12" x14ac:dyDescent="0.25">
      <c r="A182">
        <v>180</v>
      </c>
      <c r="B182" s="1" t="s">
        <v>1423</v>
      </c>
      <c r="C182" s="1" t="s">
        <v>1424</v>
      </c>
      <c r="D182" s="1" t="s">
        <v>47</v>
      </c>
      <c r="E182" s="1" t="s">
        <v>1425</v>
      </c>
      <c r="F182" s="1" t="s">
        <v>1426</v>
      </c>
      <c r="G182">
        <v>-11284</v>
      </c>
      <c r="H182">
        <v>-3966</v>
      </c>
      <c r="I182" s="1" t="s">
        <v>1427</v>
      </c>
      <c r="J182" s="1" t="s">
        <v>1428</v>
      </c>
      <c r="K182">
        <v>-1801</v>
      </c>
      <c r="L182" s="1" t="s">
        <v>1429</v>
      </c>
    </row>
    <row r="183" spans="1:12" x14ac:dyDescent="0.25">
      <c r="A183">
        <v>181</v>
      </c>
      <c r="B183" s="1" t="s">
        <v>1430</v>
      </c>
      <c r="C183" s="1" t="s">
        <v>1431</v>
      </c>
      <c r="D183" s="1" t="s">
        <v>1377</v>
      </c>
      <c r="E183" s="1" t="s">
        <v>1432</v>
      </c>
      <c r="F183" s="1" t="s">
        <v>1433</v>
      </c>
      <c r="G183">
        <v>-20924</v>
      </c>
      <c r="H183">
        <v>-3660</v>
      </c>
      <c r="I183" s="1" t="s">
        <v>1434</v>
      </c>
      <c r="J183" s="1" t="s">
        <v>1435</v>
      </c>
      <c r="K183">
        <v>365243</v>
      </c>
      <c r="L183" s="1" t="s">
        <v>1436</v>
      </c>
    </row>
    <row r="184" spans="1:12" x14ac:dyDescent="0.25">
      <c r="A184">
        <v>182</v>
      </c>
      <c r="B184" s="1" t="s">
        <v>1437</v>
      </c>
      <c r="C184" s="1" t="s">
        <v>1438</v>
      </c>
      <c r="D184" s="1" t="s">
        <v>54</v>
      </c>
      <c r="E184" s="1" t="s">
        <v>1439</v>
      </c>
      <c r="F184" s="1" t="s">
        <v>1440</v>
      </c>
      <c r="G184">
        <v>-13275</v>
      </c>
      <c r="H184">
        <v>-4628</v>
      </c>
      <c r="I184" s="1" t="s">
        <v>1441</v>
      </c>
      <c r="J184" s="1" t="s">
        <v>198</v>
      </c>
      <c r="K184">
        <v>-3611</v>
      </c>
      <c r="L184" s="1" t="s">
        <v>977</v>
      </c>
    </row>
    <row r="185" spans="1:12" x14ac:dyDescent="0.25">
      <c r="A185">
        <v>183</v>
      </c>
      <c r="B185" s="1" t="s">
        <v>1442</v>
      </c>
      <c r="C185" s="1" t="s">
        <v>1443</v>
      </c>
      <c r="D185" s="1" t="s">
        <v>704</v>
      </c>
      <c r="E185" s="1" t="s">
        <v>1444</v>
      </c>
      <c r="F185" s="1" t="s">
        <v>1445</v>
      </c>
      <c r="G185">
        <v>-18886</v>
      </c>
      <c r="H185">
        <v>-2427</v>
      </c>
      <c r="I185" s="1" t="s">
        <v>1446</v>
      </c>
      <c r="J185" s="1" t="s">
        <v>1447</v>
      </c>
      <c r="K185">
        <v>-95</v>
      </c>
      <c r="L185" s="1" t="s">
        <v>1448</v>
      </c>
    </row>
    <row r="186" spans="1:12" x14ac:dyDescent="0.25">
      <c r="A186">
        <v>184</v>
      </c>
      <c r="B186" s="1" t="s">
        <v>1449</v>
      </c>
      <c r="C186" s="1" t="s">
        <v>1450</v>
      </c>
      <c r="D186" s="1" t="s">
        <v>1451</v>
      </c>
      <c r="E186" s="1" t="s">
        <v>1452</v>
      </c>
      <c r="F186" s="1" t="s">
        <v>1453</v>
      </c>
      <c r="G186">
        <v>-16722</v>
      </c>
      <c r="H186">
        <v>-251</v>
      </c>
      <c r="I186" s="1" t="s">
        <v>1454</v>
      </c>
      <c r="J186" s="1" t="s">
        <v>1455</v>
      </c>
      <c r="K186">
        <v>-1984</v>
      </c>
      <c r="L186" s="1" t="s">
        <v>1456</v>
      </c>
    </row>
    <row r="187" spans="1:12" x14ac:dyDescent="0.25">
      <c r="A187">
        <v>185</v>
      </c>
      <c r="B187" s="1" t="s">
        <v>1457</v>
      </c>
      <c r="C187" s="1" t="s">
        <v>1458</v>
      </c>
      <c r="D187" s="1" t="s">
        <v>1459</v>
      </c>
      <c r="E187" s="1" t="s">
        <v>1460</v>
      </c>
      <c r="F187" s="1" t="s">
        <v>1461</v>
      </c>
      <c r="G187">
        <v>-19219</v>
      </c>
      <c r="H187">
        <v>-2753</v>
      </c>
      <c r="I187" s="1" t="s">
        <v>1462</v>
      </c>
      <c r="J187" s="1" t="s">
        <v>1463</v>
      </c>
      <c r="K187">
        <v>-665</v>
      </c>
      <c r="L187" s="1" t="s">
        <v>1464</v>
      </c>
    </row>
    <row r="188" spans="1:12" x14ac:dyDescent="0.25">
      <c r="A188">
        <v>186</v>
      </c>
      <c r="B188" s="1" t="s">
        <v>1465</v>
      </c>
      <c r="C188" s="1" t="s">
        <v>1466</v>
      </c>
      <c r="D188" s="1" t="s">
        <v>1467</v>
      </c>
      <c r="E188" s="1" t="s">
        <v>1468</v>
      </c>
      <c r="F188" s="1" t="s">
        <v>1469</v>
      </c>
      <c r="G188">
        <v>-14037</v>
      </c>
      <c r="H188">
        <v>-4893</v>
      </c>
      <c r="I188" s="1" t="s">
        <v>1470</v>
      </c>
      <c r="J188" s="1" t="s">
        <v>1471</v>
      </c>
      <c r="K188">
        <v>-5443</v>
      </c>
      <c r="L188" s="1" t="s">
        <v>1472</v>
      </c>
    </row>
    <row r="189" spans="1:12" x14ac:dyDescent="0.25">
      <c r="A189">
        <v>187</v>
      </c>
      <c r="B189" s="1" t="s">
        <v>1473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>
        <v>-19898</v>
      </c>
      <c r="H189">
        <v>-3428</v>
      </c>
      <c r="I189" s="1" t="s">
        <v>1478</v>
      </c>
      <c r="J189" s="1" t="s">
        <v>1479</v>
      </c>
      <c r="K189">
        <v>-6163</v>
      </c>
      <c r="L189" s="1" t="s">
        <v>1480</v>
      </c>
    </row>
    <row r="190" spans="1:12" x14ac:dyDescent="0.25">
      <c r="A190">
        <v>188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>
        <v>-19985</v>
      </c>
      <c r="H190">
        <v>-3431</v>
      </c>
      <c r="I190" s="1" t="s">
        <v>1486</v>
      </c>
      <c r="J190" s="1" t="s">
        <v>1487</v>
      </c>
      <c r="K190">
        <v>-2467</v>
      </c>
      <c r="L190" s="1" t="s">
        <v>1488</v>
      </c>
    </row>
    <row r="191" spans="1:12" x14ac:dyDescent="0.25">
      <c r="A191">
        <v>189</v>
      </c>
      <c r="B191" s="1" t="s">
        <v>1489</v>
      </c>
      <c r="C191" s="1" t="s">
        <v>1490</v>
      </c>
      <c r="D191" s="1" t="s">
        <v>1491</v>
      </c>
      <c r="E191" s="1" t="s">
        <v>1492</v>
      </c>
      <c r="F191" s="1" t="s">
        <v>1493</v>
      </c>
      <c r="G191">
        <v>-11273</v>
      </c>
      <c r="H191">
        <v>-3891</v>
      </c>
      <c r="I191" s="1" t="s">
        <v>1494</v>
      </c>
      <c r="J191" s="1" t="s">
        <v>198</v>
      </c>
      <c r="K191">
        <v>-1167</v>
      </c>
      <c r="L191" s="1" t="s">
        <v>1495</v>
      </c>
    </row>
    <row r="192" spans="1:12" x14ac:dyDescent="0.25">
      <c r="A192">
        <v>190</v>
      </c>
      <c r="B192" s="1" t="s">
        <v>1496</v>
      </c>
      <c r="C192" s="1" t="s">
        <v>1497</v>
      </c>
      <c r="D192" s="1" t="s">
        <v>1498</v>
      </c>
      <c r="E192" s="1" t="s">
        <v>1499</v>
      </c>
      <c r="F192" s="1" t="s">
        <v>1500</v>
      </c>
      <c r="G192">
        <v>-23533</v>
      </c>
      <c r="H192">
        <v>-4439</v>
      </c>
      <c r="I192" s="1" t="s">
        <v>1501</v>
      </c>
      <c r="J192" s="1" t="s">
        <v>1502</v>
      </c>
      <c r="K192">
        <v>365243</v>
      </c>
      <c r="L192" s="1" t="s">
        <v>1503</v>
      </c>
    </row>
    <row r="193" spans="1:12" x14ac:dyDescent="0.25">
      <c r="A193">
        <v>191</v>
      </c>
      <c r="B193" s="1" t="s">
        <v>1504</v>
      </c>
      <c r="C193" s="1" t="s">
        <v>1505</v>
      </c>
      <c r="D193" s="1" t="s">
        <v>250</v>
      </c>
      <c r="E193" s="1" t="s">
        <v>1506</v>
      </c>
      <c r="F193" s="1" t="s">
        <v>1507</v>
      </c>
      <c r="G193">
        <v>-21814</v>
      </c>
      <c r="H193">
        <v>-4408</v>
      </c>
      <c r="I193" s="1" t="s">
        <v>1508</v>
      </c>
      <c r="J193" s="1" t="s">
        <v>1509</v>
      </c>
      <c r="K193">
        <v>365243</v>
      </c>
      <c r="L193" s="1" t="s">
        <v>1510</v>
      </c>
    </row>
    <row r="194" spans="1:12" x14ac:dyDescent="0.25">
      <c r="A194">
        <v>192</v>
      </c>
      <c r="B194" s="1" t="s">
        <v>1511</v>
      </c>
      <c r="C194" s="1" t="s">
        <v>1512</v>
      </c>
      <c r="D194" s="1" t="s">
        <v>1513</v>
      </c>
      <c r="E194" s="1" t="s">
        <v>1514</v>
      </c>
      <c r="F194" s="1" t="s">
        <v>1515</v>
      </c>
      <c r="G194">
        <v>-10008</v>
      </c>
      <c r="H194">
        <v>-2676</v>
      </c>
      <c r="I194" s="1" t="s">
        <v>1516</v>
      </c>
      <c r="J194" s="1" t="s">
        <v>1517</v>
      </c>
      <c r="K194">
        <v>-708</v>
      </c>
      <c r="L194" s="1" t="s">
        <v>1518</v>
      </c>
    </row>
    <row r="195" spans="1:12" x14ac:dyDescent="0.25">
      <c r="A195">
        <v>193</v>
      </c>
      <c r="B195" s="1" t="s">
        <v>1519</v>
      </c>
      <c r="C195" s="1" t="s">
        <v>1520</v>
      </c>
      <c r="D195" s="1" t="s">
        <v>1521</v>
      </c>
      <c r="E195" s="1" t="s">
        <v>1522</v>
      </c>
      <c r="F195" s="1" t="s">
        <v>1523</v>
      </c>
      <c r="G195">
        <v>-16132</v>
      </c>
      <c r="H195">
        <v>-4382</v>
      </c>
      <c r="I195" s="1" t="s">
        <v>1524</v>
      </c>
      <c r="J195" s="1" t="s">
        <v>1525</v>
      </c>
      <c r="K195">
        <v>-1671</v>
      </c>
      <c r="L195" s="1" t="s">
        <v>1526</v>
      </c>
    </row>
    <row r="196" spans="1:12" x14ac:dyDescent="0.25">
      <c r="A196">
        <v>194</v>
      </c>
      <c r="B196" s="1" t="s">
        <v>1527</v>
      </c>
      <c r="C196" s="1" t="s">
        <v>1528</v>
      </c>
      <c r="D196" s="1" t="s">
        <v>1529</v>
      </c>
      <c r="E196" s="1" t="s">
        <v>1530</v>
      </c>
      <c r="F196" s="1" t="s">
        <v>1531</v>
      </c>
      <c r="G196">
        <v>-24536</v>
      </c>
      <c r="H196">
        <v>-4586</v>
      </c>
      <c r="I196" s="1" t="s">
        <v>1532</v>
      </c>
      <c r="J196" s="1" t="s">
        <v>1533</v>
      </c>
      <c r="K196">
        <v>365243</v>
      </c>
      <c r="L196" s="1" t="s">
        <v>1534</v>
      </c>
    </row>
    <row r="197" spans="1:12" x14ac:dyDescent="0.25">
      <c r="A197">
        <v>195</v>
      </c>
      <c r="B197" s="1" t="s">
        <v>1535</v>
      </c>
      <c r="C197" s="1" t="s">
        <v>1536</v>
      </c>
      <c r="D197" s="1" t="s">
        <v>1537</v>
      </c>
      <c r="E197" s="1" t="s">
        <v>1538</v>
      </c>
      <c r="F197" s="1" t="s">
        <v>1539</v>
      </c>
      <c r="G197">
        <v>-10815</v>
      </c>
      <c r="H197">
        <v>-2185</v>
      </c>
      <c r="I197" s="1" t="s">
        <v>1540</v>
      </c>
      <c r="J197" s="1" t="s">
        <v>1541</v>
      </c>
      <c r="K197">
        <v>-193</v>
      </c>
      <c r="L197" s="1" t="s">
        <v>1542</v>
      </c>
    </row>
    <row r="198" spans="1:12" x14ac:dyDescent="0.25">
      <c r="A198">
        <v>196</v>
      </c>
      <c r="B198" s="1" t="s">
        <v>1543</v>
      </c>
      <c r="C198" s="1" t="s">
        <v>1544</v>
      </c>
      <c r="D198" s="1" t="s">
        <v>1545</v>
      </c>
      <c r="E198" s="1" t="s">
        <v>1546</v>
      </c>
      <c r="F198" s="1" t="s">
        <v>1547</v>
      </c>
      <c r="G198">
        <v>-15914</v>
      </c>
      <c r="H198">
        <v>-5291</v>
      </c>
      <c r="I198" s="1" t="s">
        <v>1548</v>
      </c>
      <c r="J198" s="1" t="s">
        <v>1549</v>
      </c>
      <c r="K198">
        <v>-2801</v>
      </c>
      <c r="L198" s="1" t="s">
        <v>1550</v>
      </c>
    </row>
    <row r="199" spans="1:12" x14ac:dyDescent="0.25">
      <c r="A199">
        <v>197</v>
      </c>
      <c r="B199" s="1" t="s">
        <v>1551</v>
      </c>
      <c r="C199" s="1" t="s">
        <v>1552</v>
      </c>
      <c r="D199" s="1" t="s">
        <v>1553</v>
      </c>
      <c r="E199" s="1" t="s">
        <v>1554</v>
      </c>
      <c r="F199" s="1" t="s">
        <v>1555</v>
      </c>
      <c r="G199">
        <v>-21797</v>
      </c>
      <c r="H199">
        <v>-1445</v>
      </c>
      <c r="I199" s="1" t="s">
        <v>1556</v>
      </c>
      <c r="J199" s="1" t="s">
        <v>198</v>
      </c>
      <c r="K199">
        <v>-3575</v>
      </c>
      <c r="L199" s="1" t="s">
        <v>1557</v>
      </c>
    </row>
    <row r="200" spans="1:12" x14ac:dyDescent="0.25">
      <c r="A200">
        <v>198</v>
      </c>
      <c r="B200" s="1" t="s">
        <v>1558</v>
      </c>
      <c r="C200" s="1" t="s">
        <v>1559</v>
      </c>
      <c r="D200" s="1" t="s">
        <v>1560</v>
      </c>
      <c r="E200" s="1" t="s">
        <v>1561</v>
      </c>
      <c r="F200" s="1" t="s">
        <v>1562</v>
      </c>
      <c r="G200">
        <v>-14208</v>
      </c>
      <c r="H200">
        <v>-4487</v>
      </c>
      <c r="I200" s="1" t="s">
        <v>1563</v>
      </c>
      <c r="J200" s="1" t="s">
        <v>1564</v>
      </c>
      <c r="K200">
        <v>-872</v>
      </c>
      <c r="L200" s="1" t="s">
        <v>1565</v>
      </c>
    </row>
    <row r="201" spans="1:12" x14ac:dyDescent="0.25">
      <c r="A201">
        <v>199</v>
      </c>
      <c r="B201" s="1" t="s">
        <v>1566</v>
      </c>
      <c r="C201" s="1" t="s">
        <v>1567</v>
      </c>
      <c r="D201" s="1" t="s">
        <v>250</v>
      </c>
      <c r="E201" s="1" t="s">
        <v>1568</v>
      </c>
      <c r="F201" s="1" t="s">
        <v>1569</v>
      </c>
      <c r="G201">
        <v>-10111</v>
      </c>
      <c r="H201">
        <v>-2513</v>
      </c>
      <c r="I201" s="1" t="s">
        <v>1570</v>
      </c>
      <c r="J201" s="1" t="s">
        <v>1571</v>
      </c>
      <c r="K201">
        <v>-1859</v>
      </c>
      <c r="L201" s="1" t="s">
        <v>1572</v>
      </c>
    </row>
    <row r="202" spans="1:12" x14ac:dyDescent="0.25">
      <c r="A202">
        <v>200</v>
      </c>
      <c r="B202" s="1" t="s">
        <v>1573</v>
      </c>
      <c r="C202" s="1" t="s">
        <v>1574</v>
      </c>
      <c r="D202" s="1" t="s">
        <v>33</v>
      </c>
      <c r="E202" s="1" t="s">
        <v>1575</v>
      </c>
      <c r="F202" s="1" t="s">
        <v>1576</v>
      </c>
      <c r="G202">
        <v>-19526</v>
      </c>
      <c r="H202">
        <v>-3066</v>
      </c>
      <c r="I202" s="1" t="s">
        <v>1577</v>
      </c>
      <c r="J202" s="1" t="s">
        <v>1578</v>
      </c>
      <c r="K202">
        <v>-2279</v>
      </c>
      <c r="L202" s="1" t="s">
        <v>1579</v>
      </c>
    </row>
    <row r="203" spans="1:12" x14ac:dyDescent="0.25">
      <c r="A203">
        <v>201</v>
      </c>
      <c r="B203" s="1" t="s">
        <v>1580</v>
      </c>
      <c r="C203" s="1" t="s">
        <v>1581</v>
      </c>
      <c r="D203" s="1" t="s">
        <v>1247</v>
      </c>
      <c r="E203" s="1" t="s">
        <v>1582</v>
      </c>
      <c r="F203" s="1" t="s">
        <v>1583</v>
      </c>
      <c r="G203">
        <v>-13400</v>
      </c>
      <c r="H203">
        <v>-1525</v>
      </c>
      <c r="I203" s="1" t="s">
        <v>1584</v>
      </c>
      <c r="J203" s="1" t="s">
        <v>1585</v>
      </c>
      <c r="K203">
        <v>-109</v>
      </c>
      <c r="L203" s="1" t="s">
        <v>1586</v>
      </c>
    </row>
    <row r="204" spans="1:12" x14ac:dyDescent="0.25">
      <c r="A204">
        <v>202</v>
      </c>
      <c r="B204" s="1" t="s">
        <v>1587</v>
      </c>
      <c r="C204" s="1" t="s">
        <v>1588</v>
      </c>
      <c r="D204" s="1" t="s">
        <v>96</v>
      </c>
      <c r="E204" s="1" t="s">
        <v>1589</v>
      </c>
      <c r="F204" s="1" t="s">
        <v>1590</v>
      </c>
      <c r="G204">
        <v>-14575</v>
      </c>
      <c r="H204">
        <v>-2130</v>
      </c>
      <c r="I204" s="1" t="s">
        <v>1591</v>
      </c>
      <c r="J204" s="1" t="s">
        <v>1592</v>
      </c>
      <c r="K204">
        <v>-2146</v>
      </c>
      <c r="L204" s="1" t="s">
        <v>1593</v>
      </c>
    </row>
    <row r="205" spans="1:12" x14ac:dyDescent="0.25">
      <c r="A205">
        <v>203</v>
      </c>
      <c r="B205" s="1" t="s">
        <v>1594</v>
      </c>
      <c r="C205" s="1" t="s">
        <v>1595</v>
      </c>
      <c r="D205" s="1" t="s">
        <v>1596</v>
      </c>
      <c r="E205" s="1" t="s">
        <v>1597</v>
      </c>
      <c r="F205" s="1" t="s">
        <v>1598</v>
      </c>
      <c r="G205">
        <v>-15803</v>
      </c>
      <c r="H205">
        <v>-4547</v>
      </c>
      <c r="I205" s="1" t="s">
        <v>1599</v>
      </c>
      <c r="J205" s="1" t="s">
        <v>1600</v>
      </c>
      <c r="K205">
        <v>-1071</v>
      </c>
      <c r="L205" s="1" t="s">
        <v>1601</v>
      </c>
    </row>
    <row r="206" spans="1:12" x14ac:dyDescent="0.25">
      <c r="A206">
        <v>204</v>
      </c>
      <c r="B206" s="1" t="s">
        <v>1602</v>
      </c>
      <c r="C206" s="1" t="s">
        <v>1603</v>
      </c>
      <c r="D206" s="1" t="s">
        <v>1604</v>
      </c>
      <c r="E206" s="1" t="s">
        <v>1605</v>
      </c>
      <c r="F206" s="1" t="s">
        <v>1606</v>
      </c>
      <c r="G206">
        <v>-20626</v>
      </c>
      <c r="H206">
        <v>-4059</v>
      </c>
      <c r="I206" s="1" t="s">
        <v>1607</v>
      </c>
      <c r="J206" s="1" t="s">
        <v>1608</v>
      </c>
      <c r="K206">
        <v>-664</v>
      </c>
      <c r="L206" s="1" t="s">
        <v>1609</v>
      </c>
    </row>
    <row r="207" spans="1:12" x14ac:dyDescent="0.25">
      <c r="A207">
        <v>205</v>
      </c>
      <c r="B207" s="1" t="s">
        <v>1610</v>
      </c>
      <c r="C207" s="1" t="s">
        <v>1611</v>
      </c>
      <c r="D207" s="1" t="s">
        <v>501</v>
      </c>
      <c r="E207" s="1" t="s">
        <v>1612</v>
      </c>
      <c r="F207" s="1" t="s">
        <v>1613</v>
      </c>
      <c r="G207">
        <v>-10892</v>
      </c>
      <c r="H207">
        <v>-3463</v>
      </c>
      <c r="I207" s="1" t="s">
        <v>1614</v>
      </c>
      <c r="J207" s="1" t="s">
        <v>1615</v>
      </c>
      <c r="K207">
        <v>-2264</v>
      </c>
      <c r="L207" s="1" t="s">
        <v>1616</v>
      </c>
    </row>
    <row r="208" spans="1:12" x14ac:dyDescent="0.25">
      <c r="A208">
        <v>206</v>
      </c>
      <c r="B208" s="1" t="s">
        <v>1617</v>
      </c>
      <c r="C208" s="1" t="s">
        <v>1618</v>
      </c>
      <c r="D208" s="1" t="s">
        <v>1162</v>
      </c>
      <c r="E208" s="1" t="s">
        <v>1619</v>
      </c>
      <c r="F208" s="1" t="s">
        <v>1620</v>
      </c>
      <c r="G208">
        <v>-9555</v>
      </c>
      <c r="H208">
        <v>-712</v>
      </c>
      <c r="I208" s="1" t="s">
        <v>1621</v>
      </c>
      <c r="J208" s="1" t="s">
        <v>1622</v>
      </c>
      <c r="K208">
        <v>-618</v>
      </c>
      <c r="L208" s="1" t="s">
        <v>1623</v>
      </c>
    </row>
    <row r="209" spans="1:12" x14ac:dyDescent="0.25">
      <c r="A209">
        <v>207</v>
      </c>
      <c r="B209" s="1" t="s">
        <v>1624</v>
      </c>
      <c r="C209" s="1" t="s">
        <v>1625</v>
      </c>
      <c r="D209" s="1" t="s">
        <v>1483</v>
      </c>
      <c r="E209" s="1" t="s">
        <v>1626</v>
      </c>
      <c r="F209" s="1" t="s">
        <v>1627</v>
      </c>
      <c r="G209">
        <v>-21383</v>
      </c>
      <c r="H209">
        <v>-1075</v>
      </c>
      <c r="I209" s="1" t="s">
        <v>1628</v>
      </c>
      <c r="J209" s="1" t="s">
        <v>1629</v>
      </c>
      <c r="K209">
        <v>365243</v>
      </c>
      <c r="L209" s="1" t="s">
        <v>1630</v>
      </c>
    </row>
    <row r="210" spans="1:12" x14ac:dyDescent="0.25">
      <c r="A210">
        <v>208</v>
      </c>
      <c r="B210" s="1" t="s">
        <v>1631</v>
      </c>
      <c r="C210" s="1" t="s">
        <v>1632</v>
      </c>
      <c r="D210" s="1" t="s">
        <v>1201</v>
      </c>
      <c r="E210" s="1" t="s">
        <v>1633</v>
      </c>
      <c r="F210" s="1" t="s">
        <v>1634</v>
      </c>
      <c r="G210">
        <v>-14400</v>
      </c>
      <c r="H210">
        <v>-4731</v>
      </c>
      <c r="I210" s="1" t="s">
        <v>1635</v>
      </c>
      <c r="J210" s="1" t="s">
        <v>1636</v>
      </c>
      <c r="K210">
        <v>-787</v>
      </c>
      <c r="L210" s="1" t="s">
        <v>1637</v>
      </c>
    </row>
    <row r="211" spans="1:12" x14ac:dyDescent="0.25">
      <c r="A211">
        <v>209</v>
      </c>
      <c r="B211" s="1" t="s">
        <v>1638</v>
      </c>
      <c r="C211" s="1" t="s">
        <v>1639</v>
      </c>
      <c r="D211" s="1" t="s">
        <v>1640</v>
      </c>
      <c r="E211" s="1" t="s">
        <v>1641</v>
      </c>
      <c r="F211" s="1" t="s">
        <v>1642</v>
      </c>
      <c r="G211">
        <v>-10379</v>
      </c>
      <c r="H211">
        <v>-2878</v>
      </c>
      <c r="I211" s="1" t="s">
        <v>1643</v>
      </c>
      <c r="J211" s="1" t="s">
        <v>1644</v>
      </c>
      <c r="K211">
        <v>-2336</v>
      </c>
      <c r="L211" s="1" t="s">
        <v>1645</v>
      </c>
    </row>
    <row r="212" spans="1:12" x14ac:dyDescent="0.25">
      <c r="A212">
        <v>210</v>
      </c>
      <c r="B212" s="1" t="s">
        <v>1646</v>
      </c>
      <c r="C212" s="1" t="s">
        <v>1647</v>
      </c>
      <c r="D212" s="1" t="s">
        <v>1648</v>
      </c>
      <c r="E212" s="1" t="s">
        <v>1649</v>
      </c>
      <c r="F212" s="1" t="s">
        <v>1650</v>
      </c>
      <c r="G212">
        <v>-22552</v>
      </c>
      <c r="H212">
        <v>-1627</v>
      </c>
      <c r="I212" s="1" t="s">
        <v>1651</v>
      </c>
      <c r="J212" s="1" t="s">
        <v>1652</v>
      </c>
      <c r="K212">
        <v>365243</v>
      </c>
      <c r="L212" s="1" t="s">
        <v>1653</v>
      </c>
    </row>
    <row r="213" spans="1:12" x14ac:dyDescent="0.25">
      <c r="A213">
        <v>211</v>
      </c>
      <c r="B213" s="1" t="s">
        <v>1654</v>
      </c>
      <c r="C213" s="1" t="s">
        <v>1655</v>
      </c>
      <c r="D213" s="1" t="s">
        <v>1656</v>
      </c>
      <c r="E213" s="1" t="s">
        <v>1657</v>
      </c>
      <c r="F213" s="1" t="s">
        <v>1658</v>
      </c>
      <c r="G213">
        <v>-12588</v>
      </c>
      <c r="H213">
        <v>-5028</v>
      </c>
      <c r="I213" s="1" t="s">
        <v>1659</v>
      </c>
      <c r="J213" s="1" t="s">
        <v>1660</v>
      </c>
      <c r="K213">
        <v>-3824</v>
      </c>
      <c r="L213" s="1" t="s">
        <v>1661</v>
      </c>
    </row>
    <row r="214" spans="1:12" x14ac:dyDescent="0.25">
      <c r="A214">
        <v>212</v>
      </c>
      <c r="B214" s="1" t="s">
        <v>1662</v>
      </c>
      <c r="C214" s="1" t="s">
        <v>1663</v>
      </c>
      <c r="D214" s="1" t="s">
        <v>54</v>
      </c>
      <c r="E214" s="1" t="s">
        <v>1664</v>
      </c>
      <c r="F214" s="1" t="s">
        <v>1665</v>
      </c>
      <c r="G214">
        <v>-18598</v>
      </c>
      <c r="H214">
        <v>-2139</v>
      </c>
      <c r="I214" s="1" t="s">
        <v>1666</v>
      </c>
      <c r="J214" s="1" t="s">
        <v>1667</v>
      </c>
      <c r="K214">
        <v>-1810</v>
      </c>
      <c r="L214" s="1" t="s">
        <v>1668</v>
      </c>
    </row>
    <row r="215" spans="1:12" x14ac:dyDescent="0.25">
      <c r="A215">
        <v>213</v>
      </c>
      <c r="B215" s="1" t="s">
        <v>1669</v>
      </c>
      <c r="C215" s="1" t="s">
        <v>1670</v>
      </c>
      <c r="D215" s="1" t="s">
        <v>1671</v>
      </c>
      <c r="E215" s="1" t="s">
        <v>1672</v>
      </c>
      <c r="F215" s="1" t="s">
        <v>1673</v>
      </c>
      <c r="G215">
        <v>-10988</v>
      </c>
      <c r="H215">
        <v>-3184</v>
      </c>
      <c r="I215" s="1" t="s">
        <v>1674</v>
      </c>
      <c r="J215" s="1" t="s">
        <v>1675</v>
      </c>
      <c r="K215">
        <v>-3821</v>
      </c>
      <c r="L215" s="1" t="s">
        <v>1676</v>
      </c>
    </row>
    <row r="216" spans="1:12" x14ac:dyDescent="0.25">
      <c r="A216">
        <v>214</v>
      </c>
      <c r="B216" s="1" t="s">
        <v>1677</v>
      </c>
      <c r="C216" s="1" t="s">
        <v>1678</v>
      </c>
      <c r="D216" s="1" t="s">
        <v>1679</v>
      </c>
      <c r="E216" s="1" t="s">
        <v>1680</v>
      </c>
      <c r="F216" s="1" t="s">
        <v>1681</v>
      </c>
      <c r="G216">
        <v>-10066</v>
      </c>
      <c r="H216">
        <v>-2759</v>
      </c>
      <c r="I216" s="1" t="s">
        <v>1682</v>
      </c>
      <c r="J216" s="1" t="s">
        <v>198</v>
      </c>
      <c r="K216">
        <v>-516</v>
      </c>
      <c r="L216" s="1" t="s">
        <v>1683</v>
      </c>
    </row>
    <row r="217" spans="1:12" x14ac:dyDescent="0.25">
      <c r="A217">
        <v>215</v>
      </c>
      <c r="B217" s="1" t="s">
        <v>1684</v>
      </c>
      <c r="C217" s="1" t="s">
        <v>1685</v>
      </c>
      <c r="D217" s="1" t="s">
        <v>1193</v>
      </c>
      <c r="E217" s="1" t="s">
        <v>1686</v>
      </c>
      <c r="F217" s="1" t="s">
        <v>1687</v>
      </c>
      <c r="G217">
        <v>-22972</v>
      </c>
      <c r="H217">
        <v>-4725</v>
      </c>
      <c r="I217" s="1" t="s">
        <v>1688</v>
      </c>
      <c r="J217" s="1" t="s">
        <v>1689</v>
      </c>
      <c r="K217">
        <v>365243</v>
      </c>
      <c r="L217" s="1" t="s">
        <v>1690</v>
      </c>
    </row>
    <row r="218" spans="1:12" x14ac:dyDescent="0.25">
      <c r="A218">
        <v>216</v>
      </c>
      <c r="B218" s="1" t="s">
        <v>1691</v>
      </c>
      <c r="C218" s="1" t="s">
        <v>1692</v>
      </c>
      <c r="D218" s="1" t="s">
        <v>1491</v>
      </c>
      <c r="E218" s="1" t="s">
        <v>1693</v>
      </c>
      <c r="F218" s="1" t="s">
        <v>1694</v>
      </c>
      <c r="G218">
        <v>-15795</v>
      </c>
      <c r="H218">
        <v>-4650</v>
      </c>
      <c r="I218" s="1" t="s">
        <v>1695</v>
      </c>
      <c r="J218" s="1" t="s">
        <v>1696</v>
      </c>
      <c r="K218">
        <v>-1855</v>
      </c>
      <c r="L218" s="1" t="s">
        <v>1697</v>
      </c>
    </row>
    <row r="219" spans="1:12" x14ac:dyDescent="0.25">
      <c r="A219">
        <v>217</v>
      </c>
      <c r="B219" s="1" t="s">
        <v>1698</v>
      </c>
      <c r="C219" s="1" t="s">
        <v>1699</v>
      </c>
      <c r="D219" s="1" t="s">
        <v>350</v>
      </c>
      <c r="E219" s="1" t="s">
        <v>1700</v>
      </c>
      <c r="F219" s="1" t="s">
        <v>1701</v>
      </c>
      <c r="G219">
        <v>-10047</v>
      </c>
      <c r="H219">
        <v>-2599</v>
      </c>
      <c r="I219" s="1" t="s">
        <v>1702</v>
      </c>
      <c r="J219" s="1" t="s">
        <v>1703</v>
      </c>
      <c r="K219">
        <v>-2468</v>
      </c>
      <c r="L219" s="1" t="s">
        <v>1704</v>
      </c>
    </row>
    <row r="220" spans="1:12" x14ac:dyDescent="0.25">
      <c r="A220">
        <v>218</v>
      </c>
      <c r="B220" s="1" t="s">
        <v>1705</v>
      </c>
      <c r="C220" s="1" t="s">
        <v>1706</v>
      </c>
      <c r="D220" s="1" t="s">
        <v>1707</v>
      </c>
      <c r="E220" s="1" t="s">
        <v>1708</v>
      </c>
      <c r="F220" s="1" t="s">
        <v>1709</v>
      </c>
      <c r="G220">
        <v>-10580</v>
      </c>
      <c r="H220">
        <v>-3269</v>
      </c>
      <c r="I220" s="1" t="s">
        <v>1710</v>
      </c>
      <c r="J220" s="1" t="s">
        <v>1711</v>
      </c>
      <c r="K220">
        <v>-124</v>
      </c>
      <c r="L220" s="1" t="s">
        <v>1712</v>
      </c>
    </row>
    <row r="221" spans="1:12" x14ac:dyDescent="0.25">
      <c r="A221">
        <v>219</v>
      </c>
      <c r="B221" s="1" t="s">
        <v>1713</v>
      </c>
      <c r="C221" s="1" t="s">
        <v>1714</v>
      </c>
      <c r="D221" s="1" t="s">
        <v>912</v>
      </c>
      <c r="E221" s="1" t="s">
        <v>1715</v>
      </c>
      <c r="F221" s="1" t="s">
        <v>1716</v>
      </c>
      <c r="G221">
        <v>-15262</v>
      </c>
      <c r="H221">
        <v>-5517</v>
      </c>
      <c r="I221" s="1" t="s">
        <v>1717</v>
      </c>
      <c r="J221" s="1" t="s">
        <v>1718</v>
      </c>
      <c r="K221">
        <v>-365</v>
      </c>
      <c r="L221" s="1" t="s">
        <v>1719</v>
      </c>
    </row>
    <row r="222" spans="1:12" x14ac:dyDescent="0.25">
      <c r="A222">
        <v>220</v>
      </c>
      <c r="B222" s="1" t="s">
        <v>1720</v>
      </c>
      <c r="C222" s="1" t="s">
        <v>1721</v>
      </c>
      <c r="D222" s="1" t="s">
        <v>1722</v>
      </c>
      <c r="E222" s="1" t="s">
        <v>1723</v>
      </c>
      <c r="F222" s="1" t="s">
        <v>1724</v>
      </c>
      <c r="G222">
        <v>-11330</v>
      </c>
      <c r="H222">
        <v>-2729</v>
      </c>
      <c r="I222" s="1" t="s">
        <v>1725</v>
      </c>
      <c r="J222" s="1" t="s">
        <v>1726</v>
      </c>
      <c r="K222">
        <v>-2477</v>
      </c>
      <c r="L222" s="1" t="s">
        <v>1727</v>
      </c>
    </row>
    <row r="223" spans="1:12" x14ac:dyDescent="0.25">
      <c r="A223">
        <v>221</v>
      </c>
      <c r="B223" s="1" t="s">
        <v>1728</v>
      </c>
      <c r="C223" s="1" t="s">
        <v>1729</v>
      </c>
      <c r="D223" s="1" t="s">
        <v>889</v>
      </c>
      <c r="E223" s="1" t="s">
        <v>1730</v>
      </c>
      <c r="F223" s="1" t="s">
        <v>1731</v>
      </c>
      <c r="G223">
        <v>-24117</v>
      </c>
      <c r="H223">
        <v>-4718</v>
      </c>
      <c r="I223" s="1" t="s">
        <v>1732</v>
      </c>
      <c r="J223" s="1" t="s">
        <v>1733</v>
      </c>
      <c r="K223">
        <v>-2715</v>
      </c>
      <c r="L223" s="1" t="s">
        <v>1734</v>
      </c>
    </row>
    <row r="224" spans="1:12" x14ac:dyDescent="0.25">
      <c r="A224">
        <v>222</v>
      </c>
      <c r="B224" s="1" t="s">
        <v>1735</v>
      </c>
      <c r="C224" s="1" t="s">
        <v>1736</v>
      </c>
      <c r="D224" s="1" t="s">
        <v>1737</v>
      </c>
      <c r="E224" s="1" t="s">
        <v>1738</v>
      </c>
      <c r="F224" s="1" t="s">
        <v>1739</v>
      </c>
      <c r="G224">
        <v>-13715</v>
      </c>
      <c r="H224">
        <v>-4809</v>
      </c>
      <c r="I224" s="1" t="s">
        <v>1740</v>
      </c>
      <c r="J224" s="1" t="s">
        <v>1741</v>
      </c>
      <c r="K224">
        <v>-4174</v>
      </c>
      <c r="L224" s="1" t="s">
        <v>1742</v>
      </c>
    </row>
    <row r="225" spans="1:12" x14ac:dyDescent="0.25">
      <c r="A225">
        <v>223</v>
      </c>
      <c r="B225" s="1" t="s">
        <v>1743</v>
      </c>
      <c r="C225" s="1" t="s">
        <v>1744</v>
      </c>
      <c r="D225" s="1" t="s">
        <v>1745</v>
      </c>
      <c r="E225" s="1" t="s">
        <v>1746</v>
      </c>
      <c r="F225" s="1" t="s">
        <v>1747</v>
      </c>
      <c r="G225">
        <v>-10649</v>
      </c>
      <c r="H225">
        <v>-1002</v>
      </c>
      <c r="I225" s="1" t="s">
        <v>1748</v>
      </c>
      <c r="J225" s="1" t="s">
        <v>1749</v>
      </c>
      <c r="K225">
        <v>-1044</v>
      </c>
      <c r="L225" s="1" t="s">
        <v>1750</v>
      </c>
    </row>
    <row r="226" spans="1:12" x14ac:dyDescent="0.25">
      <c r="A226">
        <v>224</v>
      </c>
      <c r="B226" s="1" t="s">
        <v>1751</v>
      </c>
      <c r="C226" s="1" t="s">
        <v>1752</v>
      </c>
      <c r="D226" s="1" t="s">
        <v>1753</v>
      </c>
      <c r="E226" s="1" t="s">
        <v>1754</v>
      </c>
      <c r="F226" s="1" t="s">
        <v>1755</v>
      </c>
      <c r="G226">
        <v>-10571</v>
      </c>
      <c r="H226">
        <v>-3195</v>
      </c>
      <c r="I226" s="1" t="s">
        <v>1756</v>
      </c>
      <c r="J226" s="1" t="s">
        <v>1757</v>
      </c>
      <c r="K226">
        <v>-986</v>
      </c>
      <c r="L226" s="1" t="s">
        <v>1758</v>
      </c>
    </row>
    <row r="227" spans="1:12" x14ac:dyDescent="0.25">
      <c r="A227">
        <v>225</v>
      </c>
      <c r="B227" s="1" t="s">
        <v>1759</v>
      </c>
      <c r="C227" s="1" t="s">
        <v>1760</v>
      </c>
      <c r="D227" s="1" t="s">
        <v>1761</v>
      </c>
      <c r="E227" s="1" t="s">
        <v>1762</v>
      </c>
      <c r="F227" s="1" t="s">
        <v>1763</v>
      </c>
      <c r="G227">
        <v>-11647</v>
      </c>
      <c r="H227">
        <v>-2932</v>
      </c>
      <c r="I227" s="1" t="s">
        <v>1764</v>
      </c>
      <c r="J227" s="1" t="s">
        <v>1765</v>
      </c>
      <c r="K227">
        <v>-391</v>
      </c>
      <c r="L227" s="1" t="s">
        <v>1766</v>
      </c>
    </row>
    <row r="228" spans="1:12" x14ac:dyDescent="0.25">
      <c r="A228">
        <v>226</v>
      </c>
      <c r="B228" s="1" t="s">
        <v>1767</v>
      </c>
      <c r="C228" s="1" t="s">
        <v>1768</v>
      </c>
      <c r="D228" s="1" t="s">
        <v>1769</v>
      </c>
      <c r="E228" s="1" t="s">
        <v>1770</v>
      </c>
      <c r="F228" s="1" t="s">
        <v>1771</v>
      </c>
      <c r="G228">
        <v>-11082</v>
      </c>
      <c r="H228">
        <v>-3435</v>
      </c>
      <c r="I228" s="1" t="s">
        <v>1772</v>
      </c>
      <c r="J228" s="1" t="s">
        <v>1773</v>
      </c>
      <c r="K228">
        <v>-3593</v>
      </c>
      <c r="L228" s="1" t="s">
        <v>1774</v>
      </c>
    </row>
    <row r="229" spans="1:12" x14ac:dyDescent="0.25">
      <c r="A229">
        <v>227</v>
      </c>
      <c r="B229" s="1" t="s">
        <v>1775</v>
      </c>
      <c r="C229" s="1" t="s">
        <v>1776</v>
      </c>
      <c r="D229" s="1" t="s">
        <v>1777</v>
      </c>
      <c r="E229" s="1" t="s">
        <v>1778</v>
      </c>
      <c r="F229" s="1" t="s">
        <v>1779</v>
      </c>
      <c r="G229">
        <v>-8649</v>
      </c>
      <c r="H229">
        <v>-1156</v>
      </c>
      <c r="I229" s="1" t="s">
        <v>1494</v>
      </c>
      <c r="J229" s="1" t="s">
        <v>198</v>
      </c>
      <c r="K229">
        <v>-1119</v>
      </c>
      <c r="L229" s="1" t="s">
        <v>946</v>
      </c>
    </row>
    <row r="230" spans="1:12" x14ac:dyDescent="0.25">
      <c r="A230">
        <v>228</v>
      </c>
      <c r="B230" s="1" t="s">
        <v>1780</v>
      </c>
      <c r="C230" s="1" t="s">
        <v>1781</v>
      </c>
      <c r="D230" s="1" t="s">
        <v>1782</v>
      </c>
      <c r="E230" s="1" t="s">
        <v>1783</v>
      </c>
      <c r="F230" s="1" t="s">
        <v>1784</v>
      </c>
      <c r="G230">
        <v>-22626</v>
      </c>
      <c r="H230">
        <v>-4207</v>
      </c>
      <c r="I230" s="1" t="s">
        <v>1785</v>
      </c>
      <c r="J230" s="1" t="s">
        <v>198</v>
      </c>
      <c r="K230">
        <v>-217</v>
      </c>
      <c r="L230" s="1" t="s">
        <v>733</v>
      </c>
    </row>
    <row r="231" spans="1:12" x14ac:dyDescent="0.25">
      <c r="A231">
        <v>229</v>
      </c>
      <c r="B231" s="1" t="s">
        <v>1786</v>
      </c>
      <c r="C231" s="1" t="s">
        <v>1787</v>
      </c>
      <c r="D231" s="1" t="s">
        <v>1459</v>
      </c>
      <c r="E231" s="1" t="s">
        <v>1788</v>
      </c>
      <c r="F231" s="1" t="s">
        <v>1789</v>
      </c>
      <c r="G231">
        <v>-15767</v>
      </c>
      <c r="H231">
        <v>-3576</v>
      </c>
      <c r="I231" s="1" t="s">
        <v>1790</v>
      </c>
      <c r="J231" s="1" t="s">
        <v>1791</v>
      </c>
      <c r="K231">
        <v>-5400</v>
      </c>
      <c r="L231" s="1" t="s">
        <v>1792</v>
      </c>
    </row>
    <row r="232" spans="1:12" x14ac:dyDescent="0.25">
      <c r="A232">
        <v>230</v>
      </c>
      <c r="B232" s="1" t="s">
        <v>1793</v>
      </c>
      <c r="C232" s="1" t="s">
        <v>1794</v>
      </c>
      <c r="D232" s="1" t="s">
        <v>1795</v>
      </c>
      <c r="E232" s="1" t="s">
        <v>1796</v>
      </c>
      <c r="F232" s="1" t="s">
        <v>1797</v>
      </c>
      <c r="G232">
        <v>-14805</v>
      </c>
      <c r="H232">
        <v>-5490</v>
      </c>
      <c r="I232" s="1" t="s">
        <v>1798</v>
      </c>
      <c r="J232" s="1" t="s">
        <v>1799</v>
      </c>
      <c r="K232">
        <v>-240</v>
      </c>
      <c r="L232" s="1" t="s">
        <v>1800</v>
      </c>
    </row>
    <row r="233" spans="1:12" x14ac:dyDescent="0.25">
      <c r="A233">
        <v>231</v>
      </c>
      <c r="B233" s="1" t="s">
        <v>1801</v>
      </c>
      <c r="C233" s="1" t="s">
        <v>1802</v>
      </c>
      <c r="D233" s="1" t="s">
        <v>1803</v>
      </c>
      <c r="E233" s="1" t="s">
        <v>1804</v>
      </c>
      <c r="F233" s="1" t="s">
        <v>1805</v>
      </c>
      <c r="G233">
        <v>-19431</v>
      </c>
      <c r="H233">
        <v>-2115</v>
      </c>
      <c r="I233" s="1" t="s">
        <v>1806</v>
      </c>
      <c r="J233" s="1" t="s">
        <v>320</v>
      </c>
      <c r="K233">
        <v>-11824</v>
      </c>
      <c r="L233" s="1" t="s">
        <v>751</v>
      </c>
    </row>
    <row r="234" spans="1:12" x14ac:dyDescent="0.25">
      <c r="A234">
        <v>232</v>
      </c>
      <c r="B234" s="1" t="s">
        <v>1807</v>
      </c>
      <c r="C234" s="1" t="s">
        <v>1808</v>
      </c>
      <c r="D234" s="1" t="s">
        <v>82</v>
      </c>
      <c r="E234" s="1" t="s">
        <v>1809</v>
      </c>
      <c r="F234" s="1" t="s">
        <v>1810</v>
      </c>
      <c r="G234">
        <v>-15361</v>
      </c>
      <c r="H234">
        <v>-4874</v>
      </c>
      <c r="I234" s="1" t="s">
        <v>1811</v>
      </c>
      <c r="J234" s="1" t="s">
        <v>1812</v>
      </c>
      <c r="K234">
        <v>-3326</v>
      </c>
      <c r="L234" s="1" t="s">
        <v>1813</v>
      </c>
    </row>
    <row r="235" spans="1:12" x14ac:dyDescent="0.25">
      <c r="A235">
        <v>233</v>
      </c>
      <c r="B235" s="1" t="s">
        <v>1814</v>
      </c>
      <c r="C235" s="1" t="s">
        <v>1815</v>
      </c>
      <c r="D235" s="1" t="s">
        <v>1816</v>
      </c>
      <c r="E235" s="1" t="s">
        <v>1817</v>
      </c>
      <c r="F235" s="1" t="s">
        <v>1818</v>
      </c>
      <c r="G235">
        <v>-22221</v>
      </c>
      <c r="H235">
        <v>-4713</v>
      </c>
      <c r="I235" s="1" t="s">
        <v>1819</v>
      </c>
      <c r="J235" s="1" t="s">
        <v>198</v>
      </c>
      <c r="K235">
        <v>-1786</v>
      </c>
      <c r="L235" s="1" t="s">
        <v>1820</v>
      </c>
    </row>
    <row r="236" spans="1:12" x14ac:dyDescent="0.25">
      <c r="A236">
        <v>234</v>
      </c>
      <c r="B236" s="1" t="s">
        <v>1821</v>
      </c>
      <c r="C236" s="1" t="s">
        <v>1822</v>
      </c>
      <c r="D236" s="1" t="s">
        <v>1513</v>
      </c>
      <c r="E236" s="1" t="s">
        <v>1823</v>
      </c>
      <c r="F236" s="1" t="s">
        <v>1824</v>
      </c>
      <c r="G236">
        <v>-13261</v>
      </c>
      <c r="H236">
        <v>-2666</v>
      </c>
      <c r="I236" s="1" t="s">
        <v>1825</v>
      </c>
      <c r="J236" s="1" t="s">
        <v>1826</v>
      </c>
      <c r="K236">
        <v>-659</v>
      </c>
      <c r="L236" s="1" t="s">
        <v>1827</v>
      </c>
    </row>
    <row r="237" spans="1:12" x14ac:dyDescent="0.25">
      <c r="A237">
        <v>235</v>
      </c>
      <c r="B237" s="1" t="s">
        <v>1828</v>
      </c>
      <c r="C237" s="1" t="s">
        <v>1829</v>
      </c>
      <c r="D237" s="1" t="s">
        <v>54</v>
      </c>
      <c r="E237" s="1" t="s">
        <v>1830</v>
      </c>
      <c r="F237" s="1" t="s">
        <v>1831</v>
      </c>
      <c r="G237">
        <v>-11000</v>
      </c>
      <c r="H237">
        <v>-2274</v>
      </c>
      <c r="I237" s="1" t="s">
        <v>1832</v>
      </c>
      <c r="J237" s="1" t="s">
        <v>1833</v>
      </c>
      <c r="K237">
        <v>-968</v>
      </c>
      <c r="L237" s="1" t="s">
        <v>1834</v>
      </c>
    </row>
    <row r="238" spans="1:12" x14ac:dyDescent="0.25">
      <c r="A238">
        <v>236</v>
      </c>
      <c r="B238" s="1" t="s">
        <v>1835</v>
      </c>
      <c r="C238" s="1" t="s">
        <v>1836</v>
      </c>
      <c r="D238" s="1" t="s">
        <v>1837</v>
      </c>
      <c r="E238" s="1" t="s">
        <v>1838</v>
      </c>
      <c r="F238" s="1" t="s">
        <v>1839</v>
      </c>
      <c r="G238">
        <v>-15827</v>
      </c>
      <c r="H238">
        <v>-1777</v>
      </c>
      <c r="I238" s="1" t="s">
        <v>1840</v>
      </c>
      <c r="J238" s="1" t="s">
        <v>379</v>
      </c>
      <c r="K238">
        <v>-3010</v>
      </c>
      <c r="L238" s="1" t="s">
        <v>760</v>
      </c>
    </row>
    <row r="239" spans="1:12" x14ac:dyDescent="0.25">
      <c r="A239">
        <v>237</v>
      </c>
      <c r="B239" s="1" t="s">
        <v>1841</v>
      </c>
      <c r="C239" s="1" t="s">
        <v>1842</v>
      </c>
      <c r="D239" s="1" t="s">
        <v>1843</v>
      </c>
      <c r="E239" s="1" t="s">
        <v>1844</v>
      </c>
      <c r="F239" s="1" t="s">
        <v>1845</v>
      </c>
      <c r="G239">
        <v>-18773</v>
      </c>
      <c r="H239">
        <v>-2314</v>
      </c>
      <c r="I239" s="1" t="s">
        <v>1846</v>
      </c>
      <c r="J239" s="1" t="s">
        <v>198</v>
      </c>
      <c r="K239">
        <v>-251</v>
      </c>
      <c r="L239" s="1" t="s">
        <v>1280</v>
      </c>
    </row>
    <row r="240" spans="1:12" x14ac:dyDescent="0.25">
      <c r="A240">
        <v>238</v>
      </c>
      <c r="B240" s="1" t="s">
        <v>1847</v>
      </c>
      <c r="C240" s="1" t="s">
        <v>1848</v>
      </c>
      <c r="D240" s="1" t="s">
        <v>501</v>
      </c>
      <c r="E240" s="1" t="s">
        <v>1849</v>
      </c>
      <c r="F240" s="1" t="s">
        <v>1850</v>
      </c>
      <c r="G240">
        <v>-20278</v>
      </c>
      <c r="H240">
        <v>-2560</v>
      </c>
      <c r="I240" s="1" t="s">
        <v>1851</v>
      </c>
      <c r="J240" s="1" t="s">
        <v>1852</v>
      </c>
      <c r="K240">
        <v>365243</v>
      </c>
      <c r="L240" s="1" t="s">
        <v>1853</v>
      </c>
    </row>
    <row r="241" spans="1:12" x14ac:dyDescent="0.25">
      <c r="A241">
        <v>239</v>
      </c>
      <c r="B241" s="1" t="s">
        <v>1854</v>
      </c>
      <c r="C241" s="1" t="s">
        <v>1855</v>
      </c>
      <c r="D241" s="1" t="s">
        <v>897</v>
      </c>
      <c r="E241" s="1" t="s">
        <v>1856</v>
      </c>
      <c r="F241" s="1" t="s">
        <v>1857</v>
      </c>
      <c r="G241">
        <v>-19303</v>
      </c>
      <c r="H241">
        <v>-2855</v>
      </c>
      <c r="I241" s="1" t="s">
        <v>1858</v>
      </c>
      <c r="J241" s="1" t="s">
        <v>1859</v>
      </c>
      <c r="K241">
        <v>-4266</v>
      </c>
      <c r="L241" s="1" t="s">
        <v>1860</v>
      </c>
    </row>
    <row r="242" spans="1:12" x14ac:dyDescent="0.25">
      <c r="A242">
        <v>240</v>
      </c>
      <c r="B242" s="1" t="s">
        <v>1861</v>
      </c>
      <c r="C242" s="1" t="s">
        <v>1862</v>
      </c>
      <c r="D242" s="1" t="s">
        <v>521</v>
      </c>
      <c r="E242" s="1" t="s">
        <v>1863</v>
      </c>
      <c r="F242" s="1" t="s">
        <v>377</v>
      </c>
      <c r="G242">
        <v>-11629</v>
      </c>
      <c r="H242">
        <v>-3485</v>
      </c>
      <c r="I242" s="1" t="s">
        <v>1864</v>
      </c>
      <c r="J242" s="1" t="s">
        <v>320</v>
      </c>
      <c r="K242">
        <v>-2567</v>
      </c>
      <c r="L242" s="1" t="s">
        <v>751</v>
      </c>
    </row>
    <row r="243" spans="1:12" x14ac:dyDescent="0.25">
      <c r="A243">
        <v>241</v>
      </c>
      <c r="B243" s="1" t="s">
        <v>1865</v>
      </c>
      <c r="C243" s="1" t="s">
        <v>1866</v>
      </c>
      <c r="D243" s="1" t="s">
        <v>1867</v>
      </c>
      <c r="E243" s="1" t="s">
        <v>1868</v>
      </c>
      <c r="F243" s="1" t="s">
        <v>1869</v>
      </c>
      <c r="G243">
        <v>-20697</v>
      </c>
      <c r="H243">
        <v>-3892</v>
      </c>
      <c r="I243" s="1" t="s">
        <v>1870</v>
      </c>
      <c r="J243" s="1" t="s">
        <v>1871</v>
      </c>
      <c r="K243">
        <v>-6821</v>
      </c>
      <c r="L243" s="1" t="s">
        <v>1872</v>
      </c>
    </row>
    <row r="244" spans="1:12" x14ac:dyDescent="0.25">
      <c r="A244">
        <v>242</v>
      </c>
      <c r="B244" s="1" t="s">
        <v>1873</v>
      </c>
      <c r="C244" s="1" t="s">
        <v>1874</v>
      </c>
      <c r="D244" s="1" t="s">
        <v>1875</v>
      </c>
      <c r="E244" s="1" t="s">
        <v>1876</v>
      </c>
      <c r="F244" s="1" t="s">
        <v>1877</v>
      </c>
      <c r="G244">
        <v>-12840</v>
      </c>
      <c r="H244">
        <v>-363</v>
      </c>
      <c r="I244" s="1" t="s">
        <v>1878</v>
      </c>
      <c r="J244" s="1" t="s">
        <v>1879</v>
      </c>
      <c r="K244">
        <v>-1201</v>
      </c>
      <c r="L244" s="1" t="s">
        <v>1880</v>
      </c>
    </row>
    <row r="245" spans="1:12" x14ac:dyDescent="0.25">
      <c r="A245">
        <v>243</v>
      </c>
      <c r="B245" s="1" t="s">
        <v>1881</v>
      </c>
      <c r="C245" s="1" t="s">
        <v>1882</v>
      </c>
      <c r="D245" s="1" t="s">
        <v>117</v>
      </c>
      <c r="E245" s="1" t="s">
        <v>1883</v>
      </c>
      <c r="F245" s="1" t="s">
        <v>1884</v>
      </c>
      <c r="G245">
        <v>-21596</v>
      </c>
      <c r="H245">
        <v>-5056</v>
      </c>
      <c r="I245" s="1" t="s">
        <v>1885</v>
      </c>
      <c r="J245" s="1" t="s">
        <v>1886</v>
      </c>
      <c r="K245">
        <v>365243</v>
      </c>
      <c r="L245" s="1" t="s">
        <v>1887</v>
      </c>
    </row>
    <row r="246" spans="1:12" x14ac:dyDescent="0.25">
      <c r="A246">
        <v>244</v>
      </c>
      <c r="B246" s="1" t="s">
        <v>1888</v>
      </c>
      <c r="C246" s="1" t="s">
        <v>1889</v>
      </c>
      <c r="D246" s="1" t="s">
        <v>927</v>
      </c>
      <c r="E246" s="1" t="s">
        <v>1890</v>
      </c>
      <c r="F246" s="1" t="s">
        <v>1891</v>
      </c>
      <c r="G246">
        <v>-16355</v>
      </c>
      <c r="H246">
        <v>-4330</v>
      </c>
      <c r="I246" s="1" t="s">
        <v>1892</v>
      </c>
      <c r="J246" s="1" t="s">
        <v>1893</v>
      </c>
      <c r="K246">
        <v>-7428</v>
      </c>
      <c r="L246" s="1" t="s">
        <v>1894</v>
      </c>
    </row>
    <row r="247" spans="1:12" x14ac:dyDescent="0.25">
      <c r="A247">
        <v>245</v>
      </c>
      <c r="B247" s="1" t="s">
        <v>1895</v>
      </c>
      <c r="C247" s="1" t="s">
        <v>1896</v>
      </c>
      <c r="D247" s="1" t="s">
        <v>1897</v>
      </c>
      <c r="E247" s="1" t="s">
        <v>1898</v>
      </c>
      <c r="F247" s="1" t="s">
        <v>1899</v>
      </c>
      <c r="G247">
        <v>-22435</v>
      </c>
      <c r="H247">
        <v>-4914</v>
      </c>
      <c r="I247" s="1" t="s">
        <v>1900</v>
      </c>
      <c r="J247" s="1" t="s">
        <v>1901</v>
      </c>
      <c r="K247">
        <v>-6054</v>
      </c>
      <c r="L247" s="1" t="s">
        <v>1902</v>
      </c>
    </row>
    <row r="248" spans="1:12" x14ac:dyDescent="0.25">
      <c r="A248">
        <v>246</v>
      </c>
      <c r="B248" s="1" t="s">
        <v>1903</v>
      </c>
      <c r="C248" s="1" t="s">
        <v>1904</v>
      </c>
      <c r="D248" s="1" t="s">
        <v>1905</v>
      </c>
      <c r="E248" s="1" t="s">
        <v>1906</v>
      </c>
      <c r="F248" s="1" t="s">
        <v>1907</v>
      </c>
      <c r="G248">
        <v>-12995</v>
      </c>
      <c r="H248">
        <v>-4043</v>
      </c>
      <c r="I248" s="1" t="s">
        <v>1908</v>
      </c>
      <c r="J248" s="1" t="s">
        <v>1909</v>
      </c>
      <c r="K248">
        <v>-3287</v>
      </c>
      <c r="L248" s="1" t="s">
        <v>1910</v>
      </c>
    </row>
    <row r="249" spans="1:12" x14ac:dyDescent="0.25">
      <c r="A249">
        <v>247</v>
      </c>
      <c r="B249" s="1" t="s">
        <v>1911</v>
      </c>
      <c r="C249" s="1" t="s">
        <v>1912</v>
      </c>
      <c r="D249" s="1" t="s">
        <v>1913</v>
      </c>
      <c r="E249" s="1" t="s">
        <v>1914</v>
      </c>
      <c r="F249" s="1" t="s">
        <v>1915</v>
      </c>
      <c r="G249">
        <v>-9005</v>
      </c>
      <c r="H249">
        <v>-1620</v>
      </c>
      <c r="I249" s="1" t="s">
        <v>1189</v>
      </c>
      <c r="J249" s="1" t="s">
        <v>198</v>
      </c>
      <c r="K249">
        <v>-764</v>
      </c>
      <c r="L249" s="1" t="s">
        <v>1495</v>
      </c>
    </row>
    <row r="250" spans="1:12" x14ac:dyDescent="0.25">
      <c r="A250">
        <v>248</v>
      </c>
      <c r="B250" s="1" t="s">
        <v>1916</v>
      </c>
      <c r="C250" s="1" t="s">
        <v>1917</v>
      </c>
      <c r="D250" s="1" t="s">
        <v>54</v>
      </c>
      <c r="E250" s="1" t="s">
        <v>1918</v>
      </c>
      <c r="F250" s="1" t="s">
        <v>1919</v>
      </c>
      <c r="G250">
        <v>-8729</v>
      </c>
      <c r="H250">
        <v>-1410</v>
      </c>
      <c r="I250" s="1" t="s">
        <v>1920</v>
      </c>
      <c r="J250" s="1" t="s">
        <v>198</v>
      </c>
      <c r="K250">
        <v>-824</v>
      </c>
      <c r="L250" s="1" t="s">
        <v>1921</v>
      </c>
    </row>
    <row r="251" spans="1:12" x14ac:dyDescent="0.25">
      <c r="A251">
        <v>249</v>
      </c>
      <c r="B251" s="1" t="s">
        <v>1922</v>
      </c>
      <c r="C251" s="1" t="s">
        <v>1923</v>
      </c>
      <c r="D251" s="1" t="s">
        <v>1843</v>
      </c>
      <c r="E251" s="1" t="s">
        <v>1924</v>
      </c>
      <c r="F251" s="1" t="s">
        <v>1925</v>
      </c>
      <c r="G251">
        <v>-11918</v>
      </c>
      <c r="H251">
        <v>-4579</v>
      </c>
      <c r="I251" s="1" t="s">
        <v>1926</v>
      </c>
      <c r="J251" s="1" t="s">
        <v>1927</v>
      </c>
      <c r="K251">
        <v>-2756</v>
      </c>
      <c r="L251" s="1" t="s">
        <v>1928</v>
      </c>
    </row>
    <row r="252" spans="1:12" x14ac:dyDescent="0.25">
      <c r="A252">
        <v>250</v>
      </c>
      <c r="B252" s="1" t="s">
        <v>1929</v>
      </c>
      <c r="C252" s="1" t="s">
        <v>1930</v>
      </c>
      <c r="D252" s="1" t="s">
        <v>1931</v>
      </c>
      <c r="E252" s="1" t="s">
        <v>1932</v>
      </c>
      <c r="F252" s="1" t="s">
        <v>1933</v>
      </c>
      <c r="G252">
        <v>-22881</v>
      </c>
      <c r="H252">
        <v>-2601</v>
      </c>
      <c r="I252" s="1" t="s">
        <v>1934</v>
      </c>
      <c r="J252" s="1" t="s">
        <v>1935</v>
      </c>
      <c r="K252">
        <v>365243</v>
      </c>
      <c r="L252" s="1" t="s">
        <v>1936</v>
      </c>
    </row>
    <row r="253" spans="1:12" x14ac:dyDescent="0.25">
      <c r="A253">
        <v>251</v>
      </c>
      <c r="B253" s="1" t="s">
        <v>1937</v>
      </c>
      <c r="C253" s="1" t="s">
        <v>1938</v>
      </c>
      <c r="D253" s="1" t="s">
        <v>1939</v>
      </c>
      <c r="E253" s="1" t="s">
        <v>1940</v>
      </c>
      <c r="F253" s="1" t="s">
        <v>1941</v>
      </c>
      <c r="G253">
        <v>-13352</v>
      </c>
      <c r="H253">
        <v>-4500</v>
      </c>
      <c r="I253" s="1" t="s">
        <v>1942</v>
      </c>
      <c r="J253" s="1" t="s">
        <v>198</v>
      </c>
      <c r="K253">
        <v>-6095</v>
      </c>
      <c r="L253" s="1" t="s">
        <v>1943</v>
      </c>
    </row>
    <row r="254" spans="1:12" x14ac:dyDescent="0.25">
      <c r="A254">
        <v>252</v>
      </c>
      <c r="B254" s="1" t="s">
        <v>1944</v>
      </c>
      <c r="C254" s="1" t="s">
        <v>1945</v>
      </c>
      <c r="D254" s="1" t="s">
        <v>1946</v>
      </c>
      <c r="E254" s="1" t="s">
        <v>1947</v>
      </c>
      <c r="F254" s="1" t="s">
        <v>1948</v>
      </c>
      <c r="G254">
        <v>-8296</v>
      </c>
      <c r="H254">
        <v>-556</v>
      </c>
      <c r="I254" s="1" t="s">
        <v>1949</v>
      </c>
      <c r="J254" s="1" t="s">
        <v>1950</v>
      </c>
      <c r="K254">
        <v>-164</v>
      </c>
      <c r="L254" s="1" t="s">
        <v>1951</v>
      </c>
    </row>
    <row r="255" spans="1:12" x14ac:dyDescent="0.25">
      <c r="A255">
        <v>253</v>
      </c>
      <c r="B255" s="1" t="s">
        <v>1952</v>
      </c>
      <c r="C255" s="1" t="s">
        <v>1953</v>
      </c>
      <c r="D255" s="1" t="s">
        <v>110</v>
      </c>
      <c r="E255" s="1" t="s">
        <v>1954</v>
      </c>
      <c r="F255" s="1" t="s">
        <v>1955</v>
      </c>
      <c r="G255">
        <v>-17044</v>
      </c>
      <c r="H255">
        <v>-576</v>
      </c>
      <c r="I255" s="1" t="s">
        <v>1956</v>
      </c>
      <c r="J255" s="1" t="s">
        <v>1957</v>
      </c>
      <c r="K255">
        <v>-2187</v>
      </c>
      <c r="L255" s="1" t="s">
        <v>1958</v>
      </c>
    </row>
    <row r="256" spans="1:12" x14ac:dyDescent="0.25">
      <c r="A256">
        <v>254</v>
      </c>
      <c r="B256" s="1" t="s">
        <v>1959</v>
      </c>
      <c r="C256" s="1" t="s">
        <v>1960</v>
      </c>
      <c r="D256" s="1" t="s">
        <v>1961</v>
      </c>
      <c r="E256" s="1" t="s">
        <v>1962</v>
      </c>
      <c r="F256" s="1" t="s">
        <v>1963</v>
      </c>
      <c r="G256">
        <v>-9073</v>
      </c>
      <c r="H256">
        <v>-1751</v>
      </c>
      <c r="I256" s="1" t="s">
        <v>1964</v>
      </c>
      <c r="J256" s="1" t="s">
        <v>1965</v>
      </c>
      <c r="K256">
        <v>-1032</v>
      </c>
      <c r="L256" s="1" t="s">
        <v>1966</v>
      </c>
    </row>
    <row r="257" spans="1:12" x14ac:dyDescent="0.25">
      <c r="A257">
        <v>255</v>
      </c>
      <c r="B257" s="1" t="s">
        <v>1967</v>
      </c>
      <c r="C257" s="1" t="s">
        <v>1968</v>
      </c>
      <c r="D257" s="1" t="s">
        <v>54</v>
      </c>
      <c r="E257" s="1" t="s">
        <v>1969</v>
      </c>
      <c r="F257" s="1" t="s">
        <v>1970</v>
      </c>
      <c r="G257">
        <v>-13136</v>
      </c>
      <c r="H257">
        <v>-4088</v>
      </c>
      <c r="I257" s="1" t="s">
        <v>1971</v>
      </c>
      <c r="J257" s="1" t="s">
        <v>1972</v>
      </c>
      <c r="K257">
        <v>-5574</v>
      </c>
      <c r="L257" s="1" t="s">
        <v>1973</v>
      </c>
    </row>
    <row r="258" spans="1:12" x14ac:dyDescent="0.25">
      <c r="A258">
        <v>256</v>
      </c>
      <c r="B258" s="1" t="s">
        <v>1974</v>
      </c>
      <c r="C258" s="1" t="s">
        <v>1975</v>
      </c>
      <c r="D258" s="1" t="s">
        <v>1722</v>
      </c>
      <c r="E258" s="1" t="s">
        <v>1976</v>
      </c>
      <c r="F258" s="1" t="s">
        <v>1977</v>
      </c>
      <c r="G258">
        <v>-14209</v>
      </c>
      <c r="H258">
        <v>-605</v>
      </c>
      <c r="I258" s="1" t="s">
        <v>1978</v>
      </c>
      <c r="J258" s="1" t="s">
        <v>1979</v>
      </c>
      <c r="K258">
        <v>-2323</v>
      </c>
      <c r="L258" s="1" t="s">
        <v>1980</v>
      </c>
    </row>
    <row r="259" spans="1:12" x14ac:dyDescent="0.25">
      <c r="A259">
        <v>257</v>
      </c>
      <c r="B259" s="1" t="s">
        <v>1981</v>
      </c>
      <c r="C259" s="1" t="s">
        <v>1982</v>
      </c>
      <c r="D259" s="1" t="s">
        <v>1983</v>
      </c>
      <c r="E259" s="1" t="s">
        <v>1984</v>
      </c>
      <c r="F259" s="1" t="s">
        <v>1985</v>
      </c>
      <c r="G259">
        <v>-20739</v>
      </c>
      <c r="H259">
        <v>-4215</v>
      </c>
      <c r="I259" s="1" t="s">
        <v>1986</v>
      </c>
      <c r="J259" s="1" t="s">
        <v>1987</v>
      </c>
      <c r="K259">
        <v>365243</v>
      </c>
      <c r="L259" s="1" t="s">
        <v>1988</v>
      </c>
    </row>
    <row r="260" spans="1:12" x14ac:dyDescent="0.25">
      <c r="A260">
        <v>258</v>
      </c>
      <c r="B260" s="1" t="s">
        <v>1989</v>
      </c>
      <c r="C260" s="1" t="s">
        <v>1990</v>
      </c>
      <c r="D260" s="1" t="s">
        <v>1991</v>
      </c>
      <c r="E260" s="1" t="s">
        <v>1992</v>
      </c>
      <c r="F260" s="1" t="s">
        <v>1993</v>
      </c>
      <c r="G260">
        <v>-23906</v>
      </c>
      <c r="H260">
        <v>-4416</v>
      </c>
      <c r="I260" s="1" t="s">
        <v>1994</v>
      </c>
      <c r="J260" s="1" t="s">
        <v>1995</v>
      </c>
      <c r="K260">
        <v>365243</v>
      </c>
      <c r="L260" s="1" t="s">
        <v>1996</v>
      </c>
    </row>
    <row r="261" spans="1:12" x14ac:dyDescent="0.25">
      <c r="A261">
        <v>259</v>
      </c>
      <c r="B261" s="1" t="s">
        <v>1997</v>
      </c>
      <c r="C261" s="1" t="s">
        <v>1998</v>
      </c>
      <c r="D261" s="1" t="s">
        <v>1999</v>
      </c>
      <c r="E261" s="1" t="s">
        <v>2000</v>
      </c>
      <c r="F261" s="1" t="s">
        <v>2001</v>
      </c>
      <c r="G261">
        <v>-17790</v>
      </c>
      <c r="H261">
        <v>-1325</v>
      </c>
      <c r="I261" s="1" t="s">
        <v>2002</v>
      </c>
      <c r="J261" s="1" t="s">
        <v>198</v>
      </c>
      <c r="K261">
        <v>-4515</v>
      </c>
      <c r="L261" s="1" t="s">
        <v>1820</v>
      </c>
    </row>
    <row r="262" spans="1:12" x14ac:dyDescent="0.25">
      <c r="A262">
        <v>260</v>
      </c>
      <c r="B262" s="1" t="s">
        <v>2003</v>
      </c>
      <c r="C262" s="1" t="s">
        <v>2004</v>
      </c>
      <c r="D262" s="1" t="s">
        <v>2005</v>
      </c>
      <c r="E262" s="1" t="s">
        <v>2006</v>
      </c>
      <c r="F262" s="1" t="s">
        <v>2007</v>
      </c>
      <c r="G262">
        <v>-13063</v>
      </c>
      <c r="H262">
        <v>-4259</v>
      </c>
      <c r="I262" s="1" t="s">
        <v>2008</v>
      </c>
      <c r="J262" s="1" t="s">
        <v>2009</v>
      </c>
      <c r="K262">
        <v>-1661</v>
      </c>
      <c r="L262" s="1" t="s">
        <v>2010</v>
      </c>
    </row>
    <row r="263" spans="1:12" x14ac:dyDescent="0.25">
      <c r="A263">
        <v>261</v>
      </c>
      <c r="B263" s="1" t="s">
        <v>2011</v>
      </c>
      <c r="C263" s="1" t="s">
        <v>2012</v>
      </c>
      <c r="D263" s="1" t="s">
        <v>2013</v>
      </c>
      <c r="E263" s="1" t="s">
        <v>2014</v>
      </c>
      <c r="F263" s="1" t="s">
        <v>2015</v>
      </c>
      <c r="G263">
        <v>-14044</v>
      </c>
      <c r="H263">
        <v>-4384</v>
      </c>
      <c r="I263" s="1" t="s">
        <v>2016</v>
      </c>
      <c r="J263" s="1" t="s">
        <v>2017</v>
      </c>
      <c r="K263">
        <v>-2756</v>
      </c>
      <c r="L263" s="1" t="s">
        <v>2018</v>
      </c>
    </row>
    <row r="264" spans="1:12" x14ac:dyDescent="0.25">
      <c r="A264">
        <v>262</v>
      </c>
      <c r="B264" s="1" t="s">
        <v>2019</v>
      </c>
      <c r="C264" s="1" t="s">
        <v>2020</v>
      </c>
      <c r="D264" s="1" t="s">
        <v>2021</v>
      </c>
      <c r="E264" s="1" t="s">
        <v>2022</v>
      </c>
      <c r="F264" s="1" t="s">
        <v>2023</v>
      </c>
      <c r="G264">
        <v>-12916</v>
      </c>
      <c r="H264">
        <v>-5578</v>
      </c>
      <c r="I264" s="1" t="s">
        <v>2024</v>
      </c>
      <c r="J264" s="1" t="s">
        <v>2025</v>
      </c>
      <c r="K264">
        <v>-692</v>
      </c>
      <c r="L264" s="1" t="s">
        <v>2026</v>
      </c>
    </row>
    <row r="265" spans="1:12" x14ac:dyDescent="0.25">
      <c r="A265">
        <v>263</v>
      </c>
      <c r="B265" s="1" t="s">
        <v>2027</v>
      </c>
      <c r="C265" s="1" t="s">
        <v>2028</v>
      </c>
      <c r="D265" s="1" t="s">
        <v>110</v>
      </c>
      <c r="E265" s="1" t="s">
        <v>2029</v>
      </c>
      <c r="F265" s="1" t="s">
        <v>2030</v>
      </c>
      <c r="G265">
        <v>-23142</v>
      </c>
      <c r="H265">
        <v>-2023</v>
      </c>
      <c r="I265" s="1" t="s">
        <v>2031</v>
      </c>
      <c r="J265" s="1" t="s">
        <v>2032</v>
      </c>
      <c r="K265">
        <v>365243</v>
      </c>
      <c r="L265" s="1" t="s">
        <v>2033</v>
      </c>
    </row>
    <row r="266" spans="1:12" x14ac:dyDescent="0.25">
      <c r="A266">
        <v>264</v>
      </c>
      <c r="B266" s="1" t="s">
        <v>2034</v>
      </c>
      <c r="C266" s="1" t="s">
        <v>2035</v>
      </c>
      <c r="D266" s="1" t="s">
        <v>2036</v>
      </c>
      <c r="E266" s="1" t="s">
        <v>2037</v>
      </c>
      <c r="F266" s="1" t="s">
        <v>2038</v>
      </c>
      <c r="G266">
        <v>-11258</v>
      </c>
      <c r="H266">
        <v>-3675</v>
      </c>
      <c r="I266" s="1" t="s">
        <v>2039</v>
      </c>
      <c r="J266" s="1" t="s">
        <v>2040</v>
      </c>
      <c r="K266">
        <v>-790</v>
      </c>
      <c r="L266" s="1" t="s">
        <v>2041</v>
      </c>
    </row>
    <row r="267" spans="1:12" x14ac:dyDescent="0.25">
      <c r="A267">
        <v>265</v>
      </c>
      <c r="B267" s="1" t="s">
        <v>2042</v>
      </c>
      <c r="C267" s="1" t="s">
        <v>2043</v>
      </c>
      <c r="D267" s="1" t="s">
        <v>2044</v>
      </c>
      <c r="E267" s="1" t="s">
        <v>2045</v>
      </c>
      <c r="F267" s="1" t="s">
        <v>2046</v>
      </c>
      <c r="G267">
        <v>-22676</v>
      </c>
      <c r="H267">
        <v>-4377</v>
      </c>
      <c r="I267" s="1" t="s">
        <v>2047</v>
      </c>
      <c r="J267" s="1" t="s">
        <v>2048</v>
      </c>
      <c r="K267">
        <v>365243</v>
      </c>
      <c r="L267" s="1" t="s">
        <v>2049</v>
      </c>
    </row>
    <row r="268" spans="1:12" x14ac:dyDescent="0.25">
      <c r="A268">
        <v>266</v>
      </c>
      <c r="B268" s="1" t="s">
        <v>2050</v>
      </c>
      <c r="C268" s="1" t="s">
        <v>2051</v>
      </c>
      <c r="D268" s="1" t="s">
        <v>2052</v>
      </c>
      <c r="E268" s="1" t="s">
        <v>2053</v>
      </c>
      <c r="F268" s="1" t="s">
        <v>2054</v>
      </c>
      <c r="G268">
        <v>-12716</v>
      </c>
      <c r="H268">
        <v>-4202</v>
      </c>
      <c r="I268" s="1" t="s">
        <v>2055</v>
      </c>
      <c r="J268" s="1" t="s">
        <v>2056</v>
      </c>
      <c r="K268">
        <v>-393</v>
      </c>
      <c r="L268" s="1" t="s">
        <v>2057</v>
      </c>
    </row>
    <row r="269" spans="1:12" x14ac:dyDescent="0.25">
      <c r="A269">
        <v>267</v>
      </c>
      <c r="B269" s="1" t="s">
        <v>2058</v>
      </c>
      <c r="C269" s="1" t="s">
        <v>2059</v>
      </c>
      <c r="D269" s="1" t="s">
        <v>2060</v>
      </c>
      <c r="E269" s="1" t="s">
        <v>2061</v>
      </c>
      <c r="F269" s="1" t="s">
        <v>2062</v>
      </c>
      <c r="G269">
        <v>-19253</v>
      </c>
      <c r="H269">
        <v>-2807</v>
      </c>
      <c r="I269" s="1" t="s">
        <v>2063</v>
      </c>
      <c r="J269" s="1" t="s">
        <v>2064</v>
      </c>
      <c r="K269">
        <v>-8863</v>
      </c>
      <c r="L269" s="1" t="s">
        <v>2065</v>
      </c>
    </row>
    <row r="270" spans="1:12" x14ac:dyDescent="0.25">
      <c r="A270">
        <v>268</v>
      </c>
      <c r="B270" s="1" t="s">
        <v>2066</v>
      </c>
      <c r="C270" s="1" t="s">
        <v>2067</v>
      </c>
      <c r="D270" s="1" t="s">
        <v>2068</v>
      </c>
      <c r="E270" s="1" t="s">
        <v>2069</v>
      </c>
      <c r="F270" s="1" t="s">
        <v>2070</v>
      </c>
      <c r="G270">
        <v>-10880</v>
      </c>
      <c r="H270">
        <v>-3482</v>
      </c>
      <c r="I270" s="1" t="s">
        <v>2071</v>
      </c>
      <c r="J270" s="1" t="s">
        <v>2072</v>
      </c>
      <c r="K270">
        <v>-3237</v>
      </c>
      <c r="L270" s="1" t="s">
        <v>2073</v>
      </c>
    </row>
    <row r="271" spans="1:12" x14ac:dyDescent="0.25">
      <c r="A271">
        <v>269</v>
      </c>
      <c r="B271" s="1" t="s">
        <v>2074</v>
      </c>
      <c r="C271" s="1" t="s">
        <v>2075</v>
      </c>
      <c r="D271" s="1" t="s">
        <v>54</v>
      </c>
      <c r="E271" s="1" t="s">
        <v>2076</v>
      </c>
      <c r="F271" s="1" t="s">
        <v>2077</v>
      </c>
      <c r="G271">
        <v>-16137</v>
      </c>
      <c r="H271">
        <v>-3782</v>
      </c>
      <c r="I271" s="1" t="s">
        <v>2078</v>
      </c>
      <c r="J271" s="1" t="s">
        <v>2079</v>
      </c>
      <c r="K271">
        <v>-6619</v>
      </c>
      <c r="L271" s="1" t="s">
        <v>2080</v>
      </c>
    </row>
    <row r="272" spans="1:12" x14ac:dyDescent="0.25">
      <c r="A272">
        <v>270</v>
      </c>
      <c r="B272" s="1" t="s">
        <v>2081</v>
      </c>
      <c r="C272" s="1" t="s">
        <v>2082</v>
      </c>
      <c r="D272" s="1" t="s">
        <v>481</v>
      </c>
      <c r="E272" s="1" t="s">
        <v>2083</v>
      </c>
      <c r="F272" s="1" t="s">
        <v>2084</v>
      </c>
      <c r="G272">
        <v>-19223</v>
      </c>
      <c r="H272">
        <v>-2692</v>
      </c>
      <c r="I272" s="1" t="s">
        <v>2085</v>
      </c>
      <c r="J272" s="1" t="s">
        <v>198</v>
      </c>
      <c r="K272">
        <v>-3078</v>
      </c>
      <c r="L272" s="1" t="s">
        <v>1921</v>
      </c>
    </row>
    <row r="273" spans="1:12" x14ac:dyDescent="0.25">
      <c r="A273">
        <v>271</v>
      </c>
      <c r="B273" s="1" t="s">
        <v>2086</v>
      </c>
      <c r="C273" s="1" t="s">
        <v>2087</v>
      </c>
      <c r="D273" s="1" t="s">
        <v>2088</v>
      </c>
      <c r="E273" s="1" t="s">
        <v>2089</v>
      </c>
      <c r="F273" s="1" t="s">
        <v>2090</v>
      </c>
      <c r="G273">
        <v>-13216</v>
      </c>
      <c r="H273">
        <v>-3498</v>
      </c>
      <c r="I273" s="1" t="s">
        <v>2091</v>
      </c>
      <c r="J273" s="1" t="s">
        <v>2092</v>
      </c>
      <c r="K273">
        <v>-4762</v>
      </c>
      <c r="L273" s="1" t="s">
        <v>2093</v>
      </c>
    </row>
    <row r="274" spans="1:12" x14ac:dyDescent="0.25">
      <c r="A274">
        <v>272</v>
      </c>
      <c r="B274" s="1" t="s">
        <v>2094</v>
      </c>
      <c r="C274" s="1" t="s">
        <v>2095</v>
      </c>
      <c r="D274" s="1" t="s">
        <v>1170</v>
      </c>
      <c r="E274" s="1" t="s">
        <v>2096</v>
      </c>
      <c r="F274" s="1" t="s">
        <v>2097</v>
      </c>
      <c r="G274">
        <v>-17461</v>
      </c>
      <c r="H274">
        <v>-999</v>
      </c>
      <c r="I274" s="1" t="s">
        <v>2098</v>
      </c>
      <c r="J274" s="1" t="s">
        <v>2099</v>
      </c>
      <c r="K274">
        <v>-3372</v>
      </c>
      <c r="L274" s="1" t="s">
        <v>2100</v>
      </c>
    </row>
    <row r="275" spans="1:12" x14ac:dyDescent="0.25">
      <c r="A275">
        <v>273</v>
      </c>
      <c r="B275" s="1" t="s">
        <v>2101</v>
      </c>
      <c r="C275" s="1" t="s">
        <v>2102</v>
      </c>
      <c r="D275" s="1" t="s">
        <v>187</v>
      </c>
      <c r="E275" s="1" t="s">
        <v>2103</v>
      </c>
      <c r="F275" s="1" t="s">
        <v>2104</v>
      </c>
      <c r="G275">
        <v>-23955</v>
      </c>
      <c r="H275">
        <v>-4931</v>
      </c>
      <c r="I275" s="1" t="s">
        <v>2105</v>
      </c>
      <c r="J275" s="1" t="s">
        <v>2106</v>
      </c>
      <c r="K275">
        <v>365243</v>
      </c>
      <c r="L275" s="1" t="s">
        <v>2107</v>
      </c>
    </row>
    <row r="276" spans="1:12" x14ac:dyDescent="0.25">
      <c r="A276">
        <v>274</v>
      </c>
      <c r="B276" s="1" t="s">
        <v>2108</v>
      </c>
      <c r="C276" s="1" t="s">
        <v>2109</v>
      </c>
      <c r="D276" s="1" t="s">
        <v>264</v>
      </c>
      <c r="E276" s="1" t="s">
        <v>2110</v>
      </c>
      <c r="F276" s="1" t="s">
        <v>2111</v>
      </c>
      <c r="G276">
        <v>-10353</v>
      </c>
      <c r="H276">
        <v>-2978</v>
      </c>
      <c r="I276" s="1" t="s">
        <v>2112</v>
      </c>
      <c r="J276" s="1" t="s">
        <v>2113</v>
      </c>
      <c r="K276">
        <v>-1308</v>
      </c>
      <c r="L276" s="1" t="s">
        <v>2114</v>
      </c>
    </row>
    <row r="277" spans="1:12" x14ac:dyDescent="0.25">
      <c r="A277">
        <v>275</v>
      </c>
      <c r="B277" s="1" t="s">
        <v>2115</v>
      </c>
      <c r="C277" s="1" t="s">
        <v>2116</v>
      </c>
      <c r="D277" s="1" t="s">
        <v>54</v>
      </c>
      <c r="E277" s="1" t="s">
        <v>2117</v>
      </c>
      <c r="F277" s="1" t="s">
        <v>2118</v>
      </c>
      <c r="G277">
        <v>-13333</v>
      </c>
      <c r="H277">
        <v>-4411</v>
      </c>
      <c r="I277" s="1" t="s">
        <v>2119</v>
      </c>
      <c r="J277" s="1" t="s">
        <v>2120</v>
      </c>
      <c r="K277">
        <v>-1366</v>
      </c>
      <c r="L277" s="1" t="s">
        <v>2121</v>
      </c>
    </row>
    <row r="278" spans="1:12" x14ac:dyDescent="0.25">
      <c r="A278">
        <v>276</v>
      </c>
      <c r="B278" s="1" t="s">
        <v>2122</v>
      </c>
      <c r="C278" s="1" t="s">
        <v>2123</v>
      </c>
      <c r="D278" s="1" t="s">
        <v>2124</v>
      </c>
      <c r="E278" s="1" t="s">
        <v>2125</v>
      </c>
      <c r="F278" s="1" t="s">
        <v>2126</v>
      </c>
      <c r="G278">
        <v>-9332</v>
      </c>
      <c r="H278">
        <v>-1982</v>
      </c>
      <c r="I278" s="1" t="s">
        <v>2127</v>
      </c>
      <c r="J278" s="1" t="s">
        <v>2128</v>
      </c>
      <c r="K278">
        <v>-873</v>
      </c>
      <c r="L278" s="1" t="s">
        <v>2129</v>
      </c>
    </row>
    <row r="279" spans="1:12" x14ac:dyDescent="0.25">
      <c r="A279">
        <v>277</v>
      </c>
      <c r="B279" s="1" t="s">
        <v>2130</v>
      </c>
      <c r="C279" s="1" t="s">
        <v>2131</v>
      </c>
      <c r="D279" s="1" t="s">
        <v>2132</v>
      </c>
      <c r="E279" s="1" t="s">
        <v>2133</v>
      </c>
      <c r="F279" s="1" t="s">
        <v>2134</v>
      </c>
      <c r="G279">
        <v>-18244</v>
      </c>
      <c r="H279">
        <v>-1785</v>
      </c>
      <c r="I279" s="1" t="s">
        <v>2135</v>
      </c>
      <c r="J279" s="1" t="s">
        <v>2136</v>
      </c>
      <c r="K279">
        <v>-2419</v>
      </c>
      <c r="L279" s="1" t="s">
        <v>2137</v>
      </c>
    </row>
    <row r="280" spans="1:12" x14ac:dyDescent="0.25">
      <c r="A280">
        <v>278</v>
      </c>
      <c r="B280" s="1" t="s">
        <v>2138</v>
      </c>
      <c r="C280" s="1" t="s">
        <v>2139</v>
      </c>
      <c r="D280" s="1" t="s">
        <v>2140</v>
      </c>
      <c r="E280" s="1" t="s">
        <v>2141</v>
      </c>
      <c r="F280" s="1" t="s">
        <v>2142</v>
      </c>
      <c r="G280">
        <v>-23137</v>
      </c>
      <c r="H280">
        <v>-4316</v>
      </c>
      <c r="I280" s="1" t="s">
        <v>2143</v>
      </c>
      <c r="J280" s="1" t="s">
        <v>2144</v>
      </c>
      <c r="K280">
        <v>365243</v>
      </c>
      <c r="L280" s="1" t="s">
        <v>2145</v>
      </c>
    </row>
    <row r="281" spans="1:12" x14ac:dyDescent="0.25">
      <c r="A281">
        <v>279</v>
      </c>
      <c r="B281" s="1" t="s">
        <v>2146</v>
      </c>
      <c r="C281" s="1" t="s">
        <v>2147</v>
      </c>
      <c r="D281" s="1" t="s">
        <v>2148</v>
      </c>
      <c r="E281" s="1" t="s">
        <v>2149</v>
      </c>
      <c r="F281" s="1" t="s">
        <v>2150</v>
      </c>
      <c r="G281">
        <v>-18047</v>
      </c>
      <c r="H281">
        <v>-1601</v>
      </c>
      <c r="I281" s="1" t="s">
        <v>2151</v>
      </c>
      <c r="J281" s="1" t="s">
        <v>2152</v>
      </c>
      <c r="K281">
        <v>-2231</v>
      </c>
      <c r="L281" s="1" t="s">
        <v>2153</v>
      </c>
    </row>
    <row r="282" spans="1:12" x14ac:dyDescent="0.25">
      <c r="A282">
        <v>280</v>
      </c>
      <c r="B282" s="1" t="s">
        <v>2154</v>
      </c>
      <c r="C282" s="1" t="s">
        <v>2155</v>
      </c>
      <c r="D282" s="1" t="s">
        <v>1777</v>
      </c>
      <c r="E282" s="1" t="s">
        <v>2156</v>
      </c>
      <c r="F282" s="1" t="s">
        <v>2157</v>
      </c>
      <c r="G282">
        <v>-12285</v>
      </c>
      <c r="H282">
        <v>-4646</v>
      </c>
      <c r="I282" s="1" t="s">
        <v>2158</v>
      </c>
      <c r="J282" s="1" t="s">
        <v>2159</v>
      </c>
      <c r="K282">
        <v>-467</v>
      </c>
      <c r="L282" s="1" t="s">
        <v>2160</v>
      </c>
    </row>
    <row r="283" spans="1:12" x14ac:dyDescent="0.25">
      <c r="A283">
        <v>281</v>
      </c>
      <c r="B283" s="1" t="s">
        <v>2161</v>
      </c>
      <c r="C283" s="1" t="s">
        <v>2162</v>
      </c>
      <c r="D283" s="1" t="s">
        <v>2163</v>
      </c>
      <c r="E283" s="1" t="s">
        <v>2164</v>
      </c>
      <c r="F283" s="1" t="s">
        <v>2165</v>
      </c>
      <c r="G283">
        <v>-16973</v>
      </c>
      <c r="H283">
        <v>-505</v>
      </c>
      <c r="I283" s="1" t="s">
        <v>2166</v>
      </c>
      <c r="J283" s="1" t="s">
        <v>1541</v>
      </c>
      <c r="K283">
        <v>-4152</v>
      </c>
      <c r="L283" s="1" t="s">
        <v>2167</v>
      </c>
    </row>
    <row r="284" spans="1:12" x14ac:dyDescent="0.25">
      <c r="A284">
        <v>282</v>
      </c>
      <c r="B284" s="1" t="s">
        <v>2168</v>
      </c>
      <c r="C284" s="1" t="s">
        <v>2169</v>
      </c>
      <c r="D284" s="1" t="s">
        <v>2170</v>
      </c>
      <c r="E284" s="1" t="s">
        <v>2171</v>
      </c>
      <c r="F284" s="1" t="s">
        <v>2172</v>
      </c>
      <c r="G284">
        <v>-14769</v>
      </c>
      <c r="H284">
        <v>-293</v>
      </c>
      <c r="I284" s="1" t="s">
        <v>1740</v>
      </c>
      <c r="J284" s="1" t="s">
        <v>2173</v>
      </c>
      <c r="K284">
        <v>-140</v>
      </c>
      <c r="L284" s="1" t="s">
        <v>2174</v>
      </c>
    </row>
    <row r="285" spans="1:12" x14ac:dyDescent="0.25">
      <c r="A285">
        <v>283</v>
      </c>
      <c r="B285" s="1" t="s">
        <v>2175</v>
      </c>
      <c r="C285" s="1" t="s">
        <v>2176</v>
      </c>
      <c r="D285" s="1" t="s">
        <v>2177</v>
      </c>
      <c r="E285" s="1" t="s">
        <v>2178</v>
      </c>
      <c r="F285" s="1" t="s">
        <v>2179</v>
      </c>
      <c r="G285">
        <v>-9974</v>
      </c>
      <c r="H285">
        <v>-2643</v>
      </c>
      <c r="I285" s="1" t="s">
        <v>2180</v>
      </c>
      <c r="J285" s="1" t="s">
        <v>184</v>
      </c>
      <c r="K285">
        <v>-116</v>
      </c>
      <c r="L285" s="1" t="s">
        <v>731</v>
      </c>
    </row>
    <row r="286" spans="1:12" x14ac:dyDescent="0.25">
      <c r="A286">
        <v>284</v>
      </c>
      <c r="B286" s="1" t="s">
        <v>2181</v>
      </c>
      <c r="C286" s="1" t="s">
        <v>2182</v>
      </c>
      <c r="D286" s="1" t="s">
        <v>2183</v>
      </c>
      <c r="E286" s="1" t="s">
        <v>2184</v>
      </c>
      <c r="F286" s="1" t="s">
        <v>2185</v>
      </c>
      <c r="G286">
        <v>-19294</v>
      </c>
      <c r="H286">
        <v>-2840</v>
      </c>
      <c r="I286" s="1" t="s">
        <v>2186</v>
      </c>
      <c r="J286" s="1" t="s">
        <v>2187</v>
      </c>
      <c r="K286">
        <v>365243</v>
      </c>
      <c r="L286" s="1" t="s">
        <v>2188</v>
      </c>
    </row>
    <row r="287" spans="1:12" x14ac:dyDescent="0.25">
      <c r="A287">
        <v>285</v>
      </c>
      <c r="B287" s="1" t="s">
        <v>2189</v>
      </c>
      <c r="C287" s="1" t="s">
        <v>2190</v>
      </c>
      <c r="D287" s="1" t="s">
        <v>1553</v>
      </c>
      <c r="E287" s="1" t="s">
        <v>2191</v>
      </c>
      <c r="F287" s="1" t="s">
        <v>2192</v>
      </c>
      <c r="G287">
        <v>-22239</v>
      </c>
      <c r="H287">
        <v>-4333</v>
      </c>
      <c r="I287" s="1" t="s">
        <v>2193</v>
      </c>
      <c r="J287" s="1" t="s">
        <v>2194</v>
      </c>
      <c r="K287">
        <v>365243</v>
      </c>
      <c r="L287" s="1" t="s">
        <v>2195</v>
      </c>
    </row>
    <row r="288" spans="1:12" x14ac:dyDescent="0.25">
      <c r="A288">
        <v>286</v>
      </c>
      <c r="B288" s="1" t="s">
        <v>2196</v>
      </c>
      <c r="C288" s="1" t="s">
        <v>2197</v>
      </c>
      <c r="D288" s="1" t="s">
        <v>1186</v>
      </c>
      <c r="E288" s="1" t="s">
        <v>2198</v>
      </c>
      <c r="F288" s="1" t="s">
        <v>2199</v>
      </c>
      <c r="G288">
        <v>-23672</v>
      </c>
      <c r="H288">
        <v>-4197</v>
      </c>
      <c r="I288" s="1" t="s">
        <v>2200</v>
      </c>
      <c r="J288" s="1" t="s">
        <v>2201</v>
      </c>
      <c r="K288">
        <v>365243</v>
      </c>
      <c r="L288" s="1" t="s">
        <v>2202</v>
      </c>
    </row>
    <row r="289" spans="1:12" x14ac:dyDescent="0.25">
      <c r="A289">
        <v>287</v>
      </c>
      <c r="B289" s="1" t="s">
        <v>2203</v>
      </c>
      <c r="C289" s="1" t="s">
        <v>2204</v>
      </c>
      <c r="D289" s="1" t="s">
        <v>846</v>
      </c>
      <c r="E289" s="1" t="s">
        <v>2205</v>
      </c>
      <c r="F289" s="1" t="s">
        <v>2206</v>
      </c>
      <c r="G289">
        <v>-11171</v>
      </c>
      <c r="H289">
        <v>-3776</v>
      </c>
      <c r="I289" s="1" t="s">
        <v>2207</v>
      </c>
      <c r="J289" s="1" t="s">
        <v>2208</v>
      </c>
      <c r="K289">
        <v>-2857</v>
      </c>
      <c r="L289" s="1" t="s">
        <v>2209</v>
      </c>
    </row>
    <row r="290" spans="1:12" x14ac:dyDescent="0.25">
      <c r="A290">
        <v>288</v>
      </c>
      <c r="B290" s="1" t="s">
        <v>2210</v>
      </c>
      <c r="C290" s="1" t="s">
        <v>2211</v>
      </c>
      <c r="D290" s="1" t="s">
        <v>589</v>
      </c>
      <c r="E290" s="1" t="s">
        <v>2212</v>
      </c>
      <c r="F290" s="1" t="s">
        <v>2213</v>
      </c>
      <c r="G290">
        <v>-19534</v>
      </c>
      <c r="H290">
        <v>-3072</v>
      </c>
      <c r="I290" s="1" t="s">
        <v>2214</v>
      </c>
      <c r="J290" s="1" t="s">
        <v>2215</v>
      </c>
      <c r="K290">
        <v>365243</v>
      </c>
      <c r="L290" s="1" t="s">
        <v>2216</v>
      </c>
    </row>
    <row r="291" spans="1:12" x14ac:dyDescent="0.25">
      <c r="A291">
        <v>289</v>
      </c>
      <c r="B291" s="1" t="s">
        <v>2217</v>
      </c>
      <c r="C291" s="1" t="s">
        <v>2218</v>
      </c>
      <c r="D291" s="1" t="s">
        <v>2219</v>
      </c>
      <c r="E291" s="1" t="s">
        <v>2220</v>
      </c>
      <c r="F291" s="1" t="s">
        <v>2221</v>
      </c>
      <c r="G291">
        <v>-19651</v>
      </c>
      <c r="H291">
        <v>-2052</v>
      </c>
      <c r="I291" s="1" t="s">
        <v>2222</v>
      </c>
      <c r="J291" s="1" t="s">
        <v>2223</v>
      </c>
      <c r="K291">
        <v>365243</v>
      </c>
      <c r="L291" s="1" t="s">
        <v>2224</v>
      </c>
    </row>
    <row r="292" spans="1:12" x14ac:dyDescent="0.25">
      <c r="A292">
        <v>290</v>
      </c>
      <c r="B292" s="1" t="s">
        <v>2225</v>
      </c>
      <c r="C292" s="1" t="s">
        <v>2226</v>
      </c>
      <c r="D292" s="1" t="s">
        <v>2227</v>
      </c>
      <c r="E292" s="1" t="s">
        <v>2228</v>
      </c>
      <c r="F292" s="1" t="s">
        <v>2229</v>
      </c>
      <c r="G292">
        <v>-18126</v>
      </c>
      <c r="H292">
        <v>-1640</v>
      </c>
      <c r="I292" s="1" t="s">
        <v>2230</v>
      </c>
      <c r="J292" s="1" t="s">
        <v>2231</v>
      </c>
      <c r="K292">
        <v>-1611</v>
      </c>
      <c r="L292" s="1" t="s">
        <v>2232</v>
      </c>
    </row>
    <row r="293" spans="1:12" x14ac:dyDescent="0.25">
      <c r="A293">
        <v>291</v>
      </c>
      <c r="B293" s="1" t="s">
        <v>2233</v>
      </c>
      <c r="C293" s="1" t="s">
        <v>2234</v>
      </c>
      <c r="D293" s="1" t="s">
        <v>110</v>
      </c>
      <c r="E293" s="1" t="s">
        <v>2235</v>
      </c>
      <c r="F293" s="1" t="s">
        <v>2236</v>
      </c>
      <c r="G293">
        <v>-18164</v>
      </c>
      <c r="H293">
        <v>-1618</v>
      </c>
      <c r="I293" s="1" t="s">
        <v>2237</v>
      </c>
      <c r="J293" s="1" t="s">
        <v>2238</v>
      </c>
      <c r="K293">
        <v>-865</v>
      </c>
      <c r="L293" s="1" t="s">
        <v>2239</v>
      </c>
    </row>
    <row r="294" spans="1:12" x14ac:dyDescent="0.25">
      <c r="A294">
        <v>292</v>
      </c>
      <c r="B294" s="1" t="s">
        <v>2240</v>
      </c>
      <c r="C294" s="1" t="s">
        <v>2241</v>
      </c>
      <c r="D294" s="1" t="s">
        <v>2242</v>
      </c>
      <c r="E294" s="1" t="s">
        <v>2243</v>
      </c>
      <c r="F294" s="1" t="s">
        <v>2244</v>
      </c>
      <c r="G294">
        <v>-14313</v>
      </c>
      <c r="H294">
        <v>-4287</v>
      </c>
      <c r="I294" s="1" t="s">
        <v>2245</v>
      </c>
      <c r="J294" s="1" t="s">
        <v>2246</v>
      </c>
      <c r="K294">
        <v>-3781</v>
      </c>
      <c r="L294" s="1" t="s">
        <v>2247</v>
      </c>
    </row>
    <row r="295" spans="1:12" x14ac:dyDescent="0.25">
      <c r="A295">
        <v>293</v>
      </c>
      <c r="B295" s="1" t="s">
        <v>2248</v>
      </c>
      <c r="C295" s="1" t="s">
        <v>2249</v>
      </c>
      <c r="D295" s="1" t="s">
        <v>54</v>
      </c>
      <c r="E295" s="1" t="s">
        <v>2250</v>
      </c>
      <c r="F295" s="1" t="s">
        <v>2251</v>
      </c>
      <c r="G295">
        <v>-9326</v>
      </c>
      <c r="H295">
        <v>-2013</v>
      </c>
      <c r="I295" s="1" t="s">
        <v>2252</v>
      </c>
      <c r="J295" s="1" t="s">
        <v>198</v>
      </c>
      <c r="K295">
        <v>-379</v>
      </c>
      <c r="L295" s="1" t="s">
        <v>1921</v>
      </c>
    </row>
    <row r="296" spans="1:12" x14ac:dyDescent="0.25">
      <c r="A296">
        <v>294</v>
      </c>
      <c r="B296" s="1" t="s">
        <v>2253</v>
      </c>
      <c r="C296" s="1" t="s">
        <v>2254</v>
      </c>
      <c r="D296" s="1" t="s">
        <v>1475</v>
      </c>
      <c r="E296" s="1" t="s">
        <v>2255</v>
      </c>
      <c r="F296" s="1" t="s">
        <v>2256</v>
      </c>
      <c r="G296">
        <v>-18636</v>
      </c>
      <c r="H296">
        <v>-2196</v>
      </c>
      <c r="I296" s="1" t="s">
        <v>2257</v>
      </c>
      <c r="J296" s="1" t="s">
        <v>2258</v>
      </c>
      <c r="K296">
        <v>-1505</v>
      </c>
      <c r="L296" s="1" t="s">
        <v>2259</v>
      </c>
    </row>
    <row r="297" spans="1:12" x14ac:dyDescent="0.25">
      <c r="A297">
        <v>295</v>
      </c>
      <c r="B297" s="1" t="s">
        <v>2260</v>
      </c>
      <c r="C297" s="1" t="s">
        <v>2261</v>
      </c>
      <c r="D297" s="1" t="s">
        <v>54</v>
      </c>
      <c r="E297" s="1" t="s">
        <v>2262</v>
      </c>
      <c r="F297" s="1" t="s">
        <v>2263</v>
      </c>
      <c r="G297">
        <v>-16895</v>
      </c>
      <c r="H297">
        <v>-449</v>
      </c>
      <c r="I297" s="1" t="s">
        <v>2264</v>
      </c>
      <c r="J297" s="1" t="s">
        <v>2265</v>
      </c>
      <c r="K297">
        <v>-679</v>
      </c>
      <c r="L297" s="1" t="s">
        <v>2266</v>
      </c>
    </row>
    <row r="298" spans="1:12" x14ac:dyDescent="0.25">
      <c r="A298">
        <v>296</v>
      </c>
      <c r="B298" s="1" t="s">
        <v>2267</v>
      </c>
      <c r="C298" s="1" t="s">
        <v>2268</v>
      </c>
      <c r="D298" s="1" t="s">
        <v>2269</v>
      </c>
      <c r="E298" s="1" t="s">
        <v>2270</v>
      </c>
      <c r="F298" s="1" t="s">
        <v>2271</v>
      </c>
      <c r="G298">
        <v>-19504</v>
      </c>
      <c r="H298">
        <v>-2759</v>
      </c>
      <c r="I298" s="1" t="s">
        <v>1532</v>
      </c>
      <c r="J298" s="1" t="s">
        <v>1533</v>
      </c>
      <c r="K298">
        <v>-12233</v>
      </c>
      <c r="L298" s="1" t="s">
        <v>1534</v>
      </c>
    </row>
    <row r="299" spans="1:12" x14ac:dyDescent="0.25">
      <c r="A299">
        <v>297</v>
      </c>
      <c r="B299" s="1" t="s">
        <v>2272</v>
      </c>
      <c r="C299" s="1" t="s">
        <v>2273</v>
      </c>
      <c r="D299" s="1" t="s">
        <v>2274</v>
      </c>
      <c r="E299" s="1" t="s">
        <v>2275</v>
      </c>
      <c r="F299" s="1" t="s">
        <v>2276</v>
      </c>
      <c r="G299">
        <v>-14432</v>
      </c>
      <c r="H299">
        <v>-4112</v>
      </c>
      <c r="I299" s="1" t="s">
        <v>2277</v>
      </c>
      <c r="J299" s="1" t="s">
        <v>198</v>
      </c>
      <c r="K299">
        <v>-2728</v>
      </c>
      <c r="L299" s="1" t="s">
        <v>1495</v>
      </c>
    </row>
    <row r="300" spans="1:12" x14ac:dyDescent="0.25">
      <c r="A300">
        <v>298</v>
      </c>
      <c r="B300" s="1" t="s">
        <v>2278</v>
      </c>
      <c r="C300" s="1" t="s">
        <v>2279</v>
      </c>
      <c r="D300" s="1" t="s">
        <v>1239</v>
      </c>
      <c r="E300" s="1" t="s">
        <v>2280</v>
      </c>
      <c r="F300" s="1" t="s">
        <v>2281</v>
      </c>
      <c r="G300">
        <v>-11050</v>
      </c>
      <c r="H300">
        <v>-1845</v>
      </c>
      <c r="I300" s="1" t="s">
        <v>2282</v>
      </c>
      <c r="J300" s="1" t="s">
        <v>2283</v>
      </c>
      <c r="K300">
        <v>-650</v>
      </c>
      <c r="L300" s="1" t="s">
        <v>2284</v>
      </c>
    </row>
    <row r="301" spans="1:12" x14ac:dyDescent="0.25">
      <c r="A301">
        <v>299</v>
      </c>
      <c r="B301" s="1" t="s">
        <v>2285</v>
      </c>
      <c r="C301" s="1" t="s">
        <v>2286</v>
      </c>
      <c r="D301" s="1" t="s">
        <v>2287</v>
      </c>
      <c r="E301" s="1" t="s">
        <v>2288</v>
      </c>
      <c r="F301" s="1" t="s">
        <v>2289</v>
      </c>
      <c r="G301">
        <v>-17735</v>
      </c>
      <c r="H301">
        <v>-1289</v>
      </c>
      <c r="I301" s="1" t="s">
        <v>2290</v>
      </c>
      <c r="J301" s="1" t="s">
        <v>2291</v>
      </c>
      <c r="K301">
        <v>-1739</v>
      </c>
      <c r="L301" s="1" t="s">
        <v>2292</v>
      </c>
    </row>
    <row r="302" spans="1:12" x14ac:dyDescent="0.25">
      <c r="A302">
        <v>300</v>
      </c>
      <c r="B302" s="1" t="s">
        <v>2293</v>
      </c>
      <c r="C302" s="1" t="s">
        <v>2294</v>
      </c>
      <c r="D302" s="1" t="s">
        <v>2295</v>
      </c>
      <c r="E302" s="1" t="s">
        <v>2296</v>
      </c>
      <c r="F302" s="1" t="s">
        <v>2297</v>
      </c>
      <c r="G302">
        <v>-21517</v>
      </c>
      <c r="H302">
        <v>-4830</v>
      </c>
      <c r="I302" s="1" t="s">
        <v>2298</v>
      </c>
      <c r="J302" s="1" t="s">
        <v>2299</v>
      </c>
      <c r="K302">
        <v>365243</v>
      </c>
      <c r="L302" s="1" t="s">
        <v>2300</v>
      </c>
    </row>
    <row r="303" spans="1:12" x14ac:dyDescent="0.25">
      <c r="A303">
        <v>301</v>
      </c>
      <c r="B303" s="1" t="s">
        <v>2301</v>
      </c>
      <c r="C303" s="1" t="s">
        <v>2302</v>
      </c>
      <c r="D303" s="1" t="s">
        <v>229</v>
      </c>
      <c r="E303" s="1" t="s">
        <v>2303</v>
      </c>
      <c r="F303" s="1" t="s">
        <v>2304</v>
      </c>
      <c r="G303">
        <v>-14134</v>
      </c>
      <c r="H303">
        <v>-4392</v>
      </c>
      <c r="I303" s="1" t="s">
        <v>2305</v>
      </c>
      <c r="J303" s="1" t="s">
        <v>2306</v>
      </c>
      <c r="K303">
        <v>-2327</v>
      </c>
      <c r="L303" s="1" t="s">
        <v>2307</v>
      </c>
    </row>
    <row r="304" spans="1:12" x14ac:dyDescent="0.25">
      <c r="A304">
        <v>302</v>
      </c>
      <c r="B304" s="1" t="s">
        <v>2308</v>
      </c>
      <c r="C304" s="1" t="s">
        <v>2309</v>
      </c>
      <c r="D304" s="1" t="s">
        <v>2310</v>
      </c>
      <c r="E304" s="1" t="s">
        <v>2311</v>
      </c>
      <c r="F304" s="1" t="s">
        <v>2312</v>
      </c>
      <c r="G304">
        <v>-10398</v>
      </c>
      <c r="H304">
        <v>-2955</v>
      </c>
      <c r="I304" s="1" t="s">
        <v>2313</v>
      </c>
      <c r="J304" s="1" t="s">
        <v>1308</v>
      </c>
      <c r="K304">
        <v>-872</v>
      </c>
      <c r="L304" s="1" t="s">
        <v>1309</v>
      </c>
    </row>
    <row r="305" spans="1:12" x14ac:dyDescent="0.25">
      <c r="A305">
        <v>303</v>
      </c>
      <c r="B305" s="1" t="s">
        <v>2314</v>
      </c>
      <c r="C305" s="1" t="s">
        <v>2315</v>
      </c>
      <c r="D305" s="1" t="s">
        <v>180</v>
      </c>
      <c r="E305" s="1" t="s">
        <v>2316</v>
      </c>
      <c r="F305" s="1" t="s">
        <v>2317</v>
      </c>
      <c r="G305">
        <v>-12147</v>
      </c>
      <c r="H305">
        <v>-3548</v>
      </c>
      <c r="I305" s="1" t="s">
        <v>2318</v>
      </c>
      <c r="J305" s="1" t="s">
        <v>2319</v>
      </c>
      <c r="K305">
        <v>-1289</v>
      </c>
      <c r="L305" s="1" t="s">
        <v>2320</v>
      </c>
    </row>
    <row r="306" spans="1:12" x14ac:dyDescent="0.25">
      <c r="A306">
        <v>304</v>
      </c>
      <c r="B306" s="1" t="s">
        <v>2321</v>
      </c>
      <c r="C306" s="1" t="s">
        <v>2322</v>
      </c>
      <c r="D306" s="1" t="s">
        <v>1409</v>
      </c>
      <c r="E306" s="1" t="s">
        <v>2323</v>
      </c>
      <c r="F306" s="1" t="s">
        <v>98</v>
      </c>
      <c r="G306">
        <v>-12327</v>
      </c>
      <c r="H306">
        <v>-4067</v>
      </c>
      <c r="I306" s="1" t="s">
        <v>2324</v>
      </c>
      <c r="J306" s="1" t="s">
        <v>2325</v>
      </c>
      <c r="K306">
        <v>-1374</v>
      </c>
      <c r="L306" s="1" t="s">
        <v>2326</v>
      </c>
    </row>
    <row r="307" spans="1:12" x14ac:dyDescent="0.25">
      <c r="A307">
        <v>305</v>
      </c>
      <c r="B307" s="1" t="s">
        <v>2327</v>
      </c>
      <c r="C307" s="1" t="s">
        <v>2328</v>
      </c>
      <c r="D307" s="1" t="s">
        <v>2183</v>
      </c>
      <c r="E307" s="1" t="s">
        <v>2014</v>
      </c>
      <c r="F307" s="1" t="s">
        <v>2329</v>
      </c>
      <c r="G307">
        <v>-22104</v>
      </c>
      <c r="H307">
        <v>-4155</v>
      </c>
      <c r="I307" s="1" t="s">
        <v>2330</v>
      </c>
      <c r="J307" s="1" t="s">
        <v>2331</v>
      </c>
      <c r="K307">
        <v>365243</v>
      </c>
      <c r="L307" s="1" t="s">
        <v>2332</v>
      </c>
    </row>
    <row r="308" spans="1:12" x14ac:dyDescent="0.25">
      <c r="A308">
        <v>306</v>
      </c>
      <c r="B308" s="1" t="s">
        <v>2333</v>
      </c>
      <c r="C308" s="1" t="s">
        <v>2334</v>
      </c>
      <c r="D308" s="1" t="s">
        <v>2335</v>
      </c>
      <c r="E308" s="1" t="s">
        <v>2336</v>
      </c>
      <c r="F308" s="1" t="s">
        <v>2337</v>
      </c>
      <c r="G308">
        <v>-19652</v>
      </c>
      <c r="H308">
        <v>-3185</v>
      </c>
      <c r="I308" s="1" t="s">
        <v>2338</v>
      </c>
      <c r="J308" s="1" t="s">
        <v>2339</v>
      </c>
      <c r="K308">
        <v>-10469</v>
      </c>
      <c r="L308" s="1" t="s">
        <v>2340</v>
      </c>
    </row>
    <row r="309" spans="1:12" x14ac:dyDescent="0.25">
      <c r="A309">
        <v>307</v>
      </c>
      <c r="B309" s="1" t="s">
        <v>2341</v>
      </c>
      <c r="C309" s="1" t="s">
        <v>2342</v>
      </c>
      <c r="D309" s="1" t="s">
        <v>1737</v>
      </c>
      <c r="E309" s="1" t="s">
        <v>2343</v>
      </c>
      <c r="F309" s="1" t="s">
        <v>2344</v>
      </c>
      <c r="G309">
        <v>-15278</v>
      </c>
      <c r="H309">
        <v>-4170</v>
      </c>
      <c r="I309" s="1" t="s">
        <v>2345</v>
      </c>
      <c r="J309" s="1" t="s">
        <v>2346</v>
      </c>
      <c r="K309">
        <v>-1081</v>
      </c>
      <c r="L309" s="1" t="s">
        <v>2347</v>
      </c>
    </row>
    <row r="310" spans="1:12" x14ac:dyDescent="0.25">
      <c r="A310">
        <v>308</v>
      </c>
      <c r="B310" s="1" t="s">
        <v>2348</v>
      </c>
      <c r="C310" s="1" t="s">
        <v>2349</v>
      </c>
      <c r="D310" s="1" t="s">
        <v>368</v>
      </c>
      <c r="E310" s="1" t="s">
        <v>2350</v>
      </c>
      <c r="F310" s="1" t="s">
        <v>2351</v>
      </c>
      <c r="G310">
        <v>-21582</v>
      </c>
      <c r="H310">
        <v>-3915</v>
      </c>
      <c r="I310" s="1" t="s">
        <v>2352</v>
      </c>
      <c r="J310" s="1" t="s">
        <v>2353</v>
      </c>
      <c r="K310">
        <v>365243</v>
      </c>
      <c r="L310" s="1" t="s">
        <v>2354</v>
      </c>
    </row>
    <row r="311" spans="1:12" x14ac:dyDescent="0.25">
      <c r="A311">
        <v>309</v>
      </c>
      <c r="B311" s="1" t="s">
        <v>2355</v>
      </c>
      <c r="C311" s="1" t="s">
        <v>2356</v>
      </c>
      <c r="D311" s="1" t="s">
        <v>2357</v>
      </c>
      <c r="E311" s="1" t="s">
        <v>2358</v>
      </c>
      <c r="F311" s="1" t="s">
        <v>2359</v>
      </c>
      <c r="G311">
        <v>-13806</v>
      </c>
      <c r="H311">
        <v>-2079</v>
      </c>
      <c r="I311" s="1" t="s">
        <v>2360</v>
      </c>
      <c r="J311" s="1" t="s">
        <v>701</v>
      </c>
      <c r="K311">
        <v>-1941</v>
      </c>
      <c r="L311" s="1" t="s">
        <v>806</v>
      </c>
    </row>
    <row r="312" spans="1:12" x14ac:dyDescent="0.25">
      <c r="A312">
        <v>310</v>
      </c>
      <c r="B312" s="1" t="s">
        <v>2361</v>
      </c>
      <c r="C312" s="1" t="s">
        <v>2362</v>
      </c>
      <c r="D312" s="1" t="s">
        <v>54</v>
      </c>
      <c r="E312" s="1" t="s">
        <v>2363</v>
      </c>
      <c r="F312" s="1" t="s">
        <v>2364</v>
      </c>
      <c r="G312">
        <v>-9253</v>
      </c>
      <c r="H312">
        <v>-1912</v>
      </c>
      <c r="I312" s="1" t="s">
        <v>2365</v>
      </c>
      <c r="J312" s="1" t="s">
        <v>2366</v>
      </c>
      <c r="K312">
        <v>-436</v>
      </c>
      <c r="L312" s="1" t="s">
        <v>2367</v>
      </c>
    </row>
    <row r="313" spans="1:12" x14ac:dyDescent="0.25">
      <c r="A313">
        <v>311</v>
      </c>
      <c r="B313" s="1" t="s">
        <v>2368</v>
      </c>
      <c r="C313" s="1" t="s">
        <v>2369</v>
      </c>
      <c r="D313" s="1" t="s">
        <v>187</v>
      </c>
      <c r="E313" s="1" t="s">
        <v>2370</v>
      </c>
      <c r="F313" s="1" t="s">
        <v>2371</v>
      </c>
      <c r="G313">
        <v>-23653</v>
      </c>
      <c r="H313">
        <v>-2476</v>
      </c>
      <c r="I313" s="1" t="s">
        <v>2372</v>
      </c>
      <c r="J313" s="1" t="s">
        <v>2373</v>
      </c>
      <c r="K313">
        <v>365243</v>
      </c>
      <c r="L313" s="1" t="s">
        <v>2374</v>
      </c>
    </row>
    <row r="314" spans="1:12" x14ac:dyDescent="0.25">
      <c r="A314">
        <v>312</v>
      </c>
      <c r="B314" s="1" t="s">
        <v>2375</v>
      </c>
      <c r="C314" s="1" t="s">
        <v>2376</v>
      </c>
      <c r="D314" s="1" t="s">
        <v>82</v>
      </c>
      <c r="E314" s="1" t="s">
        <v>2377</v>
      </c>
      <c r="F314" s="1" t="s">
        <v>2378</v>
      </c>
      <c r="G314">
        <v>-12830</v>
      </c>
      <c r="H314">
        <v>-4340</v>
      </c>
      <c r="I314" s="1" t="s">
        <v>2379</v>
      </c>
      <c r="J314" s="1" t="s">
        <v>2380</v>
      </c>
      <c r="K314">
        <v>-1593</v>
      </c>
      <c r="L314" s="1" t="s">
        <v>2381</v>
      </c>
    </row>
    <row r="315" spans="1:12" x14ac:dyDescent="0.25">
      <c r="A315">
        <v>313</v>
      </c>
      <c r="B315" s="1" t="s">
        <v>2382</v>
      </c>
      <c r="C315" s="1" t="s">
        <v>2383</v>
      </c>
      <c r="D315" s="1" t="s">
        <v>2384</v>
      </c>
      <c r="E315" s="1" t="s">
        <v>2385</v>
      </c>
      <c r="F315" s="1" t="s">
        <v>2386</v>
      </c>
      <c r="G315">
        <v>-18255</v>
      </c>
      <c r="H315">
        <v>-1789</v>
      </c>
      <c r="I315" s="1" t="s">
        <v>2387</v>
      </c>
      <c r="J315" s="1" t="s">
        <v>2388</v>
      </c>
      <c r="K315">
        <v>-2922</v>
      </c>
      <c r="L315" s="1" t="s">
        <v>2389</v>
      </c>
    </row>
    <row r="316" spans="1:12" x14ac:dyDescent="0.25">
      <c r="A316">
        <v>314</v>
      </c>
      <c r="B316" s="1" t="s">
        <v>2390</v>
      </c>
      <c r="C316" s="1" t="s">
        <v>2391</v>
      </c>
      <c r="D316" s="1" t="s">
        <v>54</v>
      </c>
      <c r="E316" s="1" t="s">
        <v>2392</v>
      </c>
      <c r="F316" s="1" t="s">
        <v>2393</v>
      </c>
      <c r="G316">
        <v>-9610</v>
      </c>
      <c r="H316">
        <v>-777</v>
      </c>
      <c r="I316" s="1" t="s">
        <v>2394</v>
      </c>
      <c r="J316" s="1" t="s">
        <v>2395</v>
      </c>
      <c r="K316">
        <v>-801</v>
      </c>
      <c r="L316" s="1" t="s">
        <v>2396</v>
      </c>
    </row>
    <row r="317" spans="1:12" x14ac:dyDescent="0.25">
      <c r="A317">
        <v>315</v>
      </c>
      <c r="B317" s="1" t="s">
        <v>2397</v>
      </c>
      <c r="C317" s="1" t="s">
        <v>2398</v>
      </c>
      <c r="D317" s="1" t="s">
        <v>54</v>
      </c>
      <c r="E317" s="1" t="s">
        <v>2399</v>
      </c>
      <c r="F317" s="1" t="s">
        <v>2400</v>
      </c>
      <c r="G317">
        <v>-13023</v>
      </c>
      <c r="H317">
        <v>-3905</v>
      </c>
      <c r="I317" s="1" t="s">
        <v>2401</v>
      </c>
      <c r="J317" s="1" t="s">
        <v>2402</v>
      </c>
      <c r="K317">
        <v>-1853</v>
      </c>
      <c r="L317" s="1" t="s">
        <v>2403</v>
      </c>
    </row>
    <row r="318" spans="1:12" x14ac:dyDescent="0.25">
      <c r="A318">
        <v>316</v>
      </c>
      <c r="B318" s="1" t="s">
        <v>2404</v>
      </c>
      <c r="C318" s="1" t="s">
        <v>2405</v>
      </c>
      <c r="D318" s="1" t="s">
        <v>2406</v>
      </c>
      <c r="E318" s="1" t="s">
        <v>2407</v>
      </c>
      <c r="F318" s="1" t="s">
        <v>2408</v>
      </c>
      <c r="G318">
        <v>-17489</v>
      </c>
      <c r="H318">
        <v>-1027</v>
      </c>
      <c r="I318" s="1" t="s">
        <v>2409</v>
      </c>
      <c r="J318" s="1" t="s">
        <v>2410</v>
      </c>
      <c r="K318">
        <v>-827</v>
      </c>
      <c r="L318" s="1" t="s">
        <v>2411</v>
      </c>
    </row>
    <row r="319" spans="1:12" x14ac:dyDescent="0.25">
      <c r="A319">
        <v>317</v>
      </c>
      <c r="B319" s="1" t="s">
        <v>2412</v>
      </c>
      <c r="C319" s="1" t="s">
        <v>2413</v>
      </c>
      <c r="D319" s="1" t="s">
        <v>2414</v>
      </c>
      <c r="E319" s="1" t="s">
        <v>2415</v>
      </c>
      <c r="F319" s="1" t="s">
        <v>2416</v>
      </c>
      <c r="G319">
        <v>-8787</v>
      </c>
      <c r="H319">
        <v>-1469</v>
      </c>
      <c r="I319" s="1" t="s">
        <v>2417</v>
      </c>
      <c r="J319" s="1" t="s">
        <v>2418</v>
      </c>
      <c r="K319">
        <v>-2169</v>
      </c>
      <c r="L319" s="1" t="s">
        <v>2419</v>
      </c>
    </row>
    <row r="320" spans="1:12" x14ac:dyDescent="0.25">
      <c r="A320">
        <v>318</v>
      </c>
      <c r="B320" s="1" t="s">
        <v>2420</v>
      </c>
      <c r="C320" s="1" t="s">
        <v>2421</v>
      </c>
      <c r="D320" s="1" t="s">
        <v>54</v>
      </c>
      <c r="E320" s="1" t="s">
        <v>2422</v>
      </c>
      <c r="F320" s="1" t="s">
        <v>2423</v>
      </c>
      <c r="G320">
        <v>-20609</v>
      </c>
      <c r="H320">
        <v>-3870</v>
      </c>
      <c r="I320" s="1" t="s">
        <v>2424</v>
      </c>
      <c r="J320" s="1" t="s">
        <v>51</v>
      </c>
      <c r="K320">
        <v>-6948</v>
      </c>
      <c r="L320" s="1" t="s">
        <v>712</v>
      </c>
    </row>
    <row r="321" spans="1:12" x14ac:dyDescent="0.25">
      <c r="A321">
        <v>319</v>
      </c>
      <c r="B321" s="1" t="s">
        <v>2425</v>
      </c>
      <c r="C321" s="1" t="s">
        <v>2426</v>
      </c>
      <c r="D321" s="1" t="s">
        <v>575</v>
      </c>
      <c r="E321" s="1" t="s">
        <v>2427</v>
      </c>
      <c r="F321" s="1" t="s">
        <v>2428</v>
      </c>
      <c r="G321">
        <v>-13988</v>
      </c>
      <c r="H321">
        <v>-5674</v>
      </c>
      <c r="I321" s="1" t="s">
        <v>2429</v>
      </c>
      <c r="J321" s="1" t="s">
        <v>2430</v>
      </c>
      <c r="K321">
        <v>-1582</v>
      </c>
      <c r="L321" s="1" t="s">
        <v>2431</v>
      </c>
    </row>
    <row r="322" spans="1:12" x14ac:dyDescent="0.25">
      <c r="A322">
        <v>320</v>
      </c>
      <c r="B322" s="1" t="s">
        <v>2432</v>
      </c>
      <c r="C322" s="1" t="s">
        <v>2433</v>
      </c>
      <c r="D322" s="1" t="s">
        <v>2434</v>
      </c>
      <c r="E322" s="1" t="s">
        <v>2435</v>
      </c>
      <c r="F322" s="1" t="s">
        <v>2436</v>
      </c>
      <c r="G322">
        <v>-19946</v>
      </c>
      <c r="H322">
        <v>-3461</v>
      </c>
      <c r="I322" s="1" t="s">
        <v>2437</v>
      </c>
      <c r="J322" s="1" t="s">
        <v>184</v>
      </c>
      <c r="K322">
        <v>-10317</v>
      </c>
      <c r="L322" s="1" t="s">
        <v>731</v>
      </c>
    </row>
    <row r="323" spans="1:12" x14ac:dyDescent="0.25">
      <c r="A323">
        <v>321</v>
      </c>
      <c r="B323" s="1" t="s">
        <v>2438</v>
      </c>
      <c r="C323" s="1" t="s">
        <v>2439</v>
      </c>
      <c r="D323" s="1" t="s">
        <v>2406</v>
      </c>
      <c r="E323" s="1" t="s">
        <v>2440</v>
      </c>
      <c r="F323" s="1" t="s">
        <v>2441</v>
      </c>
      <c r="G323">
        <v>-18520</v>
      </c>
      <c r="H323">
        <v>-2065</v>
      </c>
      <c r="I323" s="1" t="s">
        <v>2442</v>
      </c>
      <c r="J323" s="1" t="s">
        <v>2443</v>
      </c>
      <c r="K323">
        <v>-493</v>
      </c>
      <c r="L323" s="1" t="s">
        <v>2444</v>
      </c>
    </row>
    <row r="324" spans="1:12" x14ac:dyDescent="0.25">
      <c r="A324">
        <v>322</v>
      </c>
      <c r="B324" s="1" t="s">
        <v>2445</v>
      </c>
      <c r="C324" s="1" t="s">
        <v>2446</v>
      </c>
      <c r="D324" s="1" t="s">
        <v>1498</v>
      </c>
      <c r="E324" s="1" t="s">
        <v>2447</v>
      </c>
      <c r="F324" s="1" t="s">
        <v>2448</v>
      </c>
      <c r="G324">
        <v>-9357</v>
      </c>
      <c r="H324">
        <v>-1608</v>
      </c>
      <c r="I324" s="1" t="s">
        <v>2449</v>
      </c>
      <c r="J324" s="1" t="s">
        <v>2450</v>
      </c>
      <c r="K324">
        <v>-1533</v>
      </c>
      <c r="L324" s="1" t="s">
        <v>2451</v>
      </c>
    </row>
    <row r="325" spans="1:12" x14ac:dyDescent="0.25">
      <c r="A325">
        <v>323</v>
      </c>
      <c r="B325" s="1" t="s">
        <v>2452</v>
      </c>
      <c r="C325" s="1" t="s">
        <v>2453</v>
      </c>
      <c r="D325" s="1" t="s">
        <v>2454</v>
      </c>
      <c r="E325" s="1" t="s">
        <v>2455</v>
      </c>
      <c r="F325" s="1" t="s">
        <v>1839</v>
      </c>
      <c r="G325">
        <v>-21135</v>
      </c>
      <c r="H325">
        <v>-958</v>
      </c>
      <c r="I325" s="1" t="s">
        <v>2456</v>
      </c>
      <c r="J325" s="1" t="s">
        <v>2457</v>
      </c>
      <c r="K325">
        <v>365243</v>
      </c>
      <c r="L325" s="1" t="s">
        <v>2458</v>
      </c>
    </row>
    <row r="326" spans="1:12" x14ac:dyDescent="0.25">
      <c r="A326">
        <v>324</v>
      </c>
      <c r="B326" s="1" t="s">
        <v>2459</v>
      </c>
      <c r="C326" s="1" t="s">
        <v>2460</v>
      </c>
      <c r="D326" s="1" t="s">
        <v>2461</v>
      </c>
      <c r="E326" s="1" t="s">
        <v>2462</v>
      </c>
      <c r="F326" s="1" t="s">
        <v>2463</v>
      </c>
      <c r="G326">
        <v>-10405</v>
      </c>
      <c r="H326">
        <v>-1355</v>
      </c>
      <c r="I326" s="1" t="s">
        <v>2464</v>
      </c>
      <c r="J326" s="1" t="s">
        <v>2465</v>
      </c>
      <c r="K326">
        <v>-3653</v>
      </c>
      <c r="L326" s="1" t="s">
        <v>843</v>
      </c>
    </row>
    <row r="327" spans="1:12" x14ac:dyDescent="0.25">
      <c r="A327">
        <v>325</v>
      </c>
      <c r="B327" s="1" t="s">
        <v>2466</v>
      </c>
      <c r="C327" s="1" t="s">
        <v>2467</v>
      </c>
      <c r="D327" s="1" t="s">
        <v>2468</v>
      </c>
      <c r="E327" s="1" t="s">
        <v>2469</v>
      </c>
      <c r="F327" s="1" t="s">
        <v>2470</v>
      </c>
      <c r="G327">
        <v>-21472</v>
      </c>
      <c r="H327">
        <v>-4986</v>
      </c>
      <c r="I327" s="1" t="s">
        <v>2471</v>
      </c>
      <c r="J327" s="1" t="s">
        <v>2472</v>
      </c>
      <c r="K327">
        <v>-2751</v>
      </c>
      <c r="L327" s="1" t="s">
        <v>2473</v>
      </c>
    </row>
    <row r="328" spans="1:12" x14ac:dyDescent="0.25">
      <c r="A328">
        <v>326</v>
      </c>
      <c r="B328" s="1" t="s">
        <v>2474</v>
      </c>
      <c r="C328" s="1" t="s">
        <v>2475</v>
      </c>
      <c r="D328" s="1" t="s">
        <v>1991</v>
      </c>
      <c r="E328" s="1" t="s">
        <v>2476</v>
      </c>
      <c r="F328" s="1" t="s">
        <v>2477</v>
      </c>
      <c r="G328">
        <v>-21511</v>
      </c>
      <c r="H328">
        <v>-4631</v>
      </c>
      <c r="I328" s="1" t="s">
        <v>2478</v>
      </c>
      <c r="J328" s="1" t="s">
        <v>2479</v>
      </c>
      <c r="K328">
        <v>365243</v>
      </c>
      <c r="L328" s="1" t="s">
        <v>2480</v>
      </c>
    </row>
    <row r="329" spans="1:12" x14ac:dyDescent="0.25">
      <c r="A329">
        <v>327</v>
      </c>
      <c r="B329" s="1" t="s">
        <v>2481</v>
      </c>
      <c r="C329" s="1" t="s">
        <v>2482</v>
      </c>
      <c r="D329" s="1" t="s">
        <v>2483</v>
      </c>
      <c r="E329" s="1" t="s">
        <v>2484</v>
      </c>
      <c r="F329" s="1" t="s">
        <v>2485</v>
      </c>
      <c r="G329">
        <v>-14841</v>
      </c>
      <c r="H329">
        <v>-2658</v>
      </c>
      <c r="I329" s="1" t="s">
        <v>2486</v>
      </c>
      <c r="J329" s="1" t="s">
        <v>2487</v>
      </c>
      <c r="K329">
        <v>-2169</v>
      </c>
      <c r="L329" s="1" t="s">
        <v>2488</v>
      </c>
    </row>
    <row r="330" spans="1:12" x14ac:dyDescent="0.25">
      <c r="A330">
        <v>328</v>
      </c>
      <c r="B330" s="1" t="s">
        <v>2489</v>
      </c>
      <c r="C330" s="1" t="s">
        <v>2490</v>
      </c>
      <c r="D330" s="1" t="s">
        <v>2491</v>
      </c>
      <c r="E330" s="1" t="s">
        <v>2492</v>
      </c>
      <c r="F330" s="1" t="s">
        <v>2493</v>
      </c>
      <c r="G330">
        <v>-11153</v>
      </c>
      <c r="H330">
        <v>-2972</v>
      </c>
      <c r="I330" s="1" t="s">
        <v>2494</v>
      </c>
      <c r="J330" s="1" t="s">
        <v>1711</v>
      </c>
      <c r="K330">
        <v>-213</v>
      </c>
      <c r="L330" s="1" t="s">
        <v>1712</v>
      </c>
    </row>
    <row r="331" spans="1:12" x14ac:dyDescent="0.25">
      <c r="A331">
        <v>329</v>
      </c>
      <c r="B331" s="1" t="s">
        <v>2495</v>
      </c>
      <c r="C331" s="1" t="s">
        <v>2496</v>
      </c>
      <c r="D331" s="1" t="s">
        <v>54</v>
      </c>
      <c r="E331" s="1" t="s">
        <v>2497</v>
      </c>
      <c r="F331" s="1" t="s">
        <v>2498</v>
      </c>
      <c r="G331">
        <v>-12391</v>
      </c>
      <c r="H331">
        <v>-3416</v>
      </c>
      <c r="I331" s="1" t="s">
        <v>2499</v>
      </c>
      <c r="J331" s="1" t="s">
        <v>1741</v>
      </c>
      <c r="K331">
        <v>-484</v>
      </c>
      <c r="L331" s="1" t="s">
        <v>1742</v>
      </c>
    </row>
    <row r="332" spans="1:12" x14ac:dyDescent="0.25">
      <c r="A332">
        <v>330</v>
      </c>
      <c r="B332" s="1" t="s">
        <v>2500</v>
      </c>
      <c r="C332" s="1" t="s">
        <v>2501</v>
      </c>
      <c r="D332" s="1" t="s">
        <v>2044</v>
      </c>
      <c r="E332" s="1" t="s">
        <v>2502</v>
      </c>
      <c r="F332" s="1" t="s">
        <v>2503</v>
      </c>
      <c r="G332">
        <v>-12566</v>
      </c>
      <c r="H332">
        <v>-2658</v>
      </c>
      <c r="I332" s="1" t="s">
        <v>2504</v>
      </c>
      <c r="J332" s="1" t="s">
        <v>2505</v>
      </c>
      <c r="K332">
        <v>-1310</v>
      </c>
      <c r="L332" s="1" t="s">
        <v>1175</v>
      </c>
    </row>
    <row r="333" spans="1:12" x14ac:dyDescent="0.25">
      <c r="A333">
        <v>331</v>
      </c>
      <c r="B333" s="1" t="s">
        <v>2506</v>
      </c>
      <c r="C333" s="1" t="s">
        <v>2507</v>
      </c>
      <c r="D333" s="1" t="s">
        <v>622</v>
      </c>
      <c r="E333" s="1" t="s">
        <v>2508</v>
      </c>
      <c r="F333" s="1" t="s">
        <v>2509</v>
      </c>
      <c r="G333">
        <v>-9171</v>
      </c>
      <c r="H333">
        <v>-1793</v>
      </c>
      <c r="I333" s="1" t="s">
        <v>2510</v>
      </c>
      <c r="J333" s="1" t="s">
        <v>2511</v>
      </c>
      <c r="K333">
        <v>-216</v>
      </c>
      <c r="L333" s="1" t="s">
        <v>2512</v>
      </c>
    </row>
    <row r="334" spans="1:12" x14ac:dyDescent="0.25">
      <c r="A334">
        <v>332</v>
      </c>
      <c r="B334" s="1" t="s">
        <v>2513</v>
      </c>
      <c r="C334" s="1" t="s">
        <v>2514</v>
      </c>
      <c r="D334" s="1" t="s">
        <v>2515</v>
      </c>
      <c r="E334" s="1" t="s">
        <v>2516</v>
      </c>
      <c r="F334" s="1" t="s">
        <v>2517</v>
      </c>
      <c r="G334">
        <v>-13011</v>
      </c>
      <c r="H334">
        <v>-3912</v>
      </c>
      <c r="I334" s="1" t="s">
        <v>2518</v>
      </c>
      <c r="J334" s="1" t="s">
        <v>2519</v>
      </c>
      <c r="K334">
        <v>-416</v>
      </c>
      <c r="L334" s="1" t="s">
        <v>2520</v>
      </c>
    </row>
    <row r="335" spans="1:12" x14ac:dyDescent="0.25">
      <c r="A335">
        <v>333</v>
      </c>
      <c r="B335" s="1" t="s">
        <v>2521</v>
      </c>
      <c r="C335" s="1" t="s">
        <v>2522</v>
      </c>
      <c r="D335" s="1" t="s">
        <v>2523</v>
      </c>
      <c r="E335" s="1" t="s">
        <v>2524</v>
      </c>
      <c r="F335" s="1" t="s">
        <v>2525</v>
      </c>
      <c r="G335">
        <v>-13489</v>
      </c>
      <c r="H335">
        <v>-4648</v>
      </c>
      <c r="I335" s="1" t="s">
        <v>2526</v>
      </c>
      <c r="J335" s="1" t="s">
        <v>2527</v>
      </c>
      <c r="K335">
        <v>-459</v>
      </c>
      <c r="L335" s="1" t="s">
        <v>2528</v>
      </c>
    </row>
    <row r="336" spans="1:12" x14ac:dyDescent="0.25">
      <c r="A336">
        <v>334</v>
      </c>
      <c r="B336" s="1" t="s">
        <v>2529</v>
      </c>
      <c r="C336" s="1" t="s">
        <v>2530</v>
      </c>
      <c r="D336" s="1" t="s">
        <v>912</v>
      </c>
      <c r="E336" s="1" t="s">
        <v>2531</v>
      </c>
      <c r="F336" s="1" t="s">
        <v>2532</v>
      </c>
      <c r="G336">
        <v>-18700</v>
      </c>
      <c r="H336">
        <v>-2242</v>
      </c>
      <c r="I336" s="1" t="s">
        <v>2533</v>
      </c>
      <c r="J336" s="1" t="s">
        <v>2534</v>
      </c>
      <c r="K336">
        <v>-3210</v>
      </c>
      <c r="L336" s="1" t="s">
        <v>2535</v>
      </c>
    </row>
    <row r="337" spans="1:12" x14ac:dyDescent="0.25">
      <c r="A337">
        <v>335</v>
      </c>
      <c r="B337" s="1" t="s">
        <v>2536</v>
      </c>
      <c r="C337" s="1" t="s">
        <v>2537</v>
      </c>
      <c r="D337" s="1" t="s">
        <v>2538</v>
      </c>
      <c r="E337" s="1" t="s">
        <v>2539</v>
      </c>
      <c r="F337" s="1" t="s">
        <v>2540</v>
      </c>
      <c r="G337">
        <v>-10690</v>
      </c>
      <c r="H337">
        <v>-3334</v>
      </c>
      <c r="I337" s="1" t="s">
        <v>2541</v>
      </c>
      <c r="J337" s="1" t="s">
        <v>198</v>
      </c>
      <c r="K337">
        <v>-2397</v>
      </c>
      <c r="L337" s="1" t="s">
        <v>946</v>
      </c>
    </row>
    <row r="338" spans="1:12" x14ac:dyDescent="0.25">
      <c r="A338">
        <v>336</v>
      </c>
      <c r="B338" s="1" t="s">
        <v>2542</v>
      </c>
      <c r="C338" s="1" t="s">
        <v>2543</v>
      </c>
      <c r="D338" s="1" t="s">
        <v>2132</v>
      </c>
      <c r="E338" s="1" t="s">
        <v>2544</v>
      </c>
      <c r="F338" s="1" t="s">
        <v>2545</v>
      </c>
      <c r="G338">
        <v>-16262</v>
      </c>
      <c r="H338">
        <v>-4308</v>
      </c>
      <c r="I338" s="1" t="s">
        <v>2546</v>
      </c>
      <c r="J338" s="1" t="s">
        <v>2547</v>
      </c>
      <c r="K338">
        <v>-5637</v>
      </c>
      <c r="L338" s="1" t="s">
        <v>2548</v>
      </c>
    </row>
    <row r="339" spans="1:12" x14ac:dyDescent="0.25">
      <c r="A339">
        <v>337</v>
      </c>
      <c r="B339" s="1" t="s">
        <v>2549</v>
      </c>
      <c r="C339" s="1" t="s">
        <v>2550</v>
      </c>
      <c r="D339" s="1" t="s">
        <v>2551</v>
      </c>
      <c r="E339" s="1" t="s">
        <v>2552</v>
      </c>
      <c r="F339" s="1" t="s">
        <v>2553</v>
      </c>
      <c r="G339">
        <v>-21697</v>
      </c>
      <c r="H339">
        <v>-4019</v>
      </c>
      <c r="I339" s="1" t="s">
        <v>2554</v>
      </c>
      <c r="J339" s="1" t="s">
        <v>2555</v>
      </c>
      <c r="K339">
        <v>365243</v>
      </c>
      <c r="L339" s="1" t="s">
        <v>2556</v>
      </c>
    </row>
    <row r="340" spans="1:12" x14ac:dyDescent="0.25">
      <c r="A340">
        <v>338</v>
      </c>
      <c r="B340" s="1" t="s">
        <v>2557</v>
      </c>
      <c r="C340" s="1" t="s">
        <v>2558</v>
      </c>
      <c r="D340" s="1" t="s">
        <v>521</v>
      </c>
      <c r="E340" s="1" t="s">
        <v>2559</v>
      </c>
      <c r="F340" s="1" t="s">
        <v>2560</v>
      </c>
      <c r="G340">
        <v>-22062</v>
      </c>
      <c r="H340">
        <v>-5087</v>
      </c>
      <c r="I340" s="1" t="s">
        <v>2561</v>
      </c>
      <c r="J340" s="1" t="s">
        <v>2562</v>
      </c>
      <c r="K340">
        <v>365243</v>
      </c>
      <c r="L340" s="1" t="s">
        <v>2563</v>
      </c>
    </row>
    <row r="341" spans="1:12" x14ac:dyDescent="0.25">
      <c r="A341">
        <v>339</v>
      </c>
      <c r="B341" s="1" t="s">
        <v>2564</v>
      </c>
      <c r="C341" s="1" t="s">
        <v>2565</v>
      </c>
      <c r="D341" s="1" t="s">
        <v>2566</v>
      </c>
      <c r="E341" s="1" t="s">
        <v>2567</v>
      </c>
      <c r="F341" s="1" t="s">
        <v>2568</v>
      </c>
      <c r="G341">
        <v>-8227</v>
      </c>
      <c r="H341">
        <v>-862</v>
      </c>
      <c r="I341" s="1" t="s">
        <v>2569</v>
      </c>
      <c r="J341" s="1" t="s">
        <v>198</v>
      </c>
      <c r="K341">
        <v>-130</v>
      </c>
      <c r="L341" s="1" t="s">
        <v>1495</v>
      </c>
    </row>
    <row r="342" spans="1:12" x14ac:dyDescent="0.25">
      <c r="A342">
        <v>340</v>
      </c>
      <c r="B342" s="1" t="s">
        <v>2570</v>
      </c>
      <c r="C342" s="1" t="s">
        <v>2571</v>
      </c>
      <c r="D342" s="1" t="s">
        <v>2572</v>
      </c>
      <c r="E342" s="1" t="s">
        <v>2573</v>
      </c>
      <c r="F342" s="1" t="s">
        <v>2574</v>
      </c>
      <c r="G342">
        <v>-11027</v>
      </c>
      <c r="H342">
        <v>-3351</v>
      </c>
      <c r="I342" s="1" t="s">
        <v>2575</v>
      </c>
      <c r="J342" s="1" t="s">
        <v>2576</v>
      </c>
      <c r="K342">
        <v>-1187</v>
      </c>
      <c r="L342" s="1" t="s">
        <v>2577</v>
      </c>
    </row>
    <row r="343" spans="1:12" x14ac:dyDescent="0.25">
      <c r="A343">
        <v>341</v>
      </c>
      <c r="B343" s="1" t="s">
        <v>2578</v>
      </c>
      <c r="C343" s="1" t="s">
        <v>2579</v>
      </c>
      <c r="D343" s="1" t="s">
        <v>124</v>
      </c>
      <c r="E343" s="1" t="s">
        <v>2580</v>
      </c>
      <c r="F343" s="1" t="s">
        <v>2581</v>
      </c>
      <c r="G343">
        <v>-13565</v>
      </c>
      <c r="H343">
        <v>-4648</v>
      </c>
      <c r="I343" s="1" t="s">
        <v>2582</v>
      </c>
      <c r="J343" s="1" t="s">
        <v>2583</v>
      </c>
      <c r="K343">
        <v>-1251</v>
      </c>
      <c r="L343" s="1" t="s">
        <v>2584</v>
      </c>
    </row>
    <row r="344" spans="1:12" x14ac:dyDescent="0.25">
      <c r="A344">
        <v>342</v>
      </c>
      <c r="B344" s="1" t="s">
        <v>2585</v>
      </c>
      <c r="C344" s="1" t="s">
        <v>2586</v>
      </c>
      <c r="D344" s="1" t="s">
        <v>609</v>
      </c>
      <c r="E344" s="1" t="s">
        <v>2587</v>
      </c>
      <c r="F344" s="1" t="s">
        <v>2588</v>
      </c>
      <c r="G344">
        <v>-9959</v>
      </c>
      <c r="H344">
        <v>-2536</v>
      </c>
      <c r="I344" s="1" t="s">
        <v>1441</v>
      </c>
      <c r="J344" s="1" t="s">
        <v>198</v>
      </c>
      <c r="K344">
        <v>-1437</v>
      </c>
      <c r="L344" s="1" t="s">
        <v>1495</v>
      </c>
    </row>
    <row r="345" spans="1:12" x14ac:dyDescent="0.25">
      <c r="A345">
        <v>343</v>
      </c>
      <c r="B345" s="1" t="s">
        <v>2589</v>
      </c>
      <c r="C345" s="1" t="s">
        <v>2590</v>
      </c>
      <c r="D345" s="1" t="s">
        <v>2591</v>
      </c>
      <c r="E345" s="1" t="s">
        <v>2592</v>
      </c>
      <c r="F345" s="1" t="s">
        <v>2593</v>
      </c>
      <c r="G345">
        <v>-16283</v>
      </c>
      <c r="H345">
        <v>-4141</v>
      </c>
      <c r="I345" s="1" t="s">
        <v>2594</v>
      </c>
      <c r="J345" s="1" t="s">
        <v>2595</v>
      </c>
      <c r="K345">
        <v>-716</v>
      </c>
      <c r="L345" s="1" t="s">
        <v>2596</v>
      </c>
    </row>
    <row r="346" spans="1:12" x14ac:dyDescent="0.25">
      <c r="A346">
        <v>344</v>
      </c>
      <c r="B346" s="1" t="s">
        <v>2597</v>
      </c>
      <c r="C346" s="1" t="s">
        <v>2598</v>
      </c>
      <c r="D346" s="1" t="s">
        <v>2599</v>
      </c>
      <c r="E346" s="1" t="s">
        <v>2600</v>
      </c>
      <c r="F346" s="1" t="s">
        <v>2601</v>
      </c>
      <c r="G346">
        <v>-21930</v>
      </c>
      <c r="H346">
        <v>-4286</v>
      </c>
      <c r="I346" s="1" t="s">
        <v>2602</v>
      </c>
      <c r="J346" s="1" t="s">
        <v>2547</v>
      </c>
      <c r="K346">
        <v>-3143</v>
      </c>
      <c r="L346" s="1" t="s">
        <v>2548</v>
      </c>
    </row>
    <row r="347" spans="1:12" x14ac:dyDescent="0.25">
      <c r="A347">
        <v>345</v>
      </c>
      <c r="B347" s="1" t="s">
        <v>2603</v>
      </c>
      <c r="C347" s="1" t="s">
        <v>2604</v>
      </c>
      <c r="D347" s="1" t="s">
        <v>54</v>
      </c>
      <c r="E347" s="1" t="s">
        <v>2605</v>
      </c>
      <c r="F347" s="1" t="s">
        <v>2606</v>
      </c>
      <c r="G347">
        <v>-16008</v>
      </c>
      <c r="H347">
        <v>-4242</v>
      </c>
      <c r="I347" s="1" t="s">
        <v>2607</v>
      </c>
      <c r="J347" s="1" t="s">
        <v>2608</v>
      </c>
      <c r="K347">
        <v>365243</v>
      </c>
      <c r="L347" s="1" t="s">
        <v>2609</v>
      </c>
    </row>
    <row r="348" spans="1:12" x14ac:dyDescent="0.25">
      <c r="A348">
        <v>346</v>
      </c>
      <c r="B348" s="1" t="s">
        <v>2610</v>
      </c>
      <c r="C348" s="1" t="s">
        <v>2611</v>
      </c>
      <c r="D348" s="1" t="s">
        <v>1648</v>
      </c>
      <c r="E348" s="1" t="s">
        <v>2612</v>
      </c>
      <c r="F348" s="1" t="s">
        <v>2613</v>
      </c>
      <c r="G348">
        <v>-23644</v>
      </c>
      <c r="H348">
        <v>-3351</v>
      </c>
      <c r="I348" s="1" t="s">
        <v>2614</v>
      </c>
      <c r="J348" s="1" t="s">
        <v>701</v>
      </c>
      <c r="K348">
        <v>-522</v>
      </c>
      <c r="L348" s="1" t="s">
        <v>806</v>
      </c>
    </row>
    <row r="349" spans="1:12" x14ac:dyDescent="0.25">
      <c r="A349">
        <v>347</v>
      </c>
      <c r="B349" s="1" t="s">
        <v>2615</v>
      </c>
      <c r="C349" s="1" t="s">
        <v>2616</v>
      </c>
      <c r="D349" s="1" t="s">
        <v>54</v>
      </c>
      <c r="E349" s="1" t="s">
        <v>2617</v>
      </c>
      <c r="F349" s="1" t="s">
        <v>2618</v>
      </c>
      <c r="G349">
        <v>-12372</v>
      </c>
      <c r="H349">
        <v>-273</v>
      </c>
      <c r="I349" s="1" t="s">
        <v>2619</v>
      </c>
      <c r="J349" s="1" t="s">
        <v>1585</v>
      </c>
      <c r="K349">
        <v>-2045</v>
      </c>
      <c r="L349" s="1" t="s">
        <v>1586</v>
      </c>
    </row>
    <row r="350" spans="1:12" x14ac:dyDescent="0.25">
      <c r="A350">
        <v>348</v>
      </c>
      <c r="B350" s="1" t="s">
        <v>2620</v>
      </c>
      <c r="C350" s="1" t="s">
        <v>2621</v>
      </c>
      <c r="D350" s="1" t="s">
        <v>2622</v>
      </c>
      <c r="E350" s="1" t="s">
        <v>2623</v>
      </c>
      <c r="F350" s="1" t="s">
        <v>2624</v>
      </c>
      <c r="G350">
        <v>-14402</v>
      </c>
      <c r="H350">
        <v>-4023</v>
      </c>
      <c r="I350" s="1" t="s">
        <v>2625</v>
      </c>
      <c r="J350" s="1" t="s">
        <v>1541</v>
      </c>
      <c r="K350">
        <v>-1745</v>
      </c>
      <c r="L350" s="1" t="s">
        <v>2626</v>
      </c>
    </row>
    <row r="351" spans="1:12" x14ac:dyDescent="0.25">
      <c r="A351">
        <v>349</v>
      </c>
      <c r="B351" s="1" t="s">
        <v>2627</v>
      </c>
      <c r="C351" s="1" t="s">
        <v>2628</v>
      </c>
      <c r="D351" s="1" t="s">
        <v>2629</v>
      </c>
      <c r="E351" s="1" t="s">
        <v>2630</v>
      </c>
      <c r="F351" s="1" t="s">
        <v>2631</v>
      </c>
      <c r="G351">
        <v>-22159</v>
      </c>
      <c r="H351">
        <v>-4765</v>
      </c>
      <c r="I351" s="1" t="s">
        <v>2632</v>
      </c>
      <c r="J351" s="1" t="s">
        <v>2633</v>
      </c>
      <c r="K351">
        <v>365243</v>
      </c>
      <c r="L351" s="1" t="s">
        <v>2634</v>
      </c>
    </row>
    <row r="352" spans="1:12" x14ac:dyDescent="0.25">
      <c r="A352">
        <v>350</v>
      </c>
      <c r="B352" s="1" t="s">
        <v>2635</v>
      </c>
      <c r="C352" s="1" t="s">
        <v>2636</v>
      </c>
      <c r="D352" s="1" t="s">
        <v>2491</v>
      </c>
      <c r="E352" s="1" t="s">
        <v>2637</v>
      </c>
      <c r="F352" s="1" t="s">
        <v>2638</v>
      </c>
      <c r="G352">
        <v>-12363</v>
      </c>
      <c r="H352">
        <v>-4080</v>
      </c>
      <c r="I352" s="1" t="s">
        <v>2639</v>
      </c>
      <c r="J352" s="1" t="s">
        <v>2640</v>
      </c>
      <c r="K352">
        <v>-836</v>
      </c>
      <c r="L352" s="1" t="s">
        <v>2641</v>
      </c>
    </row>
    <row r="353" spans="1:12" x14ac:dyDescent="0.25">
      <c r="A353">
        <v>351</v>
      </c>
      <c r="B353" s="1" t="s">
        <v>2642</v>
      </c>
      <c r="C353" s="1" t="s">
        <v>2643</v>
      </c>
      <c r="D353" s="1" t="s">
        <v>54</v>
      </c>
      <c r="E353" s="1" t="s">
        <v>2644</v>
      </c>
      <c r="F353" s="1" t="s">
        <v>2645</v>
      </c>
      <c r="G353">
        <v>-8625</v>
      </c>
      <c r="H353">
        <v>-1315</v>
      </c>
      <c r="I353" s="1" t="s">
        <v>2646</v>
      </c>
      <c r="J353" s="1" t="s">
        <v>1718</v>
      </c>
      <c r="K353">
        <v>-1145</v>
      </c>
      <c r="L353" s="1" t="s">
        <v>1719</v>
      </c>
    </row>
    <row r="354" spans="1:12" x14ac:dyDescent="0.25">
      <c r="A354">
        <v>352</v>
      </c>
      <c r="B354" s="1" t="s">
        <v>2647</v>
      </c>
      <c r="C354" s="1" t="s">
        <v>2648</v>
      </c>
      <c r="D354" s="1" t="s">
        <v>2649</v>
      </c>
      <c r="E354" s="1" t="s">
        <v>2650</v>
      </c>
      <c r="F354" s="1" t="s">
        <v>2651</v>
      </c>
      <c r="G354">
        <v>-10238</v>
      </c>
      <c r="H354">
        <v>-422</v>
      </c>
      <c r="I354" s="1" t="s">
        <v>960</v>
      </c>
      <c r="J354" s="1" t="s">
        <v>2652</v>
      </c>
      <c r="K354">
        <v>-292</v>
      </c>
      <c r="L354" s="1" t="s">
        <v>2653</v>
      </c>
    </row>
    <row r="355" spans="1:12" x14ac:dyDescent="0.25">
      <c r="A355">
        <v>353</v>
      </c>
      <c r="B355" s="1" t="s">
        <v>2654</v>
      </c>
      <c r="C355" s="1" t="s">
        <v>2655</v>
      </c>
      <c r="D355" s="1" t="s">
        <v>2656</v>
      </c>
      <c r="E355" s="1" t="s">
        <v>2657</v>
      </c>
      <c r="F355" s="1" t="s">
        <v>2658</v>
      </c>
      <c r="G355">
        <v>-21905</v>
      </c>
      <c r="H355">
        <v>-5245</v>
      </c>
      <c r="I355" s="1" t="s">
        <v>2659</v>
      </c>
      <c r="J355" s="1" t="s">
        <v>2660</v>
      </c>
      <c r="K355">
        <v>365243</v>
      </c>
      <c r="L355" s="1" t="s">
        <v>2661</v>
      </c>
    </row>
    <row r="356" spans="1:12" x14ac:dyDescent="0.25">
      <c r="A356">
        <v>354</v>
      </c>
      <c r="B356" s="1" t="s">
        <v>2662</v>
      </c>
      <c r="C356" s="1" t="s">
        <v>2663</v>
      </c>
      <c r="D356" s="1" t="s">
        <v>194</v>
      </c>
      <c r="E356" s="1" t="s">
        <v>2664</v>
      </c>
      <c r="F356" s="1" t="s">
        <v>2665</v>
      </c>
      <c r="G356">
        <v>-23282</v>
      </c>
      <c r="H356">
        <v>-4940</v>
      </c>
      <c r="I356" s="1" t="s">
        <v>2666</v>
      </c>
      <c r="J356" s="1" t="s">
        <v>2667</v>
      </c>
      <c r="K356">
        <v>-1979</v>
      </c>
      <c r="L356" s="1" t="s">
        <v>2668</v>
      </c>
    </row>
    <row r="357" spans="1:12" x14ac:dyDescent="0.25">
      <c r="A357">
        <v>355</v>
      </c>
      <c r="B357" s="1" t="s">
        <v>2669</v>
      </c>
      <c r="C357" s="1" t="s">
        <v>2670</v>
      </c>
      <c r="D357" s="1" t="s">
        <v>2274</v>
      </c>
      <c r="E357" s="1" t="s">
        <v>2671</v>
      </c>
      <c r="F357" s="1" t="s">
        <v>1364</v>
      </c>
      <c r="G357">
        <v>-16534</v>
      </c>
      <c r="H357">
        <v>-84</v>
      </c>
      <c r="I357" s="1" t="s">
        <v>2672</v>
      </c>
      <c r="J357" s="1" t="s">
        <v>2673</v>
      </c>
      <c r="K357">
        <v>-4014</v>
      </c>
      <c r="L357" s="1" t="s">
        <v>2674</v>
      </c>
    </row>
    <row r="358" spans="1:12" x14ac:dyDescent="0.25">
      <c r="A358">
        <v>356</v>
      </c>
      <c r="B358" s="1" t="s">
        <v>2675</v>
      </c>
      <c r="C358" s="1" t="s">
        <v>2676</v>
      </c>
      <c r="D358" s="1" t="s">
        <v>54</v>
      </c>
      <c r="E358" s="1" t="s">
        <v>2677</v>
      </c>
      <c r="F358" s="1" t="s">
        <v>2678</v>
      </c>
      <c r="G358">
        <v>-23586</v>
      </c>
      <c r="H358">
        <v>-4878</v>
      </c>
      <c r="I358" s="1" t="s">
        <v>2679</v>
      </c>
      <c r="J358" s="1" t="s">
        <v>1081</v>
      </c>
      <c r="K358">
        <v>365243</v>
      </c>
      <c r="L358" s="1" t="s">
        <v>1082</v>
      </c>
    </row>
    <row r="359" spans="1:12" x14ac:dyDescent="0.25">
      <c r="A359">
        <v>357</v>
      </c>
      <c r="B359" s="1" t="s">
        <v>2680</v>
      </c>
      <c r="C359" s="1" t="s">
        <v>2681</v>
      </c>
      <c r="D359" s="1" t="s">
        <v>912</v>
      </c>
      <c r="E359" s="1" t="s">
        <v>2682</v>
      </c>
      <c r="F359" s="1" t="s">
        <v>2683</v>
      </c>
      <c r="G359">
        <v>-24094</v>
      </c>
      <c r="H359">
        <v>-4125</v>
      </c>
      <c r="I359" s="1" t="s">
        <v>2684</v>
      </c>
      <c r="J359" s="1" t="s">
        <v>2685</v>
      </c>
      <c r="K359">
        <v>-7326</v>
      </c>
      <c r="L359" s="1" t="s">
        <v>2686</v>
      </c>
    </row>
    <row r="360" spans="1:12" x14ac:dyDescent="0.25">
      <c r="A360">
        <v>358</v>
      </c>
      <c r="B360" s="1" t="s">
        <v>2687</v>
      </c>
      <c r="C360" s="1" t="s">
        <v>2688</v>
      </c>
      <c r="D360" s="1" t="s">
        <v>2183</v>
      </c>
      <c r="E360" s="1" t="s">
        <v>2689</v>
      </c>
      <c r="F360" s="1" t="s">
        <v>2690</v>
      </c>
      <c r="G360">
        <v>-15779</v>
      </c>
      <c r="H360">
        <v>-4229</v>
      </c>
      <c r="I360" s="1" t="s">
        <v>2691</v>
      </c>
      <c r="J360" s="1" t="s">
        <v>2692</v>
      </c>
      <c r="K360">
        <v>-293</v>
      </c>
      <c r="L360" s="1" t="s">
        <v>2693</v>
      </c>
    </row>
    <row r="361" spans="1:12" x14ac:dyDescent="0.25">
      <c r="A361">
        <v>359</v>
      </c>
      <c r="B361" s="1" t="s">
        <v>2694</v>
      </c>
      <c r="C361" s="1" t="s">
        <v>2695</v>
      </c>
      <c r="D361" s="1" t="s">
        <v>96</v>
      </c>
      <c r="E361" s="1" t="s">
        <v>2696</v>
      </c>
      <c r="F361" s="1" t="s">
        <v>2697</v>
      </c>
      <c r="G361">
        <v>-19077</v>
      </c>
      <c r="H361">
        <v>-2628</v>
      </c>
      <c r="I361" s="1" t="s">
        <v>2698</v>
      </c>
      <c r="J361" s="1" t="s">
        <v>2699</v>
      </c>
      <c r="K361">
        <v>-3089</v>
      </c>
      <c r="L361" s="1" t="s">
        <v>2700</v>
      </c>
    </row>
    <row r="362" spans="1:12" x14ac:dyDescent="0.25">
      <c r="A362">
        <v>360</v>
      </c>
      <c r="B362" s="1" t="s">
        <v>2701</v>
      </c>
      <c r="C362" s="1" t="s">
        <v>2702</v>
      </c>
      <c r="D362" s="1" t="s">
        <v>589</v>
      </c>
      <c r="E362" s="1" t="s">
        <v>2703</v>
      </c>
      <c r="F362" s="1" t="s">
        <v>2704</v>
      </c>
      <c r="G362">
        <v>-14637</v>
      </c>
      <c r="H362">
        <v>-4977</v>
      </c>
      <c r="I362" s="1" t="s">
        <v>2705</v>
      </c>
      <c r="J362" s="1" t="s">
        <v>2706</v>
      </c>
      <c r="K362">
        <v>-245</v>
      </c>
      <c r="L362" s="1" t="s">
        <v>2707</v>
      </c>
    </row>
    <row r="363" spans="1:12" x14ac:dyDescent="0.25">
      <c r="A363">
        <v>361</v>
      </c>
      <c r="B363" s="1" t="s">
        <v>2708</v>
      </c>
      <c r="C363" s="1" t="s">
        <v>2709</v>
      </c>
      <c r="D363" s="1" t="s">
        <v>1867</v>
      </c>
      <c r="E363" s="1" t="s">
        <v>2710</v>
      </c>
      <c r="F363" s="1" t="s">
        <v>2711</v>
      </c>
      <c r="G363">
        <v>-16110</v>
      </c>
      <c r="H363">
        <v>-4311</v>
      </c>
      <c r="I363" s="1" t="s">
        <v>2712</v>
      </c>
      <c r="J363" s="1" t="s">
        <v>2713</v>
      </c>
      <c r="K363">
        <v>-367</v>
      </c>
      <c r="L363" s="1" t="s">
        <v>2714</v>
      </c>
    </row>
    <row r="364" spans="1:12" x14ac:dyDescent="0.25">
      <c r="A364">
        <v>362</v>
      </c>
      <c r="B364" s="1" t="s">
        <v>2715</v>
      </c>
      <c r="C364" s="1" t="s">
        <v>2716</v>
      </c>
      <c r="D364" s="1" t="s">
        <v>2310</v>
      </c>
      <c r="E364" s="1" t="s">
        <v>2717</v>
      </c>
      <c r="F364" s="1" t="s">
        <v>2718</v>
      </c>
      <c r="G364">
        <v>-13659</v>
      </c>
      <c r="H364">
        <v>-4403</v>
      </c>
      <c r="I364" s="1" t="s">
        <v>2719</v>
      </c>
      <c r="J364" s="1" t="s">
        <v>233</v>
      </c>
      <c r="K364">
        <v>-522</v>
      </c>
      <c r="L364" s="1" t="s">
        <v>738</v>
      </c>
    </row>
    <row r="365" spans="1:12" x14ac:dyDescent="0.25">
      <c r="A365">
        <v>363</v>
      </c>
      <c r="B365" s="1" t="s">
        <v>2720</v>
      </c>
      <c r="C365" s="1" t="s">
        <v>2721</v>
      </c>
      <c r="D365" s="1" t="s">
        <v>2722</v>
      </c>
      <c r="E365" s="1" t="s">
        <v>2723</v>
      </c>
      <c r="F365" s="1" t="s">
        <v>2724</v>
      </c>
      <c r="G365">
        <v>-23721</v>
      </c>
      <c r="H365">
        <v>-4339</v>
      </c>
      <c r="I365" s="1" t="s">
        <v>2725</v>
      </c>
      <c r="J365" s="1" t="s">
        <v>2726</v>
      </c>
      <c r="K365">
        <v>365243</v>
      </c>
      <c r="L365" s="1" t="s">
        <v>2727</v>
      </c>
    </row>
    <row r="366" spans="1:12" x14ac:dyDescent="0.25">
      <c r="A366">
        <v>364</v>
      </c>
      <c r="B366" s="1" t="s">
        <v>2728</v>
      </c>
      <c r="C366" s="1" t="s">
        <v>2729</v>
      </c>
      <c r="D366" s="1" t="s">
        <v>2730</v>
      </c>
      <c r="E366" s="1" t="s">
        <v>2731</v>
      </c>
      <c r="F366" s="1" t="s">
        <v>1925</v>
      </c>
      <c r="G366">
        <v>-12099</v>
      </c>
      <c r="H366">
        <v>-1180</v>
      </c>
      <c r="I366" s="1" t="s">
        <v>2732</v>
      </c>
      <c r="J366" s="1" t="s">
        <v>2733</v>
      </c>
      <c r="K366">
        <v>-4613</v>
      </c>
      <c r="L366" s="1" t="s">
        <v>2734</v>
      </c>
    </row>
    <row r="367" spans="1:12" x14ac:dyDescent="0.25">
      <c r="A367">
        <v>365</v>
      </c>
      <c r="B367" s="1" t="s">
        <v>2735</v>
      </c>
      <c r="C367" s="1" t="s">
        <v>2736</v>
      </c>
      <c r="D367" s="1" t="s">
        <v>1154</v>
      </c>
      <c r="E367" s="1" t="s">
        <v>2737</v>
      </c>
      <c r="F367" s="1" t="s">
        <v>2738</v>
      </c>
      <c r="G367">
        <v>-16624</v>
      </c>
      <c r="H367">
        <v>-168</v>
      </c>
      <c r="I367" s="1" t="s">
        <v>2739</v>
      </c>
      <c r="J367" s="1" t="s">
        <v>2740</v>
      </c>
      <c r="K367">
        <v>-3848</v>
      </c>
      <c r="L367" s="1" t="s">
        <v>2741</v>
      </c>
    </row>
    <row r="368" spans="1:12" x14ac:dyDescent="0.25">
      <c r="A368">
        <v>366</v>
      </c>
      <c r="B368" s="1" t="s">
        <v>2742</v>
      </c>
      <c r="C368" s="1" t="s">
        <v>2743</v>
      </c>
      <c r="D368" s="1" t="s">
        <v>2744</v>
      </c>
      <c r="E368" s="1" t="s">
        <v>2745</v>
      </c>
      <c r="F368" s="1" t="s">
        <v>2746</v>
      </c>
      <c r="G368">
        <v>-15205</v>
      </c>
      <c r="H368">
        <v>-4291</v>
      </c>
      <c r="I368" s="1" t="s">
        <v>2747</v>
      </c>
      <c r="J368" s="1" t="s">
        <v>2748</v>
      </c>
      <c r="K368">
        <v>-3171</v>
      </c>
      <c r="L368" s="1" t="s">
        <v>2749</v>
      </c>
    </row>
    <row r="369" spans="1:12" x14ac:dyDescent="0.25">
      <c r="A369">
        <v>367</v>
      </c>
      <c r="B369" s="1" t="s">
        <v>2750</v>
      </c>
      <c r="C369" s="1" t="s">
        <v>2751</v>
      </c>
      <c r="D369" s="1" t="s">
        <v>2752</v>
      </c>
      <c r="E369" s="1" t="s">
        <v>2753</v>
      </c>
      <c r="F369" s="1" t="s">
        <v>2754</v>
      </c>
      <c r="G369">
        <v>-12362</v>
      </c>
      <c r="H369">
        <v>-3765</v>
      </c>
      <c r="I369" s="1" t="s">
        <v>2755</v>
      </c>
      <c r="J369" s="1" t="s">
        <v>2756</v>
      </c>
      <c r="K369">
        <v>-4076</v>
      </c>
      <c r="L369" s="1" t="s">
        <v>2757</v>
      </c>
    </row>
    <row r="370" spans="1:12" x14ac:dyDescent="0.25">
      <c r="A370">
        <v>368</v>
      </c>
      <c r="B370" s="1" t="s">
        <v>2758</v>
      </c>
      <c r="C370" s="1" t="s">
        <v>2759</v>
      </c>
      <c r="D370" s="1" t="s">
        <v>159</v>
      </c>
      <c r="E370" s="1" t="s">
        <v>2760</v>
      </c>
      <c r="F370" s="1" t="s">
        <v>2761</v>
      </c>
      <c r="G370">
        <v>-15685</v>
      </c>
      <c r="H370">
        <v>-4530</v>
      </c>
      <c r="I370" s="1" t="s">
        <v>2762</v>
      </c>
      <c r="J370" s="1" t="s">
        <v>2763</v>
      </c>
      <c r="K370">
        <v>-1263</v>
      </c>
      <c r="L370" s="1" t="s">
        <v>2764</v>
      </c>
    </row>
    <row r="371" spans="1:12" x14ac:dyDescent="0.25">
      <c r="A371">
        <v>369</v>
      </c>
      <c r="B371" s="1" t="s">
        <v>2765</v>
      </c>
      <c r="C371" s="1" t="s">
        <v>2766</v>
      </c>
      <c r="D371" s="1" t="s">
        <v>1999</v>
      </c>
      <c r="E371" s="1" t="s">
        <v>2767</v>
      </c>
      <c r="F371" s="1" t="s">
        <v>2768</v>
      </c>
      <c r="G371">
        <v>-17241</v>
      </c>
      <c r="H371">
        <v>-723</v>
      </c>
      <c r="I371" s="1" t="s">
        <v>2769</v>
      </c>
      <c r="J371" s="1" t="s">
        <v>2770</v>
      </c>
      <c r="K371">
        <v>-1235</v>
      </c>
      <c r="L371" s="1" t="s">
        <v>2771</v>
      </c>
    </row>
    <row r="372" spans="1:12" x14ac:dyDescent="0.25">
      <c r="A372">
        <v>370</v>
      </c>
      <c r="B372" s="1" t="s">
        <v>2772</v>
      </c>
      <c r="C372" s="1" t="s">
        <v>2773</v>
      </c>
      <c r="D372" s="1" t="s">
        <v>110</v>
      </c>
      <c r="E372" s="1" t="s">
        <v>2774</v>
      </c>
      <c r="F372" s="1" t="s">
        <v>2775</v>
      </c>
      <c r="G372">
        <v>-20837</v>
      </c>
      <c r="H372">
        <v>-4108</v>
      </c>
      <c r="I372" s="1" t="s">
        <v>2776</v>
      </c>
      <c r="J372" s="1" t="s">
        <v>2777</v>
      </c>
      <c r="K372">
        <v>-1840</v>
      </c>
      <c r="L372" s="1" t="s">
        <v>2778</v>
      </c>
    </row>
    <row r="373" spans="1:12" x14ac:dyDescent="0.25">
      <c r="A373">
        <v>371</v>
      </c>
      <c r="B373" s="1" t="s">
        <v>2779</v>
      </c>
      <c r="C373" s="1" t="s">
        <v>2780</v>
      </c>
      <c r="D373" s="1" t="s">
        <v>1467</v>
      </c>
      <c r="E373" s="1" t="s">
        <v>2781</v>
      </c>
      <c r="F373" s="1" t="s">
        <v>2782</v>
      </c>
      <c r="G373">
        <v>-17470</v>
      </c>
      <c r="H373">
        <v>-1003</v>
      </c>
      <c r="I373" s="1" t="s">
        <v>2783</v>
      </c>
      <c r="J373" s="1" t="s">
        <v>2784</v>
      </c>
      <c r="K373">
        <v>-2904</v>
      </c>
      <c r="L373" s="1" t="s">
        <v>2785</v>
      </c>
    </row>
    <row r="374" spans="1:12" x14ac:dyDescent="0.25">
      <c r="A374">
        <v>372</v>
      </c>
      <c r="B374" s="1" t="s">
        <v>2786</v>
      </c>
      <c r="C374" s="1" t="s">
        <v>2787</v>
      </c>
      <c r="D374" s="1" t="s">
        <v>2656</v>
      </c>
      <c r="E374" s="1" t="s">
        <v>2788</v>
      </c>
      <c r="F374" s="1" t="s">
        <v>2789</v>
      </c>
      <c r="G374">
        <v>-12565</v>
      </c>
      <c r="H374">
        <v>-4008</v>
      </c>
      <c r="I374" s="1" t="s">
        <v>2790</v>
      </c>
      <c r="J374" s="1" t="s">
        <v>2791</v>
      </c>
      <c r="K374">
        <v>-4986</v>
      </c>
      <c r="L374" s="1" t="s">
        <v>2792</v>
      </c>
    </row>
    <row r="375" spans="1:12" x14ac:dyDescent="0.25">
      <c r="A375">
        <v>373</v>
      </c>
      <c r="B375" s="1" t="s">
        <v>2793</v>
      </c>
      <c r="C375" s="1" t="s">
        <v>2794</v>
      </c>
      <c r="D375" s="1" t="s">
        <v>2795</v>
      </c>
      <c r="E375" s="1" t="s">
        <v>2796</v>
      </c>
      <c r="F375" s="1" t="s">
        <v>2797</v>
      </c>
      <c r="G375">
        <v>-12495</v>
      </c>
      <c r="H375">
        <v>-328</v>
      </c>
      <c r="I375" s="1" t="s">
        <v>2798</v>
      </c>
      <c r="J375" s="1" t="s">
        <v>2799</v>
      </c>
      <c r="K375">
        <v>-2214</v>
      </c>
      <c r="L375" s="1" t="s">
        <v>2800</v>
      </c>
    </row>
    <row r="376" spans="1:12" x14ac:dyDescent="0.25">
      <c r="A376">
        <v>374</v>
      </c>
      <c r="B376" s="1" t="s">
        <v>2801</v>
      </c>
      <c r="C376" s="1" t="s">
        <v>2802</v>
      </c>
      <c r="D376" s="1" t="s">
        <v>2744</v>
      </c>
      <c r="E376" s="1" t="s">
        <v>2803</v>
      </c>
      <c r="F376" s="1" t="s">
        <v>2804</v>
      </c>
      <c r="G376">
        <v>-13931</v>
      </c>
      <c r="H376">
        <v>-4679</v>
      </c>
      <c r="I376" s="1" t="s">
        <v>2805</v>
      </c>
      <c r="J376" s="1" t="s">
        <v>2806</v>
      </c>
      <c r="K376">
        <v>-6336</v>
      </c>
      <c r="L376" s="1" t="s">
        <v>2807</v>
      </c>
    </row>
    <row r="377" spans="1:12" x14ac:dyDescent="0.25">
      <c r="A377">
        <v>375</v>
      </c>
      <c r="B377" s="1" t="s">
        <v>2808</v>
      </c>
      <c r="C377" s="1" t="s">
        <v>2809</v>
      </c>
      <c r="D377" s="1" t="s">
        <v>2810</v>
      </c>
      <c r="E377" s="1" t="s">
        <v>2811</v>
      </c>
      <c r="F377" s="1" t="s">
        <v>2812</v>
      </c>
      <c r="G377">
        <v>-17857</v>
      </c>
      <c r="H377">
        <v>-1392</v>
      </c>
      <c r="I377" s="1" t="s">
        <v>2813</v>
      </c>
      <c r="J377" s="1" t="s">
        <v>2814</v>
      </c>
      <c r="K377">
        <v>-2959</v>
      </c>
      <c r="L377" s="1" t="s">
        <v>2815</v>
      </c>
    </row>
    <row r="378" spans="1:12" x14ac:dyDescent="0.25">
      <c r="A378">
        <v>376</v>
      </c>
      <c r="B378" s="1" t="s">
        <v>2816</v>
      </c>
      <c r="C378" s="1" t="s">
        <v>2817</v>
      </c>
      <c r="D378" s="1" t="s">
        <v>1069</v>
      </c>
      <c r="E378" s="1" t="s">
        <v>2818</v>
      </c>
      <c r="F378" s="1" t="s">
        <v>2819</v>
      </c>
      <c r="G378">
        <v>-10508</v>
      </c>
      <c r="H378">
        <v>-3163</v>
      </c>
      <c r="I378" s="1" t="s">
        <v>2820</v>
      </c>
      <c r="J378" s="1" t="s">
        <v>2821</v>
      </c>
      <c r="K378">
        <v>-1354</v>
      </c>
      <c r="L378" s="1" t="s">
        <v>2822</v>
      </c>
    </row>
    <row r="379" spans="1:12" x14ac:dyDescent="0.25">
      <c r="A379">
        <v>377</v>
      </c>
      <c r="B379" s="1" t="s">
        <v>2823</v>
      </c>
      <c r="C379" s="1" t="s">
        <v>2824</v>
      </c>
      <c r="D379" s="1" t="s">
        <v>54</v>
      </c>
      <c r="E379" s="1" t="s">
        <v>2825</v>
      </c>
      <c r="F379" s="1" t="s">
        <v>2826</v>
      </c>
      <c r="G379">
        <v>-17739</v>
      </c>
      <c r="H379">
        <v>-1081</v>
      </c>
      <c r="I379" s="1" t="s">
        <v>2827</v>
      </c>
      <c r="J379" s="1" t="s">
        <v>2201</v>
      </c>
      <c r="K379">
        <v>-2428</v>
      </c>
      <c r="L379" s="1" t="s">
        <v>2202</v>
      </c>
    </row>
    <row r="380" spans="1:12" x14ac:dyDescent="0.25">
      <c r="A380">
        <v>378</v>
      </c>
      <c r="B380" s="1" t="s">
        <v>2828</v>
      </c>
      <c r="C380" s="1" t="s">
        <v>2829</v>
      </c>
      <c r="D380" s="1" t="s">
        <v>2088</v>
      </c>
      <c r="E380" s="1" t="s">
        <v>2830</v>
      </c>
      <c r="F380" s="1" t="s">
        <v>2831</v>
      </c>
      <c r="G380">
        <v>-15715</v>
      </c>
      <c r="H380">
        <v>-1800</v>
      </c>
      <c r="I380" s="1" t="s">
        <v>2832</v>
      </c>
      <c r="J380" s="1" t="s">
        <v>2833</v>
      </c>
      <c r="K380">
        <v>-932</v>
      </c>
      <c r="L380" s="1" t="s">
        <v>2834</v>
      </c>
    </row>
    <row r="381" spans="1:12" x14ac:dyDescent="0.25">
      <c r="A381">
        <v>379</v>
      </c>
      <c r="B381" s="1" t="s">
        <v>2835</v>
      </c>
      <c r="C381" s="1" t="s">
        <v>2836</v>
      </c>
      <c r="D381" s="1" t="s">
        <v>2837</v>
      </c>
      <c r="E381" s="1" t="s">
        <v>2838</v>
      </c>
      <c r="F381" s="1" t="s">
        <v>2839</v>
      </c>
      <c r="G381">
        <v>-17181</v>
      </c>
      <c r="H381">
        <v>-710</v>
      </c>
      <c r="I381" s="1" t="s">
        <v>1441</v>
      </c>
      <c r="J381" s="1" t="s">
        <v>198</v>
      </c>
      <c r="K381">
        <v>-8494</v>
      </c>
      <c r="L381" s="1" t="s">
        <v>2840</v>
      </c>
    </row>
    <row r="382" spans="1:12" x14ac:dyDescent="0.25">
      <c r="A382">
        <v>380</v>
      </c>
      <c r="B382" s="1" t="s">
        <v>2841</v>
      </c>
      <c r="C382" s="1" t="s">
        <v>2842</v>
      </c>
      <c r="D382" s="1" t="s">
        <v>2843</v>
      </c>
      <c r="E382" s="1" t="s">
        <v>2844</v>
      </c>
      <c r="F382" s="1" t="s">
        <v>2845</v>
      </c>
      <c r="G382">
        <v>-12337</v>
      </c>
      <c r="H382">
        <v>-2759</v>
      </c>
      <c r="I382" s="1" t="s">
        <v>2846</v>
      </c>
      <c r="J382" s="1" t="s">
        <v>2847</v>
      </c>
      <c r="K382">
        <v>-3858</v>
      </c>
      <c r="L382" s="1" t="s">
        <v>2848</v>
      </c>
    </row>
    <row r="383" spans="1:12" x14ac:dyDescent="0.25">
      <c r="A383">
        <v>381</v>
      </c>
      <c r="B383" s="1" t="s">
        <v>2849</v>
      </c>
      <c r="C383" s="1" t="s">
        <v>2850</v>
      </c>
      <c r="D383" s="1" t="s">
        <v>1656</v>
      </c>
      <c r="E383" s="1" t="s">
        <v>2851</v>
      </c>
      <c r="F383" s="1" t="s">
        <v>2852</v>
      </c>
      <c r="G383">
        <v>-13768</v>
      </c>
      <c r="H383">
        <v>-1957</v>
      </c>
      <c r="I383" s="1" t="s">
        <v>2853</v>
      </c>
      <c r="J383" s="1" t="s">
        <v>2511</v>
      </c>
      <c r="K383">
        <v>-3124</v>
      </c>
      <c r="L383" s="1" t="s">
        <v>2854</v>
      </c>
    </row>
    <row r="384" spans="1:12" x14ac:dyDescent="0.25">
      <c r="A384">
        <v>382</v>
      </c>
      <c r="B384" s="1" t="s">
        <v>2855</v>
      </c>
      <c r="C384" s="1" t="s">
        <v>2856</v>
      </c>
      <c r="D384" s="1" t="s">
        <v>2857</v>
      </c>
      <c r="E384" s="1" t="s">
        <v>2858</v>
      </c>
      <c r="F384" s="1" t="s">
        <v>2859</v>
      </c>
      <c r="G384">
        <v>-14943</v>
      </c>
      <c r="H384">
        <v>-1179</v>
      </c>
      <c r="I384" s="1" t="s">
        <v>2860</v>
      </c>
      <c r="J384" s="1" t="s">
        <v>2072</v>
      </c>
      <c r="K384">
        <v>-7406</v>
      </c>
      <c r="L384" s="1" t="s">
        <v>2861</v>
      </c>
    </row>
    <row r="385" spans="1:12" x14ac:dyDescent="0.25">
      <c r="A385">
        <v>383</v>
      </c>
      <c r="B385" s="1" t="s">
        <v>2862</v>
      </c>
      <c r="C385" s="1" t="s">
        <v>2863</v>
      </c>
      <c r="D385" s="1" t="s">
        <v>1961</v>
      </c>
      <c r="E385" s="1" t="s">
        <v>2864</v>
      </c>
      <c r="F385" s="1" t="s">
        <v>2865</v>
      </c>
      <c r="G385">
        <v>-15936</v>
      </c>
      <c r="H385">
        <v>-637</v>
      </c>
      <c r="I385" s="1" t="s">
        <v>2866</v>
      </c>
      <c r="J385" s="1" t="s">
        <v>2867</v>
      </c>
      <c r="K385">
        <v>-3890</v>
      </c>
      <c r="L385" s="1" t="s">
        <v>2868</v>
      </c>
    </row>
    <row r="386" spans="1:12" x14ac:dyDescent="0.25">
      <c r="A386">
        <v>384</v>
      </c>
      <c r="B386" s="1" t="s">
        <v>2869</v>
      </c>
      <c r="C386" s="1" t="s">
        <v>2870</v>
      </c>
      <c r="D386" s="1" t="s">
        <v>2871</v>
      </c>
      <c r="E386" s="1" t="s">
        <v>2872</v>
      </c>
      <c r="F386" s="1" t="s">
        <v>2873</v>
      </c>
      <c r="G386">
        <v>-13059</v>
      </c>
      <c r="H386">
        <v>-5515</v>
      </c>
      <c r="I386" s="1" t="s">
        <v>2874</v>
      </c>
      <c r="J386" s="1" t="s">
        <v>2048</v>
      </c>
      <c r="K386">
        <v>-4466</v>
      </c>
      <c r="L386" s="1" t="s">
        <v>2049</v>
      </c>
    </row>
    <row r="387" spans="1:12" x14ac:dyDescent="0.25">
      <c r="A387">
        <v>385</v>
      </c>
      <c r="B387" s="1" t="s">
        <v>2875</v>
      </c>
      <c r="C387" s="1" t="s">
        <v>2876</v>
      </c>
      <c r="D387" s="1" t="s">
        <v>2877</v>
      </c>
      <c r="E387" s="1" t="s">
        <v>2878</v>
      </c>
      <c r="F387" s="1" t="s">
        <v>2879</v>
      </c>
      <c r="G387">
        <v>-20731</v>
      </c>
      <c r="H387">
        <v>-4277</v>
      </c>
      <c r="I387" s="1" t="s">
        <v>2880</v>
      </c>
      <c r="J387" s="1" t="s">
        <v>2881</v>
      </c>
      <c r="K387">
        <v>-12917</v>
      </c>
      <c r="L387" s="1" t="s">
        <v>2882</v>
      </c>
    </row>
    <row r="388" spans="1:12" x14ac:dyDescent="0.25">
      <c r="A388">
        <v>386</v>
      </c>
      <c r="B388" s="1" t="s">
        <v>2883</v>
      </c>
      <c r="C388" s="1" t="s">
        <v>2884</v>
      </c>
      <c r="D388" s="1" t="s">
        <v>2885</v>
      </c>
      <c r="E388" s="1" t="s">
        <v>2886</v>
      </c>
      <c r="F388" s="1" t="s">
        <v>2887</v>
      </c>
      <c r="G388">
        <v>-15038</v>
      </c>
      <c r="H388">
        <v>-4976</v>
      </c>
      <c r="I388" s="1" t="s">
        <v>2888</v>
      </c>
      <c r="J388" s="1" t="s">
        <v>2889</v>
      </c>
      <c r="K388">
        <v>-533</v>
      </c>
      <c r="L388" s="1" t="s">
        <v>2890</v>
      </c>
    </row>
    <row r="389" spans="1:12" x14ac:dyDescent="0.25">
      <c r="A389">
        <v>387</v>
      </c>
      <c r="B389" s="1" t="s">
        <v>2891</v>
      </c>
      <c r="C389" s="1" t="s">
        <v>2892</v>
      </c>
      <c r="D389" s="1" t="s">
        <v>2893</v>
      </c>
      <c r="E389" s="1" t="s">
        <v>2894</v>
      </c>
      <c r="F389" s="1" t="s">
        <v>2895</v>
      </c>
      <c r="G389">
        <v>-17289</v>
      </c>
      <c r="H389">
        <v>-840</v>
      </c>
      <c r="I389" s="1" t="s">
        <v>2896</v>
      </c>
      <c r="J389" s="1" t="s">
        <v>2897</v>
      </c>
      <c r="K389">
        <v>-1577</v>
      </c>
      <c r="L389" s="1" t="s">
        <v>2898</v>
      </c>
    </row>
    <row r="390" spans="1:12" x14ac:dyDescent="0.25">
      <c r="A390">
        <v>388</v>
      </c>
      <c r="B390" s="1" t="s">
        <v>2899</v>
      </c>
      <c r="C390" s="1" t="s">
        <v>2900</v>
      </c>
      <c r="D390" s="1" t="s">
        <v>2901</v>
      </c>
      <c r="E390" s="1" t="s">
        <v>2902</v>
      </c>
      <c r="F390" s="1" t="s">
        <v>2903</v>
      </c>
      <c r="G390">
        <v>-21142</v>
      </c>
      <c r="H390">
        <v>-4330</v>
      </c>
      <c r="I390" s="1" t="s">
        <v>2904</v>
      </c>
      <c r="J390" s="1" t="s">
        <v>2905</v>
      </c>
      <c r="K390">
        <v>365243</v>
      </c>
      <c r="L390" s="1" t="s">
        <v>2906</v>
      </c>
    </row>
    <row r="391" spans="1:12" x14ac:dyDescent="0.25">
      <c r="A391">
        <v>389</v>
      </c>
      <c r="B391" s="1" t="s">
        <v>2907</v>
      </c>
      <c r="C391" s="1" t="s">
        <v>2908</v>
      </c>
      <c r="D391" s="1" t="s">
        <v>1803</v>
      </c>
      <c r="E391" s="1" t="s">
        <v>2909</v>
      </c>
      <c r="F391" s="1" t="s">
        <v>2910</v>
      </c>
      <c r="G391">
        <v>-20371</v>
      </c>
      <c r="H391">
        <v>-3869</v>
      </c>
      <c r="I391" s="1" t="s">
        <v>2911</v>
      </c>
      <c r="J391" s="1" t="s">
        <v>2912</v>
      </c>
      <c r="K391">
        <v>-540</v>
      </c>
      <c r="L391" s="1" t="s">
        <v>2913</v>
      </c>
    </row>
    <row r="392" spans="1:12" x14ac:dyDescent="0.25">
      <c r="A392">
        <v>390</v>
      </c>
      <c r="B392" s="1" t="s">
        <v>2914</v>
      </c>
      <c r="C392" s="1" t="s">
        <v>2915</v>
      </c>
      <c r="D392" s="1" t="s">
        <v>2916</v>
      </c>
      <c r="E392" s="1" t="s">
        <v>2917</v>
      </c>
      <c r="F392" s="1" t="s">
        <v>2918</v>
      </c>
      <c r="G392">
        <v>-10644</v>
      </c>
      <c r="H392">
        <v>-2888</v>
      </c>
      <c r="I392" s="1" t="s">
        <v>2919</v>
      </c>
      <c r="J392" s="1" t="s">
        <v>2920</v>
      </c>
      <c r="K392">
        <v>-469</v>
      </c>
      <c r="L392" s="1" t="s">
        <v>2921</v>
      </c>
    </row>
    <row r="393" spans="1:12" x14ac:dyDescent="0.25">
      <c r="A393">
        <v>391</v>
      </c>
      <c r="B393" s="1" t="s">
        <v>2922</v>
      </c>
      <c r="C393" s="1" t="s">
        <v>2923</v>
      </c>
      <c r="D393" s="1" t="s">
        <v>2924</v>
      </c>
      <c r="E393" s="1" t="s">
        <v>2925</v>
      </c>
      <c r="F393" s="1" t="s">
        <v>2926</v>
      </c>
      <c r="G393">
        <v>-14106</v>
      </c>
      <c r="H393">
        <v>-4413</v>
      </c>
      <c r="I393" s="1" t="s">
        <v>2927</v>
      </c>
      <c r="J393" s="1" t="s">
        <v>2928</v>
      </c>
      <c r="K393">
        <v>-3764</v>
      </c>
      <c r="L393" s="1" t="s">
        <v>2929</v>
      </c>
    </row>
    <row r="394" spans="1:12" x14ac:dyDescent="0.25">
      <c r="A394">
        <v>392</v>
      </c>
      <c r="B394" s="1" t="s">
        <v>2930</v>
      </c>
      <c r="C394" s="1" t="s">
        <v>2931</v>
      </c>
      <c r="D394" s="1" t="s">
        <v>2932</v>
      </c>
      <c r="E394" s="1" t="s">
        <v>2933</v>
      </c>
      <c r="F394" s="1" t="s">
        <v>2934</v>
      </c>
      <c r="G394">
        <v>-14339</v>
      </c>
      <c r="H394">
        <v>-4599</v>
      </c>
      <c r="I394" s="1" t="s">
        <v>2935</v>
      </c>
      <c r="J394" s="1" t="s">
        <v>2936</v>
      </c>
      <c r="K394">
        <v>-6892</v>
      </c>
      <c r="L394" s="1" t="s">
        <v>2937</v>
      </c>
    </row>
    <row r="395" spans="1:12" x14ac:dyDescent="0.25">
      <c r="A395">
        <v>393</v>
      </c>
      <c r="B395" s="1" t="s">
        <v>2938</v>
      </c>
      <c r="C395" s="1" t="s">
        <v>2939</v>
      </c>
      <c r="D395" s="1" t="s">
        <v>2044</v>
      </c>
      <c r="E395" s="1" t="s">
        <v>2940</v>
      </c>
      <c r="F395" s="1" t="s">
        <v>2941</v>
      </c>
      <c r="G395">
        <v>-14119</v>
      </c>
      <c r="H395">
        <v>-4378</v>
      </c>
      <c r="I395" s="1" t="s">
        <v>1189</v>
      </c>
      <c r="J395" s="1" t="s">
        <v>198</v>
      </c>
      <c r="K395">
        <v>-2401</v>
      </c>
      <c r="L395" s="1" t="s">
        <v>946</v>
      </c>
    </row>
    <row r="396" spans="1:12" x14ac:dyDescent="0.25">
      <c r="A396">
        <v>394</v>
      </c>
      <c r="B396" s="1" t="s">
        <v>2942</v>
      </c>
      <c r="C396" s="1" t="s">
        <v>2943</v>
      </c>
      <c r="D396" s="1" t="s">
        <v>2944</v>
      </c>
      <c r="E396" s="1" t="s">
        <v>2945</v>
      </c>
      <c r="F396" s="1" t="s">
        <v>2946</v>
      </c>
      <c r="G396">
        <v>-23265</v>
      </c>
      <c r="H396">
        <v>-4709</v>
      </c>
      <c r="I396" s="1" t="s">
        <v>378</v>
      </c>
      <c r="J396" s="1" t="s">
        <v>198</v>
      </c>
      <c r="K396">
        <v>365243</v>
      </c>
      <c r="L396" s="1" t="s">
        <v>744</v>
      </c>
    </row>
    <row r="397" spans="1:12" x14ac:dyDescent="0.25">
      <c r="A397">
        <v>395</v>
      </c>
      <c r="B397" s="1" t="s">
        <v>2947</v>
      </c>
      <c r="C397" s="1" t="s">
        <v>2948</v>
      </c>
      <c r="D397" s="1" t="s">
        <v>2949</v>
      </c>
      <c r="E397" s="1" t="s">
        <v>2950</v>
      </c>
      <c r="F397" s="1" t="s">
        <v>2951</v>
      </c>
      <c r="G397">
        <v>-13291</v>
      </c>
      <c r="H397">
        <v>-3907</v>
      </c>
      <c r="I397" s="1" t="s">
        <v>2952</v>
      </c>
      <c r="J397" s="1" t="s">
        <v>2953</v>
      </c>
      <c r="K397">
        <v>-248</v>
      </c>
      <c r="L397" s="1" t="s">
        <v>2954</v>
      </c>
    </row>
    <row r="398" spans="1:12" x14ac:dyDescent="0.25">
      <c r="A398">
        <v>396</v>
      </c>
      <c r="B398" s="1" t="s">
        <v>2955</v>
      </c>
      <c r="C398" s="1" t="s">
        <v>2956</v>
      </c>
      <c r="D398" s="1" t="s">
        <v>2957</v>
      </c>
      <c r="E398" s="1" t="s">
        <v>2958</v>
      </c>
      <c r="F398" s="1" t="s">
        <v>2959</v>
      </c>
      <c r="G398">
        <v>-15409</v>
      </c>
      <c r="H398">
        <v>-3899</v>
      </c>
      <c r="I398" s="1" t="s">
        <v>2960</v>
      </c>
      <c r="J398" s="1" t="s">
        <v>2961</v>
      </c>
      <c r="K398">
        <v>-7518</v>
      </c>
      <c r="L398" s="1" t="s">
        <v>2962</v>
      </c>
    </row>
    <row r="399" spans="1:12" x14ac:dyDescent="0.25">
      <c r="A399">
        <v>397</v>
      </c>
      <c r="B399" s="1" t="s">
        <v>2963</v>
      </c>
      <c r="C399" s="1" t="s">
        <v>2964</v>
      </c>
      <c r="D399" s="1" t="s">
        <v>54</v>
      </c>
      <c r="E399" s="1" t="s">
        <v>2965</v>
      </c>
      <c r="F399" s="1" t="s">
        <v>2966</v>
      </c>
      <c r="G399">
        <v>-14202</v>
      </c>
      <c r="H399">
        <v>-214</v>
      </c>
      <c r="I399" s="1" t="s">
        <v>197</v>
      </c>
      <c r="J399" s="1" t="s">
        <v>198</v>
      </c>
      <c r="K399">
        <v>-502</v>
      </c>
      <c r="L399" s="1" t="s">
        <v>946</v>
      </c>
    </row>
    <row r="400" spans="1:12" x14ac:dyDescent="0.25">
      <c r="A400">
        <v>398</v>
      </c>
      <c r="B400" s="1" t="s">
        <v>2967</v>
      </c>
      <c r="C400" s="1" t="s">
        <v>2968</v>
      </c>
      <c r="D400" s="1" t="s">
        <v>1769</v>
      </c>
      <c r="E400" s="1" t="s">
        <v>2969</v>
      </c>
      <c r="F400" s="1" t="s">
        <v>2970</v>
      </c>
      <c r="G400">
        <v>-13203</v>
      </c>
      <c r="H400">
        <v>-3988</v>
      </c>
      <c r="I400" s="1" t="s">
        <v>2971</v>
      </c>
      <c r="J400" s="1" t="s">
        <v>2972</v>
      </c>
      <c r="K400">
        <v>-3230</v>
      </c>
      <c r="L400" s="1" t="s">
        <v>2973</v>
      </c>
    </row>
    <row r="401" spans="1:12" x14ac:dyDescent="0.25">
      <c r="A401">
        <v>399</v>
      </c>
      <c r="B401" s="1" t="s">
        <v>2974</v>
      </c>
      <c r="C401" s="1" t="s">
        <v>2975</v>
      </c>
      <c r="D401" s="1" t="s">
        <v>1077</v>
      </c>
      <c r="E401" s="1" t="s">
        <v>2976</v>
      </c>
      <c r="F401" s="1" t="s">
        <v>2977</v>
      </c>
      <c r="G401">
        <v>-14516</v>
      </c>
      <c r="H401">
        <v>-2370</v>
      </c>
      <c r="I401" s="1" t="s">
        <v>2978</v>
      </c>
      <c r="J401" s="1" t="s">
        <v>2979</v>
      </c>
      <c r="K401">
        <v>-2007</v>
      </c>
      <c r="L401" s="1" t="s">
        <v>2980</v>
      </c>
    </row>
    <row r="402" spans="1:12" x14ac:dyDescent="0.25">
      <c r="A402">
        <v>400</v>
      </c>
      <c r="B402" s="1" t="s">
        <v>2981</v>
      </c>
      <c r="C402" s="1" t="s">
        <v>2982</v>
      </c>
      <c r="D402" s="1" t="s">
        <v>2877</v>
      </c>
      <c r="E402" s="1" t="s">
        <v>2983</v>
      </c>
      <c r="F402" s="1" t="s">
        <v>2984</v>
      </c>
      <c r="G402">
        <v>-13055</v>
      </c>
      <c r="H402">
        <v>-3373</v>
      </c>
      <c r="I402" s="1" t="s">
        <v>2985</v>
      </c>
      <c r="J402" s="1" t="s">
        <v>1711</v>
      </c>
      <c r="K402">
        <v>-2574</v>
      </c>
      <c r="L402" s="1" t="s">
        <v>1712</v>
      </c>
    </row>
    <row r="403" spans="1:12" x14ac:dyDescent="0.25">
      <c r="A403">
        <v>401</v>
      </c>
      <c r="B403" s="1" t="s">
        <v>2986</v>
      </c>
      <c r="C403" s="1" t="s">
        <v>2987</v>
      </c>
      <c r="D403" s="1" t="s">
        <v>2988</v>
      </c>
      <c r="E403" s="1" t="s">
        <v>2989</v>
      </c>
      <c r="F403" s="1" t="s">
        <v>2990</v>
      </c>
      <c r="G403">
        <v>-13868</v>
      </c>
      <c r="H403">
        <v>-5396</v>
      </c>
      <c r="I403" s="1" t="s">
        <v>2991</v>
      </c>
      <c r="J403" s="1" t="s">
        <v>2992</v>
      </c>
      <c r="K403">
        <v>-3008</v>
      </c>
      <c r="L403" s="1" t="s">
        <v>2993</v>
      </c>
    </row>
    <row r="404" spans="1:12" x14ac:dyDescent="0.25">
      <c r="A404">
        <v>402</v>
      </c>
      <c r="B404" s="1" t="s">
        <v>2994</v>
      </c>
      <c r="C404" s="1" t="s">
        <v>2995</v>
      </c>
      <c r="D404" s="1" t="s">
        <v>1475</v>
      </c>
      <c r="E404" s="1" t="s">
        <v>2996</v>
      </c>
      <c r="F404" s="1" t="s">
        <v>2997</v>
      </c>
      <c r="G404">
        <v>-13546</v>
      </c>
      <c r="H404">
        <v>-4329</v>
      </c>
      <c r="I404" s="1" t="s">
        <v>2998</v>
      </c>
      <c r="J404" s="1" t="s">
        <v>2999</v>
      </c>
      <c r="K404">
        <v>-47</v>
      </c>
      <c r="L404" s="1" t="s">
        <v>3000</v>
      </c>
    </row>
    <row r="405" spans="1:12" x14ac:dyDescent="0.25">
      <c r="A405">
        <v>403</v>
      </c>
      <c r="B405" s="1" t="s">
        <v>3001</v>
      </c>
      <c r="C405" s="1" t="s">
        <v>3002</v>
      </c>
      <c r="D405" s="1" t="s">
        <v>3003</v>
      </c>
      <c r="E405" s="1" t="s">
        <v>3004</v>
      </c>
      <c r="F405" s="1" t="s">
        <v>3005</v>
      </c>
      <c r="G405">
        <v>-13782</v>
      </c>
      <c r="H405">
        <v>-4395</v>
      </c>
      <c r="I405" s="1" t="s">
        <v>3006</v>
      </c>
      <c r="J405" s="1" t="s">
        <v>3007</v>
      </c>
      <c r="K405">
        <v>-455</v>
      </c>
      <c r="L405" s="1" t="s">
        <v>3008</v>
      </c>
    </row>
    <row r="406" spans="1:12" x14ac:dyDescent="0.25">
      <c r="A406">
        <v>404</v>
      </c>
      <c r="B406" s="1" t="s">
        <v>3009</v>
      </c>
      <c r="C406" s="1" t="s">
        <v>3010</v>
      </c>
      <c r="D406" s="1" t="s">
        <v>3011</v>
      </c>
      <c r="E406" s="1" t="s">
        <v>3012</v>
      </c>
      <c r="F406" s="1" t="s">
        <v>3013</v>
      </c>
      <c r="G406">
        <v>-13120</v>
      </c>
      <c r="H406">
        <v>-4340</v>
      </c>
      <c r="I406" s="1" t="s">
        <v>3014</v>
      </c>
      <c r="J406" s="1" t="s">
        <v>3015</v>
      </c>
      <c r="K406">
        <v>-1148</v>
      </c>
      <c r="L406" s="1" t="s">
        <v>3016</v>
      </c>
    </row>
    <row r="407" spans="1:12" x14ac:dyDescent="0.25">
      <c r="A407">
        <v>405</v>
      </c>
      <c r="B407" s="1" t="s">
        <v>3017</v>
      </c>
      <c r="C407" s="1" t="s">
        <v>3018</v>
      </c>
      <c r="D407" s="1" t="s">
        <v>1069</v>
      </c>
      <c r="E407" s="1" t="s">
        <v>3019</v>
      </c>
      <c r="F407" s="1" t="s">
        <v>3020</v>
      </c>
      <c r="G407">
        <v>-10698</v>
      </c>
      <c r="H407">
        <v>-2860</v>
      </c>
      <c r="I407" s="1" t="s">
        <v>3021</v>
      </c>
      <c r="J407" s="1" t="s">
        <v>3022</v>
      </c>
      <c r="K407">
        <v>-269</v>
      </c>
      <c r="L407" s="1" t="s">
        <v>3023</v>
      </c>
    </row>
    <row r="408" spans="1:12" x14ac:dyDescent="0.25">
      <c r="A408">
        <v>406</v>
      </c>
      <c r="B408" s="1" t="s">
        <v>3024</v>
      </c>
      <c r="C408" s="1" t="s">
        <v>3025</v>
      </c>
      <c r="D408" s="1" t="s">
        <v>3026</v>
      </c>
      <c r="E408" s="1" t="s">
        <v>3027</v>
      </c>
      <c r="F408" s="1" t="s">
        <v>3028</v>
      </c>
      <c r="G408">
        <v>-15988</v>
      </c>
      <c r="H408">
        <v>-4986</v>
      </c>
      <c r="I408" s="1" t="s">
        <v>3029</v>
      </c>
      <c r="J408" s="1" t="s">
        <v>3030</v>
      </c>
      <c r="K408">
        <v>-990</v>
      </c>
      <c r="L408" s="1" t="s">
        <v>3031</v>
      </c>
    </row>
    <row r="409" spans="1:12" x14ac:dyDescent="0.25">
      <c r="A409">
        <v>407</v>
      </c>
      <c r="B409" s="1" t="s">
        <v>3032</v>
      </c>
      <c r="C409" s="1" t="s">
        <v>3033</v>
      </c>
      <c r="D409" s="1" t="s">
        <v>47</v>
      </c>
      <c r="E409" s="1" t="s">
        <v>3034</v>
      </c>
      <c r="F409" s="1" t="s">
        <v>3035</v>
      </c>
      <c r="G409">
        <v>-12972</v>
      </c>
      <c r="H409">
        <v>-4075</v>
      </c>
      <c r="I409" s="1" t="s">
        <v>3036</v>
      </c>
      <c r="J409" s="1" t="s">
        <v>3037</v>
      </c>
      <c r="K409">
        <v>-3336</v>
      </c>
      <c r="L409" s="1" t="s">
        <v>3038</v>
      </c>
    </row>
    <row r="410" spans="1:12" x14ac:dyDescent="0.25">
      <c r="A410">
        <v>408</v>
      </c>
      <c r="B410" s="1" t="s">
        <v>3039</v>
      </c>
      <c r="C410" s="1" t="s">
        <v>3040</v>
      </c>
      <c r="D410" s="1" t="s">
        <v>1401</v>
      </c>
      <c r="E410" s="1" t="s">
        <v>3041</v>
      </c>
      <c r="F410" s="1" t="s">
        <v>3042</v>
      </c>
      <c r="G410">
        <v>-21470</v>
      </c>
      <c r="H410">
        <v>-4556</v>
      </c>
      <c r="I410" s="1" t="s">
        <v>3043</v>
      </c>
      <c r="J410" s="1" t="s">
        <v>1541</v>
      </c>
      <c r="K410">
        <v>365243</v>
      </c>
      <c r="L410" s="1" t="s">
        <v>3044</v>
      </c>
    </row>
    <row r="411" spans="1:12" x14ac:dyDescent="0.25">
      <c r="A411">
        <v>409</v>
      </c>
      <c r="B411" s="1" t="s">
        <v>3045</v>
      </c>
      <c r="C411" s="1" t="s">
        <v>3046</v>
      </c>
      <c r="D411" s="1" t="s">
        <v>1186</v>
      </c>
      <c r="E411" s="1" t="s">
        <v>3047</v>
      </c>
      <c r="F411" s="1" t="s">
        <v>3048</v>
      </c>
      <c r="G411">
        <v>-17655</v>
      </c>
      <c r="H411">
        <v>-1203</v>
      </c>
      <c r="I411" s="1" t="s">
        <v>3049</v>
      </c>
      <c r="J411" s="1" t="s">
        <v>1541</v>
      </c>
      <c r="K411">
        <v>-3129</v>
      </c>
      <c r="L411" s="1" t="s">
        <v>2626</v>
      </c>
    </row>
    <row r="412" spans="1:12" x14ac:dyDescent="0.25">
      <c r="A412">
        <v>410</v>
      </c>
      <c r="B412" s="1" t="s">
        <v>3050</v>
      </c>
      <c r="C412" s="1" t="s">
        <v>3051</v>
      </c>
      <c r="D412" s="1" t="s">
        <v>3052</v>
      </c>
      <c r="E412" s="1" t="s">
        <v>3053</v>
      </c>
      <c r="F412" s="1" t="s">
        <v>3054</v>
      </c>
      <c r="G412">
        <v>-21524</v>
      </c>
      <c r="H412">
        <v>-4950</v>
      </c>
      <c r="I412" s="1" t="s">
        <v>3055</v>
      </c>
      <c r="J412" s="1" t="s">
        <v>3056</v>
      </c>
      <c r="K412">
        <v>365243</v>
      </c>
      <c r="L412" s="1" t="s">
        <v>3057</v>
      </c>
    </row>
    <row r="413" spans="1:12" x14ac:dyDescent="0.25">
      <c r="A413">
        <v>411</v>
      </c>
      <c r="B413" s="1" t="s">
        <v>3058</v>
      </c>
      <c r="C413" s="1" t="s">
        <v>3059</v>
      </c>
      <c r="D413" s="1" t="s">
        <v>1640</v>
      </c>
      <c r="E413" s="1" t="s">
        <v>3060</v>
      </c>
      <c r="F413" s="1" t="s">
        <v>3061</v>
      </c>
      <c r="G413">
        <v>-13315</v>
      </c>
      <c r="H413">
        <v>-4174</v>
      </c>
      <c r="I413" s="1" t="s">
        <v>3062</v>
      </c>
      <c r="J413" s="1" t="s">
        <v>3063</v>
      </c>
      <c r="K413">
        <v>-5204</v>
      </c>
      <c r="L413" s="1" t="s">
        <v>1183</v>
      </c>
    </row>
    <row r="414" spans="1:12" x14ac:dyDescent="0.25">
      <c r="A414">
        <v>412</v>
      </c>
      <c r="B414" s="1" t="s">
        <v>3064</v>
      </c>
      <c r="C414" s="1" t="s">
        <v>3065</v>
      </c>
      <c r="D414" s="1" t="s">
        <v>3066</v>
      </c>
      <c r="E414" s="1" t="s">
        <v>3067</v>
      </c>
      <c r="F414" s="1" t="s">
        <v>3068</v>
      </c>
      <c r="G414">
        <v>-12841</v>
      </c>
      <c r="H414">
        <v>-4489</v>
      </c>
      <c r="I414" s="1" t="s">
        <v>511</v>
      </c>
      <c r="J414" s="1" t="s">
        <v>3069</v>
      </c>
      <c r="K414">
        <v>-642</v>
      </c>
      <c r="L414" s="1" t="s">
        <v>3070</v>
      </c>
    </row>
    <row r="415" spans="1:12" x14ac:dyDescent="0.25">
      <c r="A415">
        <v>413</v>
      </c>
      <c r="B415" s="1" t="s">
        <v>3071</v>
      </c>
      <c r="C415" s="1" t="s">
        <v>3072</v>
      </c>
      <c r="D415" s="1" t="s">
        <v>3073</v>
      </c>
      <c r="E415" s="1" t="s">
        <v>3074</v>
      </c>
      <c r="F415" s="1" t="s">
        <v>3075</v>
      </c>
      <c r="G415">
        <v>-18606</v>
      </c>
      <c r="H415">
        <v>-2146</v>
      </c>
      <c r="I415" s="1" t="s">
        <v>3076</v>
      </c>
      <c r="J415" s="1" t="s">
        <v>3077</v>
      </c>
      <c r="K415">
        <v>-5204</v>
      </c>
      <c r="L415" s="1" t="s">
        <v>3078</v>
      </c>
    </row>
    <row r="416" spans="1:12" x14ac:dyDescent="0.25">
      <c r="A416">
        <v>414</v>
      </c>
      <c r="B416" s="1" t="s">
        <v>3079</v>
      </c>
      <c r="C416" s="1" t="s">
        <v>3080</v>
      </c>
      <c r="D416" s="1" t="s">
        <v>2269</v>
      </c>
      <c r="E416" s="1" t="s">
        <v>3081</v>
      </c>
      <c r="F416" s="1" t="s">
        <v>3082</v>
      </c>
      <c r="G416">
        <v>-22002</v>
      </c>
      <c r="H416">
        <v>-3809</v>
      </c>
      <c r="I416" s="1" t="s">
        <v>2569</v>
      </c>
      <c r="J416" s="1" t="s">
        <v>198</v>
      </c>
      <c r="K416">
        <v>365243</v>
      </c>
      <c r="L416" s="1" t="s">
        <v>1921</v>
      </c>
    </row>
    <row r="417" spans="1:12" x14ac:dyDescent="0.25">
      <c r="A417">
        <v>415</v>
      </c>
      <c r="B417" s="1" t="s">
        <v>3083</v>
      </c>
      <c r="C417" s="1" t="s">
        <v>3084</v>
      </c>
      <c r="D417" s="1" t="s">
        <v>3085</v>
      </c>
      <c r="E417" s="1" t="s">
        <v>3086</v>
      </c>
      <c r="F417" s="1" t="s">
        <v>3087</v>
      </c>
      <c r="G417">
        <v>-19864</v>
      </c>
      <c r="H417">
        <v>-3406</v>
      </c>
      <c r="I417" s="1" t="s">
        <v>3088</v>
      </c>
      <c r="J417" s="1" t="s">
        <v>2032</v>
      </c>
      <c r="K417">
        <v>-1349</v>
      </c>
      <c r="L417" s="1" t="s">
        <v>2033</v>
      </c>
    </row>
    <row r="418" spans="1:12" x14ac:dyDescent="0.25">
      <c r="A418">
        <v>416</v>
      </c>
      <c r="B418" s="1" t="s">
        <v>3089</v>
      </c>
      <c r="C418" s="1" t="s">
        <v>3090</v>
      </c>
      <c r="D418" s="1" t="s">
        <v>1201</v>
      </c>
      <c r="E418" s="1" t="s">
        <v>3091</v>
      </c>
      <c r="F418" s="1" t="s">
        <v>3092</v>
      </c>
      <c r="G418">
        <v>-19268</v>
      </c>
      <c r="H418">
        <v>-2761</v>
      </c>
      <c r="I418" s="1" t="s">
        <v>3093</v>
      </c>
      <c r="J418" s="1" t="s">
        <v>3094</v>
      </c>
      <c r="K418">
        <v>-1413</v>
      </c>
      <c r="L418" s="1" t="s">
        <v>3095</v>
      </c>
    </row>
    <row r="419" spans="1:12" x14ac:dyDescent="0.25">
      <c r="A419">
        <v>417</v>
      </c>
      <c r="B419" s="1" t="s">
        <v>3096</v>
      </c>
      <c r="C419" s="1" t="s">
        <v>3097</v>
      </c>
      <c r="D419" s="1" t="s">
        <v>54</v>
      </c>
      <c r="E419" s="1" t="s">
        <v>3098</v>
      </c>
      <c r="F419" s="1" t="s">
        <v>3099</v>
      </c>
      <c r="G419">
        <v>-22296</v>
      </c>
      <c r="H419">
        <v>-4825</v>
      </c>
      <c r="I419" s="1" t="s">
        <v>3100</v>
      </c>
      <c r="J419" s="1" t="s">
        <v>3101</v>
      </c>
      <c r="K419">
        <v>365243</v>
      </c>
      <c r="L419" s="1" t="s">
        <v>3102</v>
      </c>
    </row>
    <row r="420" spans="1:12" x14ac:dyDescent="0.25">
      <c r="A420">
        <v>418</v>
      </c>
      <c r="B420" s="1" t="s">
        <v>3103</v>
      </c>
      <c r="C420" s="1" t="s">
        <v>3104</v>
      </c>
      <c r="D420" s="1" t="s">
        <v>3105</v>
      </c>
      <c r="E420" s="1" t="s">
        <v>3106</v>
      </c>
      <c r="F420" s="1" t="s">
        <v>3107</v>
      </c>
      <c r="G420">
        <v>-20263</v>
      </c>
      <c r="H420">
        <v>-3772</v>
      </c>
      <c r="I420" s="1" t="s">
        <v>1189</v>
      </c>
      <c r="J420" s="1" t="s">
        <v>198</v>
      </c>
      <c r="K420">
        <v>365243</v>
      </c>
      <c r="L420" s="1" t="s">
        <v>1557</v>
      </c>
    </row>
    <row r="421" spans="1:12" x14ac:dyDescent="0.25">
      <c r="A421">
        <v>419</v>
      </c>
      <c r="B421" s="1" t="s">
        <v>3108</v>
      </c>
      <c r="C421" s="1" t="s">
        <v>3109</v>
      </c>
      <c r="D421" s="1" t="s">
        <v>54</v>
      </c>
      <c r="E421" s="1" t="s">
        <v>3110</v>
      </c>
      <c r="F421" s="1" t="s">
        <v>3111</v>
      </c>
      <c r="G421">
        <v>-21494</v>
      </c>
      <c r="H421">
        <v>-4527</v>
      </c>
      <c r="I421" s="1" t="s">
        <v>3112</v>
      </c>
      <c r="J421" s="1" t="s">
        <v>3113</v>
      </c>
      <c r="K421">
        <v>365243</v>
      </c>
      <c r="L421" s="1" t="s">
        <v>3114</v>
      </c>
    </row>
    <row r="422" spans="1:12" x14ac:dyDescent="0.25">
      <c r="A422">
        <v>420</v>
      </c>
      <c r="B422" s="1" t="s">
        <v>3115</v>
      </c>
      <c r="C422" s="1" t="s">
        <v>3116</v>
      </c>
      <c r="D422" s="1" t="s">
        <v>3117</v>
      </c>
      <c r="E422" s="1" t="s">
        <v>3118</v>
      </c>
      <c r="F422" s="1" t="s">
        <v>3119</v>
      </c>
      <c r="G422">
        <v>-21721</v>
      </c>
      <c r="H422">
        <v>-3902</v>
      </c>
      <c r="I422" s="1" t="s">
        <v>3120</v>
      </c>
      <c r="J422" s="1" t="s">
        <v>3121</v>
      </c>
      <c r="K422">
        <v>365243</v>
      </c>
      <c r="L422" s="1" t="s">
        <v>3122</v>
      </c>
    </row>
    <row r="423" spans="1:12" x14ac:dyDescent="0.25">
      <c r="A423">
        <v>421</v>
      </c>
      <c r="B423" s="1" t="s">
        <v>3123</v>
      </c>
      <c r="C423" s="1" t="s">
        <v>3124</v>
      </c>
      <c r="D423" s="1" t="s">
        <v>3125</v>
      </c>
      <c r="E423" s="1" t="s">
        <v>3126</v>
      </c>
      <c r="F423" s="1" t="s">
        <v>3127</v>
      </c>
      <c r="G423">
        <v>-15170</v>
      </c>
      <c r="H423">
        <v>-4760</v>
      </c>
      <c r="I423" s="1" t="s">
        <v>3128</v>
      </c>
      <c r="J423" s="1" t="s">
        <v>3129</v>
      </c>
      <c r="K423">
        <v>-5585</v>
      </c>
      <c r="L423" s="1" t="s">
        <v>1834</v>
      </c>
    </row>
    <row r="424" spans="1:12" x14ac:dyDescent="0.25">
      <c r="A424">
        <v>422</v>
      </c>
      <c r="B424" s="1" t="s">
        <v>3130</v>
      </c>
      <c r="C424" s="1" t="s">
        <v>3131</v>
      </c>
      <c r="D424" s="1" t="s">
        <v>2461</v>
      </c>
      <c r="E424" s="1" t="s">
        <v>3132</v>
      </c>
      <c r="F424" s="1" t="s">
        <v>3133</v>
      </c>
      <c r="G424">
        <v>-17752</v>
      </c>
      <c r="H424">
        <v>-1304</v>
      </c>
      <c r="I424" s="1" t="s">
        <v>3134</v>
      </c>
      <c r="J424" s="1" t="s">
        <v>3135</v>
      </c>
      <c r="K424">
        <v>-1041</v>
      </c>
      <c r="L424" s="1" t="s">
        <v>3136</v>
      </c>
    </row>
    <row r="425" spans="1:12" x14ac:dyDescent="0.25">
      <c r="A425">
        <v>423</v>
      </c>
      <c r="B425" s="1" t="s">
        <v>3137</v>
      </c>
      <c r="C425" s="1" t="s">
        <v>3138</v>
      </c>
      <c r="D425" s="1" t="s">
        <v>1069</v>
      </c>
      <c r="E425" s="1" t="s">
        <v>3139</v>
      </c>
      <c r="F425" s="1" t="s">
        <v>1020</v>
      </c>
      <c r="G425">
        <v>-19414</v>
      </c>
      <c r="H425">
        <v>-2934</v>
      </c>
      <c r="I425" s="1" t="s">
        <v>3140</v>
      </c>
      <c r="J425" s="1" t="s">
        <v>3141</v>
      </c>
      <c r="K425">
        <v>-1025</v>
      </c>
      <c r="L425" s="1" t="s">
        <v>3142</v>
      </c>
    </row>
    <row r="426" spans="1:12" x14ac:dyDescent="0.25">
      <c r="A426">
        <v>424</v>
      </c>
      <c r="B426" s="1" t="s">
        <v>3143</v>
      </c>
      <c r="C426" s="1" t="s">
        <v>3144</v>
      </c>
      <c r="D426" s="1" t="s">
        <v>2795</v>
      </c>
      <c r="E426" s="1" t="s">
        <v>3145</v>
      </c>
      <c r="F426" s="1" t="s">
        <v>3146</v>
      </c>
      <c r="G426">
        <v>-23640</v>
      </c>
      <c r="H426">
        <v>-5051</v>
      </c>
      <c r="I426" s="1" t="s">
        <v>3147</v>
      </c>
      <c r="J426" s="1" t="s">
        <v>3148</v>
      </c>
      <c r="K426">
        <v>365243</v>
      </c>
      <c r="L426" s="1" t="s">
        <v>790</v>
      </c>
    </row>
    <row r="427" spans="1:12" x14ac:dyDescent="0.25">
      <c r="A427">
        <v>425</v>
      </c>
      <c r="B427" s="1" t="s">
        <v>3149</v>
      </c>
      <c r="C427" s="1" t="s">
        <v>3150</v>
      </c>
      <c r="D427" s="1" t="s">
        <v>3151</v>
      </c>
      <c r="E427" s="1" t="s">
        <v>3152</v>
      </c>
      <c r="F427" s="1" t="s">
        <v>3153</v>
      </c>
      <c r="G427">
        <v>-22208</v>
      </c>
      <c r="H427">
        <v>-4558</v>
      </c>
      <c r="I427" s="1" t="s">
        <v>3154</v>
      </c>
      <c r="J427" s="1" t="s">
        <v>3155</v>
      </c>
      <c r="K427">
        <v>365243</v>
      </c>
      <c r="L427" s="1" t="s">
        <v>3156</v>
      </c>
    </row>
    <row r="428" spans="1:12" x14ac:dyDescent="0.25">
      <c r="A428">
        <v>426</v>
      </c>
      <c r="B428" s="1" t="s">
        <v>3157</v>
      </c>
      <c r="C428" s="1" t="s">
        <v>3158</v>
      </c>
      <c r="D428" s="1" t="s">
        <v>3159</v>
      </c>
      <c r="E428" s="1" t="s">
        <v>3160</v>
      </c>
      <c r="F428" s="1" t="s">
        <v>3161</v>
      </c>
      <c r="G428">
        <v>-20147</v>
      </c>
      <c r="H428">
        <v>-3543</v>
      </c>
      <c r="I428" s="1" t="s">
        <v>3162</v>
      </c>
      <c r="J428" s="1" t="s">
        <v>198</v>
      </c>
      <c r="K428">
        <v>-781</v>
      </c>
      <c r="L428" s="1" t="s">
        <v>977</v>
      </c>
    </row>
    <row r="429" spans="1:12" x14ac:dyDescent="0.25">
      <c r="A429">
        <v>427</v>
      </c>
      <c r="B429" s="1" t="s">
        <v>3163</v>
      </c>
      <c r="C429" s="1" t="s">
        <v>3164</v>
      </c>
      <c r="D429" s="1" t="s">
        <v>33</v>
      </c>
      <c r="E429" s="1" t="s">
        <v>3165</v>
      </c>
      <c r="F429" s="1" t="s">
        <v>3166</v>
      </c>
      <c r="G429">
        <v>-21654</v>
      </c>
      <c r="H429">
        <v>-4054</v>
      </c>
      <c r="I429" s="1" t="s">
        <v>3167</v>
      </c>
      <c r="J429" s="1" t="s">
        <v>254</v>
      </c>
      <c r="K429">
        <v>365243</v>
      </c>
      <c r="L429" s="1" t="s">
        <v>741</v>
      </c>
    </row>
    <row r="430" spans="1:12" x14ac:dyDescent="0.25">
      <c r="A430">
        <v>428</v>
      </c>
      <c r="B430" s="1" t="s">
        <v>3168</v>
      </c>
      <c r="C430" s="1" t="s">
        <v>3169</v>
      </c>
      <c r="D430" s="1" t="s">
        <v>2044</v>
      </c>
      <c r="E430" s="1" t="s">
        <v>3170</v>
      </c>
      <c r="F430" s="1" t="s">
        <v>3171</v>
      </c>
      <c r="G430">
        <v>-14978</v>
      </c>
      <c r="H430">
        <v>-2418</v>
      </c>
      <c r="I430" s="1" t="s">
        <v>3172</v>
      </c>
      <c r="J430" s="1" t="s">
        <v>3173</v>
      </c>
      <c r="K430">
        <v>-1844</v>
      </c>
      <c r="L430" s="1" t="s">
        <v>3174</v>
      </c>
    </row>
    <row r="431" spans="1:12" x14ac:dyDescent="0.25">
      <c r="A431">
        <v>429</v>
      </c>
      <c r="B431" s="1" t="s">
        <v>3175</v>
      </c>
      <c r="C431" s="1" t="s">
        <v>3176</v>
      </c>
      <c r="D431" s="1" t="s">
        <v>82</v>
      </c>
      <c r="E431" s="1" t="s">
        <v>3177</v>
      </c>
      <c r="F431" s="1" t="s">
        <v>3178</v>
      </c>
      <c r="G431">
        <v>-19055</v>
      </c>
      <c r="H431">
        <v>-1496</v>
      </c>
      <c r="I431" s="1" t="s">
        <v>3179</v>
      </c>
      <c r="J431" s="1" t="s">
        <v>3180</v>
      </c>
      <c r="K431">
        <v>-125</v>
      </c>
      <c r="L431" s="1" t="s">
        <v>3181</v>
      </c>
    </row>
    <row r="432" spans="1:12" x14ac:dyDescent="0.25">
      <c r="A432">
        <v>430</v>
      </c>
      <c r="B432" s="1" t="s">
        <v>3182</v>
      </c>
      <c r="C432" s="1" t="s">
        <v>3183</v>
      </c>
      <c r="D432" s="1" t="s">
        <v>2988</v>
      </c>
      <c r="E432" s="1" t="s">
        <v>3184</v>
      </c>
      <c r="F432" s="1" t="s">
        <v>3185</v>
      </c>
      <c r="G432">
        <v>-18025</v>
      </c>
      <c r="H432">
        <v>-58</v>
      </c>
      <c r="I432" s="1" t="s">
        <v>3186</v>
      </c>
      <c r="J432" s="1" t="s">
        <v>3187</v>
      </c>
      <c r="K432">
        <v>-1949</v>
      </c>
      <c r="L432" s="1" t="s">
        <v>3188</v>
      </c>
    </row>
    <row r="433" spans="1:12" x14ac:dyDescent="0.25">
      <c r="A433">
        <v>431</v>
      </c>
      <c r="B433" s="1" t="s">
        <v>3189</v>
      </c>
      <c r="C433" s="1" t="s">
        <v>3190</v>
      </c>
      <c r="D433" s="1" t="s">
        <v>3105</v>
      </c>
      <c r="E433" s="1" t="s">
        <v>3191</v>
      </c>
      <c r="F433" s="1" t="s">
        <v>3192</v>
      </c>
      <c r="G433">
        <v>-11331</v>
      </c>
      <c r="H433">
        <v>-3370</v>
      </c>
      <c r="I433" s="1" t="s">
        <v>3193</v>
      </c>
      <c r="J433" s="1" t="s">
        <v>3194</v>
      </c>
      <c r="K433">
        <v>-1808</v>
      </c>
      <c r="L433" s="1" t="s">
        <v>3195</v>
      </c>
    </row>
    <row r="434" spans="1:12" x14ac:dyDescent="0.25">
      <c r="A434">
        <v>432</v>
      </c>
      <c r="B434" s="1" t="s">
        <v>3196</v>
      </c>
      <c r="C434" s="1" t="s">
        <v>3197</v>
      </c>
      <c r="D434" s="1" t="s">
        <v>3198</v>
      </c>
      <c r="E434" s="1" t="s">
        <v>3199</v>
      </c>
      <c r="F434" s="1" t="s">
        <v>3200</v>
      </c>
      <c r="G434">
        <v>-14374</v>
      </c>
      <c r="H434">
        <v>-4468</v>
      </c>
      <c r="I434" s="1" t="s">
        <v>3201</v>
      </c>
      <c r="J434" s="1" t="s">
        <v>3202</v>
      </c>
      <c r="K434">
        <v>-930</v>
      </c>
      <c r="L434" s="1" t="s">
        <v>3203</v>
      </c>
    </row>
    <row r="435" spans="1:12" x14ac:dyDescent="0.25">
      <c r="A435">
        <v>433</v>
      </c>
      <c r="B435" s="1" t="s">
        <v>3204</v>
      </c>
      <c r="C435" s="1" t="s">
        <v>3205</v>
      </c>
      <c r="D435" s="1" t="s">
        <v>1875</v>
      </c>
      <c r="E435" s="1" t="s">
        <v>3206</v>
      </c>
      <c r="F435" s="1" t="s">
        <v>3207</v>
      </c>
      <c r="G435">
        <v>-22278</v>
      </c>
      <c r="H435">
        <v>-4456</v>
      </c>
      <c r="I435" s="1" t="s">
        <v>3208</v>
      </c>
      <c r="J435" s="1" t="s">
        <v>3209</v>
      </c>
      <c r="K435">
        <v>365243</v>
      </c>
      <c r="L435" s="1" t="s">
        <v>3210</v>
      </c>
    </row>
    <row r="436" spans="1:12" x14ac:dyDescent="0.25">
      <c r="A436">
        <v>434</v>
      </c>
      <c r="B436" s="1" t="s">
        <v>3211</v>
      </c>
      <c r="C436" s="1" t="s">
        <v>3212</v>
      </c>
      <c r="D436" s="1" t="s">
        <v>455</v>
      </c>
      <c r="E436" s="1" t="s">
        <v>3213</v>
      </c>
      <c r="F436" s="1" t="s">
        <v>3214</v>
      </c>
      <c r="G436">
        <v>-19084</v>
      </c>
      <c r="H436">
        <v>-2612</v>
      </c>
      <c r="I436" s="1" t="s">
        <v>3215</v>
      </c>
      <c r="J436" s="1" t="s">
        <v>3216</v>
      </c>
      <c r="K436">
        <v>-128</v>
      </c>
      <c r="L436" s="1" t="s">
        <v>3217</v>
      </c>
    </row>
    <row r="437" spans="1:12" x14ac:dyDescent="0.25">
      <c r="A437">
        <v>435</v>
      </c>
      <c r="B437" s="1" t="s">
        <v>3218</v>
      </c>
      <c r="C437" s="1" t="s">
        <v>3219</v>
      </c>
      <c r="D437" s="1" t="s">
        <v>1077</v>
      </c>
      <c r="E437" s="1" t="s">
        <v>3220</v>
      </c>
      <c r="F437" s="1" t="s">
        <v>3221</v>
      </c>
      <c r="G437">
        <v>-11966</v>
      </c>
      <c r="H437">
        <v>-3915</v>
      </c>
      <c r="I437" s="1" t="s">
        <v>3222</v>
      </c>
      <c r="J437" s="1" t="s">
        <v>3223</v>
      </c>
      <c r="K437">
        <v>-3125</v>
      </c>
      <c r="L437" s="1" t="s">
        <v>3224</v>
      </c>
    </row>
    <row r="438" spans="1:12" x14ac:dyDescent="0.25">
      <c r="A438">
        <v>436</v>
      </c>
      <c r="B438" s="1" t="s">
        <v>3225</v>
      </c>
      <c r="C438" s="1" t="s">
        <v>3226</v>
      </c>
      <c r="D438" s="1" t="s">
        <v>414</v>
      </c>
      <c r="E438" s="1" t="s">
        <v>3227</v>
      </c>
      <c r="F438" s="1" t="s">
        <v>3228</v>
      </c>
      <c r="G438">
        <v>-14211</v>
      </c>
      <c r="H438">
        <v>-4648</v>
      </c>
      <c r="I438" s="1" t="s">
        <v>3229</v>
      </c>
      <c r="J438" s="1" t="s">
        <v>3230</v>
      </c>
      <c r="K438">
        <v>-626</v>
      </c>
      <c r="L438" s="1" t="s">
        <v>3231</v>
      </c>
    </row>
    <row r="439" spans="1:12" x14ac:dyDescent="0.25">
      <c r="A439">
        <v>437</v>
      </c>
      <c r="B439" s="1" t="s">
        <v>3232</v>
      </c>
      <c r="C439" s="1" t="s">
        <v>3233</v>
      </c>
      <c r="D439" s="1" t="s">
        <v>1201</v>
      </c>
      <c r="E439" s="1" t="s">
        <v>3234</v>
      </c>
      <c r="F439" s="1" t="s">
        <v>3235</v>
      </c>
      <c r="G439">
        <v>-20532</v>
      </c>
      <c r="H439">
        <v>-4089</v>
      </c>
      <c r="I439" s="1" t="s">
        <v>3236</v>
      </c>
      <c r="J439" s="1" t="s">
        <v>3237</v>
      </c>
      <c r="K439">
        <v>-11304</v>
      </c>
      <c r="L439" s="1" t="s">
        <v>3238</v>
      </c>
    </row>
    <row r="440" spans="1:12" x14ac:dyDescent="0.25">
      <c r="A440">
        <v>438</v>
      </c>
      <c r="B440" s="1" t="s">
        <v>3239</v>
      </c>
      <c r="C440" s="1" t="s">
        <v>3240</v>
      </c>
      <c r="D440" s="1" t="s">
        <v>1077</v>
      </c>
      <c r="E440" s="1" t="s">
        <v>3241</v>
      </c>
      <c r="F440" s="1" t="s">
        <v>3242</v>
      </c>
      <c r="G440">
        <v>-22812</v>
      </c>
      <c r="H440">
        <v>-5214</v>
      </c>
      <c r="I440" s="1" t="s">
        <v>3243</v>
      </c>
      <c r="J440" s="1" t="s">
        <v>198</v>
      </c>
      <c r="K440">
        <v>365243</v>
      </c>
      <c r="L440" s="1" t="s">
        <v>1943</v>
      </c>
    </row>
    <row r="441" spans="1:12" x14ac:dyDescent="0.25">
      <c r="A441">
        <v>439</v>
      </c>
      <c r="B441" s="1" t="s">
        <v>3244</v>
      </c>
      <c r="C441" s="1" t="s">
        <v>3245</v>
      </c>
      <c r="D441" s="1" t="s">
        <v>54</v>
      </c>
      <c r="E441" s="1" t="s">
        <v>3246</v>
      </c>
      <c r="F441" s="1" t="s">
        <v>3247</v>
      </c>
      <c r="G441">
        <v>-22663</v>
      </c>
      <c r="H441">
        <v>-4543</v>
      </c>
      <c r="I441" s="1" t="s">
        <v>3248</v>
      </c>
      <c r="J441" s="1" t="s">
        <v>3249</v>
      </c>
      <c r="K441">
        <v>-4554</v>
      </c>
      <c r="L441" s="1" t="s">
        <v>3250</v>
      </c>
    </row>
    <row r="442" spans="1:12" x14ac:dyDescent="0.25">
      <c r="A442">
        <v>440</v>
      </c>
      <c r="B442" s="1" t="s">
        <v>3251</v>
      </c>
      <c r="C442" s="1" t="s">
        <v>3252</v>
      </c>
      <c r="D442" s="1" t="s">
        <v>1077</v>
      </c>
      <c r="E442" s="1" t="s">
        <v>3253</v>
      </c>
      <c r="F442" s="1" t="s">
        <v>3254</v>
      </c>
      <c r="G442">
        <v>-12225</v>
      </c>
      <c r="H442">
        <v>-4338</v>
      </c>
      <c r="I442" s="1" t="s">
        <v>3255</v>
      </c>
      <c r="J442" s="1" t="s">
        <v>3256</v>
      </c>
      <c r="K442">
        <v>-2117</v>
      </c>
      <c r="L442" s="1" t="s">
        <v>3257</v>
      </c>
    </row>
    <row r="443" spans="1:12" x14ac:dyDescent="0.25">
      <c r="A443">
        <v>441</v>
      </c>
      <c r="B443" s="1" t="s">
        <v>3258</v>
      </c>
      <c r="C443" s="1" t="s">
        <v>3259</v>
      </c>
      <c r="D443" s="1" t="s">
        <v>435</v>
      </c>
      <c r="E443" s="1" t="s">
        <v>3260</v>
      </c>
      <c r="F443" s="1" t="s">
        <v>3261</v>
      </c>
      <c r="G443">
        <v>-12762</v>
      </c>
      <c r="H443">
        <v>-4618</v>
      </c>
      <c r="I443" s="1" t="s">
        <v>3262</v>
      </c>
      <c r="J443" s="1" t="s">
        <v>3263</v>
      </c>
      <c r="K443">
        <v>-5891</v>
      </c>
      <c r="L443" s="1" t="s">
        <v>3264</v>
      </c>
    </row>
    <row r="444" spans="1:12" x14ac:dyDescent="0.25">
      <c r="A444">
        <v>442</v>
      </c>
      <c r="B444" s="1" t="s">
        <v>3265</v>
      </c>
      <c r="C444" s="1" t="s">
        <v>3266</v>
      </c>
      <c r="D444" s="1" t="s">
        <v>3267</v>
      </c>
      <c r="E444" s="1" t="s">
        <v>3268</v>
      </c>
      <c r="F444" s="1" t="s">
        <v>3269</v>
      </c>
      <c r="G444">
        <v>-14221</v>
      </c>
      <c r="H444">
        <v>-5155</v>
      </c>
      <c r="I444" s="1" t="s">
        <v>3270</v>
      </c>
      <c r="J444" s="1" t="s">
        <v>198</v>
      </c>
      <c r="K444">
        <v>-1895</v>
      </c>
      <c r="L444" s="1" t="s">
        <v>1495</v>
      </c>
    </row>
    <row r="445" spans="1:12" x14ac:dyDescent="0.25">
      <c r="A445">
        <v>443</v>
      </c>
      <c r="B445" s="1" t="s">
        <v>3271</v>
      </c>
      <c r="C445" s="1" t="s">
        <v>3272</v>
      </c>
      <c r="D445" s="1" t="s">
        <v>854</v>
      </c>
      <c r="E445" s="1" t="s">
        <v>3273</v>
      </c>
      <c r="F445" s="1" t="s">
        <v>3274</v>
      </c>
      <c r="G445">
        <v>-21340</v>
      </c>
      <c r="H445">
        <v>-623</v>
      </c>
      <c r="I445" s="1" t="s">
        <v>3275</v>
      </c>
      <c r="J445" s="1" t="s">
        <v>3276</v>
      </c>
      <c r="K445">
        <v>365243</v>
      </c>
      <c r="L445" s="1" t="s">
        <v>3277</v>
      </c>
    </row>
    <row r="446" spans="1:12" x14ac:dyDescent="0.25">
      <c r="A446">
        <v>444</v>
      </c>
      <c r="B446" s="1" t="s">
        <v>3278</v>
      </c>
      <c r="C446" s="1" t="s">
        <v>3279</v>
      </c>
      <c r="D446" s="1" t="s">
        <v>1312</v>
      </c>
      <c r="E446" s="1" t="s">
        <v>3280</v>
      </c>
      <c r="F446" s="1" t="s">
        <v>3281</v>
      </c>
      <c r="G446">
        <v>-9567</v>
      </c>
      <c r="H446">
        <v>-2224</v>
      </c>
      <c r="I446" s="1" t="s">
        <v>3282</v>
      </c>
      <c r="J446" s="1" t="s">
        <v>3283</v>
      </c>
      <c r="K446">
        <v>-1568</v>
      </c>
      <c r="L446" s="1" t="s">
        <v>2785</v>
      </c>
    </row>
    <row r="447" spans="1:12" x14ac:dyDescent="0.25">
      <c r="A447">
        <v>445</v>
      </c>
      <c r="B447" s="1" t="s">
        <v>3284</v>
      </c>
      <c r="C447" s="1" t="s">
        <v>3285</v>
      </c>
      <c r="D447" s="1" t="s">
        <v>3286</v>
      </c>
      <c r="E447" s="1" t="s">
        <v>3287</v>
      </c>
      <c r="F447" s="1" t="s">
        <v>3288</v>
      </c>
      <c r="G447">
        <v>-16963</v>
      </c>
      <c r="H447">
        <v>-511</v>
      </c>
      <c r="I447" s="1" t="s">
        <v>3289</v>
      </c>
      <c r="J447" s="1" t="s">
        <v>3290</v>
      </c>
      <c r="K447">
        <v>-1314</v>
      </c>
      <c r="L447" s="1" t="s">
        <v>3291</v>
      </c>
    </row>
    <row r="448" spans="1:12" x14ac:dyDescent="0.25">
      <c r="A448">
        <v>446</v>
      </c>
      <c r="B448" s="1" t="s">
        <v>3292</v>
      </c>
      <c r="C448" s="1" t="s">
        <v>3293</v>
      </c>
      <c r="D448" s="1" t="s">
        <v>846</v>
      </c>
      <c r="E448" s="1" t="s">
        <v>3294</v>
      </c>
      <c r="F448" s="1" t="s">
        <v>3295</v>
      </c>
      <c r="G448">
        <v>-21779</v>
      </c>
      <c r="H448">
        <v>-4788</v>
      </c>
      <c r="I448" s="1" t="s">
        <v>3296</v>
      </c>
      <c r="J448" s="1" t="s">
        <v>3297</v>
      </c>
      <c r="K448">
        <v>365243</v>
      </c>
      <c r="L448" s="1" t="s">
        <v>3298</v>
      </c>
    </row>
    <row r="449" spans="1:12" x14ac:dyDescent="0.25">
      <c r="A449">
        <v>447</v>
      </c>
      <c r="B449" s="1" t="s">
        <v>3299</v>
      </c>
      <c r="C449" s="1" t="s">
        <v>3300</v>
      </c>
      <c r="D449" s="1" t="s">
        <v>3301</v>
      </c>
      <c r="E449" s="1" t="s">
        <v>3302</v>
      </c>
      <c r="F449" s="1" t="s">
        <v>3303</v>
      </c>
      <c r="G449">
        <v>-12852</v>
      </c>
      <c r="H449">
        <v>-3394</v>
      </c>
      <c r="I449" s="1" t="s">
        <v>3304</v>
      </c>
      <c r="J449" s="1" t="s">
        <v>3305</v>
      </c>
      <c r="K449">
        <v>-753</v>
      </c>
      <c r="L449" s="1" t="s">
        <v>3306</v>
      </c>
    </row>
    <row r="450" spans="1:12" x14ac:dyDescent="0.25">
      <c r="A450">
        <v>448</v>
      </c>
      <c r="B450" s="1" t="s">
        <v>3307</v>
      </c>
      <c r="C450" s="1" t="s">
        <v>3308</v>
      </c>
      <c r="D450" s="1" t="s">
        <v>82</v>
      </c>
      <c r="E450" s="1" t="s">
        <v>3309</v>
      </c>
      <c r="F450" s="1" t="s">
        <v>3281</v>
      </c>
      <c r="G450">
        <v>-15368</v>
      </c>
      <c r="H450">
        <v>-4430</v>
      </c>
      <c r="I450" s="1" t="s">
        <v>3310</v>
      </c>
      <c r="J450" s="1" t="s">
        <v>3311</v>
      </c>
      <c r="K450">
        <v>-3094</v>
      </c>
      <c r="L450" s="1" t="s">
        <v>3312</v>
      </c>
    </row>
    <row r="451" spans="1:12" x14ac:dyDescent="0.25">
      <c r="A451">
        <v>449</v>
      </c>
      <c r="B451" s="1" t="s">
        <v>3313</v>
      </c>
      <c r="C451" s="1" t="s">
        <v>3314</v>
      </c>
      <c r="D451" s="1" t="s">
        <v>2893</v>
      </c>
      <c r="E451" s="1" t="s">
        <v>3315</v>
      </c>
      <c r="F451" s="1" t="s">
        <v>3316</v>
      </c>
      <c r="G451">
        <v>-14366</v>
      </c>
      <c r="H451">
        <v>-4411</v>
      </c>
      <c r="I451" s="1" t="s">
        <v>3317</v>
      </c>
      <c r="J451" s="1" t="s">
        <v>3318</v>
      </c>
      <c r="K451">
        <v>-3379</v>
      </c>
      <c r="L451" s="1" t="s">
        <v>3319</v>
      </c>
    </row>
    <row r="452" spans="1:12" x14ac:dyDescent="0.25">
      <c r="A452">
        <v>450</v>
      </c>
      <c r="B452" s="1" t="s">
        <v>3320</v>
      </c>
      <c r="C452" s="1" t="s">
        <v>3321</v>
      </c>
      <c r="D452" s="1" t="s">
        <v>3322</v>
      </c>
      <c r="E452" s="1" t="s">
        <v>3323</v>
      </c>
      <c r="F452" s="1" t="s">
        <v>154</v>
      </c>
      <c r="G452">
        <v>-8711</v>
      </c>
      <c r="H452">
        <v>-1400</v>
      </c>
      <c r="I452" s="1" t="s">
        <v>3324</v>
      </c>
      <c r="J452" s="1" t="s">
        <v>3325</v>
      </c>
      <c r="K452">
        <v>-717</v>
      </c>
      <c r="L452" s="1" t="s">
        <v>3326</v>
      </c>
    </row>
    <row r="453" spans="1:12" x14ac:dyDescent="0.25">
      <c r="A453">
        <v>451</v>
      </c>
      <c r="B453" s="1" t="s">
        <v>3327</v>
      </c>
      <c r="C453" s="1" t="s">
        <v>3328</v>
      </c>
      <c r="D453" s="1" t="s">
        <v>555</v>
      </c>
      <c r="E453" s="1" t="s">
        <v>3329</v>
      </c>
      <c r="F453" s="1" t="s">
        <v>3330</v>
      </c>
      <c r="G453">
        <v>-23003</v>
      </c>
      <c r="H453">
        <v>-4860</v>
      </c>
      <c r="I453" s="1" t="s">
        <v>3331</v>
      </c>
      <c r="J453" s="1" t="s">
        <v>3332</v>
      </c>
      <c r="K453">
        <v>365243</v>
      </c>
      <c r="L453" s="1" t="s">
        <v>3333</v>
      </c>
    </row>
    <row r="454" spans="1:12" x14ac:dyDescent="0.25">
      <c r="A454">
        <v>452</v>
      </c>
      <c r="B454" s="1" t="s">
        <v>3334</v>
      </c>
      <c r="C454" s="1" t="s">
        <v>3335</v>
      </c>
      <c r="D454" s="1" t="s">
        <v>3336</v>
      </c>
      <c r="E454" s="1" t="s">
        <v>3337</v>
      </c>
      <c r="F454" s="1" t="s">
        <v>3338</v>
      </c>
      <c r="G454">
        <v>-10259</v>
      </c>
      <c r="H454">
        <v>-2137</v>
      </c>
      <c r="I454" s="1" t="s">
        <v>3339</v>
      </c>
      <c r="J454" s="1" t="s">
        <v>3340</v>
      </c>
      <c r="K454">
        <v>-989</v>
      </c>
      <c r="L454" s="1" t="s">
        <v>3341</v>
      </c>
    </row>
    <row r="455" spans="1:12" x14ac:dyDescent="0.25">
      <c r="A455">
        <v>453</v>
      </c>
      <c r="B455" s="1" t="s">
        <v>3342</v>
      </c>
      <c r="C455" s="1" t="s">
        <v>3343</v>
      </c>
      <c r="D455" s="1" t="s">
        <v>1545</v>
      </c>
      <c r="E455" s="1" t="s">
        <v>3344</v>
      </c>
      <c r="F455" s="1" t="s">
        <v>3345</v>
      </c>
      <c r="G455">
        <v>-13188</v>
      </c>
      <c r="H455">
        <v>-3997</v>
      </c>
      <c r="I455" s="1" t="s">
        <v>3346</v>
      </c>
      <c r="J455" s="1" t="s">
        <v>3347</v>
      </c>
      <c r="K455">
        <v>-1927</v>
      </c>
      <c r="L455" s="1" t="s">
        <v>3348</v>
      </c>
    </row>
    <row r="456" spans="1:12" x14ac:dyDescent="0.25">
      <c r="A456">
        <v>454</v>
      </c>
      <c r="B456" s="1" t="s">
        <v>3349</v>
      </c>
      <c r="C456" s="1" t="s">
        <v>3350</v>
      </c>
      <c r="D456" s="1" t="s">
        <v>68</v>
      </c>
      <c r="E456" s="1" t="s">
        <v>3351</v>
      </c>
      <c r="F456" s="1" t="s">
        <v>3352</v>
      </c>
      <c r="G456">
        <v>-16062</v>
      </c>
      <c r="H456">
        <v>-5023</v>
      </c>
      <c r="I456" s="1" t="s">
        <v>3353</v>
      </c>
      <c r="J456" s="1" t="s">
        <v>2999</v>
      </c>
      <c r="K456">
        <v>-1392</v>
      </c>
      <c r="L456" s="1" t="s">
        <v>3000</v>
      </c>
    </row>
    <row r="457" spans="1:12" x14ac:dyDescent="0.25">
      <c r="A457">
        <v>455</v>
      </c>
      <c r="B457" s="1" t="s">
        <v>3354</v>
      </c>
      <c r="C457" s="1" t="s">
        <v>3355</v>
      </c>
      <c r="D457" s="1" t="s">
        <v>3356</v>
      </c>
      <c r="E457" s="1" t="s">
        <v>3357</v>
      </c>
      <c r="F457" s="1" t="s">
        <v>3358</v>
      </c>
      <c r="G457">
        <v>-11165</v>
      </c>
      <c r="H457">
        <v>-3512</v>
      </c>
      <c r="I457" s="1" t="s">
        <v>3359</v>
      </c>
      <c r="J457" s="1" t="s">
        <v>3360</v>
      </c>
      <c r="K457">
        <v>-934</v>
      </c>
      <c r="L457" s="1" t="s">
        <v>3361</v>
      </c>
    </row>
    <row r="458" spans="1:12" x14ac:dyDescent="0.25">
      <c r="A458">
        <v>456</v>
      </c>
      <c r="B458" s="1" t="s">
        <v>3362</v>
      </c>
      <c r="C458" s="1" t="s">
        <v>3363</v>
      </c>
      <c r="D458" s="1" t="s">
        <v>3364</v>
      </c>
      <c r="E458" s="1" t="s">
        <v>3365</v>
      </c>
      <c r="F458" s="1" t="s">
        <v>3366</v>
      </c>
      <c r="G458">
        <v>-14297</v>
      </c>
      <c r="H458">
        <v>-4775</v>
      </c>
      <c r="I458" s="1" t="s">
        <v>3367</v>
      </c>
      <c r="J458" s="1" t="s">
        <v>398</v>
      </c>
      <c r="K458">
        <v>-5116</v>
      </c>
      <c r="L458" s="1" t="s">
        <v>763</v>
      </c>
    </row>
    <row r="459" spans="1:12" x14ac:dyDescent="0.25">
      <c r="A459">
        <v>457</v>
      </c>
      <c r="B459" s="1" t="s">
        <v>3368</v>
      </c>
      <c r="C459" s="1" t="s">
        <v>3369</v>
      </c>
      <c r="D459" s="1" t="s">
        <v>243</v>
      </c>
      <c r="E459" s="1" t="s">
        <v>3370</v>
      </c>
      <c r="F459" s="1" t="s">
        <v>3371</v>
      </c>
      <c r="G459">
        <v>-20480</v>
      </c>
      <c r="H459">
        <v>-4021</v>
      </c>
      <c r="I459" s="1" t="s">
        <v>3372</v>
      </c>
      <c r="J459" s="1" t="s">
        <v>3373</v>
      </c>
      <c r="K459">
        <v>365243</v>
      </c>
      <c r="L459" s="1" t="s">
        <v>3374</v>
      </c>
    </row>
    <row r="460" spans="1:12" x14ac:dyDescent="0.25">
      <c r="A460">
        <v>458</v>
      </c>
      <c r="B460" s="1" t="s">
        <v>3375</v>
      </c>
      <c r="C460" s="1" t="s">
        <v>3376</v>
      </c>
      <c r="D460" s="1" t="s">
        <v>3377</v>
      </c>
      <c r="E460" s="1" t="s">
        <v>3378</v>
      </c>
      <c r="F460" s="1" t="s">
        <v>3379</v>
      </c>
      <c r="G460">
        <v>-14289</v>
      </c>
      <c r="H460">
        <v>-4598</v>
      </c>
      <c r="I460" s="1" t="s">
        <v>3380</v>
      </c>
      <c r="J460" s="1" t="s">
        <v>3381</v>
      </c>
      <c r="K460">
        <v>-1763</v>
      </c>
      <c r="L460" s="1" t="s">
        <v>3382</v>
      </c>
    </row>
    <row r="461" spans="1:12" x14ac:dyDescent="0.25">
      <c r="A461">
        <v>459</v>
      </c>
      <c r="B461" s="1" t="s">
        <v>3383</v>
      </c>
      <c r="C461" s="1" t="s">
        <v>3384</v>
      </c>
      <c r="D461" s="1" t="s">
        <v>3385</v>
      </c>
      <c r="E461" s="1" t="s">
        <v>3386</v>
      </c>
      <c r="F461" s="1" t="s">
        <v>3387</v>
      </c>
      <c r="G461">
        <v>-14651</v>
      </c>
      <c r="H461">
        <v>-466</v>
      </c>
      <c r="I461" s="1" t="s">
        <v>3388</v>
      </c>
      <c r="J461" s="1" t="s">
        <v>3389</v>
      </c>
      <c r="K461">
        <v>-2873</v>
      </c>
      <c r="L461" s="1" t="s">
        <v>3390</v>
      </c>
    </row>
    <row r="462" spans="1:12" x14ac:dyDescent="0.25">
      <c r="A462">
        <v>460</v>
      </c>
      <c r="B462" s="1" t="s">
        <v>3391</v>
      </c>
      <c r="C462" s="1" t="s">
        <v>3392</v>
      </c>
      <c r="D462" s="1" t="s">
        <v>697</v>
      </c>
      <c r="E462" s="1" t="s">
        <v>3393</v>
      </c>
      <c r="F462" s="1" t="s">
        <v>3394</v>
      </c>
      <c r="G462">
        <v>-14038</v>
      </c>
      <c r="H462">
        <v>-4810</v>
      </c>
      <c r="I462" s="1" t="s">
        <v>3395</v>
      </c>
      <c r="J462" s="1" t="s">
        <v>3396</v>
      </c>
      <c r="K462">
        <v>-1731</v>
      </c>
      <c r="L462" s="1" t="s">
        <v>3397</v>
      </c>
    </row>
    <row r="463" spans="1:12" x14ac:dyDescent="0.25">
      <c r="A463">
        <v>461</v>
      </c>
      <c r="B463" s="1" t="s">
        <v>3398</v>
      </c>
      <c r="C463" s="1" t="s">
        <v>3399</v>
      </c>
      <c r="D463" s="1" t="s">
        <v>912</v>
      </c>
      <c r="E463" s="1" t="s">
        <v>3400</v>
      </c>
      <c r="F463" s="1" t="s">
        <v>3401</v>
      </c>
      <c r="G463">
        <v>-15406</v>
      </c>
      <c r="H463">
        <v>-3991</v>
      </c>
      <c r="I463" s="1" t="s">
        <v>3402</v>
      </c>
      <c r="J463" s="1" t="s">
        <v>3403</v>
      </c>
      <c r="K463">
        <v>-584</v>
      </c>
      <c r="L463" s="1" t="s">
        <v>3404</v>
      </c>
    </row>
    <row r="464" spans="1:12" x14ac:dyDescent="0.25">
      <c r="A464">
        <v>462</v>
      </c>
      <c r="B464" s="1" t="s">
        <v>3405</v>
      </c>
      <c r="C464" s="1" t="s">
        <v>3406</v>
      </c>
      <c r="D464" s="1" t="s">
        <v>3407</v>
      </c>
      <c r="E464" s="1" t="s">
        <v>3408</v>
      </c>
      <c r="F464" s="1" t="s">
        <v>3409</v>
      </c>
      <c r="G464">
        <v>-10011</v>
      </c>
      <c r="H464">
        <v>-2671</v>
      </c>
      <c r="I464" s="1" t="s">
        <v>3410</v>
      </c>
      <c r="J464" s="1" t="s">
        <v>3411</v>
      </c>
      <c r="K464">
        <v>-2599</v>
      </c>
      <c r="L464" s="1" t="s">
        <v>3412</v>
      </c>
    </row>
    <row r="465" spans="1:12" x14ac:dyDescent="0.25">
      <c r="A465">
        <v>463</v>
      </c>
      <c r="B465" s="1" t="s">
        <v>3413</v>
      </c>
      <c r="C465" s="1" t="s">
        <v>3414</v>
      </c>
      <c r="D465" s="1" t="s">
        <v>1209</v>
      </c>
      <c r="E465" s="1" t="s">
        <v>3415</v>
      </c>
      <c r="F465" s="1" t="s">
        <v>3416</v>
      </c>
      <c r="G465">
        <v>-16524</v>
      </c>
      <c r="H465">
        <v>-61</v>
      </c>
      <c r="I465" s="1" t="s">
        <v>3417</v>
      </c>
      <c r="J465" s="1" t="s">
        <v>3418</v>
      </c>
      <c r="K465">
        <v>-1662</v>
      </c>
      <c r="L465" s="1" t="s">
        <v>3419</v>
      </c>
    </row>
    <row r="466" spans="1:12" x14ac:dyDescent="0.25">
      <c r="A466">
        <v>464</v>
      </c>
      <c r="B466" s="1" t="s">
        <v>3420</v>
      </c>
      <c r="C466" s="1" t="s">
        <v>3421</v>
      </c>
      <c r="D466" s="1" t="s">
        <v>1795</v>
      </c>
      <c r="E466" s="1" t="s">
        <v>3422</v>
      </c>
      <c r="F466" s="1" t="s">
        <v>3423</v>
      </c>
      <c r="G466">
        <v>-11285</v>
      </c>
      <c r="H466">
        <v>-3432</v>
      </c>
      <c r="I466" s="1" t="s">
        <v>3424</v>
      </c>
      <c r="J466" s="1" t="s">
        <v>3425</v>
      </c>
      <c r="K466">
        <v>-2947</v>
      </c>
      <c r="L466" s="1" t="s">
        <v>3426</v>
      </c>
    </row>
    <row r="467" spans="1:12" x14ac:dyDescent="0.25">
      <c r="A467">
        <v>465</v>
      </c>
      <c r="B467" s="1" t="s">
        <v>3427</v>
      </c>
      <c r="C467" s="1" t="s">
        <v>3428</v>
      </c>
      <c r="D467" s="1" t="s">
        <v>54</v>
      </c>
      <c r="E467" s="1" t="s">
        <v>251</v>
      </c>
      <c r="F467" s="1" t="s">
        <v>3429</v>
      </c>
      <c r="G467">
        <v>-19919</v>
      </c>
      <c r="H467">
        <v>-3121</v>
      </c>
      <c r="I467" s="1" t="s">
        <v>3430</v>
      </c>
      <c r="J467" s="1" t="s">
        <v>3431</v>
      </c>
      <c r="K467">
        <v>-3622</v>
      </c>
      <c r="L467" s="1" t="s">
        <v>3432</v>
      </c>
    </row>
    <row r="468" spans="1:12" x14ac:dyDescent="0.25">
      <c r="A468">
        <v>466</v>
      </c>
      <c r="B468" s="1" t="s">
        <v>3433</v>
      </c>
      <c r="C468" s="1" t="s">
        <v>3434</v>
      </c>
      <c r="D468" s="1" t="s">
        <v>889</v>
      </c>
      <c r="E468" s="1" t="s">
        <v>3435</v>
      </c>
      <c r="F468" s="1" t="s">
        <v>3436</v>
      </c>
      <c r="G468">
        <v>-9142</v>
      </c>
      <c r="H468">
        <v>-1762</v>
      </c>
      <c r="I468" s="1" t="s">
        <v>3437</v>
      </c>
      <c r="J468" s="1" t="s">
        <v>1235</v>
      </c>
      <c r="K468">
        <v>-313</v>
      </c>
      <c r="L468" s="1" t="s">
        <v>1236</v>
      </c>
    </row>
    <row r="469" spans="1:12" x14ac:dyDescent="0.25">
      <c r="A469">
        <v>467</v>
      </c>
      <c r="B469" s="1" t="s">
        <v>3438</v>
      </c>
      <c r="C469" s="1" t="s">
        <v>3439</v>
      </c>
      <c r="D469" s="1" t="s">
        <v>1905</v>
      </c>
      <c r="E469" s="1" t="s">
        <v>3440</v>
      </c>
      <c r="F469" s="1" t="s">
        <v>3441</v>
      </c>
      <c r="G469">
        <v>-16339</v>
      </c>
      <c r="H469">
        <v>-4562</v>
      </c>
      <c r="I469" s="1" t="s">
        <v>3442</v>
      </c>
      <c r="J469" s="1" t="s">
        <v>3230</v>
      </c>
      <c r="K469">
        <v>-4129</v>
      </c>
      <c r="L469" s="1" t="s">
        <v>3231</v>
      </c>
    </row>
    <row r="470" spans="1:12" x14ac:dyDescent="0.25">
      <c r="A470">
        <v>468</v>
      </c>
      <c r="B470" s="1" t="s">
        <v>3443</v>
      </c>
      <c r="C470" s="1" t="s">
        <v>3444</v>
      </c>
      <c r="D470" s="1" t="s">
        <v>3407</v>
      </c>
      <c r="E470" s="1" t="s">
        <v>3445</v>
      </c>
      <c r="F470" s="1" t="s">
        <v>3446</v>
      </c>
      <c r="G470">
        <v>-17284</v>
      </c>
      <c r="H470">
        <v>-496</v>
      </c>
      <c r="I470" s="1" t="s">
        <v>3447</v>
      </c>
      <c r="J470" s="1" t="s">
        <v>3448</v>
      </c>
      <c r="K470">
        <v>-449</v>
      </c>
      <c r="L470" s="1" t="s">
        <v>3449</v>
      </c>
    </row>
    <row r="471" spans="1:12" x14ac:dyDescent="0.25">
      <c r="A471">
        <v>469</v>
      </c>
      <c r="B471" s="1" t="s">
        <v>3450</v>
      </c>
      <c r="C471" s="1" t="s">
        <v>3451</v>
      </c>
      <c r="D471" s="1" t="s">
        <v>508</v>
      </c>
      <c r="E471" s="1" t="s">
        <v>3452</v>
      </c>
      <c r="F471" s="1" t="s">
        <v>3453</v>
      </c>
      <c r="G471">
        <v>-17387</v>
      </c>
      <c r="H471">
        <v>-877</v>
      </c>
      <c r="I471" s="1" t="s">
        <v>3454</v>
      </c>
      <c r="J471" s="1" t="s">
        <v>3455</v>
      </c>
      <c r="K471">
        <v>-405</v>
      </c>
      <c r="L471" s="1" t="s">
        <v>2764</v>
      </c>
    </row>
    <row r="472" spans="1:12" x14ac:dyDescent="0.25">
      <c r="A472">
        <v>470</v>
      </c>
      <c r="B472" s="1" t="s">
        <v>3456</v>
      </c>
      <c r="C472" s="1" t="s">
        <v>3457</v>
      </c>
      <c r="D472" s="1" t="s">
        <v>609</v>
      </c>
      <c r="E472" s="1" t="s">
        <v>3458</v>
      </c>
      <c r="F472" s="1" t="s">
        <v>3459</v>
      </c>
      <c r="G472">
        <v>-12783</v>
      </c>
      <c r="H472">
        <v>-3159</v>
      </c>
      <c r="I472" s="1" t="s">
        <v>3460</v>
      </c>
      <c r="J472" s="1" t="s">
        <v>3461</v>
      </c>
      <c r="K472">
        <v>-96</v>
      </c>
      <c r="L472" s="1" t="s">
        <v>3462</v>
      </c>
    </row>
    <row r="473" spans="1:12" x14ac:dyDescent="0.25">
      <c r="A473">
        <v>471</v>
      </c>
      <c r="B473" s="1" t="s">
        <v>3463</v>
      </c>
      <c r="C473" s="1" t="s">
        <v>3464</v>
      </c>
      <c r="D473" s="1" t="s">
        <v>124</v>
      </c>
      <c r="E473" s="1" t="s">
        <v>3465</v>
      </c>
      <c r="F473" s="1" t="s">
        <v>3466</v>
      </c>
      <c r="G473">
        <v>-20967</v>
      </c>
      <c r="H473">
        <v>-4287</v>
      </c>
      <c r="I473" s="1" t="s">
        <v>445</v>
      </c>
      <c r="J473" s="1" t="s">
        <v>379</v>
      </c>
      <c r="K473">
        <v>365243</v>
      </c>
      <c r="L473" s="1" t="s">
        <v>760</v>
      </c>
    </row>
    <row r="474" spans="1:12" x14ac:dyDescent="0.25">
      <c r="A474">
        <v>472</v>
      </c>
      <c r="B474" s="1" t="s">
        <v>3467</v>
      </c>
      <c r="C474" s="1" t="s">
        <v>3468</v>
      </c>
      <c r="D474" s="1" t="s">
        <v>54</v>
      </c>
      <c r="E474" s="1" t="s">
        <v>3469</v>
      </c>
      <c r="F474" s="1" t="s">
        <v>3470</v>
      </c>
      <c r="G474">
        <v>-24145</v>
      </c>
      <c r="H474">
        <v>-4779</v>
      </c>
      <c r="I474" s="1" t="s">
        <v>3471</v>
      </c>
      <c r="J474" s="1" t="s">
        <v>3472</v>
      </c>
      <c r="K474">
        <v>365243</v>
      </c>
      <c r="L474" s="1" t="s">
        <v>3473</v>
      </c>
    </row>
    <row r="475" spans="1:12" x14ac:dyDescent="0.25">
      <c r="A475">
        <v>473</v>
      </c>
      <c r="B475" s="1" t="s">
        <v>3474</v>
      </c>
      <c r="C475" s="1" t="s">
        <v>3475</v>
      </c>
      <c r="D475" s="1" t="s">
        <v>3476</v>
      </c>
      <c r="E475" s="1" t="s">
        <v>3477</v>
      </c>
      <c r="F475" s="1" t="s">
        <v>3478</v>
      </c>
      <c r="G475">
        <v>-11135</v>
      </c>
      <c r="H475">
        <v>-3058</v>
      </c>
      <c r="I475" s="1" t="s">
        <v>3479</v>
      </c>
      <c r="J475" s="1" t="s">
        <v>3480</v>
      </c>
      <c r="K475">
        <v>-3304</v>
      </c>
      <c r="L475" s="1" t="s">
        <v>3264</v>
      </c>
    </row>
    <row r="476" spans="1:12" x14ac:dyDescent="0.25">
      <c r="A476">
        <v>474</v>
      </c>
      <c r="B476" s="1" t="s">
        <v>3481</v>
      </c>
      <c r="C476" s="1" t="s">
        <v>3482</v>
      </c>
      <c r="D476" s="1" t="s">
        <v>1239</v>
      </c>
      <c r="E476" s="1" t="s">
        <v>3483</v>
      </c>
      <c r="F476" s="1" t="s">
        <v>3484</v>
      </c>
      <c r="G476">
        <v>-16491</v>
      </c>
      <c r="H476">
        <v>-36</v>
      </c>
      <c r="I476" s="1" t="s">
        <v>3485</v>
      </c>
      <c r="J476" s="1" t="s">
        <v>3486</v>
      </c>
      <c r="K476">
        <v>-4906</v>
      </c>
      <c r="L476" s="1" t="s">
        <v>3487</v>
      </c>
    </row>
    <row r="477" spans="1:12" x14ac:dyDescent="0.25">
      <c r="A477">
        <v>475</v>
      </c>
      <c r="B477" s="1" t="s">
        <v>3488</v>
      </c>
      <c r="C477" s="1" t="s">
        <v>3489</v>
      </c>
      <c r="D477" s="1" t="s">
        <v>521</v>
      </c>
      <c r="E477" s="1" t="s">
        <v>3490</v>
      </c>
      <c r="F477" s="1" t="s">
        <v>3491</v>
      </c>
      <c r="G477">
        <v>-21771</v>
      </c>
      <c r="H477">
        <v>-4974</v>
      </c>
      <c r="I477" s="1" t="s">
        <v>3492</v>
      </c>
      <c r="J477" s="1" t="s">
        <v>3493</v>
      </c>
      <c r="K477">
        <v>365243</v>
      </c>
      <c r="L477" s="1" t="s">
        <v>3494</v>
      </c>
    </row>
    <row r="478" spans="1:12" x14ac:dyDescent="0.25">
      <c r="A478">
        <v>476</v>
      </c>
      <c r="B478" s="1" t="s">
        <v>3495</v>
      </c>
      <c r="C478" s="1" t="s">
        <v>3496</v>
      </c>
      <c r="D478" s="1" t="s">
        <v>3497</v>
      </c>
      <c r="E478" s="1" t="s">
        <v>3498</v>
      </c>
      <c r="F478" s="1" t="s">
        <v>3499</v>
      </c>
      <c r="G478">
        <v>-18707</v>
      </c>
      <c r="H478">
        <v>-2218</v>
      </c>
      <c r="I478" s="1" t="s">
        <v>3500</v>
      </c>
      <c r="J478" s="1" t="s">
        <v>198</v>
      </c>
      <c r="K478">
        <v>-200</v>
      </c>
      <c r="L478" s="1" t="s">
        <v>1820</v>
      </c>
    </row>
    <row r="479" spans="1:12" x14ac:dyDescent="0.25">
      <c r="A479">
        <v>477</v>
      </c>
      <c r="B479" s="1" t="s">
        <v>3501</v>
      </c>
      <c r="C479" s="1" t="s">
        <v>3502</v>
      </c>
      <c r="D479" s="1" t="s">
        <v>47</v>
      </c>
      <c r="E479" s="1" t="s">
        <v>3503</v>
      </c>
      <c r="F479" s="1" t="s">
        <v>3504</v>
      </c>
      <c r="G479">
        <v>-16387</v>
      </c>
      <c r="H479">
        <v>-4199</v>
      </c>
      <c r="I479" s="1" t="s">
        <v>3505</v>
      </c>
      <c r="J479" s="1" t="s">
        <v>3506</v>
      </c>
      <c r="K479">
        <v>-5023</v>
      </c>
      <c r="L479" s="1" t="s">
        <v>3507</v>
      </c>
    </row>
    <row r="480" spans="1:12" x14ac:dyDescent="0.25">
      <c r="A480">
        <v>478</v>
      </c>
      <c r="B480" s="1" t="s">
        <v>3508</v>
      </c>
      <c r="C480" s="1" t="s">
        <v>3509</v>
      </c>
      <c r="D480" s="1" t="s">
        <v>3510</v>
      </c>
      <c r="E480" s="1" t="s">
        <v>3511</v>
      </c>
      <c r="F480" s="1" t="s">
        <v>3512</v>
      </c>
      <c r="G480">
        <v>-22199</v>
      </c>
      <c r="H480">
        <v>-4523</v>
      </c>
      <c r="I480" s="1" t="s">
        <v>3513</v>
      </c>
      <c r="J480" s="1" t="s">
        <v>3514</v>
      </c>
      <c r="K480">
        <v>365243</v>
      </c>
      <c r="L480" s="1" t="s">
        <v>3515</v>
      </c>
    </row>
    <row r="481" spans="1:12" x14ac:dyDescent="0.25">
      <c r="A481">
        <v>479</v>
      </c>
      <c r="B481" s="1" t="s">
        <v>3516</v>
      </c>
      <c r="C481" s="1" t="s">
        <v>3517</v>
      </c>
      <c r="D481" s="1" t="s">
        <v>173</v>
      </c>
      <c r="E481" s="1" t="s">
        <v>3518</v>
      </c>
      <c r="F481" s="1" t="s">
        <v>3519</v>
      </c>
      <c r="G481">
        <v>-11880</v>
      </c>
      <c r="H481">
        <v>-2453</v>
      </c>
      <c r="I481" s="1" t="s">
        <v>3520</v>
      </c>
      <c r="J481" s="1" t="s">
        <v>3521</v>
      </c>
      <c r="K481">
        <v>-3729</v>
      </c>
      <c r="L481" s="1" t="s">
        <v>3522</v>
      </c>
    </row>
    <row r="482" spans="1:12" x14ac:dyDescent="0.25">
      <c r="A482">
        <v>480</v>
      </c>
      <c r="B482" s="1" t="s">
        <v>3523</v>
      </c>
      <c r="C482" s="1" t="s">
        <v>3524</v>
      </c>
      <c r="D482" s="1" t="s">
        <v>271</v>
      </c>
      <c r="E482" s="1" t="s">
        <v>3525</v>
      </c>
      <c r="F482" s="1" t="s">
        <v>3526</v>
      </c>
      <c r="G482">
        <v>-10658</v>
      </c>
      <c r="H482">
        <v>-2503</v>
      </c>
      <c r="I482" s="1" t="s">
        <v>3527</v>
      </c>
      <c r="J482" s="1" t="s">
        <v>3528</v>
      </c>
      <c r="K482">
        <v>-1289</v>
      </c>
      <c r="L482" s="1" t="s">
        <v>3529</v>
      </c>
    </row>
    <row r="483" spans="1:12" x14ac:dyDescent="0.25">
      <c r="A483">
        <v>481</v>
      </c>
      <c r="B483" s="1" t="s">
        <v>3530</v>
      </c>
      <c r="C483" s="1" t="s">
        <v>3531</v>
      </c>
      <c r="D483" s="1" t="s">
        <v>2060</v>
      </c>
      <c r="E483" s="1" t="s">
        <v>3532</v>
      </c>
      <c r="F483" s="1" t="s">
        <v>3533</v>
      </c>
      <c r="G483">
        <v>-11244</v>
      </c>
      <c r="H483">
        <v>-3767</v>
      </c>
      <c r="I483" s="1" t="s">
        <v>3534</v>
      </c>
      <c r="J483" s="1" t="s">
        <v>3535</v>
      </c>
      <c r="K483">
        <v>-3058</v>
      </c>
      <c r="L483" s="1" t="s">
        <v>3536</v>
      </c>
    </row>
    <row r="484" spans="1:12" x14ac:dyDescent="0.25">
      <c r="A484">
        <v>482</v>
      </c>
      <c r="B484" s="1" t="s">
        <v>3537</v>
      </c>
      <c r="C484" s="1" t="s">
        <v>3538</v>
      </c>
      <c r="D484" s="1" t="s">
        <v>1961</v>
      </c>
      <c r="E484" s="1" t="s">
        <v>3539</v>
      </c>
      <c r="F484" s="1" t="s">
        <v>3540</v>
      </c>
      <c r="G484">
        <v>-11057</v>
      </c>
      <c r="H484">
        <v>-3388</v>
      </c>
      <c r="I484" s="1" t="s">
        <v>3541</v>
      </c>
      <c r="J484" s="1" t="s">
        <v>3542</v>
      </c>
      <c r="K484">
        <v>-359</v>
      </c>
      <c r="L484" s="1" t="s">
        <v>3543</v>
      </c>
    </row>
    <row r="485" spans="1:12" x14ac:dyDescent="0.25">
      <c r="A485">
        <v>483</v>
      </c>
      <c r="B485" s="1" t="s">
        <v>3544</v>
      </c>
      <c r="C485" s="1" t="s">
        <v>3545</v>
      </c>
      <c r="D485" s="1" t="s">
        <v>54</v>
      </c>
      <c r="E485" s="1" t="s">
        <v>3546</v>
      </c>
      <c r="F485" s="1" t="s">
        <v>3547</v>
      </c>
      <c r="G485">
        <v>-22194</v>
      </c>
      <c r="H485">
        <v>-1964</v>
      </c>
      <c r="I485" s="1" t="s">
        <v>3548</v>
      </c>
      <c r="J485" s="1" t="s">
        <v>3549</v>
      </c>
      <c r="K485">
        <v>-1309</v>
      </c>
      <c r="L485" s="1" t="s">
        <v>3550</v>
      </c>
    </row>
    <row r="486" spans="1:12" x14ac:dyDescent="0.25">
      <c r="A486">
        <v>484</v>
      </c>
      <c r="B486" s="1" t="s">
        <v>3551</v>
      </c>
      <c r="C486" s="1" t="s">
        <v>3552</v>
      </c>
      <c r="D486" s="1" t="s">
        <v>575</v>
      </c>
      <c r="E486" s="1" t="s">
        <v>3553</v>
      </c>
      <c r="F486" s="1" t="s">
        <v>2213</v>
      </c>
      <c r="G486">
        <v>-14826</v>
      </c>
      <c r="H486">
        <v>-4286</v>
      </c>
      <c r="I486" s="1" t="s">
        <v>1840</v>
      </c>
      <c r="J486" s="1" t="s">
        <v>379</v>
      </c>
      <c r="K486">
        <v>-1898</v>
      </c>
      <c r="L486" s="1" t="s">
        <v>760</v>
      </c>
    </row>
    <row r="487" spans="1:12" x14ac:dyDescent="0.25">
      <c r="A487">
        <v>485</v>
      </c>
      <c r="B487" s="1" t="s">
        <v>3554</v>
      </c>
      <c r="C487" s="1" t="s">
        <v>3555</v>
      </c>
      <c r="D487" s="1" t="s">
        <v>602</v>
      </c>
      <c r="E487" s="1" t="s">
        <v>3556</v>
      </c>
      <c r="F487" s="1" t="s">
        <v>3557</v>
      </c>
      <c r="G487">
        <v>-13540</v>
      </c>
      <c r="H487">
        <v>-4038</v>
      </c>
      <c r="I487" s="1" t="s">
        <v>3558</v>
      </c>
      <c r="J487" s="1" t="s">
        <v>3559</v>
      </c>
      <c r="K487">
        <v>-2353</v>
      </c>
      <c r="L487" s="1" t="s">
        <v>3560</v>
      </c>
    </row>
    <row r="488" spans="1:12" x14ac:dyDescent="0.25">
      <c r="A488">
        <v>486</v>
      </c>
      <c r="B488" s="1" t="s">
        <v>3561</v>
      </c>
      <c r="C488" s="1" t="s">
        <v>3562</v>
      </c>
      <c r="D488" s="1" t="s">
        <v>1049</v>
      </c>
      <c r="E488" s="1" t="s">
        <v>3563</v>
      </c>
      <c r="F488" s="1" t="s">
        <v>3564</v>
      </c>
      <c r="G488">
        <v>-16672</v>
      </c>
      <c r="H488">
        <v>-216</v>
      </c>
      <c r="I488" s="1" t="s">
        <v>3565</v>
      </c>
      <c r="J488" s="1" t="s">
        <v>3566</v>
      </c>
      <c r="K488">
        <v>-3701</v>
      </c>
      <c r="L488" s="1" t="s">
        <v>3567</v>
      </c>
    </row>
    <row r="489" spans="1:12" x14ac:dyDescent="0.25">
      <c r="A489">
        <v>487</v>
      </c>
      <c r="B489" s="1" t="s">
        <v>3568</v>
      </c>
      <c r="C489" s="1" t="s">
        <v>3569</v>
      </c>
      <c r="D489" s="1" t="s">
        <v>2183</v>
      </c>
      <c r="E489" s="1" t="s">
        <v>3570</v>
      </c>
      <c r="F489" s="1" t="s">
        <v>3571</v>
      </c>
      <c r="G489">
        <v>-21381</v>
      </c>
      <c r="H489">
        <v>-4908</v>
      </c>
      <c r="I489" s="1" t="s">
        <v>260</v>
      </c>
      <c r="J489" s="1" t="s">
        <v>261</v>
      </c>
      <c r="K489">
        <v>365243</v>
      </c>
      <c r="L489" s="1" t="s">
        <v>742</v>
      </c>
    </row>
    <row r="490" spans="1:12" x14ac:dyDescent="0.25">
      <c r="A490">
        <v>488</v>
      </c>
      <c r="B490" s="1" t="s">
        <v>3572</v>
      </c>
      <c r="C490" s="1" t="s">
        <v>3573</v>
      </c>
      <c r="D490" s="1" t="s">
        <v>1201</v>
      </c>
      <c r="E490" s="1" t="s">
        <v>3574</v>
      </c>
      <c r="F490" s="1" t="s">
        <v>3575</v>
      </c>
      <c r="G490">
        <v>-20905</v>
      </c>
      <c r="H490">
        <v>-2534</v>
      </c>
      <c r="I490" s="1" t="s">
        <v>3576</v>
      </c>
      <c r="J490" s="1" t="s">
        <v>3577</v>
      </c>
      <c r="K490">
        <v>365243</v>
      </c>
      <c r="L490" s="1" t="s">
        <v>3578</v>
      </c>
    </row>
    <row r="491" spans="1:12" x14ac:dyDescent="0.25">
      <c r="A491">
        <v>489</v>
      </c>
      <c r="B491" s="1" t="s">
        <v>3579</v>
      </c>
      <c r="C491" s="1" t="s">
        <v>3580</v>
      </c>
      <c r="D491" s="1" t="s">
        <v>2170</v>
      </c>
      <c r="E491" s="1" t="s">
        <v>3581</v>
      </c>
      <c r="F491" s="1" t="s">
        <v>3582</v>
      </c>
      <c r="G491">
        <v>-18207</v>
      </c>
      <c r="H491">
        <v>-1698</v>
      </c>
      <c r="I491" s="1" t="s">
        <v>3583</v>
      </c>
      <c r="J491" s="1" t="s">
        <v>3584</v>
      </c>
      <c r="K491">
        <v>-1134</v>
      </c>
      <c r="L491" s="1" t="s">
        <v>3585</v>
      </c>
    </row>
    <row r="492" spans="1:12" x14ac:dyDescent="0.25">
      <c r="A492">
        <v>490</v>
      </c>
      <c r="B492" s="1" t="s">
        <v>3586</v>
      </c>
      <c r="C492" s="1" t="s">
        <v>3587</v>
      </c>
      <c r="D492" s="1" t="s">
        <v>3026</v>
      </c>
      <c r="E492" s="1" t="s">
        <v>3588</v>
      </c>
      <c r="F492" s="1" t="s">
        <v>3589</v>
      </c>
      <c r="G492">
        <v>-16705</v>
      </c>
      <c r="H492">
        <v>-250</v>
      </c>
      <c r="I492" s="1" t="s">
        <v>3590</v>
      </c>
      <c r="J492" s="1" t="s">
        <v>198</v>
      </c>
      <c r="K492">
        <v>-1357</v>
      </c>
      <c r="L492" s="1" t="s">
        <v>3591</v>
      </c>
    </row>
    <row r="493" spans="1:12" x14ac:dyDescent="0.25">
      <c r="A493">
        <v>491</v>
      </c>
      <c r="B493" s="1" t="s">
        <v>3592</v>
      </c>
      <c r="C493" s="1" t="s">
        <v>3593</v>
      </c>
      <c r="D493" s="1" t="s">
        <v>3594</v>
      </c>
      <c r="E493" s="1" t="s">
        <v>3595</v>
      </c>
      <c r="F493" s="1" t="s">
        <v>3596</v>
      </c>
      <c r="G493">
        <v>-14826</v>
      </c>
      <c r="H493">
        <v>-4885</v>
      </c>
      <c r="I493" s="1" t="s">
        <v>3597</v>
      </c>
      <c r="J493" s="1" t="s">
        <v>646</v>
      </c>
      <c r="K493">
        <v>-1185</v>
      </c>
      <c r="L493" s="1" t="s">
        <v>798</v>
      </c>
    </row>
    <row r="494" spans="1:12" x14ac:dyDescent="0.25">
      <c r="A494">
        <v>492</v>
      </c>
      <c r="B494" s="1" t="s">
        <v>3598</v>
      </c>
      <c r="C494" s="1" t="s">
        <v>3599</v>
      </c>
      <c r="D494" s="1" t="s">
        <v>1069</v>
      </c>
      <c r="E494" s="1" t="s">
        <v>3600</v>
      </c>
      <c r="F494" s="1" t="s">
        <v>3601</v>
      </c>
      <c r="G494">
        <v>-21684</v>
      </c>
      <c r="H494">
        <v>-4845</v>
      </c>
      <c r="I494" s="1" t="s">
        <v>3602</v>
      </c>
      <c r="J494" s="1" t="s">
        <v>3603</v>
      </c>
      <c r="K494">
        <v>-1293</v>
      </c>
      <c r="L494" s="1" t="s">
        <v>3238</v>
      </c>
    </row>
    <row r="495" spans="1:12" x14ac:dyDescent="0.25">
      <c r="A495">
        <v>493</v>
      </c>
      <c r="B495" s="1" t="s">
        <v>3604</v>
      </c>
      <c r="C495" s="1" t="s">
        <v>3605</v>
      </c>
      <c r="D495" s="1" t="s">
        <v>3606</v>
      </c>
      <c r="E495" s="1" t="s">
        <v>3607</v>
      </c>
      <c r="F495" s="1" t="s">
        <v>3608</v>
      </c>
      <c r="G495">
        <v>-19424</v>
      </c>
      <c r="H495">
        <v>-2910</v>
      </c>
      <c r="I495" s="1" t="s">
        <v>3609</v>
      </c>
      <c r="J495" s="1" t="s">
        <v>3610</v>
      </c>
      <c r="K495">
        <v>365243</v>
      </c>
      <c r="L495" s="1" t="s">
        <v>3611</v>
      </c>
    </row>
    <row r="496" spans="1:12" x14ac:dyDescent="0.25">
      <c r="A496">
        <v>494</v>
      </c>
      <c r="B496" s="1" t="s">
        <v>3612</v>
      </c>
      <c r="C496" s="1" t="s">
        <v>3613</v>
      </c>
      <c r="D496" s="1" t="s">
        <v>3614</v>
      </c>
      <c r="E496" s="1" t="s">
        <v>3615</v>
      </c>
      <c r="F496" s="1" t="s">
        <v>3616</v>
      </c>
      <c r="G496">
        <v>-11426</v>
      </c>
      <c r="H496">
        <v>-1403</v>
      </c>
      <c r="I496" s="1" t="s">
        <v>3617</v>
      </c>
      <c r="J496" s="1" t="s">
        <v>3618</v>
      </c>
      <c r="K496">
        <v>-2941</v>
      </c>
      <c r="L496" s="1" t="s">
        <v>3619</v>
      </c>
    </row>
    <row r="497" spans="1:12" x14ac:dyDescent="0.25">
      <c r="A497">
        <v>495</v>
      </c>
      <c r="B497" s="1" t="s">
        <v>3620</v>
      </c>
      <c r="C497" s="1" t="s">
        <v>3621</v>
      </c>
      <c r="D497" s="1" t="s">
        <v>3622</v>
      </c>
      <c r="E497" s="1" t="s">
        <v>3623</v>
      </c>
      <c r="F497" s="1" t="s">
        <v>3624</v>
      </c>
      <c r="G497">
        <v>-19148</v>
      </c>
      <c r="H497">
        <v>-2687</v>
      </c>
      <c r="I497" s="1" t="s">
        <v>3625</v>
      </c>
      <c r="J497" s="1" t="s">
        <v>3626</v>
      </c>
      <c r="K497">
        <v>-699</v>
      </c>
      <c r="L497" s="1" t="s">
        <v>3627</v>
      </c>
    </row>
    <row r="498" spans="1:12" x14ac:dyDescent="0.25">
      <c r="A498">
        <v>496</v>
      </c>
      <c r="B498" s="1" t="s">
        <v>3628</v>
      </c>
      <c r="C498" s="1" t="s">
        <v>3629</v>
      </c>
      <c r="D498" s="1" t="s">
        <v>3630</v>
      </c>
      <c r="E498" s="1" t="s">
        <v>3631</v>
      </c>
      <c r="F498" s="1" t="s">
        <v>3632</v>
      </c>
      <c r="G498">
        <v>-16344</v>
      </c>
      <c r="H498">
        <v>-614</v>
      </c>
      <c r="I498" s="1" t="s">
        <v>3633</v>
      </c>
      <c r="J498" s="1" t="s">
        <v>3634</v>
      </c>
      <c r="K498">
        <v>-126</v>
      </c>
      <c r="L498" s="1" t="s">
        <v>3635</v>
      </c>
    </row>
    <row r="499" spans="1:12" x14ac:dyDescent="0.25">
      <c r="A499">
        <v>497</v>
      </c>
      <c r="B499" s="1" t="s">
        <v>3636</v>
      </c>
      <c r="C499" s="1" t="s">
        <v>3637</v>
      </c>
      <c r="D499" s="1" t="s">
        <v>3638</v>
      </c>
      <c r="E499" s="1" t="s">
        <v>3639</v>
      </c>
      <c r="F499" s="1" t="s">
        <v>3640</v>
      </c>
      <c r="G499">
        <v>-19417</v>
      </c>
      <c r="H499">
        <v>-2946</v>
      </c>
      <c r="I499" s="1" t="s">
        <v>3641</v>
      </c>
      <c r="J499" s="1" t="s">
        <v>198</v>
      </c>
      <c r="K499">
        <v>-2221</v>
      </c>
      <c r="L499" s="1" t="s">
        <v>3591</v>
      </c>
    </row>
    <row r="500" spans="1:12" x14ac:dyDescent="0.25">
      <c r="A500">
        <v>498</v>
      </c>
      <c r="B500" s="1" t="s">
        <v>3642</v>
      </c>
      <c r="C500" s="1" t="s">
        <v>3643</v>
      </c>
      <c r="D500" s="1" t="s">
        <v>3644</v>
      </c>
      <c r="E500" s="1" t="s">
        <v>3645</v>
      </c>
      <c r="F500" s="1" t="s">
        <v>3646</v>
      </c>
      <c r="G500">
        <v>-20614</v>
      </c>
      <c r="H500">
        <v>-4067</v>
      </c>
      <c r="I500" s="1" t="s">
        <v>3647</v>
      </c>
      <c r="J500" s="1" t="s">
        <v>3648</v>
      </c>
      <c r="K500">
        <v>-1435</v>
      </c>
      <c r="L500" s="1" t="s">
        <v>3649</v>
      </c>
    </row>
    <row r="501" spans="1:12" x14ac:dyDescent="0.25">
      <c r="A501">
        <v>499</v>
      </c>
      <c r="B501" s="1" t="s">
        <v>3650</v>
      </c>
      <c r="C501" s="1" t="s">
        <v>3651</v>
      </c>
      <c r="D501" s="1" t="s">
        <v>3652</v>
      </c>
      <c r="E501" s="1" t="s">
        <v>3653</v>
      </c>
      <c r="F501" s="1" t="s">
        <v>3654</v>
      </c>
      <c r="G501">
        <v>-12834</v>
      </c>
      <c r="H501">
        <v>-4058</v>
      </c>
      <c r="I501" s="1" t="s">
        <v>3655</v>
      </c>
      <c r="J501" s="1" t="s">
        <v>3656</v>
      </c>
      <c r="K501">
        <v>-1101</v>
      </c>
      <c r="L501" s="1" t="s">
        <v>3657</v>
      </c>
    </row>
    <row r="502" spans="1:12" x14ac:dyDescent="0.25">
      <c r="A502">
        <v>500</v>
      </c>
      <c r="B502" s="1" t="s">
        <v>3658</v>
      </c>
      <c r="C502" s="1" t="s">
        <v>3659</v>
      </c>
      <c r="D502" s="1" t="s">
        <v>3660</v>
      </c>
      <c r="E502" s="1" t="s">
        <v>3661</v>
      </c>
      <c r="F502" s="1" t="s">
        <v>3662</v>
      </c>
      <c r="G502">
        <v>-23279</v>
      </c>
      <c r="H502">
        <v>-4189</v>
      </c>
      <c r="I502" s="1" t="s">
        <v>3663</v>
      </c>
      <c r="J502" s="1" t="s">
        <v>3664</v>
      </c>
      <c r="K502">
        <v>365243</v>
      </c>
      <c r="L502" s="1" t="s">
        <v>3665</v>
      </c>
    </row>
    <row r="503" spans="1:12" x14ac:dyDescent="0.25">
      <c r="A503">
        <v>501</v>
      </c>
      <c r="B503" s="1" t="s">
        <v>3666</v>
      </c>
      <c r="C503" s="1" t="s">
        <v>3667</v>
      </c>
      <c r="D503" s="1" t="s">
        <v>949</v>
      </c>
      <c r="E503" s="1" t="s">
        <v>3668</v>
      </c>
      <c r="F503" s="1" t="s">
        <v>3669</v>
      </c>
      <c r="G503">
        <v>-23158</v>
      </c>
      <c r="H503">
        <v>-4153</v>
      </c>
      <c r="I503" s="1" t="s">
        <v>3670</v>
      </c>
      <c r="J503" s="1" t="s">
        <v>3671</v>
      </c>
      <c r="K503">
        <v>-1899</v>
      </c>
      <c r="L503" s="1" t="s">
        <v>3672</v>
      </c>
    </row>
    <row r="504" spans="1:12" x14ac:dyDescent="0.25">
      <c r="A504">
        <v>502</v>
      </c>
      <c r="B504" s="1" t="s">
        <v>3673</v>
      </c>
      <c r="C504" s="1" t="s">
        <v>3674</v>
      </c>
      <c r="D504" s="1" t="s">
        <v>1983</v>
      </c>
      <c r="E504" s="1" t="s">
        <v>290</v>
      </c>
      <c r="F504" s="1" t="s">
        <v>3416</v>
      </c>
      <c r="G504">
        <v>-13962</v>
      </c>
      <c r="H504">
        <v>-4272</v>
      </c>
      <c r="I504" s="1" t="s">
        <v>3675</v>
      </c>
      <c r="J504" s="1" t="s">
        <v>2562</v>
      </c>
      <c r="K504">
        <v>-5115</v>
      </c>
      <c r="L504" s="1" t="s">
        <v>2563</v>
      </c>
    </row>
    <row r="505" spans="1:12" x14ac:dyDescent="0.25">
      <c r="A505">
        <v>503</v>
      </c>
      <c r="B505" s="1" t="s">
        <v>3676</v>
      </c>
      <c r="C505" s="1" t="s">
        <v>3677</v>
      </c>
      <c r="D505" s="1" t="s">
        <v>2036</v>
      </c>
      <c r="E505" s="1" t="s">
        <v>3678</v>
      </c>
      <c r="F505" s="1" t="s">
        <v>3679</v>
      </c>
      <c r="G505">
        <v>-18523</v>
      </c>
      <c r="H505">
        <v>-1652</v>
      </c>
      <c r="I505" s="1" t="s">
        <v>3680</v>
      </c>
      <c r="J505" s="1" t="s">
        <v>3681</v>
      </c>
      <c r="K505">
        <v>-297</v>
      </c>
      <c r="L505" s="1" t="s">
        <v>3682</v>
      </c>
    </row>
    <row r="506" spans="1:12" x14ac:dyDescent="0.25">
      <c r="A506">
        <v>504</v>
      </c>
      <c r="B506" s="1" t="s">
        <v>3683</v>
      </c>
      <c r="C506" s="1" t="s">
        <v>3684</v>
      </c>
      <c r="D506" s="1" t="s">
        <v>1867</v>
      </c>
      <c r="E506" s="1" t="s">
        <v>3685</v>
      </c>
      <c r="F506" s="1" t="s">
        <v>3686</v>
      </c>
      <c r="G506">
        <v>-19127</v>
      </c>
      <c r="H506">
        <v>-2442</v>
      </c>
      <c r="I506" s="1" t="s">
        <v>3687</v>
      </c>
      <c r="J506" s="1" t="s">
        <v>3688</v>
      </c>
      <c r="K506">
        <v>-602</v>
      </c>
      <c r="L506" s="1" t="s">
        <v>3689</v>
      </c>
    </row>
    <row r="507" spans="1:12" x14ac:dyDescent="0.25">
      <c r="A507">
        <v>505</v>
      </c>
      <c r="B507" s="1" t="s">
        <v>3690</v>
      </c>
      <c r="C507" s="1" t="s">
        <v>3691</v>
      </c>
      <c r="D507" s="1" t="s">
        <v>2893</v>
      </c>
      <c r="E507" s="1" t="s">
        <v>3692</v>
      </c>
      <c r="F507" s="1" t="s">
        <v>3693</v>
      </c>
      <c r="G507">
        <v>-23023</v>
      </c>
      <c r="H507">
        <v>-4494</v>
      </c>
      <c r="I507" s="1" t="s">
        <v>3694</v>
      </c>
      <c r="J507" s="1" t="s">
        <v>3695</v>
      </c>
      <c r="K507">
        <v>365243</v>
      </c>
      <c r="L507" s="1" t="s">
        <v>3696</v>
      </c>
    </row>
    <row r="508" spans="1:12" x14ac:dyDescent="0.25">
      <c r="A508">
        <v>506</v>
      </c>
      <c r="B508" s="1" t="s">
        <v>3697</v>
      </c>
      <c r="C508" s="1" t="s">
        <v>3698</v>
      </c>
      <c r="D508" s="1" t="s">
        <v>3699</v>
      </c>
      <c r="E508" s="1" t="s">
        <v>3700</v>
      </c>
      <c r="F508" s="1" t="s">
        <v>3701</v>
      </c>
      <c r="G508">
        <v>-11146</v>
      </c>
      <c r="H508">
        <v>-695</v>
      </c>
      <c r="I508" s="1" t="s">
        <v>3702</v>
      </c>
      <c r="J508" s="1" t="s">
        <v>3703</v>
      </c>
      <c r="K508">
        <v>-2910</v>
      </c>
      <c r="L508" s="1" t="s">
        <v>3704</v>
      </c>
    </row>
    <row r="509" spans="1:12" x14ac:dyDescent="0.25">
      <c r="A509">
        <v>507</v>
      </c>
      <c r="B509" s="1" t="s">
        <v>3705</v>
      </c>
      <c r="C509" s="1" t="s">
        <v>3706</v>
      </c>
      <c r="D509" s="1" t="s">
        <v>54</v>
      </c>
      <c r="E509" s="1" t="s">
        <v>3707</v>
      </c>
      <c r="F509" s="1" t="s">
        <v>3708</v>
      </c>
      <c r="G509">
        <v>-22326</v>
      </c>
      <c r="H509">
        <v>-4116</v>
      </c>
      <c r="I509" s="1" t="s">
        <v>3709</v>
      </c>
      <c r="J509" s="1" t="s">
        <v>198</v>
      </c>
      <c r="K509">
        <v>365243</v>
      </c>
      <c r="L509" s="1" t="s">
        <v>1683</v>
      </c>
    </row>
    <row r="510" spans="1:12" x14ac:dyDescent="0.25">
      <c r="A510">
        <v>508</v>
      </c>
      <c r="B510" s="1" t="s">
        <v>3710</v>
      </c>
      <c r="C510" s="1" t="s">
        <v>3711</v>
      </c>
      <c r="D510" s="1" t="s">
        <v>1553</v>
      </c>
      <c r="E510" s="1" t="s">
        <v>3712</v>
      </c>
      <c r="F510" s="1" t="s">
        <v>3713</v>
      </c>
      <c r="G510">
        <v>-11373</v>
      </c>
      <c r="H510">
        <v>-772</v>
      </c>
      <c r="I510" s="1" t="s">
        <v>3714</v>
      </c>
      <c r="J510" s="1" t="s">
        <v>3715</v>
      </c>
      <c r="K510">
        <v>-196</v>
      </c>
      <c r="L510" s="1" t="s">
        <v>3716</v>
      </c>
    </row>
    <row r="511" spans="1:12" x14ac:dyDescent="0.25">
      <c r="A511">
        <v>509</v>
      </c>
      <c r="B511" s="1" t="s">
        <v>3717</v>
      </c>
      <c r="C511" s="1" t="s">
        <v>3718</v>
      </c>
      <c r="D511" s="1" t="s">
        <v>2722</v>
      </c>
      <c r="E511" s="1" t="s">
        <v>3719</v>
      </c>
      <c r="F511" s="1" t="s">
        <v>3720</v>
      </c>
      <c r="G511">
        <v>-19536</v>
      </c>
      <c r="H511">
        <v>-2041</v>
      </c>
      <c r="I511" s="1" t="s">
        <v>3721</v>
      </c>
      <c r="J511" s="1" t="s">
        <v>3722</v>
      </c>
      <c r="K511">
        <v>365243</v>
      </c>
      <c r="L511" s="1" t="s">
        <v>3723</v>
      </c>
    </row>
    <row r="512" spans="1:12" x14ac:dyDescent="0.25">
      <c r="A512">
        <v>510</v>
      </c>
      <c r="B512" s="1" t="s">
        <v>3724</v>
      </c>
      <c r="C512" s="1" t="s">
        <v>3725</v>
      </c>
      <c r="D512" s="1" t="s">
        <v>1239</v>
      </c>
      <c r="E512" s="1" t="s">
        <v>3726</v>
      </c>
      <c r="F512" s="1" t="s">
        <v>3727</v>
      </c>
      <c r="G512">
        <v>-14943</v>
      </c>
      <c r="H512">
        <v>-4358</v>
      </c>
      <c r="I512" s="1" t="s">
        <v>3728</v>
      </c>
      <c r="J512" s="1" t="s">
        <v>198</v>
      </c>
      <c r="K512">
        <v>-7302</v>
      </c>
      <c r="L512" s="1" t="s">
        <v>1943</v>
      </c>
    </row>
    <row r="513" spans="1:12" x14ac:dyDescent="0.25">
      <c r="A513">
        <v>511</v>
      </c>
      <c r="B513" s="1" t="s">
        <v>3729</v>
      </c>
      <c r="C513" s="1" t="s">
        <v>3730</v>
      </c>
      <c r="D513" s="1" t="s">
        <v>3731</v>
      </c>
      <c r="E513" s="1" t="s">
        <v>3732</v>
      </c>
      <c r="F513" s="1" t="s">
        <v>3733</v>
      </c>
      <c r="G513">
        <v>-10438</v>
      </c>
      <c r="H513">
        <v>-3019</v>
      </c>
      <c r="I513" s="1" t="s">
        <v>3734</v>
      </c>
      <c r="J513" s="1" t="s">
        <v>3735</v>
      </c>
      <c r="K513">
        <v>-1550</v>
      </c>
      <c r="L513" s="1" t="s">
        <v>3736</v>
      </c>
    </row>
    <row r="514" spans="1:12" x14ac:dyDescent="0.25">
      <c r="A514">
        <v>512</v>
      </c>
      <c r="B514" s="1" t="s">
        <v>3737</v>
      </c>
      <c r="C514" s="1" t="s">
        <v>3738</v>
      </c>
      <c r="D514" s="1" t="s">
        <v>3159</v>
      </c>
      <c r="E514" s="1" t="s">
        <v>3707</v>
      </c>
      <c r="F514" s="1" t="s">
        <v>3739</v>
      </c>
      <c r="G514">
        <v>-20740</v>
      </c>
      <c r="H514">
        <v>-3990</v>
      </c>
      <c r="I514" s="1" t="s">
        <v>326</v>
      </c>
      <c r="J514" s="1" t="s">
        <v>198</v>
      </c>
      <c r="K514">
        <v>365243</v>
      </c>
      <c r="L514" s="1" t="s">
        <v>1683</v>
      </c>
    </row>
    <row r="515" spans="1:12" x14ac:dyDescent="0.25">
      <c r="A515">
        <v>513</v>
      </c>
      <c r="B515" s="1" t="s">
        <v>3740</v>
      </c>
      <c r="C515" s="1" t="s">
        <v>3741</v>
      </c>
      <c r="D515" s="1" t="s">
        <v>3742</v>
      </c>
      <c r="E515" s="1" t="s">
        <v>3743</v>
      </c>
      <c r="F515" s="1" t="s">
        <v>133</v>
      </c>
      <c r="G515">
        <v>-13934</v>
      </c>
      <c r="H515">
        <v>-4536</v>
      </c>
      <c r="I515" s="1" t="s">
        <v>3744</v>
      </c>
      <c r="J515" s="1" t="s">
        <v>3745</v>
      </c>
      <c r="K515">
        <v>365243</v>
      </c>
      <c r="L515" s="1" t="s">
        <v>3746</v>
      </c>
    </row>
    <row r="516" spans="1:12" x14ac:dyDescent="0.25">
      <c r="A516">
        <v>514</v>
      </c>
      <c r="B516" s="1" t="s">
        <v>3747</v>
      </c>
      <c r="C516" s="1" t="s">
        <v>3748</v>
      </c>
      <c r="D516" s="1" t="s">
        <v>1393</v>
      </c>
      <c r="E516" s="1" t="s">
        <v>3749</v>
      </c>
      <c r="F516" s="1" t="s">
        <v>3750</v>
      </c>
      <c r="G516">
        <v>-19564</v>
      </c>
      <c r="H516">
        <v>-3074</v>
      </c>
      <c r="I516" s="1" t="s">
        <v>3751</v>
      </c>
      <c r="J516" s="1" t="s">
        <v>3752</v>
      </c>
      <c r="K516">
        <v>365243</v>
      </c>
      <c r="L516" s="1" t="s">
        <v>3753</v>
      </c>
    </row>
    <row r="517" spans="1:12" x14ac:dyDescent="0.25">
      <c r="A517">
        <v>515</v>
      </c>
      <c r="B517" s="1" t="s">
        <v>3754</v>
      </c>
      <c r="C517" s="1" t="s">
        <v>3755</v>
      </c>
      <c r="D517" s="1" t="s">
        <v>2957</v>
      </c>
      <c r="E517" s="1" t="s">
        <v>3756</v>
      </c>
      <c r="F517" s="1" t="s">
        <v>3757</v>
      </c>
      <c r="G517">
        <v>-22902</v>
      </c>
      <c r="H517">
        <v>-4145</v>
      </c>
      <c r="I517" s="1" t="s">
        <v>3758</v>
      </c>
      <c r="J517" s="1" t="s">
        <v>3759</v>
      </c>
      <c r="K517">
        <v>365243</v>
      </c>
      <c r="L517" s="1" t="s">
        <v>3760</v>
      </c>
    </row>
    <row r="518" spans="1:12" x14ac:dyDescent="0.25">
      <c r="A518">
        <v>516</v>
      </c>
      <c r="B518" s="1" t="s">
        <v>3761</v>
      </c>
      <c r="C518" s="1" t="s">
        <v>3762</v>
      </c>
      <c r="D518" s="1" t="s">
        <v>2068</v>
      </c>
      <c r="E518" s="1" t="s">
        <v>3763</v>
      </c>
      <c r="F518" s="1" t="s">
        <v>3764</v>
      </c>
      <c r="G518">
        <v>-20555</v>
      </c>
      <c r="H518">
        <v>-4064</v>
      </c>
      <c r="I518" s="1" t="s">
        <v>3765</v>
      </c>
      <c r="J518" s="1" t="s">
        <v>3766</v>
      </c>
      <c r="K518">
        <v>365243</v>
      </c>
      <c r="L518" s="1" t="s">
        <v>3767</v>
      </c>
    </row>
    <row r="519" spans="1:12" x14ac:dyDescent="0.25">
      <c r="A519">
        <v>517</v>
      </c>
      <c r="B519" s="1" t="s">
        <v>3768</v>
      </c>
      <c r="C519" s="1" t="s">
        <v>3769</v>
      </c>
      <c r="D519" s="1" t="s">
        <v>3770</v>
      </c>
      <c r="E519" s="1" t="s">
        <v>3771</v>
      </c>
      <c r="F519" s="1" t="s">
        <v>3772</v>
      </c>
      <c r="G519">
        <v>-17243</v>
      </c>
      <c r="H519">
        <v>-769</v>
      </c>
      <c r="I519" s="1" t="s">
        <v>3773</v>
      </c>
      <c r="J519" s="1" t="s">
        <v>3774</v>
      </c>
      <c r="K519">
        <v>-1567</v>
      </c>
      <c r="L519" s="1" t="s">
        <v>3775</v>
      </c>
    </row>
    <row r="520" spans="1:12" x14ac:dyDescent="0.25">
      <c r="A520">
        <v>518</v>
      </c>
      <c r="B520" s="1" t="s">
        <v>3776</v>
      </c>
      <c r="C520" s="1" t="s">
        <v>3777</v>
      </c>
      <c r="D520" s="1" t="s">
        <v>1961</v>
      </c>
      <c r="E520" s="1" t="s">
        <v>3778</v>
      </c>
      <c r="F520" s="1" t="s">
        <v>891</v>
      </c>
      <c r="G520">
        <v>-22151</v>
      </c>
      <c r="H520">
        <v>-4168</v>
      </c>
      <c r="I520" s="1" t="s">
        <v>3779</v>
      </c>
      <c r="J520" s="1" t="s">
        <v>3780</v>
      </c>
      <c r="K520">
        <v>-6648</v>
      </c>
      <c r="L520" s="1" t="s">
        <v>3781</v>
      </c>
    </row>
    <row r="521" spans="1:12" x14ac:dyDescent="0.25">
      <c r="A521">
        <v>519</v>
      </c>
      <c r="B521" s="1" t="s">
        <v>3782</v>
      </c>
      <c r="C521" s="1" t="s">
        <v>3783</v>
      </c>
      <c r="D521" s="1" t="s">
        <v>3784</v>
      </c>
      <c r="E521" s="1" t="s">
        <v>3785</v>
      </c>
      <c r="F521" s="1" t="s">
        <v>3786</v>
      </c>
      <c r="G521">
        <v>-11574</v>
      </c>
      <c r="H521">
        <v>-3912</v>
      </c>
      <c r="I521" s="1" t="s">
        <v>3787</v>
      </c>
      <c r="J521" s="1" t="s">
        <v>3788</v>
      </c>
      <c r="K521">
        <v>-3168</v>
      </c>
      <c r="L521" s="1" t="s">
        <v>3789</v>
      </c>
    </row>
    <row r="522" spans="1:12" x14ac:dyDescent="0.25">
      <c r="A522">
        <v>520</v>
      </c>
      <c r="B522" s="1" t="s">
        <v>3790</v>
      </c>
      <c r="C522" s="1" t="s">
        <v>3791</v>
      </c>
      <c r="D522" s="1" t="s">
        <v>1707</v>
      </c>
      <c r="E522" s="1" t="s">
        <v>3792</v>
      </c>
      <c r="F522" s="1" t="s">
        <v>3793</v>
      </c>
      <c r="G522">
        <v>-10656</v>
      </c>
      <c r="H522">
        <v>-3005</v>
      </c>
      <c r="I522" s="1" t="s">
        <v>3794</v>
      </c>
      <c r="J522" s="1" t="s">
        <v>3795</v>
      </c>
      <c r="K522">
        <v>-926</v>
      </c>
      <c r="L522" s="1" t="s">
        <v>3796</v>
      </c>
    </row>
    <row r="523" spans="1:12" x14ac:dyDescent="0.25">
      <c r="A523">
        <v>521</v>
      </c>
      <c r="B523" s="1" t="s">
        <v>3797</v>
      </c>
      <c r="C523" s="1" t="s">
        <v>3798</v>
      </c>
      <c r="D523" s="1" t="s">
        <v>823</v>
      </c>
      <c r="E523" s="1" t="s">
        <v>3799</v>
      </c>
      <c r="F523" s="1" t="s">
        <v>3800</v>
      </c>
      <c r="G523">
        <v>-11568</v>
      </c>
      <c r="H523">
        <v>-1012</v>
      </c>
      <c r="I523" s="1" t="s">
        <v>3801</v>
      </c>
      <c r="J523" s="1" t="s">
        <v>3802</v>
      </c>
      <c r="K523">
        <v>-662</v>
      </c>
      <c r="L523" s="1" t="s">
        <v>3803</v>
      </c>
    </row>
    <row r="524" spans="1:12" x14ac:dyDescent="0.25">
      <c r="A524">
        <v>522</v>
      </c>
      <c r="B524" s="1" t="s">
        <v>3804</v>
      </c>
      <c r="C524" s="1" t="s">
        <v>3805</v>
      </c>
      <c r="D524" s="1" t="s">
        <v>2857</v>
      </c>
      <c r="E524" s="1" t="s">
        <v>3806</v>
      </c>
      <c r="F524" s="1" t="s">
        <v>3807</v>
      </c>
      <c r="G524">
        <v>-13183</v>
      </c>
      <c r="H524">
        <v>-2209</v>
      </c>
      <c r="I524" s="1" t="s">
        <v>3808</v>
      </c>
      <c r="J524" s="1" t="s">
        <v>3809</v>
      </c>
      <c r="K524">
        <v>-2957</v>
      </c>
      <c r="L524" s="1" t="s">
        <v>3810</v>
      </c>
    </row>
    <row r="525" spans="1:12" x14ac:dyDescent="0.25">
      <c r="A525">
        <v>523</v>
      </c>
      <c r="B525" s="1" t="s">
        <v>3811</v>
      </c>
      <c r="C525" s="1" t="s">
        <v>3812</v>
      </c>
      <c r="D525" s="1" t="s">
        <v>838</v>
      </c>
      <c r="E525" s="1" t="s">
        <v>3813</v>
      </c>
      <c r="F525" s="1" t="s">
        <v>3814</v>
      </c>
      <c r="G525">
        <v>-20903</v>
      </c>
      <c r="H525">
        <v>-4250</v>
      </c>
      <c r="I525" s="1" t="s">
        <v>3815</v>
      </c>
      <c r="J525" s="1" t="s">
        <v>3816</v>
      </c>
      <c r="K525">
        <v>-1894</v>
      </c>
      <c r="L525" s="1" t="s">
        <v>3817</v>
      </c>
    </row>
    <row r="526" spans="1:12" x14ac:dyDescent="0.25">
      <c r="A526">
        <v>524</v>
      </c>
      <c r="B526" s="1" t="s">
        <v>3818</v>
      </c>
      <c r="C526" s="1" t="s">
        <v>3819</v>
      </c>
      <c r="D526" s="1" t="s">
        <v>3820</v>
      </c>
      <c r="E526" s="1" t="s">
        <v>3821</v>
      </c>
      <c r="F526" s="1" t="s">
        <v>3822</v>
      </c>
      <c r="G526">
        <v>-13937</v>
      </c>
      <c r="H526">
        <v>-4995</v>
      </c>
      <c r="I526" s="1" t="s">
        <v>3823</v>
      </c>
      <c r="J526" s="1" t="s">
        <v>3824</v>
      </c>
      <c r="K526">
        <v>-3001</v>
      </c>
      <c r="L526" s="1" t="s">
        <v>3825</v>
      </c>
    </row>
    <row r="527" spans="1:12" x14ac:dyDescent="0.25">
      <c r="A527">
        <v>525</v>
      </c>
      <c r="B527" s="1" t="s">
        <v>3826</v>
      </c>
      <c r="C527" s="1" t="s">
        <v>3827</v>
      </c>
      <c r="D527" s="1" t="s">
        <v>3828</v>
      </c>
      <c r="E527" s="1" t="s">
        <v>3829</v>
      </c>
      <c r="F527" s="1" t="s">
        <v>3830</v>
      </c>
      <c r="G527">
        <v>-22939</v>
      </c>
      <c r="H527">
        <v>-3960</v>
      </c>
      <c r="I527" s="1" t="s">
        <v>3831</v>
      </c>
      <c r="J527" s="1" t="s">
        <v>3832</v>
      </c>
      <c r="K527">
        <v>365243</v>
      </c>
      <c r="L527" s="1" t="s">
        <v>3833</v>
      </c>
    </row>
    <row r="528" spans="1:12" x14ac:dyDescent="0.25">
      <c r="A528">
        <v>526</v>
      </c>
      <c r="B528" s="1" t="s">
        <v>3834</v>
      </c>
      <c r="C528" s="1" t="s">
        <v>3835</v>
      </c>
      <c r="D528" s="1" t="s">
        <v>862</v>
      </c>
      <c r="E528" s="1" t="s">
        <v>3836</v>
      </c>
      <c r="F528" s="1" t="s">
        <v>3837</v>
      </c>
      <c r="G528">
        <v>-14897</v>
      </c>
      <c r="H528">
        <v>-746</v>
      </c>
      <c r="I528" s="1" t="s">
        <v>3838</v>
      </c>
      <c r="J528" s="1" t="s">
        <v>3839</v>
      </c>
      <c r="K528">
        <v>-3435</v>
      </c>
      <c r="L528" s="1" t="s">
        <v>3840</v>
      </c>
    </row>
    <row r="529" spans="1:12" x14ac:dyDescent="0.25">
      <c r="A529">
        <v>527</v>
      </c>
      <c r="B529" s="1" t="s">
        <v>3841</v>
      </c>
      <c r="C529" s="1" t="s">
        <v>3842</v>
      </c>
      <c r="D529" s="1" t="s">
        <v>3843</v>
      </c>
      <c r="E529" s="1" t="s">
        <v>3844</v>
      </c>
      <c r="F529" s="1" t="s">
        <v>3845</v>
      </c>
      <c r="G529">
        <v>-13891</v>
      </c>
      <c r="H529">
        <v>-4152</v>
      </c>
      <c r="I529" s="1" t="s">
        <v>3846</v>
      </c>
      <c r="J529" s="1" t="s">
        <v>3847</v>
      </c>
      <c r="K529">
        <v>-113</v>
      </c>
      <c r="L529" s="1" t="s">
        <v>3848</v>
      </c>
    </row>
    <row r="530" spans="1:12" x14ac:dyDescent="0.25">
      <c r="A530">
        <v>528</v>
      </c>
      <c r="B530" s="1" t="s">
        <v>3849</v>
      </c>
      <c r="C530" s="1" t="s">
        <v>3850</v>
      </c>
      <c r="D530" s="1" t="s">
        <v>2730</v>
      </c>
      <c r="E530" s="1" t="s">
        <v>3851</v>
      </c>
      <c r="F530" s="1" t="s">
        <v>3852</v>
      </c>
      <c r="G530">
        <v>-17042</v>
      </c>
      <c r="H530">
        <v>-581</v>
      </c>
      <c r="I530" s="1" t="s">
        <v>3853</v>
      </c>
      <c r="J530" s="1" t="s">
        <v>3854</v>
      </c>
      <c r="K530">
        <v>-240</v>
      </c>
      <c r="L530" s="1" t="s">
        <v>3855</v>
      </c>
    </row>
    <row r="531" spans="1:12" x14ac:dyDescent="0.25">
      <c r="A531">
        <v>529</v>
      </c>
      <c r="B531" s="1" t="s">
        <v>3856</v>
      </c>
      <c r="C531" s="1" t="s">
        <v>3857</v>
      </c>
      <c r="D531" s="1" t="s">
        <v>3858</v>
      </c>
      <c r="E531" s="1" t="s">
        <v>3859</v>
      </c>
      <c r="F531" s="1" t="s">
        <v>3860</v>
      </c>
      <c r="G531">
        <v>-11533</v>
      </c>
      <c r="H531">
        <v>-3536</v>
      </c>
      <c r="I531" s="1" t="s">
        <v>3861</v>
      </c>
      <c r="J531" s="1" t="s">
        <v>3862</v>
      </c>
      <c r="K531">
        <v>-277</v>
      </c>
      <c r="L531" s="1" t="s">
        <v>3863</v>
      </c>
    </row>
    <row r="532" spans="1:12" x14ac:dyDescent="0.25">
      <c r="A532">
        <v>530</v>
      </c>
      <c r="B532" s="1" t="s">
        <v>3864</v>
      </c>
      <c r="C532" s="1" t="s">
        <v>3865</v>
      </c>
      <c r="D532" s="1" t="s">
        <v>2916</v>
      </c>
      <c r="E532" s="1" t="s">
        <v>3866</v>
      </c>
      <c r="F532" s="1" t="s">
        <v>3867</v>
      </c>
      <c r="G532">
        <v>-20771</v>
      </c>
      <c r="H532">
        <v>-1831</v>
      </c>
      <c r="I532" s="1" t="s">
        <v>3868</v>
      </c>
      <c r="J532" s="1" t="s">
        <v>3869</v>
      </c>
      <c r="K532">
        <v>365243</v>
      </c>
      <c r="L532" s="1" t="s">
        <v>3870</v>
      </c>
    </row>
    <row r="533" spans="1:12" x14ac:dyDescent="0.25">
      <c r="A533">
        <v>531</v>
      </c>
      <c r="B533" s="1" t="s">
        <v>3871</v>
      </c>
      <c r="C533" s="1" t="s">
        <v>3872</v>
      </c>
      <c r="D533" s="1" t="s">
        <v>1209</v>
      </c>
      <c r="E533" s="1" t="s">
        <v>3873</v>
      </c>
      <c r="F533" s="1" t="s">
        <v>3874</v>
      </c>
      <c r="G533">
        <v>-21747</v>
      </c>
      <c r="H533">
        <v>-4404</v>
      </c>
      <c r="I533" s="1" t="s">
        <v>3875</v>
      </c>
      <c r="J533" s="1" t="s">
        <v>3876</v>
      </c>
      <c r="K533">
        <v>365243</v>
      </c>
      <c r="L533" s="1" t="s">
        <v>3877</v>
      </c>
    </row>
    <row r="534" spans="1:12" x14ac:dyDescent="0.25">
      <c r="A534">
        <v>532</v>
      </c>
      <c r="B534" s="1" t="s">
        <v>3878</v>
      </c>
      <c r="C534" s="1" t="s">
        <v>3879</v>
      </c>
      <c r="D534" s="1" t="s">
        <v>54</v>
      </c>
      <c r="E534" s="1" t="s">
        <v>3880</v>
      </c>
      <c r="F534" s="1" t="s">
        <v>3881</v>
      </c>
      <c r="G534">
        <v>-16268</v>
      </c>
      <c r="H534">
        <v>-4335</v>
      </c>
      <c r="I534" s="1" t="s">
        <v>3882</v>
      </c>
      <c r="J534" s="1" t="s">
        <v>3883</v>
      </c>
      <c r="K534">
        <v>-113</v>
      </c>
      <c r="L534" s="1" t="s">
        <v>3884</v>
      </c>
    </row>
    <row r="535" spans="1:12" x14ac:dyDescent="0.25">
      <c r="A535">
        <v>533</v>
      </c>
      <c r="B535" s="1" t="s">
        <v>3885</v>
      </c>
      <c r="C535" s="1" t="s">
        <v>3886</v>
      </c>
      <c r="D535" s="1" t="s">
        <v>110</v>
      </c>
      <c r="E535" s="1" t="s">
        <v>3887</v>
      </c>
      <c r="F535" s="1" t="s">
        <v>3888</v>
      </c>
      <c r="G535">
        <v>-19673</v>
      </c>
      <c r="H535">
        <v>-3226</v>
      </c>
      <c r="I535" s="1" t="s">
        <v>3889</v>
      </c>
      <c r="J535" s="1" t="s">
        <v>1541</v>
      </c>
      <c r="K535">
        <v>-5094</v>
      </c>
      <c r="L535" s="1" t="s">
        <v>2626</v>
      </c>
    </row>
    <row r="536" spans="1:12" x14ac:dyDescent="0.25">
      <c r="A536">
        <v>534</v>
      </c>
      <c r="B536" s="1" t="s">
        <v>3890</v>
      </c>
      <c r="C536" s="1" t="s">
        <v>3891</v>
      </c>
      <c r="D536" s="1" t="s">
        <v>3892</v>
      </c>
      <c r="E536" s="1" t="s">
        <v>3893</v>
      </c>
      <c r="F536" s="1" t="s">
        <v>3894</v>
      </c>
      <c r="G536">
        <v>-11653</v>
      </c>
      <c r="H536">
        <v>-4324</v>
      </c>
      <c r="I536" s="1" t="s">
        <v>3895</v>
      </c>
      <c r="J536" s="1" t="s">
        <v>3896</v>
      </c>
      <c r="K536">
        <v>-1110</v>
      </c>
      <c r="L536" s="1" t="s">
        <v>3897</v>
      </c>
    </row>
    <row r="537" spans="1:12" x14ac:dyDescent="0.25">
      <c r="A537">
        <v>535</v>
      </c>
      <c r="B537" s="1" t="s">
        <v>3898</v>
      </c>
      <c r="C537" s="1" t="s">
        <v>3899</v>
      </c>
      <c r="D537" s="1" t="s">
        <v>54</v>
      </c>
      <c r="E537" s="1" t="s">
        <v>3900</v>
      </c>
      <c r="F537" s="1" t="s">
        <v>3901</v>
      </c>
      <c r="G537">
        <v>-19027</v>
      </c>
      <c r="H537">
        <v>-2523</v>
      </c>
      <c r="I537" s="1" t="s">
        <v>3902</v>
      </c>
      <c r="J537" s="1" t="s">
        <v>3903</v>
      </c>
      <c r="K537">
        <v>-7145</v>
      </c>
      <c r="L537" s="1" t="s">
        <v>3904</v>
      </c>
    </row>
    <row r="538" spans="1:12" x14ac:dyDescent="0.25">
      <c r="A538">
        <v>536</v>
      </c>
      <c r="B538" s="1" t="s">
        <v>3905</v>
      </c>
      <c r="C538" s="1" t="s">
        <v>3906</v>
      </c>
      <c r="D538" s="1" t="s">
        <v>166</v>
      </c>
      <c r="E538" s="1" t="s">
        <v>3907</v>
      </c>
      <c r="F538" s="1" t="s">
        <v>3908</v>
      </c>
      <c r="G538">
        <v>-14941</v>
      </c>
      <c r="H538">
        <v>-4474</v>
      </c>
      <c r="I538" s="1" t="s">
        <v>3909</v>
      </c>
      <c r="J538" s="1" t="s">
        <v>3910</v>
      </c>
      <c r="K538">
        <v>-837</v>
      </c>
      <c r="L538" s="1" t="s">
        <v>3911</v>
      </c>
    </row>
    <row r="539" spans="1:12" x14ac:dyDescent="0.25">
      <c r="A539">
        <v>537</v>
      </c>
      <c r="B539" s="1" t="s">
        <v>3912</v>
      </c>
      <c r="C539" s="1" t="s">
        <v>3913</v>
      </c>
      <c r="D539" s="1" t="s">
        <v>3385</v>
      </c>
      <c r="E539" s="1" t="s">
        <v>3914</v>
      </c>
      <c r="F539" s="1" t="s">
        <v>3915</v>
      </c>
      <c r="G539">
        <v>-10096</v>
      </c>
      <c r="H539">
        <v>-1216</v>
      </c>
      <c r="I539" s="1" t="s">
        <v>3916</v>
      </c>
      <c r="J539" s="1" t="s">
        <v>3917</v>
      </c>
      <c r="K539">
        <v>-1218</v>
      </c>
      <c r="L539" s="1" t="s">
        <v>3918</v>
      </c>
    </row>
    <row r="540" spans="1:12" x14ac:dyDescent="0.25">
      <c r="A540">
        <v>538</v>
      </c>
      <c r="B540" s="1" t="s">
        <v>3919</v>
      </c>
      <c r="C540" s="1" t="s">
        <v>3920</v>
      </c>
      <c r="D540" s="1" t="s">
        <v>846</v>
      </c>
      <c r="E540" s="1" t="s">
        <v>3921</v>
      </c>
      <c r="F540" s="1" t="s">
        <v>3922</v>
      </c>
      <c r="G540">
        <v>-11564</v>
      </c>
      <c r="H540">
        <v>-4072</v>
      </c>
      <c r="I540" s="1" t="s">
        <v>1494</v>
      </c>
      <c r="J540" s="1" t="s">
        <v>198</v>
      </c>
      <c r="K540">
        <v>-465</v>
      </c>
      <c r="L540" s="1" t="s">
        <v>946</v>
      </c>
    </row>
    <row r="541" spans="1:12" x14ac:dyDescent="0.25">
      <c r="A541">
        <v>539</v>
      </c>
      <c r="B541" s="1" t="s">
        <v>3923</v>
      </c>
      <c r="C541" s="1" t="s">
        <v>3924</v>
      </c>
      <c r="D541" s="1" t="s">
        <v>3622</v>
      </c>
      <c r="E541" s="1" t="s">
        <v>3925</v>
      </c>
      <c r="F541" s="1" t="s">
        <v>3926</v>
      </c>
      <c r="G541">
        <v>-13716</v>
      </c>
      <c r="H541">
        <v>-6092</v>
      </c>
      <c r="I541" s="1" t="s">
        <v>3927</v>
      </c>
      <c r="J541" s="1" t="s">
        <v>198</v>
      </c>
      <c r="K541">
        <v>-463</v>
      </c>
      <c r="L541" s="1" t="s">
        <v>946</v>
      </c>
    </row>
    <row r="542" spans="1:12" x14ac:dyDescent="0.25">
      <c r="A542">
        <v>540</v>
      </c>
      <c r="B542" s="1" t="s">
        <v>3928</v>
      </c>
      <c r="C542" s="1" t="s">
        <v>3929</v>
      </c>
      <c r="D542" s="1" t="s">
        <v>3930</v>
      </c>
      <c r="E542" s="1" t="s">
        <v>3931</v>
      </c>
      <c r="F542" s="1" t="s">
        <v>3932</v>
      </c>
      <c r="G542">
        <v>-11084</v>
      </c>
      <c r="H542">
        <v>-3507</v>
      </c>
      <c r="I542" s="1" t="s">
        <v>3933</v>
      </c>
      <c r="J542" s="1" t="s">
        <v>3934</v>
      </c>
      <c r="K542">
        <v>-1266</v>
      </c>
      <c r="L542" s="1" t="s">
        <v>3935</v>
      </c>
    </row>
    <row r="543" spans="1:12" x14ac:dyDescent="0.25">
      <c r="A543">
        <v>541</v>
      </c>
      <c r="B543" s="1" t="s">
        <v>3936</v>
      </c>
      <c r="C543" s="1" t="s">
        <v>3937</v>
      </c>
      <c r="D543" s="1" t="s">
        <v>602</v>
      </c>
      <c r="E543" s="1" t="s">
        <v>3938</v>
      </c>
      <c r="F543" s="1" t="s">
        <v>3939</v>
      </c>
      <c r="G543">
        <v>-13045</v>
      </c>
      <c r="H543">
        <v>-4326</v>
      </c>
      <c r="I543" s="1" t="s">
        <v>3940</v>
      </c>
      <c r="J543" s="1" t="s">
        <v>3941</v>
      </c>
      <c r="K543">
        <v>-560</v>
      </c>
      <c r="L543" s="1" t="s">
        <v>3942</v>
      </c>
    </row>
    <row r="544" spans="1:12" x14ac:dyDescent="0.25">
      <c r="A544">
        <v>542</v>
      </c>
      <c r="B544" s="1" t="s">
        <v>3943</v>
      </c>
      <c r="C544" s="1" t="s">
        <v>3944</v>
      </c>
      <c r="D544" s="1" t="s">
        <v>2044</v>
      </c>
      <c r="E544" s="1" t="s">
        <v>3945</v>
      </c>
      <c r="F544" s="1" t="s">
        <v>3946</v>
      </c>
      <c r="G544">
        <v>-18167</v>
      </c>
      <c r="H544">
        <v>-1716</v>
      </c>
      <c r="I544" s="1" t="s">
        <v>3947</v>
      </c>
      <c r="J544" s="1" t="s">
        <v>3948</v>
      </c>
      <c r="K544">
        <v>-1322</v>
      </c>
      <c r="L544" s="1" t="s">
        <v>3949</v>
      </c>
    </row>
    <row r="545" spans="1:12" x14ac:dyDescent="0.25">
      <c r="A545">
        <v>543</v>
      </c>
      <c r="B545" s="1" t="s">
        <v>3950</v>
      </c>
      <c r="C545" s="1" t="s">
        <v>3951</v>
      </c>
      <c r="D545" s="1" t="s">
        <v>82</v>
      </c>
      <c r="E545" s="1" t="s">
        <v>3952</v>
      </c>
      <c r="F545" s="1" t="s">
        <v>3953</v>
      </c>
      <c r="G545">
        <v>-17169</v>
      </c>
      <c r="H545">
        <v>-708</v>
      </c>
      <c r="I545" s="1" t="s">
        <v>3590</v>
      </c>
      <c r="J545" s="1" t="s">
        <v>198</v>
      </c>
      <c r="K545">
        <v>-6558</v>
      </c>
      <c r="L545" s="1" t="s">
        <v>3591</v>
      </c>
    </row>
    <row r="546" spans="1:12" x14ac:dyDescent="0.25">
      <c r="A546">
        <v>544</v>
      </c>
      <c r="B546" s="1" t="s">
        <v>3954</v>
      </c>
      <c r="C546" s="1" t="s">
        <v>3955</v>
      </c>
      <c r="D546" s="1" t="s">
        <v>2722</v>
      </c>
      <c r="E546" s="1" t="s">
        <v>3956</v>
      </c>
      <c r="F546" s="1" t="s">
        <v>3957</v>
      </c>
      <c r="G546">
        <v>-22540</v>
      </c>
      <c r="H546">
        <v>-4751</v>
      </c>
      <c r="I546" s="1" t="s">
        <v>3958</v>
      </c>
      <c r="J546" s="1" t="s">
        <v>3959</v>
      </c>
      <c r="K546">
        <v>365243</v>
      </c>
      <c r="L546" s="1" t="s">
        <v>3960</v>
      </c>
    </row>
    <row r="547" spans="1:12" x14ac:dyDescent="0.25">
      <c r="A547">
        <v>545</v>
      </c>
      <c r="B547" s="1" t="s">
        <v>3961</v>
      </c>
      <c r="C547" s="1" t="s">
        <v>3962</v>
      </c>
      <c r="D547" s="1" t="s">
        <v>3963</v>
      </c>
      <c r="E547" s="1" t="s">
        <v>3964</v>
      </c>
      <c r="F547" s="1" t="s">
        <v>3965</v>
      </c>
      <c r="G547">
        <v>-21112</v>
      </c>
      <c r="H547">
        <v>-3936</v>
      </c>
      <c r="I547" s="1" t="s">
        <v>3966</v>
      </c>
      <c r="J547" s="1" t="s">
        <v>86</v>
      </c>
      <c r="K547">
        <v>365243</v>
      </c>
      <c r="L547" s="1" t="s">
        <v>717</v>
      </c>
    </row>
    <row r="548" spans="1:12" x14ac:dyDescent="0.25">
      <c r="A548">
        <v>546</v>
      </c>
      <c r="B548" s="1" t="s">
        <v>3967</v>
      </c>
      <c r="C548" s="1" t="s">
        <v>3968</v>
      </c>
      <c r="D548" s="1" t="s">
        <v>3969</v>
      </c>
      <c r="E548" s="1" t="s">
        <v>3970</v>
      </c>
      <c r="F548" s="1" t="s">
        <v>3971</v>
      </c>
      <c r="G548">
        <v>-16285</v>
      </c>
      <c r="H548">
        <v>-1205</v>
      </c>
      <c r="I548" s="1" t="s">
        <v>3972</v>
      </c>
      <c r="J548" s="1" t="s">
        <v>3973</v>
      </c>
      <c r="K548">
        <v>-572</v>
      </c>
      <c r="L548" s="1" t="s">
        <v>3974</v>
      </c>
    </row>
    <row r="549" spans="1:12" x14ac:dyDescent="0.25">
      <c r="A549">
        <v>547</v>
      </c>
      <c r="B549" s="1" t="s">
        <v>3975</v>
      </c>
      <c r="C549" s="1" t="s">
        <v>3976</v>
      </c>
      <c r="D549" s="1" t="s">
        <v>75</v>
      </c>
      <c r="E549" s="1" t="s">
        <v>3977</v>
      </c>
      <c r="F549" s="1" t="s">
        <v>3978</v>
      </c>
      <c r="G549">
        <v>-13044</v>
      </c>
      <c r="H549">
        <v>-4137</v>
      </c>
      <c r="I549" s="1" t="s">
        <v>3979</v>
      </c>
      <c r="J549" s="1" t="s">
        <v>3980</v>
      </c>
      <c r="K549">
        <v>-2621</v>
      </c>
      <c r="L549" s="1" t="s">
        <v>3981</v>
      </c>
    </row>
    <row r="550" spans="1:12" x14ac:dyDescent="0.25">
      <c r="A550">
        <v>548</v>
      </c>
      <c r="B550" s="1" t="s">
        <v>3982</v>
      </c>
      <c r="C550" s="1" t="s">
        <v>3983</v>
      </c>
      <c r="D550" s="1" t="s">
        <v>3984</v>
      </c>
      <c r="E550" s="1" t="s">
        <v>3985</v>
      </c>
      <c r="F550" s="1" t="s">
        <v>3986</v>
      </c>
      <c r="G550">
        <v>-23654</v>
      </c>
      <c r="H550">
        <v>-3819</v>
      </c>
      <c r="I550" s="1" t="s">
        <v>3987</v>
      </c>
      <c r="J550" s="1" t="s">
        <v>3988</v>
      </c>
      <c r="K550">
        <v>365243</v>
      </c>
      <c r="L550" s="1" t="s">
        <v>3989</v>
      </c>
    </row>
    <row r="551" spans="1:12" x14ac:dyDescent="0.25">
      <c r="A551">
        <v>549</v>
      </c>
      <c r="B551" s="1" t="s">
        <v>3990</v>
      </c>
      <c r="C551" s="1" t="s">
        <v>3991</v>
      </c>
      <c r="D551" s="1" t="s">
        <v>2622</v>
      </c>
      <c r="E551" s="1" t="s">
        <v>3992</v>
      </c>
      <c r="F551" s="1" t="s">
        <v>3993</v>
      </c>
      <c r="G551">
        <v>-22541</v>
      </c>
      <c r="H551">
        <v>-4587</v>
      </c>
      <c r="I551" s="1" t="s">
        <v>3994</v>
      </c>
      <c r="J551" s="1" t="s">
        <v>3995</v>
      </c>
      <c r="K551">
        <v>365243</v>
      </c>
      <c r="L551" s="1" t="s">
        <v>3996</v>
      </c>
    </row>
    <row r="552" spans="1:12" x14ac:dyDescent="0.25">
      <c r="A552">
        <v>550</v>
      </c>
      <c r="B552" s="1" t="s">
        <v>3997</v>
      </c>
      <c r="C552" s="1" t="s">
        <v>3998</v>
      </c>
      <c r="D552" s="1" t="s">
        <v>3999</v>
      </c>
      <c r="E552" s="1" t="s">
        <v>4000</v>
      </c>
      <c r="F552" s="1" t="s">
        <v>4001</v>
      </c>
      <c r="G552">
        <v>-17489</v>
      </c>
      <c r="H552">
        <v>-941</v>
      </c>
      <c r="I552" s="1" t="s">
        <v>4002</v>
      </c>
      <c r="J552" s="1" t="s">
        <v>4003</v>
      </c>
      <c r="K552">
        <v>365243</v>
      </c>
      <c r="L552" s="1" t="s">
        <v>4004</v>
      </c>
    </row>
    <row r="553" spans="1:12" x14ac:dyDescent="0.25">
      <c r="A553">
        <v>551</v>
      </c>
      <c r="B553" s="1" t="s">
        <v>4005</v>
      </c>
      <c r="C553" s="1" t="s">
        <v>4006</v>
      </c>
      <c r="D553" s="1" t="s">
        <v>4007</v>
      </c>
      <c r="E553" s="1" t="s">
        <v>4008</v>
      </c>
      <c r="F553" s="1" t="s">
        <v>4009</v>
      </c>
      <c r="G553">
        <v>-21402</v>
      </c>
      <c r="H553">
        <v>-4478</v>
      </c>
      <c r="I553" s="1" t="s">
        <v>4010</v>
      </c>
      <c r="J553" s="1" t="s">
        <v>4011</v>
      </c>
      <c r="K553">
        <v>365243</v>
      </c>
      <c r="L553" s="1" t="s">
        <v>4012</v>
      </c>
    </row>
    <row r="554" spans="1:12" x14ac:dyDescent="0.25">
      <c r="A554">
        <v>552</v>
      </c>
      <c r="B554" s="1" t="s">
        <v>4013</v>
      </c>
      <c r="C554" s="1" t="s">
        <v>4014</v>
      </c>
      <c r="D554" s="1" t="s">
        <v>1401</v>
      </c>
      <c r="E554" s="1" t="s">
        <v>4015</v>
      </c>
      <c r="F554" s="1" t="s">
        <v>224</v>
      </c>
      <c r="G554">
        <v>-13702</v>
      </c>
      <c r="H554">
        <v>-4299</v>
      </c>
      <c r="I554" s="1" t="s">
        <v>4016</v>
      </c>
      <c r="J554" s="1" t="s">
        <v>4017</v>
      </c>
      <c r="K554">
        <v>-797</v>
      </c>
      <c r="L554" s="1" t="s">
        <v>4018</v>
      </c>
    </row>
    <row r="555" spans="1:12" x14ac:dyDescent="0.25">
      <c r="A555">
        <v>553</v>
      </c>
      <c r="B555" s="1" t="s">
        <v>4019</v>
      </c>
      <c r="C555" s="1" t="s">
        <v>4020</v>
      </c>
      <c r="D555" s="1" t="s">
        <v>3286</v>
      </c>
      <c r="E555" s="1" t="s">
        <v>4021</v>
      </c>
      <c r="F555" s="1" t="s">
        <v>4022</v>
      </c>
      <c r="G555">
        <v>-18929</v>
      </c>
      <c r="H555">
        <v>-2474</v>
      </c>
      <c r="I555" s="1" t="s">
        <v>4023</v>
      </c>
      <c r="J555" s="1" t="s">
        <v>4024</v>
      </c>
      <c r="K555">
        <v>365243</v>
      </c>
      <c r="L555" s="1" t="s">
        <v>4025</v>
      </c>
    </row>
    <row r="556" spans="1:12" x14ac:dyDescent="0.25">
      <c r="A556">
        <v>554</v>
      </c>
      <c r="B556" s="1" t="s">
        <v>4026</v>
      </c>
      <c r="C556" s="1" t="s">
        <v>4027</v>
      </c>
      <c r="D556" s="1" t="s">
        <v>1107</v>
      </c>
      <c r="E556" s="1" t="s">
        <v>4028</v>
      </c>
      <c r="F556" s="1" t="s">
        <v>4029</v>
      </c>
      <c r="G556">
        <v>-9861</v>
      </c>
      <c r="H556">
        <v>-2550</v>
      </c>
      <c r="I556" s="1" t="s">
        <v>4030</v>
      </c>
      <c r="J556" s="1" t="s">
        <v>4031</v>
      </c>
      <c r="K556">
        <v>-918</v>
      </c>
      <c r="L556" s="1" t="s">
        <v>4032</v>
      </c>
    </row>
    <row r="557" spans="1:12" x14ac:dyDescent="0.25">
      <c r="A557">
        <v>555</v>
      </c>
      <c r="B557" s="1" t="s">
        <v>4033</v>
      </c>
      <c r="C557" s="1" t="s">
        <v>4034</v>
      </c>
      <c r="D557" s="1" t="s">
        <v>4035</v>
      </c>
      <c r="E557" s="1" t="s">
        <v>4036</v>
      </c>
      <c r="F557" s="1" t="s">
        <v>4037</v>
      </c>
      <c r="G557">
        <v>-11819</v>
      </c>
      <c r="H557">
        <v>-4106</v>
      </c>
      <c r="I557" s="1" t="s">
        <v>4038</v>
      </c>
      <c r="J557" s="1" t="s">
        <v>4039</v>
      </c>
      <c r="K557">
        <v>-186</v>
      </c>
      <c r="L557" s="1" t="s">
        <v>4040</v>
      </c>
    </row>
    <row r="558" spans="1:12" x14ac:dyDescent="0.25">
      <c r="A558">
        <v>556</v>
      </c>
      <c r="B558" s="1" t="s">
        <v>4041</v>
      </c>
      <c r="C558" s="1" t="s">
        <v>4042</v>
      </c>
      <c r="D558" s="1" t="s">
        <v>1939</v>
      </c>
      <c r="E558" s="1" t="s">
        <v>4043</v>
      </c>
      <c r="F558" s="1" t="s">
        <v>4044</v>
      </c>
      <c r="G558">
        <v>-10493</v>
      </c>
      <c r="H558">
        <v>-3086</v>
      </c>
      <c r="I558" s="1" t="s">
        <v>4045</v>
      </c>
      <c r="J558" s="1" t="s">
        <v>4046</v>
      </c>
      <c r="K558">
        <v>-1068</v>
      </c>
      <c r="L558" s="1" t="s">
        <v>4047</v>
      </c>
    </row>
    <row r="559" spans="1:12" x14ac:dyDescent="0.25">
      <c r="A559">
        <v>557</v>
      </c>
      <c r="B559" s="1" t="s">
        <v>4048</v>
      </c>
      <c r="C559" s="1" t="s">
        <v>4049</v>
      </c>
      <c r="D559" s="1" t="s">
        <v>1026</v>
      </c>
      <c r="E559" s="1" t="s">
        <v>4050</v>
      </c>
      <c r="F559" s="1" t="s">
        <v>4051</v>
      </c>
      <c r="G559">
        <v>-17267</v>
      </c>
      <c r="H559">
        <v>-800</v>
      </c>
      <c r="I559" s="1" t="s">
        <v>4052</v>
      </c>
      <c r="J559" s="1" t="s">
        <v>3486</v>
      </c>
      <c r="K559">
        <v>-1568</v>
      </c>
      <c r="L559" s="1" t="s">
        <v>3487</v>
      </c>
    </row>
    <row r="560" spans="1:12" x14ac:dyDescent="0.25">
      <c r="A560">
        <v>558</v>
      </c>
      <c r="B560" s="1" t="s">
        <v>4053</v>
      </c>
      <c r="C560" s="1" t="s">
        <v>4054</v>
      </c>
      <c r="D560" s="1" t="s">
        <v>1475</v>
      </c>
      <c r="E560" s="1" t="s">
        <v>4055</v>
      </c>
      <c r="F560" s="1" t="s">
        <v>4056</v>
      </c>
      <c r="G560">
        <v>-12754</v>
      </c>
      <c r="H560">
        <v>-3507</v>
      </c>
      <c r="I560" s="1" t="s">
        <v>4057</v>
      </c>
      <c r="J560" s="1" t="s">
        <v>4058</v>
      </c>
      <c r="K560">
        <v>-5040</v>
      </c>
      <c r="L560" s="1" t="s">
        <v>4059</v>
      </c>
    </row>
    <row r="561" spans="1:12" x14ac:dyDescent="0.25">
      <c r="A561">
        <v>559</v>
      </c>
      <c r="B561" s="1" t="s">
        <v>4060</v>
      </c>
      <c r="C561" s="1" t="s">
        <v>4061</v>
      </c>
      <c r="D561" s="1" t="s">
        <v>4062</v>
      </c>
      <c r="E561" s="1" t="s">
        <v>4063</v>
      </c>
      <c r="F561" s="1" t="s">
        <v>4064</v>
      </c>
      <c r="G561">
        <v>-18935</v>
      </c>
      <c r="H561">
        <v>-2468</v>
      </c>
      <c r="I561" s="1" t="s">
        <v>4065</v>
      </c>
      <c r="J561" s="1" t="s">
        <v>4066</v>
      </c>
      <c r="K561">
        <v>-1415</v>
      </c>
      <c r="L561" s="1" t="s">
        <v>4067</v>
      </c>
    </row>
    <row r="562" spans="1:12" x14ac:dyDescent="0.25">
      <c r="A562">
        <v>560</v>
      </c>
      <c r="B562" s="1" t="s">
        <v>4068</v>
      </c>
      <c r="C562" s="1" t="s">
        <v>4069</v>
      </c>
      <c r="D562" s="1" t="s">
        <v>1498</v>
      </c>
      <c r="E562" s="1" t="s">
        <v>4070</v>
      </c>
      <c r="F562" s="1" t="s">
        <v>4071</v>
      </c>
      <c r="G562">
        <v>-13563</v>
      </c>
      <c r="H562">
        <v>-3885</v>
      </c>
      <c r="I562" s="1" t="s">
        <v>4072</v>
      </c>
      <c r="J562" s="1" t="s">
        <v>2527</v>
      </c>
      <c r="K562">
        <v>-491</v>
      </c>
      <c r="L562" s="1" t="s">
        <v>2528</v>
      </c>
    </row>
    <row r="563" spans="1:12" x14ac:dyDescent="0.25">
      <c r="A563">
        <v>561</v>
      </c>
      <c r="B563" s="1" t="s">
        <v>4073</v>
      </c>
      <c r="C563" s="1" t="s">
        <v>4074</v>
      </c>
      <c r="D563" s="1" t="s">
        <v>3497</v>
      </c>
      <c r="E563" s="1" t="s">
        <v>4075</v>
      </c>
      <c r="F563" s="1" t="s">
        <v>4076</v>
      </c>
      <c r="G563">
        <v>-22733</v>
      </c>
      <c r="H563">
        <v>-4555</v>
      </c>
      <c r="I563" s="1" t="s">
        <v>4077</v>
      </c>
      <c r="J563" s="1" t="s">
        <v>4078</v>
      </c>
      <c r="K563">
        <v>365243</v>
      </c>
      <c r="L563" s="1" t="s">
        <v>725</v>
      </c>
    </row>
    <row r="564" spans="1:12" x14ac:dyDescent="0.25">
      <c r="A564">
        <v>562</v>
      </c>
      <c r="B564" s="1" t="s">
        <v>4079</v>
      </c>
      <c r="C564" s="1" t="s">
        <v>4080</v>
      </c>
      <c r="D564" s="1" t="s">
        <v>548</v>
      </c>
      <c r="E564" s="1" t="s">
        <v>4081</v>
      </c>
      <c r="F564" s="1" t="s">
        <v>4082</v>
      </c>
      <c r="G564">
        <v>-18703</v>
      </c>
      <c r="H564">
        <v>-2252</v>
      </c>
      <c r="I564" s="1" t="s">
        <v>4083</v>
      </c>
      <c r="J564" s="1" t="s">
        <v>4084</v>
      </c>
      <c r="K564">
        <v>-8369</v>
      </c>
      <c r="L564" s="1" t="s">
        <v>4085</v>
      </c>
    </row>
    <row r="565" spans="1:12" x14ac:dyDescent="0.25">
      <c r="A565">
        <v>563</v>
      </c>
      <c r="B565" s="1" t="s">
        <v>4086</v>
      </c>
      <c r="C565" s="1" t="s">
        <v>4087</v>
      </c>
      <c r="D565" s="1" t="s">
        <v>602</v>
      </c>
      <c r="E565" s="1" t="s">
        <v>4088</v>
      </c>
      <c r="F565" s="1" t="s">
        <v>4089</v>
      </c>
      <c r="G565">
        <v>-12341</v>
      </c>
      <c r="H565">
        <v>-4151</v>
      </c>
      <c r="I565" s="1" t="s">
        <v>1189</v>
      </c>
      <c r="J565" s="1" t="s">
        <v>198</v>
      </c>
      <c r="K565">
        <v>-4904</v>
      </c>
      <c r="L565" s="1" t="s">
        <v>756</v>
      </c>
    </row>
    <row r="566" spans="1:12" x14ac:dyDescent="0.25">
      <c r="A566">
        <v>564</v>
      </c>
      <c r="B566" s="1" t="s">
        <v>4090</v>
      </c>
      <c r="C566" s="1" t="s">
        <v>4091</v>
      </c>
      <c r="D566" s="1" t="s">
        <v>54</v>
      </c>
      <c r="E566" s="1" t="s">
        <v>4092</v>
      </c>
      <c r="F566" s="1" t="s">
        <v>4093</v>
      </c>
      <c r="G566">
        <v>-19767</v>
      </c>
      <c r="H566">
        <v>-3319</v>
      </c>
      <c r="I566" s="1" t="s">
        <v>4094</v>
      </c>
      <c r="J566" s="1" t="s">
        <v>4095</v>
      </c>
      <c r="K566">
        <v>-4287</v>
      </c>
      <c r="L566" s="1" t="s">
        <v>4096</v>
      </c>
    </row>
    <row r="567" spans="1:12" x14ac:dyDescent="0.25">
      <c r="A567">
        <v>565</v>
      </c>
      <c r="B567" s="1" t="s">
        <v>4097</v>
      </c>
      <c r="C567" s="1" t="s">
        <v>4098</v>
      </c>
      <c r="D567" s="1" t="s">
        <v>2491</v>
      </c>
      <c r="E567" s="1" t="s">
        <v>4099</v>
      </c>
      <c r="F567" s="1" t="s">
        <v>4100</v>
      </c>
      <c r="G567">
        <v>-18916</v>
      </c>
      <c r="H567">
        <v>-2463</v>
      </c>
      <c r="I567" s="1" t="s">
        <v>4101</v>
      </c>
      <c r="J567" s="1" t="s">
        <v>4102</v>
      </c>
      <c r="K567">
        <v>-804</v>
      </c>
      <c r="L567" s="1" t="s">
        <v>4103</v>
      </c>
    </row>
    <row r="568" spans="1:12" x14ac:dyDescent="0.25">
      <c r="A568">
        <v>566</v>
      </c>
      <c r="B568" s="1" t="s">
        <v>4104</v>
      </c>
      <c r="C568" s="1" t="s">
        <v>4105</v>
      </c>
      <c r="D568" s="1" t="s">
        <v>4106</v>
      </c>
      <c r="E568" s="1" t="s">
        <v>4107</v>
      </c>
      <c r="F568" s="1" t="s">
        <v>4108</v>
      </c>
      <c r="G568">
        <v>-16145</v>
      </c>
      <c r="H568">
        <v>-4644</v>
      </c>
      <c r="I568" s="1" t="s">
        <v>4109</v>
      </c>
      <c r="J568" s="1" t="s">
        <v>4110</v>
      </c>
      <c r="K568">
        <v>-785</v>
      </c>
      <c r="L568" s="1" t="s">
        <v>4111</v>
      </c>
    </row>
    <row r="569" spans="1:12" x14ac:dyDescent="0.25">
      <c r="A569">
        <v>567</v>
      </c>
      <c r="B569" s="1" t="s">
        <v>4112</v>
      </c>
      <c r="C569" s="1" t="s">
        <v>4113</v>
      </c>
      <c r="D569" s="1" t="s">
        <v>1186</v>
      </c>
      <c r="E569" s="1" t="s">
        <v>4114</v>
      </c>
      <c r="F569" s="1" t="s">
        <v>4115</v>
      </c>
      <c r="G569">
        <v>-8570</v>
      </c>
      <c r="H569">
        <v>-1238</v>
      </c>
      <c r="I569" s="1" t="s">
        <v>2277</v>
      </c>
      <c r="J569" s="1" t="s">
        <v>198</v>
      </c>
      <c r="K569">
        <v>-1000</v>
      </c>
      <c r="L569" s="1" t="s">
        <v>1495</v>
      </c>
    </row>
    <row r="570" spans="1:12" x14ac:dyDescent="0.25">
      <c r="A570">
        <v>568</v>
      </c>
      <c r="B570" s="1" t="s">
        <v>4116</v>
      </c>
      <c r="C570" s="1" t="s">
        <v>4117</v>
      </c>
      <c r="D570" s="1" t="s">
        <v>138</v>
      </c>
      <c r="E570" s="1" t="s">
        <v>4118</v>
      </c>
      <c r="F570" s="1" t="s">
        <v>4119</v>
      </c>
      <c r="G570">
        <v>-21563</v>
      </c>
      <c r="H570">
        <v>-2518</v>
      </c>
      <c r="I570" s="1" t="s">
        <v>4120</v>
      </c>
      <c r="J570" s="1" t="s">
        <v>4121</v>
      </c>
      <c r="K570">
        <v>365243</v>
      </c>
      <c r="L570" s="1" t="s">
        <v>4122</v>
      </c>
    </row>
    <row r="571" spans="1:12" x14ac:dyDescent="0.25">
      <c r="A571">
        <v>569</v>
      </c>
      <c r="B571" s="1" t="s">
        <v>4123</v>
      </c>
      <c r="C571" s="1" t="s">
        <v>4124</v>
      </c>
      <c r="D571" s="1" t="s">
        <v>4125</v>
      </c>
      <c r="E571" s="1" t="s">
        <v>4126</v>
      </c>
      <c r="F571" s="1" t="s">
        <v>4127</v>
      </c>
      <c r="G571">
        <v>-22766</v>
      </c>
      <c r="H571">
        <v>-4766</v>
      </c>
      <c r="I571" s="1" t="s">
        <v>4128</v>
      </c>
      <c r="J571" s="1" t="s">
        <v>4129</v>
      </c>
      <c r="K571">
        <v>365243</v>
      </c>
      <c r="L571" s="1" t="s">
        <v>4130</v>
      </c>
    </row>
    <row r="572" spans="1:12" x14ac:dyDescent="0.25">
      <c r="A572">
        <v>570</v>
      </c>
      <c r="B572" s="1" t="s">
        <v>4131</v>
      </c>
      <c r="C572" s="1" t="s">
        <v>4132</v>
      </c>
      <c r="D572" s="1" t="s">
        <v>622</v>
      </c>
      <c r="E572" s="1" t="s">
        <v>4133</v>
      </c>
      <c r="F572" s="1" t="s">
        <v>4134</v>
      </c>
      <c r="G572">
        <v>-13441</v>
      </c>
      <c r="H572">
        <v>-3410</v>
      </c>
      <c r="I572" s="1" t="s">
        <v>4135</v>
      </c>
      <c r="J572" s="1" t="s">
        <v>198</v>
      </c>
      <c r="K572">
        <v>-1918</v>
      </c>
      <c r="L572" s="1" t="s">
        <v>4136</v>
      </c>
    </row>
    <row r="573" spans="1:12" x14ac:dyDescent="0.25">
      <c r="A573">
        <v>571</v>
      </c>
      <c r="B573" s="1" t="s">
        <v>4137</v>
      </c>
      <c r="C573" s="1" t="s">
        <v>4138</v>
      </c>
      <c r="D573" s="1" t="s">
        <v>1467</v>
      </c>
      <c r="E573" s="1" t="s">
        <v>4139</v>
      </c>
      <c r="F573" s="1" t="s">
        <v>4140</v>
      </c>
      <c r="G573">
        <v>-14434</v>
      </c>
      <c r="H573">
        <v>-3989</v>
      </c>
      <c r="I573" s="1" t="s">
        <v>4141</v>
      </c>
      <c r="J573" s="1" t="s">
        <v>4142</v>
      </c>
      <c r="K573">
        <v>-3759</v>
      </c>
      <c r="L573" s="1" t="s">
        <v>4143</v>
      </c>
    </row>
    <row r="574" spans="1:12" x14ac:dyDescent="0.25">
      <c r="A574">
        <v>572</v>
      </c>
      <c r="B574" s="1" t="s">
        <v>4144</v>
      </c>
      <c r="C574" s="1" t="s">
        <v>4145</v>
      </c>
      <c r="D574" s="1" t="s">
        <v>676</v>
      </c>
      <c r="E574" s="1" t="s">
        <v>4146</v>
      </c>
      <c r="F574" s="1" t="s">
        <v>4147</v>
      </c>
      <c r="G574">
        <v>-21359</v>
      </c>
      <c r="H574">
        <v>-4082</v>
      </c>
      <c r="I574" s="1" t="s">
        <v>4148</v>
      </c>
      <c r="J574" s="1" t="s">
        <v>4149</v>
      </c>
      <c r="K574">
        <v>-864</v>
      </c>
      <c r="L574" s="1" t="s">
        <v>4150</v>
      </c>
    </row>
    <row r="575" spans="1:12" x14ac:dyDescent="0.25">
      <c r="A575">
        <v>573</v>
      </c>
      <c r="B575" s="1" t="s">
        <v>4151</v>
      </c>
      <c r="C575" s="1" t="s">
        <v>4152</v>
      </c>
      <c r="D575" s="1" t="s">
        <v>4153</v>
      </c>
      <c r="E575" s="1" t="s">
        <v>4154</v>
      </c>
      <c r="F575" s="1" t="s">
        <v>4155</v>
      </c>
      <c r="G575">
        <v>-19512</v>
      </c>
      <c r="H575">
        <v>-3049</v>
      </c>
      <c r="I575" s="1" t="s">
        <v>4156</v>
      </c>
      <c r="J575" s="1" t="s">
        <v>2072</v>
      </c>
      <c r="K575">
        <v>-968</v>
      </c>
      <c r="L575" s="1" t="s">
        <v>2861</v>
      </c>
    </row>
    <row r="576" spans="1:12" x14ac:dyDescent="0.25">
      <c r="A576">
        <v>574</v>
      </c>
      <c r="B576" s="1" t="s">
        <v>4157</v>
      </c>
      <c r="C576" s="1" t="s">
        <v>4158</v>
      </c>
      <c r="D576" s="1" t="s">
        <v>602</v>
      </c>
      <c r="E576" s="1" t="s">
        <v>4159</v>
      </c>
      <c r="F576" s="1" t="s">
        <v>4160</v>
      </c>
      <c r="G576">
        <v>-15060</v>
      </c>
      <c r="H576">
        <v>-4730</v>
      </c>
      <c r="I576" s="1" t="s">
        <v>4161</v>
      </c>
      <c r="J576" s="1" t="s">
        <v>4162</v>
      </c>
      <c r="K576">
        <v>-2234</v>
      </c>
      <c r="L576" s="1" t="s">
        <v>735</v>
      </c>
    </row>
    <row r="577" spans="1:12" x14ac:dyDescent="0.25">
      <c r="A577">
        <v>575</v>
      </c>
      <c r="B577" s="1" t="s">
        <v>4163</v>
      </c>
      <c r="C577" s="1" t="s">
        <v>4164</v>
      </c>
      <c r="D577" s="1" t="s">
        <v>3073</v>
      </c>
      <c r="E577" s="1" t="s">
        <v>4165</v>
      </c>
      <c r="F577" s="1" t="s">
        <v>4166</v>
      </c>
      <c r="G577">
        <v>-9064</v>
      </c>
      <c r="H577">
        <v>-1732</v>
      </c>
      <c r="I577" s="1" t="s">
        <v>4167</v>
      </c>
      <c r="J577" s="1" t="s">
        <v>1119</v>
      </c>
      <c r="K577">
        <v>-105</v>
      </c>
      <c r="L577" s="1" t="s">
        <v>1120</v>
      </c>
    </row>
    <row r="578" spans="1:12" x14ac:dyDescent="0.25">
      <c r="A578">
        <v>576</v>
      </c>
      <c r="B578" s="1" t="s">
        <v>4168</v>
      </c>
      <c r="C578" s="1" t="s">
        <v>4169</v>
      </c>
      <c r="D578" s="1" t="s">
        <v>3407</v>
      </c>
      <c r="E578" s="1" t="s">
        <v>4170</v>
      </c>
      <c r="F578" s="1" t="s">
        <v>4171</v>
      </c>
      <c r="G578">
        <v>-11831</v>
      </c>
      <c r="H578">
        <v>-2598</v>
      </c>
      <c r="I578" s="1" t="s">
        <v>4172</v>
      </c>
      <c r="J578" s="1" t="s">
        <v>4173</v>
      </c>
      <c r="K578">
        <v>-2266</v>
      </c>
      <c r="L578" s="1" t="s">
        <v>4174</v>
      </c>
    </row>
    <row r="579" spans="1:12" x14ac:dyDescent="0.25">
      <c r="A579">
        <v>577</v>
      </c>
      <c r="B579" s="1" t="s">
        <v>4175</v>
      </c>
      <c r="C579" s="1" t="s">
        <v>4176</v>
      </c>
      <c r="D579" s="1" t="s">
        <v>1276</v>
      </c>
      <c r="E579" s="1" t="s">
        <v>4177</v>
      </c>
      <c r="F579" s="1" t="s">
        <v>4178</v>
      </c>
      <c r="G579">
        <v>-13262</v>
      </c>
      <c r="H579">
        <v>-4364</v>
      </c>
      <c r="I579" s="1" t="s">
        <v>4179</v>
      </c>
      <c r="J579" s="1" t="s">
        <v>4180</v>
      </c>
      <c r="K579">
        <v>-2394</v>
      </c>
      <c r="L579" s="1" t="s">
        <v>2367</v>
      </c>
    </row>
    <row r="580" spans="1:12" x14ac:dyDescent="0.25">
      <c r="A580">
        <v>578</v>
      </c>
      <c r="B580" s="1" t="s">
        <v>4181</v>
      </c>
      <c r="C580" s="1" t="s">
        <v>4182</v>
      </c>
      <c r="D580" s="1" t="s">
        <v>4125</v>
      </c>
      <c r="E580" s="1" t="s">
        <v>4183</v>
      </c>
      <c r="F580" s="1" t="s">
        <v>4184</v>
      </c>
      <c r="G580">
        <v>-8241</v>
      </c>
      <c r="H580">
        <v>-658</v>
      </c>
      <c r="I580" s="1" t="s">
        <v>4185</v>
      </c>
      <c r="J580" s="1" t="s">
        <v>4186</v>
      </c>
      <c r="K580">
        <v>-657</v>
      </c>
      <c r="L580" s="1" t="s">
        <v>4187</v>
      </c>
    </row>
    <row r="581" spans="1:12" x14ac:dyDescent="0.25">
      <c r="A581">
        <v>579</v>
      </c>
      <c r="B581" s="1" t="s">
        <v>4188</v>
      </c>
      <c r="C581" s="1" t="s">
        <v>4189</v>
      </c>
      <c r="D581" s="1" t="s">
        <v>1753</v>
      </c>
      <c r="E581" s="1" t="s">
        <v>4190</v>
      </c>
      <c r="F581" s="1" t="s">
        <v>4191</v>
      </c>
      <c r="G581">
        <v>-8968</v>
      </c>
      <c r="H581">
        <v>-1581</v>
      </c>
      <c r="I581" s="1" t="s">
        <v>4192</v>
      </c>
      <c r="J581" s="1" t="s">
        <v>4193</v>
      </c>
      <c r="K581">
        <v>-450</v>
      </c>
      <c r="L581" s="1" t="s">
        <v>4194</v>
      </c>
    </row>
    <row r="582" spans="1:12" x14ac:dyDescent="0.25">
      <c r="A582">
        <v>580</v>
      </c>
      <c r="B582" s="1" t="s">
        <v>4195</v>
      </c>
      <c r="C582" s="1" t="s">
        <v>4196</v>
      </c>
      <c r="D582" s="1" t="s">
        <v>323</v>
      </c>
      <c r="E582" s="1" t="s">
        <v>4197</v>
      </c>
      <c r="F582" s="1" t="s">
        <v>4198</v>
      </c>
      <c r="G582">
        <v>-17426</v>
      </c>
      <c r="H582">
        <v>-973</v>
      </c>
      <c r="I582" s="1" t="s">
        <v>4199</v>
      </c>
      <c r="J582" s="1" t="s">
        <v>4200</v>
      </c>
      <c r="K582">
        <v>-1168</v>
      </c>
      <c r="L582" s="1" t="s">
        <v>4201</v>
      </c>
    </row>
    <row r="583" spans="1:12" x14ac:dyDescent="0.25">
      <c r="A583">
        <v>581</v>
      </c>
      <c r="B583" s="1" t="s">
        <v>4202</v>
      </c>
      <c r="C583" s="1" t="s">
        <v>4203</v>
      </c>
      <c r="D583" s="1" t="s">
        <v>4204</v>
      </c>
      <c r="E583" s="1" t="s">
        <v>4205</v>
      </c>
      <c r="F583" s="1" t="s">
        <v>4206</v>
      </c>
      <c r="G583">
        <v>-14760</v>
      </c>
      <c r="H583">
        <v>-209</v>
      </c>
      <c r="I583" s="1" t="s">
        <v>4207</v>
      </c>
      <c r="J583" s="1" t="s">
        <v>4208</v>
      </c>
      <c r="K583">
        <v>-198</v>
      </c>
      <c r="L583" s="1" t="s">
        <v>4209</v>
      </c>
    </row>
    <row r="584" spans="1:12" x14ac:dyDescent="0.25">
      <c r="A584">
        <v>582</v>
      </c>
      <c r="B584" s="1" t="s">
        <v>4210</v>
      </c>
      <c r="C584" s="1" t="s">
        <v>4211</v>
      </c>
      <c r="D584" s="1" t="s">
        <v>1018</v>
      </c>
      <c r="E584" s="1" t="s">
        <v>4212</v>
      </c>
      <c r="F584" s="1" t="s">
        <v>3540</v>
      </c>
      <c r="G584">
        <v>-11088</v>
      </c>
      <c r="H584">
        <v>-3778</v>
      </c>
      <c r="I584" s="1" t="s">
        <v>4213</v>
      </c>
      <c r="J584" s="1" t="s">
        <v>3340</v>
      </c>
      <c r="K584">
        <v>-893</v>
      </c>
      <c r="L584" s="1" t="s">
        <v>4214</v>
      </c>
    </row>
    <row r="585" spans="1:12" x14ac:dyDescent="0.25">
      <c r="A585">
        <v>583</v>
      </c>
      <c r="B585" s="1" t="s">
        <v>4215</v>
      </c>
      <c r="C585" s="1" t="s">
        <v>4216</v>
      </c>
      <c r="D585" s="1" t="s">
        <v>4217</v>
      </c>
      <c r="E585" s="1" t="s">
        <v>4218</v>
      </c>
      <c r="F585" s="1" t="s">
        <v>4219</v>
      </c>
      <c r="G585">
        <v>-20756</v>
      </c>
      <c r="H585">
        <v>-4163</v>
      </c>
      <c r="I585" s="1" t="s">
        <v>4220</v>
      </c>
      <c r="J585" s="1" t="s">
        <v>4058</v>
      </c>
      <c r="K585">
        <v>-2341</v>
      </c>
      <c r="L585" s="1" t="s">
        <v>4059</v>
      </c>
    </row>
    <row r="586" spans="1:12" x14ac:dyDescent="0.25">
      <c r="A586">
        <v>584</v>
      </c>
      <c r="B586" s="1" t="s">
        <v>4221</v>
      </c>
      <c r="C586" s="1" t="s">
        <v>4222</v>
      </c>
      <c r="D586" s="1" t="s">
        <v>1761</v>
      </c>
      <c r="E586" s="1" t="s">
        <v>4223</v>
      </c>
      <c r="F586" s="1" t="s">
        <v>4224</v>
      </c>
      <c r="G586">
        <v>-16295</v>
      </c>
      <c r="H586">
        <v>-4008</v>
      </c>
      <c r="I586" s="1" t="s">
        <v>4225</v>
      </c>
      <c r="J586" s="1" t="s">
        <v>4226</v>
      </c>
      <c r="K586">
        <v>-642</v>
      </c>
      <c r="L586" s="1" t="s">
        <v>4227</v>
      </c>
    </row>
    <row r="587" spans="1:12" x14ac:dyDescent="0.25">
      <c r="A587">
        <v>585</v>
      </c>
      <c r="B587" s="1" t="s">
        <v>4228</v>
      </c>
      <c r="C587" s="1" t="s">
        <v>4229</v>
      </c>
      <c r="D587" s="1" t="s">
        <v>4230</v>
      </c>
      <c r="E587" s="1" t="s">
        <v>4231</v>
      </c>
      <c r="F587" s="1" t="s">
        <v>4232</v>
      </c>
      <c r="G587">
        <v>-11158</v>
      </c>
      <c r="H587">
        <v>-2475</v>
      </c>
      <c r="I587" s="1" t="s">
        <v>4233</v>
      </c>
      <c r="J587" s="1" t="s">
        <v>3934</v>
      </c>
      <c r="K587">
        <v>-640</v>
      </c>
      <c r="L587" s="1" t="s">
        <v>3935</v>
      </c>
    </row>
    <row r="588" spans="1:12" x14ac:dyDescent="0.25">
      <c r="A588">
        <v>586</v>
      </c>
      <c r="B588" s="1" t="s">
        <v>4234</v>
      </c>
      <c r="C588" s="1" t="s">
        <v>4235</v>
      </c>
      <c r="D588" s="1" t="s">
        <v>2357</v>
      </c>
      <c r="E588" s="1" t="s">
        <v>4236</v>
      </c>
      <c r="F588" s="1" t="s">
        <v>4237</v>
      </c>
      <c r="G588">
        <v>-13700</v>
      </c>
      <c r="H588">
        <v>-4367</v>
      </c>
      <c r="I588" s="1" t="s">
        <v>4238</v>
      </c>
      <c r="J588" s="1" t="s">
        <v>1833</v>
      </c>
      <c r="K588">
        <v>-2159</v>
      </c>
      <c r="L588" s="1" t="s">
        <v>1834</v>
      </c>
    </row>
    <row r="589" spans="1:12" x14ac:dyDescent="0.25">
      <c r="A589">
        <v>587</v>
      </c>
      <c r="B589" s="1" t="s">
        <v>4239</v>
      </c>
      <c r="C589" s="1" t="s">
        <v>4240</v>
      </c>
      <c r="D589" s="1" t="s">
        <v>2005</v>
      </c>
      <c r="E589" s="1" t="s">
        <v>4241</v>
      </c>
      <c r="F589" s="1" t="s">
        <v>4242</v>
      </c>
      <c r="G589">
        <v>-10172</v>
      </c>
      <c r="H589">
        <v>-2860</v>
      </c>
      <c r="I589" s="1" t="s">
        <v>4243</v>
      </c>
      <c r="J589" s="1" t="s">
        <v>4244</v>
      </c>
      <c r="K589">
        <v>-1076</v>
      </c>
      <c r="L589" s="1" t="s">
        <v>4245</v>
      </c>
    </row>
    <row r="590" spans="1:12" x14ac:dyDescent="0.25">
      <c r="A590">
        <v>588</v>
      </c>
      <c r="B590" s="1" t="s">
        <v>4246</v>
      </c>
      <c r="C590" s="1" t="s">
        <v>4247</v>
      </c>
      <c r="D590" s="1" t="s">
        <v>609</v>
      </c>
      <c r="E590" s="1" t="s">
        <v>4248</v>
      </c>
      <c r="F590" s="1" t="s">
        <v>4249</v>
      </c>
      <c r="G590">
        <v>-16306</v>
      </c>
      <c r="H590">
        <v>-3966</v>
      </c>
      <c r="I590" s="1" t="s">
        <v>4250</v>
      </c>
      <c r="J590" s="1" t="s">
        <v>4251</v>
      </c>
      <c r="K590">
        <v>-4904</v>
      </c>
      <c r="L590" s="1" t="s">
        <v>4252</v>
      </c>
    </row>
    <row r="591" spans="1:12" x14ac:dyDescent="0.25">
      <c r="A591">
        <v>589</v>
      </c>
      <c r="B591" s="1" t="s">
        <v>4253</v>
      </c>
      <c r="C591" s="1" t="s">
        <v>4254</v>
      </c>
      <c r="D591" s="1" t="s">
        <v>4255</v>
      </c>
      <c r="E591" s="1" t="s">
        <v>4256</v>
      </c>
      <c r="F591" s="1" t="s">
        <v>4257</v>
      </c>
      <c r="G591">
        <v>-16380</v>
      </c>
      <c r="H591">
        <v>-4216</v>
      </c>
      <c r="I591" s="1" t="s">
        <v>4258</v>
      </c>
      <c r="J591" s="1" t="s">
        <v>4259</v>
      </c>
      <c r="K591">
        <v>-1993</v>
      </c>
      <c r="L591" s="1" t="s">
        <v>4260</v>
      </c>
    </row>
    <row r="592" spans="1:12" x14ac:dyDescent="0.25">
      <c r="A592">
        <v>590</v>
      </c>
      <c r="B592" s="1" t="s">
        <v>4261</v>
      </c>
      <c r="C592" s="1" t="s">
        <v>4262</v>
      </c>
      <c r="D592" s="1" t="s">
        <v>1513</v>
      </c>
      <c r="E592" s="1" t="s">
        <v>4263</v>
      </c>
      <c r="F592" s="1" t="s">
        <v>4264</v>
      </c>
      <c r="G592">
        <v>-16370</v>
      </c>
      <c r="H592">
        <v>-4221</v>
      </c>
      <c r="I592" s="1" t="s">
        <v>4265</v>
      </c>
      <c r="J592" s="1" t="s">
        <v>254</v>
      </c>
      <c r="K592">
        <v>-964</v>
      </c>
      <c r="L592" s="1" t="s">
        <v>741</v>
      </c>
    </row>
    <row r="593" spans="1:12" x14ac:dyDescent="0.25">
      <c r="A593">
        <v>591</v>
      </c>
      <c r="B593" s="1" t="s">
        <v>4266</v>
      </c>
      <c r="C593" s="1" t="s">
        <v>4267</v>
      </c>
      <c r="D593" s="1" t="s">
        <v>2088</v>
      </c>
      <c r="E593" s="1" t="s">
        <v>4268</v>
      </c>
      <c r="F593" s="1" t="s">
        <v>4269</v>
      </c>
      <c r="G593">
        <v>-14994</v>
      </c>
      <c r="H593">
        <v>-3837</v>
      </c>
      <c r="I593" s="1" t="s">
        <v>4270</v>
      </c>
      <c r="J593" s="1" t="s">
        <v>4271</v>
      </c>
      <c r="K593">
        <v>-2661</v>
      </c>
      <c r="L593" s="1" t="s">
        <v>4272</v>
      </c>
    </row>
    <row r="594" spans="1:12" x14ac:dyDescent="0.25">
      <c r="A594">
        <v>592</v>
      </c>
      <c r="B594" s="1" t="s">
        <v>4273</v>
      </c>
      <c r="C594" s="1" t="s">
        <v>4274</v>
      </c>
      <c r="D594" s="1" t="s">
        <v>361</v>
      </c>
      <c r="E594" s="1" t="s">
        <v>4275</v>
      </c>
      <c r="F594" s="1" t="s">
        <v>4276</v>
      </c>
      <c r="G594">
        <v>-16542</v>
      </c>
      <c r="H594">
        <v>-69</v>
      </c>
      <c r="I594" s="1" t="s">
        <v>4277</v>
      </c>
      <c r="J594" s="1" t="s">
        <v>4278</v>
      </c>
      <c r="K594">
        <v>-2588</v>
      </c>
      <c r="L594" s="1" t="s">
        <v>4279</v>
      </c>
    </row>
    <row r="595" spans="1:12" x14ac:dyDescent="0.25">
      <c r="A595">
        <v>593</v>
      </c>
      <c r="B595" s="1" t="s">
        <v>4280</v>
      </c>
      <c r="C595" s="1" t="s">
        <v>4281</v>
      </c>
      <c r="D595" s="1" t="s">
        <v>622</v>
      </c>
      <c r="E595" s="1" t="s">
        <v>4282</v>
      </c>
      <c r="F595" s="1" t="s">
        <v>4283</v>
      </c>
      <c r="G595">
        <v>-18640</v>
      </c>
      <c r="H595">
        <v>-2137</v>
      </c>
      <c r="I595" s="1" t="s">
        <v>4284</v>
      </c>
      <c r="J595" s="1" t="s">
        <v>4285</v>
      </c>
      <c r="K595">
        <v>365243</v>
      </c>
      <c r="L595" s="1" t="s">
        <v>4286</v>
      </c>
    </row>
    <row r="596" spans="1:12" x14ac:dyDescent="0.25">
      <c r="A596">
        <v>594</v>
      </c>
      <c r="B596" s="1" t="s">
        <v>4287</v>
      </c>
      <c r="C596" s="1" t="s">
        <v>4288</v>
      </c>
      <c r="D596" s="1" t="s">
        <v>4289</v>
      </c>
      <c r="E596" s="1" t="s">
        <v>4290</v>
      </c>
      <c r="F596" s="1" t="s">
        <v>4291</v>
      </c>
      <c r="G596">
        <v>-13804</v>
      </c>
      <c r="H596">
        <v>-4823</v>
      </c>
      <c r="I596" s="1" t="s">
        <v>4292</v>
      </c>
      <c r="J596" s="1" t="s">
        <v>4293</v>
      </c>
      <c r="K596">
        <v>-191</v>
      </c>
      <c r="L596" s="1" t="s">
        <v>4294</v>
      </c>
    </row>
    <row r="597" spans="1:12" x14ac:dyDescent="0.25">
      <c r="A597">
        <v>595</v>
      </c>
      <c r="B597" s="1" t="s">
        <v>4295</v>
      </c>
      <c r="C597" s="1" t="s">
        <v>4296</v>
      </c>
      <c r="D597" s="1" t="s">
        <v>3385</v>
      </c>
      <c r="E597" s="1" t="s">
        <v>4297</v>
      </c>
      <c r="F597" s="1" t="s">
        <v>4298</v>
      </c>
      <c r="G597">
        <v>-23986</v>
      </c>
      <c r="H597">
        <v>-4072</v>
      </c>
      <c r="I597" s="1" t="s">
        <v>4299</v>
      </c>
      <c r="J597" s="1" t="s">
        <v>4300</v>
      </c>
      <c r="K597">
        <v>365243</v>
      </c>
      <c r="L597" s="1" t="s">
        <v>4301</v>
      </c>
    </row>
    <row r="598" spans="1:12" x14ac:dyDescent="0.25">
      <c r="A598">
        <v>596</v>
      </c>
      <c r="B598" s="1" t="s">
        <v>4302</v>
      </c>
      <c r="C598" s="1" t="s">
        <v>4303</v>
      </c>
      <c r="D598" s="1" t="s">
        <v>4304</v>
      </c>
      <c r="E598" s="1" t="s">
        <v>4305</v>
      </c>
      <c r="F598" s="1" t="s">
        <v>4306</v>
      </c>
      <c r="G598">
        <v>-23158</v>
      </c>
      <c r="H598">
        <v>-4312</v>
      </c>
      <c r="I598" s="1" t="s">
        <v>4307</v>
      </c>
      <c r="J598" s="1" t="s">
        <v>4308</v>
      </c>
      <c r="K598">
        <v>365243</v>
      </c>
      <c r="L598" s="1" t="s">
        <v>4309</v>
      </c>
    </row>
    <row r="599" spans="1:12" x14ac:dyDescent="0.25">
      <c r="A599">
        <v>597</v>
      </c>
      <c r="B599" s="1" t="s">
        <v>4310</v>
      </c>
      <c r="C599" s="1" t="s">
        <v>4311</v>
      </c>
      <c r="D599" s="1" t="s">
        <v>3026</v>
      </c>
      <c r="E599" s="1" t="s">
        <v>4312</v>
      </c>
      <c r="F599" s="1" t="s">
        <v>4313</v>
      </c>
      <c r="G599">
        <v>-21430</v>
      </c>
      <c r="H599">
        <v>-4573</v>
      </c>
      <c r="I599" s="1" t="s">
        <v>4314</v>
      </c>
      <c r="J599" s="1" t="s">
        <v>4315</v>
      </c>
      <c r="K599">
        <v>365243</v>
      </c>
      <c r="L599" s="1" t="s">
        <v>4316</v>
      </c>
    </row>
    <row r="600" spans="1:12" x14ac:dyDescent="0.25">
      <c r="A600">
        <v>598</v>
      </c>
      <c r="B600" s="1" t="s">
        <v>4317</v>
      </c>
      <c r="C600" s="1" t="s">
        <v>4318</v>
      </c>
      <c r="D600" s="1" t="s">
        <v>1843</v>
      </c>
      <c r="E600" s="1" t="s">
        <v>4319</v>
      </c>
      <c r="F600" s="1" t="s">
        <v>4320</v>
      </c>
      <c r="G600">
        <v>-15116</v>
      </c>
      <c r="H600">
        <v>-4542</v>
      </c>
      <c r="I600" s="1" t="s">
        <v>4321</v>
      </c>
      <c r="J600" s="1" t="s">
        <v>4322</v>
      </c>
      <c r="K600">
        <v>-2134</v>
      </c>
      <c r="L600" s="1" t="s">
        <v>4323</v>
      </c>
    </row>
    <row r="601" spans="1:12" x14ac:dyDescent="0.25">
      <c r="A601">
        <v>599</v>
      </c>
      <c r="B601" s="1" t="s">
        <v>4324</v>
      </c>
      <c r="C601" s="1" t="s">
        <v>4325</v>
      </c>
      <c r="D601" s="1" t="s">
        <v>1362</v>
      </c>
      <c r="E601" s="1" t="s">
        <v>4326</v>
      </c>
      <c r="F601" s="1" t="s">
        <v>4327</v>
      </c>
      <c r="G601">
        <v>-20830</v>
      </c>
      <c r="H601">
        <v>-3473</v>
      </c>
      <c r="I601" s="1" t="s">
        <v>4328</v>
      </c>
      <c r="J601" s="1" t="s">
        <v>4329</v>
      </c>
      <c r="K601">
        <v>365243</v>
      </c>
      <c r="L601" s="1" t="s">
        <v>4330</v>
      </c>
    </row>
    <row r="602" spans="1:12" x14ac:dyDescent="0.25">
      <c r="A602">
        <v>600</v>
      </c>
      <c r="B602" s="1" t="s">
        <v>4331</v>
      </c>
      <c r="C602" s="1" t="s">
        <v>4332</v>
      </c>
      <c r="D602" s="1" t="s">
        <v>2523</v>
      </c>
      <c r="E602" s="1" t="s">
        <v>4333</v>
      </c>
      <c r="F602" s="1" t="s">
        <v>4334</v>
      </c>
      <c r="G602">
        <v>-12130</v>
      </c>
      <c r="H602">
        <v>-3690</v>
      </c>
      <c r="I602" s="1" t="s">
        <v>1441</v>
      </c>
      <c r="J602" s="1" t="s">
        <v>198</v>
      </c>
      <c r="K602">
        <v>-4277</v>
      </c>
      <c r="L602" s="1" t="s">
        <v>1921</v>
      </c>
    </row>
    <row r="603" spans="1:12" x14ac:dyDescent="0.25">
      <c r="A603">
        <v>601</v>
      </c>
      <c r="B603" s="1" t="s">
        <v>4335</v>
      </c>
      <c r="C603" s="1" t="s">
        <v>4336</v>
      </c>
      <c r="D603" s="1" t="s">
        <v>569</v>
      </c>
      <c r="E603" s="1" t="s">
        <v>4337</v>
      </c>
      <c r="F603" s="1" t="s">
        <v>4338</v>
      </c>
      <c r="G603">
        <v>-9917</v>
      </c>
      <c r="H603">
        <v>-2181</v>
      </c>
      <c r="I603" s="1" t="s">
        <v>4339</v>
      </c>
      <c r="J603" s="1" t="s">
        <v>4340</v>
      </c>
      <c r="K603">
        <v>-1482</v>
      </c>
      <c r="L603" s="1" t="s">
        <v>4341</v>
      </c>
    </row>
    <row r="604" spans="1:12" x14ac:dyDescent="0.25">
      <c r="A604">
        <v>602</v>
      </c>
      <c r="B604" s="1" t="s">
        <v>4342</v>
      </c>
      <c r="C604" s="1" t="s">
        <v>4343</v>
      </c>
      <c r="D604" s="1" t="s">
        <v>54</v>
      </c>
      <c r="E604" s="1" t="s">
        <v>4344</v>
      </c>
      <c r="F604" s="1" t="s">
        <v>4345</v>
      </c>
      <c r="G604">
        <v>-8929</v>
      </c>
      <c r="H604">
        <v>-1585</v>
      </c>
      <c r="I604" s="1" t="s">
        <v>4346</v>
      </c>
      <c r="J604" s="1" t="s">
        <v>4347</v>
      </c>
      <c r="K604">
        <v>-129</v>
      </c>
      <c r="L604" s="1" t="s">
        <v>4348</v>
      </c>
    </row>
    <row r="605" spans="1:12" x14ac:dyDescent="0.25">
      <c r="A605">
        <v>603</v>
      </c>
      <c r="B605" s="1" t="s">
        <v>4349</v>
      </c>
      <c r="C605" s="1" t="s">
        <v>4350</v>
      </c>
      <c r="D605" s="1" t="s">
        <v>4351</v>
      </c>
      <c r="E605" s="1" t="s">
        <v>4352</v>
      </c>
      <c r="F605" s="1" t="s">
        <v>4353</v>
      </c>
      <c r="G605">
        <v>-13711</v>
      </c>
      <c r="H605">
        <v>-4104</v>
      </c>
      <c r="I605" s="1" t="s">
        <v>4354</v>
      </c>
      <c r="J605" s="1" t="s">
        <v>4355</v>
      </c>
      <c r="K605">
        <v>-452</v>
      </c>
      <c r="L605" s="1" t="s">
        <v>4356</v>
      </c>
    </row>
    <row r="606" spans="1:12" x14ac:dyDescent="0.25">
      <c r="A606">
        <v>604</v>
      </c>
      <c r="B606" s="1" t="s">
        <v>4357</v>
      </c>
      <c r="C606" s="1" t="s">
        <v>4358</v>
      </c>
      <c r="D606" s="1" t="s">
        <v>421</v>
      </c>
      <c r="E606" s="1" t="s">
        <v>4359</v>
      </c>
      <c r="F606" s="1" t="s">
        <v>4360</v>
      </c>
      <c r="G606">
        <v>-23789</v>
      </c>
      <c r="H606">
        <v>-4804</v>
      </c>
      <c r="I606" s="1" t="s">
        <v>4361</v>
      </c>
      <c r="J606" s="1" t="s">
        <v>4362</v>
      </c>
      <c r="K606">
        <v>365243</v>
      </c>
      <c r="L606" s="1" t="s">
        <v>4363</v>
      </c>
    </row>
    <row r="607" spans="1:12" x14ac:dyDescent="0.25">
      <c r="A607">
        <v>605</v>
      </c>
      <c r="B607" s="1" t="s">
        <v>4364</v>
      </c>
      <c r="C607" s="1" t="s">
        <v>4365</v>
      </c>
      <c r="D607" s="1" t="s">
        <v>1312</v>
      </c>
      <c r="E607" s="1" t="s">
        <v>4366</v>
      </c>
      <c r="F607" s="1" t="s">
        <v>4367</v>
      </c>
      <c r="G607">
        <v>-16829</v>
      </c>
      <c r="H607">
        <v>-383</v>
      </c>
      <c r="I607" s="1" t="s">
        <v>4368</v>
      </c>
      <c r="J607" s="1" t="s">
        <v>4369</v>
      </c>
      <c r="K607">
        <v>-853</v>
      </c>
      <c r="L607" s="1" t="s">
        <v>723</v>
      </c>
    </row>
    <row r="608" spans="1:12" x14ac:dyDescent="0.25">
      <c r="A608">
        <v>606</v>
      </c>
      <c r="B608" s="1" t="s">
        <v>4370</v>
      </c>
      <c r="C608" s="1" t="s">
        <v>4371</v>
      </c>
      <c r="D608" s="1" t="s">
        <v>4372</v>
      </c>
      <c r="E608" s="1" t="s">
        <v>4373</v>
      </c>
      <c r="F608" s="1" t="s">
        <v>4374</v>
      </c>
      <c r="G608">
        <v>-18880</v>
      </c>
      <c r="H608">
        <v>-407</v>
      </c>
      <c r="I608" s="1" t="s">
        <v>4375</v>
      </c>
      <c r="J608" s="1" t="s">
        <v>2048</v>
      </c>
      <c r="K608">
        <v>-1355</v>
      </c>
      <c r="L608" s="1" t="s">
        <v>2049</v>
      </c>
    </row>
    <row r="609" spans="1:12" x14ac:dyDescent="0.25">
      <c r="A609">
        <v>607</v>
      </c>
      <c r="B609" s="1" t="s">
        <v>4376</v>
      </c>
      <c r="C609" s="1" t="s">
        <v>4377</v>
      </c>
      <c r="D609" s="1" t="s">
        <v>862</v>
      </c>
      <c r="E609" s="1" t="s">
        <v>4378</v>
      </c>
      <c r="F609" s="1" t="s">
        <v>4379</v>
      </c>
      <c r="G609">
        <v>-15081</v>
      </c>
      <c r="H609">
        <v>-4792</v>
      </c>
      <c r="I609" s="1" t="s">
        <v>4380</v>
      </c>
      <c r="J609" s="1" t="s">
        <v>1243</v>
      </c>
      <c r="K609">
        <v>-864</v>
      </c>
      <c r="L609" s="1" t="s">
        <v>1244</v>
      </c>
    </row>
    <row r="610" spans="1:12" x14ac:dyDescent="0.25">
      <c r="A610">
        <v>608</v>
      </c>
      <c r="B610" s="1" t="s">
        <v>4381</v>
      </c>
      <c r="C610" s="1" t="s">
        <v>4382</v>
      </c>
      <c r="D610" s="1" t="s">
        <v>481</v>
      </c>
      <c r="E610" s="1" t="s">
        <v>4383</v>
      </c>
      <c r="F610" s="1" t="s">
        <v>4384</v>
      </c>
      <c r="G610">
        <v>-22570</v>
      </c>
      <c r="H610">
        <v>-4745</v>
      </c>
      <c r="I610" s="1" t="s">
        <v>4385</v>
      </c>
      <c r="J610" s="1" t="s">
        <v>4386</v>
      </c>
      <c r="K610">
        <v>-972</v>
      </c>
      <c r="L610" s="1" t="s">
        <v>4387</v>
      </c>
    </row>
    <row r="611" spans="1:12" x14ac:dyDescent="0.25">
      <c r="A611">
        <v>609</v>
      </c>
      <c r="B611" s="1" t="s">
        <v>4388</v>
      </c>
      <c r="C611" s="1" t="s">
        <v>4389</v>
      </c>
      <c r="D611" s="1" t="s">
        <v>1475</v>
      </c>
      <c r="E611" s="1" t="s">
        <v>4390</v>
      </c>
      <c r="F611" s="1" t="s">
        <v>4391</v>
      </c>
      <c r="G611">
        <v>-17820</v>
      </c>
      <c r="H611">
        <v>-1348</v>
      </c>
      <c r="I611" s="1" t="s">
        <v>4392</v>
      </c>
      <c r="J611" s="1" t="s">
        <v>4393</v>
      </c>
      <c r="K611">
        <v>-2900</v>
      </c>
      <c r="L611" s="1" t="s">
        <v>4394</v>
      </c>
    </row>
    <row r="612" spans="1:12" x14ac:dyDescent="0.25">
      <c r="A612">
        <v>610</v>
      </c>
      <c r="B612" s="1" t="s">
        <v>4395</v>
      </c>
      <c r="C612" s="1" t="s">
        <v>4396</v>
      </c>
      <c r="D612" s="1" t="s">
        <v>54</v>
      </c>
      <c r="E612" s="1" t="s">
        <v>4397</v>
      </c>
      <c r="F612" s="1" t="s">
        <v>4398</v>
      </c>
      <c r="G612">
        <v>-15060</v>
      </c>
      <c r="H612">
        <v>-1884</v>
      </c>
      <c r="I612" s="1" t="s">
        <v>4399</v>
      </c>
      <c r="J612" s="1" t="s">
        <v>4400</v>
      </c>
      <c r="K612">
        <v>-118</v>
      </c>
      <c r="L612" s="1" t="s">
        <v>4401</v>
      </c>
    </row>
    <row r="613" spans="1:12" x14ac:dyDescent="0.25">
      <c r="A613">
        <v>611</v>
      </c>
      <c r="B613" s="1" t="s">
        <v>4402</v>
      </c>
      <c r="C613" s="1" t="s">
        <v>4403</v>
      </c>
      <c r="D613" s="1" t="s">
        <v>3660</v>
      </c>
      <c r="E613" s="1" t="s">
        <v>4404</v>
      </c>
      <c r="F613" s="1" t="s">
        <v>4405</v>
      </c>
      <c r="G613">
        <v>-20464</v>
      </c>
      <c r="H613">
        <v>-817</v>
      </c>
      <c r="I613" s="1" t="s">
        <v>4406</v>
      </c>
      <c r="J613" s="1" t="s">
        <v>2072</v>
      </c>
      <c r="K613">
        <v>-4526</v>
      </c>
      <c r="L613" s="1" t="s">
        <v>4407</v>
      </c>
    </row>
    <row r="614" spans="1:12" x14ac:dyDescent="0.25">
      <c r="A614">
        <v>612</v>
      </c>
      <c r="B614" s="1" t="s">
        <v>4408</v>
      </c>
      <c r="C614" s="1" t="s">
        <v>4409</v>
      </c>
      <c r="D614" s="1" t="s">
        <v>1640</v>
      </c>
      <c r="E614" s="1" t="s">
        <v>4410</v>
      </c>
      <c r="F614" s="1" t="s">
        <v>4411</v>
      </c>
      <c r="G614">
        <v>-15882</v>
      </c>
      <c r="H614">
        <v>-5872</v>
      </c>
      <c r="I614" s="1" t="s">
        <v>4412</v>
      </c>
      <c r="J614" s="1" t="s">
        <v>4413</v>
      </c>
      <c r="K614">
        <v>-6189</v>
      </c>
      <c r="L614" s="1" t="s">
        <v>4414</v>
      </c>
    </row>
    <row r="615" spans="1:12" x14ac:dyDescent="0.25">
      <c r="A615">
        <v>613</v>
      </c>
      <c r="B615" s="1" t="s">
        <v>4415</v>
      </c>
      <c r="C615" s="1" t="s">
        <v>4416</v>
      </c>
      <c r="D615" s="1" t="s">
        <v>1049</v>
      </c>
      <c r="E615" s="1" t="s">
        <v>4417</v>
      </c>
      <c r="F615" s="1" t="s">
        <v>4418</v>
      </c>
      <c r="G615">
        <v>-14076</v>
      </c>
      <c r="H615">
        <v>-4837</v>
      </c>
      <c r="I615" s="1" t="s">
        <v>4419</v>
      </c>
      <c r="J615" s="1" t="s">
        <v>908</v>
      </c>
      <c r="K615">
        <v>-4889</v>
      </c>
      <c r="L615" s="1" t="s">
        <v>909</v>
      </c>
    </row>
    <row r="616" spans="1:12" x14ac:dyDescent="0.25">
      <c r="A616">
        <v>614</v>
      </c>
      <c r="B616" s="1" t="s">
        <v>4420</v>
      </c>
      <c r="C616" s="1" t="s">
        <v>4421</v>
      </c>
      <c r="D616" s="1" t="s">
        <v>1247</v>
      </c>
      <c r="E616" s="1" t="s">
        <v>4422</v>
      </c>
      <c r="F616" s="1" t="s">
        <v>4423</v>
      </c>
      <c r="G616">
        <v>-11222</v>
      </c>
      <c r="H616">
        <v>-3575</v>
      </c>
      <c r="I616" s="1" t="s">
        <v>4424</v>
      </c>
      <c r="J616" s="1" t="s">
        <v>4425</v>
      </c>
      <c r="K616">
        <v>-3281</v>
      </c>
      <c r="L616" s="1" t="s">
        <v>4426</v>
      </c>
    </row>
    <row r="617" spans="1:12" x14ac:dyDescent="0.25">
      <c r="A617">
        <v>615</v>
      </c>
      <c r="B617" s="1" t="s">
        <v>4427</v>
      </c>
      <c r="C617" s="1" t="s">
        <v>4428</v>
      </c>
      <c r="D617" s="1" t="s">
        <v>4429</v>
      </c>
      <c r="E617" s="1" t="s">
        <v>4430</v>
      </c>
      <c r="F617" s="1" t="s">
        <v>4431</v>
      </c>
      <c r="G617">
        <v>-20850</v>
      </c>
      <c r="H617">
        <v>-3975</v>
      </c>
      <c r="I617" s="1" t="s">
        <v>4432</v>
      </c>
      <c r="J617" s="1" t="s">
        <v>4433</v>
      </c>
      <c r="K617">
        <v>365243</v>
      </c>
      <c r="L617" s="1" t="s">
        <v>4434</v>
      </c>
    </row>
    <row r="618" spans="1:12" x14ac:dyDescent="0.25">
      <c r="A618">
        <v>616</v>
      </c>
      <c r="B618" s="1" t="s">
        <v>4435</v>
      </c>
      <c r="C618" s="1" t="s">
        <v>4436</v>
      </c>
      <c r="D618" s="1" t="s">
        <v>1537</v>
      </c>
      <c r="E618" s="1" t="s">
        <v>4437</v>
      </c>
      <c r="F618" s="1" t="s">
        <v>4438</v>
      </c>
      <c r="G618">
        <v>-21530</v>
      </c>
      <c r="H618">
        <v>-4829</v>
      </c>
      <c r="I618" s="1" t="s">
        <v>4439</v>
      </c>
      <c r="J618" s="1" t="s">
        <v>4440</v>
      </c>
      <c r="K618">
        <v>365243</v>
      </c>
      <c r="L618" s="1" t="s">
        <v>4441</v>
      </c>
    </row>
    <row r="619" spans="1:12" x14ac:dyDescent="0.25">
      <c r="A619">
        <v>617</v>
      </c>
      <c r="B619" s="1" t="s">
        <v>4442</v>
      </c>
      <c r="C619" s="1" t="s">
        <v>4443</v>
      </c>
      <c r="D619" s="1" t="s">
        <v>4444</v>
      </c>
      <c r="E619" s="1" t="s">
        <v>4445</v>
      </c>
      <c r="F619" s="1" t="s">
        <v>4446</v>
      </c>
      <c r="G619">
        <v>-23734</v>
      </c>
      <c r="H619">
        <v>-4634</v>
      </c>
      <c r="I619" s="1" t="s">
        <v>4447</v>
      </c>
      <c r="J619" s="1" t="s">
        <v>4448</v>
      </c>
      <c r="K619">
        <v>365243</v>
      </c>
      <c r="L619" s="1" t="s">
        <v>4449</v>
      </c>
    </row>
    <row r="620" spans="1:12" x14ac:dyDescent="0.25">
      <c r="A620">
        <v>618</v>
      </c>
      <c r="B620" s="1" t="s">
        <v>4450</v>
      </c>
      <c r="C620" s="1" t="s">
        <v>4451</v>
      </c>
      <c r="D620" s="1" t="s">
        <v>1475</v>
      </c>
      <c r="E620" s="1" t="s">
        <v>4452</v>
      </c>
      <c r="F620" s="1" t="s">
        <v>4453</v>
      </c>
      <c r="G620">
        <v>-20806</v>
      </c>
      <c r="H620">
        <v>-4295</v>
      </c>
      <c r="I620" s="1" t="s">
        <v>4454</v>
      </c>
      <c r="J620" s="1" t="s">
        <v>4455</v>
      </c>
      <c r="K620">
        <v>-10624</v>
      </c>
      <c r="L620" s="1" t="s">
        <v>4456</v>
      </c>
    </row>
    <row r="621" spans="1:12" x14ac:dyDescent="0.25">
      <c r="A621">
        <v>619</v>
      </c>
      <c r="B621" s="1" t="s">
        <v>4457</v>
      </c>
      <c r="C621" s="1" t="s">
        <v>4458</v>
      </c>
      <c r="D621" s="1" t="s">
        <v>4459</v>
      </c>
      <c r="E621" s="1" t="s">
        <v>4460</v>
      </c>
      <c r="F621" s="1" t="s">
        <v>4461</v>
      </c>
      <c r="G621">
        <v>-15257</v>
      </c>
      <c r="H621">
        <v>-3997</v>
      </c>
      <c r="I621" s="1" t="s">
        <v>4462</v>
      </c>
      <c r="J621" s="1" t="s">
        <v>4463</v>
      </c>
      <c r="K621">
        <v>-887</v>
      </c>
      <c r="L621" s="1" t="s">
        <v>4464</v>
      </c>
    </row>
    <row r="622" spans="1:12" x14ac:dyDescent="0.25">
      <c r="A622">
        <v>620</v>
      </c>
      <c r="B622" s="1" t="s">
        <v>4465</v>
      </c>
      <c r="C622" s="1" t="s">
        <v>4466</v>
      </c>
      <c r="D622" s="1" t="s">
        <v>1991</v>
      </c>
      <c r="E622" s="1" t="s">
        <v>4467</v>
      </c>
      <c r="F622" s="1" t="s">
        <v>4468</v>
      </c>
      <c r="G622">
        <v>-21156</v>
      </c>
      <c r="H622">
        <v>-1103</v>
      </c>
      <c r="I622" s="1" t="s">
        <v>4469</v>
      </c>
      <c r="J622" s="1" t="s">
        <v>4470</v>
      </c>
      <c r="K622">
        <v>-999</v>
      </c>
      <c r="L622" s="1" t="s">
        <v>4471</v>
      </c>
    </row>
    <row r="623" spans="1:12" x14ac:dyDescent="0.25">
      <c r="A623">
        <v>621</v>
      </c>
      <c r="B623" s="1" t="s">
        <v>4472</v>
      </c>
      <c r="C623" s="1" t="s">
        <v>4473</v>
      </c>
      <c r="D623" s="1" t="s">
        <v>4474</v>
      </c>
      <c r="E623" s="1" t="s">
        <v>4475</v>
      </c>
      <c r="F623" s="1" t="s">
        <v>4476</v>
      </c>
      <c r="G623">
        <v>-19994</v>
      </c>
      <c r="H623">
        <v>-3443</v>
      </c>
      <c r="I623" s="1" t="s">
        <v>2569</v>
      </c>
      <c r="J623" s="1" t="s">
        <v>198</v>
      </c>
      <c r="K623">
        <v>-1573</v>
      </c>
      <c r="L623" s="1" t="s">
        <v>1921</v>
      </c>
    </row>
    <row r="624" spans="1:12" x14ac:dyDescent="0.25">
      <c r="A624">
        <v>622</v>
      </c>
      <c r="B624" s="1" t="s">
        <v>4477</v>
      </c>
      <c r="C624" s="1" t="s">
        <v>4478</v>
      </c>
      <c r="D624" s="1" t="s">
        <v>2335</v>
      </c>
      <c r="E624" s="1" t="s">
        <v>4479</v>
      </c>
      <c r="F624" s="1" t="s">
        <v>4480</v>
      </c>
      <c r="G624">
        <v>-16298</v>
      </c>
      <c r="H624">
        <v>-4123</v>
      </c>
      <c r="I624" s="1" t="s">
        <v>4481</v>
      </c>
      <c r="J624" s="1" t="s">
        <v>4482</v>
      </c>
      <c r="K624">
        <v>-3587</v>
      </c>
      <c r="L624" s="1" t="s">
        <v>4483</v>
      </c>
    </row>
    <row r="625" spans="1:12" x14ac:dyDescent="0.25">
      <c r="A625">
        <v>623</v>
      </c>
      <c r="B625" s="1" t="s">
        <v>4484</v>
      </c>
      <c r="C625" s="1" t="s">
        <v>4485</v>
      </c>
      <c r="D625" s="1" t="s">
        <v>2310</v>
      </c>
      <c r="E625" s="1" t="s">
        <v>4486</v>
      </c>
      <c r="F625" s="1" t="s">
        <v>4487</v>
      </c>
      <c r="G625">
        <v>-19369</v>
      </c>
      <c r="H625">
        <v>-2898</v>
      </c>
      <c r="I625" s="1" t="s">
        <v>2252</v>
      </c>
      <c r="J625" s="1" t="s">
        <v>198</v>
      </c>
      <c r="K625">
        <v>-6419</v>
      </c>
      <c r="L625" s="1" t="s">
        <v>1921</v>
      </c>
    </row>
    <row r="626" spans="1:12" x14ac:dyDescent="0.25">
      <c r="A626">
        <v>624</v>
      </c>
      <c r="B626" s="1" t="s">
        <v>4488</v>
      </c>
      <c r="C626" s="1" t="s">
        <v>4489</v>
      </c>
      <c r="D626" s="1" t="s">
        <v>1139</v>
      </c>
      <c r="E626" s="1" t="s">
        <v>4490</v>
      </c>
      <c r="F626" s="1" t="s">
        <v>4491</v>
      </c>
      <c r="G626">
        <v>-18493</v>
      </c>
      <c r="H626">
        <v>-2038</v>
      </c>
      <c r="I626" s="1" t="s">
        <v>4492</v>
      </c>
      <c r="J626" s="1" t="s">
        <v>4493</v>
      </c>
      <c r="K626">
        <v>-211</v>
      </c>
      <c r="L626" s="1" t="s">
        <v>4494</v>
      </c>
    </row>
    <row r="627" spans="1:12" x14ac:dyDescent="0.25">
      <c r="A627">
        <v>625</v>
      </c>
      <c r="B627" s="1" t="s">
        <v>4495</v>
      </c>
      <c r="C627" s="1" t="s">
        <v>4496</v>
      </c>
      <c r="D627" s="1" t="s">
        <v>3699</v>
      </c>
      <c r="E627" s="1" t="s">
        <v>4497</v>
      </c>
      <c r="F627" s="1" t="s">
        <v>4498</v>
      </c>
      <c r="G627">
        <v>-21622</v>
      </c>
      <c r="H627">
        <v>-4041</v>
      </c>
      <c r="I627" s="1" t="s">
        <v>4499</v>
      </c>
      <c r="J627" s="1" t="s">
        <v>4500</v>
      </c>
      <c r="K627">
        <v>-6842</v>
      </c>
      <c r="L627" s="1" t="s">
        <v>4501</v>
      </c>
    </row>
    <row r="628" spans="1:12" x14ac:dyDescent="0.25">
      <c r="A628">
        <v>626</v>
      </c>
      <c r="B628" s="1" t="s">
        <v>4502</v>
      </c>
      <c r="C628" s="1" t="s">
        <v>4503</v>
      </c>
      <c r="D628" s="1" t="s">
        <v>4504</v>
      </c>
      <c r="E628" s="1" t="s">
        <v>4505</v>
      </c>
      <c r="F628" s="1" t="s">
        <v>4506</v>
      </c>
      <c r="G628">
        <v>-20355</v>
      </c>
      <c r="H628">
        <v>-3686</v>
      </c>
      <c r="I628" s="1" t="s">
        <v>4507</v>
      </c>
      <c r="J628" s="1" t="s">
        <v>4386</v>
      </c>
      <c r="K628">
        <v>365243</v>
      </c>
      <c r="L628" s="1" t="s">
        <v>4387</v>
      </c>
    </row>
    <row r="629" spans="1:12" x14ac:dyDescent="0.25">
      <c r="A629">
        <v>627</v>
      </c>
      <c r="B629" s="1" t="s">
        <v>4508</v>
      </c>
      <c r="C629" s="1" t="s">
        <v>4509</v>
      </c>
      <c r="D629" s="1" t="s">
        <v>4510</v>
      </c>
      <c r="E629" s="1" t="s">
        <v>4511</v>
      </c>
      <c r="F629" s="1" t="s">
        <v>1256</v>
      </c>
      <c r="G629">
        <v>-12572</v>
      </c>
      <c r="H629">
        <v>-5241</v>
      </c>
      <c r="I629" s="1" t="s">
        <v>4512</v>
      </c>
      <c r="J629" s="1" t="s">
        <v>4513</v>
      </c>
      <c r="K629">
        <v>-5501</v>
      </c>
      <c r="L629" s="1" t="s">
        <v>4514</v>
      </c>
    </row>
    <row r="630" spans="1:12" x14ac:dyDescent="0.25">
      <c r="A630">
        <v>628</v>
      </c>
      <c r="B630" s="1" t="s">
        <v>4515</v>
      </c>
      <c r="C630" s="1" t="s">
        <v>4516</v>
      </c>
      <c r="D630" s="1" t="s">
        <v>1604</v>
      </c>
      <c r="E630" s="1" t="s">
        <v>4517</v>
      </c>
      <c r="F630" s="1" t="s">
        <v>4518</v>
      </c>
      <c r="G630">
        <v>-16408</v>
      </c>
      <c r="H630">
        <v>-4145</v>
      </c>
      <c r="I630" s="1" t="s">
        <v>4519</v>
      </c>
      <c r="J630" s="1" t="s">
        <v>4520</v>
      </c>
      <c r="K630">
        <v>-3579</v>
      </c>
      <c r="L630" s="1" t="s">
        <v>4521</v>
      </c>
    </row>
    <row r="631" spans="1:12" x14ac:dyDescent="0.25">
      <c r="A631">
        <v>629</v>
      </c>
      <c r="B631" s="1" t="s">
        <v>4522</v>
      </c>
      <c r="C631" s="1" t="s">
        <v>4523</v>
      </c>
      <c r="D631" s="1" t="s">
        <v>1201</v>
      </c>
      <c r="E631" s="1" t="s">
        <v>4524</v>
      </c>
      <c r="F631" s="1" t="s">
        <v>4525</v>
      </c>
      <c r="G631">
        <v>-19716</v>
      </c>
      <c r="H631">
        <v>-3272</v>
      </c>
      <c r="I631" s="1" t="s">
        <v>4526</v>
      </c>
      <c r="J631" s="1" t="s">
        <v>240</v>
      </c>
      <c r="K631">
        <v>-4571</v>
      </c>
      <c r="L631" s="1" t="s">
        <v>739</v>
      </c>
    </row>
    <row r="632" spans="1:12" x14ac:dyDescent="0.25">
      <c r="A632">
        <v>630</v>
      </c>
      <c r="B632" s="1" t="s">
        <v>4527</v>
      </c>
      <c r="C632" s="1" t="s">
        <v>4528</v>
      </c>
      <c r="D632" s="1" t="s">
        <v>4529</v>
      </c>
      <c r="E632" s="1" t="s">
        <v>4530</v>
      </c>
      <c r="F632" s="1" t="s">
        <v>4531</v>
      </c>
      <c r="G632">
        <v>-19148</v>
      </c>
      <c r="H632">
        <v>-1249</v>
      </c>
      <c r="I632" s="1" t="s">
        <v>4532</v>
      </c>
      <c r="J632" s="1" t="s">
        <v>4533</v>
      </c>
      <c r="K632">
        <v>-1484</v>
      </c>
      <c r="L632" s="1" t="s">
        <v>4534</v>
      </c>
    </row>
    <row r="633" spans="1:12" x14ac:dyDescent="0.25">
      <c r="A633">
        <v>631</v>
      </c>
      <c r="B633" s="1" t="s">
        <v>4535</v>
      </c>
      <c r="C633" s="1" t="s">
        <v>4536</v>
      </c>
      <c r="D633" s="1" t="s">
        <v>3638</v>
      </c>
      <c r="E633" s="1" t="s">
        <v>3645</v>
      </c>
      <c r="F633" s="1" t="s">
        <v>4537</v>
      </c>
      <c r="G633">
        <v>-18377</v>
      </c>
      <c r="H633">
        <v>-1917</v>
      </c>
      <c r="I633" s="1" t="s">
        <v>4538</v>
      </c>
      <c r="J633" s="1" t="s">
        <v>3847</v>
      </c>
      <c r="K633">
        <v>-5210</v>
      </c>
      <c r="L633" s="1" t="s">
        <v>3848</v>
      </c>
    </row>
    <row r="634" spans="1:12" x14ac:dyDescent="0.25">
      <c r="A634">
        <v>632</v>
      </c>
      <c r="B634" s="1" t="s">
        <v>4539</v>
      </c>
      <c r="C634" s="1" t="s">
        <v>4540</v>
      </c>
      <c r="D634" s="1" t="s">
        <v>4541</v>
      </c>
      <c r="E634" s="1" t="s">
        <v>4542</v>
      </c>
      <c r="F634" s="1" t="s">
        <v>4543</v>
      </c>
      <c r="G634">
        <v>-14891</v>
      </c>
      <c r="H634">
        <v>-3867</v>
      </c>
      <c r="I634" s="1" t="s">
        <v>4544</v>
      </c>
      <c r="J634" s="1" t="s">
        <v>4545</v>
      </c>
      <c r="K634">
        <v>-258</v>
      </c>
      <c r="L634" s="1" t="s">
        <v>4546</v>
      </c>
    </row>
    <row r="635" spans="1:12" x14ac:dyDescent="0.25">
      <c r="A635">
        <v>633</v>
      </c>
      <c r="B635" s="1" t="s">
        <v>4547</v>
      </c>
      <c r="C635" s="1" t="s">
        <v>4548</v>
      </c>
      <c r="D635" s="1" t="s">
        <v>2523</v>
      </c>
      <c r="E635" s="1" t="s">
        <v>4549</v>
      </c>
      <c r="F635" s="1" t="s">
        <v>4550</v>
      </c>
      <c r="G635">
        <v>-13329</v>
      </c>
      <c r="H635">
        <v>-4779</v>
      </c>
      <c r="I635" s="1" t="s">
        <v>4551</v>
      </c>
      <c r="J635" s="1" t="s">
        <v>4552</v>
      </c>
      <c r="K635">
        <v>-2337</v>
      </c>
      <c r="L635" s="1" t="s">
        <v>4553</v>
      </c>
    </row>
    <row r="636" spans="1:12" x14ac:dyDescent="0.25">
      <c r="A636">
        <v>634</v>
      </c>
      <c r="B636" s="1" t="s">
        <v>4554</v>
      </c>
      <c r="C636" s="1" t="s">
        <v>4555</v>
      </c>
      <c r="D636" s="1" t="s">
        <v>124</v>
      </c>
      <c r="E636" s="1" t="s">
        <v>4556</v>
      </c>
      <c r="F636" s="1" t="s">
        <v>4557</v>
      </c>
      <c r="G636">
        <v>-10584</v>
      </c>
      <c r="H636">
        <v>-3254</v>
      </c>
      <c r="I636" s="1" t="s">
        <v>4558</v>
      </c>
      <c r="J636" s="1" t="s">
        <v>4559</v>
      </c>
      <c r="K636">
        <v>-1903</v>
      </c>
      <c r="L636" s="1" t="s">
        <v>4560</v>
      </c>
    </row>
    <row r="637" spans="1:12" x14ac:dyDescent="0.25">
      <c r="A637">
        <v>635</v>
      </c>
      <c r="B637" s="1" t="s">
        <v>4561</v>
      </c>
      <c r="C637" s="1" t="s">
        <v>4562</v>
      </c>
      <c r="D637" s="1" t="s">
        <v>4563</v>
      </c>
      <c r="E637" s="1" t="s">
        <v>4564</v>
      </c>
      <c r="F637" s="1" t="s">
        <v>4565</v>
      </c>
      <c r="G637">
        <v>-16714</v>
      </c>
      <c r="H637">
        <v>-272</v>
      </c>
      <c r="I637" s="1" t="s">
        <v>4566</v>
      </c>
      <c r="J637" s="1" t="s">
        <v>4567</v>
      </c>
      <c r="K637">
        <v>-253</v>
      </c>
      <c r="L637" s="1" t="s">
        <v>4568</v>
      </c>
    </row>
    <row r="638" spans="1:12" x14ac:dyDescent="0.25">
      <c r="A638">
        <v>636</v>
      </c>
      <c r="B638" s="1" t="s">
        <v>4569</v>
      </c>
      <c r="C638" s="1" t="s">
        <v>4570</v>
      </c>
      <c r="D638" s="1" t="s">
        <v>1377</v>
      </c>
      <c r="E638" s="1" t="s">
        <v>4571</v>
      </c>
      <c r="F638" s="1" t="s">
        <v>4572</v>
      </c>
      <c r="G638">
        <v>-22073</v>
      </c>
      <c r="H638">
        <v>-4725</v>
      </c>
      <c r="I638" s="1" t="s">
        <v>4573</v>
      </c>
      <c r="J638" s="1" t="s">
        <v>4574</v>
      </c>
      <c r="K638">
        <v>365243</v>
      </c>
      <c r="L638" s="1" t="s">
        <v>4575</v>
      </c>
    </row>
    <row r="639" spans="1:12" x14ac:dyDescent="0.25">
      <c r="A639">
        <v>637</v>
      </c>
      <c r="B639" s="1" t="s">
        <v>4576</v>
      </c>
      <c r="C639" s="1" t="s">
        <v>4577</v>
      </c>
      <c r="D639" s="1" t="s">
        <v>2871</v>
      </c>
      <c r="E639" s="1" t="s">
        <v>4578</v>
      </c>
      <c r="F639" s="1" t="s">
        <v>4579</v>
      </c>
      <c r="G639">
        <v>-10013</v>
      </c>
      <c r="H639">
        <v>-2456</v>
      </c>
      <c r="I639" s="1" t="s">
        <v>4580</v>
      </c>
      <c r="J639" s="1" t="s">
        <v>4581</v>
      </c>
      <c r="K639">
        <v>-301</v>
      </c>
      <c r="L639" s="1" t="s">
        <v>4582</v>
      </c>
    </row>
    <row r="640" spans="1:12" x14ac:dyDescent="0.25">
      <c r="A640">
        <v>638</v>
      </c>
      <c r="B640" s="1" t="s">
        <v>4583</v>
      </c>
      <c r="C640" s="1" t="s">
        <v>4584</v>
      </c>
      <c r="D640" s="1" t="s">
        <v>609</v>
      </c>
      <c r="E640" s="1" t="s">
        <v>4585</v>
      </c>
      <c r="F640" s="1" t="s">
        <v>4586</v>
      </c>
      <c r="G640">
        <v>-19547</v>
      </c>
      <c r="H640">
        <v>-2935</v>
      </c>
      <c r="I640" s="1" t="s">
        <v>4587</v>
      </c>
      <c r="J640" s="1" t="s">
        <v>4588</v>
      </c>
      <c r="K640">
        <v>-3979</v>
      </c>
      <c r="L640" s="1" t="s">
        <v>4589</v>
      </c>
    </row>
    <row r="641" spans="1:12" x14ac:dyDescent="0.25">
      <c r="A641">
        <v>639</v>
      </c>
      <c r="B641" s="1" t="s">
        <v>4590</v>
      </c>
      <c r="C641" s="1" t="s">
        <v>4591</v>
      </c>
      <c r="D641" s="1" t="s">
        <v>4592</v>
      </c>
      <c r="E641" s="1" t="s">
        <v>4593</v>
      </c>
      <c r="F641" s="1" t="s">
        <v>4594</v>
      </c>
      <c r="G641">
        <v>-10772</v>
      </c>
      <c r="H641">
        <v>-3022</v>
      </c>
      <c r="I641" s="1" t="s">
        <v>4595</v>
      </c>
      <c r="J641" s="1" t="s">
        <v>3290</v>
      </c>
      <c r="K641">
        <v>-241</v>
      </c>
      <c r="L641" s="1" t="s">
        <v>3291</v>
      </c>
    </row>
    <row r="642" spans="1:12" x14ac:dyDescent="0.25">
      <c r="A642">
        <v>640</v>
      </c>
      <c r="B642" s="1" t="s">
        <v>4596</v>
      </c>
      <c r="C642" s="1" t="s">
        <v>4597</v>
      </c>
      <c r="D642" s="1" t="s">
        <v>927</v>
      </c>
      <c r="E642" s="1" t="s">
        <v>4598</v>
      </c>
      <c r="F642" s="1" t="s">
        <v>4599</v>
      </c>
      <c r="G642">
        <v>-21207</v>
      </c>
      <c r="H642">
        <v>-364</v>
      </c>
      <c r="I642" s="1" t="s">
        <v>4600</v>
      </c>
      <c r="J642" s="1" t="s">
        <v>233</v>
      </c>
      <c r="K642">
        <v>365243</v>
      </c>
      <c r="L642" s="1" t="s">
        <v>738</v>
      </c>
    </row>
    <row r="643" spans="1:12" x14ac:dyDescent="0.25">
      <c r="A643">
        <v>641</v>
      </c>
      <c r="B643" s="1" t="s">
        <v>4601</v>
      </c>
      <c r="C643" s="1" t="s">
        <v>4602</v>
      </c>
      <c r="D643" s="1" t="s">
        <v>361</v>
      </c>
      <c r="E643" s="1" t="s">
        <v>4603</v>
      </c>
      <c r="F643" s="1" t="s">
        <v>4604</v>
      </c>
      <c r="G643">
        <v>-20934</v>
      </c>
      <c r="H643">
        <v>-4341</v>
      </c>
      <c r="I643" s="1" t="s">
        <v>4605</v>
      </c>
      <c r="J643" s="1" t="s">
        <v>4606</v>
      </c>
      <c r="K643">
        <v>-4371</v>
      </c>
      <c r="L643" s="1" t="s">
        <v>4607</v>
      </c>
    </row>
    <row r="644" spans="1:12" x14ac:dyDescent="0.25">
      <c r="A644">
        <v>642</v>
      </c>
      <c r="B644" s="1" t="s">
        <v>4608</v>
      </c>
      <c r="C644" s="1" t="s">
        <v>4609</v>
      </c>
      <c r="D644" s="1" t="s">
        <v>243</v>
      </c>
      <c r="E644" s="1" t="s">
        <v>4610</v>
      </c>
      <c r="F644" s="1" t="s">
        <v>4611</v>
      </c>
      <c r="G644">
        <v>-18776</v>
      </c>
      <c r="H644">
        <v>-2327</v>
      </c>
      <c r="I644" s="1" t="s">
        <v>4612</v>
      </c>
      <c r="J644" s="1" t="s">
        <v>4613</v>
      </c>
      <c r="K644">
        <v>-778</v>
      </c>
      <c r="L644" s="1" t="s">
        <v>4614</v>
      </c>
    </row>
    <row r="645" spans="1:12" x14ac:dyDescent="0.25">
      <c r="A645">
        <v>643</v>
      </c>
      <c r="B645" s="1" t="s">
        <v>4615</v>
      </c>
      <c r="C645" s="1" t="s">
        <v>4616</v>
      </c>
      <c r="D645" s="1" t="s">
        <v>2088</v>
      </c>
      <c r="E645" s="1" t="s">
        <v>4617</v>
      </c>
      <c r="F645" s="1" t="s">
        <v>4618</v>
      </c>
      <c r="G645">
        <v>-11195</v>
      </c>
      <c r="H645">
        <v>-3291</v>
      </c>
      <c r="I645" s="1" t="s">
        <v>4619</v>
      </c>
      <c r="J645" s="1" t="s">
        <v>4620</v>
      </c>
      <c r="K645">
        <v>-491</v>
      </c>
      <c r="L645" s="1" t="s">
        <v>4621</v>
      </c>
    </row>
    <row r="646" spans="1:12" x14ac:dyDescent="0.25">
      <c r="A646">
        <v>644</v>
      </c>
      <c r="B646" s="1" t="s">
        <v>4622</v>
      </c>
      <c r="C646" s="1" t="s">
        <v>4623</v>
      </c>
      <c r="D646" s="1" t="s">
        <v>1707</v>
      </c>
      <c r="E646" s="1" t="s">
        <v>4624</v>
      </c>
      <c r="F646" s="1" t="s">
        <v>4625</v>
      </c>
      <c r="G646">
        <v>-11530</v>
      </c>
      <c r="H646">
        <v>-4000</v>
      </c>
      <c r="I646" s="1" t="s">
        <v>4626</v>
      </c>
      <c r="J646" s="1" t="s">
        <v>4627</v>
      </c>
      <c r="K646">
        <v>-2479</v>
      </c>
      <c r="L646" s="1" t="s">
        <v>748</v>
      </c>
    </row>
    <row r="647" spans="1:12" x14ac:dyDescent="0.25">
      <c r="A647">
        <v>645</v>
      </c>
      <c r="B647" s="1" t="s">
        <v>4628</v>
      </c>
      <c r="C647" s="1" t="s">
        <v>4629</v>
      </c>
      <c r="D647" s="1" t="s">
        <v>1276</v>
      </c>
      <c r="E647" s="1" t="s">
        <v>4630</v>
      </c>
      <c r="F647" s="1" t="s">
        <v>4631</v>
      </c>
      <c r="G647">
        <v>-9612</v>
      </c>
      <c r="H647">
        <v>-2281</v>
      </c>
      <c r="I647" s="1" t="s">
        <v>4632</v>
      </c>
      <c r="J647" s="1" t="s">
        <v>4633</v>
      </c>
      <c r="K647">
        <v>-809</v>
      </c>
      <c r="L647" s="1" t="s">
        <v>4634</v>
      </c>
    </row>
    <row r="648" spans="1:12" x14ac:dyDescent="0.25">
      <c r="A648">
        <v>646</v>
      </c>
      <c r="B648" s="1" t="s">
        <v>4635</v>
      </c>
      <c r="C648" s="1" t="s">
        <v>4636</v>
      </c>
      <c r="D648" s="1" t="s">
        <v>4637</v>
      </c>
      <c r="E648" s="1" t="s">
        <v>4638</v>
      </c>
      <c r="F648" s="1" t="s">
        <v>4639</v>
      </c>
      <c r="G648">
        <v>-19032</v>
      </c>
      <c r="H648">
        <v>-2567</v>
      </c>
      <c r="I648" s="1" t="s">
        <v>1740</v>
      </c>
      <c r="J648" s="1" t="s">
        <v>1741</v>
      </c>
      <c r="K648">
        <v>-3776</v>
      </c>
      <c r="L648" s="1" t="s">
        <v>1742</v>
      </c>
    </row>
    <row r="649" spans="1:12" x14ac:dyDescent="0.25">
      <c r="A649">
        <v>647</v>
      </c>
      <c r="B649" s="1" t="s">
        <v>4640</v>
      </c>
      <c r="C649" s="1" t="s">
        <v>4641</v>
      </c>
      <c r="D649" s="1" t="s">
        <v>1671</v>
      </c>
      <c r="E649" s="1" t="s">
        <v>4642</v>
      </c>
      <c r="F649" s="1" t="s">
        <v>4643</v>
      </c>
      <c r="G649">
        <v>-10351</v>
      </c>
      <c r="H649">
        <v>-2981</v>
      </c>
      <c r="I649" s="1" t="s">
        <v>4644</v>
      </c>
      <c r="J649" s="1" t="s">
        <v>4645</v>
      </c>
      <c r="K649">
        <v>-1152</v>
      </c>
      <c r="L649" s="1" t="s">
        <v>4646</v>
      </c>
    </row>
    <row r="650" spans="1:12" x14ac:dyDescent="0.25">
      <c r="A650">
        <v>648</v>
      </c>
      <c r="B650" s="1" t="s">
        <v>4647</v>
      </c>
      <c r="C650" s="1" t="s">
        <v>4648</v>
      </c>
      <c r="D650" s="1" t="s">
        <v>3105</v>
      </c>
      <c r="E650" s="1" t="s">
        <v>4649</v>
      </c>
      <c r="F650" s="1" t="s">
        <v>4650</v>
      </c>
      <c r="G650">
        <v>-16378</v>
      </c>
      <c r="H650">
        <v>-5423</v>
      </c>
      <c r="I650" s="1" t="s">
        <v>4651</v>
      </c>
      <c r="J650" s="1" t="s">
        <v>4652</v>
      </c>
      <c r="K650">
        <v>-379</v>
      </c>
      <c r="L650" s="1" t="s">
        <v>1456</v>
      </c>
    </row>
    <row r="651" spans="1:12" x14ac:dyDescent="0.25">
      <c r="A651">
        <v>649</v>
      </c>
      <c r="B651" s="1" t="s">
        <v>4653</v>
      </c>
      <c r="C651" s="1" t="s">
        <v>3428</v>
      </c>
      <c r="D651" s="1" t="s">
        <v>54</v>
      </c>
      <c r="E651" s="1" t="s">
        <v>251</v>
      </c>
      <c r="F651" s="1" t="s">
        <v>4654</v>
      </c>
      <c r="G651">
        <v>-19381</v>
      </c>
      <c r="H651">
        <v>-2579</v>
      </c>
      <c r="I651" s="1" t="s">
        <v>4655</v>
      </c>
      <c r="J651" s="1" t="s">
        <v>4656</v>
      </c>
      <c r="K651">
        <v>-119</v>
      </c>
      <c r="L651" s="1" t="s">
        <v>4657</v>
      </c>
    </row>
    <row r="652" spans="1:12" x14ac:dyDescent="0.25">
      <c r="A652">
        <v>650</v>
      </c>
      <c r="B652" s="1" t="s">
        <v>4658</v>
      </c>
      <c r="C652" s="1" t="s">
        <v>4659</v>
      </c>
      <c r="D652" s="1" t="s">
        <v>4660</v>
      </c>
      <c r="E652" s="1" t="s">
        <v>4661</v>
      </c>
      <c r="F652" s="1" t="s">
        <v>4662</v>
      </c>
      <c r="G652">
        <v>-12651</v>
      </c>
      <c r="H652">
        <v>-5085</v>
      </c>
      <c r="I652" s="1" t="s">
        <v>4663</v>
      </c>
      <c r="J652" s="1" t="s">
        <v>4664</v>
      </c>
      <c r="K652">
        <v>-4827</v>
      </c>
      <c r="L652" s="1" t="s">
        <v>4665</v>
      </c>
    </row>
    <row r="653" spans="1:12" x14ac:dyDescent="0.25">
      <c r="A653">
        <v>651</v>
      </c>
      <c r="B653" s="1" t="s">
        <v>4666</v>
      </c>
      <c r="C653" s="1" t="s">
        <v>4667</v>
      </c>
      <c r="D653" s="1" t="s">
        <v>2044</v>
      </c>
      <c r="E653" s="1" t="s">
        <v>4668</v>
      </c>
      <c r="F653" s="1" t="s">
        <v>4669</v>
      </c>
      <c r="G653">
        <v>-19499</v>
      </c>
      <c r="H653">
        <v>-3053</v>
      </c>
      <c r="I653" s="1" t="s">
        <v>4670</v>
      </c>
      <c r="J653" s="1" t="s">
        <v>2472</v>
      </c>
      <c r="K653">
        <v>-209</v>
      </c>
      <c r="L653" s="1" t="s">
        <v>4671</v>
      </c>
    </row>
    <row r="654" spans="1:12" x14ac:dyDescent="0.25">
      <c r="A654">
        <v>652</v>
      </c>
      <c r="B654" s="1" t="s">
        <v>4672</v>
      </c>
      <c r="C654" s="1" t="s">
        <v>4673</v>
      </c>
      <c r="D654" s="1" t="s">
        <v>4674</v>
      </c>
      <c r="E654" s="1" t="s">
        <v>4675</v>
      </c>
      <c r="F654" s="1" t="s">
        <v>4676</v>
      </c>
      <c r="G654">
        <v>-14811</v>
      </c>
      <c r="H654">
        <v>-153</v>
      </c>
      <c r="I654" s="1" t="s">
        <v>4677</v>
      </c>
      <c r="J654" s="1" t="s">
        <v>184</v>
      </c>
      <c r="K654">
        <v>-904</v>
      </c>
      <c r="L654" s="1" t="s">
        <v>731</v>
      </c>
    </row>
    <row r="655" spans="1:12" x14ac:dyDescent="0.25">
      <c r="A655">
        <v>653</v>
      </c>
      <c r="B655" s="1" t="s">
        <v>4678</v>
      </c>
      <c r="C655" s="1" t="s">
        <v>4679</v>
      </c>
      <c r="D655" s="1" t="s">
        <v>2649</v>
      </c>
      <c r="E655" s="1" t="s">
        <v>4680</v>
      </c>
      <c r="F655" s="1" t="s">
        <v>4681</v>
      </c>
      <c r="G655">
        <v>-23145</v>
      </c>
      <c r="H655">
        <v>-3632</v>
      </c>
      <c r="I655" s="1" t="s">
        <v>4682</v>
      </c>
      <c r="J655" s="1" t="s">
        <v>552</v>
      </c>
      <c r="K655">
        <v>365243</v>
      </c>
      <c r="L655" s="1" t="s">
        <v>4683</v>
      </c>
    </row>
    <row r="656" spans="1:12" x14ac:dyDescent="0.25">
      <c r="A656">
        <v>654</v>
      </c>
      <c r="B656" s="1" t="s">
        <v>4684</v>
      </c>
      <c r="C656" s="1" t="s">
        <v>4685</v>
      </c>
      <c r="D656" s="1" t="s">
        <v>54</v>
      </c>
      <c r="E656" s="1" t="s">
        <v>4686</v>
      </c>
      <c r="F656" s="1" t="s">
        <v>4687</v>
      </c>
      <c r="G656">
        <v>-21599</v>
      </c>
      <c r="H656">
        <v>-4771</v>
      </c>
      <c r="I656" s="1" t="s">
        <v>4688</v>
      </c>
      <c r="J656" s="1" t="s">
        <v>4689</v>
      </c>
      <c r="K656">
        <v>365243</v>
      </c>
      <c r="L656" s="1" t="s">
        <v>4690</v>
      </c>
    </row>
    <row r="657" spans="1:12" x14ac:dyDescent="0.25">
      <c r="A657">
        <v>655</v>
      </c>
      <c r="B657" s="1" t="s">
        <v>4691</v>
      </c>
      <c r="C657" s="1" t="s">
        <v>4692</v>
      </c>
      <c r="D657" s="1" t="s">
        <v>4693</v>
      </c>
      <c r="E657" s="1" t="s">
        <v>4694</v>
      </c>
      <c r="F657" s="1" t="s">
        <v>4695</v>
      </c>
      <c r="G657">
        <v>-14455</v>
      </c>
      <c r="H657">
        <v>-4441</v>
      </c>
      <c r="I657" s="1" t="s">
        <v>4696</v>
      </c>
      <c r="J657" s="1" t="s">
        <v>4697</v>
      </c>
      <c r="K657">
        <v>-2064</v>
      </c>
      <c r="L657" s="1" t="s">
        <v>4698</v>
      </c>
    </row>
    <row r="658" spans="1:12" x14ac:dyDescent="0.25">
      <c r="A658">
        <v>656</v>
      </c>
      <c r="B658" s="1" t="s">
        <v>4699</v>
      </c>
      <c r="C658" s="1" t="s">
        <v>4700</v>
      </c>
      <c r="D658" s="1" t="s">
        <v>4701</v>
      </c>
      <c r="E658" s="1" t="s">
        <v>4702</v>
      </c>
      <c r="F658" s="1" t="s">
        <v>4703</v>
      </c>
      <c r="G658">
        <v>-22396</v>
      </c>
      <c r="H658">
        <v>-4048</v>
      </c>
      <c r="I658" s="1" t="s">
        <v>4704</v>
      </c>
      <c r="J658" s="1" t="s">
        <v>4705</v>
      </c>
      <c r="K658">
        <v>365243</v>
      </c>
      <c r="L658" s="1" t="s">
        <v>4706</v>
      </c>
    </row>
    <row r="659" spans="1:12" x14ac:dyDescent="0.25">
      <c r="A659">
        <v>657</v>
      </c>
      <c r="B659" s="1" t="s">
        <v>4707</v>
      </c>
      <c r="C659" s="1" t="s">
        <v>4708</v>
      </c>
      <c r="D659" s="1" t="s">
        <v>152</v>
      </c>
      <c r="E659" s="1" t="s">
        <v>4709</v>
      </c>
      <c r="F659" s="1" t="s">
        <v>4710</v>
      </c>
      <c r="G659">
        <v>-14314</v>
      </c>
      <c r="H659">
        <v>-4012</v>
      </c>
      <c r="I659" s="1" t="s">
        <v>4711</v>
      </c>
      <c r="J659" s="1" t="s">
        <v>3418</v>
      </c>
      <c r="K659">
        <v>-3751</v>
      </c>
      <c r="L659" s="1" t="s">
        <v>3419</v>
      </c>
    </row>
    <row r="660" spans="1:12" x14ac:dyDescent="0.25">
      <c r="A660">
        <v>658</v>
      </c>
      <c r="B660" s="1" t="s">
        <v>4712</v>
      </c>
      <c r="C660" s="1" t="s">
        <v>4713</v>
      </c>
      <c r="D660" s="1" t="s">
        <v>488</v>
      </c>
      <c r="E660" s="1" t="s">
        <v>4714</v>
      </c>
      <c r="F660" s="1" t="s">
        <v>4715</v>
      </c>
      <c r="G660">
        <v>-19755</v>
      </c>
      <c r="H660">
        <v>-3299</v>
      </c>
      <c r="I660" s="1" t="s">
        <v>618</v>
      </c>
      <c r="J660" s="1" t="s">
        <v>4716</v>
      </c>
      <c r="K660">
        <v>-4147</v>
      </c>
      <c r="L660" s="1" t="s">
        <v>794</v>
      </c>
    </row>
    <row r="661" spans="1:12" x14ac:dyDescent="0.25">
      <c r="A661">
        <v>659</v>
      </c>
      <c r="B661" s="1" t="s">
        <v>4717</v>
      </c>
      <c r="C661" s="1" t="s">
        <v>4718</v>
      </c>
      <c r="D661" s="1" t="s">
        <v>1223</v>
      </c>
      <c r="E661" s="1" t="s">
        <v>4719</v>
      </c>
      <c r="F661" s="1" t="s">
        <v>4720</v>
      </c>
      <c r="G661">
        <v>-17145</v>
      </c>
      <c r="H661">
        <v>-675</v>
      </c>
      <c r="I661" s="1" t="s">
        <v>4721</v>
      </c>
      <c r="J661" s="1" t="s">
        <v>4722</v>
      </c>
      <c r="K661">
        <v>-3225</v>
      </c>
      <c r="L661" s="1" t="s">
        <v>4723</v>
      </c>
    </row>
    <row r="662" spans="1:12" x14ac:dyDescent="0.25">
      <c r="A662">
        <v>660</v>
      </c>
      <c r="B662" s="1" t="s">
        <v>4724</v>
      </c>
      <c r="C662" s="1" t="s">
        <v>4725</v>
      </c>
      <c r="D662" s="1" t="s">
        <v>2656</v>
      </c>
      <c r="E662" s="1" t="s">
        <v>4726</v>
      </c>
      <c r="F662" s="1" t="s">
        <v>4727</v>
      </c>
      <c r="G662">
        <v>-9765</v>
      </c>
      <c r="H662">
        <v>-1901</v>
      </c>
      <c r="I662" s="1" t="s">
        <v>4728</v>
      </c>
      <c r="J662" s="1" t="s">
        <v>4729</v>
      </c>
      <c r="K662">
        <v>-1791</v>
      </c>
      <c r="L662" s="1" t="s">
        <v>4730</v>
      </c>
    </row>
    <row r="663" spans="1:12" x14ac:dyDescent="0.25">
      <c r="A663">
        <v>661</v>
      </c>
      <c r="B663" s="1" t="s">
        <v>4731</v>
      </c>
      <c r="C663" s="1" t="s">
        <v>4732</v>
      </c>
      <c r="D663" s="1" t="s">
        <v>1722</v>
      </c>
      <c r="E663" s="1" t="s">
        <v>4733</v>
      </c>
      <c r="F663" s="1" t="s">
        <v>3547</v>
      </c>
      <c r="G663">
        <v>-17950</v>
      </c>
      <c r="H663">
        <v>-1494</v>
      </c>
      <c r="I663" s="1" t="s">
        <v>4734</v>
      </c>
      <c r="J663" s="1" t="s">
        <v>198</v>
      </c>
      <c r="K663">
        <v>-7433</v>
      </c>
      <c r="L663" s="1" t="s">
        <v>2840</v>
      </c>
    </row>
    <row r="664" spans="1:12" x14ac:dyDescent="0.25">
      <c r="A664">
        <v>662</v>
      </c>
      <c r="B664" s="1" t="s">
        <v>4735</v>
      </c>
      <c r="C664" s="1" t="s">
        <v>4736</v>
      </c>
      <c r="D664" s="1" t="s">
        <v>2871</v>
      </c>
      <c r="E664" s="1" t="s">
        <v>4737</v>
      </c>
      <c r="F664" s="1" t="s">
        <v>4738</v>
      </c>
      <c r="G664">
        <v>-16024</v>
      </c>
      <c r="H664">
        <v>-4274</v>
      </c>
      <c r="I664" s="1" t="s">
        <v>4739</v>
      </c>
      <c r="J664" s="1" t="s">
        <v>198</v>
      </c>
      <c r="K664">
        <v>-5001</v>
      </c>
      <c r="L664" s="1" t="s">
        <v>733</v>
      </c>
    </row>
    <row r="665" spans="1:12" x14ac:dyDescent="0.25">
      <c r="A665">
        <v>663</v>
      </c>
      <c r="B665" s="1" t="s">
        <v>4740</v>
      </c>
      <c r="C665" s="1" t="s">
        <v>4741</v>
      </c>
      <c r="D665" s="1" t="s">
        <v>375</v>
      </c>
      <c r="E665" s="1" t="s">
        <v>4742</v>
      </c>
      <c r="F665" s="1" t="s">
        <v>4743</v>
      </c>
      <c r="G665">
        <v>-16603</v>
      </c>
      <c r="H665">
        <v>-145</v>
      </c>
      <c r="I665" s="1" t="s">
        <v>4744</v>
      </c>
      <c r="J665" s="1" t="s">
        <v>4745</v>
      </c>
      <c r="K665">
        <v>-644</v>
      </c>
      <c r="L665" s="1" t="s">
        <v>4746</v>
      </c>
    </row>
    <row r="666" spans="1:12" x14ac:dyDescent="0.25">
      <c r="A666">
        <v>664</v>
      </c>
      <c r="B666" s="1" t="s">
        <v>4747</v>
      </c>
      <c r="C666" s="1" t="s">
        <v>4748</v>
      </c>
      <c r="D666" s="1" t="s">
        <v>1961</v>
      </c>
      <c r="E666" s="1" t="s">
        <v>4749</v>
      </c>
      <c r="F666" s="1" t="s">
        <v>4750</v>
      </c>
      <c r="G666">
        <v>-13573</v>
      </c>
      <c r="H666">
        <v>-4786</v>
      </c>
      <c r="I666" s="1" t="s">
        <v>4751</v>
      </c>
      <c r="J666" s="1" t="s">
        <v>4752</v>
      </c>
      <c r="K666">
        <v>-1796</v>
      </c>
      <c r="L666" s="1" t="s">
        <v>4753</v>
      </c>
    </row>
    <row r="667" spans="1:12" x14ac:dyDescent="0.25">
      <c r="A667">
        <v>665</v>
      </c>
      <c r="B667" s="1" t="s">
        <v>4754</v>
      </c>
      <c r="C667" s="1" t="s">
        <v>4755</v>
      </c>
      <c r="D667" s="1" t="s">
        <v>1170</v>
      </c>
      <c r="E667" s="1" t="s">
        <v>4756</v>
      </c>
      <c r="F667" s="1" t="s">
        <v>4757</v>
      </c>
      <c r="G667">
        <v>-12404</v>
      </c>
      <c r="H667">
        <v>-2458</v>
      </c>
      <c r="I667" s="1" t="s">
        <v>4758</v>
      </c>
      <c r="J667" s="1" t="s">
        <v>4759</v>
      </c>
      <c r="K667">
        <v>-2636</v>
      </c>
      <c r="L667" s="1" t="s">
        <v>4760</v>
      </c>
    </row>
    <row r="668" spans="1:12" x14ac:dyDescent="0.25">
      <c r="A668">
        <v>666</v>
      </c>
      <c r="B668" s="1" t="s">
        <v>4761</v>
      </c>
      <c r="C668" s="1" t="s">
        <v>4762</v>
      </c>
      <c r="D668" s="1" t="s">
        <v>582</v>
      </c>
      <c r="E668" s="1" t="s">
        <v>4763</v>
      </c>
      <c r="F668" s="1" t="s">
        <v>4764</v>
      </c>
      <c r="G668">
        <v>-20448</v>
      </c>
      <c r="H668">
        <v>-4000</v>
      </c>
      <c r="I668" s="1" t="s">
        <v>4765</v>
      </c>
      <c r="J668" s="1" t="s">
        <v>4766</v>
      </c>
      <c r="K668">
        <v>-3212</v>
      </c>
      <c r="L668" s="1" t="s">
        <v>4767</v>
      </c>
    </row>
    <row r="669" spans="1:12" x14ac:dyDescent="0.25">
      <c r="A669">
        <v>667</v>
      </c>
      <c r="B669" s="1" t="s">
        <v>4768</v>
      </c>
      <c r="C669" s="1" t="s">
        <v>4769</v>
      </c>
      <c r="D669" s="1" t="s">
        <v>4770</v>
      </c>
      <c r="E669" s="1" t="s">
        <v>4771</v>
      </c>
      <c r="F669" s="1" t="s">
        <v>4772</v>
      </c>
      <c r="G669">
        <v>-15827</v>
      </c>
      <c r="H669">
        <v>-1480</v>
      </c>
      <c r="I669" s="1" t="s">
        <v>4773</v>
      </c>
      <c r="J669" s="1" t="s">
        <v>4774</v>
      </c>
      <c r="K669">
        <v>-1998</v>
      </c>
      <c r="L669" s="1" t="s">
        <v>4775</v>
      </c>
    </row>
    <row r="670" spans="1:12" x14ac:dyDescent="0.25">
      <c r="A670">
        <v>668</v>
      </c>
      <c r="B670" s="1" t="s">
        <v>4776</v>
      </c>
      <c r="C670" s="1" t="s">
        <v>4777</v>
      </c>
      <c r="D670" s="1" t="s">
        <v>1498</v>
      </c>
      <c r="E670" s="1" t="s">
        <v>3756</v>
      </c>
      <c r="F670" s="1" t="s">
        <v>4778</v>
      </c>
      <c r="G670">
        <v>-20862</v>
      </c>
      <c r="H670">
        <v>-4387</v>
      </c>
      <c r="I670" s="1" t="s">
        <v>4779</v>
      </c>
      <c r="J670" s="1" t="s">
        <v>4780</v>
      </c>
      <c r="K670">
        <v>-1061</v>
      </c>
      <c r="L670" s="1" t="s">
        <v>4781</v>
      </c>
    </row>
    <row r="671" spans="1:12" x14ac:dyDescent="0.25">
      <c r="A671">
        <v>669</v>
      </c>
      <c r="B671" s="1" t="s">
        <v>4782</v>
      </c>
      <c r="C671" s="1" t="s">
        <v>4783</v>
      </c>
      <c r="D671" s="1" t="s">
        <v>428</v>
      </c>
      <c r="E671" s="1" t="s">
        <v>4784</v>
      </c>
      <c r="F671" s="1" t="s">
        <v>4785</v>
      </c>
      <c r="G671">
        <v>-18449</v>
      </c>
      <c r="H671">
        <v>-1994</v>
      </c>
      <c r="I671" s="1" t="s">
        <v>1441</v>
      </c>
      <c r="J671" s="1" t="s">
        <v>198</v>
      </c>
      <c r="K671">
        <v>365243</v>
      </c>
      <c r="L671" s="1" t="s">
        <v>977</v>
      </c>
    </row>
    <row r="672" spans="1:12" x14ac:dyDescent="0.25">
      <c r="A672">
        <v>670</v>
      </c>
      <c r="B672" s="1" t="s">
        <v>4786</v>
      </c>
      <c r="C672" s="1" t="s">
        <v>4787</v>
      </c>
      <c r="D672" s="1" t="s">
        <v>3606</v>
      </c>
      <c r="E672" s="1" t="s">
        <v>4788</v>
      </c>
      <c r="F672" s="1" t="s">
        <v>4789</v>
      </c>
      <c r="G672">
        <v>-17545</v>
      </c>
      <c r="H672">
        <v>-1081</v>
      </c>
      <c r="I672" s="1" t="s">
        <v>4790</v>
      </c>
      <c r="J672" s="1" t="s">
        <v>701</v>
      </c>
      <c r="K672">
        <v>-1079</v>
      </c>
      <c r="L672" s="1" t="s">
        <v>806</v>
      </c>
    </row>
    <row r="673" spans="1:12" x14ac:dyDescent="0.25">
      <c r="A673">
        <v>671</v>
      </c>
      <c r="B673" s="1" t="s">
        <v>4791</v>
      </c>
      <c r="C673" s="1" t="s">
        <v>4792</v>
      </c>
      <c r="D673" s="1" t="s">
        <v>2837</v>
      </c>
      <c r="E673" s="1" t="s">
        <v>4793</v>
      </c>
      <c r="F673" s="1" t="s">
        <v>4794</v>
      </c>
      <c r="G673">
        <v>-15977</v>
      </c>
      <c r="H673">
        <v>-4628</v>
      </c>
      <c r="I673" s="1" t="s">
        <v>4795</v>
      </c>
      <c r="J673" s="1" t="s">
        <v>4796</v>
      </c>
      <c r="K673">
        <v>-2419</v>
      </c>
      <c r="L673" s="1" t="s">
        <v>4797</v>
      </c>
    </row>
    <row r="674" spans="1:12" x14ac:dyDescent="0.25">
      <c r="A674">
        <v>672</v>
      </c>
      <c r="B674" s="1" t="s">
        <v>4798</v>
      </c>
      <c r="C674" s="1" t="s">
        <v>4799</v>
      </c>
      <c r="D674" s="1" t="s">
        <v>1983</v>
      </c>
      <c r="E674" s="1" t="s">
        <v>4800</v>
      </c>
      <c r="F674" s="1" t="s">
        <v>4801</v>
      </c>
      <c r="G674">
        <v>-21062</v>
      </c>
      <c r="H674">
        <v>-998</v>
      </c>
      <c r="I674" s="1" t="s">
        <v>4802</v>
      </c>
      <c r="J674" s="1" t="s">
        <v>4803</v>
      </c>
      <c r="K674">
        <v>-1598</v>
      </c>
      <c r="L674" s="1" t="s">
        <v>4804</v>
      </c>
    </row>
    <row r="675" spans="1:12" x14ac:dyDescent="0.25">
      <c r="A675">
        <v>673</v>
      </c>
      <c r="B675" s="1" t="s">
        <v>4805</v>
      </c>
      <c r="C675" s="1" t="s">
        <v>4806</v>
      </c>
      <c r="D675" s="1" t="s">
        <v>4674</v>
      </c>
      <c r="E675" s="1" t="s">
        <v>4807</v>
      </c>
      <c r="F675" s="1" t="s">
        <v>4808</v>
      </c>
      <c r="G675">
        <v>-13034</v>
      </c>
      <c r="H675">
        <v>-4611</v>
      </c>
      <c r="I675" s="1" t="s">
        <v>4809</v>
      </c>
      <c r="J675" s="1" t="s">
        <v>1022</v>
      </c>
      <c r="K675">
        <v>-5643</v>
      </c>
      <c r="L675" s="1" t="s">
        <v>1023</v>
      </c>
    </row>
    <row r="676" spans="1:12" x14ac:dyDescent="0.25">
      <c r="A676">
        <v>674</v>
      </c>
      <c r="B676" s="1" t="s">
        <v>4810</v>
      </c>
      <c r="C676" s="1" t="s">
        <v>4811</v>
      </c>
      <c r="D676" s="1" t="s">
        <v>501</v>
      </c>
      <c r="E676" s="1" t="s">
        <v>4812</v>
      </c>
      <c r="F676" s="1" t="s">
        <v>4813</v>
      </c>
      <c r="G676">
        <v>-18606</v>
      </c>
      <c r="H676">
        <v>-2159</v>
      </c>
      <c r="I676" s="1" t="s">
        <v>4814</v>
      </c>
      <c r="J676" s="1" t="s">
        <v>4815</v>
      </c>
      <c r="K676">
        <v>-11683</v>
      </c>
      <c r="L676" s="1" t="s">
        <v>4816</v>
      </c>
    </row>
    <row r="677" spans="1:12" x14ac:dyDescent="0.25">
      <c r="A677">
        <v>675</v>
      </c>
      <c r="B677" s="1" t="s">
        <v>4817</v>
      </c>
      <c r="C677" s="1" t="s">
        <v>4818</v>
      </c>
      <c r="D677" s="1" t="s">
        <v>474</v>
      </c>
      <c r="E677" s="1" t="s">
        <v>4819</v>
      </c>
      <c r="F677" s="1" t="s">
        <v>4820</v>
      </c>
      <c r="G677">
        <v>-13631</v>
      </c>
      <c r="H677">
        <v>-4978</v>
      </c>
      <c r="I677" s="1" t="s">
        <v>4821</v>
      </c>
      <c r="J677" s="1" t="s">
        <v>4822</v>
      </c>
      <c r="K677">
        <v>-1585</v>
      </c>
      <c r="L677" s="1" t="s">
        <v>4823</v>
      </c>
    </row>
    <row r="678" spans="1:12" x14ac:dyDescent="0.25">
      <c r="A678">
        <v>676</v>
      </c>
      <c r="B678" s="1" t="s">
        <v>4824</v>
      </c>
      <c r="C678" s="1" t="s">
        <v>4825</v>
      </c>
      <c r="D678" s="1" t="s">
        <v>4826</v>
      </c>
      <c r="E678" s="1" t="s">
        <v>4827</v>
      </c>
      <c r="F678" s="1" t="s">
        <v>4828</v>
      </c>
      <c r="G678">
        <v>-24778</v>
      </c>
      <c r="H678">
        <v>-2420</v>
      </c>
      <c r="I678" s="1" t="s">
        <v>4829</v>
      </c>
      <c r="J678" s="1" t="s">
        <v>3903</v>
      </c>
      <c r="K678">
        <v>365243</v>
      </c>
      <c r="L678" s="1" t="s">
        <v>4830</v>
      </c>
    </row>
    <row r="679" spans="1:12" x14ac:dyDescent="0.25">
      <c r="A679">
        <v>677</v>
      </c>
      <c r="B679" s="1" t="s">
        <v>4831</v>
      </c>
      <c r="C679" s="1" t="s">
        <v>4832</v>
      </c>
      <c r="D679" s="1" t="s">
        <v>2810</v>
      </c>
      <c r="E679" s="1" t="s">
        <v>4833</v>
      </c>
      <c r="F679" s="1" t="s">
        <v>4834</v>
      </c>
      <c r="G679">
        <v>-23494</v>
      </c>
      <c r="H679">
        <v>-1983</v>
      </c>
      <c r="I679" s="1" t="s">
        <v>4835</v>
      </c>
      <c r="J679" s="1" t="s">
        <v>198</v>
      </c>
      <c r="K679">
        <v>365243</v>
      </c>
      <c r="L679" s="1" t="s">
        <v>4836</v>
      </c>
    </row>
    <row r="680" spans="1:12" x14ac:dyDescent="0.25">
      <c r="A680">
        <v>678</v>
      </c>
      <c r="B680" s="1" t="s">
        <v>4837</v>
      </c>
      <c r="C680" s="1" t="s">
        <v>4838</v>
      </c>
      <c r="D680" s="1" t="s">
        <v>4839</v>
      </c>
      <c r="E680" s="1" t="s">
        <v>4840</v>
      </c>
      <c r="F680" s="1" t="s">
        <v>1379</v>
      </c>
      <c r="G680">
        <v>-11686</v>
      </c>
      <c r="H680">
        <v>-3036</v>
      </c>
      <c r="I680" s="1" t="s">
        <v>4841</v>
      </c>
      <c r="J680" s="1" t="s">
        <v>1689</v>
      </c>
      <c r="K680">
        <v>-1000</v>
      </c>
      <c r="L680" s="1" t="s">
        <v>1690</v>
      </c>
    </row>
    <row r="681" spans="1:12" x14ac:dyDescent="0.25">
      <c r="A681">
        <v>679</v>
      </c>
      <c r="B681" s="1" t="s">
        <v>4842</v>
      </c>
      <c r="C681" s="1" t="s">
        <v>4843</v>
      </c>
      <c r="D681" s="1" t="s">
        <v>3742</v>
      </c>
      <c r="E681" s="1" t="s">
        <v>4844</v>
      </c>
      <c r="F681" s="1" t="s">
        <v>4845</v>
      </c>
      <c r="G681">
        <v>-12767</v>
      </c>
      <c r="H681">
        <v>-4271</v>
      </c>
      <c r="I681" s="1" t="s">
        <v>4846</v>
      </c>
      <c r="J681" s="1" t="s">
        <v>4847</v>
      </c>
      <c r="K681">
        <v>-848</v>
      </c>
      <c r="L681" s="1" t="s">
        <v>4848</v>
      </c>
    </row>
    <row r="682" spans="1:12" x14ac:dyDescent="0.25">
      <c r="A682">
        <v>680</v>
      </c>
      <c r="B682" s="1" t="s">
        <v>4849</v>
      </c>
      <c r="C682" s="1" t="s">
        <v>4850</v>
      </c>
      <c r="D682" s="1" t="s">
        <v>2722</v>
      </c>
      <c r="E682" s="1" t="s">
        <v>290</v>
      </c>
      <c r="F682" s="1" t="s">
        <v>4851</v>
      </c>
      <c r="G682">
        <v>-17630</v>
      </c>
      <c r="H682">
        <v>-1173</v>
      </c>
      <c r="I682" s="1" t="s">
        <v>4852</v>
      </c>
      <c r="J682" s="1" t="s">
        <v>4853</v>
      </c>
      <c r="K682">
        <v>-1580</v>
      </c>
      <c r="L682" s="1" t="s">
        <v>4854</v>
      </c>
    </row>
    <row r="683" spans="1:12" x14ac:dyDescent="0.25">
      <c r="A683">
        <v>681</v>
      </c>
      <c r="B683" s="1" t="s">
        <v>4855</v>
      </c>
      <c r="C683" s="1" t="s">
        <v>4856</v>
      </c>
      <c r="D683" s="1" t="s">
        <v>3742</v>
      </c>
      <c r="E683" s="1" t="s">
        <v>4857</v>
      </c>
      <c r="F683" s="1" t="s">
        <v>4858</v>
      </c>
      <c r="G683">
        <v>-8656</v>
      </c>
      <c r="H683">
        <v>-1327</v>
      </c>
      <c r="I683" s="1" t="s">
        <v>4859</v>
      </c>
      <c r="J683" s="1" t="s">
        <v>4860</v>
      </c>
      <c r="K683">
        <v>-612</v>
      </c>
      <c r="L683" s="1" t="s">
        <v>4861</v>
      </c>
    </row>
    <row r="684" spans="1:12" x14ac:dyDescent="0.25">
      <c r="A684">
        <v>682</v>
      </c>
      <c r="B684" s="1" t="s">
        <v>4862</v>
      </c>
      <c r="C684" s="1" t="s">
        <v>4863</v>
      </c>
      <c r="D684" s="1" t="s">
        <v>4864</v>
      </c>
      <c r="E684" s="1" t="s">
        <v>4865</v>
      </c>
      <c r="F684" s="1" t="s">
        <v>4866</v>
      </c>
      <c r="G684">
        <v>-13426</v>
      </c>
      <c r="H684">
        <v>-4151</v>
      </c>
      <c r="I684" s="1" t="s">
        <v>4867</v>
      </c>
      <c r="J684" s="1" t="s">
        <v>893</v>
      </c>
      <c r="K684">
        <v>-2540</v>
      </c>
      <c r="L684" s="1" t="s">
        <v>894</v>
      </c>
    </row>
    <row r="685" spans="1:12" x14ac:dyDescent="0.25">
      <c r="A685">
        <v>683</v>
      </c>
      <c r="B685" s="1" t="s">
        <v>4868</v>
      </c>
      <c r="C685" s="1" t="s">
        <v>4869</v>
      </c>
      <c r="D685" s="1" t="s">
        <v>548</v>
      </c>
      <c r="E685" s="1" t="s">
        <v>4870</v>
      </c>
      <c r="F685" s="1" t="s">
        <v>3423</v>
      </c>
      <c r="G685">
        <v>-10296</v>
      </c>
      <c r="H685">
        <v>-2943</v>
      </c>
      <c r="I685" s="1" t="s">
        <v>1189</v>
      </c>
      <c r="J685" s="1" t="s">
        <v>198</v>
      </c>
      <c r="K685">
        <v>-2599</v>
      </c>
      <c r="L685" s="1" t="s">
        <v>1495</v>
      </c>
    </row>
    <row r="686" spans="1:12" x14ac:dyDescent="0.25">
      <c r="A686">
        <v>684</v>
      </c>
      <c r="B686" s="1" t="s">
        <v>4871</v>
      </c>
      <c r="C686" s="1" t="s">
        <v>4872</v>
      </c>
      <c r="D686" s="1" t="s">
        <v>488</v>
      </c>
      <c r="E686" s="1" t="s">
        <v>4873</v>
      </c>
      <c r="F686" s="1" t="s">
        <v>4874</v>
      </c>
      <c r="G686">
        <v>-16431</v>
      </c>
      <c r="H686">
        <v>-4435</v>
      </c>
      <c r="I686" s="1" t="s">
        <v>4875</v>
      </c>
      <c r="J686" s="1" t="s">
        <v>4876</v>
      </c>
      <c r="K686">
        <v>-3721</v>
      </c>
      <c r="L686" s="1" t="s">
        <v>4877</v>
      </c>
    </row>
    <row r="687" spans="1:12" x14ac:dyDescent="0.25">
      <c r="A687">
        <v>685</v>
      </c>
      <c r="B687" s="1" t="s">
        <v>4878</v>
      </c>
      <c r="C687" s="1" t="s">
        <v>4879</v>
      </c>
      <c r="D687" s="1" t="s">
        <v>1761</v>
      </c>
      <c r="E687" s="1" t="s">
        <v>4880</v>
      </c>
      <c r="F687" s="1" t="s">
        <v>4881</v>
      </c>
      <c r="G687">
        <v>-16676</v>
      </c>
      <c r="H687">
        <v>-227</v>
      </c>
      <c r="I687" s="1" t="s">
        <v>4882</v>
      </c>
      <c r="J687" s="1" t="s">
        <v>4883</v>
      </c>
      <c r="K687">
        <v>365243</v>
      </c>
      <c r="L687" s="1" t="s">
        <v>4884</v>
      </c>
    </row>
    <row r="688" spans="1:12" x14ac:dyDescent="0.25">
      <c r="A688">
        <v>686</v>
      </c>
      <c r="B688" s="1" t="s">
        <v>4885</v>
      </c>
      <c r="C688" s="1" t="s">
        <v>4886</v>
      </c>
      <c r="D688" s="1" t="s">
        <v>649</v>
      </c>
      <c r="E688" s="1" t="s">
        <v>4887</v>
      </c>
      <c r="F688" s="1" t="s">
        <v>4888</v>
      </c>
      <c r="G688">
        <v>-19586</v>
      </c>
      <c r="H688">
        <v>-3121</v>
      </c>
      <c r="I688" s="1" t="s">
        <v>4889</v>
      </c>
      <c r="J688" s="1" t="s">
        <v>4890</v>
      </c>
      <c r="K688">
        <v>-4542</v>
      </c>
      <c r="L688" s="1" t="s">
        <v>4891</v>
      </c>
    </row>
    <row r="689" spans="1:12" x14ac:dyDescent="0.25">
      <c r="A689">
        <v>687</v>
      </c>
      <c r="B689" s="1" t="s">
        <v>4892</v>
      </c>
      <c r="C689" s="1" t="s">
        <v>4893</v>
      </c>
      <c r="D689" s="1" t="s">
        <v>2140</v>
      </c>
      <c r="E689" s="1" t="s">
        <v>4894</v>
      </c>
      <c r="F689" s="1" t="s">
        <v>4895</v>
      </c>
      <c r="G689">
        <v>-21737</v>
      </c>
      <c r="H689">
        <v>-4949</v>
      </c>
      <c r="I689" s="1" t="s">
        <v>4896</v>
      </c>
      <c r="J689" s="1" t="s">
        <v>4897</v>
      </c>
      <c r="K689">
        <v>365243</v>
      </c>
      <c r="L689" s="1" t="s">
        <v>4898</v>
      </c>
    </row>
    <row r="690" spans="1:12" x14ac:dyDescent="0.25">
      <c r="A690">
        <v>688</v>
      </c>
      <c r="B690" s="1" t="s">
        <v>4899</v>
      </c>
      <c r="C690" s="1" t="s">
        <v>4900</v>
      </c>
      <c r="D690" s="1" t="s">
        <v>949</v>
      </c>
      <c r="E690" s="1" t="s">
        <v>4901</v>
      </c>
      <c r="F690" s="1" t="s">
        <v>4902</v>
      </c>
      <c r="G690">
        <v>-12954</v>
      </c>
      <c r="H690">
        <v>-4747</v>
      </c>
      <c r="I690" s="1" t="s">
        <v>4903</v>
      </c>
      <c r="J690" s="1" t="s">
        <v>4904</v>
      </c>
      <c r="K690">
        <v>-1608</v>
      </c>
      <c r="L690" s="1" t="s">
        <v>4905</v>
      </c>
    </row>
    <row r="691" spans="1:12" x14ac:dyDescent="0.25">
      <c r="A691">
        <v>689</v>
      </c>
      <c r="B691" s="1" t="s">
        <v>4906</v>
      </c>
      <c r="C691" s="1" t="s">
        <v>4907</v>
      </c>
      <c r="D691" s="1" t="s">
        <v>3052</v>
      </c>
      <c r="E691" s="1" t="s">
        <v>4908</v>
      </c>
      <c r="F691" s="1" t="s">
        <v>4909</v>
      </c>
      <c r="G691">
        <v>-13581</v>
      </c>
      <c r="H691">
        <v>-1065</v>
      </c>
      <c r="I691" s="1" t="s">
        <v>4910</v>
      </c>
      <c r="J691" s="1" t="s">
        <v>1833</v>
      </c>
      <c r="K691">
        <v>-2180</v>
      </c>
      <c r="L691" s="1" t="s">
        <v>1834</v>
      </c>
    </row>
    <row r="692" spans="1:12" x14ac:dyDescent="0.25">
      <c r="A692">
        <v>690</v>
      </c>
      <c r="B692" s="1" t="s">
        <v>4911</v>
      </c>
      <c r="C692" s="1" t="s">
        <v>4912</v>
      </c>
      <c r="D692" s="1" t="s">
        <v>4913</v>
      </c>
      <c r="E692" s="1" t="s">
        <v>4914</v>
      </c>
      <c r="F692" s="1" t="s">
        <v>4915</v>
      </c>
      <c r="G692">
        <v>-8935</v>
      </c>
      <c r="H692">
        <v>-1620</v>
      </c>
      <c r="I692" s="1" t="s">
        <v>4916</v>
      </c>
      <c r="J692" s="1" t="s">
        <v>4917</v>
      </c>
      <c r="K692">
        <v>-539</v>
      </c>
      <c r="L692" s="1" t="s">
        <v>4918</v>
      </c>
    </row>
    <row r="693" spans="1:12" x14ac:dyDescent="0.25">
      <c r="A693">
        <v>691</v>
      </c>
      <c r="B693" s="1" t="s">
        <v>4919</v>
      </c>
      <c r="C693" s="1" t="s">
        <v>4920</v>
      </c>
      <c r="D693" s="1" t="s">
        <v>1026</v>
      </c>
      <c r="E693" s="1" t="s">
        <v>4921</v>
      </c>
      <c r="F693" s="1" t="s">
        <v>4922</v>
      </c>
      <c r="G693">
        <v>-22278</v>
      </c>
      <c r="H693">
        <v>-5079</v>
      </c>
      <c r="I693" s="1" t="s">
        <v>4923</v>
      </c>
      <c r="J693" s="1" t="s">
        <v>4924</v>
      </c>
      <c r="K693">
        <v>365243</v>
      </c>
      <c r="L693" s="1" t="s">
        <v>4925</v>
      </c>
    </row>
    <row r="694" spans="1:12" x14ac:dyDescent="0.25">
      <c r="A694">
        <v>692</v>
      </c>
      <c r="B694" s="1" t="s">
        <v>4926</v>
      </c>
      <c r="C694" s="1" t="s">
        <v>4927</v>
      </c>
      <c r="D694" s="1" t="s">
        <v>4928</v>
      </c>
      <c r="E694" s="1" t="s">
        <v>4929</v>
      </c>
      <c r="F694" s="1" t="s">
        <v>4930</v>
      </c>
      <c r="G694">
        <v>-10156</v>
      </c>
      <c r="H694">
        <v>-1133</v>
      </c>
      <c r="I694" s="1" t="s">
        <v>4931</v>
      </c>
      <c r="J694" s="1" t="s">
        <v>858</v>
      </c>
      <c r="K694">
        <v>-1801</v>
      </c>
      <c r="L694" s="1" t="s">
        <v>859</v>
      </c>
    </row>
    <row r="695" spans="1:12" x14ac:dyDescent="0.25">
      <c r="A695">
        <v>693</v>
      </c>
      <c r="B695" s="1" t="s">
        <v>4932</v>
      </c>
      <c r="C695" s="1" t="s">
        <v>4933</v>
      </c>
      <c r="D695" s="1" t="s">
        <v>1999</v>
      </c>
      <c r="E695" s="1" t="s">
        <v>4934</v>
      </c>
      <c r="F695" s="1" t="s">
        <v>4935</v>
      </c>
      <c r="G695">
        <v>-18618</v>
      </c>
      <c r="H695">
        <v>-2161</v>
      </c>
      <c r="I695" s="1" t="s">
        <v>4936</v>
      </c>
      <c r="J695" s="1" t="s">
        <v>4937</v>
      </c>
      <c r="K695">
        <v>-2632</v>
      </c>
      <c r="L695" s="1" t="s">
        <v>4938</v>
      </c>
    </row>
    <row r="696" spans="1:12" x14ac:dyDescent="0.25">
      <c r="A696">
        <v>694</v>
      </c>
      <c r="B696" s="1" t="s">
        <v>4939</v>
      </c>
      <c r="C696" s="1" t="s">
        <v>4940</v>
      </c>
      <c r="D696" s="1" t="s">
        <v>4941</v>
      </c>
      <c r="E696" s="1" t="s">
        <v>4942</v>
      </c>
      <c r="F696" s="1" t="s">
        <v>4943</v>
      </c>
      <c r="G696">
        <v>-20924</v>
      </c>
      <c r="H696">
        <v>-4325</v>
      </c>
      <c r="I696" s="1" t="s">
        <v>4944</v>
      </c>
      <c r="J696" s="1" t="s">
        <v>4945</v>
      </c>
      <c r="K696">
        <v>365243</v>
      </c>
      <c r="L696" s="1" t="s">
        <v>4946</v>
      </c>
    </row>
    <row r="697" spans="1:12" x14ac:dyDescent="0.25">
      <c r="A697">
        <v>695</v>
      </c>
      <c r="B697" s="1" t="s">
        <v>4947</v>
      </c>
      <c r="C697" s="1" t="s">
        <v>4948</v>
      </c>
      <c r="D697" s="1" t="s">
        <v>4444</v>
      </c>
      <c r="E697" s="1" t="s">
        <v>4949</v>
      </c>
      <c r="F697" s="1" t="s">
        <v>4950</v>
      </c>
      <c r="G697">
        <v>-11675</v>
      </c>
      <c r="H697">
        <v>-4046</v>
      </c>
      <c r="I697" s="1" t="s">
        <v>4951</v>
      </c>
      <c r="J697" s="1" t="s">
        <v>3934</v>
      </c>
      <c r="K697">
        <v>-2288</v>
      </c>
      <c r="L697" s="1" t="s">
        <v>3935</v>
      </c>
    </row>
    <row r="698" spans="1:12" x14ac:dyDescent="0.25">
      <c r="A698">
        <v>696</v>
      </c>
      <c r="B698" s="1" t="s">
        <v>4952</v>
      </c>
      <c r="C698" s="1" t="s">
        <v>4953</v>
      </c>
      <c r="D698" s="1" t="s">
        <v>250</v>
      </c>
      <c r="E698" s="1" t="s">
        <v>4954</v>
      </c>
      <c r="F698" s="1" t="s">
        <v>4955</v>
      </c>
      <c r="G698">
        <v>-17280</v>
      </c>
      <c r="H698">
        <v>-840</v>
      </c>
      <c r="I698" s="1" t="s">
        <v>4956</v>
      </c>
      <c r="J698" s="1" t="s">
        <v>4957</v>
      </c>
      <c r="K698">
        <v>-254</v>
      </c>
      <c r="L698" s="1" t="s">
        <v>4958</v>
      </c>
    </row>
    <row r="699" spans="1:12" x14ac:dyDescent="0.25">
      <c r="A699">
        <v>697</v>
      </c>
      <c r="B699" s="1" t="s">
        <v>4959</v>
      </c>
      <c r="C699" s="1" t="s">
        <v>4960</v>
      </c>
      <c r="D699" s="1" t="s">
        <v>4961</v>
      </c>
      <c r="E699" s="1" t="s">
        <v>4962</v>
      </c>
      <c r="F699" s="1" t="s">
        <v>4963</v>
      </c>
      <c r="G699">
        <v>-23105</v>
      </c>
      <c r="H699">
        <v>-4601</v>
      </c>
      <c r="I699" s="1" t="s">
        <v>4964</v>
      </c>
      <c r="J699" s="1" t="s">
        <v>4965</v>
      </c>
      <c r="K699">
        <v>365243</v>
      </c>
      <c r="L699" s="1" t="s">
        <v>4966</v>
      </c>
    </row>
    <row r="700" spans="1:12" x14ac:dyDescent="0.25">
      <c r="A700">
        <v>698</v>
      </c>
      <c r="B700" s="1" t="s">
        <v>4967</v>
      </c>
      <c r="C700" s="1" t="s">
        <v>4968</v>
      </c>
      <c r="D700" s="1" t="s">
        <v>1782</v>
      </c>
      <c r="E700" s="1" t="s">
        <v>4969</v>
      </c>
      <c r="F700" s="1" t="s">
        <v>4970</v>
      </c>
      <c r="G700">
        <v>-8711</v>
      </c>
      <c r="H700">
        <v>-1181</v>
      </c>
      <c r="I700" s="1" t="s">
        <v>4971</v>
      </c>
      <c r="J700" s="1" t="s">
        <v>4972</v>
      </c>
      <c r="K700">
        <v>-882</v>
      </c>
      <c r="L700" s="1" t="s">
        <v>4973</v>
      </c>
    </row>
    <row r="701" spans="1:12" x14ac:dyDescent="0.25">
      <c r="A701">
        <v>699</v>
      </c>
      <c r="B701" s="1" t="s">
        <v>4974</v>
      </c>
      <c r="C701" s="1" t="s">
        <v>4975</v>
      </c>
      <c r="D701" s="1" t="s">
        <v>3497</v>
      </c>
      <c r="E701" s="1" t="s">
        <v>4976</v>
      </c>
      <c r="F701" s="1" t="s">
        <v>604</v>
      </c>
      <c r="G701">
        <v>-22590</v>
      </c>
      <c r="H701">
        <v>-1866</v>
      </c>
      <c r="I701" s="1" t="s">
        <v>4977</v>
      </c>
      <c r="J701" s="1" t="s">
        <v>261</v>
      </c>
      <c r="K701">
        <v>365243</v>
      </c>
      <c r="L701" s="1" t="s">
        <v>742</v>
      </c>
    </row>
    <row r="702" spans="1:12" x14ac:dyDescent="0.25">
      <c r="A702">
        <v>700</v>
      </c>
      <c r="B702" s="1" t="s">
        <v>4978</v>
      </c>
      <c r="C702" s="1" t="s">
        <v>4979</v>
      </c>
      <c r="D702" s="1" t="s">
        <v>4204</v>
      </c>
      <c r="E702" s="1" t="s">
        <v>4980</v>
      </c>
      <c r="F702" s="1" t="s">
        <v>4242</v>
      </c>
      <c r="G702">
        <v>-14677</v>
      </c>
      <c r="H702">
        <v>-2929</v>
      </c>
      <c r="I702" s="1" t="s">
        <v>4981</v>
      </c>
      <c r="J702" s="1" t="s">
        <v>4982</v>
      </c>
      <c r="K702">
        <v>-2659</v>
      </c>
      <c r="L702" s="1" t="s">
        <v>4983</v>
      </c>
    </row>
    <row r="703" spans="1:12" x14ac:dyDescent="0.25">
      <c r="A703">
        <v>701</v>
      </c>
      <c r="B703" s="1" t="s">
        <v>4984</v>
      </c>
      <c r="C703" s="1" t="s">
        <v>4985</v>
      </c>
      <c r="D703" s="1" t="s">
        <v>2515</v>
      </c>
      <c r="E703" s="1" t="s">
        <v>4986</v>
      </c>
      <c r="F703" s="1" t="s">
        <v>4987</v>
      </c>
      <c r="G703">
        <v>-23570</v>
      </c>
      <c r="H703">
        <v>-4047</v>
      </c>
      <c r="I703" s="1" t="s">
        <v>4988</v>
      </c>
      <c r="J703" s="1" t="s">
        <v>2106</v>
      </c>
      <c r="K703">
        <v>-9793</v>
      </c>
      <c r="L703" s="1" t="s">
        <v>2107</v>
      </c>
    </row>
    <row r="704" spans="1:12" x14ac:dyDescent="0.25">
      <c r="A704">
        <v>702</v>
      </c>
      <c r="B704" s="1" t="s">
        <v>4989</v>
      </c>
      <c r="C704" s="1" t="s">
        <v>4990</v>
      </c>
      <c r="D704" s="1" t="s">
        <v>3969</v>
      </c>
      <c r="E704" s="1" t="s">
        <v>4991</v>
      </c>
      <c r="F704" s="1" t="s">
        <v>4992</v>
      </c>
      <c r="G704">
        <v>-13155</v>
      </c>
      <c r="H704">
        <v>-3962</v>
      </c>
      <c r="I704" s="1" t="s">
        <v>4993</v>
      </c>
      <c r="J704" s="1" t="s">
        <v>261</v>
      </c>
      <c r="K704">
        <v>-4863</v>
      </c>
      <c r="L704" s="1" t="s">
        <v>742</v>
      </c>
    </row>
    <row r="705" spans="1:12" x14ac:dyDescent="0.25">
      <c r="A705">
        <v>703</v>
      </c>
      <c r="B705" s="1" t="s">
        <v>4994</v>
      </c>
      <c r="C705" s="1" t="s">
        <v>4995</v>
      </c>
      <c r="D705" s="1" t="s">
        <v>54</v>
      </c>
      <c r="E705" s="1" t="s">
        <v>4996</v>
      </c>
      <c r="F705" s="1" t="s">
        <v>4997</v>
      </c>
      <c r="G705">
        <v>-11946</v>
      </c>
      <c r="H705">
        <v>-98</v>
      </c>
      <c r="I705" s="1" t="s">
        <v>4998</v>
      </c>
      <c r="J705" s="1" t="s">
        <v>4999</v>
      </c>
      <c r="K705">
        <v>-2598</v>
      </c>
      <c r="L705" s="1" t="s">
        <v>5000</v>
      </c>
    </row>
    <row r="706" spans="1:12" x14ac:dyDescent="0.25">
      <c r="A706">
        <v>704</v>
      </c>
      <c r="B706" s="1" t="s">
        <v>5001</v>
      </c>
      <c r="C706" s="1" t="s">
        <v>5002</v>
      </c>
      <c r="D706" s="1" t="s">
        <v>54</v>
      </c>
      <c r="E706" s="1" t="s">
        <v>5003</v>
      </c>
      <c r="F706" s="1" t="s">
        <v>5004</v>
      </c>
      <c r="G706">
        <v>-8152</v>
      </c>
      <c r="H706">
        <v>-817</v>
      </c>
      <c r="I706" s="1" t="s">
        <v>5005</v>
      </c>
      <c r="J706" s="1" t="s">
        <v>198</v>
      </c>
      <c r="K706">
        <v>-655</v>
      </c>
      <c r="L706" s="1" t="s">
        <v>946</v>
      </c>
    </row>
    <row r="707" spans="1:12" x14ac:dyDescent="0.25">
      <c r="A707">
        <v>705</v>
      </c>
      <c r="B707" s="1" t="s">
        <v>5006</v>
      </c>
      <c r="C707" s="1" t="s">
        <v>5007</v>
      </c>
      <c r="D707" s="1" t="s">
        <v>2622</v>
      </c>
      <c r="E707" s="1" t="s">
        <v>5008</v>
      </c>
      <c r="F707" s="1" t="s">
        <v>5009</v>
      </c>
      <c r="G707">
        <v>-12757</v>
      </c>
      <c r="H707">
        <v>-4745</v>
      </c>
      <c r="I707" s="1" t="s">
        <v>5010</v>
      </c>
      <c r="J707" s="1" t="s">
        <v>5011</v>
      </c>
      <c r="K707">
        <v>-862</v>
      </c>
      <c r="L707" s="1" t="s">
        <v>5012</v>
      </c>
    </row>
    <row r="708" spans="1:12" x14ac:dyDescent="0.25">
      <c r="A708">
        <v>706</v>
      </c>
      <c r="B708" s="1" t="s">
        <v>5013</v>
      </c>
      <c r="C708" s="1" t="s">
        <v>5014</v>
      </c>
      <c r="D708" s="1" t="s">
        <v>283</v>
      </c>
      <c r="E708" s="1" t="s">
        <v>5015</v>
      </c>
      <c r="F708" s="1" t="s">
        <v>5016</v>
      </c>
      <c r="G708">
        <v>-19670</v>
      </c>
      <c r="H708">
        <v>-3174</v>
      </c>
      <c r="I708" s="1" t="s">
        <v>5017</v>
      </c>
      <c r="J708" s="1" t="s">
        <v>379</v>
      </c>
      <c r="K708">
        <v>-1523</v>
      </c>
      <c r="L708" s="1" t="s">
        <v>760</v>
      </c>
    </row>
    <row r="709" spans="1:12" x14ac:dyDescent="0.25">
      <c r="A709">
        <v>707</v>
      </c>
      <c r="B709" s="1" t="s">
        <v>5018</v>
      </c>
      <c r="C709" s="1" t="s">
        <v>5019</v>
      </c>
      <c r="D709" s="1" t="s">
        <v>4125</v>
      </c>
      <c r="E709" s="1" t="s">
        <v>5020</v>
      </c>
      <c r="F709" s="1" t="s">
        <v>5021</v>
      </c>
      <c r="G709">
        <v>-19967</v>
      </c>
      <c r="H709">
        <v>-3434</v>
      </c>
      <c r="I709" s="1" t="s">
        <v>5022</v>
      </c>
      <c r="J709" s="1" t="s">
        <v>5023</v>
      </c>
      <c r="K709">
        <v>-2964</v>
      </c>
      <c r="L709" s="1" t="s">
        <v>5024</v>
      </c>
    </row>
    <row r="710" spans="1:12" x14ac:dyDescent="0.25">
      <c r="A710">
        <v>708</v>
      </c>
      <c r="B710" s="1" t="s">
        <v>5025</v>
      </c>
      <c r="C710" s="1" t="s">
        <v>5026</v>
      </c>
      <c r="D710" s="1" t="s">
        <v>4701</v>
      </c>
      <c r="E710" s="1" t="s">
        <v>5027</v>
      </c>
      <c r="F710" s="1" t="s">
        <v>5028</v>
      </c>
      <c r="G710">
        <v>-16645</v>
      </c>
      <c r="H710">
        <v>-182</v>
      </c>
      <c r="I710" s="1" t="s">
        <v>5029</v>
      </c>
      <c r="J710" s="1" t="s">
        <v>5030</v>
      </c>
      <c r="K710">
        <v>-1721</v>
      </c>
      <c r="L710" s="1" t="s">
        <v>5031</v>
      </c>
    </row>
    <row r="711" spans="1:12" x14ac:dyDescent="0.25">
      <c r="A711">
        <v>709</v>
      </c>
      <c r="B711" s="1" t="s">
        <v>5032</v>
      </c>
      <c r="C711" s="1" t="s">
        <v>5033</v>
      </c>
      <c r="D711" s="1" t="s">
        <v>414</v>
      </c>
      <c r="E711" s="1" t="s">
        <v>5034</v>
      </c>
      <c r="F711" s="1" t="s">
        <v>5035</v>
      </c>
      <c r="G711">
        <v>-23193</v>
      </c>
      <c r="H711">
        <v>-4723</v>
      </c>
      <c r="I711" s="1" t="s">
        <v>5036</v>
      </c>
      <c r="J711" s="1" t="s">
        <v>5037</v>
      </c>
      <c r="K711">
        <v>365243</v>
      </c>
      <c r="L711" s="1" t="s">
        <v>5038</v>
      </c>
    </row>
    <row r="712" spans="1:12" x14ac:dyDescent="0.25">
      <c r="A712">
        <v>710</v>
      </c>
      <c r="B712" s="1" t="s">
        <v>5039</v>
      </c>
      <c r="C712" s="1" t="s">
        <v>5040</v>
      </c>
      <c r="D712" s="1" t="s">
        <v>159</v>
      </c>
      <c r="E712" s="1" t="s">
        <v>5041</v>
      </c>
      <c r="F712" s="1" t="s">
        <v>5042</v>
      </c>
      <c r="G712">
        <v>-11245</v>
      </c>
      <c r="H712">
        <v>-3659</v>
      </c>
      <c r="I712" s="1" t="s">
        <v>1441</v>
      </c>
      <c r="J712" s="1" t="s">
        <v>198</v>
      </c>
      <c r="K712">
        <v>-1853</v>
      </c>
      <c r="L712" s="1" t="s">
        <v>977</v>
      </c>
    </row>
    <row r="713" spans="1:12" x14ac:dyDescent="0.25">
      <c r="A713">
        <v>711</v>
      </c>
      <c r="B713" s="1" t="s">
        <v>5043</v>
      </c>
      <c r="C713" s="1" t="s">
        <v>5044</v>
      </c>
      <c r="D713" s="1" t="s">
        <v>2752</v>
      </c>
      <c r="E713" s="1" t="s">
        <v>5045</v>
      </c>
      <c r="F713" s="1" t="s">
        <v>5046</v>
      </c>
      <c r="G713">
        <v>-9282</v>
      </c>
      <c r="H713">
        <v>-1958</v>
      </c>
      <c r="I713" s="1" t="s">
        <v>5047</v>
      </c>
      <c r="J713" s="1" t="s">
        <v>1541</v>
      </c>
      <c r="K713">
        <v>-205</v>
      </c>
      <c r="L713" s="1" t="s">
        <v>2167</v>
      </c>
    </row>
    <row r="714" spans="1:12" x14ac:dyDescent="0.25">
      <c r="A714">
        <v>712</v>
      </c>
      <c r="B714" s="1" t="s">
        <v>5048</v>
      </c>
      <c r="C714" s="1" t="s">
        <v>5049</v>
      </c>
      <c r="D714" s="1" t="s">
        <v>2893</v>
      </c>
      <c r="E714" s="1" t="s">
        <v>5050</v>
      </c>
      <c r="F714" s="1" t="s">
        <v>245</v>
      </c>
      <c r="G714">
        <v>-21517</v>
      </c>
      <c r="H714">
        <v>-2395</v>
      </c>
      <c r="I714" s="1" t="s">
        <v>2252</v>
      </c>
      <c r="J714" s="1" t="s">
        <v>5051</v>
      </c>
      <c r="K714">
        <v>365243</v>
      </c>
      <c r="L714" s="1" t="s">
        <v>5052</v>
      </c>
    </row>
    <row r="715" spans="1:12" x14ac:dyDescent="0.25">
      <c r="A715">
        <v>713</v>
      </c>
      <c r="B715" s="1" t="s">
        <v>5053</v>
      </c>
      <c r="C715" s="1" t="s">
        <v>5054</v>
      </c>
      <c r="D715" s="1" t="s">
        <v>5055</v>
      </c>
      <c r="E715" s="1" t="s">
        <v>5056</v>
      </c>
      <c r="F715" s="1" t="s">
        <v>5057</v>
      </c>
      <c r="G715">
        <v>-16420</v>
      </c>
      <c r="H715">
        <v>-4278</v>
      </c>
      <c r="I715" s="1" t="s">
        <v>5058</v>
      </c>
      <c r="J715" s="1" t="s">
        <v>2881</v>
      </c>
      <c r="K715">
        <v>-1066</v>
      </c>
      <c r="L715" s="1" t="s">
        <v>2882</v>
      </c>
    </row>
    <row r="716" spans="1:12" x14ac:dyDescent="0.25">
      <c r="A716">
        <v>714</v>
      </c>
      <c r="B716" s="1" t="s">
        <v>5059</v>
      </c>
      <c r="C716" s="1" t="s">
        <v>5060</v>
      </c>
      <c r="D716" s="1" t="s">
        <v>4062</v>
      </c>
      <c r="E716" s="1" t="s">
        <v>5061</v>
      </c>
      <c r="F716" s="1" t="s">
        <v>5062</v>
      </c>
      <c r="G716">
        <v>-12288</v>
      </c>
      <c r="H716">
        <v>-4019</v>
      </c>
      <c r="I716" s="1" t="s">
        <v>5063</v>
      </c>
      <c r="J716" s="1" t="s">
        <v>1711</v>
      </c>
      <c r="K716">
        <v>-3775</v>
      </c>
      <c r="L716" s="1" t="s">
        <v>1712</v>
      </c>
    </row>
    <row r="717" spans="1:12" x14ac:dyDescent="0.25">
      <c r="A717">
        <v>715</v>
      </c>
      <c r="B717" s="1" t="s">
        <v>5064</v>
      </c>
      <c r="C717" s="1" t="s">
        <v>5065</v>
      </c>
      <c r="D717" s="1" t="s">
        <v>4770</v>
      </c>
      <c r="E717" s="1" t="s">
        <v>5066</v>
      </c>
      <c r="F717" s="1" t="s">
        <v>5067</v>
      </c>
      <c r="G717">
        <v>-13607</v>
      </c>
      <c r="H717">
        <v>-3296</v>
      </c>
      <c r="I717" s="1" t="s">
        <v>5068</v>
      </c>
      <c r="J717" s="1" t="s">
        <v>198</v>
      </c>
      <c r="K717">
        <v>-4518</v>
      </c>
      <c r="L717" s="1" t="s">
        <v>733</v>
      </c>
    </row>
    <row r="718" spans="1:12" x14ac:dyDescent="0.25">
      <c r="A718">
        <v>716</v>
      </c>
      <c r="B718" s="1" t="s">
        <v>5069</v>
      </c>
      <c r="C718" s="1" t="s">
        <v>5070</v>
      </c>
      <c r="D718" s="1" t="s">
        <v>2916</v>
      </c>
      <c r="E718" s="1" t="s">
        <v>5071</v>
      </c>
      <c r="F718" s="1" t="s">
        <v>5072</v>
      </c>
      <c r="G718">
        <v>-20803</v>
      </c>
      <c r="H718">
        <v>-156</v>
      </c>
      <c r="I718" s="1" t="s">
        <v>5073</v>
      </c>
      <c r="J718" s="1" t="s">
        <v>320</v>
      </c>
      <c r="K718">
        <v>365243</v>
      </c>
      <c r="L718" s="1" t="s">
        <v>751</v>
      </c>
    </row>
    <row r="719" spans="1:12" x14ac:dyDescent="0.25">
      <c r="A719">
        <v>717</v>
      </c>
      <c r="B719" s="1" t="s">
        <v>5074</v>
      </c>
      <c r="C719" s="1" t="s">
        <v>5075</v>
      </c>
      <c r="D719" s="1" t="s">
        <v>5076</v>
      </c>
      <c r="E719" s="1" t="s">
        <v>4460</v>
      </c>
      <c r="F719" s="1" t="s">
        <v>2423</v>
      </c>
      <c r="G719">
        <v>-13441</v>
      </c>
      <c r="H719">
        <v>-4181</v>
      </c>
      <c r="I719" s="1" t="s">
        <v>5077</v>
      </c>
      <c r="J719" s="1" t="s">
        <v>5078</v>
      </c>
      <c r="K719">
        <v>-2748</v>
      </c>
      <c r="L719" s="1" t="s">
        <v>5079</v>
      </c>
    </row>
    <row r="720" spans="1:12" x14ac:dyDescent="0.25">
      <c r="A720">
        <v>718</v>
      </c>
      <c r="B720" s="1" t="s">
        <v>5080</v>
      </c>
      <c r="C720" s="1" t="s">
        <v>5081</v>
      </c>
      <c r="D720" s="1" t="s">
        <v>3322</v>
      </c>
      <c r="E720" s="1" t="s">
        <v>5082</v>
      </c>
      <c r="F720" s="1" t="s">
        <v>5083</v>
      </c>
      <c r="G720">
        <v>-17196</v>
      </c>
      <c r="H720">
        <v>-733</v>
      </c>
      <c r="I720" s="1" t="s">
        <v>5084</v>
      </c>
      <c r="J720" s="1" t="s">
        <v>5085</v>
      </c>
      <c r="K720">
        <v>-5815</v>
      </c>
      <c r="L720" s="1" t="s">
        <v>5086</v>
      </c>
    </row>
    <row r="721" spans="1:12" x14ac:dyDescent="0.25">
      <c r="A721">
        <v>719</v>
      </c>
      <c r="B721" s="1" t="s">
        <v>5087</v>
      </c>
      <c r="C721" s="1" t="s">
        <v>5088</v>
      </c>
      <c r="D721" s="1" t="s">
        <v>1983</v>
      </c>
      <c r="E721" s="1" t="s">
        <v>5089</v>
      </c>
      <c r="F721" s="1" t="s">
        <v>5090</v>
      </c>
      <c r="G721">
        <v>-17593</v>
      </c>
      <c r="H721">
        <v>-1076</v>
      </c>
      <c r="I721" s="1" t="s">
        <v>5091</v>
      </c>
      <c r="J721" s="1" t="s">
        <v>5092</v>
      </c>
      <c r="K721">
        <v>-2370</v>
      </c>
      <c r="L721" s="1" t="s">
        <v>5093</v>
      </c>
    </row>
    <row r="722" spans="1:12" x14ac:dyDescent="0.25">
      <c r="A722">
        <v>720</v>
      </c>
      <c r="B722" s="1" t="s">
        <v>5094</v>
      </c>
      <c r="C722" s="1" t="s">
        <v>5095</v>
      </c>
      <c r="D722" s="1" t="s">
        <v>697</v>
      </c>
      <c r="E722" s="1" t="s">
        <v>5096</v>
      </c>
      <c r="F722" s="1" t="s">
        <v>5097</v>
      </c>
      <c r="G722">
        <v>-11225</v>
      </c>
      <c r="H722">
        <v>-3862</v>
      </c>
      <c r="I722" s="1" t="s">
        <v>2569</v>
      </c>
      <c r="J722" s="1" t="s">
        <v>198</v>
      </c>
      <c r="K722">
        <v>-2476</v>
      </c>
      <c r="L722" s="1" t="s">
        <v>1495</v>
      </c>
    </row>
    <row r="723" spans="1:12" x14ac:dyDescent="0.25">
      <c r="A723">
        <v>721</v>
      </c>
      <c r="B723" s="1" t="s">
        <v>5098</v>
      </c>
      <c r="C723" s="1" t="s">
        <v>5099</v>
      </c>
      <c r="D723" s="1" t="s">
        <v>5100</v>
      </c>
      <c r="E723" s="1" t="s">
        <v>5101</v>
      </c>
      <c r="F723" s="1" t="s">
        <v>5102</v>
      </c>
      <c r="G723">
        <v>-19800</v>
      </c>
      <c r="H723">
        <v>-3351</v>
      </c>
      <c r="I723" s="1" t="s">
        <v>5103</v>
      </c>
      <c r="J723" s="1" t="s">
        <v>5104</v>
      </c>
      <c r="K723">
        <v>-1155</v>
      </c>
      <c r="L723" s="1" t="s">
        <v>5105</v>
      </c>
    </row>
    <row r="724" spans="1:12" x14ac:dyDescent="0.25">
      <c r="A724">
        <v>722</v>
      </c>
      <c r="B724" s="1" t="s">
        <v>5106</v>
      </c>
      <c r="C724" s="1" t="s">
        <v>5107</v>
      </c>
      <c r="D724" s="1" t="s">
        <v>215</v>
      </c>
      <c r="E724" s="1" t="s">
        <v>5108</v>
      </c>
      <c r="F724" s="1" t="s">
        <v>5109</v>
      </c>
      <c r="G724">
        <v>-23698</v>
      </c>
      <c r="H724">
        <v>-4459</v>
      </c>
      <c r="I724" s="1" t="s">
        <v>5110</v>
      </c>
      <c r="J724" s="1" t="s">
        <v>4058</v>
      </c>
      <c r="K724">
        <v>365243</v>
      </c>
      <c r="L724" s="1" t="s">
        <v>4059</v>
      </c>
    </row>
    <row r="725" spans="1:12" x14ac:dyDescent="0.25">
      <c r="A725">
        <v>723</v>
      </c>
      <c r="B725" s="1" t="s">
        <v>5111</v>
      </c>
      <c r="C725" s="1" t="s">
        <v>5112</v>
      </c>
      <c r="D725" s="1" t="s">
        <v>2656</v>
      </c>
      <c r="E725" s="1" t="s">
        <v>5113</v>
      </c>
      <c r="F725" s="1" t="s">
        <v>5114</v>
      </c>
      <c r="G725">
        <v>-10922</v>
      </c>
      <c r="H725">
        <v>-3598</v>
      </c>
      <c r="I725" s="1" t="s">
        <v>5115</v>
      </c>
      <c r="J725" s="1" t="s">
        <v>5116</v>
      </c>
      <c r="K725">
        <v>-1114</v>
      </c>
      <c r="L725" s="1" t="s">
        <v>5117</v>
      </c>
    </row>
    <row r="726" spans="1:12" x14ac:dyDescent="0.25">
      <c r="A726">
        <v>724</v>
      </c>
      <c r="B726" s="1" t="s">
        <v>5118</v>
      </c>
      <c r="C726" s="1" t="s">
        <v>5119</v>
      </c>
      <c r="D726" s="1" t="s">
        <v>5120</v>
      </c>
      <c r="E726" s="1" t="s">
        <v>5121</v>
      </c>
      <c r="F726" s="1" t="s">
        <v>5122</v>
      </c>
      <c r="G726">
        <v>-20654</v>
      </c>
      <c r="H726">
        <v>-4097</v>
      </c>
      <c r="I726" s="1" t="s">
        <v>5123</v>
      </c>
      <c r="J726" s="1" t="s">
        <v>198</v>
      </c>
      <c r="K726">
        <v>365243</v>
      </c>
      <c r="L726" s="1" t="s">
        <v>733</v>
      </c>
    </row>
    <row r="727" spans="1:12" x14ac:dyDescent="0.25">
      <c r="A727">
        <v>725</v>
      </c>
      <c r="B727" s="1" t="s">
        <v>5124</v>
      </c>
      <c r="C727" s="1" t="s">
        <v>5125</v>
      </c>
      <c r="D727" s="1" t="s">
        <v>5126</v>
      </c>
      <c r="E727" s="1" t="s">
        <v>5127</v>
      </c>
      <c r="F727" s="1" t="s">
        <v>5128</v>
      </c>
      <c r="G727">
        <v>-19865</v>
      </c>
      <c r="H727">
        <v>-3395</v>
      </c>
      <c r="I727" s="1" t="s">
        <v>5129</v>
      </c>
      <c r="J727" s="1" t="s">
        <v>5130</v>
      </c>
      <c r="K727">
        <v>-2228</v>
      </c>
      <c r="L727" s="1" t="s">
        <v>5131</v>
      </c>
    </row>
    <row r="728" spans="1:12" x14ac:dyDescent="0.25">
      <c r="A728">
        <v>726</v>
      </c>
      <c r="B728" s="1" t="s">
        <v>5132</v>
      </c>
      <c r="C728" s="1" t="s">
        <v>5133</v>
      </c>
      <c r="D728" s="1" t="s">
        <v>3820</v>
      </c>
      <c r="E728" s="1" t="s">
        <v>5134</v>
      </c>
      <c r="F728" s="1" t="s">
        <v>5135</v>
      </c>
      <c r="G728">
        <v>-11100</v>
      </c>
      <c r="H728">
        <v>-3574</v>
      </c>
      <c r="I728" s="1" t="s">
        <v>5136</v>
      </c>
      <c r="J728" s="1" t="s">
        <v>3411</v>
      </c>
      <c r="K728">
        <v>-728</v>
      </c>
      <c r="L728" s="1" t="s">
        <v>3412</v>
      </c>
    </row>
    <row r="729" spans="1:12" x14ac:dyDescent="0.25">
      <c r="A729">
        <v>727</v>
      </c>
      <c r="B729" s="1" t="s">
        <v>5137</v>
      </c>
      <c r="C729" s="1" t="s">
        <v>5138</v>
      </c>
      <c r="D729" s="1" t="s">
        <v>5126</v>
      </c>
      <c r="E729" s="1" t="s">
        <v>5139</v>
      </c>
      <c r="F729" s="1" t="s">
        <v>5140</v>
      </c>
      <c r="G729">
        <v>-20404</v>
      </c>
      <c r="H729">
        <v>-3866</v>
      </c>
      <c r="I729" s="1" t="s">
        <v>5141</v>
      </c>
      <c r="J729" s="1" t="s">
        <v>5142</v>
      </c>
      <c r="K729">
        <v>365243</v>
      </c>
      <c r="L729" s="1" t="s">
        <v>5143</v>
      </c>
    </row>
    <row r="730" spans="1:12" x14ac:dyDescent="0.25">
      <c r="A730">
        <v>728</v>
      </c>
      <c r="B730" s="1" t="s">
        <v>5144</v>
      </c>
      <c r="C730" s="1" t="s">
        <v>5145</v>
      </c>
      <c r="D730" s="1" t="s">
        <v>582</v>
      </c>
      <c r="E730" s="1" t="s">
        <v>5146</v>
      </c>
      <c r="F730" s="1" t="s">
        <v>5147</v>
      </c>
      <c r="G730">
        <v>-22845</v>
      </c>
      <c r="H730">
        <v>-3533</v>
      </c>
      <c r="I730" s="1" t="s">
        <v>5148</v>
      </c>
      <c r="J730" s="1" t="s">
        <v>5149</v>
      </c>
      <c r="K730">
        <v>365243</v>
      </c>
      <c r="L730" s="1" t="s">
        <v>5150</v>
      </c>
    </row>
    <row r="731" spans="1:12" x14ac:dyDescent="0.25">
      <c r="A731">
        <v>729</v>
      </c>
      <c r="B731" s="1" t="s">
        <v>5151</v>
      </c>
      <c r="C731" s="1" t="s">
        <v>5152</v>
      </c>
      <c r="D731" s="1" t="s">
        <v>2857</v>
      </c>
      <c r="E731" s="1" t="s">
        <v>5153</v>
      </c>
      <c r="F731" s="1" t="s">
        <v>5154</v>
      </c>
      <c r="G731">
        <v>-18381</v>
      </c>
      <c r="H731">
        <v>-1914</v>
      </c>
      <c r="I731" s="1" t="s">
        <v>5155</v>
      </c>
      <c r="J731" s="1" t="s">
        <v>5156</v>
      </c>
      <c r="K731">
        <v>-2451</v>
      </c>
      <c r="L731" s="1" t="s">
        <v>5157</v>
      </c>
    </row>
    <row r="732" spans="1:12" x14ac:dyDescent="0.25">
      <c r="A732">
        <v>730</v>
      </c>
      <c r="B732" s="1" t="s">
        <v>5158</v>
      </c>
      <c r="C732" s="1" t="s">
        <v>5159</v>
      </c>
      <c r="D732" s="1" t="s">
        <v>862</v>
      </c>
      <c r="E732" s="1" t="s">
        <v>5160</v>
      </c>
      <c r="F732" s="1" t="s">
        <v>5161</v>
      </c>
      <c r="G732">
        <v>-22104</v>
      </c>
      <c r="H732">
        <v>-4908</v>
      </c>
      <c r="I732" s="1" t="s">
        <v>5162</v>
      </c>
      <c r="J732" s="1" t="s">
        <v>5163</v>
      </c>
      <c r="K732">
        <v>-3702</v>
      </c>
      <c r="L732" s="1" t="s">
        <v>5164</v>
      </c>
    </row>
    <row r="733" spans="1:12" x14ac:dyDescent="0.25">
      <c r="A733">
        <v>731</v>
      </c>
      <c r="B733" s="1" t="s">
        <v>5165</v>
      </c>
      <c r="C733" s="1" t="s">
        <v>5166</v>
      </c>
      <c r="D733" s="1" t="s">
        <v>96</v>
      </c>
      <c r="E733" s="1" t="s">
        <v>5167</v>
      </c>
      <c r="F733" s="1" t="s">
        <v>5168</v>
      </c>
      <c r="G733">
        <v>-16229</v>
      </c>
      <c r="H733">
        <v>-4426</v>
      </c>
      <c r="I733" s="1" t="s">
        <v>1441</v>
      </c>
      <c r="J733" s="1" t="s">
        <v>198</v>
      </c>
      <c r="K733">
        <v>-534</v>
      </c>
      <c r="L733" s="1" t="s">
        <v>1495</v>
      </c>
    </row>
    <row r="734" spans="1:12" x14ac:dyDescent="0.25">
      <c r="A734">
        <v>732</v>
      </c>
      <c r="B734" s="1" t="s">
        <v>5169</v>
      </c>
      <c r="C734" s="1" t="s">
        <v>5170</v>
      </c>
      <c r="D734" s="1" t="s">
        <v>54</v>
      </c>
      <c r="E734" s="1" t="s">
        <v>5171</v>
      </c>
      <c r="F734" s="1" t="s">
        <v>5172</v>
      </c>
      <c r="G734">
        <v>-16007</v>
      </c>
      <c r="H734">
        <v>-4426</v>
      </c>
      <c r="I734" s="1" t="s">
        <v>1864</v>
      </c>
      <c r="J734" s="1" t="s">
        <v>320</v>
      </c>
      <c r="K734">
        <v>-1192</v>
      </c>
      <c r="L734" s="1" t="s">
        <v>751</v>
      </c>
    </row>
    <row r="735" spans="1:12" x14ac:dyDescent="0.25">
      <c r="A735">
        <v>733</v>
      </c>
      <c r="B735" s="1" t="s">
        <v>5173</v>
      </c>
      <c r="C735" s="1" t="s">
        <v>5174</v>
      </c>
      <c r="D735" s="1" t="s">
        <v>243</v>
      </c>
      <c r="E735" s="1" t="s">
        <v>5175</v>
      </c>
      <c r="F735" s="1" t="s">
        <v>5176</v>
      </c>
      <c r="G735">
        <v>-16767</v>
      </c>
      <c r="H735">
        <v>-314</v>
      </c>
      <c r="I735" s="1" t="s">
        <v>5177</v>
      </c>
      <c r="J735" s="1" t="s">
        <v>5178</v>
      </c>
      <c r="K735">
        <v>-10090</v>
      </c>
      <c r="L735" s="1" t="s">
        <v>5179</v>
      </c>
    </row>
    <row r="736" spans="1:12" x14ac:dyDescent="0.25">
      <c r="A736">
        <v>734</v>
      </c>
      <c r="B736" s="1" t="s">
        <v>5180</v>
      </c>
      <c r="C736" s="1" t="s">
        <v>5181</v>
      </c>
      <c r="D736" s="1" t="s">
        <v>5182</v>
      </c>
      <c r="E736" s="1" t="s">
        <v>5183</v>
      </c>
      <c r="F736" s="1" t="s">
        <v>5184</v>
      </c>
      <c r="G736">
        <v>-13234</v>
      </c>
      <c r="H736">
        <v>-2460</v>
      </c>
      <c r="I736" s="1" t="s">
        <v>5185</v>
      </c>
      <c r="J736" s="1" t="s">
        <v>5186</v>
      </c>
      <c r="K736">
        <v>-3111</v>
      </c>
      <c r="L736" s="1" t="s">
        <v>985</v>
      </c>
    </row>
    <row r="737" spans="1:12" x14ac:dyDescent="0.25">
      <c r="A737">
        <v>735</v>
      </c>
      <c r="B737" s="1" t="s">
        <v>5187</v>
      </c>
      <c r="C737" s="1" t="s">
        <v>5188</v>
      </c>
      <c r="D737" s="1" t="s">
        <v>5189</v>
      </c>
      <c r="E737" s="1" t="s">
        <v>5190</v>
      </c>
      <c r="F737" s="1" t="s">
        <v>5191</v>
      </c>
      <c r="G737">
        <v>-16856</v>
      </c>
      <c r="H737">
        <v>-399</v>
      </c>
      <c r="I737" s="1" t="s">
        <v>5192</v>
      </c>
      <c r="J737" s="1" t="s">
        <v>5193</v>
      </c>
      <c r="K737">
        <v>-934</v>
      </c>
      <c r="L737" s="1" t="s">
        <v>5194</v>
      </c>
    </row>
    <row r="738" spans="1:12" x14ac:dyDescent="0.25">
      <c r="A738">
        <v>736</v>
      </c>
      <c r="B738" s="1" t="s">
        <v>5195</v>
      </c>
      <c r="C738" s="1" t="s">
        <v>5196</v>
      </c>
      <c r="D738" s="1" t="s">
        <v>1843</v>
      </c>
      <c r="E738" s="1" t="s">
        <v>5197</v>
      </c>
      <c r="F738" s="1" t="s">
        <v>5198</v>
      </c>
      <c r="G738">
        <v>-16182</v>
      </c>
      <c r="H738">
        <v>-4705</v>
      </c>
      <c r="I738" s="1" t="s">
        <v>5199</v>
      </c>
      <c r="J738" s="1" t="s">
        <v>4897</v>
      </c>
      <c r="K738">
        <v>-9275</v>
      </c>
      <c r="L738" s="1" t="s">
        <v>4898</v>
      </c>
    </row>
    <row r="739" spans="1:12" x14ac:dyDescent="0.25">
      <c r="A739">
        <v>737</v>
      </c>
      <c r="B739" s="1" t="s">
        <v>5200</v>
      </c>
      <c r="C739" s="1" t="s">
        <v>5201</v>
      </c>
      <c r="D739" s="1" t="s">
        <v>152</v>
      </c>
      <c r="E739" s="1" t="s">
        <v>5202</v>
      </c>
      <c r="F739" s="1" t="s">
        <v>5203</v>
      </c>
      <c r="G739">
        <v>-18431</v>
      </c>
      <c r="H739">
        <v>-1774</v>
      </c>
      <c r="I739" s="1" t="s">
        <v>5204</v>
      </c>
      <c r="J739" s="1" t="s">
        <v>1741</v>
      </c>
      <c r="K739">
        <v>-1022</v>
      </c>
      <c r="L739" s="1" t="s">
        <v>1742</v>
      </c>
    </row>
    <row r="740" spans="1:12" x14ac:dyDescent="0.25">
      <c r="A740">
        <v>738</v>
      </c>
      <c r="B740" s="1" t="s">
        <v>5205</v>
      </c>
      <c r="C740" s="1" t="s">
        <v>5206</v>
      </c>
      <c r="D740" s="1" t="s">
        <v>704</v>
      </c>
      <c r="E740" s="1" t="s">
        <v>5207</v>
      </c>
      <c r="F740" s="1" t="s">
        <v>5208</v>
      </c>
      <c r="G740">
        <v>-23284</v>
      </c>
      <c r="H740">
        <v>-4651</v>
      </c>
      <c r="I740" s="1" t="s">
        <v>5209</v>
      </c>
      <c r="J740" s="1" t="s">
        <v>184</v>
      </c>
      <c r="K740">
        <v>365243</v>
      </c>
      <c r="L740" s="1" t="s">
        <v>731</v>
      </c>
    </row>
    <row r="741" spans="1:12" x14ac:dyDescent="0.25">
      <c r="A741">
        <v>739</v>
      </c>
      <c r="B741" s="1" t="s">
        <v>5210</v>
      </c>
      <c r="C741" s="1" t="s">
        <v>5211</v>
      </c>
      <c r="D741" s="1" t="s">
        <v>1320</v>
      </c>
      <c r="E741" s="1" t="s">
        <v>5212</v>
      </c>
      <c r="F741" s="1" t="s">
        <v>5213</v>
      </c>
      <c r="G741">
        <v>-18986</v>
      </c>
      <c r="H741">
        <v>-2495</v>
      </c>
      <c r="I741" s="1" t="s">
        <v>5214</v>
      </c>
      <c r="J741" s="1" t="s">
        <v>5215</v>
      </c>
      <c r="K741">
        <v>-2331</v>
      </c>
      <c r="L741" s="1" t="s">
        <v>5216</v>
      </c>
    </row>
    <row r="742" spans="1:12" x14ac:dyDescent="0.25">
      <c r="A742">
        <v>740</v>
      </c>
      <c r="B742" s="1" t="s">
        <v>5217</v>
      </c>
      <c r="C742" s="1" t="s">
        <v>5218</v>
      </c>
      <c r="D742" s="1" t="s">
        <v>3073</v>
      </c>
      <c r="E742" s="1" t="s">
        <v>5219</v>
      </c>
      <c r="F742" s="1" t="s">
        <v>5220</v>
      </c>
      <c r="G742">
        <v>-19907</v>
      </c>
      <c r="H742">
        <v>-3444</v>
      </c>
      <c r="I742" s="1" t="s">
        <v>5221</v>
      </c>
      <c r="J742" s="1" t="s">
        <v>5222</v>
      </c>
      <c r="K742">
        <v>-1569</v>
      </c>
      <c r="L742" s="1" t="s">
        <v>5223</v>
      </c>
    </row>
    <row r="743" spans="1:12" x14ac:dyDescent="0.25">
      <c r="A743">
        <v>741</v>
      </c>
      <c r="B743" s="1" t="s">
        <v>5224</v>
      </c>
      <c r="C743" s="1" t="s">
        <v>5225</v>
      </c>
      <c r="D743" s="1" t="s">
        <v>1795</v>
      </c>
      <c r="E743" s="1" t="s">
        <v>5226</v>
      </c>
      <c r="F743" s="1" t="s">
        <v>5227</v>
      </c>
      <c r="G743">
        <v>-24822</v>
      </c>
      <c r="H743">
        <v>-4342</v>
      </c>
      <c r="I743" s="1" t="s">
        <v>5228</v>
      </c>
      <c r="J743" s="1" t="s">
        <v>5229</v>
      </c>
      <c r="K743">
        <v>365243</v>
      </c>
      <c r="L743" s="1" t="s">
        <v>5230</v>
      </c>
    </row>
    <row r="744" spans="1:12" x14ac:dyDescent="0.25">
      <c r="A744">
        <v>742</v>
      </c>
      <c r="B744" s="1" t="s">
        <v>5231</v>
      </c>
      <c r="C744" s="1" t="s">
        <v>5232</v>
      </c>
      <c r="D744" s="1" t="s">
        <v>54</v>
      </c>
      <c r="E744" s="1" t="s">
        <v>5233</v>
      </c>
      <c r="F744" s="1" t="s">
        <v>5234</v>
      </c>
      <c r="G744">
        <v>-21795</v>
      </c>
      <c r="H744">
        <v>-4985</v>
      </c>
      <c r="I744" s="1" t="s">
        <v>5235</v>
      </c>
      <c r="J744" s="1" t="s">
        <v>5236</v>
      </c>
      <c r="K744">
        <v>365243</v>
      </c>
      <c r="L744" s="1" t="s">
        <v>710</v>
      </c>
    </row>
    <row r="745" spans="1:12" x14ac:dyDescent="0.25">
      <c r="A745">
        <v>743</v>
      </c>
      <c r="B745" s="1" t="s">
        <v>5237</v>
      </c>
      <c r="C745" s="1" t="s">
        <v>5238</v>
      </c>
      <c r="D745" s="1" t="s">
        <v>3117</v>
      </c>
      <c r="E745" s="1" t="s">
        <v>5239</v>
      </c>
      <c r="F745" s="1" t="s">
        <v>3800</v>
      </c>
      <c r="G745">
        <v>-10882</v>
      </c>
      <c r="H745">
        <v>-1910</v>
      </c>
      <c r="I745" s="1" t="s">
        <v>5240</v>
      </c>
      <c r="J745" s="1" t="s">
        <v>1711</v>
      </c>
      <c r="K745">
        <v>-669</v>
      </c>
      <c r="L745" s="1" t="s">
        <v>1712</v>
      </c>
    </row>
    <row r="746" spans="1:12" x14ac:dyDescent="0.25">
      <c r="A746">
        <v>744</v>
      </c>
      <c r="B746" s="1" t="s">
        <v>5241</v>
      </c>
      <c r="C746" s="1" t="s">
        <v>5242</v>
      </c>
      <c r="D746" s="1" t="s">
        <v>4304</v>
      </c>
      <c r="E746" s="1" t="s">
        <v>5243</v>
      </c>
      <c r="F746" s="1" t="s">
        <v>5244</v>
      </c>
      <c r="G746">
        <v>-13835</v>
      </c>
      <c r="H746">
        <v>-3921</v>
      </c>
      <c r="I746" s="1" t="s">
        <v>5245</v>
      </c>
      <c r="J746" s="1" t="s">
        <v>5246</v>
      </c>
      <c r="K746">
        <v>-1202</v>
      </c>
      <c r="L746" s="1" t="s">
        <v>5247</v>
      </c>
    </row>
    <row r="747" spans="1:12" x14ac:dyDescent="0.25">
      <c r="A747">
        <v>745</v>
      </c>
      <c r="B747" s="1" t="s">
        <v>5248</v>
      </c>
      <c r="C747" s="1" t="s">
        <v>5249</v>
      </c>
      <c r="D747" s="1" t="s">
        <v>656</v>
      </c>
      <c r="E747" s="1" t="s">
        <v>5250</v>
      </c>
      <c r="F747" s="1" t="s">
        <v>5251</v>
      </c>
      <c r="G747">
        <v>-21535</v>
      </c>
      <c r="H747">
        <v>-5070</v>
      </c>
      <c r="I747" s="1" t="s">
        <v>5252</v>
      </c>
      <c r="J747" s="1" t="s">
        <v>5253</v>
      </c>
      <c r="K747">
        <v>-3359</v>
      </c>
      <c r="L747" s="1" t="s">
        <v>5254</v>
      </c>
    </row>
    <row r="748" spans="1:12" x14ac:dyDescent="0.25">
      <c r="A748">
        <v>746</v>
      </c>
      <c r="B748" s="1" t="s">
        <v>5255</v>
      </c>
      <c r="C748" s="1" t="s">
        <v>5256</v>
      </c>
      <c r="D748" s="1" t="s">
        <v>229</v>
      </c>
      <c r="E748" s="1" t="s">
        <v>5257</v>
      </c>
      <c r="F748" s="1" t="s">
        <v>5258</v>
      </c>
      <c r="G748">
        <v>-15869</v>
      </c>
      <c r="H748">
        <v>-3260</v>
      </c>
      <c r="I748" s="1" t="s">
        <v>5259</v>
      </c>
      <c r="J748" s="1" t="s">
        <v>5260</v>
      </c>
      <c r="K748">
        <v>-1068</v>
      </c>
      <c r="L748" s="1" t="s">
        <v>5261</v>
      </c>
    </row>
    <row r="749" spans="1:12" x14ac:dyDescent="0.25">
      <c r="A749">
        <v>747</v>
      </c>
      <c r="B749" s="1" t="s">
        <v>5262</v>
      </c>
      <c r="C749" s="1" t="s">
        <v>5263</v>
      </c>
      <c r="D749" s="1" t="s">
        <v>4701</v>
      </c>
      <c r="E749" s="1" t="s">
        <v>5264</v>
      </c>
      <c r="F749" s="1" t="s">
        <v>5265</v>
      </c>
      <c r="G749">
        <v>-15993</v>
      </c>
      <c r="H749">
        <v>-4145</v>
      </c>
      <c r="I749" s="1" t="s">
        <v>4734</v>
      </c>
      <c r="J749" s="1" t="s">
        <v>198</v>
      </c>
      <c r="K749">
        <v>-6227</v>
      </c>
      <c r="L749" s="1" t="s">
        <v>1104</v>
      </c>
    </row>
    <row r="750" spans="1:12" x14ac:dyDescent="0.25">
      <c r="A750">
        <v>748</v>
      </c>
      <c r="B750" s="1" t="s">
        <v>5266</v>
      </c>
      <c r="C750" s="1" t="s">
        <v>5267</v>
      </c>
      <c r="D750" s="1" t="s">
        <v>1656</v>
      </c>
      <c r="E750" s="1" t="s">
        <v>5268</v>
      </c>
      <c r="F750" s="1" t="s">
        <v>5269</v>
      </c>
      <c r="G750">
        <v>-10791</v>
      </c>
      <c r="H750">
        <v>-3447</v>
      </c>
      <c r="I750" s="1" t="s">
        <v>5270</v>
      </c>
      <c r="J750" s="1" t="s">
        <v>5271</v>
      </c>
      <c r="K750">
        <v>-2323</v>
      </c>
      <c r="L750" s="1" t="s">
        <v>5272</v>
      </c>
    </row>
    <row r="751" spans="1:12" x14ac:dyDescent="0.25">
      <c r="A751">
        <v>749</v>
      </c>
      <c r="B751" s="1" t="s">
        <v>5273</v>
      </c>
      <c r="C751" s="1" t="s">
        <v>5274</v>
      </c>
      <c r="D751" s="1" t="s">
        <v>3930</v>
      </c>
      <c r="E751" s="1" t="s">
        <v>5275</v>
      </c>
      <c r="F751" s="1" t="s">
        <v>5276</v>
      </c>
      <c r="G751">
        <v>-22131</v>
      </c>
      <c r="H751">
        <v>-4267</v>
      </c>
      <c r="I751" s="1" t="s">
        <v>5277</v>
      </c>
      <c r="J751" s="1" t="s">
        <v>5278</v>
      </c>
      <c r="K751">
        <v>365243</v>
      </c>
      <c r="L751" s="1" t="s">
        <v>5279</v>
      </c>
    </row>
    <row r="752" spans="1:12" x14ac:dyDescent="0.25">
      <c r="A752">
        <v>750</v>
      </c>
      <c r="B752" s="1" t="s">
        <v>5280</v>
      </c>
      <c r="C752" s="1" t="s">
        <v>5281</v>
      </c>
      <c r="D752" s="1" t="s">
        <v>4429</v>
      </c>
      <c r="E752" s="1" t="s">
        <v>5282</v>
      </c>
      <c r="F752" s="1" t="s">
        <v>5283</v>
      </c>
      <c r="G752">
        <v>-9981</v>
      </c>
      <c r="H752">
        <v>-2574</v>
      </c>
      <c r="I752" s="1" t="s">
        <v>5284</v>
      </c>
      <c r="J752" s="1" t="s">
        <v>5285</v>
      </c>
      <c r="K752">
        <v>-206</v>
      </c>
      <c r="L752" s="1" t="s">
        <v>5286</v>
      </c>
    </row>
    <row r="753" spans="1:12" x14ac:dyDescent="0.25">
      <c r="A753">
        <v>751</v>
      </c>
      <c r="B753" s="1" t="s">
        <v>5287</v>
      </c>
      <c r="C753" s="1" t="s">
        <v>5288</v>
      </c>
      <c r="D753" s="1" t="s">
        <v>2274</v>
      </c>
      <c r="E753" s="1" t="s">
        <v>5289</v>
      </c>
      <c r="F753" s="1" t="s">
        <v>5290</v>
      </c>
      <c r="G753">
        <v>-21317</v>
      </c>
      <c r="H753">
        <v>-3917</v>
      </c>
      <c r="I753" s="1" t="s">
        <v>5291</v>
      </c>
      <c r="J753" s="1" t="s">
        <v>5292</v>
      </c>
      <c r="K753">
        <v>-1666</v>
      </c>
      <c r="L753" s="1" t="s">
        <v>5293</v>
      </c>
    </row>
    <row r="754" spans="1:12" x14ac:dyDescent="0.25">
      <c r="A754">
        <v>752</v>
      </c>
      <c r="B754" s="1" t="s">
        <v>5294</v>
      </c>
      <c r="C754" s="1" t="s">
        <v>5295</v>
      </c>
      <c r="D754" s="1" t="s">
        <v>2752</v>
      </c>
      <c r="E754" s="1" t="s">
        <v>5296</v>
      </c>
      <c r="F754" s="1" t="s">
        <v>5297</v>
      </c>
      <c r="G754">
        <v>-11990</v>
      </c>
      <c r="H754">
        <v>-2797</v>
      </c>
      <c r="I754" s="1" t="s">
        <v>5298</v>
      </c>
      <c r="J754" s="1" t="s">
        <v>5299</v>
      </c>
      <c r="K754">
        <v>-550</v>
      </c>
      <c r="L754" s="1" t="s">
        <v>5300</v>
      </c>
    </row>
    <row r="755" spans="1:12" x14ac:dyDescent="0.25">
      <c r="A755">
        <v>753</v>
      </c>
      <c r="B755" s="1" t="s">
        <v>5301</v>
      </c>
      <c r="C755" s="1" t="s">
        <v>5302</v>
      </c>
      <c r="D755" s="1" t="s">
        <v>3660</v>
      </c>
      <c r="E755" s="1" t="s">
        <v>5303</v>
      </c>
      <c r="F755" s="1" t="s">
        <v>5304</v>
      </c>
      <c r="G755">
        <v>-12002</v>
      </c>
      <c r="H755">
        <v>-3168</v>
      </c>
      <c r="I755" s="1" t="s">
        <v>5305</v>
      </c>
      <c r="J755" s="1" t="s">
        <v>5306</v>
      </c>
      <c r="K755">
        <v>-1251</v>
      </c>
      <c r="L755" s="1" t="s">
        <v>5307</v>
      </c>
    </row>
    <row r="756" spans="1:12" x14ac:dyDescent="0.25">
      <c r="A756">
        <v>754</v>
      </c>
      <c r="B756" s="1" t="s">
        <v>5308</v>
      </c>
      <c r="C756" s="1" t="s">
        <v>5309</v>
      </c>
      <c r="D756" s="1" t="s">
        <v>4062</v>
      </c>
      <c r="E756" s="1" t="s">
        <v>5310</v>
      </c>
      <c r="F756" s="1" t="s">
        <v>5311</v>
      </c>
      <c r="G756">
        <v>-19100</v>
      </c>
      <c r="H756">
        <v>-2564</v>
      </c>
      <c r="I756" s="1" t="s">
        <v>5312</v>
      </c>
      <c r="J756" s="1" t="s">
        <v>5313</v>
      </c>
      <c r="K756">
        <v>-239</v>
      </c>
      <c r="L756" s="1" t="s">
        <v>5314</v>
      </c>
    </row>
    <row r="757" spans="1:12" x14ac:dyDescent="0.25">
      <c r="A757">
        <v>755</v>
      </c>
      <c r="B757" s="1" t="s">
        <v>5315</v>
      </c>
      <c r="C757" s="1" t="s">
        <v>5316</v>
      </c>
      <c r="D757" s="1" t="s">
        <v>1999</v>
      </c>
      <c r="E757" s="1" t="s">
        <v>5317</v>
      </c>
      <c r="F757" s="1" t="s">
        <v>5318</v>
      </c>
      <c r="G757">
        <v>-21988</v>
      </c>
      <c r="H757">
        <v>-4806</v>
      </c>
      <c r="I757" s="1" t="s">
        <v>3709</v>
      </c>
      <c r="J757" s="1" t="s">
        <v>198</v>
      </c>
      <c r="K757">
        <v>365243</v>
      </c>
      <c r="L757" s="1" t="s">
        <v>1104</v>
      </c>
    </row>
    <row r="758" spans="1:12" x14ac:dyDescent="0.25">
      <c r="A758">
        <v>756</v>
      </c>
      <c r="B758" s="1" t="s">
        <v>5319</v>
      </c>
      <c r="C758" s="1" t="s">
        <v>5320</v>
      </c>
      <c r="D758" s="1" t="s">
        <v>1290</v>
      </c>
      <c r="E758" s="1" t="s">
        <v>5321</v>
      </c>
      <c r="F758" s="1" t="s">
        <v>5322</v>
      </c>
      <c r="G758">
        <v>-11802</v>
      </c>
      <c r="H758">
        <v>-4045</v>
      </c>
      <c r="I758" s="1" t="s">
        <v>5323</v>
      </c>
      <c r="J758" s="1" t="s">
        <v>1111</v>
      </c>
      <c r="K758">
        <v>-411</v>
      </c>
      <c r="L758" s="1" t="s">
        <v>1112</v>
      </c>
    </row>
    <row r="759" spans="1:12" x14ac:dyDescent="0.25">
      <c r="A759">
        <v>757</v>
      </c>
      <c r="B759" s="1" t="s">
        <v>5324</v>
      </c>
      <c r="C759" s="1" t="s">
        <v>5325</v>
      </c>
      <c r="D759" s="1" t="s">
        <v>54</v>
      </c>
      <c r="E759" s="1" t="s">
        <v>5326</v>
      </c>
      <c r="F759" s="1" t="s">
        <v>5327</v>
      </c>
      <c r="G759">
        <v>-18959</v>
      </c>
      <c r="H759">
        <v>-2511</v>
      </c>
      <c r="I759" s="1" t="s">
        <v>5328</v>
      </c>
      <c r="J759" s="1" t="s">
        <v>5329</v>
      </c>
      <c r="K759">
        <v>-58</v>
      </c>
      <c r="L759" s="1" t="s">
        <v>5330</v>
      </c>
    </row>
    <row r="760" spans="1:12" x14ac:dyDescent="0.25">
      <c r="A760">
        <v>758</v>
      </c>
      <c r="B760" s="1" t="s">
        <v>5331</v>
      </c>
      <c r="C760" s="1" t="s">
        <v>5332</v>
      </c>
      <c r="D760" s="1" t="s">
        <v>5333</v>
      </c>
      <c r="E760" s="1" t="s">
        <v>5334</v>
      </c>
      <c r="F760" s="1" t="s">
        <v>5335</v>
      </c>
      <c r="G760">
        <v>-20246</v>
      </c>
      <c r="H760">
        <v>-3804</v>
      </c>
      <c r="I760" s="1" t="s">
        <v>5336</v>
      </c>
      <c r="J760" s="1" t="s">
        <v>1718</v>
      </c>
      <c r="K760">
        <v>-5076</v>
      </c>
      <c r="L760" s="1" t="s">
        <v>1719</v>
      </c>
    </row>
    <row r="761" spans="1:12" x14ac:dyDescent="0.25">
      <c r="A761">
        <v>759</v>
      </c>
      <c r="B761" s="1" t="s">
        <v>5337</v>
      </c>
      <c r="C761" s="1" t="s">
        <v>5338</v>
      </c>
      <c r="D761" s="1" t="s">
        <v>5339</v>
      </c>
      <c r="E761" s="1" t="s">
        <v>5340</v>
      </c>
      <c r="F761" s="1" t="s">
        <v>5341</v>
      </c>
      <c r="G761">
        <v>-22505</v>
      </c>
      <c r="H761">
        <v>-1107</v>
      </c>
      <c r="I761" s="1" t="s">
        <v>5342</v>
      </c>
      <c r="J761" s="1" t="s">
        <v>5343</v>
      </c>
      <c r="K761">
        <v>365243</v>
      </c>
      <c r="L761" s="1" t="s">
        <v>5344</v>
      </c>
    </row>
    <row r="762" spans="1:12" x14ac:dyDescent="0.25">
      <c r="A762">
        <v>760</v>
      </c>
      <c r="B762" s="1" t="s">
        <v>5345</v>
      </c>
      <c r="C762" s="1" t="s">
        <v>5346</v>
      </c>
      <c r="D762" s="1" t="s">
        <v>5347</v>
      </c>
      <c r="E762" s="1" t="s">
        <v>5348</v>
      </c>
      <c r="F762" s="1" t="s">
        <v>5349</v>
      </c>
      <c r="G762">
        <v>-14837</v>
      </c>
      <c r="H762">
        <v>-3943</v>
      </c>
      <c r="I762" s="1" t="s">
        <v>5350</v>
      </c>
      <c r="J762" s="1" t="s">
        <v>5351</v>
      </c>
      <c r="K762">
        <v>-612</v>
      </c>
      <c r="L762" s="1" t="s">
        <v>5352</v>
      </c>
    </row>
    <row r="763" spans="1:12" x14ac:dyDescent="0.25">
      <c r="A763">
        <v>761</v>
      </c>
      <c r="B763" s="1" t="s">
        <v>5353</v>
      </c>
      <c r="C763" s="1" t="s">
        <v>5354</v>
      </c>
      <c r="D763" s="1" t="s">
        <v>649</v>
      </c>
      <c r="E763" s="1" t="s">
        <v>5355</v>
      </c>
      <c r="F763" s="1" t="s">
        <v>5356</v>
      </c>
      <c r="G763">
        <v>-19180</v>
      </c>
      <c r="H763">
        <v>-2687</v>
      </c>
      <c r="I763" s="1" t="s">
        <v>5357</v>
      </c>
      <c r="J763" s="1" t="s">
        <v>5358</v>
      </c>
      <c r="K763">
        <v>-5371</v>
      </c>
      <c r="L763" s="1" t="s">
        <v>5359</v>
      </c>
    </row>
    <row r="764" spans="1:12" x14ac:dyDescent="0.25">
      <c r="A764">
        <v>762</v>
      </c>
      <c r="B764" s="1" t="s">
        <v>5360</v>
      </c>
      <c r="C764" s="1" t="s">
        <v>5361</v>
      </c>
      <c r="D764" s="1" t="s">
        <v>595</v>
      </c>
      <c r="E764" s="1" t="s">
        <v>5362</v>
      </c>
      <c r="F764" s="1" t="s">
        <v>5363</v>
      </c>
      <c r="G764">
        <v>-22813</v>
      </c>
      <c r="H764">
        <v>-4467</v>
      </c>
      <c r="I764" s="1" t="s">
        <v>5364</v>
      </c>
      <c r="J764" s="1" t="s">
        <v>404</v>
      </c>
      <c r="K764">
        <v>365243</v>
      </c>
      <c r="L764" s="1" t="s">
        <v>764</v>
      </c>
    </row>
    <row r="765" spans="1:12" x14ac:dyDescent="0.25">
      <c r="A765">
        <v>763</v>
      </c>
      <c r="B765" s="1" t="s">
        <v>5365</v>
      </c>
      <c r="C765" s="1" t="s">
        <v>5366</v>
      </c>
      <c r="D765" s="1" t="s">
        <v>2810</v>
      </c>
      <c r="E765" s="1" t="s">
        <v>5367</v>
      </c>
      <c r="F765" s="1" t="s">
        <v>5368</v>
      </c>
      <c r="G765">
        <v>-16708</v>
      </c>
      <c r="H765">
        <v>-246</v>
      </c>
      <c r="I765" s="1" t="s">
        <v>5369</v>
      </c>
      <c r="J765" s="1" t="s">
        <v>5370</v>
      </c>
      <c r="K765">
        <v>-9551</v>
      </c>
      <c r="L765" s="1" t="s">
        <v>5371</v>
      </c>
    </row>
    <row r="766" spans="1:12" x14ac:dyDescent="0.25">
      <c r="A766">
        <v>764</v>
      </c>
      <c r="B766" s="1" t="s">
        <v>5372</v>
      </c>
      <c r="C766" s="1" t="s">
        <v>5373</v>
      </c>
      <c r="D766" s="1" t="s">
        <v>180</v>
      </c>
      <c r="E766" s="1" t="s">
        <v>5374</v>
      </c>
      <c r="F766" s="1" t="s">
        <v>5375</v>
      </c>
      <c r="G766">
        <v>-11987</v>
      </c>
      <c r="H766">
        <v>-1357</v>
      </c>
      <c r="I766" s="1" t="s">
        <v>5376</v>
      </c>
      <c r="J766" s="1" t="s">
        <v>5377</v>
      </c>
      <c r="K766">
        <v>-415</v>
      </c>
      <c r="L766" s="1" t="s">
        <v>5378</v>
      </c>
    </row>
    <row r="767" spans="1:12" x14ac:dyDescent="0.25">
      <c r="A767">
        <v>765</v>
      </c>
      <c r="B767" s="1" t="s">
        <v>5379</v>
      </c>
      <c r="C767" s="1" t="s">
        <v>5380</v>
      </c>
      <c r="D767" s="1" t="s">
        <v>488</v>
      </c>
      <c r="E767" s="1" t="s">
        <v>5381</v>
      </c>
      <c r="F767" s="1" t="s">
        <v>5382</v>
      </c>
      <c r="G767">
        <v>-13389</v>
      </c>
      <c r="H767">
        <v>-4281</v>
      </c>
      <c r="I767" s="1" t="s">
        <v>5383</v>
      </c>
      <c r="J767" s="1" t="s">
        <v>5384</v>
      </c>
      <c r="K767">
        <v>-4278</v>
      </c>
      <c r="L767" s="1" t="s">
        <v>5385</v>
      </c>
    </row>
    <row r="768" spans="1:12" x14ac:dyDescent="0.25">
      <c r="A768">
        <v>766</v>
      </c>
      <c r="B768" s="1" t="s">
        <v>5386</v>
      </c>
      <c r="C768" s="1" t="s">
        <v>5387</v>
      </c>
      <c r="D768" s="1" t="s">
        <v>4770</v>
      </c>
      <c r="E768" s="1" t="s">
        <v>5388</v>
      </c>
      <c r="F768" s="1" t="s">
        <v>5389</v>
      </c>
      <c r="G768">
        <v>-14646</v>
      </c>
      <c r="H768">
        <v>-3987</v>
      </c>
      <c r="I768" s="1" t="s">
        <v>5390</v>
      </c>
      <c r="J768" s="1" t="s">
        <v>5391</v>
      </c>
      <c r="K768">
        <v>-2291</v>
      </c>
      <c r="L768" s="1" t="s">
        <v>5392</v>
      </c>
    </row>
    <row r="769" spans="1:12" x14ac:dyDescent="0.25">
      <c r="A769">
        <v>767</v>
      </c>
      <c r="B769" s="1" t="s">
        <v>5393</v>
      </c>
      <c r="C769" s="1" t="s">
        <v>5394</v>
      </c>
      <c r="D769" s="1" t="s">
        <v>697</v>
      </c>
      <c r="E769" s="1" t="s">
        <v>5395</v>
      </c>
      <c r="F769" s="1" t="s">
        <v>5396</v>
      </c>
      <c r="G769">
        <v>-22870</v>
      </c>
      <c r="H769">
        <v>-4388</v>
      </c>
      <c r="I769" s="1" t="s">
        <v>5397</v>
      </c>
      <c r="J769" s="1" t="s">
        <v>5398</v>
      </c>
      <c r="K769">
        <v>365243</v>
      </c>
      <c r="L769" s="1" t="s">
        <v>5399</v>
      </c>
    </row>
    <row r="770" spans="1:12" x14ac:dyDescent="0.25">
      <c r="A770">
        <v>768</v>
      </c>
      <c r="B770" s="1" t="s">
        <v>5400</v>
      </c>
      <c r="C770" s="1" t="s">
        <v>5401</v>
      </c>
      <c r="D770" s="1" t="s">
        <v>1553</v>
      </c>
      <c r="E770" s="1" t="s">
        <v>5402</v>
      </c>
      <c r="F770" s="1" t="s">
        <v>5403</v>
      </c>
      <c r="G770">
        <v>-12161</v>
      </c>
      <c r="H770">
        <v>-4078</v>
      </c>
      <c r="I770" s="1" t="s">
        <v>5404</v>
      </c>
      <c r="J770" s="1" t="s">
        <v>1541</v>
      </c>
      <c r="K770">
        <v>-1918</v>
      </c>
      <c r="L770" s="1" t="s">
        <v>2626</v>
      </c>
    </row>
    <row r="771" spans="1:12" x14ac:dyDescent="0.25">
      <c r="A771">
        <v>769</v>
      </c>
      <c r="B771" s="1" t="s">
        <v>5405</v>
      </c>
      <c r="C771" s="1" t="s">
        <v>5406</v>
      </c>
      <c r="D771" s="1" t="s">
        <v>1961</v>
      </c>
      <c r="E771" s="1" t="s">
        <v>5407</v>
      </c>
      <c r="F771" s="1" t="s">
        <v>5408</v>
      </c>
      <c r="G771">
        <v>-15607</v>
      </c>
      <c r="H771">
        <v>-4879</v>
      </c>
      <c r="I771" s="1" t="s">
        <v>5409</v>
      </c>
      <c r="J771" s="1" t="s">
        <v>3722</v>
      </c>
      <c r="K771">
        <v>-2185</v>
      </c>
      <c r="L771" s="1" t="s">
        <v>3723</v>
      </c>
    </row>
    <row r="772" spans="1:12" x14ac:dyDescent="0.25">
      <c r="A772">
        <v>770</v>
      </c>
      <c r="B772" s="1" t="s">
        <v>5410</v>
      </c>
      <c r="C772" s="1" t="s">
        <v>5411</v>
      </c>
      <c r="D772" s="1" t="s">
        <v>442</v>
      </c>
      <c r="E772" s="1" t="s">
        <v>5412</v>
      </c>
      <c r="F772" s="1" t="s">
        <v>5227</v>
      </c>
      <c r="G772">
        <v>-12064</v>
      </c>
      <c r="H772">
        <v>-2241</v>
      </c>
      <c r="I772" s="1" t="s">
        <v>5413</v>
      </c>
      <c r="J772" s="1" t="s">
        <v>2576</v>
      </c>
      <c r="K772">
        <v>-2645</v>
      </c>
      <c r="L772" s="1" t="s">
        <v>5414</v>
      </c>
    </row>
    <row r="773" spans="1:12" x14ac:dyDescent="0.25">
      <c r="A773">
        <v>771</v>
      </c>
      <c r="B773" s="1" t="s">
        <v>5415</v>
      </c>
      <c r="C773" s="1" t="s">
        <v>5416</v>
      </c>
      <c r="D773" s="1" t="s">
        <v>1276</v>
      </c>
      <c r="E773" s="1" t="s">
        <v>5417</v>
      </c>
      <c r="F773" s="1" t="s">
        <v>5418</v>
      </c>
      <c r="G773">
        <v>-18289</v>
      </c>
      <c r="H773">
        <v>-1623</v>
      </c>
      <c r="I773" s="1" t="s">
        <v>5419</v>
      </c>
      <c r="J773" s="1" t="s">
        <v>5420</v>
      </c>
      <c r="K773">
        <v>-4986</v>
      </c>
      <c r="L773" s="1" t="s">
        <v>5421</v>
      </c>
    </row>
    <row r="774" spans="1:12" x14ac:dyDescent="0.25">
      <c r="A774">
        <v>772</v>
      </c>
      <c r="B774" s="1" t="s">
        <v>5422</v>
      </c>
      <c r="C774" s="1" t="s">
        <v>5423</v>
      </c>
      <c r="D774" s="1" t="s">
        <v>54</v>
      </c>
      <c r="E774" s="1" t="s">
        <v>5424</v>
      </c>
      <c r="F774" s="1" t="s">
        <v>4051</v>
      </c>
      <c r="G774">
        <v>-12129</v>
      </c>
      <c r="H774">
        <v>-4317</v>
      </c>
      <c r="I774" s="1" t="s">
        <v>5425</v>
      </c>
      <c r="J774" s="1" t="s">
        <v>5426</v>
      </c>
      <c r="K774">
        <v>-472</v>
      </c>
      <c r="L774" s="1" t="s">
        <v>5427</v>
      </c>
    </row>
    <row r="775" spans="1:12" x14ac:dyDescent="0.25">
      <c r="A775">
        <v>773</v>
      </c>
      <c r="B775" s="1" t="s">
        <v>5428</v>
      </c>
      <c r="C775" s="1" t="s">
        <v>5429</v>
      </c>
      <c r="D775" s="1" t="s">
        <v>5430</v>
      </c>
      <c r="E775" s="1" t="s">
        <v>5431</v>
      </c>
      <c r="F775" s="1" t="s">
        <v>5432</v>
      </c>
      <c r="G775">
        <v>-11639</v>
      </c>
      <c r="H775">
        <v>-3430</v>
      </c>
      <c r="I775" s="1" t="s">
        <v>5433</v>
      </c>
      <c r="J775" s="1" t="s">
        <v>5434</v>
      </c>
      <c r="K775">
        <v>-416</v>
      </c>
      <c r="L775" s="1" t="s">
        <v>5435</v>
      </c>
    </row>
    <row r="776" spans="1:12" x14ac:dyDescent="0.25">
      <c r="A776">
        <v>774</v>
      </c>
      <c r="B776" s="1" t="s">
        <v>5436</v>
      </c>
      <c r="C776" s="1" t="s">
        <v>5437</v>
      </c>
      <c r="D776" s="1" t="s">
        <v>3638</v>
      </c>
      <c r="E776" s="1" t="s">
        <v>5438</v>
      </c>
      <c r="F776" s="1" t="s">
        <v>5439</v>
      </c>
      <c r="G776">
        <v>-10860</v>
      </c>
      <c r="H776">
        <v>-3528</v>
      </c>
      <c r="I776" s="1" t="s">
        <v>1189</v>
      </c>
      <c r="J776" s="1" t="s">
        <v>198</v>
      </c>
      <c r="K776">
        <v>-951</v>
      </c>
      <c r="L776" s="1" t="s">
        <v>1495</v>
      </c>
    </row>
    <row r="777" spans="1:12" x14ac:dyDescent="0.25">
      <c r="A777">
        <v>775</v>
      </c>
      <c r="B777" s="1" t="s">
        <v>5440</v>
      </c>
      <c r="C777" s="1" t="s">
        <v>5441</v>
      </c>
      <c r="D777" s="1" t="s">
        <v>2572</v>
      </c>
      <c r="E777" s="1" t="s">
        <v>5442</v>
      </c>
      <c r="F777" s="1" t="s">
        <v>5443</v>
      </c>
      <c r="G777">
        <v>-12660</v>
      </c>
      <c r="H777">
        <v>-4376</v>
      </c>
      <c r="I777" s="1" t="s">
        <v>5444</v>
      </c>
      <c r="J777" s="1" t="s">
        <v>5445</v>
      </c>
      <c r="K777">
        <v>-463</v>
      </c>
      <c r="L777" s="1" t="s">
        <v>5446</v>
      </c>
    </row>
    <row r="778" spans="1:12" x14ac:dyDescent="0.25">
      <c r="A778">
        <v>776</v>
      </c>
      <c r="B778" s="1" t="s">
        <v>5447</v>
      </c>
      <c r="C778" s="1" t="s">
        <v>5448</v>
      </c>
      <c r="D778" s="1" t="s">
        <v>350</v>
      </c>
      <c r="E778" s="1" t="s">
        <v>5449</v>
      </c>
      <c r="F778" s="1" t="s">
        <v>5450</v>
      </c>
      <c r="G778">
        <v>-13944</v>
      </c>
      <c r="H778">
        <v>-4669</v>
      </c>
      <c r="I778" s="1" t="s">
        <v>5451</v>
      </c>
      <c r="J778" s="1" t="s">
        <v>5452</v>
      </c>
      <c r="K778">
        <v>-2560</v>
      </c>
      <c r="L778" s="1" t="s">
        <v>5453</v>
      </c>
    </row>
    <row r="779" spans="1:12" x14ac:dyDescent="0.25">
      <c r="A779">
        <v>777</v>
      </c>
      <c r="B779" s="1" t="s">
        <v>5454</v>
      </c>
      <c r="C779" s="1" t="s">
        <v>5455</v>
      </c>
      <c r="D779" s="1" t="s">
        <v>2483</v>
      </c>
      <c r="E779" s="1" t="s">
        <v>5456</v>
      </c>
      <c r="F779" s="1" t="s">
        <v>5457</v>
      </c>
      <c r="G779">
        <v>-20516</v>
      </c>
      <c r="H779">
        <v>-4080</v>
      </c>
      <c r="I779" s="1" t="s">
        <v>5458</v>
      </c>
      <c r="J779" s="1" t="s">
        <v>5459</v>
      </c>
      <c r="K779">
        <v>-3770</v>
      </c>
      <c r="L779" s="1" t="s">
        <v>5460</v>
      </c>
    </row>
    <row r="780" spans="1:12" x14ac:dyDescent="0.25">
      <c r="A780">
        <v>778</v>
      </c>
      <c r="B780" s="1" t="s">
        <v>5461</v>
      </c>
      <c r="C780" s="1" t="s">
        <v>5462</v>
      </c>
      <c r="D780" s="1" t="s">
        <v>3630</v>
      </c>
      <c r="E780" s="1" t="s">
        <v>5463</v>
      </c>
      <c r="F780" s="1" t="s">
        <v>5464</v>
      </c>
      <c r="G780">
        <v>-22299</v>
      </c>
      <c r="H780">
        <v>-1628</v>
      </c>
      <c r="I780" s="1" t="s">
        <v>5465</v>
      </c>
      <c r="J780" s="1" t="s">
        <v>198</v>
      </c>
      <c r="K780">
        <v>-2742</v>
      </c>
      <c r="L780" s="1" t="s">
        <v>1190</v>
      </c>
    </row>
    <row r="781" spans="1:12" x14ac:dyDescent="0.25">
      <c r="A781">
        <v>779</v>
      </c>
      <c r="B781" s="1" t="s">
        <v>5466</v>
      </c>
      <c r="C781" s="1" t="s">
        <v>5467</v>
      </c>
      <c r="D781" s="1" t="s">
        <v>2629</v>
      </c>
      <c r="E781" s="1" t="s">
        <v>5468</v>
      </c>
      <c r="F781" s="1" t="s">
        <v>5147</v>
      </c>
      <c r="G781">
        <v>-22029</v>
      </c>
      <c r="H781">
        <v>-4212</v>
      </c>
      <c r="I781" s="1" t="s">
        <v>5469</v>
      </c>
      <c r="J781" s="1" t="s">
        <v>5470</v>
      </c>
      <c r="K781">
        <v>365243</v>
      </c>
      <c r="L781" s="1" t="s">
        <v>5471</v>
      </c>
    </row>
    <row r="782" spans="1:12" x14ac:dyDescent="0.25">
      <c r="A782">
        <v>780</v>
      </c>
      <c r="B782" s="1" t="s">
        <v>5472</v>
      </c>
      <c r="C782" s="1" t="s">
        <v>5473</v>
      </c>
      <c r="D782" s="1" t="s">
        <v>2132</v>
      </c>
      <c r="E782" s="1" t="s">
        <v>5474</v>
      </c>
      <c r="F782" s="1" t="s">
        <v>5475</v>
      </c>
      <c r="G782">
        <v>-14376</v>
      </c>
      <c r="H782">
        <v>-4640</v>
      </c>
      <c r="I782" s="1" t="s">
        <v>5476</v>
      </c>
      <c r="J782" s="1" t="s">
        <v>5477</v>
      </c>
      <c r="K782">
        <v>-295</v>
      </c>
      <c r="L782" s="1" t="s">
        <v>3397</v>
      </c>
    </row>
    <row r="783" spans="1:12" x14ac:dyDescent="0.25">
      <c r="A783">
        <v>781</v>
      </c>
      <c r="B783" s="1" t="s">
        <v>5478</v>
      </c>
      <c r="C783" s="1" t="s">
        <v>5479</v>
      </c>
      <c r="D783" s="1" t="s">
        <v>229</v>
      </c>
      <c r="E783" s="1" t="s">
        <v>5480</v>
      </c>
      <c r="F783" s="1" t="s">
        <v>5481</v>
      </c>
      <c r="G783">
        <v>-14095</v>
      </c>
      <c r="H783">
        <v>-4900</v>
      </c>
      <c r="I783" s="1" t="s">
        <v>5482</v>
      </c>
      <c r="J783" s="1" t="s">
        <v>3461</v>
      </c>
      <c r="K783">
        <v>-320</v>
      </c>
      <c r="L783" s="1" t="s">
        <v>2661</v>
      </c>
    </row>
    <row r="784" spans="1:12" x14ac:dyDescent="0.25">
      <c r="A784">
        <v>782</v>
      </c>
      <c r="B784" s="1" t="s">
        <v>5483</v>
      </c>
      <c r="C784" s="1" t="s">
        <v>5484</v>
      </c>
      <c r="D784" s="1" t="s">
        <v>3731</v>
      </c>
      <c r="E784" s="1" t="s">
        <v>5485</v>
      </c>
      <c r="F784" s="1" t="s">
        <v>5486</v>
      </c>
      <c r="G784">
        <v>-24669</v>
      </c>
      <c r="H784">
        <v>-1174</v>
      </c>
      <c r="I784" s="1" t="s">
        <v>5487</v>
      </c>
      <c r="J784" s="1" t="s">
        <v>5488</v>
      </c>
      <c r="K784">
        <v>365243</v>
      </c>
      <c r="L784" s="1" t="s">
        <v>5489</v>
      </c>
    </row>
    <row r="785" spans="1:12" x14ac:dyDescent="0.25">
      <c r="A785">
        <v>783</v>
      </c>
      <c r="B785" s="1" t="s">
        <v>5490</v>
      </c>
      <c r="C785" s="1" t="s">
        <v>5491</v>
      </c>
      <c r="D785" s="1" t="s">
        <v>54</v>
      </c>
      <c r="E785" s="1" t="s">
        <v>5492</v>
      </c>
      <c r="F785" s="1" t="s">
        <v>5493</v>
      </c>
      <c r="G785">
        <v>-24266</v>
      </c>
      <c r="H785">
        <v>-4383</v>
      </c>
      <c r="I785" s="1" t="s">
        <v>5494</v>
      </c>
      <c r="J785" s="1" t="s">
        <v>5495</v>
      </c>
      <c r="K785">
        <v>365243</v>
      </c>
      <c r="L785" s="1" t="s">
        <v>5496</v>
      </c>
    </row>
    <row r="786" spans="1:12" x14ac:dyDescent="0.25">
      <c r="A786">
        <v>784</v>
      </c>
      <c r="B786" s="1" t="s">
        <v>5497</v>
      </c>
      <c r="C786" s="1" t="s">
        <v>5498</v>
      </c>
      <c r="D786" s="1" t="s">
        <v>5499</v>
      </c>
      <c r="E786" s="1" t="s">
        <v>5500</v>
      </c>
      <c r="F786" s="1" t="s">
        <v>5501</v>
      </c>
      <c r="G786">
        <v>-9704</v>
      </c>
      <c r="H786">
        <v>-2317</v>
      </c>
      <c r="I786" s="1" t="s">
        <v>5502</v>
      </c>
      <c r="J786" s="1" t="s">
        <v>5503</v>
      </c>
      <c r="K786">
        <v>-2583</v>
      </c>
      <c r="L786" s="1" t="s">
        <v>5504</v>
      </c>
    </row>
    <row r="787" spans="1:12" x14ac:dyDescent="0.25">
      <c r="A787">
        <v>785</v>
      </c>
      <c r="B787" s="1" t="s">
        <v>5505</v>
      </c>
      <c r="C787" s="1" t="s">
        <v>5506</v>
      </c>
      <c r="D787" s="1" t="s">
        <v>1656</v>
      </c>
      <c r="E787" s="1" t="s">
        <v>5507</v>
      </c>
      <c r="F787" s="1" t="s">
        <v>5508</v>
      </c>
      <c r="G787">
        <v>-11777</v>
      </c>
      <c r="H787">
        <v>-3834</v>
      </c>
      <c r="I787" s="1" t="s">
        <v>5509</v>
      </c>
      <c r="J787" s="1" t="s">
        <v>5510</v>
      </c>
      <c r="K787">
        <v>-5071</v>
      </c>
      <c r="L787" s="1" t="s">
        <v>5511</v>
      </c>
    </row>
    <row r="788" spans="1:12" x14ac:dyDescent="0.25">
      <c r="A788">
        <v>786</v>
      </c>
      <c r="B788" s="1" t="s">
        <v>5512</v>
      </c>
      <c r="C788" s="1" t="s">
        <v>5513</v>
      </c>
      <c r="D788" s="1" t="s">
        <v>5514</v>
      </c>
      <c r="E788" s="1" t="s">
        <v>5515</v>
      </c>
      <c r="F788" s="1" t="s">
        <v>4772</v>
      </c>
      <c r="G788">
        <v>-21159</v>
      </c>
      <c r="H788">
        <v>-4340</v>
      </c>
      <c r="I788" s="1" t="s">
        <v>5516</v>
      </c>
      <c r="J788" s="1" t="s">
        <v>5517</v>
      </c>
      <c r="K788">
        <v>-5623</v>
      </c>
      <c r="L788" s="1" t="s">
        <v>5518</v>
      </c>
    </row>
    <row r="789" spans="1:12" x14ac:dyDescent="0.25">
      <c r="A789">
        <v>787</v>
      </c>
      <c r="B789" s="1" t="s">
        <v>5519</v>
      </c>
      <c r="C789" s="1" t="s">
        <v>5520</v>
      </c>
      <c r="D789" s="1" t="s">
        <v>5521</v>
      </c>
      <c r="E789" s="1" t="s">
        <v>5522</v>
      </c>
      <c r="F789" s="1" t="s">
        <v>5523</v>
      </c>
      <c r="G789">
        <v>-12834</v>
      </c>
      <c r="H789">
        <v>-396</v>
      </c>
      <c r="I789" s="1" t="s">
        <v>5524</v>
      </c>
      <c r="J789" s="1" t="s">
        <v>893</v>
      </c>
      <c r="K789">
        <v>-1378</v>
      </c>
      <c r="L789" s="1" t="s">
        <v>894</v>
      </c>
    </row>
    <row r="790" spans="1:12" x14ac:dyDescent="0.25">
      <c r="A790">
        <v>788</v>
      </c>
      <c r="B790" s="1" t="s">
        <v>5525</v>
      </c>
      <c r="C790" s="1" t="s">
        <v>5526</v>
      </c>
      <c r="D790" s="1" t="s">
        <v>1737</v>
      </c>
      <c r="E790" s="1" t="s">
        <v>5527</v>
      </c>
      <c r="F790" s="1" t="s">
        <v>5528</v>
      </c>
      <c r="G790">
        <v>-10960</v>
      </c>
      <c r="H790">
        <v>-3625</v>
      </c>
      <c r="I790" s="1" t="s">
        <v>5529</v>
      </c>
      <c r="J790" s="1" t="s">
        <v>2652</v>
      </c>
      <c r="K790">
        <v>-200</v>
      </c>
      <c r="L790" s="1" t="s">
        <v>2653</v>
      </c>
    </row>
    <row r="791" spans="1:12" x14ac:dyDescent="0.25">
      <c r="A791">
        <v>789</v>
      </c>
      <c r="B791" s="1" t="s">
        <v>5530</v>
      </c>
      <c r="C791" s="1" t="s">
        <v>5531</v>
      </c>
      <c r="D791" s="1" t="s">
        <v>521</v>
      </c>
      <c r="E791" s="1" t="s">
        <v>5532</v>
      </c>
      <c r="F791" s="1" t="s">
        <v>5533</v>
      </c>
      <c r="G791">
        <v>-12235</v>
      </c>
      <c r="H791">
        <v>-4344</v>
      </c>
      <c r="I791" s="1" t="s">
        <v>5534</v>
      </c>
      <c r="J791" s="1" t="s">
        <v>5535</v>
      </c>
      <c r="K791">
        <v>365243</v>
      </c>
      <c r="L791" s="1" t="s">
        <v>5536</v>
      </c>
    </row>
    <row r="792" spans="1:12" x14ac:dyDescent="0.25">
      <c r="A792">
        <v>790</v>
      </c>
      <c r="B792" s="1" t="s">
        <v>5537</v>
      </c>
      <c r="C792" s="1" t="s">
        <v>5538</v>
      </c>
      <c r="D792" s="1" t="s">
        <v>330</v>
      </c>
      <c r="E792" s="1" t="s">
        <v>5539</v>
      </c>
      <c r="F792" s="1" t="s">
        <v>5540</v>
      </c>
      <c r="G792">
        <v>-18354</v>
      </c>
      <c r="H792">
        <v>-1905</v>
      </c>
      <c r="I792" s="1" t="s">
        <v>5541</v>
      </c>
      <c r="J792" s="1" t="s">
        <v>170</v>
      </c>
      <c r="K792">
        <v>-2931</v>
      </c>
      <c r="L792" s="1" t="s">
        <v>729</v>
      </c>
    </row>
    <row r="793" spans="1:12" x14ac:dyDescent="0.25">
      <c r="A793">
        <v>791</v>
      </c>
      <c r="B793" s="1" t="s">
        <v>5542</v>
      </c>
      <c r="C793" s="1" t="s">
        <v>5543</v>
      </c>
      <c r="D793" s="1" t="s">
        <v>5544</v>
      </c>
      <c r="E793" s="1" t="s">
        <v>5545</v>
      </c>
      <c r="F793" s="1" t="s">
        <v>1172</v>
      </c>
      <c r="G793">
        <v>-12250</v>
      </c>
      <c r="H793">
        <v>-4098</v>
      </c>
      <c r="I793" s="1" t="s">
        <v>5546</v>
      </c>
      <c r="J793" s="1" t="s">
        <v>5547</v>
      </c>
      <c r="K793">
        <v>-256</v>
      </c>
      <c r="L793" s="1" t="s">
        <v>5548</v>
      </c>
    </row>
    <row r="794" spans="1:12" x14ac:dyDescent="0.25">
      <c r="A794">
        <v>792</v>
      </c>
      <c r="B794" s="1" t="s">
        <v>5549</v>
      </c>
      <c r="C794" s="1" t="s">
        <v>5550</v>
      </c>
      <c r="D794" s="1" t="s">
        <v>1761</v>
      </c>
      <c r="E794" s="1" t="s">
        <v>5551</v>
      </c>
      <c r="F794" s="1" t="s">
        <v>5552</v>
      </c>
      <c r="G794">
        <v>-13609</v>
      </c>
      <c r="H794">
        <v>-3754</v>
      </c>
      <c r="I794" s="1" t="s">
        <v>5553</v>
      </c>
      <c r="J794" s="1" t="s">
        <v>5554</v>
      </c>
      <c r="K794">
        <v>-301</v>
      </c>
      <c r="L794" s="1" t="s">
        <v>5555</v>
      </c>
    </row>
    <row r="795" spans="1:12" x14ac:dyDescent="0.25">
      <c r="A795">
        <v>793</v>
      </c>
      <c r="B795" s="1" t="s">
        <v>5556</v>
      </c>
      <c r="C795" s="1" t="s">
        <v>5557</v>
      </c>
      <c r="D795" s="1" t="s">
        <v>2551</v>
      </c>
      <c r="E795" s="1" t="s">
        <v>5558</v>
      </c>
      <c r="F795" s="1" t="s">
        <v>5559</v>
      </c>
      <c r="G795">
        <v>-15089</v>
      </c>
      <c r="H795">
        <v>-4471</v>
      </c>
      <c r="I795" s="1" t="s">
        <v>5560</v>
      </c>
      <c r="J795" s="1" t="s">
        <v>3566</v>
      </c>
      <c r="K795">
        <v>-1294</v>
      </c>
      <c r="L795" s="1" t="s">
        <v>3567</v>
      </c>
    </row>
    <row r="796" spans="1:12" x14ac:dyDescent="0.25">
      <c r="A796">
        <v>794</v>
      </c>
      <c r="B796" s="1" t="s">
        <v>5561</v>
      </c>
      <c r="C796" s="1" t="s">
        <v>5562</v>
      </c>
      <c r="D796" s="1" t="s">
        <v>2629</v>
      </c>
      <c r="E796" s="1" t="s">
        <v>5563</v>
      </c>
      <c r="F796" s="1" t="s">
        <v>5564</v>
      </c>
      <c r="G796">
        <v>-18050</v>
      </c>
      <c r="H796">
        <v>-15</v>
      </c>
      <c r="I796" s="1" t="s">
        <v>5565</v>
      </c>
      <c r="J796" s="1" t="s">
        <v>5566</v>
      </c>
      <c r="K796">
        <v>-123</v>
      </c>
      <c r="L796" s="1" t="s">
        <v>5567</v>
      </c>
    </row>
    <row r="797" spans="1:12" x14ac:dyDescent="0.25">
      <c r="A797">
        <v>795</v>
      </c>
      <c r="B797" s="1" t="s">
        <v>5568</v>
      </c>
      <c r="C797" s="1" t="s">
        <v>5569</v>
      </c>
      <c r="D797" s="1" t="s">
        <v>2988</v>
      </c>
      <c r="E797" s="1" t="s">
        <v>5570</v>
      </c>
      <c r="F797" s="1" t="s">
        <v>5571</v>
      </c>
      <c r="G797">
        <v>-11581</v>
      </c>
      <c r="H797">
        <v>-3984</v>
      </c>
      <c r="I797" s="1" t="s">
        <v>5572</v>
      </c>
      <c r="J797" s="1" t="s">
        <v>5573</v>
      </c>
      <c r="K797">
        <v>-1870</v>
      </c>
      <c r="L797" s="1" t="s">
        <v>766</v>
      </c>
    </row>
    <row r="798" spans="1:12" x14ac:dyDescent="0.25">
      <c r="A798">
        <v>796</v>
      </c>
      <c r="B798" s="1" t="s">
        <v>5574</v>
      </c>
      <c r="C798" s="1" t="s">
        <v>5575</v>
      </c>
      <c r="D798" s="1" t="s">
        <v>1983</v>
      </c>
      <c r="E798" s="1" t="s">
        <v>5576</v>
      </c>
      <c r="F798" s="1" t="s">
        <v>5577</v>
      </c>
      <c r="G798">
        <v>-19851</v>
      </c>
      <c r="H798">
        <v>-3328</v>
      </c>
      <c r="I798" s="1" t="s">
        <v>5578</v>
      </c>
      <c r="J798" s="1" t="s">
        <v>5579</v>
      </c>
      <c r="K798">
        <v>-1845</v>
      </c>
      <c r="L798" s="1" t="s">
        <v>5580</v>
      </c>
    </row>
    <row r="799" spans="1:12" x14ac:dyDescent="0.25">
      <c r="A799">
        <v>797</v>
      </c>
      <c r="B799" s="1" t="s">
        <v>5581</v>
      </c>
      <c r="C799" s="1" t="s">
        <v>5582</v>
      </c>
      <c r="D799" s="1" t="s">
        <v>124</v>
      </c>
      <c r="E799" s="1" t="s">
        <v>5583</v>
      </c>
      <c r="F799" s="1" t="s">
        <v>5584</v>
      </c>
      <c r="G799">
        <v>-15944</v>
      </c>
      <c r="H799">
        <v>-5104</v>
      </c>
      <c r="I799" s="1" t="s">
        <v>5585</v>
      </c>
      <c r="J799" s="1" t="s">
        <v>5586</v>
      </c>
      <c r="K799">
        <v>-1585</v>
      </c>
      <c r="L799" s="1" t="s">
        <v>5587</v>
      </c>
    </row>
    <row r="800" spans="1:12" x14ac:dyDescent="0.25">
      <c r="A800">
        <v>798</v>
      </c>
      <c r="B800" s="1" t="s">
        <v>5588</v>
      </c>
      <c r="C800" s="1" t="s">
        <v>5589</v>
      </c>
      <c r="D800" s="1" t="s">
        <v>5590</v>
      </c>
      <c r="E800" s="1" t="s">
        <v>5591</v>
      </c>
      <c r="F800" s="1" t="s">
        <v>5592</v>
      </c>
      <c r="G800">
        <v>-23531</v>
      </c>
      <c r="H800">
        <v>-4329</v>
      </c>
      <c r="I800" s="1" t="s">
        <v>5593</v>
      </c>
      <c r="J800" s="1" t="s">
        <v>5594</v>
      </c>
      <c r="K800">
        <v>365243</v>
      </c>
      <c r="L800" s="1" t="s">
        <v>5595</v>
      </c>
    </row>
    <row r="801" spans="1:12" x14ac:dyDescent="0.25">
      <c r="A801">
        <v>799</v>
      </c>
      <c r="B801" s="1" t="s">
        <v>5596</v>
      </c>
      <c r="C801" s="1" t="s">
        <v>5597</v>
      </c>
      <c r="D801" s="1" t="s">
        <v>5598</v>
      </c>
      <c r="E801" s="1" t="s">
        <v>3074</v>
      </c>
      <c r="F801" s="1" t="s">
        <v>5599</v>
      </c>
      <c r="G801">
        <v>-22271</v>
      </c>
      <c r="H801">
        <v>-4001</v>
      </c>
      <c r="I801" s="1" t="s">
        <v>5600</v>
      </c>
      <c r="J801" s="1" t="s">
        <v>5601</v>
      </c>
      <c r="K801">
        <v>365243</v>
      </c>
      <c r="L801" s="1" t="s">
        <v>5602</v>
      </c>
    </row>
    <row r="802" spans="1:12" x14ac:dyDescent="0.25">
      <c r="A802">
        <v>800</v>
      </c>
      <c r="B802" s="1" t="s">
        <v>5603</v>
      </c>
      <c r="C802" s="1" t="s">
        <v>5604</v>
      </c>
      <c r="D802" s="1" t="s">
        <v>1223</v>
      </c>
      <c r="E802" s="1" t="s">
        <v>5605</v>
      </c>
      <c r="F802" s="1" t="s">
        <v>5606</v>
      </c>
      <c r="G802">
        <v>-20457</v>
      </c>
      <c r="H802">
        <v>-3901</v>
      </c>
      <c r="I802" s="1" t="s">
        <v>5607</v>
      </c>
      <c r="J802" s="1" t="s">
        <v>5608</v>
      </c>
      <c r="K802">
        <v>365243</v>
      </c>
      <c r="L802" s="1" t="s">
        <v>3038</v>
      </c>
    </row>
    <row r="803" spans="1:12" x14ac:dyDescent="0.25">
      <c r="A803">
        <v>801</v>
      </c>
      <c r="B803" s="1" t="s">
        <v>5609</v>
      </c>
      <c r="C803" s="1" t="s">
        <v>5610</v>
      </c>
      <c r="D803" s="1" t="s">
        <v>103</v>
      </c>
      <c r="E803" s="1" t="s">
        <v>5611</v>
      </c>
      <c r="F803" s="1" t="s">
        <v>5612</v>
      </c>
      <c r="G803">
        <v>-21253</v>
      </c>
      <c r="H803">
        <v>-1346</v>
      </c>
      <c r="I803" s="1" t="s">
        <v>5613</v>
      </c>
      <c r="J803" s="1" t="s">
        <v>320</v>
      </c>
      <c r="K803">
        <v>365243</v>
      </c>
      <c r="L803" s="1" t="s">
        <v>751</v>
      </c>
    </row>
    <row r="804" spans="1:12" x14ac:dyDescent="0.25">
      <c r="A804">
        <v>802</v>
      </c>
      <c r="B804" s="1" t="s">
        <v>5614</v>
      </c>
      <c r="C804" s="1" t="s">
        <v>5615</v>
      </c>
      <c r="D804" s="1" t="s">
        <v>5616</v>
      </c>
      <c r="E804" s="1" t="s">
        <v>5617</v>
      </c>
      <c r="F804" s="1" t="s">
        <v>5618</v>
      </c>
      <c r="G804">
        <v>-10468</v>
      </c>
      <c r="H804">
        <v>-175</v>
      </c>
      <c r="I804" s="1" t="s">
        <v>5619</v>
      </c>
      <c r="J804" s="1" t="s">
        <v>3688</v>
      </c>
      <c r="K804">
        <v>-1707</v>
      </c>
      <c r="L804" s="1" t="s">
        <v>3689</v>
      </c>
    </row>
    <row r="805" spans="1:12" x14ac:dyDescent="0.25">
      <c r="A805">
        <v>803</v>
      </c>
      <c r="B805" s="1" t="s">
        <v>5620</v>
      </c>
      <c r="C805" s="1" t="s">
        <v>5621</v>
      </c>
      <c r="D805" s="1" t="s">
        <v>1707</v>
      </c>
      <c r="E805" s="1" t="s">
        <v>5622</v>
      </c>
      <c r="F805" s="1" t="s">
        <v>5623</v>
      </c>
      <c r="G805">
        <v>-11560</v>
      </c>
      <c r="H805">
        <v>-1867</v>
      </c>
      <c r="I805" s="1" t="s">
        <v>5624</v>
      </c>
      <c r="J805" s="1" t="s">
        <v>5625</v>
      </c>
      <c r="K805">
        <v>-2987</v>
      </c>
      <c r="L805" s="1" t="s">
        <v>5626</v>
      </c>
    </row>
    <row r="806" spans="1:12" x14ac:dyDescent="0.25">
      <c r="A806">
        <v>804</v>
      </c>
      <c r="B806" s="1" t="s">
        <v>5627</v>
      </c>
      <c r="C806" s="1" t="s">
        <v>5628</v>
      </c>
      <c r="D806" s="1" t="s">
        <v>3731</v>
      </c>
      <c r="E806" s="1" t="s">
        <v>5629</v>
      </c>
      <c r="F806" s="1" t="s">
        <v>5630</v>
      </c>
      <c r="G806">
        <v>-20453</v>
      </c>
      <c r="H806">
        <v>-3590</v>
      </c>
      <c r="I806" s="1" t="s">
        <v>5631</v>
      </c>
      <c r="J806" s="1" t="s">
        <v>5632</v>
      </c>
      <c r="K806">
        <v>-2582</v>
      </c>
      <c r="L806" s="1" t="s">
        <v>5633</v>
      </c>
    </row>
    <row r="807" spans="1:12" x14ac:dyDescent="0.25">
      <c r="A807">
        <v>805</v>
      </c>
      <c r="B807" s="1" t="s">
        <v>5634</v>
      </c>
      <c r="C807" s="1" t="s">
        <v>5635</v>
      </c>
      <c r="D807" s="1" t="s">
        <v>555</v>
      </c>
      <c r="E807" s="1" t="s">
        <v>5636</v>
      </c>
      <c r="F807" s="1" t="s">
        <v>5637</v>
      </c>
      <c r="G807">
        <v>-17619</v>
      </c>
      <c r="H807">
        <v>-729</v>
      </c>
      <c r="I807" s="1" t="s">
        <v>5638</v>
      </c>
      <c r="J807" s="1" t="s">
        <v>5639</v>
      </c>
      <c r="K807">
        <v>-1873</v>
      </c>
      <c r="L807" s="1" t="s">
        <v>5640</v>
      </c>
    </row>
    <row r="808" spans="1:12" x14ac:dyDescent="0.25">
      <c r="A808">
        <v>806</v>
      </c>
      <c r="B808" s="1" t="s">
        <v>5641</v>
      </c>
      <c r="C808" s="1" t="s">
        <v>5642</v>
      </c>
      <c r="D808" s="1" t="s">
        <v>5643</v>
      </c>
      <c r="E808" s="1" t="s">
        <v>5644</v>
      </c>
      <c r="F808" s="1" t="s">
        <v>5645</v>
      </c>
      <c r="G808">
        <v>-12973</v>
      </c>
      <c r="H808">
        <v>-94</v>
      </c>
      <c r="I808" s="1" t="s">
        <v>5646</v>
      </c>
      <c r="J808" s="1" t="s">
        <v>5647</v>
      </c>
      <c r="K808">
        <v>-962</v>
      </c>
      <c r="L808" s="1" t="s">
        <v>717</v>
      </c>
    </row>
    <row r="809" spans="1:12" x14ac:dyDescent="0.25">
      <c r="A809">
        <v>807</v>
      </c>
      <c r="B809" s="1" t="s">
        <v>5648</v>
      </c>
      <c r="C809" s="1" t="s">
        <v>5649</v>
      </c>
      <c r="D809" s="1" t="s">
        <v>3497</v>
      </c>
      <c r="E809" s="1" t="s">
        <v>5650</v>
      </c>
      <c r="F809" s="1" t="s">
        <v>5651</v>
      </c>
      <c r="G809">
        <v>-23325</v>
      </c>
      <c r="H809">
        <v>-4910</v>
      </c>
      <c r="I809" s="1" t="s">
        <v>5652</v>
      </c>
      <c r="J809" s="1" t="s">
        <v>5653</v>
      </c>
      <c r="K809">
        <v>365243</v>
      </c>
      <c r="L809" s="1" t="s">
        <v>5654</v>
      </c>
    </row>
    <row r="810" spans="1:12" x14ac:dyDescent="0.25">
      <c r="A810">
        <v>808</v>
      </c>
      <c r="B810" s="1" t="s">
        <v>5655</v>
      </c>
      <c r="C810" s="1" t="s">
        <v>5656</v>
      </c>
      <c r="D810" s="1" t="s">
        <v>1991</v>
      </c>
      <c r="E810" s="1" t="s">
        <v>5657</v>
      </c>
      <c r="F810" s="1" t="s">
        <v>5658</v>
      </c>
      <c r="G810">
        <v>-15484</v>
      </c>
      <c r="H810">
        <v>-4333</v>
      </c>
      <c r="I810" s="1" t="s">
        <v>5659</v>
      </c>
      <c r="J810" s="1" t="s">
        <v>5660</v>
      </c>
      <c r="K810">
        <v>-2042</v>
      </c>
      <c r="L810" s="1" t="s">
        <v>5661</v>
      </c>
    </row>
    <row r="811" spans="1:12" x14ac:dyDescent="0.25">
      <c r="A811">
        <v>809</v>
      </c>
      <c r="B811" s="1" t="s">
        <v>5662</v>
      </c>
      <c r="C811" s="1" t="s">
        <v>5663</v>
      </c>
      <c r="D811" s="1" t="s">
        <v>138</v>
      </c>
      <c r="E811" s="1" t="s">
        <v>5664</v>
      </c>
      <c r="F811" s="1" t="s">
        <v>5665</v>
      </c>
      <c r="G811">
        <v>-17980</v>
      </c>
      <c r="H811">
        <v>-1312</v>
      </c>
      <c r="I811" s="1" t="s">
        <v>1441</v>
      </c>
      <c r="J811" s="1" t="s">
        <v>198</v>
      </c>
      <c r="K811">
        <v>-1121</v>
      </c>
      <c r="L811" s="1" t="s">
        <v>2840</v>
      </c>
    </row>
    <row r="812" spans="1:12" x14ac:dyDescent="0.25">
      <c r="A812">
        <v>810</v>
      </c>
      <c r="B812" s="1" t="s">
        <v>5666</v>
      </c>
      <c r="C812" s="1" t="s">
        <v>5667</v>
      </c>
      <c r="D812" s="1" t="s">
        <v>4230</v>
      </c>
      <c r="E812" s="1" t="s">
        <v>5668</v>
      </c>
      <c r="F812" s="1" t="s">
        <v>5669</v>
      </c>
      <c r="G812">
        <v>-12347</v>
      </c>
      <c r="H812">
        <v>-966</v>
      </c>
      <c r="I812" s="1" t="s">
        <v>5670</v>
      </c>
      <c r="J812" s="1" t="s">
        <v>198</v>
      </c>
      <c r="K812">
        <v>-92</v>
      </c>
      <c r="L812" s="1" t="s">
        <v>1495</v>
      </c>
    </row>
    <row r="813" spans="1:12" x14ac:dyDescent="0.25">
      <c r="A813">
        <v>811</v>
      </c>
      <c r="B813" s="1" t="s">
        <v>5671</v>
      </c>
      <c r="C813" s="1" t="s">
        <v>5672</v>
      </c>
      <c r="D813" s="1" t="s">
        <v>5673</v>
      </c>
      <c r="E813" s="1" t="s">
        <v>5674</v>
      </c>
      <c r="F813" s="1" t="s">
        <v>5675</v>
      </c>
      <c r="G813">
        <v>-17325</v>
      </c>
      <c r="H813">
        <v>-862</v>
      </c>
      <c r="I813" s="1" t="s">
        <v>5676</v>
      </c>
      <c r="J813" s="1" t="s">
        <v>5677</v>
      </c>
      <c r="K813">
        <v>-1351</v>
      </c>
      <c r="L813" s="1" t="s">
        <v>5678</v>
      </c>
    </row>
    <row r="814" spans="1:12" x14ac:dyDescent="0.25">
      <c r="A814">
        <v>812</v>
      </c>
      <c r="B814" s="1" t="s">
        <v>5679</v>
      </c>
      <c r="C814" s="1" t="s">
        <v>5680</v>
      </c>
      <c r="D814" s="1" t="s">
        <v>5681</v>
      </c>
      <c r="E814" s="1" t="s">
        <v>5682</v>
      </c>
      <c r="F814" s="1" t="s">
        <v>5683</v>
      </c>
      <c r="G814">
        <v>-24767</v>
      </c>
      <c r="H814">
        <v>-4040</v>
      </c>
      <c r="I814" s="1" t="s">
        <v>5684</v>
      </c>
      <c r="J814" s="1" t="s">
        <v>5685</v>
      </c>
      <c r="K814">
        <v>365243</v>
      </c>
      <c r="L814" s="1" t="s">
        <v>5686</v>
      </c>
    </row>
    <row r="815" spans="1:12" x14ac:dyDescent="0.25">
      <c r="A815">
        <v>813</v>
      </c>
      <c r="B815" s="1" t="s">
        <v>5687</v>
      </c>
      <c r="C815" s="1" t="s">
        <v>5688</v>
      </c>
      <c r="D815" s="1" t="s">
        <v>2044</v>
      </c>
      <c r="E815" s="1" t="s">
        <v>5689</v>
      </c>
      <c r="F815" s="1" t="s">
        <v>5690</v>
      </c>
      <c r="G815">
        <v>-14145</v>
      </c>
      <c r="H815">
        <v>-278</v>
      </c>
      <c r="I815" s="1" t="s">
        <v>5691</v>
      </c>
      <c r="J815" s="1" t="s">
        <v>5692</v>
      </c>
      <c r="K815">
        <v>-935</v>
      </c>
      <c r="L815" s="1" t="s">
        <v>5693</v>
      </c>
    </row>
    <row r="816" spans="1:12" x14ac:dyDescent="0.25">
      <c r="A816">
        <v>814</v>
      </c>
      <c r="B816" s="1" t="s">
        <v>5694</v>
      </c>
      <c r="C816" s="1" t="s">
        <v>5695</v>
      </c>
      <c r="D816" s="1" t="s">
        <v>1843</v>
      </c>
      <c r="E816" s="1" t="s">
        <v>5696</v>
      </c>
      <c r="F816" s="1" t="s">
        <v>5697</v>
      </c>
      <c r="G816">
        <v>-14216</v>
      </c>
      <c r="H816">
        <v>-4277</v>
      </c>
      <c r="I816" s="1" t="s">
        <v>5698</v>
      </c>
      <c r="J816" s="1" t="s">
        <v>1541</v>
      </c>
      <c r="K816">
        <v>-444</v>
      </c>
      <c r="L816" s="1" t="s">
        <v>2167</v>
      </c>
    </row>
    <row r="817" spans="1:12" x14ac:dyDescent="0.25">
      <c r="A817">
        <v>815</v>
      </c>
      <c r="B817" s="1" t="s">
        <v>5699</v>
      </c>
      <c r="C817" s="1" t="s">
        <v>5700</v>
      </c>
      <c r="D817" s="1" t="s">
        <v>1231</v>
      </c>
      <c r="E817" s="1" t="s">
        <v>5701</v>
      </c>
      <c r="F817" s="1" t="s">
        <v>5702</v>
      </c>
      <c r="G817">
        <v>-16323</v>
      </c>
      <c r="H817">
        <v>-4202</v>
      </c>
      <c r="I817" s="1" t="s">
        <v>5703</v>
      </c>
      <c r="J817" s="1" t="s">
        <v>5704</v>
      </c>
      <c r="K817">
        <v>-7195</v>
      </c>
      <c r="L817" s="1" t="s">
        <v>4698</v>
      </c>
    </row>
    <row r="818" spans="1:12" x14ac:dyDescent="0.25">
      <c r="A818">
        <v>816</v>
      </c>
      <c r="B818" s="1" t="s">
        <v>5705</v>
      </c>
      <c r="C818" s="1" t="s">
        <v>5706</v>
      </c>
      <c r="D818" s="1" t="s">
        <v>1782</v>
      </c>
      <c r="E818" s="1" t="s">
        <v>5707</v>
      </c>
      <c r="F818" s="1" t="s">
        <v>5708</v>
      </c>
      <c r="G818">
        <v>-18293</v>
      </c>
      <c r="H818">
        <v>-1825</v>
      </c>
      <c r="I818" s="1" t="s">
        <v>5709</v>
      </c>
      <c r="J818" s="1" t="s">
        <v>5710</v>
      </c>
      <c r="K818">
        <v>-6140</v>
      </c>
      <c r="L818" s="1" t="s">
        <v>5711</v>
      </c>
    </row>
    <row r="819" spans="1:12" x14ac:dyDescent="0.25">
      <c r="A819">
        <v>817</v>
      </c>
      <c r="B819" s="1" t="s">
        <v>5712</v>
      </c>
      <c r="C819" s="1" t="s">
        <v>5713</v>
      </c>
      <c r="D819" s="1" t="s">
        <v>2722</v>
      </c>
      <c r="E819" s="1" t="s">
        <v>5714</v>
      </c>
      <c r="F819" s="1" t="s">
        <v>5715</v>
      </c>
      <c r="G819">
        <v>-18053</v>
      </c>
      <c r="H819">
        <v>-1615</v>
      </c>
      <c r="I819" s="1" t="s">
        <v>5716</v>
      </c>
      <c r="J819" s="1" t="s">
        <v>5717</v>
      </c>
      <c r="K819">
        <v>-6924</v>
      </c>
      <c r="L819" s="1" t="s">
        <v>5718</v>
      </c>
    </row>
    <row r="820" spans="1:12" x14ac:dyDescent="0.25">
      <c r="A820">
        <v>818</v>
      </c>
      <c r="B820" s="1" t="s">
        <v>5719</v>
      </c>
      <c r="C820" s="1" t="s">
        <v>5720</v>
      </c>
      <c r="D820" s="1" t="s">
        <v>481</v>
      </c>
      <c r="E820" s="1" t="s">
        <v>3184</v>
      </c>
      <c r="F820" s="1" t="s">
        <v>5721</v>
      </c>
      <c r="G820">
        <v>-10358</v>
      </c>
      <c r="H820">
        <v>-3028</v>
      </c>
      <c r="I820" s="1" t="s">
        <v>5722</v>
      </c>
      <c r="J820" s="1" t="s">
        <v>2511</v>
      </c>
      <c r="K820">
        <v>-2741</v>
      </c>
      <c r="L820" s="1" t="s">
        <v>5723</v>
      </c>
    </row>
    <row r="821" spans="1:12" x14ac:dyDescent="0.25">
      <c r="A821">
        <v>819</v>
      </c>
      <c r="B821" s="1" t="s">
        <v>5724</v>
      </c>
      <c r="C821" s="1" t="s">
        <v>5725</v>
      </c>
      <c r="D821" s="1" t="s">
        <v>1356</v>
      </c>
      <c r="E821" s="1" t="s">
        <v>5726</v>
      </c>
      <c r="F821" s="1" t="s">
        <v>5727</v>
      </c>
      <c r="G821">
        <v>-10556</v>
      </c>
      <c r="H821">
        <v>-2421</v>
      </c>
      <c r="I821" s="1" t="s">
        <v>5728</v>
      </c>
      <c r="J821" s="1" t="s">
        <v>5729</v>
      </c>
      <c r="K821">
        <v>-2561</v>
      </c>
      <c r="L821" s="1" t="s">
        <v>5730</v>
      </c>
    </row>
    <row r="822" spans="1:12" x14ac:dyDescent="0.25">
      <c r="A822">
        <v>820</v>
      </c>
      <c r="B822" s="1" t="s">
        <v>5731</v>
      </c>
      <c r="C822" s="1" t="s">
        <v>5732</v>
      </c>
      <c r="D822" s="1" t="s">
        <v>1115</v>
      </c>
      <c r="E822" s="1" t="s">
        <v>5733</v>
      </c>
      <c r="F822" s="1" t="s">
        <v>5734</v>
      </c>
      <c r="G822">
        <v>-20643</v>
      </c>
      <c r="H822">
        <v>-3394</v>
      </c>
      <c r="I822" s="1" t="s">
        <v>5735</v>
      </c>
      <c r="J822" s="1" t="s">
        <v>5736</v>
      </c>
      <c r="K822">
        <v>365243</v>
      </c>
      <c r="L822" s="1" t="s">
        <v>5737</v>
      </c>
    </row>
    <row r="823" spans="1:12" x14ac:dyDescent="0.25">
      <c r="A823">
        <v>821</v>
      </c>
      <c r="B823" s="1" t="s">
        <v>5738</v>
      </c>
      <c r="C823" s="1" t="s">
        <v>5739</v>
      </c>
      <c r="D823" s="1" t="s">
        <v>5740</v>
      </c>
      <c r="E823" s="1" t="s">
        <v>5741</v>
      </c>
      <c r="F823" s="1" t="s">
        <v>5742</v>
      </c>
      <c r="G823">
        <v>-19799</v>
      </c>
      <c r="H823">
        <v>-3186</v>
      </c>
      <c r="I823" s="1" t="s">
        <v>5743</v>
      </c>
      <c r="J823" s="1" t="s">
        <v>5744</v>
      </c>
      <c r="K823">
        <v>-3809</v>
      </c>
      <c r="L823" s="1" t="s">
        <v>5745</v>
      </c>
    </row>
    <row r="824" spans="1:12" x14ac:dyDescent="0.25">
      <c r="A824">
        <v>822</v>
      </c>
      <c r="B824" s="1" t="s">
        <v>5746</v>
      </c>
      <c r="C824" s="1" t="s">
        <v>5747</v>
      </c>
      <c r="D824" s="1" t="s">
        <v>1961</v>
      </c>
      <c r="E824" s="1" t="s">
        <v>5748</v>
      </c>
      <c r="F824" s="1" t="s">
        <v>5749</v>
      </c>
      <c r="G824">
        <v>-14295</v>
      </c>
      <c r="H824">
        <v>-1488</v>
      </c>
      <c r="I824" s="1" t="s">
        <v>5750</v>
      </c>
      <c r="J824" s="1" t="s">
        <v>5751</v>
      </c>
      <c r="K824">
        <v>-2083</v>
      </c>
      <c r="L824" s="1" t="s">
        <v>5752</v>
      </c>
    </row>
    <row r="825" spans="1:12" x14ac:dyDescent="0.25">
      <c r="A825">
        <v>823</v>
      </c>
      <c r="B825" s="1" t="s">
        <v>5753</v>
      </c>
      <c r="C825" s="1" t="s">
        <v>5754</v>
      </c>
      <c r="D825" s="1" t="s">
        <v>4304</v>
      </c>
      <c r="E825" s="1" t="s">
        <v>5755</v>
      </c>
      <c r="F825" s="1" t="s">
        <v>5756</v>
      </c>
      <c r="G825">
        <v>-13891</v>
      </c>
      <c r="H825">
        <v>-2967</v>
      </c>
      <c r="I825" s="1" t="s">
        <v>5757</v>
      </c>
      <c r="J825" s="1" t="s">
        <v>4982</v>
      </c>
      <c r="K825">
        <v>-4850</v>
      </c>
      <c r="L825" s="1" t="s">
        <v>4983</v>
      </c>
    </row>
    <row r="826" spans="1:12" x14ac:dyDescent="0.25">
      <c r="A826">
        <v>824</v>
      </c>
      <c r="B826" s="1" t="s">
        <v>5758</v>
      </c>
      <c r="C826" s="1" t="s">
        <v>5759</v>
      </c>
      <c r="D826" s="1" t="s">
        <v>173</v>
      </c>
      <c r="E826" s="1" t="s">
        <v>5760</v>
      </c>
      <c r="F826" s="1" t="s">
        <v>5761</v>
      </c>
      <c r="G826">
        <v>-13998</v>
      </c>
      <c r="H826">
        <v>-4559</v>
      </c>
      <c r="I826" s="1" t="s">
        <v>5762</v>
      </c>
      <c r="J826" s="1" t="s">
        <v>5763</v>
      </c>
      <c r="K826">
        <v>-625</v>
      </c>
      <c r="L826" s="1" t="s">
        <v>5764</v>
      </c>
    </row>
    <row r="827" spans="1:12" x14ac:dyDescent="0.25">
      <c r="A827">
        <v>825</v>
      </c>
      <c r="B827" s="1" t="s">
        <v>5765</v>
      </c>
      <c r="C827" s="1" t="s">
        <v>5766</v>
      </c>
      <c r="D827" s="1" t="s">
        <v>4304</v>
      </c>
      <c r="E827" s="1" t="s">
        <v>5767</v>
      </c>
      <c r="F827" s="1" t="s">
        <v>5768</v>
      </c>
      <c r="G827">
        <v>-13625</v>
      </c>
      <c r="H827">
        <v>-4333</v>
      </c>
      <c r="I827" s="1" t="s">
        <v>5769</v>
      </c>
      <c r="J827" s="1" t="s">
        <v>5770</v>
      </c>
      <c r="K827">
        <v>-66</v>
      </c>
      <c r="L827" s="1" t="s">
        <v>5771</v>
      </c>
    </row>
    <row r="828" spans="1:12" x14ac:dyDescent="0.25">
      <c r="A828">
        <v>826</v>
      </c>
      <c r="B828" s="1" t="s">
        <v>5772</v>
      </c>
      <c r="C828" s="1" t="s">
        <v>5773</v>
      </c>
      <c r="D828" s="1" t="s">
        <v>96</v>
      </c>
      <c r="E828" s="1" t="s">
        <v>5774</v>
      </c>
      <c r="F828" s="1" t="s">
        <v>5775</v>
      </c>
      <c r="G828">
        <v>-14831</v>
      </c>
      <c r="H828">
        <v>-5047</v>
      </c>
      <c r="I828" s="1" t="s">
        <v>5776</v>
      </c>
      <c r="J828" s="1" t="s">
        <v>5777</v>
      </c>
      <c r="K828">
        <v>-7771</v>
      </c>
      <c r="L828" s="1" t="s">
        <v>5778</v>
      </c>
    </row>
    <row r="829" spans="1:12" x14ac:dyDescent="0.25">
      <c r="A829">
        <v>827</v>
      </c>
      <c r="B829" s="1" t="s">
        <v>5779</v>
      </c>
      <c r="C829" s="1" t="s">
        <v>5780</v>
      </c>
      <c r="D829" s="1" t="s">
        <v>5781</v>
      </c>
      <c r="E829" s="1" t="s">
        <v>5782</v>
      </c>
      <c r="F829" s="1" t="s">
        <v>5783</v>
      </c>
      <c r="G829">
        <v>-12065</v>
      </c>
      <c r="H829">
        <v>-2384</v>
      </c>
      <c r="I829" s="1" t="s">
        <v>5784</v>
      </c>
      <c r="J829" s="1" t="s">
        <v>5785</v>
      </c>
      <c r="K829">
        <v>-827</v>
      </c>
      <c r="L829" s="1" t="s">
        <v>5786</v>
      </c>
    </row>
    <row r="830" spans="1:12" x14ac:dyDescent="0.25">
      <c r="A830">
        <v>828</v>
      </c>
      <c r="B830" s="1" t="s">
        <v>5787</v>
      </c>
      <c r="C830" s="1" t="s">
        <v>5788</v>
      </c>
      <c r="D830" s="1" t="s">
        <v>5789</v>
      </c>
      <c r="E830" s="1" t="s">
        <v>5790</v>
      </c>
      <c r="F830" s="1" t="s">
        <v>5791</v>
      </c>
      <c r="G830">
        <v>-10073</v>
      </c>
      <c r="H830">
        <v>-2735</v>
      </c>
      <c r="I830" s="1" t="s">
        <v>5792</v>
      </c>
      <c r="J830" s="1" t="s">
        <v>5793</v>
      </c>
      <c r="K830">
        <v>-1337</v>
      </c>
      <c r="L830" s="1" t="s">
        <v>5794</v>
      </c>
    </row>
    <row r="831" spans="1:12" x14ac:dyDescent="0.25">
      <c r="A831">
        <v>829</v>
      </c>
      <c r="B831" s="1" t="s">
        <v>5795</v>
      </c>
      <c r="C831" s="1" t="s">
        <v>5796</v>
      </c>
      <c r="D831" s="1" t="s">
        <v>1782</v>
      </c>
      <c r="E831" s="1" t="s">
        <v>5797</v>
      </c>
      <c r="F831" s="1" t="s">
        <v>5798</v>
      </c>
      <c r="G831">
        <v>-10203</v>
      </c>
      <c r="H831">
        <v>-2551</v>
      </c>
      <c r="I831" s="1" t="s">
        <v>5799</v>
      </c>
      <c r="J831" s="1" t="s">
        <v>5800</v>
      </c>
      <c r="K831">
        <v>-2227</v>
      </c>
      <c r="L831" s="1" t="s">
        <v>5801</v>
      </c>
    </row>
    <row r="832" spans="1:12" x14ac:dyDescent="0.25">
      <c r="A832">
        <v>830</v>
      </c>
      <c r="B832" s="1" t="s">
        <v>5802</v>
      </c>
      <c r="C832" s="1" t="s">
        <v>5803</v>
      </c>
      <c r="D832" s="1" t="s">
        <v>5804</v>
      </c>
      <c r="E832" s="1" t="s">
        <v>5805</v>
      </c>
      <c r="F832" s="1" t="s">
        <v>5806</v>
      </c>
      <c r="G832">
        <v>-11770</v>
      </c>
      <c r="H832">
        <v>-3696</v>
      </c>
      <c r="I832" s="1" t="s">
        <v>5807</v>
      </c>
      <c r="J832" s="1" t="s">
        <v>5808</v>
      </c>
      <c r="K832">
        <v>-1868</v>
      </c>
      <c r="L832" s="1" t="s">
        <v>5809</v>
      </c>
    </row>
    <row r="833" spans="1:12" x14ac:dyDescent="0.25">
      <c r="A833">
        <v>831</v>
      </c>
      <c r="B833" s="1" t="s">
        <v>5810</v>
      </c>
      <c r="C833" s="1" t="s">
        <v>5811</v>
      </c>
      <c r="D833" s="1" t="s">
        <v>942</v>
      </c>
      <c r="E833" s="1" t="s">
        <v>5812</v>
      </c>
      <c r="F833" s="1" t="s">
        <v>291</v>
      </c>
      <c r="G833">
        <v>-16519</v>
      </c>
      <c r="H833">
        <v>-17</v>
      </c>
      <c r="I833" s="1" t="s">
        <v>5813</v>
      </c>
      <c r="J833" s="1" t="s">
        <v>379</v>
      </c>
      <c r="K833">
        <v>-1313</v>
      </c>
      <c r="L833" s="1" t="s">
        <v>760</v>
      </c>
    </row>
    <row r="834" spans="1:12" x14ac:dyDescent="0.25">
      <c r="A834">
        <v>832</v>
      </c>
      <c r="B834" s="1" t="s">
        <v>5814</v>
      </c>
      <c r="C834" s="1" t="s">
        <v>5815</v>
      </c>
      <c r="D834" s="1" t="s">
        <v>2877</v>
      </c>
      <c r="E834" s="1" t="s">
        <v>5816</v>
      </c>
      <c r="F834" s="1" t="s">
        <v>5817</v>
      </c>
      <c r="G834">
        <v>-15002</v>
      </c>
      <c r="H834">
        <v>-4696</v>
      </c>
      <c r="I834" s="1" t="s">
        <v>5818</v>
      </c>
      <c r="J834" s="1" t="s">
        <v>5819</v>
      </c>
      <c r="K834">
        <v>-7128</v>
      </c>
      <c r="L834" s="1" t="s">
        <v>5820</v>
      </c>
    </row>
    <row r="835" spans="1:12" x14ac:dyDescent="0.25">
      <c r="A835">
        <v>833</v>
      </c>
      <c r="B835" s="1" t="s">
        <v>5821</v>
      </c>
      <c r="C835" s="1" t="s">
        <v>5822</v>
      </c>
      <c r="D835" s="1" t="s">
        <v>75</v>
      </c>
      <c r="E835" s="1" t="s">
        <v>5823</v>
      </c>
      <c r="F835" s="1" t="s">
        <v>5824</v>
      </c>
      <c r="G835">
        <v>-19311</v>
      </c>
      <c r="H835">
        <v>-2838</v>
      </c>
      <c r="I835" s="1" t="s">
        <v>5825</v>
      </c>
      <c r="J835" s="1" t="s">
        <v>5826</v>
      </c>
      <c r="K835">
        <v>-1851</v>
      </c>
      <c r="L835" s="1" t="s">
        <v>5827</v>
      </c>
    </row>
    <row r="836" spans="1:12" x14ac:dyDescent="0.25">
      <c r="A836">
        <v>834</v>
      </c>
      <c r="B836" s="1" t="s">
        <v>5828</v>
      </c>
      <c r="C836" s="1" t="s">
        <v>5829</v>
      </c>
      <c r="D836" s="1" t="s">
        <v>54</v>
      </c>
      <c r="E836" s="1" t="s">
        <v>5830</v>
      </c>
      <c r="F836" s="1" t="s">
        <v>5831</v>
      </c>
      <c r="G836">
        <v>-16813</v>
      </c>
      <c r="H836">
        <v>-361</v>
      </c>
      <c r="I836" s="1" t="s">
        <v>5832</v>
      </c>
      <c r="J836" s="1" t="s">
        <v>2511</v>
      </c>
      <c r="K836">
        <v>-4619</v>
      </c>
      <c r="L836" s="1" t="s">
        <v>5833</v>
      </c>
    </row>
    <row r="837" spans="1:12" x14ac:dyDescent="0.25">
      <c r="A837">
        <v>835</v>
      </c>
      <c r="B837" s="1" t="s">
        <v>5834</v>
      </c>
      <c r="C837" s="1" t="s">
        <v>5835</v>
      </c>
      <c r="D837" s="1" t="s">
        <v>5836</v>
      </c>
      <c r="E837" s="1" t="s">
        <v>5837</v>
      </c>
      <c r="F837" s="1" t="s">
        <v>5838</v>
      </c>
      <c r="G837">
        <v>-12944</v>
      </c>
      <c r="H837">
        <v>-4439</v>
      </c>
      <c r="I837" s="1" t="s">
        <v>5839</v>
      </c>
      <c r="J837" s="1" t="s">
        <v>5840</v>
      </c>
      <c r="K837">
        <v>-1047</v>
      </c>
      <c r="L837" s="1" t="s">
        <v>5841</v>
      </c>
    </row>
    <row r="838" spans="1:12" x14ac:dyDescent="0.25">
      <c r="A838">
        <v>836</v>
      </c>
      <c r="B838" s="1" t="s">
        <v>5842</v>
      </c>
      <c r="C838" s="1" t="s">
        <v>5843</v>
      </c>
      <c r="D838" s="1" t="s">
        <v>5844</v>
      </c>
      <c r="E838" s="1" t="s">
        <v>5845</v>
      </c>
      <c r="F838" s="1" t="s">
        <v>5846</v>
      </c>
      <c r="G838">
        <v>-10808</v>
      </c>
      <c r="H838">
        <v>-2544</v>
      </c>
      <c r="I838" s="1" t="s">
        <v>5847</v>
      </c>
      <c r="J838" s="1" t="s">
        <v>5848</v>
      </c>
      <c r="K838">
        <v>-668</v>
      </c>
      <c r="L838" s="1" t="s">
        <v>5849</v>
      </c>
    </row>
    <row r="839" spans="1:12" x14ac:dyDescent="0.25">
      <c r="A839">
        <v>837</v>
      </c>
      <c r="B839" s="1" t="s">
        <v>5850</v>
      </c>
      <c r="C839" s="1" t="s">
        <v>5851</v>
      </c>
      <c r="D839" s="1" t="s">
        <v>5852</v>
      </c>
      <c r="E839" s="1" t="s">
        <v>5853</v>
      </c>
      <c r="F839" s="1" t="s">
        <v>5854</v>
      </c>
      <c r="G839">
        <v>-7885</v>
      </c>
      <c r="H839">
        <v>-551</v>
      </c>
      <c r="I839" s="1" t="s">
        <v>1189</v>
      </c>
      <c r="J839" s="1" t="s">
        <v>198</v>
      </c>
      <c r="K839">
        <v>-811</v>
      </c>
      <c r="L839" s="1" t="s">
        <v>1683</v>
      </c>
    </row>
    <row r="840" spans="1:12" x14ac:dyDescent="0.25">
      <c r="A840">
        <v>838</v>
      </c>
      <c r="B840" s="1" t="s">
        <v>5855</v>
      </c>
      <c r="C840" s="1" t="s">
        <v>5856</v>
      </c>
      <c r="D840" s="1" t="s">
        <v>5857</v>
      </c>
      <c r="E840" s="1" t="s">
        <v>5858</v>
      </c>
      <c r="F840" s="1" t="s">
        <v>5859</v>
      </c>
      <c r="G840">
        <v>-11051</v>
      </c>
      <c r="H840">
        <v>-3624</v>
      </c>
      <c r="I840" s="1" t="s">
        <v>5860</v>
      </c>
      <c r="J840" s="1" t="s">
        <v>5861</v>
      </c>
      <c r="K840">
        <v>-193</v>
      </c>
      <c r="L840" s="1" t="s">
        <v>5862</v>
      </c>
    </row>
    <row r="841" spans="1:12" x14ac:dyDescent="0.25">
      <c r="A841">
        <v>839</v>
      </c>
      <c r="B841" s="1" t="s">
        <v>5863</v>
      </c>
      <c r="C841" s="1" t="s">
        <v>5864</v>
      </c>
      <c r="D841" s="1" t="s">
        <v>2722</v>
      </c>
      <c r="E841" s="1" t="s">
        <v>5865</v>
      </c>
      <c r="F841" s="1" t="s">
        <v>5866</v>
      </c>
      <c r="G841">
        <v>-20361</v>
      </c>
      <c r="H841">
        <v>-1986</v>
      </c>
      <c r="I841" s="1" t="s">
        <v>4910</v>
      </c>
      <c r="J841" s="1" t="s">
        <v>1833</v>
      </c>
      <c r="K841">
        <v>-525</v>
      </c>
      <c r="L841" s="1" t="s">
        <v>1834</v>
      </c>
    </row>
    <row r="842" spans="1:12" x14ac:dyDescent="0.25">
      <c r="A842">
        <v>840</v>
      </c>
      <c r="B842" s="1" t="s">
        <v>5867</v>
      </c>
      <c r="C842" s="1" t="s">
        <v>5868</v>
      </c>
      <c r="D842" s="1" t="s">
        <v>4701</v>
      </c>
      <c r="E842" s="1" t="s">
        <v>5869</v>
      </c>
      <c r="F842" s="1" t="s">
        <v>5870</v>
      </c>
      <c r="G842">
        <v>-22476</v>
      </c>
      <c r="H842">
        <v>-4555</v>
      </c>
      <c r="I842" s="1" t="s">
        <v>5871</v>
      </c>
      <c r="J842" s="1" t="s">
        <v>5872</v>
      </c>
      <c r="K842">
        <v>365243</v>
      </c>
      <c r="L842" s="1" t="s">
        <v>5873</v>
      </c>
    </row>
    <row r="843" spans="1:12" x14ac:dyDescent="0.25">
      <c r="A843">
        <v>841</v>
      </c>
      <c r="B843" s="1" t="s">
        <v>5874</v>
      </c>
      <c r="C843" s="1" t="s">
        <v>5875</v>
      </c>
      <c r="D843" s="1" t="s">
        <v>521</v>
      </c>
      <c r="E843" s="1" t="s">
        <v>5876</v>
      </c>
      <c r="F843" s="1" t="s">
        <v>4681</v>
      </c>
      <c r="G843">
        <v>-11522</v>
      </c>
      <c r="H843">
        <v>-3554</v>
      </c>
      <c r="I843" s="1" t="s">
        <v>5877</v>
      </c>
      <c r="J843" s="1" t="s">
        <v>5878</v>
      </c>
      <c r="K843">
        <v>-1846</v>
      </c>
      <c r="L843" s="1" t="s">
        <v>5879</v>
      </c>
    </row>
    <row r="844" spans="1:12" x14ac:dyDescent="0.25">
      <c r="A844">
        <v>842</v>
      </c>
      <c r="B844" s="1" t="s">
        <v>5880</v>
      </c>
      <c r="C844" s="1" t="s">
        <v>5881</v>
      </c>
      <c r="D844" s="1" t="s">
        <v>5882</v>
      </c>
      <c r="E844" s="1" t="s">
        <v>5883</v>
      </c>
      <c r="F844" s="1" t="s">
        <v>5884</v>
      </c>
      <c r="G844">
        <v>-9107</v>
      </c>
      <c r="H844">
        <v>-1670</v>
      </c>
      <c r="I844" s="1" t="s">
        <v>5885</v>
      </c>
      <c r="J844" s="1" t="s">
        <v>5886</v>
      </c>
      <c r="K844">
        <v>-948</v>
      </c>
      <c r="L844" s="1" t="s">
        <v>5887</v>
      </c>
    </row>
    <row r="845" spans="1:12" x14ac:dyDescent="0.25">
      <c r="A845">
        <v>843</v>
      </c>
      <c r="B845" s="1" t="s">
        <v>5888</v>
      </c>
      <c r="C845" s="1" t="s">
        <v>5889</v>
      </c>
      <c r="D845" s="1" t="s">
        <v>4007</v>
      </c>
      <c r="E845" s="1" t="s">
        <v>5890</v>
      </c>
      <c r="F845" s="1" t="s">
        <v>5891</v>
      </c>
      <c r="G845">
        <v>-12499</v>
      </c>
      <c r="H845">
        <v>-4406</v>
      </c>
      <c r="I845" s="1" t="s">
        <v>5892</v>
      </c>
      <c r="J845" s="1" t="s">
        <v>5893</v>
      </c>
      <c r="K845">
        <v>-3964</v>
      </c>
      <c r="L845" s="1" t="s">
        <v>5894</v>
      </c>
    </row>
    <row r="846" spans="1:12" x14ac:dyDescent="0.25">
      <c r="A846">
        <v>844</v>
      </c>
      <c r="B846" s="1" t="s">
        <v>5895</v>
      </c>
      <c r="C846" s="1" t="s">
        <v>5896</v>
      </c>
      <c r="D846" s="1" t="s">
        <v>2752</v>
      </c>
      <c r="E846" s="1" t="s">
        <v>5897</v>
      </c>
      <c r="F846" s="1" t="s">
        <v>5898</v>
      </c>
      <c r="G846">
        <v>-12958</v>
      </c>
      <c r="H846">
        <v>-4666</v>
      </c>
      <c r="I846" s="1" t="s">
        <v>5899</v>
      </c>
      <c r="J846" s="1" t="s">
        <v>5900</v>
      </c>
      <c r="K846">
        <v>-909</v>
      </c>
      <c r="L846" s="1" t="s">
        <v>5901</v>
      </c>
    </row>
    <row r="847" spans="1:12" x14ac:dyDescent="0.25">
      <c r="A847">
        <v>845</v>
      </c>
      <c r="B847" s="1" t="s">
        <v>5902</v>
      </c>
      <c r="C847" s="1" t="s">
        <v>5903</v>
      </c>
      <c r="D847" s="1" t="s">
        <v>5857</v>
      </c>
      <c r="E847" s="1" t="s">
        <v>5904</v>
      </c>
      <c r="F847" s="1" t="s">
        <v>5905</v>
      </c>
      <c r="G847">
        <v>-9360</v>
      </c>
      <c r="H847">
        <v>-1154</v>
      </c>
      <c r="I847" s="1" t="s">
        <v>5906</v>
      </c>
      <c r="J847" s="1" t="s">
        <v>5907</v>
      </c>
      <c r="K847">
        <v>-1253</v>
      </c>
      <c r="L847" s="1" t="s">
        <v>5908</v>
      </c>
    </row>
    <row r="848" spans="1:12" x14ac:dyDescent="0.25">
      <c r="A848">
        <v>846</v>
      </c>
      <c r="B848" s="1" t="s">
        <v>5909</v>
      </c>
      <c r="C848" s="1" t="s">
        <v>5910</v>
      </c>
      <c r="D848" s="1" t="s">
        <v>636</v>
      </c>
      <c r="E848" s="1" t="s">
        <v>5911</v>
      </c>
      <c r="F848" s="1" t="s">
        <v>5912</v>
      </c>
      <c r="G848">
        <v>-15095</v>
      </c>
      <c r="H848">
        <v>-1177</v>
      </c>
      <c r="I848" s="1" t="s">
        <v>5913</v>
      </c>
      <c r="J848" s="1" t="s">
        <v>5914</v>
      </c>
      <c r="K848">
        <v>-7698</v>
      </c>
      <c r="L848" s="1" t="s">
        <v>5915</v>
      </c>
    </row>
    <row r="849" spans="1:12" x14ac:dyDescent="0.25">
      <c r="A849">
        <v>847</v>
      </c>
      <c r="B849" s="1" t="s">
        <v>5916</v>
      </c>
      <c r="C849" s="1" t="s">
        <v>5917</v>
      </c>
      <c r="D849" s="1" t="s">
        <v>676</v>
      </c>
      <c r="E849" s="1" t="s">
        <v>5918</v>
      </c>
      <c r="F849" s="1" t="s">
        <v>5919</v>
      </c>
      <c r="G849">
        <v>-19381</v>
      </c>
      <c r="H849">
        <v>-2801</v>
      </c>
      <c r="I849" s="1" t="s">
        <v>5920</v>
      </c>
      <c r="J849" s="1" t="s">
        <v>5921</v>
      </c>
      <c r="K849">
        <v>-5722</v>
      </c>
      <c r="L849" s="1" t="s">
        <v>5922</v>
      </c>
    </row>
    <row r="850" spans="1:12" x14ac:dyDescent="0.25">
      <c r="A850">
        <v>848</v>
      </c>
      <c r="B850" s="1" t="s">
        <v>5923</v>
      </c>
      <c r="C850" s="1" t="s">
        <v>5924</v>
      </c>
      <c r="D850" s="1" t="s">
        <v>2274</v>
      </c>
      <c r="E850" s="1" t="s">
        <v>5925</v>
      </c>
      <c r="F850" s="1" t="s">
        <v>5926</v>
      </c>
      <c r="G850">
        <v>-24804</v>
      </c>
      <c r="H850">
        <v>-4274</v>
      </c>
      <c r="I850" s="1" t="s">
        <v>5927</v>
      </c>
      <c r="J850" s="1" t="s">
        <v>5488</v>
      </c>
      <c r="K850">
        <v>365243</v>
      </c>
      <c r="L850" s="1" t="s">
        <v>5489</v>
      </c>
    </row>
    <row r="851" spans="1:12" x14ac:dyDescent="0.25">
      <c r="A851">
        <v>849</v>
      </c>
      <c r="B851" s="1" t="s">
        <v>5928</v>
      </c>
      <c r="C851" s="1" t="s">
        <v>5929</v>
      </c>
      <c r="D851" s="1" t="s">
        <v>2335</v>
      </c>
      <c r="E851" s="1" t="s">
        <v>5930</v>
      </c>
      <c r="F851" s="1" t="s">
        <v>5931</v>
      </c>
      <c r="G851">
        <v>-15035</v>
      </c>
      <c r="H851">
        <v>-2674</v>
      </c>
      <c r="I851" s="1" t="s">
        <v>5932</v>
      </c>
      <c r="J851" s="1" t="s">
        <v>5933</v>
      </c>
      <c r="K851">
        <v>-1110</v>
      </c>
      <c r="L851" s="1" t="s">
        <v>5934</v>
      </c>
    </row>
    <row r="852" spans="1:12" x14ac:dyDescent="0.25">
      <c r="A852">
        <v>850</v>
      </c>
      <c r="B852" s="1" t="s">
        <v>5935</v>
      </c>
      <c r="C852" s="1" t="s">
        <v>5936</v>
      </c>
      <c r="D852" s="1" t="s">
        <v>5937</v>
      </c>
      <c r="E852" s="1" t="s">
        <v>5938</v>
      </c>
      <c r="F852" s="1" t="s">
        <v>5939</v>
      </c>
      <c r="G852">
        <v>-15957</v>
      </c>
      <c r="H852">
        <v>-4069</v>
      </c>
      <c r="I852" s="1" t="s">
        <v>5940</v>
      </c>
      <c r="J852" s="1" t="s">
        <v>379</v>
      </c>
      <c r="K852">
        <v>-970</v>
      </c>
      <c r="L852" s="1" t="s">
        <v>760</v>
      </c>
    </row>
    <row r="853" spans="1:12" x14ac:dyDescent="0.25">
      <c r="A853">
        <v>851</v>
      </c>
      <c r="B853" s="1" t="s">
        <v>5941</v>
      </c>
      <c r="C853" s="1" t="s">
        <v>5942</v>
      </c>
      <c r="D853" s="1" t="s">
        <v>609</v>
      </c>
      <c r="E853" s="1" t="s">
        <v>5943</v>
      </c>
      <c r="F853" s="1" t="s">
        <v>5944</v>
      </c>
      <c r="G853">
        <v>-22314</v>
      </c>
      <c r="H853">
        <v>-4746</v>
      </c>
      <c r="I853" s="1" t="s">
        <v>5945</v>
      </c>
      <c r="J853" s="1" t="s">
        <v>5946</v>
      </c>
      <c r="K853">
        <v>365243</v>
      </c>
      <c r="L853" s="1" t="s">
        <v>5947</v>
      </c>
    </row>
    <row r="854" spans="1:12" x14ac:dyDescent="0.25">
      <c r="A854">
        <v>852</v>
      </c>
      <c r="B854" s="1" t="s">
        <v>5948</v>
      </c>
      <c r="C854" s="1" t="s">
        <v>5949</v>
      </c>
      <c r="D854" s="1" t="s">
        <v>5950</v>
      </c>
      <c r="E854" s="1" t="s">
        <v>5951</v>
      </c>
      <c r="F854" s="1" t="s">
        <v>5952</v>
      </c>
      <c r="G854">
        <v>-22129</v>
      </c>
      <c r="H854">
        <v>-5070</v>
      </c>
      <c r="I854" s="1" t="s">
        <v>5953</v>
      </c>
      <c r="J854" s="1" t="s">
        <v>2072</v>
      </c>
      <c r="K854">
        <v>365243</v>
      </c>
      <c r="L854" s="1" t="s">
        <v>2073</v>
      </c>
    </row>
    <row r="855" spans="1:12" x14ac:dyDescent="0.25">
      <c r="A855">
        <v>853</v>
      </c>
      <c r="B855" s="1" t="s">
        <v>5954</v>
      </c>
      <c r="C855" s="1" t="s">
        <v>5955</v>
      </c>
      <c r="D855" s="1" t="s">
        <v>481</v>
      </c>
      <c r="E855" s="1" t="s">
        <v>5956</v>
      </c>
      <c r="F855" s="1" t="s">
        <v>5957</v>
      </c>
      <c r="G855">
        <v>-19281</v>
      </c>
      <c r="H855">
        <v>-2704</v>
      </c>
      <c r="I855" s="1" t="s">
        <v>5958</v>
      </c>
      <c r="J855" s="1" t="s">
        <v>5959</v>
      </c>
      <c r="K855">
        <v>-4726</v>
      </c>
      <c r="L855" s="1" t="s">
        <v>5960</v>
      </c>
    </row>
    <row r="856" spans="1:12" x14ac:dyDescent="0.25">
      <c r="A856">
        <v>854</v>
      </c>
      <c r="B856" s="1" t="s">
        <v>5961</v>
      </c>
      <c r="C856" s="1" t="s">
        <v>5962</v>
      </c>
      <c r="D856" s="1" t="s">
        <v>4529</v>
      </c>
      <c r="E856" s="1" t="s">
        <v>5963</v>
      </c>
      <c r="F856" s="1" t="s">
        <v>5964</v>
      </c>
      <c r="G856">
        <v>-12306</v>
      </c>
      <c r="H856">
        <v>-4090</v>
      </c>
      <c r="I856" s="1" t="s">
        <v>5965</v>
      </c>
      <c r="J856" s="1" t="s">
        <v>198</v>
      </c>
      <c r="K856">
        <v>-690</v>
      </c>
      <c r="L856" s="1" t="s">
        <v>946</v>
      </c>
    </row>
    <row r="857" spans="1:12" x14ac:dyDescent="0.25">
      <c r="A857">
        <v>855</v>
      </c>
      <c r="B857" s="1" t="s">
        <v>5966</v>
      </c>
      <c r="C857" s="1" t="s">
        <v>5967</v>
      </c>
      <c r="D857" s="1" t="s">
        <v>3969</v>
      </c>
      <c r="E857" s="1" t="s">
        <v>5968</v>
      </c>
      <c r="F857" s="1" t="s">
        <v>5969</v>
      </c>
      <c r="G857">
        <v>-19870</v>
      </c>
      <c r="H857">
        <v>-3358</v>
      </c>
      <c r="I857" s="1" t="s">
        <v>5970</v>
      </c>
      <c r="J857" s="1" t="s">
        <v>3759</v>
      </c>
      <c r="K857">
        <v>-3461</v>
      </c>
      <c r="L857" s="1" t="s">
        <v>3760</v>
      </c>
    </row>
    <row r="858" spans="1:12" x14ac:dyDescent="0.25">
      <c r="A858">
        <v>856</v>
      </c>
      <c r="B858" s="1" t="s">
        <v>5971</v>
      </c>
      <c r="C858" s="1" t="s">
        <v>5972</v>
      </c>
      <c r="D858" s="1" t="s">
        <v>145</v>
      </c>
      <c r="E858" s="1" t="s">
        <v>5973</v>
      </c>
      <c r="F858" s="1" t="s">
        <v>5974</v>
      </c>
      <c r="G858">
        <v>-17869</v>
      </c>
      <c r="H858">
        <v>-1406</v>
      </c>
      <c r="I858" s="1" t="s">
        <v>3167</v>
      </c>
      <c r="J858" s="1" t="s">
        <v>254</v>
      </c>
      <c r="K858">
        <v>-6912</v>
      </c>
      <c r="L858" s="1" t="s">
        <v>741</v>
      </c>
    </row>
    <row r="859" spans="1:12" x14ac:dyDescent="0.25">
      <c r="A859">
        <v>857</v>
      </c>
      <c r="B859" s="1" t="s">
        <v>5975</v>
      </c>
      <c r="C859" s="1" t="s">
        <v>5976</v>
      </c>
      <c r="D859" s="1" t="s">
        <v>1320</v>
      </c>
      <c r="E859" s="1" t="s">
        <v>5977</v>
      </c>
      <c r="F859" s="1" t="s">
        <v>5978</v>
      </c>
      <c r="G859">
        <v>-20552</v>
      </c>
      <c r="H859">
        <v>-4046</v>
      </c>
      <c r="I859" s="1" t="s">
        <v>5979</v>
      </c>
      <c r="J859" s="1" t="s">
        <v>5980</v>
      </c>
      <c r="K859">
        <v>365243</v>
      </c>
      <c r="L859" s="1" t="s">
        <v>5981</v>
      </c>
    </row>
    <row r="860" spans="1:12" x14ac:dyDescent="0.25">
      <c r="A860">
        <v>858</v>
      </c>
      <c r="B860" s="1" t="s">
        <v>5982</v>
      </c>
      <c r="C860" s="1" t="s">
        <v>5983</v>
      </c>
      <c r="D860" s="1" t="s">
        <v>5984</v>
      </c>
      <c r="E860" s="1" t="s">
        <v>5985</v>
      </c>
      <c r="F860" s="1" t="s">
        <v>4338</v>
      </c>
      <c r="G860">
        <v>-10915</v>
      </c>
      <c r="H860">
        <v>-3444</v>
      </c>
      <c r="I860" s="1" t="s">
        <v>5986</v>
      </c>
      <c r="J860" s="1" t="s">
        <v>5987</v>
      </c>
      <c r="K860">
        <v>-1579</v>
      </c>
      <c r="L860" s="1" t="s">
        <v>5988</v>
      </c>
    </row>
    <row r="861" spans="1:12" x14ac:dyDescent="0.25">
      <c r="A861">
        <v>859</v>
      </c>
      <c r="B861" s="1" t="s">
        <v>5989</v>
      </c>
      <c r="C861" s="1" t="s">
        <v>5990</v>
      </c>
      <c r="D861" s="1" t="s">
        <v>54</v>
      </c>
      <c r="E861" s="1" t="s">
        <v>5991</v>
      </c>
      <c r="F861" s="1" t="s">
        <v>929</v>
      </c>
      <c r="G861">
        <v>-22069</v>
      </c>
      <c r="H861">
        <v>-4904</v>
      </c>
      <c r="I861" s="1" t="s">
        <v>5992</v>
      </c>
      <c r="J861" s="1" t="s">
        <v>5993</v>
      </c>
      <c r="K861">
        <v>365243</v>
      </c>
      <c r="L861" s="1" t="s">
        <v>5994</v>
      </c>
    </row>
    <row r="862" spans="1:12" x14ac:dyDescent="0.25">
      <c r="A862">
        <v>860</v>
      </c>
      <c r="B862" s="1" t="s">
        <v>5995</v>
      </c>
      <c r="C862" s="1" t="s">
        <v>5996</v>
      </c>
      <c r="D862" s="1" t="s">
        <v>54</v>
      </c>
      <c r="E862" s="1" t="s">
        <v>5997</v>
      </c>
      <c r="F862" s="1" t="s">
        <v>5998</v>
      </c>
      <c r="G862">
        <v>-19920</v>
      </c>
      <c r="H862">
        <v>-3080</v>
      </c>
      <c r="I862" s="1" t="s">
        <v>5999</v>
      </c>
      <c r="J862" s="1" t="s">
        <v>6000</v>
      </c>
      <c r="K862">
        <v>-1049</v>
      </c>
      <c r="L862" s="1" t="s">
        <v>6001</v>
      </c>
    </row>
    <row r="863" spans="1:12" x14ac:dyDescent="0.25">
      <c r="A863">
        <v>861</v>
      </c>
      <c r="B863" s="1" t="s">
        <v>6002</v>
      </c>
      <c r="C863" s="1" t="s">
        <v>6003</v>
      </c>
      <c r="D863" s="1" t="s">
        <v>250</v>
      </c>
      <c r="E863" s="1" t="s">
        <v>6004</v>
      </c>
      <c r="F863" s="1" t="s">
        <v>6005</v>
      </c>
      <c r="G863">
        <v>-9935</v>
      </c>
      <c r="H863">
        <v>-2213</v>
      </c>
      <c r="I863" s="1" t="s">
        <v>6006</v>
      </c>
      <c r="J863" s="1" t="s">
        <v>6007</v>
      </c>
      <c r="K863">
        <v>-2762</v>
      </c>
      <c r="L863" s="1" t="s">
        <v>6008</v>
      </c>
    </row>
    <row r="864" spans="1:12" x14ac:dyDescent="0.25">
      <c r="A864">
        <v>862</v>
      </c>
      <c r="B864" s="1" t="s">
        <v>6009</v>
      </c>
      <c r="C864" s="1" t="s">
        <v>6010</v>
      </c>
      <c r="D864" s="1" t="s">
        <v>54</v>
      </c>
      <c r="E864" s="1" t="s">
        <v>6011</v>
      </c>
      <c r="F864" s="1" t="s">
        <v>6012</v>
      </c>
      <c r="G864">
        <v>-13277</v>
      </c>
      <c r="H864">
        <v>-4019</v>
      </c>
      <c r="I864" s="1" t="s">
        <v>2277</v>
      </c>
      <c r="J864" s="1" t="s">
        <v>198</v>
      </c>
      <c r="K864">
        <v>-831</v>
      </c>
      <c r="L864" s="1" t="s">
        <v>1495</v>
      </c>
    </row>
    <row r="865" spans="1:12" x14ac:dyDescent="0.25">
      <c r="A865">
        <v>863</v>
      </c>
      <c r="B865" s="1" t="s">
        <v>6013</v>
      </c>
      <c r="C865" s="1" t="s">
        <v>6014</v>
      </c>
      <c r="D865" s="1" t="s">
        <v>6015</v>
      </c>
      <c r="E865" s="1" t="s">
        <v>6016</v>
      </c>
      <c r="F865" s="1" t="s">
        <v>6017</v>
      </c>
      <c r="G865">
        <v>-17048</v>
      </c>
      <c r="H865">
        <v>-608</v>
      </c>
      <c r="I865" s="1" t="s">
        <v>6018</v>
      </c>
      <c r="J865" s="1" t="s">
        <v>6019</v>
      </c>
      <c r="K865">
        <v>-3119</v>
      </c>
      <c r="L865" s="1" t="s">
        <v>6020</v>
      </c>
    </row>
    <row r="866" spans="1:12" x14ac:dyDescent="0.25">
      <c r="A866">
        <v>864</v>
      </c>
      <c r="B866" s="1" t="s">
        <v>6021</v>
      </c>
      <c r="C866" s="1" t="s">
        <v>6022</v>
      </c>
      <c r="D866" s="1" t="s">
        <v>6023</v>
      </c>
      <c r="E866" s="1" t="s">
        <v>6024</v>
      </c>
      <c r="F866" s="1" t="s">
        <v>6025</v>
      </c>
      <c r="G866">
        <v>-18810</v>
      </c>
      <c r="H866">
        <v>-2364</v>
      </c>
      <c r="I866" s="1" t="s">
        <v>6026</v>
      </c>
      <c r="J866" s="1" t="s">
        <v>459</v>
      </c>
      <c r="K866">
        <v>-2299</v>
      </c>
      <c r="L866" s="1" t="s">
        <v>771</v>
      </c>
    </row>
    <row r="867" spans="1:12" x14ac:dyDescent="0.25">
      <c r="A867">
        <v>865</v>
      </c>
      <c r="B867" s="1" t="s">
        <v>6027</v>
      </c>
      <c r="C867" s="1" t="s">
        <v>6028</v>
      </c>
      <c r="D867" s="1" t="s">
        <v>1049</v>
      </c>
      <c r="E867" s="1" t="s">
        <v>6029</v>
      </c>
      <c r="F867" s="1" t="s">
        <v>6030</v>
      </c>
      <c r="G867">
        <v>-20483</v>
      </c>
      <c r="H867">
        <v>-4036</v>
      </c>
      <c r="I867" s="1" t="s">
        <v>6031</v>
      </c>
      <c r="J867" s="1" t="s">
        <v>6032</v>
      </c>
      <c r="K867">
        <v>365243</v>
      </c>
      <c r="L867" s="1" t="s">
        <v>6033</v>
      </c>
    </row>
    <row r="868" spans="1:12" x14ac:dyDescent="0.25">
      <c r="A868">
        <v>866</v>
      </c>
      <c r="B868" s="1" t="s">
        <v>6034</v>
      </c>
      <c r="C868" s="1" t="s">
        <v>6035</v>
      </c>
      <c r="D868" s="1" t="s">
        <v>283</v>
      </c>
      <c r="E868" s="1" t="s">
        <v>6036</v>
      </c>
      <c r="F868" s="1" t="s">
        <v>6037</v>
      </c>
      <c r="G868">
        <v>-19976</v>
      </c>
      <c r="H868">
        <v>-3115</v>
      </c>
      <c r="I868" s="1" t="s">
        <v>6038</v>
      </c>
      <c r="J868" s="1" t="s">
        <v>6039</v>
      </c>
      <c r="K868">
        <v>365243</v>
      </c>
      <c r="L868" s="1" t="s">
        <v>6040</v>
      </c>
    </row>
    <row r="869" spans="1:12" x14ac:dyDescent="0.25">
      <c r="A869">
        <v>867</v>
      </c>
      <c r="B869" s="1" t="s">
        <v>6041</v>
      </c>
      <c r="C869" s="1" t="s">
        <v>6042</v>
      </c>
      <c r="D869" s="1" t="s">
        <v>54</v>
      </c>
      <c r="E869" s="1" t="s">
        <v>6043</v>
      </c>
      <c r="F869" s="1" t="s">
        <v>6044</v>
      </c>
      <c r="G869">
        <v>-15925</v>
      </c>
      <c r="H869">
        <v>-4473</v>
      </c>
      <c r="I869" s="1" t="s">
        <v>1494</v>
      </c>
      <c r="J869" s="1" t="s">
        <v>198</v>
      </c>
      <c r="K869">
        <v>-2175</v>
      </c>
      <c r="L869" s="1" t="s">
        <v>1495</v>
      </c>
    </row>
    <row r="870" spans="1:12" x14ac:dyDescent="0.25">
      <c r="A870">
        <v>868</v>
      </c>
      <c r="B870" s="1" t="s">
        <v>6045</v>
      </c>
      <c r="C870" s="1" t="s">
        <v>6046</v>
      </c>
      <c r="D870" s="1" t="s">
        <v>2551</v>
      </c>
      <c r="E870" s="1" t="s">
        <v>6047</v>
      </c>
      <c r="F870" s="1" t="s">
        <v>6048</v>
      </c>
      <c r="G870">
        <v>-10688</v>
      </c>
      <c r="H870">
        <v>-2706</v>
      </c>
      <c r="I870" s="1" t="s">
        <v>3927</v>
      </c>
      <c r="J870" s="1" t="s">
        <v>198</v>
      </c>
      <c r="K870">
        <v>-1785</v>
      </c>
      <c r="L870" s="1" t="s">
        <v>1557</v>
      </c>
    </row>
    <row r="871" spans="1:12" x14ac:dyDescent="0.25">
      <c r="A871">
        <v>869</v>
      </c>
      <c r="B871" s="1" t="s">
        <v>6049</v>
      </c>
      <c r="C871" s="1" t="s">
        <v>6050</v>
      </c>
      <c r="D871" s="1" t="s">
        <v>957</v>
      </c>
      <c r="E871" s="1" t="s">
        <v>6051</v>
      </c>
      <c r="F871" s="1" t="s">
        <v>6052</v>
      </c>
      <c r="G871">
        <v>-17090</v>
      </c>
      <c r="H871">
        <v>-643</v>
      </c>
      <c r="I871" s="1" t="s">
        <v>6053</v>
      </c>
      <c r="J871" s="1" t="s">
        <v>1718</v>
      </c>
      <c r="K871">
        <v>-6595</v>
      </c>
      <c r="L871" s="1" t="s">
        <v>1719</v>
      </c>
    </row>
    <row r="872" spans="1:12" x14ac:dyDescent="0.25">
      <c r="A872">
        <v>870</v>
      </c>
      <c r="B872" s="1" t="s">
        <v>6054</v>
      </c>
      <c r="C872" s="1" t="s">
        <v>6055</v>
      </c>
      <c r="D872" s="1" t="s">
        <v>5781</v>
      </c>
      <c r="E872" s="1" t="s">
        <v>6056</v>
      </c>
      <c r="F872" s="1" t="s">
        <v>6057</v>
      </c>
      <c r="G872">
        <v>-9603</v>
      </c>
      <c r="H872">
        <v>-727</v>
      </c>
      <c r="I872" s="1" t="s">
        <v>6058</v>
      </c>
      <c r="J872" s="1" t="s">
        <v>6059</v>
      </c>
      <c r="K872">
        <v>-1020</v>
      </c>
      <c r="L872" s="1" t="s">
        <v>6060</v>
      </c>
    </row>
    <row r="873" spans="1:12" x14ac:dyDescent="0.25">
      <c r="A873">
        <v>871</v>
      </c>
      <c r="B873" s="1" t="s">
        <v>6061</v>
      </c>
      <c r="C873" s="1" t="s">
        <v>6062</v>
      </c>
      <c r="D873" s="1" t="s">
        <v>6015</v>
      </c>
      <c r="E873" s="1" t="s">
        <v>6063</v>
      </c>
      <c r="F873" s="1" t="s">
        <v>6064</v>
      </c>
      <c r="G873">
        <v>-23592</v>
      </c>
      <c r="H873">
        <v>-4495</v>
      </c>
      <c r="I873" s="1" t="s">
        <v>6065</v>
      </c>
      <c r="J873" s="1" t="s">
        <v>6066</v>
      </c>
      <c r="K873">
        <v>365243</v>
      </c>
      <c r="L873" s="1" t="s">
        <v>6067</v>
      </c>
    </row>
    <row r="874" spans="1:12" x14ac:dyDescent="0.25">
      <c r="A874">
        <v>872</v>
      </c>
      <c r="B874" s="1" t="s">
        <v>6068</v>
      </c>
      <c r="C874" s="1" t="s">
        <v>6069</v>
      </c>
      <c r="D874" s="1" t="s">
        <v>2885</v>
      </c>
      <c r="E874" s="1" t="s">
        <v>6070</v>
      </c>
      <c r="F874" s="1" t="s">
        <v>6071</v>
      </c>
      <c r="G874">
        <v>-15638</v>
      </c>
      <c r="H874">
        <v>-1062</v>
      </c>
      <c r="I874" s="1" t="s">
        <v>6072</v>
      </c>
      <c r="J874" s="1" t="s">
        <v>6073</v>
      </c>
      <c r="K874">
        <v>-8072</v>
      </c>
      <c r="L874" s="1" t="s">
        <v>5471</v>
      </c>
    </row>
    <row r="875" spans="1:12" x14ac:dyDescent="0.25">
      <c r="A875">
        <v>873</v>
      </c>
      <c r="B875" s="1" t="s">
        <v>6074</v>
      </c>
      <c r="C875" s="1" t="s">
        <v>6075</v>
      </c>
      <c r="D875" s="1" t="s">
        <v>1170</v>
      </c>
      <c r="E875" s="1" t="s">
        <v>6076</v>
      </c>
      <c r="F875" s="1" t="s">
        <v>6077</v>
      </c>
      <c r="G875">
        <v>-18735</v>
      </c>
      <c r="H875">
        <v>-2288</v>
      </c>
      <c r="I875" s="1" t="s">
        <v>6078</v>
      </c>
      <c r="J875" s="1" t="s">
        <v>6079</v>
      </c>
      <c r="K875">
        <v>-4871</v>
      </c>
      <c r="L875" s="1" t="s">
        <v>6080</v>
      </c>
    </row>
    <row r="876" spans="1:12" x14ac:dyDescent="0.25">
      <c r="A876">
        <v>874</v>
      </c>
      <c r="B876" s="1" t="s">
        <v>6081</v>
      </c>
      <c r="C876" s="1" t="s">
        <v>6082</v>
      </c>
      <c r="D876" s="1" t="s">
        <v>2468</v>
      </c>
      <c r="E876" s="1" t="s">
        <v>6083</v>
      </c>
      <c r="F876" s="1" t="s">
        <v>6084</v>
      </c>
      <c r="G876">
        <v>-10383</v>
      </c>
      <c r="H876">
        <v>-3010</v>
      </c>
      <c r="I876" s="1" t="s">
        <v>6085</v>
      </c>
      <c r="J876" s="1" t="s">
        <v>6086</v>
      </c>
      <c r="K876">
        <v>-1588</v>
      </c>
      <c r="L876" s="1" t="s">
        <v>6087</v>
      </c>
    </row>
    <row r="877" spans="1:12" x14ac:dyDescent="0.25">
      <c r="A877">
        <v>875</v>
      </c>
      <c r="B877" s="1" t="s">
        <v>6088</v>
      </c>
      <c r="C877" s="1" t="s">
        <v>6089</v>
      </c>
      <c r="D877" s="1" t="s">
        <v>6090</v>
      </c>
      <c r="E877" s="1" t="s">
        <v>6091</v>
      </c>
      <c r="F877" s="1" t="s">
        <v>3926</v>
      </c>
      <c r="G877">
        <v>-8791</v>
      </c>
      <c r="H877">
        <v>-1456</v>
      </c>
      <c r="I877" s="1" t="s">
        <v>6092</v>
      </c>
      <c r="J877" s="1" t="s">
        <v>6093</v>
      </c>
      <c r="K877">
        <v>-88</v>
      </c>
      <c r="L877" s="1" t="s">
        <v>6094</v>
      </c>
    </row>
    <row r="878" spans="1:12" x14ac:dyDescent="0.25">
      <c r="A878">
        <v>876</v>
      </c>
      <c r="B878" s="1" t="s">
        <v>6095</v>
      </c>
      <c r="C878" s="1" t="s">
        <v>6096</v>
      </c>
      <c r="D878" s="1" t="s">
        <v>1385</v>
      </c>
      <c r="E878" s="1" t="s">
        <v>264</v>
      </c>
      <c r="F878" s="1" t="s">
        <v>6097</v>
      </c>
      <c r="G878">
        <v>-14619</v>
      </c>
      <c r="H878">
        <v>-5135</v>
      </c>
      <c r="I878" s="1" t="s">
        <v>6098</v>
      </c>
      <c r="J878" s="1" t="s">
        <v>6099</v>
      </c>
      <c r="K878">
        <v>-5438</v>
      </c>
      <c r="L878" s="1" t="s">
        <v>6100</v>
      </c>
    </row>
    <row r="879" spans="1:12" x14ac:dyDescent="0.25">
      <c r="A879">
        <v>877</v>
      </c>
      <c r="B879" s="1" t="s">
        <v>6101</v>
      </c>
      <c r="C879" s="1" t="s">
        <v>6102</v>
      </c>
      <c r="D879" s="1" t="s">
        <v>1545</v>
      </c>
      <c r="E879" s="1" t="s">
        <v>6103</v>
      </c>
      <c r="F879" s="1" t="s">
        <v>6104</v>
      </c>
      <c r="G879">
        <v>-10529</v>
      </c>
      <c r="H879">
        <v>-1578</v>
      </c>
      <c r="I879" s="1" t="s">
        <v>6105</v>
      </c>
      <c r="J879" s="1" t="s">
        <v>6106</v>
      </c>
      <c r="K879">
        <v>-3898</v>
      </c>
      <c r="L879" s="1" t="s">
        <v>6107</v>
      </c>
    </row>
    <row r="880" spans="1:12" x14ac:dyDescent="0.25">
      <c r="A880">
        <v>878</v>
      </c>
      <c r="B880" s="1" t="s">
        <v>6108</v>
      </c>
      <c r="C880" s="1" t="s">
        <v>6109</v>
      </c>
      <c r="D880" s="1" t="s">
        <v>838</v>
      </c>
      <c r="E880" s="1" t="s">
        <v>6110</v>
      </c>
      <c r="F880" s="1" t="s">
        <v>6111</v>
      </c>
      <c r="G880">
        <v>-12427</v>
      </c>
      <c r="H880">
        <v>-4487</v>
      </c>
      <c r="I880" s="1" t="s">
        <v>6112</v>
      </c>
      <c r="J880" s="1" t="s">
        <v>6113</v>
      </c>
      <c r="K880">
        <v>-2767</v>
      </c>
      <c r="L880" s="1" t="s">
        <v>6114</v>
      </c>
    </row>
    <row r="881" spans="1:12" x14ac:dyDescent="0.25">
      <c r="A881">
        <v>879</v>
      </c>
      <c r="B881" s="1" t="s">
        <v>6115</v>
      </c>
      <c r="C881" s="1" t="s">
        <v>6116</v>
      </c>
      <c r="D881" s="1" t="s">
        <v>180</v>
      </c>
      <c r="E881" s="1" t="s">
        <v>6117</v>
      </c>
      <c r="F881" s="1" t="s">
        <v>6118</v>
      </c>
      <c r="G881">
        <v>-11487</v>
      </c>
      <c r="H881">
        <v>-4102</v>
      </c>
      <c r="I881" s="1" t="s">
        <v>6119</v>
      </c>
      <c r="J881" s="1" t="s">
        <v>6120</v>
      </c>
      <c r="K881">
        <v>-2966</v>
      </c>
      <c r="L881" s="1" t="s">
        <v>6121</v>
      </c>
    </row>
    <row r="882" spans="1:12" x14ac:dyDescent="0.25">
      <c r="A882">
        <v>880</v>
      </c>
      <c r="B882" s="1" t="s">
        <v>6122</v>
      </c>
      <c r="C882" s="1" t="s">
        <v>6123</v>
      </c>
      <c r="D882" s="1" t="s">
        <v>6124</v>
      </c>
      <c r="E882" s="1" t="s">
        <v>6125</v>
      </c>
      <c r="F882" s="1" t="s">
        <v>6126</v>
      </c>
      <c r="G882">
        <v>-8429</v>
      </c>
      <c r="H882">
        <v>-1102</v>
      </c>
      <c r="I882" s="1" t="s">
        <v>6127</v>
      </c>
      <c r="J882" s="1" t="s">
        <v>6128</v>
      </c>
      <c r="K882">
        <v>-309</v>
      </c>
      <c r="L882" s="1" t="s">
        <v>6129</v>
      </c>
    </row>
    <row r="883" spans="1:12" x14ac:dyDescent="0.25">
      <c r="A883">
        <v>881</v>
      </c>
      <c r="B883" s="1" t="s">
        <v>6130</v>
      </c>
      <c r="C883" s="1" t="s">
        <v>6131</v>
      </c>
      <c r="D883" s="1" t="s">
        <v>6132</v>
      </c>
      <c r="E883" s="1" t="s">
        <v>6133</v>
      </c>
      <c r="F883" s="1" t="s">
        <v>6134</v>
      </c>
      <c r="G883">
        <v>-21557</v>
      </c>
      <c r="H883">
        <v>-5001</v>
      </c>
      <c r="I883" s="1" t="s">
        <v>6135</v>
      </c>
      <c r="J883" s="1" t="s">
        <v>6136</v>
      </c>
      <c r="K883">
        <v>365243</v>
      </c>
      <c r="L883" s="1" t="s">
        <v>6137</v>
      </c>
    </row>
    <row r="884" spans="1:12" x14ac:dyDescent="0.25">
      <c r="A884">
        <v>882</v>
      </c>
      <c r="B884" s="1" t="s">
        <v>6138</v>
      </c>
      <c r="C884" s="1" t="s">
        <v>6139</v>
      </c>
      <c r="D884" s="1" t="s">
        <v>3286</v>
      </c>
      <c r="E884" s="1" t="s">
        <v>6140</v>
      </c>
      <c r="F884" s="1" t="s">
        <v>2030</v>
      </c>
      <c r="G884">
        <v>-16474</v>
      </c>
      <c r="H884">
        <v>-26</v>
      </c>
      <c r="I884" s="1" t="s">
        <v>6141</v>
      </c>
      <c r="J884" s="1" t="s">
        <v>6142</v>
      </c>
      <c r="K884">
        <v>-2752</v>
      </c>
      <c r="L884" s="1" t="s">
        <v>6143</v>
      </c>
    </row>
    <row r="885" spans="1:12" x14ac:dyDescent="0.25">
      <c r="A885">
        <v>883</v>
      </c>
      <c r="B885" s="1" t="s">
        <v>6144</v>
      </c>
      <c r="C885" s="1" t="s">
        <v>6145</v>
      </c>
      <c r="D885" s="1" t="s">
        <v>448</v>
      </c>
      <c r="E885" s="1" t="s">
        <v>6146</v>
      </c>
      <c r="F885" s="1" t="s">
        <v>6147</v>
      </c>
      <c r="G885">
        <v>-12543</v>
      </c>
      <c r="H885">
        <v>-2259</v>
      </c>
      <c r="I885" s="1" t="s">
        <v>6148</v>
      </c>
      <c r="J885" s="1" t="s">
        <v>6149</v>
      </c>
      <c r="K885">
        <v>-4955</v>
      </c>
      <c r="L885" s="1" t="s">
        <v>6150</v>
      </c>
    </row>
    <row r="886" spans="1:12" x14ac:dyDescent="0.25">
      <c r="A886">
        <v>884</v>
      </c>
      <c r="B886" s="1" t="s">
        <v>6151</v>
      </c>
      <c r="C886" s="1" t="s">
        <v>6152</v>
      </c>
      <c r="D886" s="1" t="s">
        <v>3407</v>
      </c>
      <c r="E886" s="1" t="s">
        <v>6153</v>
      </c>
      <c r="F886" s="1" t="s">
        <v>6154</v>
      </c>
      <c r="G886">
        <v>-10672</v>
      </c>
      <c r="H886">
        <v>-3275</v>
      </c>
      <c r="I886" s="1" t="s">
        <v>6155</v>
      </c>
      <c r="J886" s="1" t="s">
        <v>4058</v>
      </c>
      <c r="K886">
        <v>-1091</v>
      </c>
      <c r="L886" s="1" t="s">
        <v>4059</v>
      </c>
    </row>
    <row r="887" spans="1:12" x14ac:dyDescent="0.25">
      <c r="A887">
        <v>885</v>
      </c>
      <c r="B887" s="1" t="s">
        <v>6156</v>
      </c>
      <c r="C887" s="1" t="s">
        <v>6157</v>
      </c>
      <c r="D887" s="1" t="s">
        <v>1393</v>
      </c>
      <c r="E887" s="1" t="s">
        <v>6158</v>
      </c>
      <c r="F887" s="1" t="s">
        <v>6159</v>
      </c>
      <c r="G887">
        <v>-13289</v>
      </c>
      <c r="H887">
        <v>-4552</v>
      </c>
      <c r="I887" s="1" t="s">
        <v>6160</v>
      </c>
      <c r="J887" s="1" t="s">
        <v>347</v>
      </c>
      <c r="K887">
        <v>-5679</v>
      </c>
      <c r="L887" s="1" t="s">
        <v>755</v>
      </c>
    </row>
    <row r="888" spans="1:12" x14ac:dyDescent="0.25">
      <c r="A888">
        <v>886</v>
      </c>
      <c r="B888" s="1" t="s">
        <v>6161</v>
      </c>
      <c r="C888" s="1" t="s">
        <v>6162</v>
      </c>
      <c r="D888" s="1" t="s">
        <v>6163</v>
      </c>
      <c r="E888" s="1" t="s">
        <v>6164</v>
      </c>
      <c r="F888" s="1" t="s">
        <v>6165</v>
      </c>
      <c r="G888">
        <v>-11004</v>
      </c>
      <c r="H888">
        <v>-3365</v>
      </c>
      <c r="I888" s="1" t="s">
        <v>6166</v>
      </c>
      <c r="J888" s="1" t="s">
        <v>6167</v>
      </c>
      <c r="K888">
        <v>-614</v>
      </c>
      <c r="L888" s="1" t="s">
        <v>6168</v>
      </c>
    </row>
    <row r="889" spans="1:12" x14ac:dyDescent="0.25">
      <c r="A889">
        <v>887</v>
      </c>
      <c r="B889" s="1" t="s">
        <v>6169</v>
      </c>
      <c r="C889" s="1" t="s">
        <v>6170</v>
      </c>
      <c r="D889" s="1" t="s">
        <v>442</v>
      </c>
      <c r="E889" s="1" t="s">
        <v>6171</v>
      </c>
      <c r="F889" s="1" t="s">
        <v>6172</v>
      </c>
      <c r="G889">
        <v>-20366</v>
      </c>
      <c r="H889">
        <v>-3233</v>
      </c>
      <c r="I889" s="1" t="s">
        <v>6173</v>
      </c>
      <c r="J889" s="1" t="s">
        <v>6174</v>
      </c>
      <c r="K889">
        <v>365243</v>
      </c>
      <c r="L889" s="1" t="s">
        <v>740</v>
      </c>
    </row>
    <row r="890" spans="1:12" x14ac:dyDescent="0.25">
      <c r="A890">
        <v>888</v>
      </c>
      <c r="B890" s="1" t="s">
        <v>6175</v>
      </c>
      <c r="C890" s="1" t="s">
        <v>6176</v>
      </c>
      <c r="D890" s="1" t="s">
        <v>1401</v>
      </c>
      <c r="E890" s="1" t="s">
        <v>6177</v>
      </c>
      <c r="F890" s="1" t="s">
        <v>6178</v>
      </c>
      <c r="G890">
        <v>-10151</v>
      </c>
      <c r="H890">
        <v>-2786</v>
      </c>
      <c r="I890" s="1" t="s">
        <v>6179</v>
      </c>
      <c r="J890" s="1" t="s">
        <v>6180</v>
      </c>
      <c r="K890">
        <v>-1994</v>
      </c>
      <c r="L890" s="1" t="s">
        <v>6181</v>
      </c>
    </row>
    <row r="891" spans="1:12" x14ac:dyDescent="0.25">
      <c r="A891">
        <v>889</v>
      </c>
      <c r="B891" s="1" t="s">
        <v>6182</v>
      </c>
      <c r="C891" s="1" t="s">
        <v>6183</v>
      </c>
      <c r="D891" s="1" t="s">
        <v>75</v>
      </c>
      <c r="E891" s="1" t="s">
        <v>6184</v>
      </c>
      <c r="F891" s="1" t="s">
        <v>6185</v>
      </c>
      <c r="G891">
        <v>-22516</v>
      </c>
      <c r="H891">
        <v>-5165</v>
      </c>
      <c r="I891" s="1" t="s">
        <v>6186</v>
      </c>
      <c r="J891" s="1" t="s">
        <v>6187</v>
      </c>
      <c r="K891">
        <v>365243</v>
      </c>
      <c r="L891" s="1" t="s">
        <v>6188</v>
      </c>
    </row>
    <row r="892" spans="1:12" x14ac:dyDescent="0.25">
      <c r="A892">
        <v>890</v>
      </c>
      <c r="B892" s="1" t="s">
        <v>6189</v>
      </c>
      <c r="C892" s="1" t="s">
        <v>6190</v>
      </c>
      <c r="D892" s="1" t="s">
        <v>4504</v>
      </c>
      <c r="E892" s="1" t="s">
        <v>6191</v>
      </c>
      <c r="F892" s="1" t="s">
        <v>6192</v>
      </c>
      <c r="G892">
        <v>-21857</v>
      </c>
      <c r="H892">
        <v>-4893</v>
      </c>
      <c r="I892" s="1" t="s">
        <v>6193</v>
      </c>
      <c r="J892" s="1" t="s">
        <v>6194</v>
      </c>
      <c r="K892">
        <v>365243</v>
      </c>
      <c r="L892" s="1" t="s">
        <v>6195</v>
      </c>
    </row>
    <row r="893" spans="1:12" x14ac:dyDescent="0.25">
      <c r="A893">
        <v>891</v>
      </c>
      <c r="B893" s="1" t="s">
        <v>6196</v>
      </c>
      <c r="C893" s="1" t="s">
        <v>6197</v>
      </c>
      <c r="D893" s="1" t="s">
        <v>103</v>
      </c>
      <c r="E893" s="1" t="s">
        <v>6198</v>
      </c>
      <c r="F893" s="1" t="s">
        <v>6199</v>
      </c>
      <c r="G893">
        <v>-16536</v>
      </c>
      <c r="H893">
        <v>-85</v>
      </c>
      <c r="I893" s="1" t="s">
        <v>6200</v>
      </c>
      <c r="J893" s="1" t="s">
        <v>6201</v>
      </c>
      <c r="K893">
        <v>-1784</v>
      </c>
      <c r="L893" s="1" t="s">
        <v>6202</v>
      </c>
    </row>
    <row r="894" spans="1:12" x14ac:dyDescent="0.25">
      <c r="A894">
        <v>892</v>
      </c>
      <c r="B894" s="1" t="s">
        <v>6203</v>
      </c>
      <c r="C894" s="1" t="s">
        <v>6204</v>
      </c>
      <c r="D894" s="1" t="s">
        <v>3198</v>
      </c>
      <c r="E894" s="1" t="s">
        <v>6205</v>
      </c>
      <c r="F894" s="1" t="s">
        <v>6206</v>
      </c>
      <c r="G894">
        <v>-19974</v>
      </c>
      <c r="H894">
        <v>-3479</v>
      </c>
      <c r="I894" s="1" t="s">
        <v>6207</v>
      </c>
      <c r="J894" s="1" t="s">
        <v>6208</v>
      </c>
      <c r="K894">
        <v>-3081</v>
      </c>
      <c r="L894" s="1" t="s">
        <v>6209</v>
      </c>
    </row>
    <row r="895" spans="1:12" x14ac:dyDescent="0.25">
      <c r="A895">
        <v>893</v>
      </c>
      <c r="B895" s="1" t="s">
        <v>6210</v>
      </c>
      <c r="C895" s="1" t="s">
        <v>6211</v>
      </c>
      <c r="D895" s="1" t="s">
        <v>3105</v>
      </c>
      <c r="E895" s="1" t="s">
        <v>6212</v>
      </c>
      <c r="F895" s="1" t="s">
        <v>6213</v>
      </c>
      <c r="G895">
        <v>-13965</v>
      </c>
      <c r="H895">
        <v>-4718</v>
      </c>
      <c r="I895" s="1" t="s">
        <v>6214</v>
      </c>
      <c r="J895" s="1" t="s">
        <v>6215</v>
      </c>
      <c r="K895">
        <v>-940</v>
      </c>
      <c r="L895" s="1" t="s">
        <v>6216</v>
      </c>
    </row>
    <row r="896" spans="1:12" x14ac:dyDescent="0.25">
      <c r="A896">
        <v>894</v>
      </c>
      <c r="B896" s="1" t="s">
        <v>6217</v>
      </c>
      <c r="C896" s="1" t="s">
        <v>6218</v>
      </c>
      <c r="D896" s="1" t="s">
        <v>54</v>
      </c>
      <c r="E896" s="1" t="s">
        <v>6219</v>
      </c>
      <c r="F896" s="1" t="s">
        <v>6220</v>
      </c>
      <c r="G896">
        <v>-15494</v>
      </c>
      <c r="H896">
        <v>-4081</v>
      </c>
      <c r="I896" s="1" t="s">
        <v>6221</v>
      </c>
      <c r="J896" s="1" t="s">
        <v>6222</v>
      </c>
      <c r="K896">
        <v>-4419</v>
      </c>
      <c r="L896" s="1" t="s">
        <v>6223</v>
      </c>
    </row>
    <row r="897" spans="1:12" x14ac:dyDescent="0.25">
      <c r="A897">
        <v>895</v>
      </c>
      <c r="B897" s="1" t="s">
        <v>6224</v>
      </c>
      <c r="C897" s="1" t="s">
        <v>6225</v>
      </c>
      <c r="D897" s="1" t="s">
        <v>2227</v>
      </c>
      <c r="E897" s="1" t="s">
        <v>6226</v>
      </c>
      <c r="F897" s="1" t="s">
        <v>203</v>
      </c>
      <c r="G897">
        <v>-14134</v>
      </c>
      <c r="H897">
        <v>-4514</v>
      </c>
      <c r="I897" s="1" t="s">
        <v>6227</v>
      </c>
      <c r="J897" s="1" t="s">
        <v>2472</v>
      </c>
      <c r="K897">
        <v>-1908</v>
      </c>
      <c r="L897" s="1" t="s">
        <v>6228</v>
      </c>
    </row>
    <row r="898" spans="1:12" x14ac:dyDescent="0.25">
      <c r="A898">
        <v>896</v>
      </c>
      <c r="B898" s="1" t="s">
        <v>6229</v>
      </c>
      <c r="C898" s="1" t="s">
        <v>6230</v>
      </c>
      <c r="D898" s="1" t="s">
        <v>54</v>
      </c>
      <c r="E898" s="1" t="s">
        <v>6231</v>
      </c>
      <c r="F898" s="1" t="s">
        <v>6232</v>
      </c>
      <c r="G898">
        <v>-25051</v>
      </c>
      <c r="H898">
        <v>-4335</v>
      </c>
      <c r="I898" s="1" t="s">
        <v>6233</v>
      </c>
      <c r="J898" s="1" t="s">
        <v>6234</v>
      </c>
      <c r="K898">
        <v>365243</v>
      </c>
      <c r="L898" s="1" t="s">
        <v>6235</v>
      </c>
    </row>
    <row r="899" spans="1:12" x14ac:dyDescent="0.25">
      <c r="A899">
        <v>897</v>
      </c>
      <c r="B899" s="1" t="s">
        <v>6236</v>
      </c>
      <c r="C899" s="1" t="s">
        <v>6237</v>
      </c>
      <c r="D899" s="1" t="s">
        <v>3322</v>
      </c>
      <c r="E899" s="1" t="s">
        <v>6238</v>
      </c>
      <c r="F899" s="1" t="s">
        <v>6239</v>
      </c>
      <c r="G899">
        <v>-22164</v>
      </c>
      <c r="H899">
        <v>-4597</v>
      </c>
      <c r="I899" s="1" t="s">
        <v>6240</v>
      </c>
      <c r="J899" s="1" t="s">
        <v>3113</v>
      </c>
      <c r="K899">
        <v>-4512</v>
      </c>
      <c r="L899" s="1" t="s">
        <v>3114</v>
      </c>
    </row>
    <row r="900" spans="1:12" x14ac:dyDescent="0.25">
      <c r="A900">
        <v>898</v>
      </c>
      <c r="B900" s="1" t="s">
        <v>6241</v>
      </c>
      <c r="C900" s="1" t="s">
        <v>6242</v>
      </c>
      <c r="D900" s="1" t="s">
        <v>1139</v>
      </c>
      <c r="E900" s="1" t="s">
        <v>6243</v>
      </c>
      <c r="F900" s="1" t="s">
        <v>6244</v>
      </c>
      <c r="G900">
        <v>-12509</v>
      </c>
      <c r="H900">
        <v>-2458</v>
      </c>
      <c r="I900" s="1" t="s">
        <v>6245</v>
      </c>
      <c r="J900" s="1" t="s">
        <v>6246</v>
      </c>
      <c r="K900">
        <v>-112</v>
      </c>
      <c r="L900" s="1" t="s">
        <v>6247</v>
      </c>
    </row>
    <row r="901" spans="1:12" x14ac:dyDescent="0.25">
      <c r="A901">
        <v>899</v>
      </c>
      <c r="B901" s="1" t="s">
        <v>6248</v>
      </c>
      <c r="C901" s="1" t="s">
        <v>6249</v>
      </c>
      <c r="D901" s="1" t="s">
        <v>2163</v>
      </c>
      <c r="E901" s="1" t="s">
        <v>6250</v>
      </c>
      <c r="F901" s="1" t="s">
        <v>6251</v>
      </c>
      <c r="G901">
        <v>-14517</v>
      </c>
      <c r="H901">
        <v>-4779</v>
      </c>
      <c r="I901" s="1" t="s">
        <v>6252</v>
      </c>
      <c r="J901" s="1" t="s">
        <v>6253</v>
      </c>
      <c r="K901">
        <v>-2060</v>
      </c>
      <c r="L901" s="1" t="s">
        <v>6254</v>
      </c>
    </row>
    <row r="902" spans="1:12" x14ac:dyDescent="0.25">
      <c r="A902">
        <v>900</v>
      </c>
      <c r="B902" s="1" t="s">
        <v>6255</v>
      </c>
      <c r="C902" s="1" t="s">
        <v>6256</v>
      </c>
      <c r="D902" s="1" t="s">
        <v>6257</v>
      </c>
      <c r="E902" s="1" t="s">
        <v>6258</v>
      </c>
      <c r="F902" s="1" t="s">
        <v>6259</v>
      </c>
      <c r="G902">
        <v>-15155</v>
      </c>
      <c r="H902">
        <v>-532</v>
      </c>
      <c r="I902" s="1" t="s">
        <v>6260</v>
      </c>
      <c r="J902" s="1" t="s">
        <v>6261</v>
      </c>
      <c r="K902">
        <v>-256</v>
      </c>
      <c r="L902" s="1" t="s">
        <v>6262</v>
      </c>
    </row>
    <row r="903" spans="1:12" x14ac:dyDescent="0.25">
      <c r="A903">
        <v>901</v>
      </c>
      <c r="B903" s="1" t="s">
        <v>6263</v>
      </c>
      <c r="C903" s="1" t="s">
        <v>6264</v>
      </c>
      <c r="D903" s="1" t="s">
        <v>394</v>
      </c>
      <c r="E903" s="1" t="s">
        <v>6265</v>
      </c>
      <c r="F903" s="1" t="s">
        <v>6266</v>
      </c>
      <c r="G903">
        <v>-21363</v>
      </c>
      <c r="H903">
        <v>-4857</v>
      </c>
      <c r="I903" s="1" t="s">
        <v>6267</v>
      </c>
      <c r="J903" s="1" t="s">
        <v>6268</v>
      </c>
      <c r="K903">
        <v>365243</v>
      </c>
      <c r="L903" s="1" t="s">
        <v>6269</v>
      </c>
    </row>
    <row r="904" spans="1:12" x14ac:dyDescent="0.25">
      <c r="A904">
        <v>902</v>
      </c>
      <c r="B904" s="1" t="s">
        <v>6270</v>
      </c>
      <c r="C904" s="1" t="s">
        <v>6271</v>
      </c>
      <c r="D904" s="1" t="s">
        <v>4062</v>
      </c>
      <c r="E904" s="1" t="s">
        <v>6272</v>
      </c>
      <c r="F904" s="1" t="s">
        <v>6273</v>
      </c>
      <c r="G904">
        <v>-18937</v>
      </c>
      <c r="H904">
        <v>-2472</v>
      </c>
      <c r="I904" s="1" t="s">
        <v>6274</v>
      </c>
      <c r="J904" s="1" t="s">
        <v>6275</v>
      </c>
      <c r="K904">
        <v>-431</v>
      </c>
      <c r="L904" s="1" t="s">
        <v>6276</v>
      </c>
    </row>
    <row r="905" spans="1:12" x14ac:dyDescent="0.25">
      <c r="A905">
        <v>903</v>
      </c>
      <c r="B905" s="1" t="s">
        <v>6277</v>
      </c>
      <c r="C905" s="1" t="s">
        <v>6278</v>
      </c>
      <c r="D905" s="1" t="s">
        <v>3026</v>
      </c>
      <c r="E905" s="1" t="s">
        <v>6279</v>
      </c>
      <c r="F905" s="1" t="s">
        <v>6280</v>
      </c>
      <c r="G905">
        <v>-11912</v>
      </c>
      <c r="H905">
        <v>-4566</v>
      </c>
      <c r="I905" s="1" t="s">
        <v>6281</v>
      </c>
      <c r="J905" s="1" t="s">
        <v>6282</v>
      </c>
      <c r="K905">
        <v>-451</v>
      </c>
      <c r="L905" s="1" t="s">
        <v>6283</v>
      </c>
    </row>
    <row r="906" spans="1:12" x14ac:dyDescent="0.25">
      <c r="A906">
        <v>904</v>
      </c>
      <c r="B906" s="1" t="s">
        <v>6284</v>
      </c>
      <c r="C906" s="1" t="s">
        <v>6285</v>
      </c>
      <c r="D906" s="1" t="s">
        <v>6286</v>
      </c>
      <c r="E906" s="1" t="s">
        <v>6287</v>
      </c>
      <c r="F906" s="1" t="s">
        <v>6288</v>
      </c>
      <c r="G906">
        <v>-20350</v>
      </c>
      <c r="H906">
        <v>-3897</v>
      </c>
      <c r="I906" s="1" t="s">
        <v>6289</v>
      </c>
      <c r="J906" s="1" t="s">
        <v>3461</v>
      </c>
      <c r="K906">
        <v>-3909</v>
      </c>
      <c r="L906" s="1" t="s">
        <v>6290</v>
      </c>
    </row>
    <row r="907" spans="1:12" x14ac:dyDescent="0.25">
      <c r="A907">
        <v>905</v>
      </c>
      <c r="B907" s="1" t="s">
        <v>6291</v>
      </c>
      <c r="C907" s="1" t="s">
        <v>6292</v>
      </c>
      <c r="D907" s="1" t="s">
        <v>862</v>
      </c>
      <c r="E907" s="1" t="s">
        <v>6293</v>
      </c>
      <c r="F907" s="1" t="s">
        <v>6294</v>
      </c>
      <c r="G907">
        <v>-23323</v>
      </c>
      <c r="H907">
        <v>-4031</v>
      </c>
      <c r="I907" s="1" t="s">
        <v>6295</v>
      </c>
      <c r="J907" s="1" t="s">
        <v>1541</v>
      </c>
      <c r="K907">
        <v>365243</v>
      </c>
      <c r="L907" s="1" t="s">
        <v>6296</v>
      </c>
    </row>
    <row r="908" spans="1:12" x14ac:dyDescent="0.25">
      <c r="A908">
        <v>906</v>
      </c>
      <c r="B908" s="1" t="s">
        <v>6297</v>
      </c>
      <c r="C908" s="1" t="s">
        <v>6298</v>
      </c>
      <c r="D908" s="1" t="s">
        <v>5499</v>
      </c>
      <c r="E908" s="1" t="s">
        <v>6299</v>
      </c>
      <c r="F908" s="1" t="s">
        <v>6300</v>
      </c>
      <c r="G908">
        <v>-11389</v>
      </c>
      <c r="H908">
        <v>-3438</v>
      </c>
      <c r="I908" s="1" t="s">
        <v>1118</v>
      </c>
      <c r="J908" s="1" t="s">
        <v>1119</v>
      </c>
      <c r="K908">
        <v>-3161</v>
      </c>
      <c r="L908" s="1" t="s">
        <v>1120</v>
      </c>
    </row>
    <row r="909" spans="1:12" x14ac:dyDescent="0.25">
      <c r="A909">
        <v>907</v>
      </c>
      <c r="B909" s="1" t="s">
        <v>6301</v>
      </c>
      <c r="C909" s="1" t="s">
        <v>6302</v>
      </c>
      <c r="D909" s="1" t="s">
        <v>3286</v>
      </c>
      <c r="E909" s="1" t="s">
        <v>6303</v>
      </c>
      <c r="F909" s="1" t="s">
        <v>6304</v>
      </c>
      <c r="G909">
        <v>-21347</v>
      </c>
      <c r="H909">
        <v>-4806</v>
      </c>
      <c r="I909" s="1" t="s">
        <v>6305</v>
      </c>
      <c r="J909" s="1" t="s">
        <v>6306</v>
      </c>
      <c r="K909">
        <v>365243</v>
      </c>
      <c r="L909" s="1" t="s">
        <v>6307</v>
      </c>
    </row>
    <row r="910" spans="1:12" x14ac:dyDescent="0.25">
      <c r="A910">
        <v>908</v>
      </c>
      <c r="B910" s="1" t="s">
        <v>6308</v>
      </c>
      <c r="C910" s="1" t="s">
        <v>6309</v>
      </c>
      <c r="D910" s="1" t="s">
        <v>6310</v>
      </c>
      <c r="E910" s="1" t="s">
        <v>6311</v>
      </c>
      <c r="F910" s="1" t="s">
        <v>6312</v>
      </c>
      <c r="G910">
        <v>-22111</v>
      </c>
      <c r="H910">
        <v>-4194</v>
      </c>
      <c r="I910" s="1" t="s">
        <v>6313</v>
      </c>
      <c r="J910" s="1" t="s">
        <v>6314</v>
      </c>
      <c r="K910">
        <v>365243</v>
      </c>
      <c r="L910" s="1" t="s">
        <v>6315</v>
      </c>
    </row>
    <row r="911" spans="1:12" x14ac:dyDescent="0.25">
      <c r="A911">
        <v>909</v>
      </c>
      <c r="B911" s="1" t="s">
        <v>6316</v>
      </c>
      <c r="C911" s="1" t="s">
        <v>6317</v>
      </c>
      <c r="D911" s="1" t="s">
        <v>2591</v>
      </c>
      <c r="E911" s="1" t="s">
        <v>6318</v>
      </c>
      <c r="F911" s="1" t="s">
        <v>6319</v>
      </c>
      <c r="G911">
        <v>-13160</v>
      </c>
      <c r="H911">
        <v>-747</v>
      </c>
      <c r="I911" s="1" t="s">
        <v>6320</v>
      </c>
      <c r="J911" s="1" t="s">
        <v>6321</v>
      </c>
      <c r="K911">
        <v>-2855</v>
      </c>
      <c r="L911" s="1" t="s">
        <v>6322</v>
      </c>
    </row>
    <row r="912" spans="1:12" x14ac:dyDescent="0.25">
      <c r="A912">
        <v>910</v>
      </c>
      <c r="B912" s="1" t="s">
        <v>6323</v>
      </c>
      <c r="C912" s="1" t="s">
        <v>6324</v>
      </c>
      <c r="D912" s="1" t="s">
        <v>6325</v>
      </c>
      <c r="E912" s="1" t="s">
        <v>6326</v>
      </c>
      <c r="F912" s="1" t="s">
        <v>6327</v>
      </c>
      <c r="G912">
        <v>-15161</v>
      </c>
      <c r="H912">
        <v>-3708</v>
      </c>
      <c r="I912" s="1" t="s">
        <v>6328</v>
      </c>
      <c r="J912" s="1" t="s">
        <v>6329</v>
      </c>
      <c r="K912">
        <v>-3564</v>
      </c>
      <c r="L912" s="1" t="s">
        <v>6330</v>
      </c>
    </row>
    <row r="913" spans="1:12" x14ac:dyDescent="0.25">
      <c r="A913">
        <v>911</v>
      </c>
      <c r="B913" s="1" t="s">
        <v>6331</v>
      </c>
      <c r="C913" s="1" t="s">
        <v>6332</v>
      </c>
      <c r="D913" s="1" t="s">
        <v>2566</v>
      </c>
      <c r="E913" s="1" t="s">
        <v>6333</v>
      </c>
      <c r="F913" s="1" t="s">
        <v>6334</v>
      </c>
      <c r="G913">
        <v>-12790</v>
      </c>
      <c r="H913">
        <v>-2923</v>
      </c>
      <c r="I913" s="1" t="s">
        <v>6335</v>
      </c>
      <c r="J913" s="1" t="s">
        <v>701</v>
      </c>
      <c r="K913">
        <v>-635</v>
      </c>
      <c r="L913" s="1" t="s">
        <v>806</v>
      </c>
    </row>
    <row r="914" spans="1:12" x14ac:dyDescent="0.25">
      <c r="A914">
        <v>912</v>
      </c>
      <c r="B914" s="1" t="s">
        <v>6336</v>
      </c>
      <c r="C914" s="1" t="s">
        <v>6337</v>
      </c>
      <c r="D914" s="1" t="s">
        <v>2384</v>
      </c>
      <c r="E914" s="1" t="s">
        <v>6338</v>
      </c>
      <c r="F914" s="1" t="s">
        <v>6339</v>
      </c>
      <c r="G914">
        <v>-12140</v>
      </c>
      <c r="H914">
        <v>-4254</v>
      </c>
      <c r="I914" s="1" t="s">
        <v>6340</v>
      </c>
      <c r="J914" s="1" t="s">
        <v>6341</v>
      </c>
      <c r="K914">
        <v>-2281</v>
      </c>
      <c r="L914" s="1" t="s">
        <v>6342</v>
      </c>
    </row>
    <row r="915" spans="1:12" x14ac:dyDescent="0.25">
      <c r="A915">
        <v>913</v>
      </c>
      <c r="B915" s="1" t="s">
        <v>6343</v>
      </c>
      <c r="C915" s="1" t="s">
        <v>6344</v>
      </c>
      <c r="D915" s="1" t="s">
        <v>6345</v>
      </c>
      <c r="E915" s="1" t="s">
        <v>6346</v>
      </c>
      <c r="F915" s="1" t="s">
        <v>6347</v>
      </c>
      <c r="G915">
        <v>-16076</v>
      </c>
      <c r="H915">
        <v>-4088</v>
      </c>
      <c r="I915" s="1" t="s">
        <v>6348</v>
      </c>
      <c r="J915" s="1" t="s">
        <v>6349</v>
      </c>
      <c r="K915">
        <v>-553</v>
      </c>
      <c r="L915" s="1" t="s">
        <v>6350</v>
      </c>
    </row>
    <row r="916" spans="1:12" x14ac:dyDescent="0.25">
      <c r="A916">
        <v>914</v>
      </c>
      <c r="B916" s="1" t="s">
        <v>6351</v>
      </c>
      <c r="C916" s="1" t="s">
        <v>6352</v>
      </c>
      <c r="D916" s="1" t="s">
        <v>54</v>
      </c>
      <c r="E916" s="1" t="s">
        <v>6353</v>
      </c>
      <c r="F916" s="1" t="s">
        <v>77</v>
      </c>
      <c r="G916">
        <v>-14411</v>
      </c>
      <c r="H916">
        <v>-2198</v>
      </c>
      <c r="I916" s="1" t="s">
        <v>6354</v>
      </c>
      <c r="J916" s="1" t="s">
        <v>6355</v>
      </c>
      <c r="K916">
        <v>-226</v>
      </c>
      <c r="L916" s="1" t="s">
        <v>6356</v>
      </c>
    </row>
    <row r="917" spans="1:12" x14ac:dyDescent="0.25">
      <c r="A917">
        <v>915</v>
      </c>
      <c r="B917" s="1" t="s">
        <v>6357</v>
      </c>
      <c r="C917" s="1" t="s">
        <v>6358</v>
      </c>
      <c r="D917" s="1" t="s">
        <v>6359</v>
      </c>
      <c r="E917" s="1" t="s">
        <v>6360</v>
      </c>
      <c r="F917" s="1" t="s">
        <v>6361</v>
      </c>
      <c r="G917">
        <v>-20860</v>
      </c>
      <c r="H917">
        <v>-4205</v>
      </c>
      <c r="I917" s="1" t="s">
        <v>6362</v>
      </c>
      <c r="J917" s="1" t="s">
        <v>2527</v>
      </c>
      <c r="K917">
        <v>365243</v>
      </c>
      <c r="L917" s="1" t="s">
        <v>2528</v>
      </c>
    </row>
    <row r="918" spans="1:12" x14ac:dyDescent="0.25">
      <c r="A918">
        <v>916</v>
      </c>
      <c r="B918" s="1" t="s">
        <v>6363</v>
      </c>
      <c r="C918" s="1" t="s">
        <v>6364</v>
      </c>
      <c r="D918" s="1" t="s">
        <v>1553</v>
      </c>
      <c r="E918" s="1" t="s">
        <v>6365</v>
      </c>
      <c r="F918" s="1" t="s">
        <v>6366</v>
      </c>
      <c r="G918">
        <v>-11986</v>
      </c>
      <c r="H918">
        <v>-1980</v>
      </c>
      <c r="I918" s="1" t="s">
        <v>6367</v>
      </c>
      <c r="J918" s="1" t="s">
        <v>198</v>
      </c>
      <c r="K918">
        <v>-1015</v>
      </c>
      <c r="L918" s="1" t="s">
        <v>1495</v>
      </c>
    </row>
    <row r="919" spans="1:12" x14ac:dyDescent="0.25">
      <c r="A919">
        <v>917</v>
      </c>
      <c r="B919" s="1" t="s">
        <v>6368</v>
      </c>
      <c r="C919" s="1" t="s">
        <v>6369</v>
      </c>
      <c r="D919" s="1" t="s">
        <v>3660</v>
      </c>
      <c r="E919" s="1" t="s">
        <v>6370</v>
      </c>
      <c r="F919" s="1" t="s">
        <v>6371</v>
      </c>
      <c r="G919">
        <v>-14162</v>
      </c>
      <c r="H919">
        <v>-3828</v>
      </c>
      <c r="I919" s="1" t="s">
        <v>6372</v>
      </c>
      <c r="J919" s="1" t="s">
        <v>6373</v>
      </c>
      <c r="K919">
        <v>-1202</v>
      </c>
      <c r="L919" s="1" t="s">
        <v>6374</v>
      </c>
    </row>
    <row r="920" spans="1:12" x14ac:dyDescent="0.25">
      <c r="A920">
        <v>918</v>
      </c>
      <c r="B920" s="1" t="s">
        <v>6375</v>
      </c>
      <c r="C920" s="1" t="s">
        <v>6376</v>
      </c>
      <c r="D920" s="1" t="s">
        <v>2406</v>
      </c>
      <c r="E920" s="1" t="s">
        <v>6377</v>
      </c>
      <c r="F920" s="1" t="s">
        <v>6378</v>
      </c>
      <c r="G920">
        <v>-19502</v>
      </c>
      <c r="H920">
        <v>-3013</v>
      </c>
      <c r="I920" s="1" t="s">
        <v>6379</v>
      </c>
      <c r="J920" s="1" t="s">
        <v>999</v>
      </c>
      <c r="K920">
        <v>-1600</v>
      </c>
      <c r="L920" s="1" t="s">
        <v>1000</v>
      </c>
    </row>
    <row r="921" spans="1:12" x14ac:dyDescent="0.25">
      <c r="A921">
        <v>919</v>
      </c>
      <c r="B921" s="1" t="s">
        <v>6380</v>
      </c>
      <c r="C921" s="1" t="s">
        <v>6381</v>
      </c>
      <c r="D921" s="1" t="s">
        <v>6382</v>
      </c>
      <c r="E921" s="1" t="s">
        <v>6383</v>
      </c>
      <c r="F921" s="1" t="s">
        <v>6384</v>
      </c>
      <c r="G921">
        <v>-24050</v>
      </c>
      <c r="H921">
        <v>-4323</v>
      </c>
      <c r="I921" s="1" t="s">
        <v>6385</v>
      </c>
      <c r="J921" s="1" t="s">
        <v>984</v>
      </c>
      <c r="K921">
        <v>365243</v>
      </c>
      <c r="L921" s="1" t="s">
        <v>985</v>
      </c>
    </row>
    <row r="922" spans="1:12" x14ac:dyDescent="0.25">
      <c r="A922">
        <v>920</v>
      </c>
      <c r="B922" s="1" t="s">
        <v>6386</v>
      </c>
      <c r="C922" s="1" t="s">
        <v>6387</v>
      </c>
      <c r="D922" s="1" t="s">
        <v>1498</v>
      </c>
      <c r="E922" s="1" t="s">
        <v>6388</v>
      </c>
      <c r="F922" s="1" t="s">
        <v>6389</v>
      </c>
      <c r="G922">
        <v>-22760</v>
      </c>
      <c r="H922">
        <v>-4644</v>
      </c>
      <c r="I922" s="1" t="s">
        <v>6390</v>
      </c>
      <c r="J922" s="1" t="s">
        <v>6391</v>
      </c>
      <c r="K922">
        <v>365243</v>
      </c>
      <c r="L922" s="1" t="s">
        <v>6392</v>
      </c>
    </row>
    <row r="923" spans="1:12" x14ac:dyDescent="0.25">
      <c r="A923">
        <v>921</v>
      </c>
      <c r="B923" s="1" t="s">
        <v>6393</v>
      </c>
      <c r="C923" s="1" t="s">
        <v>6394</v>
      </c>
      <c r="D923" s="1" t="s">
        <v>82</v>
      </c>
      <c r="E923" s="1" t="s">
        <v>6395</v>
      </c>
      <c r="F923" s="1" t="s">
        <v>6396</v>
      </c>
      <c r="G923">
        <v>-14590</v>
      </c>
      <c r="H923">
        <v>-4152</v>
      </c>
      <c r="I923" s="1" t="s">
        <v>6397</v>
      </c>
      <c r="J923" s="1" t="s">
        <v>6398</v>
      </c>
      <c r="K923">
        <v>-855</v>
      </c>
      <c r="L923" s="1" t="s">
        <v>6399</v>
      </c>
    </row>
    <row r="924" spans="1:12" x14ac:dyDescent="0.25">
      <c r="A924">
        <v>922</v>
      </c>
      <c r="B924" s="1" t="s">
        <v>6400</v>
      </c>
      <c r="C924" s="1" t="s">
        <v>6401</v>
      </c>
      <c r="D924" s="1" t="s">
        <v>1049</v>
      </c>
      <c r="E924" s="1" t="s">
        <v>6402</v>
      </c>
      <c r="F924" s="1" t="s">
        <v>6403</v>
      </c>
      <c r="G924">
        <v>-17203</v>
      </c>
      <c r="H924">
        <v>-750</v>
      </c>
      <c r="I924" s="1" t="s">
        <v>6404</v>
      </c>
      <c r="J924" s="1" t="s">
        <v>6405</v>
      </c>
      <c r="K924">
        <v>-6266</v>
      </c>
      <c r="L924" s="1" t="s">
        <v>6406</v>
      </c>
    </row>
    <row r="925" spans="1:12" x14ac:dyDescent="0.25">
      <c r="A925">
        <v>923</v>
      </c>
      <c r="B925" s="1" t="s">
        <v>6407</v>
      </c>
      <c r="C925" s="1" t="s">
        <v>6408</v>
      </c>
      <c r="D925" s="1" t="s">
        <v>501</v>
      </c>
      <c r="E925" s="1" t="s">
        <v>6409</v>
      </c>
      <c r="F925" s="1" t="s">
        <v>6410</v>
      </c>
      <c r="G925">
        <v>-21909</v>
      </c>
      <c r="H925">
        <v>-4449</v>
      </c>
      <c r="I925" s="1" t="s">
        <v>6411</v>
      </c>
      <c r="J925" s="1" t="s">
        <v>6412</v>
      </c>
      <c r="K925">
        <v>365243</v>
      </c>
      <c r="L925" s="1" t="s">
        <v>6413</v>
      </c>
    </row>
    <row r="926" spans="1:12" x14ac:dyDescent="0.25">
      <c r="A926">
        <v>924</v>
      </c>
      <c r="B926" s="1" t="s">
        <v>6414</v>
      </c>
      <c r="C926" s="1" t="s">
        <v>6415</v>
      </c>
      <c r="D926" s="1" t="s">
        <v>1417</v>
      </c>
      <c r="E926" s="1" t="s">
        <v>6416</v>
      </c>
      <c r="F926" s="1" t="s">
        <v>6417</v>
      </c>
      <c r="G926">
        <v>-12786</v>
      </c>
      <c r="H926">
        <v>-3829</v>
      </c>
      <c r="I926" s="1" t="s">
        <v>6418</v>
      </c>
      <c r="J926" s="1" t="s">
        <v>6419</v>
      </c>
      <c r="K926">
        <v>-2178</v>
      </c>
      <c r="L926" s="1" t="s">
        <v>6420</v>
      </c>
    </row>
    <row r="927" spans="1:12" x14ac:dyDescent="0.25">
      <c r="A927">
        <v>925</v>
      </c>
      <c r="B927" s="1" t="s">
        <v>6421</v>
      </c>
      <c r="C927" s="1" t="s">
        <v>6422</v>
      </c>
      <c r="D927" s="1" t="s">
        <v>1451</v>
      </c>
      <c r="E927" s="1" t="s">
        <v>6423</v>
      </c>
      <c r="F927" s="1" t="s">
        <v>6424</v>
      </c>
      <c r="G927">
        <v>-16093</v>
      </c>
      <c r="H927">
        <v>-3169</v>
      </c>
      <c r="I927" s="1" t="s">
        <v>6425</v>
      </c>
      <c r="J927" s="1" t="s">
        <v>6426</v>
      </c>
      <c r="K927">
        <v>-2843</v>
      </c>
      <c r="L927" s="1" t="s">
        <v>6427</v>
      </c>
    </row>
    <row r="928" spans="1:12" x14ac:dyDescent="0.25">
      <c r="A928">
        <v>926</v>
      </c>
      <c r="B928" s="1" t="s">
        <v>6428</v>
      </c>
      <c r="C928" s="1" t="s">
        <v>6429</v>
      </c>
      <c r="D928" s="1" t="s">
        <v>54</v>
      </c>
      <c r="E928" s="1" t="s">
        <v>6430</v>
      </c>
      <c r="F928" s="1" t="s">
        <v>6431</v>
      </c>
      <c r="G928">
        <v>-20516</v>
      </c>
      <c r="H928">
        <v>-4067</v>
      </c>
      <c r="I928" s="1" t="s">
        <v>6432</v>
      </c>
      <c r="J928" s="1" t="s">
        <v>6433</v>
      </c>
      <c r="K928">
        <v>365243</v>
      </c>
      <c r="L928" s="1" t="s">
        <v>6434</v>
      </c>
    </row>
    <row r="929" spans="1:12" x14ac:dyDescent="0.25">
      <c r="A929">
        <v>927</v>
      </c>
      <c r="B929" s="1" t="s">
        <v>6435</v>
      </c>
      <c r="C929" s="1" t="s">
        <v>6436</v>
      </c>
      <c r="D929" s="1" t="s">
        <v>1312</v>
      </c>
      <c r="E929" s="1" t="s">
        <v>6437</v>
      </c>
      <c r="F929" s="1" t="s">
        <v>6438</v>
      </c>
      <c r="G929">
        <v>-21642</v>
      </c>
      <c r="H929">
        <v>-4675</v>
      </c>
      <c r="I929" s="1" t="s">
        <v>6439</v>
      </c>
      <c r="J929" s="1" t="s">
        <v>6440</v>
      </c>
      <c r="K929">
        <v>365243</v>
      </c>
      <c r="L929" s="1" t="s">
        <v>6441</v>
      </c>
    </row>
    <row r="930" spans="1:12" x14ac:dyDescent="0.25">
      <c r="A930">
        <v>928</v>
      </c>
      <c r="B930" s="1" t="s">
        <v>6442</v>
      </c>
      <c r="C930" s="1" t="s">
        <v>6443</v>
      </c>
      <c r="D930" s="1" t="s">
        <v>6444</v>
      </c>
      <c r="E930" s="1" t="s">
        <v>6445</v>
      </c>
      <c r="F930" s="1" t="s">
        <v>6446</v>
      </c>
      <c r="G930">
        <v>-12931</v>
      </c>
      <c r="H930">
        <v>-3866</v>
      </c>
      <c r="I930" s="1" t="s">
        <v>6447</v>
      </c>
      <c r="J930" s="1" t="s">
        <v>6448</v>
      </c>
      <c r="K930">
        <v>-1317</v>
      </c>
      <c r="L930" s="1" t="s">
        <v>6449</v>
      </c>
    </row>
    <row r="931" spans="1:12" x14ac:dyDescent="0.25">
      <c r="A931">
        <v>929</v>
      </c>
      <c r="B931" s="1" t="s">
        <v>6450</v>
      </c>
      <c r="C931" s="1" t="s">
        <v>6451</v>
      </c>
      <c r="D931" s="1" t="s">
        <v>5120</v>
      </c>
      <c r="E931" s="1" t="s">
        <v>6452</v>
      </c>
      <c r="F931" s="1" t="s">
        <v>6453</v>
      </c>
      <c r="G931">
        <v>-12594</v>
      </c>
      <c r="H931">
        <v>-2574</v>
      </c>
      <c r="I931" s="1" t="s">
        <v>6454</v>
      </c>
      <c r="J931" s="1" t="s">
        <v>6455</v>
      </c>
      <c r="K931">
        <v>-2786</v>
      </c>
      <c r="L931" s="1" t="s">
        <v>6456</v>
      </c>
    </row>
    <row r="932" spans="1:12" x14ac:dyDescent="0.25">
      <c r="A932">
        <v>930</v>
      </c>
      <c r="B932" s="1" t="s">
        <v>6457</v>
      </c>
      <c r="C932" s="1" t="s">
        <v>6458</v>
      </c>
      <c r="D932" s="1" t="s">
        <v>4660</v>
      </c>
      <c r="E932" s="1" t="s">
        <v>6459</v>
      </c>
      <c r="F932" s="1" t="s">
        <v>6460</v>
      </c>
      <c r="G932">
        <v>-9764</v>
      </c>
      <c r="H932">
        <v>-2454</v>
      </c>
      <c r="I932" s="1" t="s">
        <v>6461</v>
      </c>
      <c r="J932" s="1" t="s">
        <v>6462</v>
      </c>
      <c r="K932">
        <v>-332</v>
      </c>
      <c r="L932" s="1" t="s">
        <v>6463</v>
      </c>
    </row>
    <row r="933" spans="1:12" x14ac:dyDescent="0.25">
      <c r="A933">
        <v>931</v>
      </c>
      <c r="B933" s="1" t="s">
        <v>6464</v>
      </c>
      <c r="C933" s="1" t="s">
        <v>6465</v>
      </c>
      <c r="D933" s="1" t="s">
        <v>6466</v>
      </c>
      <c r="E933" s="1" t="s">
        <v>6467</v>
      </c>
      <c r="F933" s="1" t="s">
        <v>6468</v>
      </c>
      <c r="G933">
        <v>-23381</v>
      </c>
      <c r="H933">
        <v>-4557</v>
      </c>
      <c r="I933" s="1" t="s">
        <v>6469</v>
      </c>
      <c r="J933" s="1" t="s">
        <v>6470</v>
      </c>
      <c r="K933">
        <v>365243</v>
      </c>
      <c r="L933" s="1" t="s">
        <v>6471</v>
      </c>
    </row>
    <row r="934" spans="1:12" x14ac:dyDescent="0.25">
      <c r="A934">
        <v>932</v>
      </c>
      <c r="B934" s="1" t="s">
        <v>6472</v>
      </c>
      <c r="C934" s="1" t="s">
        <v>6473</v>
      </c>
      <c r="D934" s="1" t="s">
        <v>3159</v>
      </c>
      <c r="E934" s="1" t="s">
        <v>6474</v>
      </c>
      <c r="F934" s="1" t="s">
        <v>6475</v>
      </c>
      <c r="G934">
        <v>-22330</v>
      </c>
      <c r="H934">
        <v>-4016</v>
      </c>
      <c r="I934" s="1" t="s">
        <v>6476</v>
      </c>
      <c r="J934" s="1" t="s">
        <v>6477</v>
      </c>
      <c r="K934">
        <v>-5110</v>
      </c>
      <c r="L934" s="1" t="s">
        <v>6478</v>
      </c>
    </row>
    <row r="935" spans="1:12" x14ac:dyDescent="0.25">
      <c r="A935">
        <v>933</v>
      </c>
      <c r="B935" s="1" t="s">
        <v>6479</v>
      </c>
      <c r="C935" s="1" t="s">
        <v>6480</v>
      </c>
      <c r="D935" s="1" t="s">
        <v>75</v>
      </c>
      <c r="E935" s="1" t="s">
        <v>6481</v>
      </c>
      <c r="F935" s="1" t="s">
        <v>6482</v>
      </c>
      <c r="G935">
        <v>-17710</v>
      </c>
      <c r="H935">
        <v>-1112</v>
      </c>
      <c r="I935" s="1" t="s">
        <v>6483</v>
      </c>
      <c r="J935" s="1" t="s">
        <v>6484</v>
      </c>
      <c r="K935">
        <v>-2953</v>
      </c>
      <c r="L935" s="1" t="s">
        <v>6485</v>
      </c>
    </row>
    <row r="936" spans="1:12" x14ac:dyDescent="0.25">
      <c r="A936">
        <v>934</v>
      </c>
      <c r="B936" s="1" t="s">
        <v>6486</v>
      </c>
      <c r="C936" s="1" t="s">
        <v>6487</v>
      </c>
      <c r="D936" s="1" t="s">
        <v>6488</v>
      </c>
      <c r="E936" s="1" t="s">
        <v>6489</v>
      </c>
      <c r="F936" s="1" t="s">
        <v>6490</v>
      </c>
      <c r="G936">
        <v>-15385</v>
      </c>
      <c r="H936">
        <v>-4296</v>
      </c>
      <c r="I936" s="1" t="s">
        <v>6491</v>
      </c>
      <c r="J936" s="1" t="s">
        <v>1308</v>
      </c>
      <c r="K936">
        <v>-2284</v>
      </c>
      <c r="L936" s="1" t="s">
        <v>1309</v>
      </c>
    </row>
    <row r="937" spans="1:12" x14ac:dyDescent="0.25">
      <c r="A937">
        <v>935</v>
      </c>
      <c r="B937" s="1" t="s">
        <v>6492</v>
      </c>
      <c r="C937" s="1" t="s">
        <v>6493</v>
      </c>
      <c r="D937" s="1" t="s">
        <v>1247</v>
      </c>
      <c r="E937" s="1" t="s">
        <v>6494</v>
      </c>
      <c r="F937" s="1" t="s">
        <v>6495</v>
      </c>
      <c r="G937">
        <v>-21318</v>
      </c>
      <c r="H937">
        <v>-4610</v>
      </c>
      <c r="I937" s="1" t="s">
        <v>6496</v>
      </c>
      <c r="J937" s="1" t="s">
        <v>1081</v>
      </c>
      <c r="K937">
        <v>-13561</v>
      </c>
      <c r="L937" s="1" t="s">
        <v>1082</v>
      </c>
    </row>
    <row r="938" spans="1:12" x14ac:dyDescent="0.25">
      <c r="A938">
        <v>936</v>
      </c>
      <c r="B938" s="1" t="s">
        <v>6497</v>
      </c>
      <c r="C938" s="1" t="s">
        <v>6498</v>
      </c>
      <c r="D938" s="1" t="s">
        <v>2454</v>
      </c>
      <c r="E938" s="1" t="s">
        <v>3756</v>
      </c>
      <c r="F938" s="1" t="s">
        <v>6499</v>
      </c>
      <c r="G938">
        <v>-12916</v>
      </c>
      <c r="H938">
        <v>-4743</v>
      </c>
      <c r="I938" s="1" t="s">
        <v>1441</v>
      </c>
      <c r="J938" s="1" t="s">
        <v>198</v>
      </c>
      <c r="K938">
        <v>-3601</v>
      </c>
      <c r="L938" s="1" t="s">
        <v>1495</v>
      </c>
    </row>
    <row r="939" spans="1:12" x14ac:dyDescent="0.25">
      <c r="A939">
        <v>937</v>
      </c>
      <c r="B939" s="1" t="s">
        <v>6500</v>
      </c>
      <c r="C939" s="1" t="s">
        <v>6501</v>
      </c>
      <c r="D939" s="1" t="s">
        <v>690</v>
      </c>
      <c r="E939" s="1" t="s">
        <v>6502</v>
      </c>
      <c r="F939" s="1" t="s">
        <v>6503</v>
      </c>
      <c r="G939">
        <v>-11989</v>
      </c>
      <c r="H939">
        <v>-4048</v>
      </c>
      <c r="I939" s="1" t="s">
        <v>6504</v>
      </c>
      <c r="J939" s="1" t="s">
        <v>6505</v>
      </c>
      <c r="K939">
        <v>-3317</v>
      </c>
      <c r="L939" s="1" t="s">
        <v>6506</v>
      </c>
    </row>
    <row r="940" spans="1:12" x14ac:dyDescent="0.25">
      <c r="A940">
        <v>938</v>
      </c>
      <c r="B940" s="1" t="s">
        <v>6507</v>
      </c>
      <c r="C940" s="1" t="s">
        <v>6508</v>
      </c>
      <c r="D940" s="1" t="s">
        <v>1131</v>
      </c>
      <c r="E940" s="1" t="s">
        <v>6509</v>
      </c>
      <c r="F940" s="1" t="s">
        <v>6510</v>
      </c>
      <c r="G940">
        <v>-21533</v>
      </c>
      <c r="H940">
        <v>-1189</v>
      </c>
      <c r="I940" s="1" t="s">
        <v>6511</v>
      </c>
      <c r="J940" s="1" t="s">
        <v>6512</v>
      </c>
      <c r="K940">
        <v>-2574</v>
      </c>
      <c r="L940" s="1" t="s">
        <v>6513</v>
      </c>
    </row>
    <row r="941" spans="1:12" x14ac:dyDescent="0.25">
      <c r="A941">
        <v>939</v>
      </c>
      <c r="B941" s="1" t="s">
        <v>6514</v>
      </c>
      <c r="C941" s="1" t="s">
        <v>6515</v>
      </c>
      <c r="D941" s="1" t="s">
        <v>6015</v>
      </c>
      <c r="E941" s="1" t="s">
        <v>6516</v>
      </c>
      <c r="F941" s="1" t="s">
        <v>6517</v>
      </c>
      <c r="G941">
        <v>-13242</v>
      </c>
      <c r="H941">
        <v>-4316</v>
      </c>
      <c r="I941" s="1" t="s">
        <v>6518</v>
      </c>
      <c r="J941" s="1" t="s">
        <v>6519</v>
      </c>
      <c r="K941">
        <v>-783</v>
      </c>
      <c r="L941" s="1" t="s">
        <v>6520</v>
      </c>
    </row>
    <row r="942" spans="1:12" x14ac:dyDescent="0.25">
      <c r="A942">
        <v>940</v>
      </c>
      <c r="B942" s="1" t="s">
        <v>6521</v>
      </c>
      <c r="C942" s="1" t="s">
        <v>6522</v>
      </c>
      <c r="D942" s="1" t="s">
        <v>1961</v>
      </c>
      <c r="E942" s="1" t="s">
        <v>6523</v>
      </c>
      <c r="F942" s="1" t="s">
        <v>6524</v>
      </c>
      <c r="G942">
        <v>-20071</v>
      </c>
      <c r="H942">
        <v>-3442</v>
      </c>
      <c r="I942" s="1" t="s">
        <v>6525</v>
      </c>
      <c r="J942" s="1" t="s">
        <v>6526</v>
      </c>
      <c r="K942">
        <v>-7303</v>
      </c>
      <c r="L942" s="1" t="s">
        <v>6527</v>
      </c>
    </row>
    <row r="943" spans="1:12" x14ac:dyDescent="0.25">
      <c r="A943">
        <v>941</v>
      </c>
      <c r="B943" s="1" t="s">
        <v>6528</v>
      </c>
      <c r="C943" s="1" t="s">
        <v>6529</v>
      </c>
      <c r="D943" s="1" t="s">
        <v>1491</v>
      </c>
      <c r="E943" s="1" t="s">
        <v>6530</v>
      </c>
      <c r="F943" s="1" t="s">
        <v>6531</v>
      </c>
      <c r="G943">
        <v>-23215</v>
      </c>
      <c r="H943">
        <v>-1153</v>
      </c>
      <c r="I943" s="1" t="s">
        <v>6532</v>
      </c>
      <c r="J943" s="1" t="s">
        <v>198</v>
      </c>
      <c r="K943">
        <v>365243</v>
      </c>
      <c r="L943" s="1" t="s">
        <v>733</v>
      </c>
    </row>
    <row r="944" spans="1:12" x14ac:dyDescent="0.25">
      <c r="A944">
        <v>942</v>
      </c>
      <c r="B944" s="1" t="s">
        <v>6533</v>
      </c>
      <c r="C944" s="1" t="s">
        <v>6534</v>
      </c>
      <c r="D944" s="1" t="s">
        <v>257</v>
      </c>
      <c r="E944" s="1" t="s">
        <v>6535</v>
      </c>
      <c r="F944" s="1" t="s">
        <v>6536</v>
      </c>
      <c r="G944">
        <v>-20485</v>
      </c>
      <c r="H944">
        <v>-450</v>
      </c>
      <c r="I944" s="1" t="s">
        <v>6537</v>
      </c>
      <c r="J944" s="1" t="s">
        <v>6538</v>
      </c>
      <c r="K944">
        <v>365243</v>
      </c>
      <c r="L944" s="1" t="s">
        <v>6539</v>
      </c>
    </row>
    <row r="945" spans="1:12" x14ac:dyDescent="0.25">
      <c r="A945">
        <v>943</v>
      </c>
      <c r="B945" s="1" t="s">
        <v>6540</v>
      </c>
      <c r="C945" s="1" t="s">
        <v>6541</v>
      </c>
      <c r="D945" s="1" t="s">
        <v>208</v>
      </c>
      <c r="E945" s="1" t="s">
        <v>6542</v>
      </c>
      <c r="F945" s="1" t="s">
        <v>6543</v>
      </c>
      <c r="G945">
        <v>-13506</v>
      </c>
      <c r="H945">
        <v>-4537</v>
      </c>
      <c r="I945" s="1" t="s">
        <v>6544</v>
      </c>
      <c r="J945" s="1" t="s">
        <v>6545</v>
      </c>
      <c r="K945">
        <v>-1663</v>
      </c>
      <c r="L945" s="1" t="s">
        <v>6546</v>
      </c>
    </row>
    <row r="946" spans="1:12" x14ac:dyDescent="0.25">
      <c r="A946">
        <v>944</v>
      </c>
      <c r="B946" s="1" t="s">
        <v>6547</v>
      </c>
      <c r="C946" s="1" t="s">
        <v>6548</v>
      </c>
      <c r="D946" s="1" t="s">
        <v>6549</v>
      </c>
      <c r="E946" s="1" t="s">
        <v>6550</v>
      </c>
      <c r="F946" s="1" t="s">
        <v>6551</v>
      </c>
      <c r="G946">
        <v>-10967</v>
      </c>
      <c r="H946">
        <v>-3541</v>
      </c>
      <c r="I946" s="1" t="s">
        <v>6552</v>
      </c>
      <c r="J946" s="1" t="s">
        <v>6553</v>
      </c>
      <c r="K946">
        <v>-1228</v>
      </c>
      <c r="L946" s="1" t="s">
        <v>6554</v>
      </c>
    </row>
    <row r="947" spans="1:12" x14ac:dyDescent="0.25">
      <c r="A947">
        <v>945</v>
      </c>
      <c r="B947" s="1" t="s">
        <v>6555</v>
      </c>
      <c r="C947" s="1" t="s">
        <v>6556</v>
      </c>
      <c r="D947" s="1" t="s">
        <v>6557</v>
      </c>
      <c r="E947" s="1" t="s">
        <v>6558</v>
      </c>
      <c r="F947" s="1" t="s">
        <v>6559</v>
      </c>
      <c r="G947">
        <v>-14557</v>
      </c>
      <c r="H947">
        <v>-5079</v>
      </c>
      <c r="I947" s="1" t="s">
        <v>6560</v>
      </c>
      <c r="J947" s="1" t="s">
        <v>6561</v>
      </c>
      <c r="K947">
        <v>-2517</v>
      </c>
      <c r="L947" s="1" t="s">
        <v>1374</v>
      </c>
    </row>
    <row r="948" spans="1:12" x14ac:dyDescent="0.25">
      <c r="A948">
        <v>946</v>
      </c>
      <c r="B948" s="1" t="s">
        <v>6562</v>
      </c>
      <c r="C948" s="1" t="s">
        <v>6563</v>
      </c>
      <c r="D948" s="1" t="s">
        <v>75</v>
      </c>
      <c r="E948" s="1" t="s">
        <v>6564</v>
      </c>
      <c r="F948" s="1" t="s">
        <v>6565</v>
      </c>
      <c r="G948">
        <v>-21459</v>
      </c>
      <c r="H948">
        <v>-4119</v>
      </c>
      <c r="I948" s="1" t="s">
        <v>6566</v>
      </c>
      <c r="J948" s="1" t="s">
        <v>6567</v>
      </c>
      <c r="K948">
        <v>365243</v>
      </c>
      <c r="L948" s="1" t="s">
        <v>778</v>
      </c>
    </row>
    <row r="949" spans="1:12" x14ac:dyDescent="0.25">
      <c r="A949">
        <v>947</v>
      </c>
      <c r="B949" s="1" t="s">
        <v>6568</v>
      </c>
      <c r="C949" s="1" t="s">
        <v>6569</v>
      </c>
      <c r="D949" s="1" t="s">
        <v>6570</v>
      </c>
      <c r="E949" s="1" t="s">
        <v>6571</v>
      </c>
      <c r="F949" s="1" t="s">
        <v>6572</v>
      </c>
      <c r="G949">
        <v>-9173</v>
      </c>
      <c r="H949">
        <v>-1711</v>
      </c>
      <c r="I949" s="1" t="s">
        <v>6573</v>
      </c>
      <c r="J949" s="1" t="s">
        <v>6574</v>
      </c>
      <c r="K949">
        <v>-241</v>
      </c>
      <c r="L949" s="1" t="s">
        <v>6575</v>
      </c>
    </row>
    <row r="950" spans="1:12" x14ac:dyDescent="0.25">
      <c r="A950">
        <v>948</v>
      </c>
      <c r="B950" s="1" t="s">
        <v>6576</v>
      </c>
      <c r="C950" s="1" t="s">
        <v>6577</v>
      </c>
      <c r="D950" s="1" t="s">
        <v>3828</v>
      </c>
      <c r="E950" s="1" t="s">
        <v>6578</v>
      </c>
      <c r="F950" s="1" t="s">
        <v>6579</v>
      </c>
      <c r="G950">
        <v>-15965</v>
      </c>
      <c r="H950">
        <v>-3987</v>
      </c>
      <c r="I950" s="1" t="s">
        <v>6580</v>
      </c>
      <c r="J950" s="1" t="s">
        <v>6581</v>
      </c>
      <c r="K950">
        <v>-4008</v>
      </c>
      <c r="L950" s="1" t="s">
        <v>6582</v>
      </c>
    </row>
    <row r="951" spans="1:12" x14ac:dyDescent="0.25">
      <c r="A951">
        <v>949</v>
      </c>
      <c r="B951" s="1" t="s">
        <v>6583</v>
      </c>
      <c r="C951" s="1" t="s">
        <v>6584</v>
      </c>
      <c r="D951" s="1" t="s">
        <v>6585</v>
      </c>
      <c r="E951" s="1" t="s">
        <v>6586</v>
      </c>
      <c r="F951" s="1" t="s">
        <v>6587</v>
      </c>
      <c r="G951">
        <v>-18035</v>
      </c>
      <c r="H951">
        <v>-1017</v>
      </c>
      <c r="I951" s="1" t="s">
        <v>6588</v>
      </c>
      <c r="J951" s="1" t="s">
        <v>6589</v>
      </c>
      <c r="K951">
        <v>-2026</v>
      </c>
      <c r="L951" s="1" t="s">
        <v>6590</v>
      </c>
    </row>
    <row r="952" spans="1:12" x14ac:dyDescent="0.25">
      <c r="A952">
        <v>950</v>
      </c>
      <c r="B952" s="1" t="s">
        <v>6591</v>
      </c>
      <c r="C952" s="1" t="s">
        <v>6592</v>
      </c>
      <c r="D952" s="1" t="s">
        <v>6593</v>
      </c>
      <c r="E952" s="1" t="s">
        <v>6594</v>
      </c>
      <c r="F952" s="1" t="s">
        <v>6595</v>
      </c>
      <c r="G952">
        <v>-18915</v>
      </c>
      <c r="H952">
        <v>-2470</v>
      </c>
      <c r="I952" s="1" t="s">
        <v>6596</v>
      </c>
      <c r="J952" s="1" t="s">
        <v>6597</v>
      </c>
      <c r="K952">
        <v>-993</v>
      </c>
      <c r="L952" s="1" t="s">
        <v>6598</v>
      </c>
    </row>
    <row r="953" spans="1:12" x14ac:dyDescent="0.25">
      <c r="A953">
        <v>951</v>
      </c>
      <c r="B953" s="1" t="s">
        <v>6599</v>
      </c>
      <c r="C953" s="1" t="s">
        <v>6600</v>
      </c>
      <c r="D953" s="1" t="s">
        <v>3731</v>
      </c>
      <c r="E953" s="1" t="s">
        <v>6601</v>
      </c>
      <c r="F953" s="1" t="s">
        <v>6602</v>
      </c>
      <c r="G953">
        <v>-20544</v>
      </c>
      <c r="H953">
        <v>-3881</v>
      </c>
      <c r="I953" s="1" t="s">
        <v>6603</v>
      </c>
      <c r="J953" s="1" t="s">
        <v>6604</v>
      </c>
      <c r="K953">
        <v>-4159</v>
      </c>
      <c r="L953" s="1" t="s">
        <v>2861</v>
      </c>
    </row>
    <row r="954" spans="1:12" x14ac:dyDescent="0.25">
      <c r="A954">
        <v>952</v>
      </c>
      <c r="B954" s="1" t="s">
        <v>6605</v>
      </c>
      <c r="C954" s="1" t="s">
        <v>6606</v>
      </c>
      <c r="D954" s="1" t="s">
        <v>54</v>
      </c>
      <c r="E954" s="1" t="s">
        <v>6607</v>
      </c>
      <c r="F954" s="1" t="s">
        <v>6608</v>
      </c>
      <c r="G954">
        <v>-14001</v>
      </c>
      <c r="H954">
        <v>-2598</v>
      </c>
      <c r="I954" s="1" t="s">
        <v>6609</v>
      </c>
      <c r="J954" s="1" t="s">
        <v>198</v>
      </c>
      <c r="K954">
        <v>-284</v>
      </c>
      <c r="L954" s="1" t="s">
        <v>1683</v>
      </c>
    </row>
    <row r="955" spans="1:12" x14ac:dyDescent="0.25">
      <c r="A955">
        <v>953</v>
      </c>
      <c r="B955" s="1" t="s">
        <v>6610</v>
      </c>
      <c r="C955" s="1" t="s">
        <v>6611</v>
      </c>
      <c r="D955" s="1" t="s">
        <v>2901</v>
      </c>
      <c r="E955" s="1" t="s">
        <v>6612</v>
      </c>
      <c r="F955" s="1" t="s">
        <v>5368</v>
      </c>
      <c r="G955">
        <v>-16133</v>
      </c>
      <c r="H955">
        <v>-4690</v>
      </c>
      <c r="I955" s="1" t="s">
        <v>6613</v>
      </c>
      <c r="J955" s="1" t="s">
        <v>6614</v>
      </c>
      <c r="K955">
        <v>-3904</v>
      </c>
      <c r="L955" s="1" t="s">
        <v>6615</v>
      </c>
    </row>
    <row r="956" spans="1:12" x14ac:dyDescent="0.25">
      <c r="A956">
        <v>954</v>
      </c>
      <c r="B956" s="1" t="s">
        <v>6616</v>
      </c>
      <c r="C956" s="1" t="s">
        <v>6617</v>
      </c>
      <c r="D956" s="1" t="s">
        <v>145</v>
      </c>
      <c r="E956" s="1" t="s">
        <v>6618</v>
      </c>
      <c r="F956" s="1" t="s">
        <v>6619</v>
      </c>
      <c r="G956">
        <v>-19729</v>
      </c>
      <c r="H956">
        <v>-3252</v>
      </c>
      <c r="I956" s="1" t="s">
        <v>4734</v>
      </c>
      <c r="J956" s="1" t="s">
        <v>198</v>
      </c>
      <c r="K956">
        <v>-2447</v>
      </c>
      <c r="L956" s="1" t="s">
        <v>1104</v>
      </c>
    </row>
    <row r="957" spans="1:12" x14ac:dyDescent="0.25">
      <c r="A957">
        <v>955</v>
      </c>
      <c r="B957" s="1" t="s">
        <v>6620</v>
      </c>
      <c r="C957" s="1" t="s">
        <v>6621</v>
      </c>
      <c r="D957" s="1" t="s">
        <v>4255</v>
      </c>
      <c r="E957" s="1" t="s">
        <v>6622</v>
      </c>
      <c r="F957" s="1" t="s">
        <v>6623</v>
      </c>
      <c r="G957">
        <v>-12893</v>
      </c>
      <c r="H957">
        <v>-671</v>
      </c>
      <c r="I957" s="1" t="s">
        <v>6624</v>
      </c>
      <c r="J957" s="1" t="s">
        <v>2814</v>
      </c>
      <c r="K957">
        <v>-878</v>
      </c>
      <c r="L957" s="1" t="s">
        <v>2815</v>
      </c>
    </row>
    <row r="958" spans="1:12" x14ac:dyDescent="0.25">
      <c r="A958">
        <v>956</v>
      </c>
      <c r="B958" s="1" t="s">
        <v>6625</v>
      </c>
      <c r="C958" s="1" t="s">
        <v>6626</v>
      </c>
      <c r="D958" s="1" t="s">
        <v>6627</v>
      </c>
      <c r="E958" s="1" t="s">
        <v>6628</v>
      </c>
      <c r="F958" s="1" t="s">
        <v>6629</v>
      </c>
      <c r="G958">
        <v>-14244</v>
      </c>
      <c r="H958">
        <v>-4798</v>
      </c>
      <c r="I958" s="1" t="s">
        <v>6630</v>
      </c>
      <c r="J958" s="1" t="s">
        <v>6631</v>
      </c>
      <c r="K958">
        <v>-2410</v>
      </c>
      <c r="L958" s="1" t="s">
        <v>6632</v>
      </c>
    </row>
    <row r="959" spans="1:12" x14ac:dyDescent="0.25">
      <c r="A959">
        <v>957</v>
      </c>
      <c r="B959" s="1" t="s">
        <v>6633</v>
      </c>
      <c r="C959" s="1" t="s">
        <v>6634</v>
      </c>
      <c r="D959" s="1" t="s">
        <v>4928</v>
      </c>
      <c r="E959" s="1" t="s">
        <v>6635</v>
      </c>
      <c r="F959" s="1" t="s">
        <v>6636</v>
      </c>
      <c r="G959">
        <v>-22190</v>
      </c>
      <c r="H959">
        <v>-4911</v>
      </c>
      <c r="I959" s="1" t="s">
        <v>6637</v>
      </c>
      <c r="J959" s="1" t="s">
        <v>6638</v>
      </c>
      <c r="K959">
        <v>365243</v>
      </c>
      <c r="L959" s="1" t="s">
        <v>6639</v>
      </c>
    </row>
    <row r="960" spans="1:12" x14ac:dyDescent="0.25">
      <c r="A960">
        <v>958</v>
      </c>
      <c r="B960" s="1" t="s">
        <v>6640</v>
      </c>
      <c r="C960" s="1" t="s">
        <v>6641</v>
      </c>
      <c r="D960" s="1" t="s">
        <v>3052</v>
      </c>
      <c r="E960" s="1" t="s">
        <v>6642</v>
      </c>
      <c r="F960" s="1" t="s">
        <v>6643</v>
      </c>
      <c r="G960">
        <v>-18503</v>
      </c>
      <c r="H960">
        <v>-2055</v>
      </c>
      <c r="I960" s="1" t="s">
        <v>6644</v>
      </c>
      <c r="J960" s="1" t="s">
        <v>6645</v>
      </c>
      <c r="K960">
        <v>-368</v>
      </c>
      <c r="L960" s="1" t="s">
        <v>6646</v>
      </c>
    </row>
    <row r="961" spans="1:12" x14ac:dyDescent="0.25">
      <c r="A961">
        <v>959</v>
      </c>
      <c r="B961" s="1" t="s">
        <v>6647</v>
      </c>
      <c r="C961" s="1" t="s">
        <v>6648</v>
      </c>
      <c r="D961" s="1" t="s">
        <v>1498</v>
      </c>
      <c r="E961" s="1" t="s">
        <v>6649</v>
      </c>
      <c r="F961" s="1" t="s">
        <v>6650</v>
      </c>
      <c r="G961">
        <v>-19736</v>
      </c>
      <c r="H961">
        <v>-3253</v>
      </c>
      <c r="I961" s="1" t="s">
        <v>6651</v>
      </c>
      <c r="J961" s="1" t="s">
        <v>6652</v>
      </c>
      <c r="K961">
        <v>-1665</v>
      </c>
      <c r="L961" s="1" t="s">
        <v>6653</v>
      </c>
    </row>
    <row r="962" spans="1:12" x14ac:dyDescent="0.25">
      <c r="A962">
        <v>960</v>
      </c>
      <c r="B962" s="1" t="s">
        <v>6654</v>
      </c>
      <c r="C962" s="1" t="s">
        <v>6655</v>
      </c>
      <c r="D962" s="1" t="s">
        <v>6656</v>
      </c>
      <c r="E962" s="1" t="s">
        <v>6657</v>
      </c>
      <c r="F962" s="1" t="s">
        <v>6482</v>
      </c>
      <c r="G962">
        <v>-17370</v>
      </c>
      <c r="H962">
        <v>-669</v>
      </c>
      <c r="I962" s="1" t="s">
        <v>6658</v>
      </c>
      <c r="J962" s="1" t="s">
        <v>6659</v>
      </c>
      <c r="K962">
        <v>-1336</v>
      </c>
      <c r="L962" s="1" t="s">
        <v>6660</v>
      </c>
    </row>
    <row r="963" spans="1:12" x14ac:dyDescent="0.25">
      <c r="A963">
        <v>961</v>
      </c>
      <c r="B963" s="1" t="s">
        <v>6661</v>
      </c>
      <c r="C963" s="1" t="s">
        <v>6662</v>
      </c>
      <c r="D963" s="1" t="s">
        <v>5430</v>
      </c>
      <c r="E963" s="1" t="s">
        <v>6663</v>
      </c>
      <c r="F963" s="1" t="s">
        <v>2638</v>
      </c>
      <c r="G963">
        <v>-12285</v>
      </c>
      <c r="H963">
        <v>-4398</v>
      </c>
      <c r="I963" s="1" t="s">
        <v>6664</v>
      </c>
      <c r="J963" s="1" t="s">
        <v>6665</v>
      </c>
      <c r="K963">
        <v>-3347</v>
      </c>
      <c r="L963" s="1" t="s">
        <v>6666</v>
      </c>
    </row>
    <row r="964" spans="1:12" x14ac:dyDescent="0.25">
      <c r="A964">
        <v>962</v>
      </c>
      <c r="B964" s="1" t="s">
        <v>6667</v>
      </c>
      <c r="C964" s="1" t="s">
        <v>6668</v>
      </c>
      <c r="D964" s="1" t="s">
        <v>5347</v>
      </c>
      <c r="E964" s="1" t="s">
        <v>6669</v>
      </c>
      <c r="F964" s="1" t="s">
        <v>6670</v>
      </c>
      <c r="G964">
        <v>-15768</v>
      </c>
      <c r="H964">
        <v>-5119</v>
      </c>
      <c r="I964" s="1" t="s">
        <v>6671</v>
      </c>
      <c r="J964" s="1" t="s">
        <v>6672</v>
      </c>
      <c r="K964">
        <v>-3988</v>
      </c>
      <c r="L964" s="1" t="s">
        <v>6673</v>
      </c>
    </row>
    <row r="965" spans="1:12" x14ac:dyDescent="0.25">
      <c r="A965">
        <v>963</v>
      </c>
      <c r="B965" s="1" t="s">
        <v>6674</v>
      </c>
      <c r="C965" s="1" t="s">
        <v>6675</v>
      </c>
      <c r="D965" s="1" t="s">
        <v>6676</v>
      </c>
      <c r="E965" s="1" t="s">
        <v>6677</v>
      </c>
      <c r="F965" s="1" t="s">
        <v>6678</v>
      </c>
      <c r="G965">
        <v>-11370</v>
      </c>
      <c r="H965">
        <v>-3847</v>
      </c>
      <c r="I965" s="1" t="s">
        <v>6679</v>
      </c>
      <c r="J965" s="1" t="s">
        <v>1235</v>
      </c>
      <c r="K965">
        <v>-1188</v>
      </c>
      <c r="L965" s="1" t="s">
        <v>1236</v>
      </c>
    </row>
    <row r="966" spans="1:12" x14ac:dyDescent="0.25">
      <c r="A966">
        <v>964</v>
      </c>
      <c r="B966" s="1" t="s">
        <v>6680</v>
      </c>
      <c r="C966" s="1" t="s">
        <v>6681</v>
      </c>
      <c r="D966" s="1" t="s">
        <v>33</v>
      </c>
      <c r="E966" s="1" t="s">
        <v>6682</v>
      </c>
      <c r="F966" s="1" t="s">
        <v>6683</v>
      </c>
      <c r="G966">
        <v>-10874</v>
      </c>
      <c r="H966">
        <v>-722</v>
      </c>
      <c r="I966" s="1" t="s">
        <v>1920</v>
      </c>
      <c r="J966" s="1" t="s">
        <v>976</v>
      </c>
      <c r="K966">
        <v>-634</v>
      </c>
      <c r="L966" s="1" t="s">
        <v>977</v>
      </c>
    </row>
    <row r="967" spans="1:12" x14ac:dyDescent="0.25">
      <c r="A967">
        <v>965</v>
      </c>
      <c r="B967" s="1" t="s">
        <v>6684</v>
      </c>
      <c r="C967" s="1" t="s">
        <v>6685</v>
      </c>
      <c r="D967" s="1" t="s">
        <v>2183</v>
      </c>
      <c r="E967" s="1" t="s">
        <v>6686</v>
      </c>
      <c r="F967" s="1" t="s">
        <v>6687</v>
      </c>
      <c r="G967">
        <v>-11136</v>
      </c>
      <c r="H967">
        <v>-2882</v>
      </c>
      <c r="I967" s="1" t="s">
        <v>6688</v>
      </c>
      <c r="J967" s="1" t="s">
        <v>6689</v>
      </c>
      <c r="K967">
        <v>-1654</v>
      </c>
      <c r="L967" s="1" t="s">
        <v>6690</v>
      </c>
    </row>
    <row r="968" spans="1:12" x14ac:dyDescent="0.25">
      <c r="A968">
        <v>966</v>
      </c>
      <c r="B968" s="1" t="s">
        <v>6691</v>
      </c>
      <c r="C968" s="1" t="s">
        <v>6692</v>
      </c>
      <c r="D968" s="1" t="s">
        <v>54</v>
      </c>
      <c r="E968" s="1" t="s">
        <v>6693</v>
      </c>
      <c r="F968" s="1" t="s">
        <v>4269</v>
      </c>
      <c r="G968">
        <v>-12590</v>
      </c>
      <c r="H968">
        <v>-4002</v>
      </c>
      <c r="I968" s="1" t="s">
        <v>6694</v>
      </c>
      <c r="J968" s="1" t="s">
        <v>6695</v>
      </c>
      <c r="K968">
        <v>-117</v>
      </c>
      <c r="L968" s="1" t="s">
        <v>6696</v>
      </c>
    </row>
    <row r="969" spans="1:12" x14ac:dyDescent="0.25">
      <c r="A969">
        <v>967</v>
      </c>
      <c r="B969" s="1" t="s">
        <v>6697</v>
      </c>
      <c r="C969" s="1" t="s">
        <v>6698</v>
      </c>
      <c r="D969" s="1" t="s">
        <v>555</v>
      </c>
      <c r="E969" s="1" t="s">
        <v>6699</v>
      </c>
      <c r="F969" s="1" t="s">
        <v>6700</v>
      </c>
      <c r="G969">
        <v>-18027</v>
      </c>
      <c r="H969">
        <v>-1500</v>
      </c>
      <c r="I969" s="1" t="s">
        <v>6701</v>
      </c>
      <c r="J969" s="1" t="s">
        <v>1972</v>
      </c>
      <c r="K969">
        <v>-199</v>
      </c>
      <c r="L969" s="1" t="s">
        <v>1973</v>
      </c>
    </row>
    <row r="970" spans="1:12" x14ac:dyDescent="0.25">
      <c r="A970">
        <v>968</v>
      </c>
      <c r="B970" s="1" t="s">
        <v>6702</v>
      </c>
      <c r="C970" s="1" t="s">
        <v>6703</v>
      </c>
      <c r="D970" s="1" t="s">
        <v>3151</v>
      </c>
      <c r="E970" s="1" t="s">
        <v>6704</v>
      </c>
      <c r="F970" s="1" t="s">
        <v>6705</v>
      </c>
      <c r="G970">
        <v>-10878</v>
      </c>
      <c r="H970">
        <v>-3424</v>
      </c>
      <c r="I970" s="1" t="s">
        <v>6706</v>
      </c>
      <c r="J970" s="1" t="s">
        <v>1294</v>
      </c>
      <c r="K970">
        <v>-1912</v>
      </c>
      <c r="L970" s="1" t="s">
        <v>1295</v>
      </c>
    </row>
    <row r="971" spans="1:12" x14ac:dyDescent="0.25">
      <c r="A971">
        <v>969</v>
      </c>
      <c r="B971" s="1" t="s">
        <v>6707</v>
      </c>
      <c r="C971" s="1" t="s">
        <v>6708</v>
      </c>
      <c r="D971" s="1" t="s">
        <v>6709</v>
      </c>
      <c r="E971" s="1" t="s">
        <v>6710</v>
      </c>
      <c r="F971" s="1" t="s">
        <v>6711</v>
      </c>
      <c r="G971">
        <v>-15730</v>
      </c>
      <c r="H971">
        <v>-937</v>
      </c>
      <c r="I971" s="1" t="s">
        <v>6712</v>
      </c>
      <c r="J971" s="1" t="s">
        <v>6713</v>
      </c>
      <c r="K971">
        <v>-3941</v>
      </c>
      <c r="L971" s="1" t="s">
        <v>6714</v>
      </c>
    </row>
    <row r="972" spans="1:12" x14ac:dyDescent="0.25">
      <c r="A972">
        <v>970</v>
      </c>
      <c r="B972" s="1" t="s">
        <v>6715</v>
      </c>
      <c r="C972" s="1" t="s">
        <v>6716</v>
      </c>
      <c r="D972" s="1" t="s">
        <v>6717</v>
      </c>
      <c r="E972" s="1" t="s">
        <v>6718</v>
      </c>
      <c r="F972" s="1" t="s">
        <v>6719</v>
      </c>
      <c r="G972">
        <v>-14379</v>
      </c>
      <c r="H972">
        <v>-640</v>
      </c>
      <c r="I972" s="1" t="s">
        <v>6720</v>
      </c>
      <c r="J972" s="1" t="s">
        <v>6721</v>
      </c>
      <c r="K972">
        <v>-7174</v>
      </c>
      <c r="L972" s="1" t="s">
        <v>6722</v>
      </c>
    </row>
    <row r="973" spans="1:12" x14ac:dyDescent="0.25">
      <c r="A973">
        <v>971</v>
      </c>
      <c r="B973" s="1" t="s">
        <v>6723</v>
      </c>
      <c r="C973" s="1" t="s">
        <v>6724</v>
      </c>
      <c r="D973" s="1" t="s">
        <v>1867</v>
      </c>
      <c r="E973" s="1" t="s">
        <v>6725</v>
      </c>
      <c r="F973" s="1" t="s">
        <v>389</v>
      </c>
      <c r="G973">
        <v>-12718</v>
      </c>
      <c r="H973">
        <v>-4702</v>
      </c>
      <c r="I973" s="1" t="s">
        <v>6726</v>
      </c>
      <c r="J973" s="1" t="s">
        <v>1711</v>
      </c>
      <c r="K973">
        <v>-4756</v>
      </c>
      <c r="L973" s="1" t="s">
        <v>1712</v>
      </c>
    </row>
    <row r="974" spans="1:12" x14ac:dyDescent="0.25">
      <c r="A974">
        <v>972</v>
      </c>
      <c r="B974" s="1" t="s">
        <v>6727</v>
      </c>
      <c r="C974" s="1" t="s">
        <v>6728</v>
      </c>
      <c r="D974" s="1" t="s">
        <v>361</v>
      </c>
      <c r="E974" s="1" t="s">
        <v>6729</v>
      </c>
      <c r="F974" s="1" t="s">
        <v>6730</v>
      </c>
      <c r="G974">
        <v>-10097</v>
      </c>
      <c r="H974">
        <v>-2722</v>
      </c>
      <c r="I974" s="1" t="s">
        <v>1785</v>
      </c>
      <c r="J974" s="1" t="s">
        <v>198</v>
      </c>
      <c r="K974">
        <v>-2651</v>
      </c>
      <c r="L974" s="1" t="s">
        <v>733</v>
      </c>
    </row>
    <row r="975" spans="1:12" x14ac:dyDescent="0.25">
      <c r="A975">
        <v>973</v>
      </c>
      <c r="B975" s="1" t="s">
        <v>6731</v>
      </c>
      <c r="C975" s="1" t="s">
        <v>6732</v>
      </c>
      <c r="D975" s="1" t="s">
        <v>6733</v>
      </c>
      <c r="E975" s="1" t="s">
        <v>6734</v>
      </c>
      <c r="F975" s="1" t="s">
        <v>6735</v>
      </c>
      <c r="G975">
        <v>-21997</v>
      </c>
      <c r="H975">
        <v>-4299</v>
      </c>
      <c r="I975" s="1" t="s">
        <v>6736</v>
      </c>
      <c r="J975" s="1" t="s">
        <v>6737</v>
      </c>
      <c r="K975">
        <v>-3323</v>
      </c>
      <c r="L975" s="1" t="s">
        <v>6738</v>
      </c>
    </row>
    <row r="976" spans="1:12" x14ac:dyDescent="0.25">
      <c r="A976">
        <v>974</v>
      </c>
      <c r="B976" s="1" t="s">
        <v>6739</v>
      </c>
      <c r="C976" s="1" t="s">
        <v>6740</v>
      </c>
      <c r="D976" s="1" t="s">
        <v>5937</v>
      </c>
      <c r="E976" s="1" t="s">
        <v>6741</v>
      </c>
      <c r="F976" s="1" t="s">
        <v>6742</v>
      </c>
      <c r="G976">
        <v>-20070</v>
      </c>
      <c r="H976">
        <v>-3313</v>
      </c>
      <c r="I976" s="1" t="s">
        <v>6743</v>
      </c>
      <c r="J976" s="1" t="s">
        <v>6744</v>
      </c>
      <c r="K976">
        <v>-12185</v>
      </c>
      <c r="L976" s="1" t="s">
        <v>4614</v>
      </c>
    </row>
    <row r="977" spans="1:12" x14ac:dyDescent="0.25">
      <c r="A977">
        <v>975</v>
      </c>
      <c r="B977" s="1" t="s">
        <v>6745</v>
      </c>
      <c r="C977" s="1" t="s">
        <v>6746</v>
      </c>
      <c r="D977" s="1" t="s">
        <v>2068</v>
      </c>
      <c r="E977" s="1" t="s">
        <v>6747</v>
      </c>
      <c r="F977" s="1" t="s">
        <v>6748</v>
      </c>
      <c r="G977">
        <v>-20915</v>
      </c>
      <c r="H977">
        <v>-1064</v>
      </c>
      <c r="I977" s="1" t="s">
        <v>6749</v>
      </c>
      <c r="J977" s="1" t="s">
        <v>6750</v>
      </c>
      <c r="K977">
        <v>365243</v>
      </c>
      <c r="L977" s="1" t="s">
        <v>6751</v>
      </c>
    </row>
    <row r="978" spans="1:12" x14ac:dyDescent="0.25">
      <c r="A978">
        <v>976</v>
      </c>
      <c r="B978" s="1" t="s">
        <v>6752</v>
      </c>
      <c r="C978" s="1" t="s">
        <v>6753</v>
      </c>
      <c r="D978" s="1" t="s">
        <v>6754</v>
      </c>
      <c r="E978" s="1" t="s">
        <v>6755</v>
      </c>
      <c r="F978" s="1" t="s">
        <v>6756</v>
      </c>
      <c r="G978">
        <v>-16120</v>
      </c>
      <c r="H978">
        <v>-4377</v>
      </c>
      <c r="I978" s="1" t="s">
        <v>6757</v>
      </c>
      <c r="J978" s="1" t="s">
        <v>6758</v>
      </c>
      <c r="K978">
        <v>-2897</v>
      </c>
      <c r="L978" s="1" t="s">
        <v>6759</v>
      </c>
    </row>
    <row r="979" spans="1:12" x14ac:dyDescent="0.25">
      <c r="A979">
        <v>977</v>
      </c>
      <c r="B979" s="1" t="s">
        <v>6760</v>
      </c>
      <c r="C979" s="1" t="s">
        <v>6761</v>
      </c>
      <c r="D979" s="1" t="s">
        <v>54</v>
      </c>
      <c r="E979" s="1" t="s">
        <v>6762</v>
      </c>
      <c r="F979" s="1" t="s">
        <v>6763</v>
      </c>
      <c r="G979">
        <v>-13049</v>
      </c>
      <c r="H979">
        <v>-2543</v>
      </c>
      <c r="I979" s="1" t="s">
        <v>6764</v>
      </c>
      <c r="J979" s="1" t="s">
        <v>6765</v>
      </c>
      <c r="K979">
        <v>-3054</v>
      </c>
      <c r="L979" s="1" t="s">
        <v>6766</v>
      </c>
    </row>
    <row r="980" spans="1:12" x14ac:dyDescent="0.25">
      <c r="A980">
        <v>978</v>
      </c>
      <c r="B980" s="1" t="s">
        <v>6767</v>
      </c>
      <c r="C980" s="1" t="s">
        <v>6768</v>
      </c>
      <c r="D980" s="1" t="s">
        <v>1498</v>
      </c>
      <c r="E980" s="1" t="s">
        <v>6769</v>
      </c>
      <c r="F980" s="1" t="s">
        <v>6770</v>
      </c>
      <c r="G980">
        <v>-15118</v>
      </c>
      <c r="H980">
        <v>-4379</v>
      </c>
      <c r="I980" s="1" t="s">
        <v>3709</v>
      </c>
      <c r="J980" s="1" t="s">
        <v>198</v>
      </c>
      <c r="K980">
        <v>-6241</v>
      </c>
      <c r="L980" s="1" t="s">
        <v>977</v>
      </c>
    </row>
    <row r="981" spans="1:12" x14ac:dyDescent="0.25">
      <c r="A981">
        <v>979</v>
      </c>
      <c r="B981" s="1" t="s">
        <v>6771</v>
      </c>
      <c r="C981" s="1" t="s">
        <v>6772</v>
      </c>
      <c r="D981" s="1" t="s">
        <v>4304</v>
      </c>
      <c r="E981" s="1" t="s">
        <v>6773</v>
      </c>
      <c r="F981" s="1" t="s">
        <v>6774</v>
      </c>
      <c r="G981">
        <v>-11759</v>
      </c>
      <c r="H981">
        <v>-4024</v>
      </c>
      <c r="I981" s="1" t="s">
        <v>6775</v>
      </c>
      <c r="J981" s="1" t="s">
        <v>6776</v>
      </c>
      <c r="K981">
        <v>-4598</v>
      </c>
      <c r="L981" s="1" t="s">
        <v>6777</v>
      </c>
    </row>
    <row r="982" spans="1:12" x14ac:dyDescent="0.25">
      <c r="A982">
        <v>980</v>
      </c>
      <c r="B982" s="1" t="s">
        <v>6778</v>
      </c>
      <c r="C982" s="1" t="s">
        <v>6779</v>
      </c>
      <c r="D982" s="1" t="s">
        <v>2932</v>
      </c>
      <c r="E982" s="1" t="s">
        <v>6780</v>
      </c>
      <c r="F982" s="1" t="s">
        <v>6781</v>
      </c>
      <c r="G982">
        <v>-12267</v>
      </c>
      <c r="H982">
        <v>-1264</v>
      </c>
      <c r="I982" s="1" t="s">
        <v>2541</v>
      </c>
      <c r="J982" s="1" t="s">
        <v>198</v>
      </c>
      <c r="K982">
        <v>-4718</v>
      </c>
      <c r="L982" s="1" t="s">
        <v>946</v>
      </c>
    </row>
    <row r="983" spans="1:12" x14ac:dyDescent="0.25">
      <c r="A983">
        <v>981</v>
      </c>
      <c r="B983" s="1" t="s">
        <v>6782</v>
      </c>
      <c r="C983" s="1" t="s">
        <v>6783</v>
      </c>
      <c r="D983" s="1" t="s">
        <v>1320</v>
      </c>
      <c r="E983" s="1" t="s">
        <v>6784</v>
      </c>
      <c r="F983" s="1" t="s">
        <v>6785</v>
      </c>
      <c r="G983">
        <v>-18770</v>
      </c>
      <c r="H983">
        <v>-2327</v>
      </c>
      <c r="I983" s="1" t="s">
        <v>6786</v>
      </c>
      <c r="J983" s="1" t="s">
        <v>6787</v>
      </c>
      <c r="K983">
        <v>-11167</v>
      </c>
      <c r="L983" s="1" t="s">
        <v>6788</v>
      </c>
    </row>
    <row r="984" spans="1:12" x14ac:dyDescent="0.25">
      <c r="A984">
        <v>982</v>
      </c>
      <c r="B984" s="1" t="s">
        <v>6789</v>
      </c>
      <c r="C984" s="1" t="s">
        <v>6790</v>
      </c>
      <c r="D984" s="1" t="s">
        <v>1897</v>
      </c>
      <c r="E984" s="1" t="s">
        <v>6791</v>
      </c>
      <c r="F984" s="1" t="s">
        <v>6792</v>
      </c>
      <c r="G984">
        <v>-16988</v>
      </c>
      <c r="H984">
        <v>-522</v>
      </c>
      <c r="I984" s="1" t="s">
        <v>6793</v>
      </c>
      <c r="J984" s="1" t="s">
        <v>6794</v>
      </c>
      <c r="K984">
        <v>-1174</v>
      </c>
      <c r="L984" s="1" t="s">
        <v>6795</v>
      </c>
    </row>
    <row r="985" spans="1:12" x14ac:dyDescent="0.25">
      <c r="A985">
        <v>983</v>
      </c>
      <c r="B985" s="1" t="s">
        <v>6796</v>
      </c>
      <c r="C985" s="1" t="s">
        <v>6797</v>
      </c>
      <c r="D985" s="1" t="s">
        <v>6593</v>
      </c>
      <c r="E985" s="1" t="s">
        <v>6798</v>
      </c>
      <c r="F985" s="1" t="s">
        <v>6799</v>
      </c>
      <c r="G985">
        <v>-20877</v>
      </c>
      <c r="H985">
        <v>-4166</v>
      </c>
      <c r="I985" s="1" t="s">
        <v>6800</v>
      </c>
      <c r="J985" s="1" t="s">
        <v>6801</v>
      </c>
      <c r="K985">
        <v>-8147</v>
      </c>
      <c r="L985" s="1" t="s">
        <v>6802</v>
      </c>
    </row>
    <row r="986" spans="1:12" x14ac:dyDescent="0.25">
      <c r="A986">
        <v>984</v>
      </c>
      <c r="B986" s="1" t="s">
        <v>6803</v>
      </c>
      <c r="C986" s="1" t="s">
        <v>6804</v>
      </c>
      <c r="D986" s="1" t="s">
        <v>1931</v>
      </c>
      <c r="E986" s="1" t="s">
        <v>6805</v>
      </c>
      <c r="F986" s="1" t="s">
        <v>6806</v>
      </c>
      <c r="G986">
        <v>-13523</v>
      </c>
      <c r="H986">
        <v>-3838</v>
      </c>
      <c r="I986" s="1" t="s">
        <v>6807</v>
      </c>
      <c r="J986" s="1" t="s">
        <v>6808</v>
      </c>
      <c r="K986">
        <v>-3697</v>
      </c>
      <c r="L986" s="1" t="s">
        <v>6809</v>
      </c>
    </row>
    <row r="987" spans="1:12" x14ac:dyDescent="0.25">
      <c r="A987">
        <v>985</v>
      </c>
      <c r="B987" s="1" t="s">
        <v>6810</v>
      </c>
      <c r="C987" s="1" t="s">
        <v>6811</v>
      </c>
      <c r="D987" s="1" t="s">
        <v>481</v>
      </c>
      <c r="E987" s="1" t="s">
        <v>6812</v>
      </c>
      <c r="F987" s="1" t="s">
        <v>6813</v>
      </c>
      <c r="G987">
        <v>-11568</v>
      </c>
      <c r="H987">
        <v>-585</v>
      </c>
      <c r="I987" s="1" t="s">
        <v>6814</v>
      </c>
      <c r="J987" s="1" t="s">
        <v>6815</v>
      </c>
      <c r="K987">
        <v>-2067</v>
      </c>
      <c r="L987" s="1" t="s">
        <v>6816</v>
      </c>
    </row>
    <row r="988" spans="1:12" x14ac:dyDescent="0.25">
      <c r="A988">
        <v>986</v>
      </c>
      <c r="B988" s="1" t="s">
        <v>6817</v>
      </c>
      <c r="C988" s="1" t="s">
        <v>6818</v>
      </c>
      <c r="D988" s="1" t="s">
        <v>3198</v>
      </c>
      <c r="E988" s="1" t="s">
        <v>6819</v>
      </c>
      <c r="F988" s="1" t="s">
        <v>6820</v>
      </c>
      <c r="G988">
        <v>-24531</v>
      </c>
      <c r="H988">
        <v>-5651</v>
      </c>
      <c r="I988" s="1" t="s">
        <v>6821</v>
      </c>
      <c r="J988" s="1" t="s">
        <v>6822</v>
      </c>
      <c r="K988">
        <v>365243</v>
      </c>
      <c r="L988" s="1" t="s">
        <v>6823</v>
      </c>
    </row>
    <row r="989" spans="1:12" x14ac:dyDescent="0.25">
      <c r="A989">
        <v>987</v>
      </c>
      <c r="B989" s="1" t="s">
        <v>6824</v>
      </c>
      <c r="C989" s="1" t="s">
        <v>6825</v>
      </c>
      <c r="D989" s="1" t="s">
        <v>555</v>
      </c>
      <c r="E989" s="1" t="s">
        <v>684</v>
      </c>
      <c r="F989" s="1" t="s">
        <v>6826</v>
      </c>
      <c r="G989">
        <v>-22092</v>
      </c>
      <c r="H989">
        <v>-4677</v>
      </c>
      <c r="I989" s="1" t="s">
        <v>6827</v>
      </c>
      <c r="J989" s="1" t="s">
        <v>5987</v>
      </c>
      <c r="K989">
        <v>365243</v>
      </c>
      <c r="L989" s="1" t="s">
        <v>6828</v>
      </c>
    </row>
    <row r="990" spans="1:12" x14ac:dyDescent="0.25">
      <c r="A990">
        <v>988</v>
      </c>
      <c r="B990" s="1" t="s">
        <v>6829</v>
      </c>
      <c r="C990" s="1" t="s">
        <v>6830</v>
      </c>
      <c r="D990" s="1" t="s">
        <v>3606</v>
      </c>
      <c r="E990" s="1" t="s">
        <v>6831</v>
      </c>
      <c r="F990" s="1" t="s">
        <v>6832</v>
      </c>
      <c r="G990">
        <v>-19783</v>
      </c>
      <c r="H990">
        <v>-3327</v>
      </c>
      <c r="I990" s="1" t="s">
        <v>6833</v>
      </c>
      <c r="J990" s="1" t="s">
        <v>3854</v>
      </c>
      <c r="K990">
        <v>-1923</v>
      </c>
      <c r="L990" s="1" t="s">
        <v>3855</v>
      </c>
    </row>
    <row r="991" spans="1:12" x14ac:dyDescent="0.25">
      <c r="A991">
        <v>989</v>
      </c>
      <c r="B991" s="1" t="s">
        <v>6834</v>
      </c>
      <c r="C991" s="1" t="s">
        <v>6835</v>
      </c>
      <c r="D991" s="1" t="s">
        <v>6836</v>
      </c>
      <c r="E991" s="1" t="s">
        <v>6837</v>
      </c>
      <c r="F991" s="1" t="s">
        <v>6838</v>
      </c>
      <c r="G991">
        <v>-10751</v>
      </c>
      <c r="H991">
        <v>-3383</v>
      </c>
      <c r="I991" s="1" t="s">
        <v>6839</v>
      </c>
      <c r="J991" s="1" t="s">
        <v>6840</v>
      </c>
      <c r="K991">
        <v>-546</v>
      </c>
      <c r="L991" s="1" t="s">
        <v>6841</v>
      </c>
    </row>
    <row r="992" spans="1:12" x14ac:dyDescent="0.25">
      <c r="A992">
        <v>990</v>
      </c>
      <c r="B992" s="1" t="s">
        <v>6842</v>
      </c>
      <c r="C992" s="1" t="s">
        <v>6843</v>
      </c>
      <c r="D992" s="1" t="s">
        <v>6844</v>
      </c>
      <c r="E992" s="1" t="s">
        <v>6845</v>
      </c>
      <c r="F992" s="1" t="s">
        <v>6846</v>
      </c>
      <c r="G992">
        <v>-10538</v>
      </c>
      <c r="H992">
        <v>-3187</v>
      </c>
      <c r="I992" s="1" t="s">
        <v>6847</v>
      </c>
      <c r="J992" s="1" t="s">
        <v>5434</v>
      </c>
      <c r="K992">
        <v>-1177</v>
      </c>
      <c r="L992" s="1" t="s">
        <v>5435</v>
      </c>
    </row>
    <row r="993" spans="1:12" x14ac:dyDescent="0.25">
      <c r="A993">
        <v>991</v>
      </c>
      <c r="B993" s="1" t="s">
        <v>6848</v>
      </c>
      <c r="C993" s="1" t="s">
        <v>6849</v>
      </c>
      <c r="D993" s="1" t="s">
        <v>4839</v>
      </c>
      <c r="E993" s="1" t="s">
        <v>6850</v>
      </c>
      <c r="F993" s="1" t="s">
        <v>6851</v>
      </c>
      <c r="G993">
        <v>-12642</v>
      </c>
      <c r="H993">
        <v>-4596</v>
      </c>
      <c r="I993" s="1" t="s">
        <v>2360</v>
      </c>
      <c r="J993" s="1" t="s">
        <v>701</v>
      </c>
      <c r="K993">
        <v>-1490</v>
      </c>
      <c r="L993" s="1" t="s">
        <v>806</v>
      </c>
    </row>
    <row r="994" spans="1:12" x14ac:dyDescent="0.25">
      <c r="A994">
        <v>992</v>
      </c>
      <c r="B994" s="1" t="s">
        <v>6852</v>
      </c>
      <c r="C994" s="1" t="s">
        <v>6853</v>
      </c>
      <c r="D994" s="1" t="s">
        <v>6854</v>
      </c>
      <c r="E994" s="1" t="s">
        <v>6855</v>
      </c>
      <c r="F994" s="1" t="s">
        <v>6856</v>
      </c>
      <c r="G994">
        <v>-16448</v>
      </c>
      <c r="H994">
        <v>-4</v>
      </c>
      <c r="I994" s="1" t="s">
        <v>6857</v>
      </c>
      <c r="J994" s="1" t="s">
        <v>2128</v>
      </c>
      <c r="K994">
        <v>-696</v>
      </c>
      <c r="L994" s="1" t="s">
        <v>6858</v>
      </c>
    </row>
    <row r="995" spans="1:12" x14ac:dyDescent="0.25">
      <c r="A995">
        <v>993</v>
      </c>
      <c r="B995" s="1" t="s">
        <v>6859</v>
      </c>
      <c r="C995" s="1" t="s">
        <v>6860</v>
      </c>
      <c r="D995" s="1" t="s">
        <v>854</v>
      </c>
      <c r="E995" s="1" t="s">
        <v>6861</v>
      </c>
      <c r="F995" s="1" t="s">
        <v>6862</v>
      </c>
      <c r="G995">
        <v>-13793</v>
      </c>
      <c r="H995">
        <v>-5016</v>
      </c>
      <c r="I995" s="1" t="s">
        <v>6863</v>
      </c>
      <c r="J995" s="1" t="s">
        <v>6864</v>
      </c>
      <c r="K995">
        <v>-2645</v>
      </c>
      <c r="L995" s="1" t="s">
        <v>6865</v>
      </c>
    </row>
    <row r="996" spans="1:12" x14ac:dyDescent="0.25">
      <c r="A996">
        <v>994</v>
      </c>
      <c r="B996" s="1" t="s">
        <v>6866</v>
      </c>
      <c r="C996" s="1" t="s">
        <v>6867</v>
      </c>
      <c r="D996" s="1" t="s">
        <v>54</v>
      </c>
      <c r="E996" s="1" t="s">
        <v>6868</v>
      </c>
      <c r="F996" s="1" t="s">
        <v>6869</v>
      </c>
      <c r="G996">
        <v>-11950</v>
      </c>
      <c r="H996">
        <v>-4593</v>
      </c>
      <c r="I996" s="1" t="s">
        <v>6870</v>
      </c>
      <c r="J996" s="1" t="s">
        <v>1871</v>
      </c>
      <c r="K996">
        <v>-2270</v>
      </c>
      <c r="L996" s="1" t="s">
        <v>6871</v>
      </c>
    </row>
    <row r="997" spans="1:12" x14ac:dyDescent="0.25">
      <c r="A997">
        <v>995</v>
      </c>
      <c r="B997" s="1" t="s">
        <v>6872</v>
      </c>
      <c r="C997" s="1" t="s">
        <v>6873</v>
      </c>
      <c r="D997" s="1" t="s">
        <v>6874</v>
      </c>
      <c r="E997" s="1" t="s">
        <v>6875</v>
      </c>
      <c r="F997" s="1" t="s">
        <v>6876</v>
      </c>
      <c r="G997">
        <v>-20668</v>
      </c>
      <c r="H997">
        <v>-4173</v>
      </c>
      <c r="I997" s="1" t="s">
        <v>6877</v>
      </c>
      <c r="J997" s="1" t="s">
        <v>198</v>
      </c>
      <c r="K997">
        <v>365243</v>
      </c>
      <c r="L997" s="1" t="s">
        <v>1683</v>
      </c>
    </row>
    <row r="998" spans="1:12" x14ac:dyDescent="0.25">
      <c r="A998">
        <v>996</v>
      </c>
      <c r="B998" s="1" t="s">
        <v>6878</v>
      </c>
      <c r="C998" s="1" t="s">
        <v>6879</v>
      </c>
      <c r="D998" s="1" t="s">
        <v>215</v>
      </c>
      <c r="E998" s="1" t="s">
        <v>6880</v>
      </c>
      <c r="F998" s="1" t="s">
        <v>6881</v>
      </c>
      <c r="G998">
        <v>-22652</v>
      </c>
      <c r="H998">
        <v>-3972</v>
      </c>
      <c r="I998" s="1" t="s">
        <v>6882</v>
      </c>
      <c r="J998" s="1" t="s">
        <v>6883</v>
      </c>
      <c r="K998">
        <v>365243</v>
      </c>
      <c r="L998" s="1" t="s">
        <v>6884</v>
      </c>
    </row>
    <row r="999" spans="1:12" x14ac:dyDescent="0.25">
      <c r="A999">
        <v>997</v>
      </c>
      <c r="B999" s="1" t="s">
        <v>6885</v>
      </c>
      <c r="C999" s="1" t="s">
        <v>6886</v>
      </c>
      <c r="D999" s="1" t="s">
        <v>1761</v>
      </c>
      <c r="E999" s="1" t="s">
        <v>6887</v>
      </c>
      <c r="F999" s="1" t="s">
        <v>6888</v>
      </c>
      <c r="G999">
        <v>-14499</v>
      </c>
      <c r="H999">
        <v>-2447</v>
      </c>
      <c r="I999" s="1" t="s">
        <v>6889</v>
      </c>
      <c r="J999" s="1" t="s">
        <v>6890</v>
      </c>
      <c r="K999">
        <v>-2482</v>
      </c>
      <c r="L999" s="1" t="s">
        <v>6891</v>
      </c>
    </row>
    <row r="1000" spans="1:12" x14ac:dyDescent="0.25">
      <c r="A1000">
        <v>998</v>
      </c>
      <c r="B1000" s="1" t="s">
        <v>6892</v>
      </c>
      <c r="C1000" s="1" t="s">
        <v>6893</v>
      </c>
      <c r="D1000" s="1" t="s">
        <v>622</v>
      </c>
      <c r="E1000" s="1" t="s">
        <v>6894</v>
      </c>
      <c r="F1000" s="1" t="s">
        <v>6895</v>
      </c>
      <c r="G1000">
        <v>-10396</v>
      </c>
      <c r="H1000">
        <v>-3057</v>
      </c>
      <c r="I1000" s="1" t="s">
        <v>6896</v>
      </c>
      <c r="J1000" s="1" t="s">
        <v>6897</v>
      </c>
      <c r="K1000">
        <v>-204</v>
      </c>
      <c r="L1000" s="1" t="s">
        <v>6898</v>
      </c>
    </row>
    <row r="1001" spans="1:12" x14ac:dyDescent="0.25">
      <c r="A1001">
        <v>999</v>
      </c>
      <c r="B1001" s="1" t="s">
        <v>6899</v>
      </c>
      <c r="C1001" s="1" t="s">
        <v>6900</v>
      </c>
      <c r="D1001" s="1" t="s">
        <v>215</v>
      </c>
      <c r="E1001" s="1" t="s">
        <v>6901</v>
      </c>
      <c r="F1001" s="1" t="s">
        <v>6902</v>
      </c>
      <c r="G1001">
        <v>-24822</v>
      </c>
      <c r="H1001">
        <v>-4058</v>
      </c>
      <c r="I1001" s="1" t="s">
        <v>6903</v>
      </c>
      <c r="J1001" s="1" t="s">
        <v>6904</v>
      </c>
      <c r="K1001">
        <v>-1595</v>
      </c>
      <c r="L1001" s="1" t="s">
        <v>6905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7"/>
  <sheetViews>
    <sheetView topLeftCell="V1" workbookViewId="0">
      <selection activeCell="AF6" sqref="AF6"/>
    </sheetView>
  </sheetViews>
  <sheetFormatPr defaultRowHeight="15" x14ac:dyDescent="0.25"/>
  <cols>
    <col min="1" max="2" width="9.140625" style="2"/>
    <col min="3" max="3" width="22" style="2" bestFit="1" customWidth="1"/>
    <col min="4" max="4" width="19.140625" style="2" bestFit="1" customWidth="1"/>
    <col min="5" max="5" width="14.85546875" style="2" customWidth="1"/>
    <col min="6" max="6" width="18.42578125" style="2" customWidth="1"/>
    <col min="7" max="7" width="12.42578125" style="2" customWidth="1"/>
    <col min="8" max="8" width="17.42578125" style="2" customWidth="1"/>
    <col min="9" max="9" width="31.28515625" style="2" customWidth="1"/>
    <col min="10" max="10" width="15.140625" style="2" customWidth="1"/>
    <col min="11" max="11" width="17.140625" style="2" customWidth="1"/>
    <col min="12" max="12" width="14.7109375" style="2" customWidth="1"/>
    <col min="13" max="13" width="18.28515625" style="2" customWidth="1"/>
    <col min="14" max="14" width="16.7109375" style="2" customWidth="1"/>
    <col min="15" max="15" width="22.140625" style="2" customWidth="1"/>
    <col min="16" max="16" width="20.28515625" style="2" customWidth="1"/>
    <col min="17" max="17" width="18.140625" style="2" customWidth="1"/>
    <col min="18" max="18" width="12" style="2" customWidth="1"/>
    <col min="19" max="19" width="13.42578125" style="2" customWidth="1"/>
    <col min="20" max="20" width="14.7109375" style="2" customWidth="1"/>
    <col min="21" max="21" width="18" style="2" customWidth="1"/>
    <col min="22" max="22" width="17.85546875" style="2" customWidth="1"/>
    <col min="23" max="23" width="9.140625" style="2"/>
    <col min="24" max="24" width="19.140625" style="2" bestFit="1" customWidth="1"/>
    <col min="25" max="25" width="28.5703125" style="2" bestFit="1" customWidth="1"/>
    <col min="26" max="26" width="37.5703125" style="2" bestFit="1" customWidth="1"/>
    <col min="27" max="27" width="8" style="2" bestFit="1" customWidth="1"/>
    <col min="28" max="28" width="7.42578125" style="2" bestFit="1" customWidth="1"/>
    <col min="29" max="29" width="16.5703125" style="2" bestFit="1" customWidth="1"/>
    <col min="30" max="30" width="15.85546875" style="2" bestFit="1" customWidth="1"/>
    <col min="31" max="31" width="14.140625" style="2" bestFit="1" customWidth="1"/>
    <col min="32" max="32" width="19.42578125" style="2" bestFit="1" customWidth="1"/>
    <col min="33" max="33" width="16.5703125" style="2" bestFit="1" customWidth="1"/>
    <col min="34" max="34" width="15.85546875" style="2" bestFit="1" customWidth="1"/>
    <col min="35" max="35" width="14.140625" style="2" bestFit="1" customWidth="1"/>
    <col min="36" max="36" width="16.5703125" style="2" bestFit="1" customWidth="1"/>
    <col min="37" max="37" width="15.85546875" style="2" bestFit="1" customWidth="1"/>
    <col min="38" max="38" width="14.140625" style="2" bestFit="1" customWidth="1"/>
    <col min="39" max="16384" width="9.140625" style="2"/>
  </cols>
  <sheetData>
    <row r="1" spans="1:35" ht="16.5" thickTop="1" thickBot="1" x14ac:dyDescent="0.3">
      <c r="B1" s="2" t="s">
        <v>18</v>
      </c>
      <c r="C1" s="2">
        <v>20000</v>
      </c>
      <c r="D1" s="2" t="s">
        <v>20</v>
      </c>
      <c r="N1" s="2" t="s">
        <v>21</v>
      </c>
      <c r="O1" s="2">
        <v>0.7</v>
      </c>
      <c r="P1" s="2">
        <v>0.5</v>
      </c>
      <c r="Q1" s="2">
        <v>-2000</v>
      </c>
      <c r="S1" s="2">
        <v>25</v>
      </c>
      <c r="T1" s="2">
        <v>20</v>
      </c>
      <c r="X1" s="2" t="s">
        <v>811</v>
      </c>
      <c r="AC1" s="11" t="s">
        <v>6906</v>
      </c>
      <c r="AD1" s="11" t="s">
        <v>6907</v>
      </c>
      <c r="AE1" s="11" t="s">
        <v>820</v>
      </c>
      <c r="AF1" s="11" t="s">
        <v>6908</v>
      </c>
    </row>
    <row r="2" spans="1:35" ht="16.5" thickTop="1" thickBot="1" x14ac:dyDescent="0.3">
      <c r="B2" s="2" t="s">
        <v>19</v>
      </c>
      <c r="C2" s="2">
        <v>500000</v>
      </c>
      <c r="D2" s="2">
        <v>0.1</v>
      </c>
      <c r="N2" s="2" t="s">
        <v>22</v>
      </c>
      <c r="O2" s="2">
        <v>1.2</v>
      </c>
      <c r="P2" s="2">
        <v>0.8</v>
      </c>
      <c r="Q2" s="2">
        <v>1.2</v>
      </c>
      <c r="S2" s="2">
        <v>0.7</v>
      </c>
      <c r="T2" s="2">
        <v>0.8</v>
      </c>
      <c r="X2" s="3">
        <f>COUNT(Данные[id])</f>
        <v>1000</v>
      </c>
      <c r="AC2" s="12">
        <f>SUM(AC$7:AC$34)</f>
        <v>-10310855.585735282</v>
      </c>
      <c r="AD2" s="12">
        <f>SUM(AD$7:AD$34)</f>
        <v>2050197.2207132357</v>
      </c>
      <c r="AE2" s="12">
        <f>SUM(AE$7:AE$34)</f>
        <v>-8260658.3650220446</v>
      </c>
      <c r="AF2" s="11">
        <f>ABS(AD2/AC2)</f>
        <v>0.19883870971382955</v>
      </c>
    </row>
    <row r="3" spans="1:35" ht="15.75" thickTop="1" x14ac:dyDescent="0.25">
      <c r="C3" s="2">
        <v>300000</v>
      </c>
      <c r="D3" s="2">
        <v>0.2</v>
      </c>
      <c r="N3" s="2" t="s">
        <v>24</v>
      </c>
      <c r="O3" s="2">
        <v>0.3</v>
      </c>
      <c r="P3" s="2">
        <v>0.2</v>
      </c>
      <c r="Q3" s="2">
        <v>-365</v>
      </c>
      <c r="S3" s="2">
        <v>50</v>
      </c>
      <c r="X3" s="2" t="s">
        <v>816</v>
      </c>
      <c r="Y3" s="2">
        <v>1</v>
      </c>
    </row>
    <row r="4" spans="1:35" x14ac:dyDescent="0.25">
      <c r="C4" s="2">
        <v>100000</v>
      </c>
      <c r="D4" s="2">
        <f>C6</f>
        <v>0.3</v>
      </c>
      <c r="N4" s="2" t="s">
        <v>23</v>
      </c>
      <c r="O4" s="2">
        <v>0.8</v>
      </c>
      <c r="P4" s="2">
        <v>1.2</v>
      </c>
      <c r="Q4" s="2">
        <v>0.7</v>
      </c>
      <c r="S4" s="2">
        <v>1.05</v>
      </c>
      <c r="X4" s="2" t="s">
        <v>817</v>
      </c>
      <c r="Y4" s="2">
        <v>0.05</v>
      </c>
    </row>
    <row r="5" spans="1:35" x14ac:dyDescent="0.25">
      <c r="N5" s="2" t="s">
        <v>25</v>
      </c>
      <c r="Q5" s="2">
        <v>0</v>
      </c>
    </row>
    <row r="6" spans="1:35" x14ac:dyDescent="0.25">
      <c r="B6" s="2" t="s">
        <v>17</v>
      </c>
      <c r="C6" s="2">
        <v>0.3</v>
      </c>
      <c r="N6" s="2" t="s">
        <v>26</v>
      </c>
      <c r="Q6" s="2">
        <v>0.5</v>
      </c>
    </row>
    <row r="7" spans="1:35" x14ac:dyDescent="0.25">
      <c r="A7" s="2" t="s">
        <v>28</v>
      </c>
      <c r="B7" s="2" t="s">
        <v>27</v>
      </c>
      <c r="C7" s="2" t="s">
        <v>8</v>
      </c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9</v>
      </c>
      <c r="M7" s="2" t="s">
        <v>10</v>
      </c>
      <c r="N7" s="2" t="s">
        <v>11</v>
      </c>
      <c r="O7" s="2" t="s">
        <v>812</v>
      </c>
      <c r="P7" s="2" t="s">
        <v>12</v>
      </c>
      <c r="Q7" s="2" t="s">
        <v>813</v>
      </c>
      <c r="R7" s="2" t="s">
        <v>13</v>
      </c>
      <c r="S7" s="2" t="s">
        <v>814</v>
      </c>
      <c r="T7" s="2" t="s">
        <v>14</v>
      </c>
      <c r="U7" s="2" t="s">
        <v>15</v>
      </c>
      <c r="V7" s="2" t="s">
        <v>16</v>
      </c>
      <c r="X7" s="2" t="s">
        <v>808</v>
      </c>
      <c r="Y7" s="2" t="s">
        <v>810</v>
      </c>
      <c r="Z7" s="2" t="s">
        <v>809</v>
      </c>
      <c r="AA7" s="2" t="s">
        <v>815</v>
      </c>
      <c r="AB7" s="2" t="s">
        <v>819</v>
      </c>
      <c r="AC7" s="2" t="s">
        <v>816</v>
      </c>
      <c r="AD7" s="2" t="s">
        <v>817</v>
      </c>
      <c r="AE7" s="2" t="s">
        <v>818</v>
      </c>
    </row>
    <row r="8" spans="1:35" x14ac:dyDescent="0.25">
      <c r="A8" s="2">
        <f>'1000_заявлений'!A2</f>
        <v>0</v>
      </c>
      <c r="B8" s="4">
        <f>VALUE(SUBSTITUTE('1000_заявлений'!B2, ".", ","))</f>
        <v>0.33276412061326999</v>
      </c>
      <c r="C8" s="4">
        <f>VALUE(SUBSTITUTE('1000_заявлений'!C2, ".", ","))</f>
        <v>0.33655827631922602</v>
      </c>
      <c r="D8" s="4">
        <f>VALUE(SUBSTITUTE('1000_заявлений'!D2, ".", ","))</f>
        <v>0.51008949999999997</v>
      </c>
      <c r="E8" s="4">
        <f>VALUE(SUBSTITUTE('1000_заявлений'!E2, ".", ","))</f>
        <v>0.46882637999999999</v>
      </c>
      <c r="F8" s="5">
        <f>VALUE(SUBSTITUTE('1000_заявлений'!F2, ".", ","))</f>
        <v>-13252</v>
      </c>
      <c r="G8" s="5">
        <f>VALUE(SUBSTITUTE('1000_заявлений'!G2, ".", ","))</f>
        <v>-24248</v>
      </c>
      <c r="H8" s="5">
        <f>VALUE(SUBSTITUTE('1000_заявлений'!H2, ".", ","))</f>
        <v>-4638</v>
      </c>
      <c r="I8" s="4">
        <f>VALUE(SUBSTITUTE('1000_заявлений'!I2, ".", ","))</f>
        <v>0.130266666666666</v>
      </c>
      <c r="J8" s="4">
        <f>VALUE(SUBSTITUTE('1000_заявлений'!J2, ".", ","))</f>
        <v>10.286382966226499</v>
      </c>
      <c r="K8" s="5">
        <f>VALUE(SUBSTITUTE('1000_заявлений'!K2, ".", ","))</f>
        <v>365243</v>
      </c>
      <c r="L8" s="6">
        <f>VALUE(SUBSTITUTE('1000_заявлений'!L2, ".", ","))</f>
        <v>17586</v>
      </c>
      <c r="M8" s="2" t="str">
        <f>IF(Данные[[#This Row],[proba]]&gt;$C$6, "отказ", "одобрение")</f>
        <v>отказ</v>
      </c>
      <c r="N8" s="7">
        <f>IF(Данные[[#This Row],[proba]]&lt;$D$2,$C$2,IF(Данные[[#This Row],[proba]]&lt;$D$3,$C$3,IF(Данные[[#This Row],[proba]]&gt;$C$6,0,$C$4)))</f>
        <v>0</v>
      </c>
      <c r="O8" s="2">
        <f>IF(Данные[[#This Row],[weighted_ext_score]]&gt;$O$1,MIN(Данные[[#This Row],[Базовая сумма]]*$O$2,$C$2),IF(Данные[[#This Row],[weighted_ext_score]]&lt;$O$3,Данные[[#This Row],[Базовая сумма]]*$O$4,N8))</f>
        <v>0</v>
      </c>
      <c r="P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" s="2">
        <f>ABS(Данные[[#This Row],[days_birth]])/365.2425</f>
        <v>66.388769105457328</v>
      </c>
      <c r="S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" s="2">
        <f>IF(Данные[[#This Row],[ interest_rate]]&gt;$T$1,Данные[[#This Row],[days_birth4]]*$T$2,Данные[[#This Row],[days_birth4]])</f>
        <v>0</v>
      </c>
      <c r="U8" s="2">
        <f>IF(Данные[[#This Row],[Проверка отказа]]="отказ",0,MAX(Данные[[#This Row],[interest_rate]],$C$1))</f>
        <v>0</v>
      </c>
      <c r="V8" s="2">
        <f>MROUND(Данные[[#This Row],[Минимум 20000]], 100)</f>
        <v>0</v>
      </c>
      <c r="X8" s="8" cm="1">
        <f t="array" ref="X8:X34">_xlfn.UNIQUE(Данные[Итоговая сумма])</f>
        <v>0</v>
      </c>
      <c r="Y8" s="9">
        <f>COUNTIF(Данные[Итоговая сумма], X8)</f>
        <v>729</v>
      </c>
      <c r="Z8" s="10">
        <f>AVERAGEIF(Данные[Итоговая сумма], X8, Данные[proba])</f>
        <v>0.52822669574233727</v>
      </c>
      <c r="AA8" s="8">
        <f>Y8*Z8</f>
        <v>385.07726119616387</v>
      </c>
      <c r="AB8" s="8">
        <f>Y8-AA8</f>
        <v>343.92273880383613</v>
      </c>
      <c r="AC8" s="8">
        <f>-X8*AA8*$Y$3</f>
        <v>0</v>
      </c>
      <c r="AD8" s="8">
        <f>X8*AB8*$Y$4</f>
        <v>0</v>
      </c>
      <c r="AE8" s="8">
        <f>AD8+AC8</f>
        <v>0</v>
      </c>
      <c r="AF8" s="8"/>
    </row>
    <row r="9" spans="1:35" x14ac:dyDescent="0.25">
      <c r="A9" s="2">
        <f>'1000_заявлений'!A3</f>
        <v>1</v>
      </c>
      <c r="B9" s="4">
        <f>VALUE(SUBSTITUTE('1000_заявлений'!B3, ".", ","))</f>
        <v>0.16476671688066499</v>
      </c>
      <c r="C9" s="4">
        <f>VALUE(SUBSTITUTE('1000_заявлений'!C3, ".", ","))</f>
        <v>0.65676376778603396</v>
      </c>
      <c r="D9" s="4">
        <f>VALUE(SUBSTITUTE('1000_заявлений'!D3, ".", ","))</f>
        <v>0.81282259999999995</v>
      </c>
      <c r="E9" s="4">
        <f>VALUE(SUBSTITUTE('1000_заявлений'!E3, ".", ","))</f>
        <v>0.58514750000000004</v>
      </c>
      <c r="F9" s="5">
        <f>VALUE(SUBSTITUTE('1000_заявлений'!F3, ".", ","))</f>
        <v>-2832</v>
      </c>
      <c r="G9" s="5">
        <f>VALUE(SUBSTITUTE('1000_заявлений'!G3, ".", ","))</f>
        <v>-13436</v>
      </c>
      <c r="H9" s="5">
        <f>VALUE(SUBSTITUTE('1000_заявлений'!H3, ".", ","))</f>
        <v>-5901</v>
      </c>
      <c r="I9" s="4">
        <f>VALUE(SUBSTITUTE('1000_заявлений'!I3, ".", ","))</f>
        <v>8.45428571428571E-2</v>
      </c>
      <c r="J9" s="4">
        <f>VALUE(SUBSTITUTE('1000_заявлений'!J3, ".", ","))</f>
        <v>5.2627631969250599</v>
      </c>
      <c r="K9" s="5">
        <f>VALUE(SUBSTITUTE('1000_заявлений'!K3, ".", ","))</f>
        <v>-193</v>
      </c>
      <c r="L9" s="6">
        <f>VALUE(SUBSTITUTE('1000_заявлений'!L3, ".", ","))</f>
        <v>13315.5</v>
      </c>
      <c r="M9" s="2" t="str">
        <f>IF(Данные[[#This Row],[proba]]&gt;$C$6, "отказ", "одобрение")</f>
        <v>одобрение</v>
      </c>
      <c r="N9" s="7">
        <f>IF(Данные[[#This Row],[proba]]&lt;$D$2,$C$2,IF(Данные[[#This Row],[proba]]&lt;$D$3,$C$3,IF(Данные[[#This Row],[proba]]&gt;$C$6,0,$C$4)))</f>
        <v>300000</v>
      </c>
      <c r="O9" s="2">
        <f>IF(Данные[[#This Row],[weighted_ext_score]]&gt;$O$1,MIN(Данные[[#This Row],[Базовая сумма]]*$O$2,$C$2),IF(Данные[[#This Row],[weighted_ext_score]]&lt;$O$3,Данные[[#This Row],[Базовая сумма]]*$O$4,N9))</f>
        <v>300000</v>
      </c>
      <c r="P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9" s="2">
        <f>ABS(Данные[[#This Row],[days_birth]])/365.2425</f>
        <v>36.786518545897586</v>
      </c>
      <c r="S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360000</v>
      </c>
      <c r="T9" s="2">
        <f>IF(Данные[[#This Row],[ interest_rate]]&gt;$T$1,Данные[[#This Row],[days_birth4]]*$T$2,Данные[[#This Row],[days_birth4]])</f>
        <v>360000</v>
      </c>
      <c r="U9" s="2">
        <f>IF(Данные[[#This Row],[Проверка отказа]]="отказ",0,MAX(Данные[[#This Row],[interest_rate]],$C$1))</f>
        <v>360000</v>
      </c>
      <c r="V9" s="2">
        <f>MROUND(Данные[[#This Row],[Минимум 20000]], 100)</f>
        <v>360000</v>
      </c>
      <c r="X9" s="8">
        <v>360000</v>
      </c>
      <c r="Y9" s="9">
        <f>COUNTIF(Данные[Итоговая сумма], X9)</f>
        <v>5</v>
      </c>
      <c r="Z9" s="10">
        <f>AVERAGEIF(Данные[Итоговая сумма], X9, Данные[proba])</f>
        <v>0.17133151969022639</v>
      </c>
      <c r="AA9" s="8">
        <f>Y9*Z9</f>
        <v>0.85665759845113199</v>
      </c>
      <c r="AB9" s="8">
        <f>Y9-AA9</f>
        <v>4.1433424015488676</v>
      </c>
      <c r="AC9" s="8">
        <f>-X9*AA9*$Y$3</f>
        <v>-308396.73544240749</v>
      </c>
      <c r="AD9" s="8">
        <f>X9*AB9*$Y$4</f>
        <v>74580.163227879617</v>
      </c>
      <c r="AE9" s="8">
        <f>AD9+AC9</f>
        <v>-233816.57221452787</v>
      </c>
      <c r="AF9" s="8"/>
      <c r="AG9" s="8"/>
      <c r="AH9"/>
      <c r="AI9"/>
    </row>
    <row r="10" spans="1:35" x14ac:dyDescent="0.25">
      <c r="A10" s="2">
        <f>'1000_заявлений'!A4</f>
        <v>2</v>
      </c>
      <c r="B10" s="4">
        <f>VALUE(SUBSTITUTE('1000_заявлений'!B4, ".", ","))</f>
        <v>0.209276314961198</v>
      </c>
      <c r="C10" s="4">
        <f>VALUE(SUBSTITUTE('1000_заявлений'!C4, ".", ","))</f>
        <v>0.66074063755193801</v>
      </c>
      <c r="D10" s="4">
        <f>VALUE(SUBSTITUTE('1000_заявлений'!D4, ".", ","))</f>
        <v>0.66585492999999996</v>
      </c>
      <c r="E10" s="4">
        <f>VALUE(SUBSTITUTE('1000_заявлений'!E4, ".", ","))</f>
        <v>0.41578013000000003</v>
      </c>
      <c r="F10" s="5">
        <f>VALUE(SUBSTITUTE('1000_заявлений'!F4, ".", ","))</f>
        <v>-9257</v>
      </c>
      <c r="G10" s="5">
        <f>VALUE(SUBSTITUTE('1000_заявлений'!G4, ".", ","))</f>
        <v>-20066</v>
      </c>
      <c r="H10" s="5">
        <f>VALUE(SUBSTITUTE('1000_заявлений'!H4, ".", ","))</f>
        <v>-3474</v>
      </c>
      <c r="I10" s="4">
        <f>VALUE(SUBSTITUTE('1000_заявлений'!I4, ".", ","))</f>
        <v>0.18545714285714199</v>
      </c>
      <c r="J10" s="4">
        <f>VALUE(SUBSTITUTE('1000_заявлений'!J4, ".", ","))</f>
        <v>16.0317223255695</v>
      </c>
      <c r="K10" s="5">
        <f>VALUE(SUBSTITUTE('1000_заявлений'!K4, ".", ","))</f>
        <v>-153</v>
      </c>
      <c r="L10" s="6">
        <f>VALUE(SUBSTITUTE('1000_заявлений'!L4, ".", ","))</f>
        <v>29209.5</v>
      </c>
      <c r="M10" s="2" t="str">
        <f>IF(Данные[[#This Row],[proba]]&gt;$C$6, "отказ", "одобрение")</f>
        <v>одобрение</v>
      </c>
      <c r="N10" s="7">
        <f>IF(Данные[[#This Row],[proba]]&lt;$D$2,$C$2,IF(Данные[[#This Row],[proba]]&lt;$D$3,$C$3,IF(Данные[[#This Row],[proba]]&gt;$C$6,0,$C$4)))</f>
        <v>100000</v>
      </c>
      <c r="O10" s="2">
        <f>IF(Данные[[#This Row],[weighted_ext_score]]&gt;$O$1,MIN(Данные[[#This Row],[Базовая сумма]]*$O$2,$C$2),IF(Данные[[#This Row],[weighted_ext_score]]&lt;$O$3,Данные[[#This Row],[Базовая сумма]]*$O$4,N10))</f>
        <v>100000</v>
      </c>
      <c r="P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0" s="2">
        <f>ABS(Данные[[#This Row],[days_birth]])/365.2425</f>
        <v>54.938842002231397</v>
      </c>
      <c r="S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0" s="2">
        <f>IF(Данные[[#This Row],[ interest_rate]]&gt;$T$1,Данные[[#This Row],[days_birth4]]*$T$2,Данные[[#This Row],[days_birth4]])</f>
        <v>126000</v>
      </c>
      <c r="U10" s="2">
        <f>IF(Данные[[#This Row],[Проверка отказа]]="отказ",0,MAX(Данные[[#This Row],[interest_rate]],$C$1))</f>
        <v>126000</v>
      </c>
      <c r="V10" s="2">
        <f>MROUND(Данные[[#This Row],[Минимум 20000]], 100)</f>
        <v>126000</v>
      </c>
      <c r="X10" s="8">
        <v>126000</v>
      </c>
      <c r="Y10" s="9">
        <f>COUNTIF(Данные[Итоговая сумма], X10)</f>
        <v>33</v>
      </c>
      <c r="Z10" s="10">
        <f>AVERAGEIF(Данные[Итоговая сумма], X10, Данные[proba])</f>
        <v>0.24545360706771555</v>
      </c>
      <c r="AA10" s="8">
        <f>Y10*Z10</f>
        <v>8.099969033234613</v>
      </c>
      <c r="AB10" s="8">
        <f>Y10-AA10</f>
        <v>24.900030966765385</v>
      </c>
      <c r="AC10" s="8">
        <f>-X10*AA10*$Y$3</f>
        <v>-1020596.0981875613</v>
      </c>
      <c r="AD10" s="8">
        <f>X10*AB10*$Y$4</f>
        <v>156870.19509062191</v>
      </c>
      <c r="AE10" s="8">
        <f>AD10+AC10</f>
        <v>-863725.90309693932</v>
      </c>
      <c r="AF10" s="8"/>
      <c r="AG10" s="8"/>
      <c r="AH10"/>
      <c r="AI10"/>
    </row>
    <row r="11" spans="1:35" x14ac:dyDescent="0.25">
      <c r="A11" s="2">
        <f>'1000_заявлений'!A5</f>
        <v>3</v>
      </c>
      <c r="B11" s="4">
        <f>VALUE(SUBSTITUTE('1000_заявлений'!B5, ".", ","))</f>
        <v>0.666125971080747</v>
      </c>
      <c r="C11" s="4">
        <f>VALUE(SUBSTITUTE('1000_заявлений'!C5, ".", ","))</f>
        <v>0.22551354455315301</v>
      </c>
      <c r="D11" s="4">
        <f>VALUE(SUBSTITUTE('1000_заявлений'!D5, ".", ","))</f>
        <v>0.53527623000000002</v>
      </c>
      <c r="E11" s="4">
        <f>VALUE(SUBSTITUTE('1000_заявлений'!E5, ".", ","))</f>
        <v>0.26651977999999998</v>
      </c>
      <c r="F11" s="5">
        <f>VALUE(SUBSTITUTE('1000_заявлений'!F5, ".", ","))</f>
        <v>-4957</v>
      </c>
      <c r="G11" s="5">
        <f>VALUE(SUBSTITUTE('1000_заявлений'!G5, ".", ","))</f>
        <v>-16953</v>
      </c>
      <c r="H11" s="5">
        <f>VALUE(SUBSTITUTE('1000_заявлений'!H5, ".", ","))</f>
        <v>-510</v>
      </c>
      <c r="I11" s="4">
        <f>VALUE(SUBSTITUTE('1000_заявлений'!I5, ".", ","))</f>
        <v>0.20924000000000001</v>
      </c>
      <c r="J11" s="4">
        <f>VALUE(SUBSTITUTE('1000_заявлений'!J5, ".", ","))</f>
        <v>0.92630409118696899</v>
      </c>
      <c r="K11" s="5">
        <f>VALUE(SUBSTITUTE('1000_заявлений'!K5, ".", ","))</f>
        <v>-4400</v>
      </c>
      <c r="L11" s="6">
        <f>VALUE(SUBSTITUTE('1000_заявлений'!L5, ".", ","))</f>
        <v>23539.5</v>
      </c>
      <c r="M11" s="2" t="str">
        <f>IF(Данные[[#This Row],[proba]]&gt;$C$6, "отказ", "одобрение")</f>
        <v>отказ</v>
      </c>
      <c r="N11" s="7">
        <f>IF(Данные[[#This Row],[proba]]&lt;$D$2,$C$2,IF(Данные[[#This Row],[proba]]&lt;$D$3,$C$3,IF(Данные[[#This Row],[proba]]&gt;$C$6,0,$C$4)))</f>
        <v>0</v>
      </c>
      <c r="O11" s="2">
        <f>IF(Данные[[#This Row],[weighted_ext_score]]&gt;$O$1,MIN(Данные[[#This Row],[Базовая сумма]]*$O$2,$C$2),IF(Данные[[#This Row],[weighted_ext_score]]&lt;$O$3,Данные[[#This Row],[Базовая сумма]]*$O$4,N11))</f>
        <v>0</v>
      </c>
      <c r="P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" s="2">
        <f>ABS(Данные[[#This Row],[days_birth]])/365.2425</f>
        <v>46.415737489476172</v>
      </c>
      <c r="S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" s="2">
        <f>IF(Данные[[#This Row],[ interest_rate]]&gt;$T$1,Данные[[#This Row],[days_birth4]]*$T$2,Данные[[#This Row],[days_birth4]])</f>
        <v>0</v>
      </c>
      <c r="U11" s="2">
        <f>IF(Данные[[#This Row],[Проверка отказа]]="отказ",0,MAX(Данные[[#This Row],[interest_rate]],$C$1))</f>
        <v>0</v>
      </c>
      <c r="V11" s="2">
        <f>MROUND(Данные[[#This Row],[Минимум 20000]], 100)</f>
        <v>0</v>
      </c>
      <c r="X11" s="8">
        <v>58800</v>
      </c>
      <c r="Y11" s="9">
        <f>COUNTIF(Данные[Итоговая сумма], X11)</f>
        <v>1</v>
      </c>
      <c r="Z11" s="10">
        <f>AVERAGEIF(Данные[Итоговая сумма], X11, Данные[proba])</f>
        <v>0.25154861619319302</v>
      </c>
      <c r="AA11" s="8">
        <f>Y11*Z11</f>
        <v>0.25154861619319302</v>
      </c>
      <c r="AB11" s="8">
        <f>Y11-AA11</f>
        <v>0.74845138380680698</v>
      </c>
      <c r="AC11" s="8">
        <f>-X11*AA11*$Y$3</f>
        <v>-14791.058632159749</v>
      </c>
      <c r="AD11" s="8">
        <f>X11*AB11*$Y$4</f>
        <v>2200.4470683920126</v>
      </c>
      <c r="AE11" s="8">
        <f>AD11+AC11</f>
        <v>-12590.611563767736</v>
      </c>
      <c r="AF11" s="8"/>
      <c r="AG11" s="8"/>
      <c r="AH11"/>
      <c r="AI11"/>
    </row>
    <row r="12" spans="1:35" x14ac:dyDescent="0.25">
      <c r="A12" s="2">
        <f>'1000_заявлений'!A6</f>
        <v>4</v>
      </c>
      <c r="B12" s="4">
        <f>VALUE(SUBSTITUTE('1000_заявлений'!B6, ".", ","))</f>
        <v>0.25154861619319302</v>
      </c>
      <c r="C12" s="4">
        <f>VALUE(SUBSTITUTE('1000_заявлений'!C6, ".", ","))</f>
        <v>0.50313080094669904</v>
      </c>
      <c r="D12" s="4">
        <f>VALUE(SUBSTITUTE('1000_заявлений'!D6, ".", ","))</f>
        <v>0.79226445999999995</v>
      </c>
      <c r="E12" s="4">
        <f>VALUE(SUBSTITUTE('1000_заявлений'!E6, ".", ","))</f>
        <v>0.66772940000000003</v>
      </c>
      <c r="F12" s="5">
        <f>VALUE(SUBSTITUTE('1000_заявлений'!F6, ".", ","))</f>
        <v>-3208</v>
      </c>
      <c r="G12" s="5">
        <f>VALUE(SUBSTITUTE('1000_заявлений'!G6, ".", ","))</f>
        <v>-9028</v>
      </c>
      <c r="H12" s="5">
        <f>VALUE(SUBSTITUTE('1000_заявлений'!H6, ".", ","))</f>
        <v>-1695</v>
      </c>
      <c r="I12" s="4">
        <f>VALUE(SUBSTITUTE('1000_заявлений'!I6, ".", ","))</f>
        <v>0.16545000000000001</v>
      </c>
      <c r="J12" s="4">
        <f>VALUE(SUBSTITUTE('1000_заявлений'!J6, ".", ","))</f>
        <v>2.38451772076127</v>
      </c>
      <c r="K12" s="5">
        <f>VALUE(SUBSTITUTE('1000_заявлений'!K6, ".", ","))</f>
        <v>-1056</v>
      </c>
      <c r="L12" s="6">
        <f>VALUE(SUBSTITUTE('1000_заявлений'!L6, ".", ","))</f>
        <v>44671.5</v>
      </c>
      <c r="M12" s="2" t="str">
        <f>IF(Данные[[#This Row],[proba]]&gt;$C$6, "отказ", "одобрение")</f>
        <v>одобрение</v>
      </c>
      <c r="N12" s="7">
        <f>IF(Данные[[#This Row],[proba]]&lt;$D$2,$C$2,IF(Данные[[#This Row],[proba]]&lt;$D$3,$C$3,IF(Данные[[#This Row],[proba]]&gt;$C$6,0,$C$4)))</f>
        <v>100000</v>
      </c>
      <c r="O12" s="2">
        <f>IF(Данные[[#This Row],[weighted_ext_score]]&gt;$O$1,MIN(Данные[[#This Row],[Базовая сумма]]*$O$2,$C$2),IF(Данные[[#This Row],[weighted_ext_score]]&lt;$O$3,Данные[[#This Row],[Базовая сумма]]*$O$4,N12))</f>
        <v>100000</v>
      </c>
      <c r="P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2" s="2">
        <f>ABS(Данные[[#This Row],[days_birth]])/365.2425</f>
        <v>24.717824459092245</v>
      </c>
      <c r="S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58799.999999999993</v>
      </c>
      <c r="T12" s="2">
        <f>IF(Данные[[#This Row],[ interest_rate]]&gt;$T$1,Данные[[#This Row],[days_birth4]]*$T$2,Данные[[#This Row],[days_birth4]])</f>
        <v>58799.999999999993</v>
      </c>
      <c r="U12" s="2">
        <f>IF(Данные[[#This Row],[Проверка отказа]]="отказ",0,MAX(Данные[[#This Row],[interest_rate]],$C$1))</f>
        <v>58799.999999999993</v>
      </c>
      <c r="V12" s="2">
        <f>MROUND(Данные[[#This Row],[Минимум 20000]], 100)</f>
        <v>58800</v>
      </c>
      <c r="X12" s="8">
        <v>252000</v>
      </c>
      <c r="Y12" s="9">
        <f>COUNTIF(Данные[Итоговая сумма], X12)</f>
        <v>8</v>
      </c>
      <c r="Z12" s="10">
        <f>AVERAGEIF(Данные[Итоговая сумма], X12, Данные[proba])</f>
        <v>0.18261062241850726</v>
      </c>
      <c r="AA12" s="8">
        <f>Y12*Z12</f>
        <v>1.4608849793480581</v>
      </c>
      <c r="AB12" s="8">
        <f>Y12-AA12</f>
        <v>6.5391150206519422</v>
      </c>
      <c r="AC12" s="8">
        <f>-X12*AA12*$Y$3</f>
        <v>-368143.01479571062</v>
      </c>
      <c r="AD12" s="8">
        <f>X12*AB12*$Y$4</f>
        <v>82392.849260214483</v>
      </c>
      <c r="AE12" s="8">
        <f>AD12+AC12</f>
        <v>-285750.16553549614</v>
      </c>
      <c r="AF12" s="8"/>
      <c r="AG12" s="8"/>
      <c r="AH12"/>
      <c r="AI12"/>
    </row>
    <row r="13" spans="1:35" x14ac:dyDescent="0.25">
      <c r="A13" s="2">
        <f>'1000_заявлений'!A7</f>
        <v>5</v>
      </c>
      <c r="B13" s="4">
        <f>VALUE(SUBSTITUTE('1000_заявлений'!B7, ".", ","))</f>
        <v>0.39294452768104099</v>
      </c>
      <c r="C13" s="4">
        <f>VALUE(SUBSTITUTE('1000_заявлений'!C7, ".", ","))</f>
        <v>0.418160890976707</v>
      </c>
      <c r="D13" s="4">
        <f>VALUE(SUBSTITUTE('1000_заявлений'!D7, ".", ","))</f>
        <v>0.57620883000000001</v>
      </c>
      <c r="E13" s="4">
        <f>VALUE(SUBSTITUTE('1000_заявлений'!E7, ".", ","))</f>
        <v>0.64667359999999996</v>
      </c>
      <c r="F13" s="5">
        <f>VALUE(SUBSTITUTE('1000_заявлений'!F7, ".", ","))</f>
        <v>-1976</v>
      </c>
      <c r="G13" s="5">
        <f>VALUE(SUBSTITUTE('1000_заявлений'!G7, ".", ","))</f>
        <v>-17356</v>
      </c>
      <c r="H13" s="5">
        <f>VALUE(SUBSTITUTE('1000_заявлений'!H7, ".", ","))</f>
        <v>-910</v>
      </c>
      <c r="I13" s="4">
        <f>VALUE(SUBSTITUTE('1000_заявлений'!I7, ".", ","))</f>
        <v>0.266742857142857</v>
      </c>
      <c r="J13" s="4">
        <f>VALUE(SUBSTITUTE('1000_заявлений'!J7, ".", ","))</f>
        <v>1.55729663242183</v>
      </c>
      <c r="K13" s="5">
        <f>VALUE(SUBSTITUTE('1000_заявлений'!K7, ".", ","))</f>
        <v>-1897</v>
      </c>
      <c r="L13" s="6">
        <f>VALUE(SUBSTITUTE('1000_заявлений'!L7, ".", ","))</f>
        <v>42012</v>
      </c>
      <c r="M13" s="2" t="str">
        <f>IF(Данные[[#This Row],[proba]]&gt;$C$6, "отказ", "одобрение")</f>
        <v>отказ</v>
      </c>
      <c r="N13" s="7">
        <f>IF(Данные[[#This Row],[proba]]&lt;$D$2,$C$2,IF(Данные[[#This Row],[proba]]&lt;$D$3,$C$3,IF(Данные[[#This Row],[proba]]&gt;$C$6,0,$C$4)))</f>
        <v>0</v>
      </c>
      <c r="O13" s="2">
        <f>IF(Данные[[#This Row],[weighted_ext_score]]&gt;$O$1,MIN(Данные[[#This Row],[Базовая сумма]]*$O$2,$C$2),IF(Данные[[#This Row],[weighted_ext_score]]&lt;$O$3,Данные[[#This Row],[Базовая сумма]]*$O$4,N13))</f>
        <v>0</v>
      </c>
      <c r="P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" s="2">
        <f>ABS(Данные[[#This Row],[days_birth]])/365.2425</f>
        <v>47.519114013292537</v>
      </c>
      <c r="S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" s="2">
        <f>IF(Данные[[#This Row],[ interest_rate]]&gt;$T$1,Данные[[#This Row],[days_birth4]]*$T$2,Данные[[#This Row],[days_birth4]])</f>
        <v>0</v>
      </c>
      <c r="U13" s="2">
        <f>IF(Данные[[#This Row],[Проверка отказа]]="отказ",0,MAX(Данные[[#This Row],[interest_rate]],$C$1))</f>
        <v>0</v>
      </c>
      <c r="V13" s="2">
        <f>MROUND(Данные[[#This Row],[Минимум 20000]], 100)</f>
        <v>0</v>
      </c>
      <c r="X13" s="8">
        <v>378000</v>
      </c>
      <c r="Y13" s="9">
        <f>COUNTIF(Данные[Итоговая сумма], X13)</f>
        <v>23</v>
      </c>
      <c r="Z13" s="10">
        <f>AVERAGEIF(Данные[Итоговая сумма], X13, Данные[proba])</f>
        <v>0.16787905758708876</v>
      </c>
      <c r="AA13" s="8">
        <f>Y13*Z13</f>
        <v>3.8612183245030414</v>
      </c>
      <c r="AB13" s="8">
        <f>Y13-AA13</f>
        <v>19.138781675496958</v>
      </c>
      <c r="AC13" s="8">
        <f>-X13*AA13*$Y$3</f>
        <v>-1459540.5266621497</v>
      </c>
      <c r="AD13" s="8">
        <f>X13*AB13*$Y$4</f>
        <v>361722.9736668925</v>
      </c>
      <c r="AE13" s="8">
        <f>AD13+AC13</f>
        <v>-1097817.5529952571</v>
      </c>
      <c r="AF13" s="8"/>
      <c r="AG13" s="8"/>
      <c r="AH13"/>
      <c r="AI13"/>
    </row>
    <row r="14" spans="1:35" x14ac:dyDescent="0.25">
      <c r="A14" s="2">
        <f>'1000_заявлений'!A8</f>
        <v>6</v>
      </c>
      <c r="B14" s="4">
        <f>VALUE(SUBSTITUTE('1000_заявлений'!B8, ".", ","))</f>
        <v>0.65607736040268105</v>
      </c>
      <c r="C14" s="4">
        <f>VALUE(SUBSTITUTE('1000_заявлений'!C8, ".", ","))</f>
        <v>0.22766902672295</v>
      </c>
      <c r="D14" s="4">
        <f>VALUE(SUBSTITUTE('1000_заявлений'!D8, ".", ","))</f>
        <v>0.62122630000000001</v>
      </c>
      <c r="E14" s="4">
        <f>VALUE(SUBSTITUTE('1000_заявлений'!E8, ".", ","))</f>
        <v>9.2263854999999999E-3</v>
      </c>
      <c r="F14" s="5">
        <f>VALUE(SUBSTITUTE('1000_заявлений'!F8, ".", ","))</f>
        <v>-644</v>
      </c>
      <c r="G14" s="5">
        <f>VALUE(SUBSTITUTE('1000_заявлений'!G8, ".", ","))</f>
        <v>-23233</v>
      </c>
      <c r="H14" s="5">
        <f>VALUE(SUBSTITUTE('1000_заявлений'!H8, ".", ","))</f>
        <v>-4172</v>
      </c>
      <c r="I14" s="4">
        <f>VALUE(SUBSTITUTE('1000_заявлений'!I8, ".", ","))</f>
        <v>0.23025000000000001</v>
      </c>
      <c r="J14" s="4">
        <f>VALUE(SUBSTITUTE('1000_заявлений'!J8, ".", ","))</f>
        <v>1.82698968286587</v>
      </c>
      <c r="K14" s="5">
        <f>VALUE(SUBSTITUTE('1000_заявлений'!K8, ".", ","))</f>
        <v>-881</v>
      </c>
      <c r="L14" s="6">
        <f>VALUE(SUBSTITUTE('1000_заявлений'!L8, ".", ","))</f>
        <v>33156</v>
      </c>
      <c r="M14" s="2" t="str">
        <f>IF(Данные[[#This Row],[proba]]&gt;$C$6, "отказ", "одобрение")</f>
        <v>отказ</v>
      </c>
      <c r="N14" s="7">
        <f>IF(Данные[[#This Row],[proba]]&lt;$D$2,$C$2,IF(Данные[[#This Row],[proba]]&lt;$D$3,$C$3,IF(Данные[[#This Row],[proba]]&gt;$C$6,0,$C$4)))</f>
        <v>0</v>
      </c>
      <c r="O14" s="2">
        <f>IF(Данные[[#This Row],[weighted_ext_score]]&gt;$O$1,MIN(Данные[[#This Row],[Базовая сумма]]*$O$2,$C$2),IF(Данные[[#This Row],[weighted_ext_score]]&lt;$O$3,Данные[[#This Row],[Базовая сумма]]*$O$4,N14))</f>
        <v>0</v>
      </c>
      <c r="P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" s="2">
        <f>ABS(Данные[[#This Row],[days_birth]])/365.2425</f>
        <v>63.609793493363995</v>
      </c>
      <c r="S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" s="2">
        <f>IF(Данные[[#This Row],[ interest_rate]]&gt;$T$1,Данные[[#This Row],[days_birth4]]*$T$2,Данные[[#This Row],[days_birth4]])</f>
        <v>0</v>
      </c>
      <c r="U14" s="2">
        <f>IF(Данные[[#This Row],[Проверка отказа]]="отказ",0,MAX(Данные[[#This Row],[interest_rate]],$C$1))</f>
        <v>0</v>
      </c>
      <c r="V14" s="2">
        <f>MROUND(Данные[[#This Row],[Минимум 20000]], 100)</f>
        <v>0</v>
      </c>
      <c r="X14" s="8">
        <v>302400</v>
      </c>
      <c r="Y14" s="9">
        <f>COUNTIF(Данные[Итоговая сумма], X14)</f>
        <v>5</v>
      </c>
      <c r="Z14" s="10">
        <f>AVERAGEIF(Данные[Итоговая сумма], X14, Данные[proba])</f>
        <v>0.14833565084399761</v>
      </c>
      <c r="AA14" s="8">
        <f>Y14*Z14</f>
        <v>0.74167825421998801</v>
      </c>
      <c r="AB14" s="8">
        <f>Y14-AA14</f>
        <v>4.2583217457800124</v>
      </c>
      <c r="AC14" s="8">
        <f>-X14*AA14*$Y$3</f>
        <v>-224283.50407612437</v>
      </c>
      <c r="AD14" s="8">
        <f>X14*AB14*$Y$4</f>
        <v>64385.824796193796</v>
      </c>
      <c r="AE14" s="8">
        <f>AD14+AC14</f>
        <v>-159897.67927993057</v>
      </c>
      <c r="AF14" s="8"/>
      <c r="AG14" s="8"/>
      <c r="AH14"/>
      <c r="AI14"/>
    </row>
    <row r="15" spans="1:35" x14ac:dyDescent="0.25">
      <c r="A15" s="2">
        <f>'1000_заявлений'!A9</f>
        <v>7</v>
      </c>
      <c r="B15" s="4">
        <f>VALUE(SUBSTITUTE('1000_заявлений'!B9, ".", ","))</f>
        <v>0.45155100069652299</v>
      </c>
      <c r="C15" s="4">
        <f>VALUE(SUBSTITUTE('1000_заявлений'!C9, ".", ","))</f>
        <v>0.35681979415174803</v>
      </c>
      <c r="D15" s="4">
        <f>VALUE(SUBSTITUTE('1000_заявлений'!D9, ".", ","))</f>
        <v>0.4632753</v>
      </c>
      <c r="E15" s="4">
        <f>VALUE(SUBSTITUTE('1000_заявлений'!E9, ".", ","))</f>
        <v>0.58348500000000003</v>
      </c>
      <c r="F15" s="5">
        <f>VALUE(SUBSTITUTE('1000_заявлений'!F9, ".", ","))</f>
        <v>-7970</v>
      </c>
      <c r="G15" s="5">
        <f>VALUE(SUBSTITUTE('1000_заявлений'!G9, ".", ","))</f>
        <v>-18719</v>
      </c>
      <c r="H15" s="5">
        <f>VALUE(SUBSTITUTE('1000_заявлений'!H9, ".", ","))</f>
        <v>-2278</v>
      </c>
      <c r="I15" s="4">
        <f>VALUE(SUBSTITUTE('1000_заявлений'!I9, ".", ","))</f>
        <v>0.1711</v>
      </c>
      <c r="J15" s="4">
        <f>VALUE(SUBSTITUTE('1000_заявлений'!J9, ".", ","))</f>
        <v>5.3730779051882998</v>
      </c>
      <c r="K15" s="5">
        <f>VALUE(SUBSTITUTE('1000_заявлений'!K9, ".", ","))</f>
        <v>-9768</v>
      </c>
      <c r="L15" s="6">
        <f>VALUE(SUBSTITUTE('1000_заявлений'!L9, ".", ","))</f>
        <v>15399</v>
      </c>
      <c r="M15" s="2" t="str">
        <f>IF(Данные[[#This Row],[proba]]&gt;$C$6, "отказ", "одобрение")</f>
        <v>отказ</v>
      </c>
      <c r="N15" s="7">
        <f>IF(Данные[[#This Row],[proba]]&lt;$D$2,$C$2,IF(Данные[[#This Row],[proba]]&lt;$D$3,$C$3,IF(Данные[[#This Row],[proba]]&gt;$C$6,0,$C$4)))</f>
        <v>0</v>
      </c>
      <c r="O15" s="2">
        <f>IF(Данные[[#This Row],[weighted_ext_score]]&gt;$O$1,MIN(Данные[[#This Row],[Базовая сумма]]*$O$2,$C$2),IF(Данные[[#This Row],[weighted_ext_score]]&lt;$O$3,Данные[[#This Row],[Базовая сумма]]*$O$4,N15))</f>
        <v>0</v>
      </c>
      <c r="P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" s="2">
        <f>ABS(Данные[[#This Row],[days_birth]])/365.2425</f>
        <v>51.250881263817874</v>
      </c>
      <c r="S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" s="2">
        <f>IF(Данные[[#This Row],[ interest_rate]]&gt;$T$1,Данные[[#This Row],[days_birth4]]*$T$2,Данные[[#This Row],[days_birth4]])</f>
        <v>0</v>
      </c>
      <c r="U15" s="2">
        <f>IF(Данные[[#This Row],[Проверка отказа]]="отказ",0,MAX(Данные[[#This Row],[interest_rate]],$C$1))</f>
        <v>0</v>
      </c>
      <c r="V15" s="2">
        <f>MROUND(Данные[[#This Row],[Минимум 20000]], 100)</f>
        <v>0</v>
      </c>
      <c r="X15" s="8">
        <v>67200</v>
      </c>
      <c r="Y15" s="9">
        <f>COUNTIF(Данные[Итоговая сумма], X15)</f>
        <v>1</v>
      </c>
      <c r="Z15" s="10">
        <f>AVERAGEIF(Данные[Итоговая сумма], X15, Данные[proba])</f>
        <v>0.28797514734271501</v>
      </c>
      <c r="AA15" s="8">
        <f>Y15*Z15</f>
        <v>0.28797514734271501</v>
      </c>
      <c r="AB15" s="8">
        <f>Y15-AA15</f>
        <v>0.71202485265728499</v>
      </c>
      <c r="AC15" s="8">
        <f>-X15*AA15*$Y$3</f>
        <v>-19351.929901430449</v>
      </c>
      <c r="AD15" s="8">
        <f>X15*AB15*$Y$4</f>
        <v>2392.4035049284776</v>
      </c>
      <c r="AE15" s="8">
        <f>AD15+AC15</f>
        <v>-16959.526396501969</v>
      </c>
      <c r="AF15" s="8"/>
      <c r="AG15" s="8"/>
      <c r="AH15"/>
      <c r="AI15"/>
    </row>
    <row r="16" spans="1:35" x14ac:dyDescent="0.25">
      <c r="A16" s="2">
        <f>'1000_заявлений'!A10</f>
        <v>8</v>
      </c>
      <c r="B16" s="4">
        <f>VALUE(SUBSTITUTE('1000_заявлений'!B10, ".", ","))</f>
        <v>0.197790216014675</v>
      </c>
      <c r="C16" s="4">
        <f>VALUE(SUBSTITUTE('1000_заявлений'!C10, ".", ","))</f>
        <v>0.49782097068076703</v>
      </c>
      <c r="D16" s="4">
        <f>VALUE(SUBSTITUTE('1000_заявлений'!D10, ".", ","))</f>
        <v>0.75172369999999999</v>
      </c>
      <c r="E16" s="4">
        <f>VALUE(SUBSTITUTE('1000_заявлений'!E10, ".", ","))</f>
        <v>0.69656119999999999</v>
      </c>
      <c r="F16" s="5">
        <f>VALUE(SUBSTITUTE('1000_заявлений'!F10, ".", ","))</f>
        <v>-2639</v>
      </c>
      <c r="G16" s="5">
        <f>VALUE(SUBSTITUTE('1000_заявлений'!G10, ".", ","))</f>
        <v>-14817</v>
      </c>
      <c r="H16" s="5">
        <f>VALUE(SUBSTITUTE('1000_заявлений'!H10, ".", ","))</f>
        <v>-4892</v>
      </c>
      <c r="I16" s="4">
        <f>VALUE(SUBSTITUTE('1000_заявлений'!I10, ".", ","))</f>
        <v>3.6546666666666602E-2</v>
      </c>
      <c r="J16" s="4">
        <f>VALUE(SUBSTITUTE('1000_заявлений'!J10, ".", ","))</f>
        <v>5.0418838446946799</v>
      </c>
      <c r="K16" s="5">
        <f>VALUE(SUBSTITUTE('1000_заявлений'!K10, ".", ","))</f>
        <v>-648</v>
      </c>
      <c r="L16" s="6">
        <f>VALUE(SUBSTITUTE('1000_заявлений'!L10, ".", ","))</f>
        <v>12334.5</v>
      </c>
      <c r="M16" s="2" t="str">
        <f>IF(Данные[[#This Row],[proba]]&gt;$C$6, "отказ", "одобрение")</f>
        <v>одобрение</v>
      </c>
      <c r="N16" s="7">
        <f>IF(Данные[[#This Row],[proba]]&lt;$D$2,$C$2,IF(Данные[[#This Row],[proba]]&lt;$D$3,$C$3,IF(Данные[[#This Row],[proba]]&gt;$C$6,0,$C$4)))</f>
        <v>300000</v>
      </c>
      <c r="O16" s="2">
        <f>IF(Данные[[#This Row],[weighted_ext_score]]&gt;$O$1,MIN(Данные[[#This Row],[Базовая сумма]]*$O$2,$C$2),IF(Данные[[#This Row],[weighted_ext_score]]&lt;$O$3,Данные[[#This Row],[Базовая сумма]]*$O$4,N16))</f>
        <v>300000</v>
      </c>
      <c r="P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16" s="2">
        <f>ABS(Данные[[#This Row],[days_birth]])/365.2425</f>
        <v>40.567568122548714</v>
      </c>
      <c r="S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16" s="2">
        <f>IF(Данные[[#This Row],[ interest_rate]]&gt;$T$1,Данные[[#This Row],[days_birth4]]*$T$2,Данные[[#This Row],[days_birth4]])</f>
        <v>251999.99999999997</v>
      </c>
      <c r="U16" s="2">
        <f>IF(Данные[[#This Row],[Проверка отказа]]="отказ",0,MAX(Данные[[#This Row],[interest_rate]],$C$1))</f>
        <v>251999.99999999997</v>
      </c>
      <c r="V16" s="2">
        <f>MROUND(Данные[[#This Row],[Минимум 20000]], 100)</f>
        <v>252000</v>
      </c>
      <c r="X16" s="8">
        <v>84000</v>
      </c>
      <c r="Y16" s="9">
        <f>COUNTIF(Данные[Итоговая сумма], X16)</f>
        <v>28</v>
      </c>
      <c r="Z16" s="10">
        <f>AVERAGEIF(Данные[Итоговая сумма], X16, Данные[proba])</f>
        <v>0.24763287399473563</v>
      </c>
      <c r="AA16" s="8">
        <f>Y16*Z16</f>
        <v>6.933720471852598</v>
      </c>
      <c r="AB16" s="8">
        <f>Y16-AA16</f>
        <v>21.066279528147401</v>
      </c>
      <c r="AC16" s="8">
        <f>-X16*AA16*$Y$3</f>
        <v>-582432.5196356182</v>
      </c>
      <c r="AD16" s="8">
        <f>X16*AB16*$Y$4</f>
        <v>88478.374018219096</v>
      </c>
      <c r="AE16" s="8">
        <f>AD16+AC16</f>
        <v>-493954.14561739913</v>
      </c>
      <c r="AF16" s="8"/>
      <c r="AG16" s="8"/>
      <c r="AH16"/>
      <c r="AI16"/>
    </row>
    <row r="17" spans="1:35" x14ac:dyDescent="0.25">
      <c r="A17" s="2">
        <f>'1000_заявлений'!A11</f>
        <v>9</v>
      </c>
      <c r="B17" s="4">
        <f>VALUE(SUBSTITUTE('1000_заявлений'!B11, ".", ","))</f>
        <v>0.429602179729975</v>
      </c>
      <c r="C17" s="4">
        <f>VALUE(SUBSTITUTE('1000_заявлений'!C11, ".", ","))</f>
        <v>0.35584774558993598</v>
      </c>
      <c r="D17" s="4">
        <f>VALUE(SUBSTITUTE('1000_заявлений'!D11, ".", ","))</f>
        <v>0.74630019999999997</v>
      </c>
      <c r="E17" s="4">
        <f>VALUE(SUBSTITUTE('1000_заявлений'!E11, ".", ","))</f>
        <v>0.26492830000000001</v>
      </c>
      <c r="F17" s="5">
        <f>VALUE(SUBSTITUTE('1000_заявлений'!F11, ".", ","))</f>
        <v>-4041</v>
      </c>
      <c r="G17" s="5">
        <f>VALUE(SUBSTITUTE('1000_заявлений'!G11, ".", ","))</f>
        <v>-19962</v>
      </c>
      <c r="H17" s="5">
        <f>VALUE(SUBSTITUTE('1000_заявлений'!H11, ".", ","))</f>
        <v>-3519</v>
      </c>
      <c r="I17" s="4">
        <f>VALUE(SUBSTITUTE('1000_заявлений'!I11, ".", ","))</f>
        <v>0.10825</v>
      </c>
      <c r="J17" s="4">
        <f>VALUE(SUBSTITUTE('1000_заявлений'!J11, ".", ","))</f>
        <v>0.964363418579816</v>
      </c>
      <c r="K17" s="5">
        <f>VALUE(SUBSTITUTE('1000_заявлений'!K11, ".", ","))</f>
        <v>-6395</v>
      </c>
      <c r="L17" s="6">
        <f>VALUE(SUBSTITUTE('1000_заявлений'!L11, ".", ","))</f>
        <v>9742.5</v>
      </c>
      <c r="M17" s="2" t="str">
        <f>IF(Данные[[#This Row],[proba]]&gt;$C$6, "отказ", "одобрение")</f>
        <v>отказ</v>
      </c>
      <c r="N17" s="7">
        <f>IF(Данные[[#This Row],[proba]]&lt;$D$2,$C$2,IF(Данные[[#This Row],[proba]]&lt;$D$3,$C$3,IF(Данные[[#This Row],[proba]]&gt;$C$6,0,$C$4)))</f>
        <v>0</v>
      </c>
      <c r="O17" s="2">
        <f>IF(Данные[[#This Row],[weighted_ext_score]]&gt;$O$1,MIN(Данные[[#This Row],[Базовая сумма]]*$O$2,$C$2),IF(Данные[[#This Row],[weighted_ext_score]]&lt;$O$3,Данные[[#This Row],[Базовая сумма]]*$O$4,N17))</f>
        <v>0</v>
      </c>
      <c r="P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" s="2">
        <f>ABS(Данные[[#This Row],[days_birth]])/365.2425</f>
        <v>54.654099673504589</v>
      </c>
      <c r="S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" s="2">
        <f>IF(Данные[[#This Row],[ interest_rate]]&gt;$T$1,Данные[[#This Row],[days_birth4]]*$T$2,Данные[[#This Row],[days_birth4]])</f>
        <v>0</v>
      </c>
      <c r="U17" s="2">
        <f>IF(Данные[[#This Row],[Проверка отказа]]="отказ",0,MAX(Данные[[#This Row],[interest_rate]],$C$1))</f>
        <v>0</v>
      </c>
      <c r="V17" s="2">
        <f>MROUND(Данные[[#This Row],[Минимум 20000]], 100)</f>
        <v>0</v>
      </c>
      <c r="X17" s="8">
        <v>144000</v>
      </c>
      <c r="Y17" s="9">
        <f>COUNTIF(Данные[Итоговая сумма], X17)</f>
        <v>44</v>
      </c>
      <c r="Z17" s="10">
        <f>AVERAGEIF(Данные[Итоговая сумма], X17, Данные[proba])</f>
        <v>0.25441000051970636</v>
      </c>
      <c r="AA17" s="8">
        <f>Y17*Z17</f>
        <v>11.19404002286708</v>
      </c>
      <c r="AB17" s="8">
        <f>Y17-AA17</f>
        <v>32.805959977132922</v>
      </c>
      <c r="AC17" s="8">
        <f>-X17*AA17*$Y$3</f>
        <v>-1611941.7632928595</v>
      </c>
      <c r="AD17" s="8">
        <f>X17*AB17*$Y$4</f>
        <v>236202.91183535705</v>
      </c>
      <c r="AE17" s="8">
        <f>AD17+AC17</f>
        <v>-1375738.8514575025</v>
      </c>
      <c r="AF17" s="8"/>
      <c r="AG17" s="8"/>
      <c r="AH17"/>
      <c r="AI17"/>
    </row>
    <row r="18" spans="1:35" x14ac:dyDescent="0.25">
      <c r="A18" s="2">
        <f>'1000_заявлений'!A12</f>
        <v>10</v>
      </c>
      <c r="B18" s="4">
        <f>VALUE(SUBSTITUTE('1000_заявлений'!B12, ".", ","))</f>
        <v>0.78244649510847897</v>
      </c>
      <c r="C18" s="4">
        <f>VALUE(SUBSTITUTE('1000_заявлений'!C12, ".", ","))</f>
        <v>0.35059184274755201</v>
      </c>
      <c r="D18" s="4">
        <f>VALUE(SUBSTITUTE('1000_заявлений'!D12, ".", ","))</f>
        <v>0.21396684999999999</v>
      </c>
      <c r="E18" s="4">
        <f>VALUE(SUBSTITUTE('1000_заявлений'!E12, ".", ","))</f>
        <v>0.25164637000000001</v>
      </c>
      <c r="F18" s="5">
        <f>VALUE(SUBSTITUTE('1000_заявлений'!F12, ".", ","))</f>
        <v>-1827</v>
      </c>
      <c r="G18" s="5">
        <f>VALUE(SUBSTITUTE('1000_заявлений'!G12, ".", ","))</f>
        <v>-14908</v>
      </c>
      <c r="H18" s="5">
        <f>VALUE(SUBSTITUTE('1000_заявлений'!H12, ".", ","))</f>
        <v>-1827</v>
      </c>
      <c r="I18" s="4">
        <f>VALUE(SUBSTITUTE('1000_заявлений'!I12, ".", ","))</f>
        <v>0.32666666666666599</v>
      </c>
      <c r="J18" s="4">
        <f>VALUE(SUBSTITUTE('1000_заявлений'!J12, ".", ","))</f>
        <v>3.66858907003098</v>
      </c>
      <c r="K18" s="5">
        <f>VALUE(SUBSTITUTE('1000_заявлений'!K12, ".", ","))</f>
        <v>-125</v>
      </c>
      <c r="L18" s="6">
        <f>VALUE(SUBSTITUTE('1000_заявлений'!L12, ".", ","))</f>
        <v>22050</v>
      </c>
      <c r="M18" s="2" t="str">
        <f>IF(Данные[[#This Row],[proba]]&gt;$C$6, "отказ", "одобрение")</f>
        <v>отказ</v>
      </c>
      <c r="N18" s="7">
        <f>IF(Данные[[#This Row],[proba]]&lt;$D$2,$C$2,IF(Данные[[#This Row],[proba]]&lt;$D$3,$C$3,IF(Данные[[#This Row],[proba]]&gt;$C$6,0,$C$4)))</f>
        <v>0</v>
      </c>
      <c r="O18" s="2">
        <f>IF(Данные[[#This Row],[weighted_ext_score]]&gt;$O$1,MIN(Данные[[#This Row],[Базовая сумма]]*$O$2,$C$2),IF(Данные[[#This Row],[weighted_ext_score]]&lt;$O$3,Данные[[#This Row],[Базовая сумма]]*$O$4,N18))</f>
        <v>0</v>
      </c>
      <c r="P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" s="2">
        <f>ABS(Данные[[#This Row],[days_birth]])/365.2425</f>
        <v>40.816717660184672</v>
      </c>
      <c r="S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" s="2">
        <f>IF(Данные[[#This Row],[ interest_rate]]&gt;$T$1,Данные[[#This Row],[days_birth4]]*$T$2,Данные[[#This Row],[days_birth4]])</f>
        <v>0</v>
      </c>
      <c r="U18" s="2">
        <f>IF(Данные[[#This Row],[Проверка отказа]]="отказ",0,MAX(Данные[[#This Row],[interest_rate]],$C$1))</f>
        <v>0</v>
      </c>
      <c r="V18" s="2">
        <f>MROUND(Данные[[#This Row],[Минимум 20000]], 100)</f>
        <v>0</v>
      </c>
      <c r="X18" s="8">
        <v>432000</v>
      </c>
      <c r="Y18" s="9">
        <f>COUNTIF(Данные[Итоговая сумма], X18)</f>
        <v>9</v>
      </c>
      <c r="Z18" s="10">
        <f>AVERAGEIF(Данные[Итоговая сумма], X18, Данные[proba])</f>
        <v>0.16869467180136966</v>
      </c>
      <c r="AA18" s="8">
        <f>Y18*Z18</f>
        <v>1.5182520462123268</v>
      </c>
      <c r="AB18" s="8">
        <f>Y18-AA18</f>
        <v>7.4817479537876732</v>
      </c>
      <c r="AC18" s="8">
        <f>-X18*AA18*$Y$3</f>
        <v>-655884.88396372518</v>
      </c>
      <c r="AD18" s="8">
        <f>X18*AB18*$Y$4</f>
        <v>161605.75580181376</v>
      </c>
      <c r="AE18" s="8">
        <f>AD18+AC18</f>
        <v>-494279.12816191139</v>
      </c>
      <c r="AF18" s="8"/>
      <c r="AG18" s="8"/>
      <c r="AH18"/>
      <c r="AI18"/>
    </row>
    <row r="19" spans="1:35" x14ac:dyDescent="0.25">
      <c r="A19" s="2">
        <f>'1000_заявлений'!A13</f>
        <v>11</v>
      </c>
      <c r="B19" s="4">
        <f>VALUE(SUBSTITUTE('1000_заявлений'!B13, ".", ","))</f>
        <v>0.68636460851403003</v>
      </c>
      <c r="C19" s="4">
        <f>VALUE(SUBSTITUTE('1000_заявлений'!C13, ".", ","))</f>
        <v>0.34437114662989798</v>
      </c>
      <c r="D19" s="4">
        <f>VALUE(SUBSTITUTE('1000_заявлений'!D13, ".", ","))</f>
        <v>0.30314636</v>
      </c>
      <c r="E19" s="4">
        <f>VALUE(SUBSTITUTE('1000_заявлений'!E13, ".", ","))</f>
        <v>0.41661963000000002</v>
      </c>
      <c r="F19" s="5">
        <f>VALUE(SUBSTITUTE('1000_заявлений'!F13, ".", ","))</f>
        <v>-3833</v>
      </c>
      <c r="G19" s="5">
        <f>VALUE(SUBSTITUTE('1000_заявлений'!G13, ".", ","))</f>
        <v>-9400</v>
      </c>
      <c r="H19" s="5">
        <f>VALUE(SUBSTITUTE('1000_заявлений'!H13, ".", ","))</f>
        <v>-1953</v>
      </c>
      <c r="I19" s="4">
        <f>VALUE(SUBSTITUTE('1000_заявлений'!I13, ".", ","))</f>
        <v>0.25902222222222199</v>
      </c>
      <c r="J19" s="4">
        <f>VALUE(SUBSTITUTE('1000_заявлений'!J13, ".", ","))</f>
        <v>2.72444723029425</v>
      </c>
      <c r="K19" s="5">
        <f>VALUE(SUBSTITUTE('1000_заявлений'!K13, ".", ","))</f>
        <v>-536</v>
      </c>
      <c r="L19" s="6">
        <f>VALUE(SUBSTITUTE('1000_заявлений'!L13, ".", ","))</f>
        <v>52452</v>
      </c>
      <c r="M19" s="2" t="str">
        <f>IF(Данные[[#This Row],[proba]]&gt;$C$6, "отказ", "одобрение")</f>
        <v>отказ</v>
      </c>
      <c r="N19" s="7">
        <f>IF(Данные[[#This Row],[proba]]&lt;$D$2,$C$2,IF(Данные[[#This Row],[proba]]&lt;$D$3,$C$3,IF(Данные[[#This Row],[proba]]&gt;$C$6,0,$C$4)))</f>
        <v>0</v>
      </c>
      <c r="O19" s="2">
        <f>IF(Данные[[#This Row],[weighted_ext_score]]&gt;$O$1,MIN(Данные[[#This Row],[Базовая сумма]]*$O$2,$C$2),IF(Данные[[#This Row],[weighted_ext_score]]&lt;$O$3,Данные[[#This Row],[Базовая сумма]]*$O$4,N19))</f>
        <v>0</v>
      </c>
      <c r="P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" s="2">
        <f>ABS(Данные[[#This Row],[days_birth]])/365.2425</f>
        <v>25.73632586569197</v>
      </c>
      <c r="S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" s="2">
        <f>IF(Данные[[#This Row],[ interest_rate]]&gt;$T$1,Данные[[#This Row],[days_birth4]]*$T$2,Данные[[#This Row],[days_birth4]])</f>
        <v>0</v>
      </c>
      <c r="U19" s="2">
        <f>IF(Данные[[#This Row],[Проверка отказа]]="отказ",0,MAX(Данные[[#This Row],[interest_rate]],$C$1))</f>
        <v>0</v>
      </c>
      <c r="V19" s="2">
        <f>MROUND(Данные[[#This Row],[Минимум 20000]], 100)</f>
        <v>0</v>
      </c>
      <c r="X19" s="8">
        <v>453600</v>
      </c>
      <c r="Y19" s="9">
        <f>COUNTIF(Данные[Итоговая сумма], X19)</f>
        <v>7</v>
      </c>
      <c r="Z19" s="10">
        <f>AVERAGEIF(Данные[Итоговая сумма], X19, Данные[proba])</f>
        <v>0.15381902084378657</v>
      </c>
      <c r="AA19" s="8">
        <f>Y19*Z19</f>
        <v>1.0767331459065059</v>
      </c>
      <c r="AB19" s="8">
        <f>Y19-AA19</f>
        <v>5.9232668540934945</v>
      </c>
      <c r="AC19" s="8">
        <f>-X19*AA19*$Y$3</f>
        <v>-488406.15498319111</v>
      </c>
      <c r="AD19" s="8">
        <f>X19*AB19*$Y$4</f>
        <v>134339.69225084045</v>
      </c>
      <c r="AE19" s="8">
        <f>AD19+AC19</f>
        <v>-354066.46273235069</v>
      </c>
      <c r="AF19" s="8"/>
      <c r="AG19" s="8"/>
      <c r="AH19"/>
      <c r="AI19"/>
    </row>
    <row r="20" spans="1:35" x14ac:dyDescent="0.25">
      <c r="A20" s="2">
        <f>'1000_заявлений'!A14</f>
        <v>12</v>
      </c>
      <c r="B20" s="4">
        <f>VALUE(SUBSTITUTE('1000_заявлений'!B14, ".", ","))</f>
        <v>0.52599306211663999</v>
      </c>
      <c r="C20" s="4">
        <f>VALUE(SUBSTITUTE('1000_заявлений'!C14, ".", ","))</f>
        <v>0.47755893122757198</v>
      </c>
      <c r="D20" s="4">
        <f>VALUE(SUBSTITUTE('1000_заявлений'!D14, ".", ","))</f>
        <v>9.2617169999999999E-2</v>
      </c>
      <c r="E20" s="4">
        <f>VALUE(SUBSTITUTE('1000_заявлений'!E14, ".", ","))</f>
        <v>0.60332010000000003</v>
      </c>
      <c r="F20" s="5">
        <f>VALUE(SUBSTITUTE('1000_заявлений'!F14, ".", ","))</f>
        <v>-2976</v>
      </c>
      <c r="G20" s="5">
        <f>VALUE(SUBSTITUTE('1000_заявлений'!G14, ".", ","))</f>
        <v>-22336</v>
      </c>
      <c r="H20" s="5">
        <f>VALUE(SUBSTITUTE('1000_заявлений'!H14, ".", ","))</f>
        <v>-992</v>
      </c>
      <c r="I20" s="4">
        <f>VALUE(SUBSTITUTE('1000_заявлений'!I14, ".", ","))</f>
        <v>0.195564102564102</v>
      </c>
      <c r="J20" s="4">
        <f>VALUE(SUBSTITUTE('1000_заявлений'!J14, ".", ","))</f>
        <v>0.79493433862676199</v>
      </c>
      <c r="K20" s="5">
        <f>VALUE(SUBSTITUTE('1000_заявлений'!K14, ".", ","))</f>
        <v>365243</v>
      </c>
      <c r="L20" s="6">
        <f>VALUE(SUBSTITUTE('1000_заявлений'!L14, ".", ","))</f>
        <v>68643</v>
      </c>
      <c r="M20" s="2" t="str">
        <f>IF(Данные[[#This Row],[proba]]&gt;$C$6, "отказ", "одобрение")</f>
        <v>отказ</v>
      </c>
      <c r="N20" s="7">
        <f>IF(Данные[[#This Row],[proba]]&lt;$D$2,$C$2,IF(Данные[[#This Row],[proba]]&lt;$D$3,$C$3,IF(Данные[[#This Row],[proba]]&gt;$C$6,0,$C$4)))</f>
        <v>0</v>
      </c>
      <c r="O20" s="2">
        <f>IF(Данные[[#This Row],[weighted_ext_score]]&gt;$O$1,MIN(Данные[[#This Row],[Базовая сумма]]*$O$2,$C$2),IF(Данные[[#This Row],[weighted_ext_score]]&lt;$O$3,Данные[[#This Row],[Базовая сумма]]*$O$4,N20))</f>
        <v>0</v>
      </c>
      <c r="P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" s="2">
        <f>ABS(Данные[[#This Row],[days_birth]])/365.2425</f>
        <v>61.153890908095306</v>
      </c>
      <c r="S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" s="2">
        <f>IF(Данные[[#This Row],[ interest_rate]]&gt;$T$1,Данные[[#This Row],[days_birth4]]*$T$2,Данные[[#This Row],[days_birth4]])</f>
        <v>0</v>
      </c>
      <c r="U20" s="2">
        <f>IF(Данные[[#This Row],[Проверка отказа]]="отказ",0,MAX(Данные[[#This Row],[interest_rate]],$C$1))</f>
        <v>0</v>
      </c>
      <c r="V20" s="2">
        <f>MROUND(Данные[[#This Row],[Минимум 20000]], 100)</f>
        <v>0</v>
      </c>
      <c r="X20" s="8">
        <v>151200</v>
      </c>
      <c r="Y20" s="9">
        <f>COUNTIF(Данные[Итоговая сумма], X20)</f>
        <v>14</v>
      </c>
      <c r="Z20" s="10">
        <f>AVERAGEIF(Данные[Итоговая сумма], X20, Данные[proba])</f>
        <v>0.25942857698889088</v>
      </c>
      <c r="AA20" s="8">
        <f>Y20*Z20</f>
        <v>3.6320000778444723</v>
      </c>
      <c r="AB20" s="8">
        <f>Y20-AA20</f>
        <v>10.367999922155528</v>
      </c>
      <c r="AC20" s="8">
        <f>-X20*AA20*$Y$3</f>
        <v>-549158.41177008417</v>
      </c>
      <c r="AD20" s="8">
        <f>X20*AB20*$Y$4</f>
        <v>78382.079411495797</v>
      </c>
      <c r="AE20" s="8">
        <f>AD20+AC20</f>
        <v>-470776.33235858835</v>
      </c>
      <c r="AF20" s="8"/>
      <c r="AG20" s="8"/>
      <c r="AH20"/>
      <c r="AI20"/>
    </row>
    <row r="21" spans="1:35" x14ac:dyDescent="0.25">
      <c r="A21" s="2">
        <f>'1000_заявлений'!A15</f>
        <v>13</v>
      </c>
      <c r="B21" s="4">
        <f>VALUE(SUBSTITUTE('1000_заявлений'!B15, ".", ","))</f>
        <v>0.63388199013108104</v>
      </c>
      <c r="C21" s="4">
        <f>VALUE(SUBSTITUTE('1000_заявлений'!C15, ".", ","))</f>
        <v>0.25553928874769</v>
      </c>
      <c r="D21" s="4">
        <f>VALUE(SUBSTITUTE('1000_заявлений'!D15, ".", ","))</f>
        <v>0.47584989999999999</v>
      </c>
      <c r="E21" s="4">
        <f>VALUE(SUBSTITUTE('1000_заявлений'!E15, ".", ","))</f>
        <v>0.25723392</v>
      </c>
      <c r="F21" s="5">
        <f>VALUE(SUBSTITUTE('1000_заявлений'!F15, ".", ","))</f>
        <v>-9548</v>
      </c>
      <c r="G21" s="5">
        <f>VALUE(SUBSTITUTE('1000_заявлений'!G15, ".", ","))</f>
        <v>-15828</v>
      </c>
      <c r="H21" s="5">
        <f>VALUE(SUBSTITUTE('1000_заявлений'!H15, ".", ","))</f>
        <v>-3502</v>
      </c>
      <c r="I21" s="4">
        <f>VALUE(SUBSTITUTE('1000_заявлений'!I15, ".", ","))</f>
        <v>0.23186000000000001</v>
      </c>
      <c r="J21" s="4">
        <f>VALUE(SUBSTITUTE('1000_заявлений'!J15, ".", ","))</f>
        <v>3.0093052346896698</v>
      </c>
      <c r="K21" s="5">
        <f>VALUE(SUBSTITUTE('1000_заявлений'!K15, ".", ","))</f>
        <v>-2758</v>
      </c>
      <c r="L21" s="6">
        <f>VALUE(SUBSTITUTE('1000_заявлений'!L15, ".", ","))</f>
        <v>52168.5</v>
      </c>
      <c r="M21" s="2" t="str">
        <f>IF(Данные[[#This Row],[proba]]&gt;$C$6, "отказ", "одобрение")</f>
        <v>отказ</v>
      </c>
      <c r="N21" s="7">
        <f>IF(Данные[[#This Row],[proba]]&lt;$D$2,$C$2,IF(Данные[[#This Row],[proba]]&lt;$D$3,$C$3,IF(Данные[[#This Row],[proba]]&gt;$C$6,0,$C$4)))</f>
        <v>0</v>
      </c>
      <c r="O21" s="2">
        <f>IF(Данные[[#This Row],[weighted_ext_score]]&gt;$O$1,MIN(Данные[[#This Row],[Базовая сумма]]*$O$2,$C$2),IF(Данные[[#This Row],[weighted_ext_score]]&lt;$O$3,Данные[[#This Row],[Базовая сумма]]*$O$4,N21))</f>
        <v>0</v>
      </c>
      <c r="P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" s="2">
        <f>ABS(Данные[[#This Row],[days_birth]])/365.2425</f>
        <v>43.335592106614101</v>
      </c>
      <c r="S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" s="2">
        <f>IF(Данные[[#This Row],[ interest_rate]]&gt;$T$1,Данные[[#This Row],[days_birth4]]*$T$2,Данные[[#This Row],[days_birth4]])</f>
        <v>0</v>
      </c>
      <c r="U21" s="2">
        <f>IF(Данные[[#This Row],[Проверка отказа]]="отказ",0,MAX(Данные[[#This Row],[interest_rate]],$C$1))</f>
        <v>0</v>
      </c>
      <c r="V21" s="2">
        <f>MROUND(Данные[[#This Row],[Минимум 20000]], 100)</f>
        <v>0</v>
      </c>
      <c r="X21" s="8">
        <v>120000</v>
      </c>
      <c r="Y21" s="9">
        <f>COUNTIF(Данные[Итоговая сумма], X21)</f>
        <v>21</v>
      </c>
      <c r="Z21" s="10">
        <f>AVERAGEIF(Данные[Итоговая сумма], X21, Данные[proba])</f>
        <v>0.2589903490687967</v>
      </c>
      <c r="AA21" s="8">
        <f>Y21*Z21</f>
        <v>5.4387973304447303</v>
      </c>
      <c r="AB21" s="8">
        <f>Y21-AA21</f>
        <v>15.56120266955527</v>
      </c>
      <c r="AC21" s="8">
        <f>-X21*AA21*$Y$3</f>
        <v>-652655.67965336761</v>
      </c>
      <c r="AD21" s="8">
        <f>X21*AB21*$Y$4</f>
        <v>93367.216017331622</v>
      </c>
      <c r="AE21" s="8">
        <f>AD21+AC21</f>
        <v>-559288.46363603603</v>
      </c>
      <c r="AF21" s="8"/>
      <c r="AG21" s="8"/>
      <c r="AH21"/>
      <c r="AI21"/>
    </row>
    <row r="22" spans="1:35" x14ac:dyDescent="0.25">
      <c r="A22" s="2">
        <f>'1000_заявлений'!A16</f>
        <v>14</v>
      </c>
      <c r="B22" s="4">
        <f>VALUE(SUBSTITUTE('1000_заявлений'!B16, ".", ","))</f>
        <v>0.63289217388833197</v>
      </c>
      <c r="C22" s="4">
        <f>VALUE(SUBSTITUTE('1000_заявлений'!C16, ".", ","))</f>
        <v>0.273942040557838</v>
      </c>
      <c r="D22" s="4">
        <f>VALUE(SUBSTITUTE('1000_заявлений'!D16, ".", ","))</f>
        <v>0.162442</v>
      </c>
      <c r="E22" s="4">
        <f>VALUE(SUBSTITUTE('1000_заявлений'!E16, ".", ","))</f>
        <v>0.66340226000000002</v>
      </c>
      <c r="F22" s="5">
        <f>VALUE(SUBSTITUTE('1000_заявлений'!F16, ".", ","))</f>
        <v>-2274</v>
      </c>
      <c r="G22" s="5">
        <f>VALUE(SUBSTITUTE('1000_заявлений'!G16, ".", ","))</f>
        <v>-16140</v>
      </c>
      <c r="H22" s="5">
        <f>VALUE(SUBSTITUTE('1000_заявлений'!H16, ".", ","))</f>
        <v>-2280</v>
      </c>
      <c r="I22" s="4">
        <f>VALUE(SUBSTITUTE('1000_заявлений'!I16, ".", ","))</f>
        <v>0.111884615384615</v>
      </c>
      <c r="J22" s="4">
        <f>VALUE(SUBSTITUTE('1000_заявлений'!J16, ".", ","))</f>
        <v>5.49870654250992</v>
      </c>
      <c r="K22" s="5">
        <f>VALUE(SUBSTITUTE('1000_заявлений'!K16, ".", ","))</f>
        <v>-372</v>
      </c>
      <c r="L22" s="6">
        <f>VALUE(SUBSTITUTE('1000_заявлений'!L16, ".", ","))</f>
        <v>13090.5</v>
      </c>
      <c r="M22" s="2" t="str">
        <f>IF(Данные[[#This Row],[proba]]&gt;$C$6, "отказ", "одобрение")</f>
        <v>отказ</v>
      </c>
      <c r="N22" s="7">
        <f>IF(Данные[[#This Row],[proba]]&lt;$D$2,$C$2,IF(Данные[[#This Row],[proba]]&lt;$D$3,$C$3,IF(Данные[[#This Row],[proba]]&gt;$C$6,0,$C$4)))</f>
        <v>0</v>
      </c>
      <c r="O22" s="2">
        <f>IF(Данные[[#This Row],[weighted_ext_score]]&gt;$O$1,MIN(Данные[[#This Row],[Базовая сумма]]*$O$2,$C$2),IF(Данные[[#This Row],[weighted_ext_score]]&lt;$O$3,Данные[[#This Row],[Базовая сумма]]*$O$4,N22))</f>
        <v>0</v>
      </c>
      <c r="P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" s="2">
        <f>ABS(Данные[[#This Row],[days_birth]])/365.2425</f>
        <v>44.189819092794515</v>
      </c>
      <c r="S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" s="2">
        <f>IF(Данные[[#This Row],[ interest_rate]]&gt;$T$1,Данные[[#This Row],[days_birth4]]*$T$2,Данные[[#This Row],[days_birth4]])</f>
        <v>0</v>
      </c>
      <c r="U22" s="2">
        <f>IF(Данные[[#This Row],[Проверка отказа]]="отказ",0,MAX(Данные[[#This Row],[interest_rate]],$C$1))</f>
        <v>0</v>
      </c>
      <c r="V22" s="2">
        <f>MROUND(Данные[[#This Row],[Минимум 20000]], 100)</f>
        <v>0</v>
      </c>
      <c r="X22" s="8">
        <v>100000</v>
      </c>
      <c r="Y22" s="9">
        <f>COUNTIF(Данные[Итоговая сумма], X22)</f>
        <v>4</v>
      </c>
      <c r="Z22" s="10">
        <f>AVERAGEIF(Данные[Итоговая сумма], X22, Данные[proba])</f>
        <v>0.270024570668015</v>
      </c>
      <c r="AA22" s="8">
        <f>Y22*Z22</f>
        <v>1.08009828267206</v>
      </c>
      <c r="AB22" s="8">
        <f>Y22-AA22</f>
        <v>2.91990171732794</v>
      </c>
      <c r="AC22" s="8">
        <f>-X22*AA22*$Y$3</f>
        <v>-108009.828267206</v>
      </c>
      <c r="AD22" s="8">
        <f>X22*AB22*$Y$4</f>
        <v>14599.508586639702</v>
      </c>
      <c r="AE22" s="8">
        <f>AD22+AC22</f>
        <v>-93410.319680566303</v>
      </c>
      <c r="AF22" s="8"/>
      <c r="AG22" s="8"/>
      <c r="AH22"/>
      <c r="AI22"/>
    </row>
    <row r="23" spans="1:35" x14ac:dyDescent="0.25">
      <c r="A23" s="2">
        <f>'1000_заявлений'!A17</f>
        <v>15</v>
      </c>
      <c r="B23" s="4">
        <f>VALUE(SUBSTITUTE('1000_заявлений'!B17, ".", ","))</f>
        <v>0.63277472331575102</v>
      </c>
      <c r="C23" s="4">
        <f>VALUE(SUBSTITUTE('1000_заявлений'!C17, ".", ","))</f>
        <v>0.277874408025372</v>
      </c>
      <c r="D23" s="4">
        <f>VALUE(SUBSTITUTE('1000_заявлений'!D17, ".", ","))</f>
        <v>0.51729654999999997</v>
      </c>
      <c r="E23" s="4">
        <f>VALUE(SUBSTITUTE('1000_заявлений'!E17, ".", ","))</f>
        <v>0.27987823000000001</v>
      </c>
      <c r="F23" s="5">
        <f>VALUE(SUBSTITUTE('1000_заявлений'!F17, ".", ","))</f>
        <v>-1609</v>
      </c>
      <c r="G23" s="5">
        <f>VALUE(SUBSTITUTE('1000_заявлений'!G17, ".", ","))</f>
        <v>-16802</v>
      </c>
      <c r="H23" s="5">
        <f>VALUE(SUBSTITUTE('1000_заявлений'!H17, ".", ","))</f>
        <v>-341</v>
      </c>
      <c r="I23" s="4">
        <f>VALUE(SUBSTITUTE('1000_заявлений'!I17, ".", ","))</f>
        <v>0.20205555555555499</v>
      </c>
      <c r="J23" s="4">
        <f>VALUE(SUBSTITUTE('1000_заявлений'!J17, ".", ","))</f>
        <v>5.7629084975567597</v>
      </c>
      <c r="K23" s="5">
        <f>VALUE(SUBSTITUTE('1000_заявлений'!K17, ".", ","))</f>
        <v>-1322</v>
      </c>
      <c r="L23" s="6">
        <f>VALUE(SUBSTITUTE('1000_заявлений'!L17, ".", ","))</f>
        <v>16366.5</v>
      </c>
      <c r="M23" s="2" t="str">
        <f>IF(Данные[[#This Row],[proba]]&gt;$C$6, "отказ", "одобрение")</f>
        <v>отказ</v>
      </c>
      <c r="N23" s="7">
        <f>IF(Данные[[#This Row],[proba]]&lt;$D$2,$C$2,IF(Данные[[#This Row],[proba]]&lt;$D$3,$C$3,IF(Данные[[#This Row],[proba]]&gt;$C$6,0,$C$4)))</f>
        <v>0</v>
      </c>
      <c r="O23" s="2">
        <f>IF(Данные[[#This Row],[weighted_ext_score]]&gt;$O$1,MIN(Данные[[#This Row],[Базовая сумма]]*$O$2,$C$2),IF(Данные[[#This Row],[weighted_ext_score]]&lt;$O$3,Данные[[#This Row],[Базовая сумма]]*$O$4,N23))</f>
        <v>0</v>
      </c>
      <c r="P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" s="2">
        <f>ABS(Данные[[#This Row],[days_birth]])/365.2425</f>
        <v>46.002313531420903</v>
      </c>
      <c r="S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" s="2">
        <f>IF(Данные[[#This Row],[ interest_rate]]&gt;$T$1,Данные[[#This Row],[days_birth4]]*$T$2,Данные[[#This Row],[days_birth4]])</f>
        <v>0</v>
      </c>
      <c r="U23" s="2">
        <f>IF(Данные[[#This Row],[Проверка отказа]]="отказ",0,MAX(Данные[[#This Row],[interest_rate]],$C$1))</f>
        <v>0</v>
      </c>
      <c r="V23" s="2">
        <f>MROUND(Данные[[#This Row],[Минимум 20000]], 100)</f>
        <v>0</v>
      </c>
      <c r="X23" s="8">
        <v>500000</v>
      </c>
      <c r="Y23" s="9">
        <f>COUNTIF(Данные[Итоговая сумма], X23)</f>
        <v>7</v>
      </c>
      <c r="Z23" s="10">
        <f>AVERAGEIF(Данные[Итоговая сумма], X23, Данные[proba])</f>
        <v>0.11719191860323341</v>
      </c>
      <c r="AA23" s="8">
        <f>Y23*Z23</f>
        <v>0.8203434302226339</v>
      </c>
      <c r="AB23" s="8">
        <f>Y23-AA23</f>
        <v>6.1796565697773662</v>
      </c>
      <c r="AC23" s="8">
        <f>-X23*AA23*$Y$3</f>
        <v>-410171.71511131694</v>
      </c>
      <c r="AD23" s="8">
        <f>X23*AB23*$Y$4</f>
        <v>154491.41424443416</v>
      </c>
      <c r="AE23" s="8">
        <f>AD23+AC23</f>
        <v>-255680.30086688278</v>
      </c>
      <c r="AF23" s="8"/>
      <c r="AG23" s="8"/>
      <c r="AH23"/>
      <c r="AI23"/>
    </row>
    <row r="24" spans="1:35" x14ac:dyDescent="0.25">
      <c r="A24" s="2">
        <f>'1000_заявлений'!A18</f>
        <v>16</v>
      </c>
      <c r="B24" s="4">
        <f>VALUE(SUBSTITUTE('1000_заявлений'!B18, ".", ","))</f>
        <v>0.14924627515960101</v>
      </c>
      <c r="C24" s="4">
        <f>VALUE(SUBSTITUTE('1000_заявлений'!C18, ".", ","))</f>
        <v>0.672121215189736</v>
      </c>
      <c r="D24" s="4">
        <f>VALUE(SUBSTITUTE('1000_заявлений'!D18, ".", ","))</f>
        <v>0.76623370000000002</v>
      </c>
      <c r="E24" s="4">
        <f>VALUE(SUBSTITUTE('1000_заявлений'!E18, ".", ","))</f>
        <v>0.58609736000000001</v>
      </c>
      <c r="F24" s="5">
        <f>VALUE(SUBSTITUTE('1000_заявлений'!F18, ".", ","))</f>
        <v>-13390</v>
      </c>
      <c r="G24" s="5">
        <f>VALUE(SUBSTITUTE('1000_заявлений'!G18, ".", ","))</f>
        <v>-21511</v>
      </c>
      <c r="H24" s="5">
        <f>VALUE(SUBSTITUTE('1000_заявлений'!H18, ".", ","))</f>
        <v>-4947</v>
      </c>
      <c r="I24" s="4">
        <f>VALUE(SUBSTITUTE('1000_заявлений'!I18, ".", ","))</f>
        <v>0.20077142857142799</v>
      </c>
      <c r="J24" s="4">
        <f>VALUE(SUBSTITUTE('1000_заявлений'!J18, ".", ","))</f>
        <v>5.9852653099627</v>
      </c>
      <c r="K24" s="5">
        <f>VALUE(SUBSTITUTE('1000_заявлений'!K18, ".", ","))</f>
        <v>-14318</v>
      </c>
      <c r="L24" s="6">
        <f>VALUE(SUBSTITUTE('1000_заявлений'!L18, ".", ","))</f>
        <v>31621.5</v>
      </c>
      <c r="M24" s="2" t="str">
        <f>IF(Данные[[#This Row],[proba]]&gt;$C$6, "отказ", "одобрение")</f>
        <v>одобрение</v>
      </c>
      <c r="N24" s="7">
        <f>IF(Данные[[#This Row],[proba]]&lt;$D$2,$C$2,IF(Данные[[#This Row],[proba]]&lt;$D$3,$C$3,IF(Данные[[#This Row],[proba]]&gt;$C$6,0,$C$4)))</f>
        <v>300000</v>
      </c>
      <c r="O24" s="2">
        <f>IF(Данные[[#This Row],[weighted_ext_score]]&gt;$O$1,MIN(Данные[[#This Row],[Базовая сумма]]*$O$2,$C$2),IF(Данные[[#This Row],[weighted_ext_score]]&lt;$O$3,Данные[[#This Row],[Базовая сумма]]*$O$4,N24))</f>
        <v>300000</v>
      </c>
      <c r="P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24" s="2">
        <f>ABS(Данные[[#This Row],[days_birth]])/365.2425</f>
        <v>58.895117627329789</v>
      </c>
      <c r="S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24" s="2">
        <f>IF(Данные[[#This Row],[ interest_rate]]&gt;$T$1,Данные[[#This Row],[days_birth4]]*$T$2,Данные[[#This Row],[days_birth4]])</f>
        <v>378000</v>
      </c>
      <c r="U24" s="2">
        <f>IF(Данные[[#This Row],[Проверка отказа]]="отказ",0,MAX(Данные[[#This Row],[interest_rate]],$C$1))</f>
        <v>378000</v>
      </c>
      <c r="V24" s="2">
        <f>MROUND(Данные[[#This Row],[Минимум 20000]], 100)</f>
        <v>378000</v>
      </c>
      <c r="X24" s="8">
        <v>88200</v>
      </c>
      <c r="Y24" s="9">
        <f>COUNTIF(Данные[Итоговая сумма], X24)</f>
        <v>7</v>
      </c>
      <c r="Z24" s="10">
        <f>AVERAGEIF(Данные[Итоговая сумма], X24, Данные[proba])</f>
        <v>0.26822489178945114</v>
      </c>
      <c r="AA24" s="8">
        <f>Y24*Z24</f>
        <v>1.8775742425261579</v>
      </c>
      <c r="AB24" s="8">
        <f>Y24-AA24</f>
        <v>5.1224257574738417</v>
      </c>
      <c r="AC24" s="8">
        <f>-X24*AA24*$Y$3</f>
        <v>-165602.04819080714</v>
      </c>
      <c r="AD24" s="8">
        <f>X24*AB24*$Y$4</f>
        <v>22589.897590459645</v>
      </c>
      <c r="AE24" s="8">
        <f>AD24+AC24</f>
        <v>-143012.15060034749</v>
      </c>
      <c r="AF24" s="8"/>
      <c r="AG24" s="8"/>
      <c r="AH24"/>
      <c r="AI24"/>
    </row>
    <row r="25" spans="1:35" x14ac:dyDescent="0.25">
      <c r="A25" s="2">
        <f>'1000_заявлений'!A19</f>
        <v>17</v>
      </c>
      <c r="B25" s="4">
        <f>VALUE(SUBSTITUTE('1000_заявлений'!B19, ".", ","))</f>
        <v>0.66516409605017701</v>
      </c>
      <c r="C25" s="4">
        <f>VALUE(SUBSTITUTE('1000_заявлений'!C19, ".", ","))</f>
        <v>0.26284073509171202</v>
      </c>
      <c r="D25" s="4">
        <f>VALUE(SUBSTITUTE('1000_заявлений'!D19, ".", ","))</f>
        <v>0.15100753</v>
      </c>
      <c r="E25" s="4">
        <f>VALUE(SUBSTITUTE('1000_заявлений'!E19, ".", ","))</f>
        <v>0.64192769999999999</v>
      </c>
      <c r="F25" s="5">
        <f>VALUE(SUBSTITUTE('1000_заявлений'!F19, ".", ","))</f>
        <v>-1029</v>
      </c>
      <c r="G25" s="5">
        <f>VALUE(SUBSTITUTE('1000_заявлений'!G19, ".", ","))</f>
        <v>-17129</v>
      </c>
      <c r="H25" s="5">
        <f>VALUE(SUBSTITUTE('1000_заявлений'!H19, ".", ","))</f>
        <v>-666</v>
      </c>
      <c r="I25" s="4">
        <f>VALUE(SUBSTITUTE('1000_заявлений'!I19, ".", ","))</f>
        <v>0.100134615384615</v>
      </c>
      <c r="J25" s="4">
        <f>VALUE(SUBSTITUTE('1000_заявлений'!J19, ".", ","))</f>
        <v>2.7622802353448099</v>
      </c>
      <c r="K25" s="5">
        <f>VALUE(SUBSTITUTE('1000_заявлений'!K19, ".", ","))</f>
        <v>-833</v>
      </c>
      <c r="L25" s="6">
        <f>VALUE(SUBSTITUTE('1000_заявлений'!L19, ".", ","))</f>
        <v>23431.5</v>
      </c>
      <c r="M25" s="2" t="str">
        <f>IF(Данные[[#This Row],[proba]]&gt;$C$6, "отказ", "одобрение")</f>
        <v>отказ</v>
      </c>
      <c r="N25" s="7">
        <f>IF(Данные[[#This Row],[proba]]&lt;$D$2,$C$2,IF(Данные[[#This Row],[proba]]&lt;$D$3,$C$3,IF(Данные[[#This Row],[proba]]&gt;$C$6,0,$C$4)))</f>
        <v>0</v>
      </c>
      <c r="O25" s="2">
        <f>IF(Данные[[#This Row],[weighted_ext_score]]&gt;$O$1,MIN(Данные[[#This Row],[Базовая сумма]]*$O$2,$C$2),IF(Данные[[#This Row],[weighted_ext_score]]&lt;$O$3,Данные[[#This Row],[Базовая сумма]]*$O$4,N25))</f>
        <v>0</v>
      </c>
      <c r="P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" s="2">
        <f>ABS(Данные[[#This Row],[days_birth]])/365.2425</f>
        <v>46.897609122706143</v>
      </c>
      <c r="S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" s="2">
        <f>IF(Данные[[#This Row],[ interest_rate]]&gt;$T$1,Данные[[#This Row],[days_birth4]]*$T$2,Данные[[#This Row],[days_birth4]])</f>
        <v>0</v>
      </c>
      <c r="U25" s="2">
        <f>IF(Данные[[#This Row],[Проверка отказа]]="отказ",0,MAX(Данные[[#This Row],[interest_rate]],$C$1))</f>
        <v>0</v>
      </c>
      <c r="V25" s="2">
        <f>MROUND(Данные[[#This Row],[Минимум 20000]], 100)</f>
        <v>0</v>
      </c>
      <c r="X25" s="8">
        <v>70000</v>
      </c>
      <c r="Y25" s="9">
        <f>COUNTIF(Данные[Итоговая сумма], X25)</f>
        <v>9</v>
      </c>
      <c r="Z25" s="10">
        <f>AVERAGEIF(Данные[Итоговая сумма], X25, Данные[proba])</f>
        <v>0.26192088110227868</v>
      </c>
      <c r="AA25" s="8">
        <f>Y25*Z25</f>
        <v>2.3572879299205081</v>
      </c>
      <c r="AB25" s="8">
        <f>Y25-AA25</f>
        <v>6.6427120700794919</v>
      </c>
      <c r="AC25" s="8">
        <f>-X25*AA25*$Y$3</f>
        <v>-165010.15509443555</v>
      </c>
      <c r="AD25" s="8">
        <f>X25*AB25*$Y$4</f>
        <v>23249.492245278223</v>
      </c>
      <c r="AE25" s="8">
        <f>AD25+AC25</f>
        <v>-141760.66284915732</v>
      </c>
      <c r="AF25" s="8"/>
      <c r="AG25" s="8"/>
      <c r="AH25"/>
      <c r="AI25"/>
    </row>
    <row r="26" spans="1:35" x14ac:dyDescent="0.25">
      <c r="A26" s="2">
        <f>'1000_заявлений'!A20</f>
        <v>18</v>
      </c>
      <c r="B26" s="4">
        <f>VALUE(SUBSTITUTE('1000_заявлений'!B20, ".", ","))</f>
        <v>0.14288943720146</v>
      </c>
      <c r="C26" s="4">
        <f>VALUE(SUBSTITUTE('1000_заявлений'!C20, ".", ","))</f>
        <v>0.437570763103592</v>
      </c>
      <c r="D26" s="4">
        <f>VALUE(SUBSTITUTE('1000_заявлений'!D20, ".", ","))</f>
        <v>0.6986675</v>
      </c>
      <c r="E26" s="4">
        <f>VALUE(SUBSTITUTE('1000_заявлений'!E20, ".", ","))</f>
        <v>0.56997509999999996</v>
      </c>
      <c r="F26" s="5">
        <f>VALUE(SUBSTITUTE('1000_заявлений'!F20, ".", ","))</f>
        <v>-3377</v>
      </c>
      <c r="G26" s="5">
        <f>VALUE(SUBSTITUTE('1000_заявлений'!G20, ".", ","))</f>
        <v>-21040</v>
      </c>
      <c r="H26" s="5">
        <f>VALUE(SUBSTITUTE('1000_заявлений'!H20, ".", ","))</f>
        <v>-4385</v>
      </c>
      <c r="I26" s="4">
        <f>VALUE(SUBSTITUTE('1000_заявлений'!I20, ".", ","))</f>
        <v>0.33333333333333298</v>
      </c>
      <c r="J26" s="4">
        <f>VALUE(SUBSTITUTE('1000_заявлений'!J20, ".", ","))</f>
        <v>21.314007495657702</v>
      </c>
      <c r="K26" s="5">
        <f>VALUE(SUBSTITUTE('1000_заявлений'!K20, ".", ","))</f>
        <v>-2228</v>
      </c>
      <c r="L26" s="6">
        <f>VALUE(SUBSTITUTE('1000_заявлений'!L20, ".", ","))</f>
        <v>225000</v>
      </c>
      <c r="M26" s="2" t="str">
        <f>IF(Данные[[#This Row],[proba]]&gt;$C$6, "отказ", "одобрение")</f>
        <v>одобрение</v>
      </c>
      <c r="N26" s="7">
        <f>IF(Данные[[#This Row],[proba]]&lt;$D$2,$C$2,IF(Данные[[#This Row],[proba]]&lt;$D$3,$C$3,IF(Данные[[#This Row],[proba]]&gt;$C$6,0,$C$4)))</f>
        <v>300000</v>
      </c>
      <c r="O26" s="2">
        <f>IF(Данные[[#This Row],[weighted_ext_score]]&gt;$O$1,MIN(Данные[[#This Row],[Базовая сумма]]*$O$2,$C$2),IF(Данные[[#This Row],[weighted_ext_score]]&lt;$O$3,Данные[[#This Row],[Базовая сумма]]*$O$4,N26))</f>
        <v>300000</v>
      </c>
      <c r="P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26" s="2">
        <f>ABS(Данные[[#This Row],[days_birth]])/365.2425</f>
        <v>57.605563427038199</v>
      </c>
      <c r="S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26" s="2">
        <f>IF(Данные[[#This Row],[ interest_rate]]&gt;$T$1,Данные[[#This Row],[days_birth4]]*$T$2,Данные[[#This Row],[days_birth4]])</f>
        <v>302400</v>
      </c>
      <c r="U26" s="2">
        <f>IF(Данные[[#This Row],[Проверка отказа]]="отказ",0,MAX(Данные[[#This Row],[interest_rate]],$C$1))</f>
        <v>302400</v>
      </c>
      <c r="V26" s="2">
        <f>MROUND(Данные[[#This Row],[Минимум 20000]], 100)</f>
        <v>302400</v>
      </c>
      <c r="X26" s="8">
        <v>105000</v>
      </c>
      <c r="Y26" s="9">
        <f>COUNTIF(Данные[Итоговая сумма], X26)</f>
        <v>24</v>
      </c>
      <c r="Z26" s="10">
        <f>AVERAGEIF(Данные[Итоговая сумма], X26, Данные[proba])</f>
        <v>0.25224581051073586</v>
      </c>
      <c r="AA26" s="8">
        <f>Y26*Z26</f>
        <v>6.0538994522576601</v>
      </c>
      <c r="AB26" s="8">
        <f>Y26-AA26</f>
        <v>17.94610054774234</v>
      </c>
      <c r="AC26" s="8">
        <f>-X26*AA26*$Y$3</f>
        <v>-635659.44248705427</v>
      </c>
      <c r="AD26" s="8">
        <f>X26*AB26*$Y$4</f>
        <v>94217.027875647298</v>
      </c>
      <c r="AE26" s="8">
        <f>AD26+AC26</f>
        <v>-541442.41461140697</v>
      </c>
      <c r="AF26" s="8"/>
      <c r="AG26" s="8"/>
      <c r="AH26"/>
      <c r="AI26"/>
    </row>
    <row r="27" spans="1:35" x14ac:dyDescent="0.25">
      <c r="A27" s="2">
        <f>'1000_заявлений'!A21</f>
        <v>19</v>
      </c>
      <c r="B27" s="4">
        <f>VALUE(SUBSTITUTE('1000_заявлений'!B21, ".", ","))</f>
        <v>0.66347419190739898</v>
      </c>
      <c r="C27" s="4">
        <f>VALUE(SUBSTITUTE('1000_заявлений'!C21, ".", ","))</f>
        <v>0.35780276178513498</v>
      </c>
      <c r="D27" s="4">
        <f>VALUE(SUBSTITUTE('1000_заявлений'!D21, ".", ","))</f>
        <v>0.32016337</v>
      </c>
      <c r="E27" s="4">
        <f>VALUE(SUBSTITUTE('1000_заявлений'!E21, ".", ","))</f>
        <v>0.49797912999999999</v>
      </c>
      <c r="F27" s="5">
        <f>VALUE(SUBSTITUTE('1000_заявлений'!F21, ".", ","))</f>
        <v>-698</v>
      </c>
      <c r="G27" s="5">
        <f>VALUE(SUBSTITUTE('1000_заявлений'!G21, ".", ","))</f>
        <v>-9907</v>
      </c>
      <c r="H27" s="5">
        <f>VALUE(SUBSTITUTE('1000_заявлений'!H21, ".", ","))</f>
        <v>-314</v>
      </c>
      <c r="I27" s="4">
        <f>VALUE(SUBSTITUTE('1000_заявлений'!I21, ".", ","))</f>
        <v>0.21603333333333299</v>
      </c>
      <c r="J27" s="4">
        <f>VALUE(SUBSTITUTE('1000_заявлений'!J21, ".", ","))</f>
        <v>2.6902382765873201</v>
      </c>
      <c r="K27" s="5">
        <f>VALUE(SUBSTITUTE('1000_заявлений'!K21, ".", ","))</f>
        <v>-1616</v>
      </c>
      <c r="L27" s="6">
        <f>VALUE(SUBSTITUTE('1000_заявлений'!L21, ".", ","))</f>
        <v>29164.5</v>
      </c>
      <c r="M27" s="2" t="str">
        <f>IF(Данные[[#This Row],[proba]]&gt;$C$6, "отказ", "одобрение")</f>
        <v>отказ</v>
      </c>
      <c r="N27" s="7">
        <f>IF(Данные[[#This Row],[proba]]&lt;$D$2,$C$2,IF(Данные[[#This Row],[proba]]&lt;$D$3,$C$3,IF(Данные[[#This Row],[proba]]&gt;$C$6,0,$C$4)))</f>
        <v>0</v>
      </c>
      <c r="O27" s="2">
        <f>IF(Данные[[#This Row],[weighted_ext_score]]&gt;$O$1,MIN(Данные[[#This Row],[Базовая сумма]]*$O$2,$C$2),IF(Данные[[#This Row],[weighted_ext_score]]&lt;$O$3,Данные[[#This Row],[Базовая сумма]]*$O$4,N27))</f>
        <v>0</v>
      </c>
      <c r="P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" s="2">
        <f>ABS(Данные[[#This Row],[days_birth]])/365.2425</f>
        <v>27.124444718235143</v>
      </c>
      <c r="S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" s="2">
        <f>IF(Данные[[#This Row],[ interest_rate]]&gt;$T$1,Данные[[#This Row],[days_birth4]]*$T$2,Данные[[#This Row],[days_birth4]])</f>
        <v>0</v>
      </c>
      <c r="U27" s="2">
        <f>IF(Данные[[#This Row],[Проверка отказа]]="отказ",0,MAX(Данные[[#This Row],[interest_rate]],$C$1))</f>
        <v>0</v>
      </c>
      <c r="V27" s="2">
        <f>MROUND(Данные[[#This Row],[Минимум 20000]], 100)</f>
        <v>0</v>
      </c>
      <c r="X27" s="8">
        <v>264600</v>
      </c>
      <c r="Y27" s="9">
        <f>COUNTIF(Данные[Итоговая сумма], X27)</f>
        <v>3</v>
      </c>
      <c r="Z27" s="10">
        <f>AVERAGEIF(Данные[Итоговая сумма], X27, Данные[proba])</f>
        <v>0.17885869365950469</v>
      </c>
      <c r="AA27" s="8">
        <f>Y27*Z27</f>
        <v>0.53657608097851406</v>
      </c>
      <c r="AB27" s="8">
        <f>Y27-AA27</f>
        <v>2.4634239190214862</v>
      </c>
      <c r="AC27" s="8">
        <f>-X27*AA27*$Y$3</f>
        <v>-141978.03102691483</v>
      </c>
      <c r="AD27" s="8">
        <f>X27*AB27*$Y$4</f>
        <v>32591.098448654266</v>
      </c>
      <c r="AE27" s="8">
        <f>AD27+AC27</f>
        <v>-109386.93257826057</v>
      </c>
      <c r="AF27" s="8"/>
      <c r="AG27" s="8"/>
      <c r="AH27"/>
      <c r="AI27"/>
    </row>
    <row r="28" spans="1:35" x14ac:dyDescent="0.25">
      <c r="A28" s="2">
        <f>'1000_заявлений'!A22</f>
        <v>20</v>
      </c>
      <c r="B28" s="4">
        <f>VALUE(SUBSTITUTE('1000_заявлений'!B22, ".", ","))</f>
        <v>0.28797514734271501</v>
      </c>
      <c r="C28" s="4">
        <f>VALUE(SUBSTITUTE('1000_заявлений'!C22, ".", ","))</f>
        <v>0.50385273532618202</v>
      </c>
      <c r="D28" s="4">
        <f>VALUE(SUBSTITUTE('1000_заявлений'!D22, ".", ","))</f>
        <v>0.66102355999999995</v>
      </c>
      <c r="E28" s="4">
        <f>VALUE(SUBSTITUTE('1000_заявлений'!E22, ".", ","))</f>
        <v>0.44874454000000003</v>
      </c>
      <c r="F28" s="5">
        <f>VALUE(SUBSTITUTE('1000_заявлений'!F22, ".", ","))</f>
        <v>-8675</v>
      </c>
      <c r="G28" s="5">
        <f>VALUE(SUBSTITUTE('1000_заявлений'!G22, ".", ","))</f>
        <v>-8706</v>
      </c>
      <c r="H28" s="5">
        <f>VALUE(SUBSTITUTE('1000_заявлений'!H22, ".", ","))</f>
        <v>-1398</v>
      </c>
      <c r="I28" s="4">
        <f>VALUE(SUBSTITUTE('1000_заявлений'!I22, ".", ","))</f>
        <v>5.9166666666666597E-2</v>
      </c>
      <c r="J28" s="4">
        <f>VALUE(SUBSTITUTE('1000_заявлений'!J22, ".", ","))</f>
        <v>22.045005956744699</v>
      </c>
      <c r="K28" s="5">
        <f>VALUE(SUBSTITUTE('1000_заявлений'!K22, ".", ","))</f>
        <v>-350</v>
      </c>
      <c r="L28" s="6">
        <f>VALUE(SUBSTITUTE('1000_заявлений'!L22, ".", ","))</f>
        <v>7987.5</v>
      </c>
      <c r="M28" s="2" t="str">
        <f>IF(Данные[[#This Row],[proba]]&gt;$C$6, "отказ", "одобрение")</f>
        <v>одобрение</v>
      </c>
      <c r="N28" s="7">
        <f>IF(Данные[[#This Row],[proba]]&lt;$D$2,$C$2,IF(Данные[[#This Row],[proba]]&lt;$D$3,$C$3,IF(Данные[[#This Row],[proba]]&gt;$C$6,0,$C$4)))</f>
        <v>100000</v>
      </c>
      <c r="O28" s="2">
        <f>IF(Данные[[#This Row],[weighted_ext_score]]&gt;$O$1,MIN(Данные[[#This Row],[Базовая сумма]]*$O$2,$C$2),IF(Данные[[#This Row],[weighted_ext_score]]&lt;$O$3,Данные[[#This Row],[Базовая сумма]]*$O$4,N28))</f>
        <v>100000</v>
      </c>
      <c r="P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8" s="2">
        <f>ABS(Данные[[#This Row],[days_birth]])/365.2425</f>
        <v>23.836218402841947</v>
      </c>
      <c r="S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28" s="2">
        <f>IF(Данные[[#This Row],[ interest_rate]]&gt;$T$1,Данные[[#This Row],[days_birth4]]*$T$2,Данные[[#This Row],[days_birth4]])</f>
        <v>67200</v>
      </c>
      <c r="U28" s="2">
        <f>IF(Данные[[#This Row],[Проверка отказа]]="отказ",0,MAX(Данные[[#This Row],[interest_rate]],$C$1))</f>
        <v>67200</v>
      </c>
      <c r="V28" s="2">
        <f>MROUND(Данные[[#This Row],[Минимум 20000]], 100)</f>
        <v>67200</v>
      </c>
      <c r="X28" s="8">
        <v>315000</v>
      </c>
      <c r="Y28" s="9">
        <f>COUNTIF(Данные[Итоговая сумма], X28)</f>
        <v>9</v>
      </c>
      <c r="Z28" s="10">
        <f>AVERAGEIF(Данные[Итоговая сумма], X28, Данные[proba])</f>
        <v>0.16585500407936701</v>
      </c>
      <c r="AA28" s="8">
        <f>Y28*Z28</f>
        <v>1.492695036714303</v>
      </c>
      <c r="AB28" s="8">
        <f>Y28-AA28</f>
        <v>7.507304963285697</v>
      </c>
      <c r="AC28" s="8">
        <f>-X28*AA28*$Y$3</f>
        <v>-470198.93656500545</v>
      </c>
      <c r="AD28" s="8">
        <f>X28*AB28*$Y$4</f>
        <v>118240.05317174972</v>
      </c>
      <c r="AE28" s="8">
        <f>AD28+AC28</f>
        <v>-351958.88339325576</v>
      </c>
      <c r="AF28" s="8"/>
      <c r="AG28" s="8"/>
      <c r="AH28"/>
      <c r="AI28"/>
    </row>
    <row r="29" spans="1:35" x14ac:dyDescent="0.25">
      <c r="A29" s="2">
        <f>'1000_заявлений'!A23</f>
        <v>21</v>
      </c>
      <c r="B29" s="4">
        <f>VALUE(SUBSTITUTE('1000_заявлений'!B23, ".", ","))</f>
        <v>0.27592197858476403</v>
      </c>
      <c r="C29" s="4">
        <f>VALUE(SUBSTITUTE('1000_заявлений'!C23, ".", ","))</f>
        <v>0.47435759604899302</v>
      </c>
      <c r="D29" s="4">
        <f>VALUE(SUBSTITUTE('1000_заявлений'!D23, ".", ","))</f>
        <v>0.65126019999999996</v>
      </c>
      <c r="E29" s="4">
        <f>VALUE(SUBSTITUTE('1000_заявлений'!E23, ".", ","))</f>
        <v>0.7362398</v>
      </c>
      <c r="F29" s="5">
        <f>VALUE(SUBSTITUTE('1000_заявлений'!F23, ".", ","))</f>
        <v>-255</v>
      </c>
      <c r="G29" s="5">
        <f>VALUE(SUBSTITUTE('1000_заявлений'!G23, ".", ","))</f>
        <v>-16020</v>
      </c>
      <c r="H29" s="5">
        <f>VALUE(SUBSTITUTE('1000_заявлений'!H23, ".", ","))</f>
        <v>-2225</v>
      </c>
      <c r="I29" s="4">
        <f>VALUE(SUBSTITUTE('1000_заявлений'!I23, ".", ","))</f>
        <v>0.15631111111111101</v>
      </c>
      <c r="J29" s="4">
        <f>VALUE(SUBSTITUTE('1000_заявлений'!J23, ".", ","))</f>
        <v>1.83324182632016</v>
      </c>
      <c r="K29" s="5">
        <f>VALUE(SUBSTITUTE('1000_заявлений'!K23, ".", ","))</f>
        <v>-1062</v>
      </c>
      <c r="L29" s="6">
        <f>VALUE(SUBSTITUTE('1000_заявлений'!L23, ".", ","))</f>
        <v>31653</v>
      </c>
      <c r="M29" s="2" t="str">
        <f>IF(Данные[[#This Row],[proba]]&gt;$C$6, "отказ", "одобрение")</f>
        <v>одобрение</v>
      </c>
      <c r="N29" s="7">
        <f>IF(Данные[[#This Row],[proba]]&lt;$D$2,$C$2,IF(Данные[[#This Row],[proba]]&lt;$D$3,$C$3,IF(Данные[[#This Row],[proba]]&gt;$C$6,0,$C$4)))</f>
        <v>100000</v>
      </c>
      <c r="O29" s="2">
        <f>IF(Данные[[#This Row],[weighted_ext_score]]&gt;$O$1,MIN(Данные[[#This Row],[Базовая сумма]]*$O$2,$C$2),IF(Данные[[#This Row],[weighted_ext_score]]&lt;$O$3,Данные[[#This Row],[Базовая сумма]]*$O$4,N29))</f>
        <v>100000</v>
      </c>
      <c r="P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29" s="2">
        <f>ABS(Данные[[#This Row],[days_birth]])/365.2425</f>
        <v>43.861270251955894</v>
      </c>
      <c r="S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29" s="2">
        <f>IF(Данные[[#This Row],[ interest_rate]]&gt;$T$1,Данные[[#This Row],[days_birth4]]*$T$2,Данные[[#This Row],[days_birth4]])</f>
        <v>84000</v>
      </c>
      <c r="U29" s="2">
        <f>IF(Данные[[#This Row],[Проверка отказа]]="отказ",0,MAX(Данные[[#This Row],[interest_rate]],$C$1))</f>
        <v>84000</v>
      </c>
      <c r="V29" s="2">
        <f>MROUND(Данные[[#This Row],[Минимум 20000]], 100)</f>
        <v>84000</v>
      </c>
      <c r="X29" s="8">
        <v>73500</v>
      </c>
      <c r="Y29" s="9">
        <f>COUNTIF(Данные[Итоговая сумма], X29)</f>
        <v>3</v>
      </c>
      <c r="Z29" s="10">
        <f>AVERAGEIF(Данные[Итоговая сумма], X29, Данные[proba])</f>
        <v>0.2307629087138873</v>
      </c>
      <c r="AA29" s="8">
        <f>Y29*Z29</f>
        <v>0.69228872614166193</v>
      </c>
      <c r="AB29" s="8">
        <f>Y29-AA29</f>
        <v>2.3077112738583381</v>
      </c>
      <c r="AC29" s="8">
        <f>-X29*AA29*$Y$3</f>
        <v>-50883.221371412154</v>
      </c>
      <c r="AD29" s="8">
        <f>X29*AB29*$Y$4</f>
        <v>8480.8389314293927</v>
      </c>
      <c r="AE29" s="8">
        <f>AD29+AC29</f>
        <v>-42402.382439982757</v>
      </c>
      <c r="AF29" s="8"/>
      <c r="AG29" s="8"/>
      <c r="AH29"/>
      <c r="AI29"/>
    </row>
    <row r="30" spans="1:35" x14ac:dyDescent="0.25">
      <c r="A30" s="2">
        <f>'1000_заявлений'!A24</f>
        <v>22</v>
      </c>
      <c r="B30" s="4">
        <f>VALUE(SUBSTITUTE('1000_заявлений'!B24, ".", ","))</f>
        <v>0.222356782064275</v>
      </c>
      <c r="C30" s="4">
        <f>VALUE(SUBSTITUTE('1000_заявлений'!C24, ".", ","))</f>
        <v>0.43359826999826201</v>
      </c>
      <c r="D30" s="4">
        <f>VALUE(SUBSTITUTE('1000_заявлений'!D24, ".", ","))</f>
        <v>0.50828700000000004</v>
      </c>
      <c r="E30" s="4">
        <f>VALUE(SUBSTITUTE('1000_заявлений'!E24, ".", ","))</f>
        <v>0.76999426000000004</v>
      </c>
      <c r="F30" s="5">
        <f>VALUE(SUBSTITUTE('1000_заявлений'!F24, ".", ","))</f>
        <v>-11653</v>
      </c>
      <c r="G30" s="5">
        <f>VALUE(SUBSTITUTE('1000_заявлений'!G24, ".", ","))</f>
        <v>-21284</v>
      </c>
      <c r="H30" s="5">
        <f>VALUE(SUBSTITUTE('1000_заявлений'!H24, ".", ","))</f>
        <v>-4302</v>
      </c>
      <c r="I30" s="4">
        <f>VALUE(SUBSTITUTE('1000_заявлений'!I24, ".", ","))</f>
        <v>0.17842222222222201</v>
      </c>
      <c r="J30" s="4">
        <f>VALUE(SUBSTITUTE('1000_заявлений'!J24, ".", ","))</f>
        <v>8.2687408516258998</v>
      </c>
      <c r="K30" s="5">
        <f>VALUE(SUBSTITUTE('1000_заявлений'!K24, ".", ","))</f>
        <v>365243</v>
      </c>
      <c r="L30" s="6">
        <f>VALUE(SUBSTITUTE('1000_заявлений'!L24, ".", ","))</f>
        <v>36130.5</v>
      </c>
      <c r="M30" s="2" t="str">
        <f>IF(Данные[[#This Row],[proba]]&gt;$C$6, "отказ", "одобрение")</f>
        <v>одобрение</v>
      </c>
      <c r="N30" s="7">
        <f>IF(Данные[[#This Row],[proba]]&lt;$D$2,$C$2,IF(Данные[[#This Row],[proba]]&lt;$D$3,$C$3,IF(Данные[[#This Row],[proba]]&gt;$C$6,0,$C$4)))</f>
        <v>100000</v>
      </c>
      <c r="O30" s="2">
        <f>IF(Данные[[#This Row],[weighted_ext_score]]&gt;$O$1,MIN(Данные[[#This Row],[Базовая сумма]]*$O$2,$C$2),IF(Данные[[#This Row],[weighted_ext_score]]&lt;$O$3,Данные[[#This Row],[Базовая сумма]]*$O$4,N30))</f>
        <v>100000</v>
      </c>
      <c r="P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0" s="2">
        <f>ABS(Данные[[#This Row],[days_birth]])/365.2425</f>
        <v>58.273612736743395</v>
      </c>
      <c r="S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0" s="2">
        <f>IF(Данные[[#This Row],[ interest_rate]]&gt;$T$1,Данные[[#This Row],[days_birth4]]*$T$2,Данные[[#This Row],[days_birth4]])</f>
        <v>126000</v>
      </c>
      <c r="U30" s="2">
        <f>IF(Данные[[#This Row],[Проверка отказа]]="отказ",0,MAX(Данные[[#This Row],[interest_rate]],$C$1))</f>
        <v>126000</v>
      </c>
      <c r="V30" s="2">
        <f>MROUND(Данные[[#This Row],[Минимум 20000]], 100)</f>
        <v>126000</v>
      </c>
      <c r="X30" s="8">
        <v>300000</v>
      </c>
      <c r="Y30" s="9">
        <f>COUNTIF(Данные[Итоговая сумма], X30)</f>
        <v>2</v>
      </c>
      <c r="Z30" s="10">
        <f>AVERAGEIF(Данные[Итоговая сумма], X30, Данные[proba])</f>
        <v>0.1672040166119565</v>
      </c>
      <c r="AA30" s="8">
        <f>Y30*Z30</f>
        <v>0.33440803322391299</v>
      </c>
      <c r="AB30" s="8">
        <f>Y30-AA30</f>
        <v>1.665591966776087</v>
      </c>
      <c r="AC30" s="8">
        <f>-X30*AA30*$Y$3</f>
        <v>-100322.40996717389</v>
      </c>
      <c r="AD30" s="8">
        <f>X30*AB30*$Y$4</f>
        <v>24983.879501641306</v>
      </c>
      <c r="AE30" s="8">
        <f>AD30+AC30</f>
        <v>-75338.530465532589</v>
      </c>
      <c r="AF30" s="8"/>
      <c r="AG30" s="8"/>
      <c r="AH30"/>
      <c r="AI30"/>
    </row>
    <row r="31" spans="1:35" x14ac:dyDescent="0.25">
      <c r="A31" s="2">
        <f>'1000_заявлений'!A25</f>
        <v>23</v>
      </c>
      <c r="B31" s="4">
        <f>VALUE(SUBSTITUTE('1000_заявлений'!B25, ".", ","))</f>
        <v>0.27877626963972202</v>
      </c>
      <c r="C31" s="4">
        <f>VALUE(SUBSTITUTE('1000_заявлений'!C25, ".", ","))</f>
        <v>0.38377972814398698</v>
      </c>
      <c r="D31" s="4">
        <f>VALUE(SUBSTITUTE('1000_заявлений'!D25, ".", ","))</f>
        <v>0.73522100000000001</v>
      </c>
      <c r="E31" s="4">
        <f>VALUE(SUBSTITUTE('1000_заявлений'!E25, ".", ","))</f>
        <v>0.36339076999999997</v>
      </c>
      <c r="F31" s="5">
        <f>VALUE(SUBSTITUTE('1000_заявлений'!F25, ".", ","))</f>
        <v>-6418</v>
      </c>
      <c r="G31" s="5">
        <f>VALUE(SUBSTITUTE('1000_заявлений'!G25, ".", ","))</f>
        <v>-22555</v>
      </c>
      <c r="H31" s="5">
        <f>VALUE(SUBSTITUTE('1000_заявлений'!H25, ".", ","))</f>
        <v>-4424</v>
      </c>
      <c r="I31" s="4">
        <f>VALUE(SUBSTITUTE('1000_заявлений'!I25, ".", ","))</f>
        <v>0.16666666666666599</v>
      </c>
      <c r="J31" s="4">
        <f>VALUE(SUBSTITUTE('1000_заявлений'!J25, ".", ","))</f>
        <v>10.6209759779781</v>
      </c>
      <c r="K31" s="5">
        <f>VALUE(SUBSTITUTE('1000_заявлений'!K25, ".", ","))</f>
        <v>365243</v>
      </c>
      <c r="L31" s="6">
        <f>VALUE(SUBSTITUTE('1000_заявлений'!L25, ".", ","))</f>
        <v>11250</v>
      </c>
      <c r="M31" s="2" t="str">
        <f>IF(Данные[[#This Row],[proba]]&gt;$C$6, "отказ", "одобрение")</f>
        <v>одобрение</v>
      </c>
      <c r="N31" s="7">
        <f>IF(Данные[[#This Row],[proba]]&lt;$D$2,$C$2,IF(Данные[[#This Row],[proba]]&lt;$D$3,$C$3,IF(Данные[[#This Row],[proba]]&gt;$C$6,0,$C$4)))</f>
        <v>100000</v>
      </c>
      <c r="O31" s="2">
        <f>IF(Данные[[#This Row],[weighted_ext_score]]&gt;$O$1,MIN(Данные[[#This Row],[Базовая сумма]]*$O$2,$C$2),IF(Данные[[#This Row],[weighted_ext_score]]&lt;$O$3,Данные[[#This Row],[Базовая сумма]]*$O$4,N31))</f>
        <v>100000</v>
      </c>
      <c r="P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1" s="2">
        <f>ABS(Данные[[#This Row],[days_birth]])/365.2425</f>
        <v>61.753492542625786</v>
      </c>
      <c r="S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1" s="2">
        <f>IF(Данные[[#This Row],[ interest_rate]]&gt;$T$1,Данные[[#This Row],[days_birth4]]*$T$2,Данные[[#This Row],[days_birth4]])</f>
        <v>126000</v>
      </c>
      <c r="U31" s="2">
        <f>IF(Данные[[#This Row],[Проверка отказа]]="отказ",0,MAX(Данные[[#This Row],[interest_rate]],$C$1))</f>
        <v>126000</v>
      </c>
      <c r="V31" s="2">
        <f>MROUND(Данные[[#This Row],[Минимум 20000]], 100)</f>
        <v>126000</v>
      </c>
      <c r="X31" s="8">
        <v>211700</v>
      </c>
      <c r="Y31" s="9">
        <f>COUNTIF(Данные[Итоговая сумма], X31)</f>
        <v>1</v>
      </c>
      <c r="Z31" s="10">
        <f>AVERAGEIF(Данные[Итоговая сумма], X31, Данные[proba])</f>
        <v>0.17843101496154201</v>
      </c>
      <c r="AA31" s="8">
        <f>Y31*Z31</f>
        <v>0.17843101496154201</v>
      </c>
      <c r="AB31" s="8">
        <f>Y31-AA31</f>
        <v>0.82156898503845799</v>
      </c>
      <c r="AC31" s="8">
        <f>-X31*AA31*$Y$3</f>
        <v>-37773.845867358446</v>
      </c>
      <c r="AD31" s="8">
        <f>X31*AB31*$Y$4</f>
        <v>8696.3077066320784</v>
      </c>
      <c r="AE31" s="8">
        <f>AD31+AC31</f>
        <v>-29077.53816072637</v>
      </c>
      <c r="AF31" s="8"/>
      <c r="AG31" s="8"/>
      <c r="AH31"/>
      <c r="AI31"/>
    </row>
    <row r="32" spans="1:35" x14ac:dyDescent="0.25">
      <c r="A32" s="2">
        <f>'1000_заявлений'!A26</f>
        <v>24</v>
      </c>
      <c r="B32" s="4">
        <f>VALUE(SUBSTITUTE('1000_заявлений'!B26, ".", ","))</f>
        <v>0.48622177320315002</v>
      </c>
      <c r="C32" s="4">
        <f>VALUE(SUBSTITUTE('1000_заявлений'!C26, ".", ","))</f>
        <v>0.42041621099359799</v>
      </c>
      <c r="D32" s="4">
        <f>VALUE(SUBSTITUTE('1000_заявлений'!D26, ".", ","))</f>
        <v>0.43828139999999999</v>
      </c>
      <c r="E32" s="4">
        <f>VALUE(SUBSTITUTE('1000_заявлений'!E26, ".", ","))</f>
        <v>0.63941570000000003</v>
      </c>
      <c r="F32" s="5">
        <f>VALUE(SUBSTITUTE('1000_заявлений'!F26, ".", ","))</f>
        <v>-2772</v>
      </c>
      <c r="G32" s="5">
        <f>VALUE(SUBSTITUTE('1000_заявлений'!G26, ".", ","))</f>
        <v>-9089</v>
      </c>
      <c r="H32" s="5">
        <f>VALUE(SUBSTITUTE('1000_заявлений'!H26, ".", ","))</f>
        <v>-1752</v>
      </c>
      <c r="I32" s="4">
        <f>VALUE(SUBSTITUTE('1000_заявлений'!I26, ".", ","))</f>
        <v>0.1726</v>
      </c>
      <c r="J32" s="4">
        <f>VALUE(SUBSTITUTE('1000_заявлений'!J26, ".", ","))</f>
        <v>4.5644705727533497</v>
      </c>
      <c r="K32" s="5">
        <f>VALUE(SUBSTITUTE('1000_заявлений'!K26, ".", ","))</f>
        <v>-519</v>
      </c>
      <c r="L32" s="6">
        <f>VALUE(SUBSTITUTE('1000_заявлений'!L26, ".", ","))</f>
        <v>19417.5</v>
      </c>
      <c r="M32" s="2" t="str">
        <f>IF(Данные[[#This Row],[proba]]&gt;$C$6, "отказ", "одобрение")</f>
        <v>отказ</v>
      </c>
      <c r="N32" s="7">
        <f>IF(Данные[[#This Row],[proba]]&lt;$D$2,$C$2,IF(Данные[[#This Row],[proba]]&lt;$D$3,$C$3,IF(Данные[[#This Row],[proba]]&gt;$C$6,0,$C$4)))</f>
        <v>0</v>
      </c>
      <c r="O32" s="2">
        <f>IF(Данные[[#This Row],[weighted_ext_score]]&gt;$O$1,MIN(Данные[[#This Row],[Базовая сумма]]*$O$2,$C$2),IF(Данные[[#This Row],[weighted_ext_score]]&lt;$O$3,Данные[[#This Row],[Базовая сумма]]*$O$4,N32))</f>
        <v>0</v>
      </c>
      <c r="P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" s="2">
        <f>ABS(Данные[[#This Row],[days_birth]])/365.2425</f>
        <v>24.884836786518544</v>
      </c>
      <c r="S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" s="2">
        <f>IF(Данные[[#This Row],[ interest_rate]]&gt;$T$1,Данные[[#This Row],[days_birth4]]*$T$2,Данные[[#This Row],[days_birth4]])</f>
        <v>0</v>
      </c>
      <c r="U32" s="2">
        <f>IF(Данные[[#This Row],[Проверка отказа]]="отказ",0,MAX(Данные[[#This Row],[interest_rate]],$C$1))</f>
        <v>0</v>
      </c>
      <c r="V32" s="2">
        <f>MROUND(Данные[[#This Row],[Минимум 20000]], 100)</f>
        <v>0</v>
      </c>
      <c r="X32" s="8">
        <v>100800</v>
      </c>
      <c r="Y32" s="9">
        <f>COUNTIF(Данные[Итоговая сумма], X32)</f>
        <v>1</v>
      </c>
      <c r="Z32" s="10">
        <f>AVERAGEIF(Данные[Итоговая сумма], X32, Данные[proba])</f>
        <v>0.25772972347865297</v>
      </c>
      <c r="AA32" s="8">
        <f>Y32*Z32</f>
        <v>0.25772972347865297</v>
      </c>
      <c r="AB32" s="8">
        <f>Y32-AA32</f>
        <v>0.74227027652134703</v>
      </c>
      <c r="AC32" s="8">
        <f>-X32*AA32*$Y$3</f>
        <v>-25979.15612664822</v>
      </c>
      <c r="AD32" s="8">
        <f>X32*AB32*$Y$4</f>
        <v>3741.0421936675893</v>
      </c>
      <c r="AE32" s="8">
        <f>AD32+AC32</f>
        <v>-22238.113932980632</v>
      </c>
      <c r="AF32" s="8"/>
      <c r="AG32" s="8"/>
      <c r="AH32"/>
      <c r="AI32"/>
    </row>
    <row r="33" spans="1:35" x14ac:dyDescent="0.25">
      <c r="A33" s="2">
        <f>'1000_заявлений'!A27</f>
        <v>25</v>
      </c>
      <c r="B33" s="4">
        <f>VALUE(SUBSTITUTE('1000_заявлений'!B27, ".", ","))</f>
        <v>0.31901987555164402</v>
      </c>
      <c r="C33" s="4">
        <f>VALUE(SUBSTITUTE('1000_заявлений'!C27, ".", ","))</f>
        <v>0.57534429645158602</v>
      </c>
      <c r="D33" s="4">
        <f>VALUE(SUBSTITUTE('1000_заявлений'!D27, ".", ","))</f>
        <v>0.70169579999999998</v>
      </c>
      <c r="E33" s="4">
        <f>VALUE(SUBSTITUTE('1000_заявлений'!E27, ".", ","))</f>
        <v>0.52536289999999997</v>
      </c>
      <c r="F33" s="5">
        <f>VALUE(SUBSTITUTE('1000_заявлений'!F27, ".", ","))</f>
        <v>-11870</v>
      </c>
      <c r="G33" s="5">
        <f>VALUE(SUBSTITUTE('1000_заявлений'!G27, ".", ","))</f>
        <v>-18715</v>
      </c>
      <c r="H33" s="5">
        <f>VALUE(SUBSTITUTE('1000_заявлений'!H27, ".", ","))</f>
        <v>-2043</v>
      </c>
      <c r="I33" s="4">
        <f>VALUE(SUBSTITUTE('1000_заявлений'!I27, ".", ","))</f>
        <v>0.41141666666666599</v>
      </c>
      <c r="J33" s="4">
        <f>VALUE(SUBSTITUTE('1000_заявлений'!J27, ".", ","))</f>
        <v>2.2012181192897202</v>
      </c>
      <c r="K33" s="5">
        <f>VALUE(SUBSTITUTE('1000_заявлений'!K27, ".", ","))</f>
        <v>-12117</v>
      </c>
      <c r="L33" s="6">
        <f>VALUE(SUBSTITUTE('1000_заявлений'!L27, ".", ","))</f>
        <v>22216.5</v>
      </c>
      <c r="M33" s="2" t="str">
        <f>IF(Данные[[#This Row],[proba]]&gt;$C$6, "отказ", "одобрение")</f>
        <v>отказ</v>
      </c>
      <c r="N33" s="7">
        <f>IF(Данные[[#This Row],[proba]]&lt;$D$2,$C$2,IF(Данные[[#This Row],[proba]]&lt;$D$3,$C$3,IF(Данные[[#This Row],[proba]]&gt;$C$6,0,$C$4)))</f>
        <v>0</v>
      </c>
      <c r="O33" s="2">
        <f>IF(Данные[[#This Row],[weighted_ext_score]]&gt;$O$1,MIN(Данные[[#This Row],[Базовая сумма]]*$O$2,$C$2),IF(Данные[[#This Row],[weighted_ext_score]]&lt;$O$3,Данные[[#This Row],[Базовая сумма]]*$O$4,N33))</f>
        <v>0</v>
      </c>
      <c r="P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" s="2">
        <f>ABS(Данные[[#This Row],[days_birth]])/365.2425</f>
        <v>51.23992963578992</v>
      </c>
      <c r="S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" s="2">
        <f>IF(Данные[[#This Row],[ interest_rate]]&gt;$T$1,Данные[[#This Row],[days_birth4]]*$T$2,Данные[[#This Row],[days_birth4]])</f>
        <v>0</v>
      </c>
      <c r="U33" s="2">
        <f>IF(Данные[[#This Row],[Проверка отказа]]="отказ",0,MAX(Данные[[#This Row],[interest_rate]],$C$1))</f>
        <v>0</v>
      </c>
      <c r="V33" s="2">
        <f>MROUND(Данные[[#This Row],[Минимум 20000]], 100)</f>
        <v>0</v>
      </c>
      <c r="X33" s="8">
        <v>121000</v>
      </c>
      <c r="Y33" s="9">
        <f>COUNTIF(Данные[Итоговая сумма], X33)</f>
        <v>1</v>
      </c>
      <c r="Z33" s="10">
        <f>AVERAGEIF(Данные[Итоговая сумма], X33, Данные[proba])</f>
        <v>0.22860174012784101</v>
      </c>
      <c r="AA33" s="8">
        <f>Y33*Z33</f>
        <v>0.22860174012784101</v>
      </c>
      <c r="AB33" s="8">
        <f>Y33-AA33</f>
        <v>0.77139825987215893</v>
      </c>
      <c r="AC33" s="8">
        <f>-X33*AA33*$Y$3</f>
        <v>-27660.810555468761</v>
      </c>
      <c r="AD33" s="8">
        <f>X33*AB33*$Y$4</f>
        <v>4666.959472226562</v>
      </c>
      <c r="AE33" s="8">
        <f>AD33+AC33</f>
        <v>-22993.8510832422</v>
      </c>
      <c r="AF33" s="8"/>
      <c r="AG33" s="8"/>
      <c r="AH33"/>
      <c r="AI33"/>
    </row>
    <row r="34" spans="1:35" x14ac:dyDescent="0.25">
      <c r="A34" s="2">
        <f>'1000_заявлений'!A28</f>
        <v>26</v>
      </c>
      <c r="B34" s="4">
        <f>VALUE(SUBSTITUTE('1000_заявлений'!B28, ".", ","))</f>
        <v>0.41938893832905499</v>
      </c>
      <c r="C34" s="4">
        <f>VALUE(SUBSTITUTE('1000_заявлений'!C28, ".", ","))</f>
        <v>0.50972747921539596</v>
      </c>
      <c r="D34" s="4">
        <f>VALUE(SUBSTITUTE('1000_заявлений'!D28, ".", ","))</f>
        <v>0.76880760000000004</v>
      </c>
      <c r="E34" s="4">
        <f>VALUE(SUBSTITUTE('1000_заявлений'!E28, ".", ","))</f>
        <v>0.20162590999999999</v>
      </c>
      <c r="F34" s="5">
        <f>VALUE(SUBSTITUTE('1000_заявлений'!F28, ".", ","))</f>
        <v>-2657</v>
      </c>
      <c r="G34" s="5">
        <f>VALUE(SUBSTITUTE('1000_заявлений'!G28, ".", ","))</f>
        <v>-16228</v>
      </c>
      <c r="H34" s="5">
        <f>VALUE(SUBSTITUTE('1000_заявлений'!H28, ".", ","))</f>
        <v>-2385</v>
      </c>
      <c r="I34" s="4">
        <f>VALUE(SUBSTITUTE('1000_заявлений'!I28, ".", ","))</f>
        <v>0.31926666666666598</v>
      </c>
      <c r="J34" s="4">
        <f>VALUE(SUBSTITUTE('1000_заявлений'!J28, ".", ","))</f>
        <v>4.08771228158224</v>
      </c>
      <c r="K34" s="5">
        <f>VALUE(SUBSTITUTE('1000_заявлений'!K28, ".", ","))</f>
        <v>-2127</v>
      </c>
      <c r="L34" s="6">
        <f>VALUE(SUBSTITUTE('1000_заявлений'!L28, ".", ","))</f>
        <v>43101</v>
      </c>
      <c r="M34" s="2" t="str">
        <f>IF(Данные[[#This Row],[proba]]&gt;$C$6, "отказ", "одобрение")</f>
        <v>отказ</v>
      </c>
      <c r="N34" s="7">
        <f>IF(Данные[[#This Row],[proba]]&lt;$D$2,$C$2,IF(Данные[[#This Row],[proba]]&lt;$D$3,$C$3,IF(Данные[[#This Row],[proba]]&gt;$C$6,0,$C$4)))</f>
        <v>0</v>
      </c>
      <c r="O34" s="2">
        <f>IF(Данные[[#This Row],[weighted_ext_score]]&gt;$O$1,MIN(Данные[[#This Row],[Базовая сумма]]*$O$2,$C$2),IF(Данные[[#This Row],[weighted_ext_score]]&lt;$O$3,Данные[[#This Row],[Базовая сумма]]*$O$4,N34))</f>
        <v>0</v>
      </c>
      <c r="P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" s="2">
        <f>ABS(Данные[[#This Row],[days_birth]])/365.2425</f>
        <v>44.430754909409501</v>
      </c>
      <c r="S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" s="2">
        <f>IF(Данные[[#This Row],[ interest_rate]]&gt;$T$1,Данные[[#This Row],[days_birth4]]*$T$2,Данные[[#This Row],[days_birth4]])</f>
        <v>0</v>
      </c>
      <c r="U34" s="2">
        <f>IF(Данные[[#This Row],[Проверка отказа]]="отказ",0,MAX(Данные[[#This Row],[interest_rate]],$C$1))</f>
        <v>0</v>
      </c>
      <c r="V34" s="2">
        <f>MROUND(Данные[[#This Row],[Минимум 20000]], 100)</f>
        <v>0</v>
      </c>
      <c r="X34" s="8">
        <v>70600</v>
      </c>
      <c r="Y34" s="9">
        <f>COUNTIF(Данные[Итоговая сумма], X34)</f>
        <v>1</v>
      </c>
      <c r="Z34" s="10">
        <f>AVERAGEIF(Данные[Итоговая сумма], X34, Данные[proba])</f>
        <v>0.226964647423365</v>
      </c>
      <c r="AA34" s="8">
        <f>Y34*Z34</f>
        <v>0.226964647423365</v>
      </c>
      <c r="AB34" s="8">
        <f>Y34-AA34</f>
        <v>0.77303535257663503</v>
      </c>
      <c r="AC34" s="8">
        <f>-X34*AA34*$Y$3</f>
        <v>-16023.704108089569</v>
      </c>
      <c r="AD34" s="8">
        <f>X34*AB34*$Y$4</f>
        <v>2728.814794595522</v>
      </c>
      <c r="AE34" s="8">
        <f>AD34+AC34</f>
        <v>-13294.889313494046</v>
      </c>
      <c r="AF34" s="8"/>
      <c r="AG34" s="8"/>
      <c r="AH34"/>
      <c r="AI34"/>
    </row>
    <row r="35" spans="1:35" x14ac:dyDescent="0.25">
      <c r="A35" s="2">
        <f>'1000_заявлений'!A29</f>
        <v>27</v>
      </c>
      <c r="B35" s="4">
        <f>VALUE(SUBSTITUTE('1000_заявлений'!B29, ".", ","))</f>
        <v>0.42744540852685498</v>
      </c>
      <c r="C35" s="4">
        <f>VALUE(SUBSTITUTE('1000_заявлений'!C29, ".", ","))</f>
        <v>0.36469848409401701</v>
      </c>
      <c r="D35" s="4">
        <f>VALUE(SUBSTITUTE('1000_заявлений'!D29, ".", ","))</f>
        <v>0.80045133999999996</v>
      </c>
      <c r="E35" s="4">
        <f>VALUE(SUBSTITUTE('1000_заявлений'!E29, ".", ","))</f>
        <v>0.23183756999999999</v>
      </c>
      <c r="F35" s="5">
        <f>VALUE(SUBSTITUTE('1000_заявлений'!F29, ".", ","))</f>
        <v>-2901</v>
      </c>
      <c r="G35" s="5">
        <f>VALUE(SUBSTITUTE('1000_заявлений'!G29, ".", ","))</f>
        <v>-17125</v>
      </c>
      <c r="H35" s="5">
        <f>VALUE(SUBSTITUTE('1000_заявлений'!H29, ".", ","))</f>
        <v>-686</v>
      </c>
      <c r="I35" s="4">
        <f>VALUE(SUBSTITUTE('1000_заявлений'!I29, ".", ","))</f>
        <v>8.7466666666666595E-2</v>
      </c>
      <c r="J35" s="4">
        <f>VALUE(SUBSTITUTE('1000_заявлений'!J29, ".", ","))</f>
        <v>1.8620842611752599</v>
      </c>
      <c r="K35" s="5">
        <f>VALUE(SUBSTITUTE('1000_заявлений'!K29, ".", ","))</f>
        <v>-1681</v>
      </c>
      <c r="L35" s="6">
        <f>VALUE(SUBSTITUTE('1000_заявлений'!L29, ".", ","))</f>
        <v>29520</v>
      </c>
      <c r="M35" s="2" t="str">
        <f>IF(Данные[[#This Row],[proba]]&gt;$C$6, "отказ", "одобрение")</f>
        <v>отказ</v>
      </c>
      <c r="N35" s="7">
        <f>IF(Данные[[#This Row],[proba]]&lt;$D$2,$C$2,IF(Данные[[#This Row],[proba]]&lt;$D$3,$C$3,IF(Данные[[#This Row],[proba]]&gt;$C$6,0,$C$4)))</f>
        <v>0</v>
      </c>
      <c r="O35" s="2">
        <f>IF(Данные[[#This Row],[weighted_ext_score]]&gt;$O$1,MIN(Данные[[#This Row],[Базовая сумма]]*$O$2,$C$2),IF(Данные[[#This Row],[weighted_ext_score]]&lt;$O$3,Данные[[#This Row],[Базовая сумма]]*$O$4,N35))</f>
        <v>0</v>
      </c>
      <c r="P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" s="2">
        <f>ABS(Данные[[#This Row],[days_birth]])/365.2425</f>
        <v>46.88665749467819</v>
      </c>
      <c r="S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" s="2">
        <f>IF(Данные[[#This Row],[ interest_rate]]&gt;$T$1,Данные[[#This Row],[days_birth4]]*$T$2,Данные[[#This Row],[days_birth4]])</f>
        <v>0</v>
      </c>
      <c r="U35" s="2">
        <f>IF(Данные[[#This Row],[Проверка отказа]]="отказ",0,MAX(Данные[[#This Row],[interest_rate]],$C$1))</f>
        <v>0</v>
      </c>
      <c r="V35" s="2">
        <f>MROUND(Данные[[#This Row],[Минимум 20000]], 100)</f>
        <v>0</v>
      </c>
    </row>
    <row r="36" spans="1:35" x14ac:dyDescent="0.25">
      <c r="A36" s="2">
        <f>'1000_заявлений'!A30</f>
        <v>28</v>
      </c>
      <c r="B36" s="4">
        <f>VALUE(SUBSTITUTE('1000_заявлений'!B30, ".", ","))</f>
        <v>0.69417861161627004</v>
      </c>
      <c r="C36" s="4">
        <f>VALUE(SUBSTITUTE('1000_заявлений'!C30, ".", ","))</f>
        <v>0.33722819709690999</v>
      </c>
      <c r="D36" s="4">
        <f>VALUE(SUBSTITUTE('1000_заявлений'!D30, ".", ","))</f>
        <v>0.24054141000000001</v>
      </c>
      <c r="E36" s="4">
        <f>VALUE(SUBSTITUTE('1000_заявлений'!E30, ".", ","))</f>
        <v>0.37269799999999997</v>
      </c>
      <c r="F36" s="5">
        <f>VALUE(SUBSTITUTE('1000_заявлений'!F30, ".", ","))</f>
        <v>-5263</v>
      </c>
      <c r="G36" s="5">
        <f>VALUE(SUBSTITUTE('1000_заявлений'!G30, ".", ","))</f>
        <v>-12471</v>
      </c>
      <c r="H36" s="5">
        <f>VALUE(SUBSTITUTE('1000_заявлений'!H30, ".", ","))</f>
        <v>-2988</v>
      </c>
      <c r="I36" s="4">
        <f>VALUE(SUBSTITUTE('1000_заявлений'!I30, ".", ","))</f>
        <v>0.17572499999999999</v>
      </c>
      <c r="J36" s="4">
        <f>VALUE(SUBSTITUTE('1000_заявлений'!J30, ".", ","))</f>
        <v>4.2466283018955204</v>
      </c>
      <c r="K36" s="5">
        <f>VALUE(SUBSTITUTE('1000_заявлений'!K30, ".", ","))</f>
        <v>-515</v>
      </c>
      <c r="L36" s="6">
        <f>VALUE(SUBSTITUTE('1000_заявлений'!L30, ".", ","))</f>
        <v>31630.5</v>
      </c>
      <c r="M36" s="2" t="str">
        <f>IF(Данные[[#This Row],[proba]]&gt;$C$6, "отказ", "одобрение")</f>
        <v>отказ</v>
      </c>
      <c r="N36" s="7">
        <f>IF(Данные[[#This Row],[proba]]&lt;$D$2,$C$2,IF(Данные[[#This Row],[proba]]&lt;$D$3,$C$3,IF(Данные[[#This Row],[proba]]&gt;$C$6,0,$C$4)))</f>
        <v>0</v>
      </c>
      <c r="O36" s="2">
        <f>IF(Данные[[#This Row],[weighted_ext_score]]&gt;$O$1,MIN(Данные[[#This Row],[Базовая сумма]]*$O$2,$C$2),IF(Данные[[#This Row],[weighted_ext_score]]&lt;$O$3,Данные[[#This Row],[Базовая сумма]]*$O$4,N36))</f>
        <v>0</v>
      </c>
      <c r="P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" s="2">
        <f>ABS(Данные[[#This Row],[days_birth]])/365.2425</f>
        <v>34.144438284153679</v>
      </c>
      <c r="S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" s="2">
        <f>IF(Данные[[#This Row],[ interest_rate]]&gt;$T$1,Данные[[#This Row],[days_birth4]]*$T$2,Данные[[#This Row],[days_birth4]])</f>
        <v>0</v>
      </c>
      <c r="U36" s="2">
        <f>IF(Данные[[#This Row],[Проверка отказа]]="отказ",0,MAX(Данные[[#This Row],[interest_rate]],$C$1))</f>
        <v>0</v>
      </c>
      <c r="V36" s="2">
        <f>MROUND(Данные[[#This Row],[Минимум 20000]], 100)</f>
        <v>0</v>
      </c>
    </row>
    <row r="37" spans="1:35" x14ac:dyDescent="0.25">
      <c r="A37" s="2">
        <f>'1000_заявлений'!A31</f>
        <v>29</v>
      </c>
      <c r="B37" s="4">
        <f>VALUE(SUBSTITUTE('1000_заявлений'!B31, ".", ","))</f>
        <v>0.49802235134607897</v>
      </c>
      <c r="C37" s="4">
        <f>VALUE(SUBSTITUTE('1000_заявлений'!C31, ".", ","))</f>
        <v>0.33048299607020398</v>
      </c>
      <c r="D37" s="4">
        <f>VALUE(SUBSTITUTE('1000_заявлений'!D31, ".", ","))</f>
        <v>0.24585122000000001</v>
      </c>
      <c r="E37" s="4">
        <f>VALUE(SUBSTITUTE('1000_заявлений'!E31, ".", ","))</f>
        <v>0.74471109999999996</v>
      </c>
      <c r="F37" s="5">
        <f>VALUE(SUBSTITUTE('1000_заявлений'!F31, ".", ","))</f>
        <v>-1903</v>
      </c>
      <c r="G37" s="5">
        <f>VALUE(SUBSTITUTE('1000_заявлений'!G31, ".", ","))</f>
        <v>-21717</v>
      </c>
      <c r="H37" s="5">
        <f>VALUE(SUBSTITUTE('1000_заявлений'!H31, ".", ","))</f>
        <v>-4150</v>
      </c>
      <c r="I37" s="4">
        <f>VALUE(SUBSTITUTE('1000_заявлений'!I31, ".", ","))</f>
        <v>0.129155555555555</v>
      </c>
      <c r="J37" s="4">
        <f>VALUE(SUBSTITUTE('1000_заявлений'!J31, ".", ","))</f>
        <v>0.65944728718305701</v>
      </c>
      <c r="K37" s="5">
        <f>VALUE(SUBSTITUTE('1000_заявлений'!K31, ".", ","))</f>
        <v>-876</v>
      </c>
      <c r="L37" s="6">
        <f>VALUE(SUBSTITUTE('1000_заявлений'!L31, ".", ","))</f>
        <v>26154</v>
      </c>
      <c r="M37" s="2" t="str">
        <f>IF(Данные[[#This Row],[proba]]&gt;$C$6, "отказ", "одобрение")</f>
        <v>отказ</v>
      </c>
      <c r="N37" s="7">
        <f>IF(Данные[[#This Row],[proba]]&lt;$D$2,$C$2,IF(Данные[[#This Row],[proba]]&lt;$D$3,$C$3,IF(Данные[[#This Row],[proba]]&gt;$C$6,0,$C$4)))</f>
        <v>0</v>
      </c>
      <c r="O37" s="2">
        <f>IF(Данные[[#This Row],[weighted_ext_score]]&gt;$O$1,MIN(Данные[[#This Row],[Базовая сумма]]*$O$2,$C$2),IF(Данные[[#This Row],[weighted_ext_score]]&lt;$O$3,Данные[[#This Row],[Базовая сумма]]*$O$4,N37))</f>
        <v>0</v>
      </c>
      <c r="P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" s="2">
        <f>ABS(Данные[[#This Row],[days_birth]])/365.2425</f>
        <v>59.459126470769419</v>
      </c>
      <c r="S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" s="2">
        <f>IF(Данные[[#This Row],[ interest_rate]]&gt;$T$1,Данные[[#This Row],[days_birth4]]*$T$2,Данные[[#This Row],[days_birth4]])</f>
        <v>0</v>
      </c>
      <c r="U37" s="2">
        <f>IF(Данные[[#This Row],[Проверка отказа]]="отказ",0,MAX(Данные[[#This Row],[interest_rate]],$C$1))</f>
        <v>0</v>
      </c>
      <c r="V37" s="2">
        <f>MROUND(Данные[[#This Row],[Минимум 20000]], 100)</f>
        <v>0</v>
      </c>
    </row>
    <row r="38" spans="1:35" x14ac:dyDescent="0.25">
      <c r="A38" s="2">
        <f>'1000_заявлений'!A32</f>
        <v>30</v>
      </c>
      <c r="B38" s="4">
        <f>VALUE(SUBSTITUTE('1000_заявлений'!B32, ".", ","))</f>
        <v>0.72471808824264605</v>
      </c>
      <c r="C38" s="4">
        <f>VALUE(SUBSTITUTE('1000_заявлений'!C32, ".", ","))</f>
        <v>0.181606909078696</v>
      </c>
      <c r="D38" s="4">
        <f>VALUE(SUBSTITUTE('1000_заявлений'!D32, ".", ","))</f>
        <v>0.35729327999999999</v>
      </c>
      <c r="E38" s="4">
        <f>VALUE(SUBSTITUTE('1000_заявлений'!E32, ".", ","))</f>
        <v>0.16149798000000001</v>
      </c>
      <c r="F38" s="5">
        <f>VALUE(SUBSTITUTE('1000_заявлений'!F32, ".", ","))</f>
        <v>-5472</v>
      </c>
      <c r="G38" s="5">
        <f>VALUE(SUBSTITUTE('1000_заявлений'!G32, ".", ","))</f>
        <v>-18034</v>
      </c>
      <c r="H38" s="5">
        <f>VALUE(SUBSTITUTE('1000_заявлений'!H32, ".", ","))</f>
        <v>-1574</v>
      </c>
      <c r="I38" s="4">
        <f>VALUE(SUBSTITUTE('1000_заявлений'!I32, ".", ","))</f>
        <v>2.3433734939759001E-2</v>
      </c>
      <c r="J38" s="4">
        <f>VALUE(SUBSTITUTE('1000_заявлений'!J32, ".", ","))</f>
        <v>7.3681583903027299</v>
      </c>
      <c r="K38" s="5">
        <f>VALUE(SUBSTITUTE('1000_заявлений'!K32, ".", ","))</f>
        <v>-4269</v>
      </c>
      <c r="L38" s="6">
        <f>VALUE(SUBSTITUTE('1000_заявлений'!L32, ".", ","))</f>
        <v>8752.5</v>
      </c>
      <c r="M38" s="2" t="str">
        <f>IF(Данные[[#This Row],[proba]]&gt;$C$6, "отказ", "одобрение")</f>
        <v>отказ</v>
      </c>
      <c r="N38" s="7">
        <f>IF(Данные[[#This Row],[proba]]&lt;$D$2,$C$2,IF(Данные[[#This Row],[proba]]&lt;$D$3,$C$3,IF(Данные[[#This Row],[proba]]&gt;$C$6,0,$C$4)))</f>
        <v>0</v>
      </c>
      <c r="O38" s="2">
        <f>IF(Данные[[#This Row],[weighted_ext_score]]&gt;$O$1,MIN(Данные[[#This Row],[Базовая сумма]]*$O$2,$C$2),IF(Данные[[#This Row],[weighted_ext_score]]&lt;$O$3,Данные[[#This Row],[Базовая сумма]]*$O$4,N38))</f>
        <v>0</v>
      </c>
      <c r="P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" s="2">
        <f>ABS(Данные[[#This Row],[days_birth]])/365.2425</f>
        <v>49.375414964030746</v>
      </c>
      <c r="S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" s="2">
        <f>IF(Данные[[#This Row],[ interest_rate]]&gt;$T$1,Данные[[#This Row],[days_birth4]]*$T$2,Данные[[#This Row],[days_birth4]])</f>
        <v>0</v>
      </c>
      <c r="U38" s="2">
        <f>IF(Данные[[#This Row],[Проверка отказа]]="отказ",0,MAX(Данные[[#This Row],[interest_rate]],$C$1))</f>
        <v>0</v>
      </c>
      <c r="V38" s="2">
        <f>MROUND(Данные[[#This Row],[Минимум 20000]], 100)</f>
        <v>0</v>
      </c>
    </row>
    <row r="39" spans="1:35" x14ac:dyDescent="0.25">
      <c r="A39" s="2">
        <f>'1000_заявлений'!A33</f>
        <v>31</v>
      </c>
      <c r="B39" s="4">
        <f>VALUE(SUBSTITUTE('1000_заявлений'!B33, ".", ","))</f>
        <v>0.52769829658754197</v>
      </c>
      <c r="C39" s="4">
        <f>VALUE(SUBSTITUTE('1000_заявлений'!C33, ".", ","))</f>
        <v>0.28545869082654102</v>
      </c>
      <c r="D39" s="4">
        <f>VALUE(SUBSTITUTE('1000_заявлений'!D33, ".", ","))</f>
        <v>0.55138129999999996</v>
      </c>
      <c r="E39" s="4">
        <f>VALUE(SUBSTITUTE('1000_заявлений'!E33, ".", ","))</f>
        <v>0.26525634999999997</v>
      </c>
      <c r="F39" s="5">
        <f>VALUE(SUBSTITUTE('1000_заявлений'!F33, ".", ","))</f>
        <v>-10927</v>
      </c>
      <c r="G39" s="5">
        <f>VALUE(SUBSTITUTE('1000_заявлений'!G33, ".", ","))</f>
        <v>-22048</v>
      </c>
      <c r="H39" s="5">
        <f>VALUE(SUBSTITUTE('1000_заявлений'!H33, ".", ","))</f>
        <v>-3997</v>
      </c>
      <c r="I39" s="4">
        <f>VALUE(SUBSTITUTE('1000_заявлений'!I33, ".", ","))</f>
        <v>0.29349999999999998</v>
      </c>
      <c r="J39" s="4">
        <f>VALUE(SUBSTITUTE('1000_заявлений'!J33, ".", ","))</f>
        <v>1.9305916734964901</v>
      </c>
      <c r="K39" s="5">
        <f>VALUE(SUBSTITUTE('1000_заявлений'!K33, ".", ","))</f>
        <v>365243</v>
      </c>
      <c r="L39" s="6">
        <f>VALUE(SUBSTITUTE('1000_заявлений'!L33, ".", ","))</f>
        <v>23773.5</v>
      </c>
      <c r="M39" s="2" t="str">
        <f>IF(Данные[[#This Row],[proba]]&gt;$C$6, "отказ", "одобрение")</f>
        <v>отказ</v>
      </c>
      <c r="N39" s="7">
        <f>IF(Данные[[#This Row],[proba]]&lt;$D$2,$C$2,IF(Данные[[#This Row],[proba]]&lt;$D$3,$C$3,IF(Данные[[#This Row],[proba]]&gt;$C$6,0,$C$4)))</f>
        <v>0</v>
      </c>
      <c r="O39" s="2">
        <f>IF(Данные[[#This Row],[weighted_ext_score]]&gt;$O$1,MIN(Данные[[#This Row],[Базовая сумма]]*$O$2,$C$2),IF(Данные[[#This Row],[weighted_ext_score]]&lt;$O$3,Данные[[#This Row],[Базовая сумма]]*$O$4,N39))</f>
        <v>0</v>
      </c>
      <c r="P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" s="2">
        <f>ABS(Данные[[#This Row],[days_birth]])/365.2425</f>
        <v>60.365373690082613</v>
      </c>
      <c r="S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" s="2">
        <f>IF(Данные[[#This Row],[ interest_rate]]&gt;$T$1,Данные[[#This Row],[days_birth4]]*$T$2,Данные[[#This Row],[days_birth4]])</f>
        <v>0</v>
      </c>
      <c r="U39" s="2">
        <f>IF(Данные[[#This Row],[Проверка отказа]]="отказ",0,MAX(Данные[[#This Row],[interest_rate]],$C$1))</f>
        <v>0</v>
      </c>
      <c r="V39" s="2">
        <f>MROUND(Данные[[#This Row],[Минимум 20000]], 100)</f>
        <v>0</v>
      </c>
    </row>
    <row r="40" spans="1:35" x14ac:dyDescent="0.25">
      <c r="A40" s="2">
        <f>'1000_заявлений'!A34</f>
        <v>32</v>
      </c>
      <c r="B40" s="4">
        <f>VALUE(SUBSTITUTE('1000_заявлений'!B34, ".", ","))</f>
        <v>0.41946951294648099</v>
      </c>
      <c r="C40" s="4">
        <f>VALUE(SUBSTITUTE('1000_заявлений'!C34, ".", ","))</f>
        <v>0.40136736655358302</v>
      </c>
      <c r="D40" s="4">
        <f>VALUE(SUBSTITUTE('1000_заявлений'!D34, ".", ","))</f>
        <v>0.70620510000000003</v>
      </c>
      <c r="E40" s="4">
        <f>VALUE(SUBSTITUTE('1000_заявлений'!E34, ".", ","))</f>
        <v>0.44996195999999999</v>
      </c>
      <c r="F40" s="5">
        <f>VALUE(SUBSTITUTE('1000_заявлений'!F34, ".", ","))</f>
        <v>-7239</v>
      </c>
      <c r="G40" s="5">
        <f>VALUE(SUBSTITUTE('1000_заявлений'!G34, ".", ","))</f>
        <v>-13259</v>
      </c>
      <c r="H40" s="5">
        <f>VALUE(SUBSTITUTE('1000_заявлений'!H34, ".", ","))</f>
        <v>-4117</v>
      </c>
      <c r="I40" s="4">
        <f>VALUE(SUBSTITUTE('1000_заявлений'!I34, ".", ","))</f>
        <v>0.34011999999999998</v>
      </c>
      <c r="J40" s="4">
        <f>VALUE(SUBSTITUTE('1000_заявлений'!J34, ".", ","))</f>
        <v>1.9599044997106601</v>
      </c>
      <c r="K40" s="5">
        <f>VALUE(SUBSTITUTE('1000_заявлений'!K34, ".", ","))</f>
        <v>-179</v>
      </c>
      <c r="L40" s="6">
        <f>VALUE(SUBSTITUTE('1000_заявлений'!L34, ".", ","))</f>
        <v>38263.5</v>
      </c>
      <c r="M40" s="2" t="str">
        <f>IF(Данные[[#This Row],[proba]]&gt;$C$6, "отказ", "одобрение")</f>
        <v>отказ</v>
      </c>
      <c r="N40" s="7">
        <f>IF(Данные[[#This Row],[proba]]&lt;$D$2,$C$2,IF(Данные[[#This Row],[proba]]&lt;$D$3,$C$3,IF(Данные[[#This Row],[proba]]&gt;$C$6,0,$C$4)))</f>
        <v>0</v>
      </c>
      <c r="O40" s="2">
        <f>IF(Данные[[#This Row],[weighted_ext_score]]&gt;$O$1,MIN(Данные[[#This Row],[Базовая сумма]]*$O$2,$C$2),IF(Данные[[#This Row],[weighted_ext_score]]&lt;$O$3,Данные[[#This Row],[Базовая сумма]]*$O$4,N40))</f>
        <v>0</v>
      </c>
      <c r="P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" s="2">
        <f>ABS(Данные[[#This Row],[days_birth]])/365.2425</f>
        <v>36.301909005660619</v>
      </c>
      <c r="S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" s="2">
        <f>IF(Данные[[#This Row],[ interest_rate]]&gt;$T$1,Данные[[#This Row],[days_birth4]]*$T$2,Данные[[#This Row],[days_birth4]])</f>
        <v>0</v>
      </c>
      <c r="U40" s="2">
        <f>IF(Данные[[#This Row],[Проверка отказа]]="отказ",0,MAX(Данные[[#This Row],[interest_rate]],$C$1))</f>
        <v>0</v>
      </c>
      <c r="V40" s="2">
        <f>MROUND(Данные[[#This Row],[Минимум 20000]], 100)</f>
        <v>0</v>
      </c>
    </row>
    <row r="41" spans="1:35" x14ac:dyDescent="0.25">
      <c r="A41" s="2">
        <f>'1000_заявлений'!A35</f>
        <v>33</v>
      </c>
      <c r="B41" s="4">
        <f>VALUE(SUBSTITUTE('1000_заявлений'!B35, ".", ","))</f>
        <v>0.51344705571024596</v>
      </c>
      <c r="C41" s="4">
        <f>VALUE(SUBSTITUTE('1000_заявлений'!C35, ".", ","))</f>
        <v>0.44097411850012003</v>
      </c>
      <c r="D41" s="4">
        <f>VALUE(SUBSTITUTE('1000_заявлений'!D35, ".", ","))</f>
        <v>0.49386287000000001</v>
      </c>
      <c r="E41" s="4">
        <f>VALUE(SUBSTITUTE('1000_заявлений'!E35, ".", ","))</f>
        <v>0.35322994000000002</v>
      </c>
      <c r="F41" s="5">
        <f>VALUE(SUBSTITUTE('1000_заявлений'!F35, ".", ","))</f>
        <v>-284</v>
      </c>
      <c r="G41" s="5">
        <f>VALUE(SUBSTITUTE('1000_заявлений'!G35, ".", ","))</f>
        <v>-15895</v>
      </c>
      <c r="H41" s="5">
        <f>VALUE(SUBSTITUTE('1000_заявлений'!H35, ".", ","))</f>
        <v>-4570</v>
      </c>
      <c r="I41" s="4">
        <f>VALUE(SUBSTITUTE('1000_заявлений'!I35, ".", ","))</f>
        <v>0.18887999999999999</v>
      </c>
      <c r="J41" s="4">
        <f>VALUE(SUBSTITUTE('1000_заявлений'!J35, ".", ","))</f>
        <v>0.14712370562837099</v>
      </c>
      <c r="K41" s="5">
        <f>VALUE(SUBSTITUTE('1000_заявлений'!K35, ".", ","))</f>
        <v>-733</v>
      </c>
      <c r="L41" s="6">
        <f>VALUE(SUBSTITUTE('1000_заявлений'!L35, ".", ","))</f>
        <v>42498</v>
      </c>
      <c r="M41" s="2" t="str">
        <f>IF(Данные[[#This Row],[proba]]&gt;$C$6, "отказ", "одобрение")</f>
        <v>отказ</v>
      </c>
      <c r="N41" s="7">
        <f>IF(Данные[[#This Row],[proba]]&lt;$D$2,$C$2,IF(Данные[[#This Row],[proba]]&lt;$D$3,$C$3,IF(Данные[[#This Row],[proba]]&gt;$C$6,0,$C$4)))</f>
        <v>0</v>
      </c>
      <c r="O41" s="2">
        <f>IF(Данные[[#This Row],[weighted_ext_score]]&gt;$O$1,MIN(Данные[[#This Row],[Базовая сумма]]*$O$2,$C$2),IF(Данные[[#This Row],[weighted_ext_score]]&lt;$O$3,Данные[[#This Row],[Базовая сумма]]*$O$4,N41))</f>
        <v>0</v>
      </c>
      <c r="P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" s="2">
        <f>ABS(Данные[[#This Row],[days_birth]])/365.2425</f>
        <v>43.51903187608233</v>
      </c>
      <c r="S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" s="2">
        <f>IF(Данные[[#This Row],[ interest_rate]]&gt;$T$1,Данные[[#This Row],[days_birth4]]*$T$2,Данные[[#This Row],[days_birth4]])</f>
        <v>0</v>
      </c>
      <c r="U41" s="2">
        <f>IF(Данные[[#This Row],[Проверка отказа]]="отказ",0,MAX(Данные[[#This Row],[interest_rate]],$C$1))</f>
        <v>0</v>
      </c>
      <c r="V41" s="2">
        <f>MROUND(Данные[[#This Row],[Минимум 20000]], 100)</f>
        <v>0</v>
      </c>
    </row>
    <row r="42" spans="1:35" x14ac:dyDescent="0.25">
      <c r="A42" s="2">
        <f>'1000_заявлений'!A36</f>
        <v>34</v>
      </c>
      <c r="B42" s="4">
        <f>VALUE(SUBSTITUTE('1000_заявлений'!B36, ".", ","))</f>
        <v>0.238446800302059</v>
      </c>
      <c r="C42" s="4">
        <f>VALUE(SUBSTITUTE('1000_заявлений'!C36, ".", ","))</f>
        <v>0.62909306728097603</v>
      </c>
      <c r="D42" s="4">
        <f>VALUE(SUBSTITUTE('1000_заявлений'!D36, ".", ","))</f>
        <v>0.55316469999999995</v>
      </c>
      <c r="E42" s="4">
        <f>VALUE(SUBSTITUTE('1000_заявлений'!E36, ".", ","))</f>
        <v>0.65336450000000001</v>
      </c>
      <c r="F42" s="5">
        <f>VALUE(SUBSTITUTE('1000_заявлений'!F36, ".", ","))</f>
        <v>-7532</v>
      </c>
      <c r="G42" s="5">
        <f>VALUE(SUBSTITUTE('1000_заявлений'!G36, ".", ","))</f>
        <v>-15913</v>
      </c>
      <c r="H42" s="5">
        <f>VALUE(SUBSTITUTE('1000_заявлений'!H36, ".", ","))</f>
        <v>-3950</v>
      </c>
      <c r="I42" s="4">
        <f>VALUE(SUBSTITUTE('1000_заявлений'!I36, ".", ","))</f>
        <v>0.17499999999999999</v>
      </c>
      <c r="J42" s="4">
        <f>VALUE(SUBSTITUTE('1000_заявлений'!J36, ".", ","))</f>
        <v>10.6209759779781</v>
      </c>
      <c r="K42" s="5">
        <f>VALUE(SUBSTITUTE('1000_заявлений'!K36, ".", ","))</f>
        <v>-3079</v>
      </c>
      <c r="L42" s="6">
        <f>VALUE(SUBSTITUTE('1000_заявлений'!L36, ".", ","))</f>
        <v>15750</v>
      </c>
      <c r="M42" s="2" t="str">
        <f>IF(Данные[[#This Row],[proba]]&gt;$C$6, "отказ", "одобрение")</f>
        <v>одобрение</v>
      </c>
      <c r="N42" s="7">
        <f>IF(Данные[[#This Row],[proba]]&lt;$D$2,$C$2,IF(Данные[[#This Row],[proba]]&lt;$D$3,$C$3,IF(Данные[[#This Row],[proba]]&gt;$C$6,0,$C$4)))</f>
        <v>100000</v>
      </c>
      <c r="O42" s="2">
        <f>IF(Данные[[#This Row],[weighted_ext_score]]&gt;$O$1,MIN(Данные[[#This Row],[Базовая сумма]]*$O$2,$C$2),IF(Данные[[#This Row],[weighted_ext_score]]&lt;$O$3,Данные[[#This Row],[Базовая сумма]]*$O$4,N42))</f>
        <v>100000</v>
      </c>
      <c r="P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2" s="2">
        <f>ABS(Данные[[#This Row],[days_birth]])/365.2425</f>
        <v>43.568314202208121</v>
      </c>
      <c r="S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2" s="2">
        <f>IF(Данные[[#This Row],[ interest_rate]]&gt;$T$1,Данные[[#This Row],[days_birth4]]*$T$2,Данные[[#This Row],[days_birth4]])</f>
        <v>144000</v>
      </c>
      <c r="U42" s="2">
        <f>IF(Данные[[#This Row],[Проверка отказа]]="отказ",0,MAX(Данные[[#This Row],[interest_rate]],$C$1))</f>
        <v>144000</v>
      </c>
      <c r="V42" s="2">
        <f>MROUND(Данные[[#This Row],[Минимум 20000]], 100)</f>
        <v>144000</v>
      </c>
    </row>
    <row r="43" spans="1:35" x14ac:dyDescent="0.25">
      <c r="A43" s="2">
        <f>'1000_заявлений'!A37</f>
        <v>35</v>
      </c>
      <c r="B43" s="4">
        <f>VALUE(SUBSTITUTE('1000_заявлений'!B37, ".", ","))</f>
        <v>0.68260264343578203</v>
      </c>
      <c r="C43" s="4">
        <f>VALUE(SUBSTITUTE('1000_заявлений'!C37, ".", ","))</f>
        <v>8.6937654251950103E-2</v>
      </c>
      <c r="D43" s="4">
        <f>VALUE(SUBSTITUTE('1000_заявлений'!D37, ".", ","))</f>
        <v>0.53527623000000002</v>
      </c>
      <c r="E43" s="4">
        <f>VALUE(SUBSTITUTE('1000_заявлений'!E37, ".", ","))</f>
        <v>0.26801434000000002</v>
      </c>
      <c r="F43" s="5">
        <f>VALUE(SUBSTITUTE('1000_заявлений'!F37, ".", ","))</f>
        <v>-2626</v>
      </c>
      <c r="G43" s="5">
        <f>VALUE(SUBSTITUTE('1000_заявлений'!G37, ".", ","))</f>
        <v>-15026</v>
      </c>
      <c r="H43" s="5">
        <f>VALUE(SUBSTITUTE('1000_заявлений'!H37, ".", ","))</f>
        <v>-4224</v>
      </c>
      <c r="I43" s="4">
        <f>VALUE(SUBSTITUTE('1000_заявлений'!I37, ".", ","))</f>
        <v>0.19800000000000001</v>
      </c>
      <c r="J43" s="4">
        <f>VALUE(SUBSTITUTE('1000_заявлений'!J37, ".", ","))</f>
        <v>6.1588020226530196</v>
      </c>
      <c r="K43" s="5">
        <f>VALUE(SUBSTITUTE('1000_заявлений'!K37, ".", ","))</f>
        <v>-2916</v>
      </c>
      <c r="L43" s="6">
        <f>VALUE(SUBSTITUTE('1000_заявлений'!L37, ".", ","))</f>
        <v>24948</v>
      </c>
      <c r="M43" s="2" t="str">
        <f>IF(Данные[[#This Row],[proba]]&gt;$C$6, "отказ", "одобрение")</f>
        <v>отказ</v>
      </c>
      <c r="N43" s="7">
        <f>IF(Данные[[#This Row],[proba]]&lt;$D$2,$C$2,IF(Данные[[#This Row],[proba]]&lt;$D$3,$C$3,IF(Данные[[#This Row],[proba]]&gt;$C$6,0,$C$4)))</f>
        <v>0</v>
      </c>
      <c r="O43" s="2">
        <f>IF(Данные[[#This Row],[weighted_ext_score]]&gt;$O$1,MIN(Данные[[#This Row],[Базовая сумма]]*$O$2,$C$2),IF(Данные[[#This Row],[weighted_ext_score]]&lt;$O$3,Данные[[#This Row],[Базовая сумма]]*$O$4,N43))</f>
        <v>0</v>
      </c>
      <c r="P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" s="2">
        <f>ABS(Данные[[#This Row],[days_birth]])/365.2425</f>
        <v>41.139790687009317</v>
      </c>
      <c r="S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" s="2">
        <f>IF(Данные[[#This Row],[ interest_rate]]&gt;$T$1,Данные[[#This Row],[days_birth4]]*$T$2,Данные[[#This Row],[days_birth4]])</f>
        <v>0</v>
      </c>
      <c r="U43" s="2">
        <f>IF(Данные[[#This Row],[Проверка отказа]]="отказ",0,MAX(Данные[[#This Row],[interest_rate]],$C$1))</f>
        <v>0</v>
      </c>
      <c r="V43" s="2">
        <f>MROUND(Данные[[#This Row],[Минимум 20000]], 100)</f>
        <v>0</v>
      </c>
    </row>
    <row r="44" spans="1:35" x14ac:dyDescent="0.25">
      <c r="A44" s="2">
        <f>'1000_заявлений'!A38</f>
        <v>36</v>
      </c>
      <c r="B44" s="4">
        <f>VALUE(SUBSTITUTE('1000_заявлений'!B38, ".", ","))</f>
        <v>0.15226356523996001</v>
      </c>
      <c r="C44" s="4">
        <f>VALUE(SUBSTITUTE('1000_заявлений'!C38, ".", ","))</f>
        <v>0.71961344962005502</v>
      </c>
      <c r="D44" s="4">
        <f>VALUE(SUBSTITUTE('1000_заявлений'!D38, ".", ","))</f>
        <v>0.78505199999999997</v>
      </c>
      <c r="E44" s="4">
        <f>VALUE(SUBSTITUTE('1000_заявлений'!E38, ".", ","))</f>
        <v>0.71330539999999998</v>
      </c>
      <c r="F44" s="5">
        <f>VALUE(SUBSTITUTE('1000_заявлений'!F38, ".", ","))</f>
        <v>-1281</v>
      </c>
      <c r="G44" s="5">
        <f>VALUE(SUBSTITUTE('1000_заявлений'!G38, ".", ","))</f>
        <v>-11540</v>
      </c>
      <c r="H44" s="5">
        <f>VALUE(SUBSTITUTE('1000_заявлений'!H38, ".", ","))</f>
        <v>-4208</v>
      </c>
      <c r="I44" s="4">
        <f>VALUE(SUBSTITUTE('1000_заявлений'!I38, ".", ","))</f>
        <v>0.15583333333333299</v>
      </c>
      <c r="J44" s="4">
        <f>VALUE(SUBSTITUTE('1000_заявлений'!J38, ".", ","))</f>
        <v>1.9251565171224401</v>
      </c>
      <c r="K44" s="5">
        <f>VALUE(SUBSTITUTE('1000_заявлений'!K38, ".", ","))</f>
        <v>-838</v>
      </c>
      <c r="L44" s="6">
        <f>VALUE(SUBSTITUTE('1000_заявлений'!L38, ".", ","))</f>
        <v>42075</v>
      </c>
      <c r="M44" s="2" t="str">
        <f>IF(Данные[[#This Row],[proba]]&gt;$C$6, "отказ", "одобрение")</f>
        <v>одобрение</v>
      </c>
      <c r="N44" s="7">
        <f>IF(Данные[[#This Row],[proba]]&lt;$D$2,$C$2,IF(Данные[[#This Row],[proba]]&lt;$D$3,$C$3,IF(Данные[[#This Row],[proba]]&gt;$C$6,0,$C$4)))</f>
        <v>300000</v>
      </c>
      <c r="O44" s="2">
        <f>IF(Данные[[#This Row],[weighted_ext_score]]&gt;$O$1,MIN(Данные[[#This Row],[Базовая сумма]]*$O$2,$C$2),IF(Данные[[#This Row],[weighted_ext_score]]&lt;$O$3,Данные[[#This Row],[Базовая сумма]]*$O$4,N44))</f>
        <v>360000</v>
      </c>
      <c r="P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302400</v>
      </c>
      <c r="R44" s="2">
        <f>ABS(Данные[[#This Row],[days_birth]])/365.2425</f>
        <v>31.595446860647378</v>
      </c>
      <c r="S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302400</v>
      </c>
      <c r="T44" s="2">
        <f>IF(Данные[[#This Row],[ interest_rate]]&gt;$T$1,Данные[[#This Row],[days_birth4]]*$T$2,Данные[[#This Row],[days_birth4]])</f>
        <v>302400</v>
      </c>
      <c r="U44" s="2">
        <f>IF(Данные[[#This Row],[Проверка отказа]]="отказ",0,MAX(Данные[[#This Row],[interest_rate]],$C$1))</f>
        <v>302400</v>
      </c>
      <c r="V44" s="2">
        <f>MROUND(Данные[[#This Row],[Минимум 20000]], 100)</f>
        <v>302400</v>
      </c>
    </row>
    <row r="45" spans="1:35" x14ac:dyDescent="0.25">
      <c r="A45" s="2">
        <f>'1000_заявлений'!A39</f>
        <v>37</v>
      </c>
      <c r="B45" s="4">
        <f>VALUE(SUBSTITUTE('1000_заявлений'!B39, ".", ","))</f>
        <v>0.52655124341276704</v>
      </c>
      <c r="C45" s="4">
        <f>VALUE(SUBSTITUTE('1000_заявлений'!C39, ".", ","))</f>
        <v>0.31741486170406102</v>
      </c>
      <c r="D45" s="4">
        <f>VALUE(SUBSTITUTE('1000_заявлений'!D39, ".", ","))</f>
        <v>0.62122630000000001</v>
      </c>
      <c r="E45" s="4">
        <f>VALUE(SUBSTITUTE('1000_заявлений'!E39, ".", ","))</f>
        <v>0.28589787999999999</v>
      </c>
      <c r="F45" s="5">
        <f>VALUE(SUBSTITUTE('1000_заявлений'!F39, ".", ","))</f>
        <v>-19</v>
      </c>
      <c r="G45" s="5">
        <f>VALUE(SUBSTITUTE('1000_заявлений'!G39, ".", ","))</f>
        <v>-19197</v>
      </c>
      <c r="H45" s="5">
        <f>VALUE(SUBSTITUTE('1000_заявлений'!H39, ".", ","))</f>
        <v>-2428</v>
      </c>
      <c r="I45" s="4">
        <f>VALUE(SUBSTITUTE('1000_заявлений'!I39, ".", ","))</f>
        <v>0.210433333333333</v>
      </c>
      <c r="J45" s="4">
        <f>VALUE(SUBSTITUTE('1000_заявлений'!J39, ".", ","))</f>
        <v>4.2924571703572196</v>
      </c>
      <c r="K45" s="5">
        <f>VALUE(SUBSTITUTE('1000_заявлений'!K39, ".", ","))</f>
        <v>-449</v>
      </c>
      <c r="L45" s="6">
        <f>VALUE(SUBSTITUTE('1000_заявлений'!L39, ".", ","))</f>
        <v>28408.5</v>
      </c>
      <c r="M45" s="2" t="str">
        <f>IF(Данные[[#This Row],[proba]]&gt;$C$6, "отказ", "одобрение")</f>
        <v>отказ</v>
      </c>
      <c r="N45" s="7">
        <f>IF(Данные[[#This Row],[proba]]&lt;$D$2,$C$2,IF(Данные[[#This Row],[proba]]&lt;$D$3,$C$3,IF(Данные[[#This Row],[proba]]&gt;$C$6,0,$C$4)))</f>
        <v>0</v>
      </c>
      <c r="O45" s="2">
        <f>IF(Данные[[#This Row],[weighted_ext_score]]&gt;$O$1,MIN(Данные[[#This Row],[Базовая сумма]]*$O$2,$C$2),IF(Данные[[#This Row],[weighted_ext_score]]&lt;$O$3,Данные[[#This Row],[Базовая сумма]]*$O$4,N45))</f>
        <v>0</v>
      </c>
      <c r="P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" s="2">
        <f>ABS(Данные[[#This Row],[days_birth]])/365.2425</f>
        <v>52.559600813158383</v>
      </c>
      <c r="S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" s="2">
        <f>IF(Данные[[#This Row],[ interest_rate]]&gt;$T$1,Данные[[#This Row],[days_birth4]]*$T$2,Данные[[#This Row],[days_birth4]])</f>
        <v>0</v>
      </c>
      <c r="U45" s="2">
        <f>IF(Данные[[#This Row],[Проверка отказа]]="отказ",0,MAX(Данные[[#This Row],[interest_rate]],$C$1))</f>
        <v>0</v>
      </c>
      <c r="V45" s="2">
        <f>MROUND(Данные[[#This Row],[Минимум 20000]], 100)</f>
        <v>0</v>
      </c>
    </row>
    <row r="46" spans="1:35" x14ac:dyDescent="0.25">
      <c r="A46" s="2">
        <f>'1000_заявлений'!A40</f>
        <v>38</v>
      </c>
      <c r="B46" s="4">
        <f>VALUE(SUBSTITUTE('1000_заявлений'!B40, ".", ","))</f>
        <v>0.16108107395879401</v>
      </c>
      <c r="C46" s="4">
        <f>VALUE(SUBSTITUTE('1000_заявлений'!C40, ".", ","))</f>
        <v>0.553344192991022</v>
      </c>
      <c r="D46" s="4">
        <f>VALUE(SUBSTITUTE('1000_заявлений'!D40, ".", ","))</f>
        <v>0.69714690000000001</v>
      </c>
      <c r="E46" s="4">
        <f>VALUE(SUBSTITUTE('1000_заявлений'!E40, ".", ","))</f>
        <v>0.70260453</v>
      </c>
      <c r="F46" s="5">
        <f>VALUE(SUBSTITUTE('1000_заявлений'!F40, ".", ","))</f>
        <v>-5895</v>
      </c>
      <c r="G46" s="5">
        <f>VALUE(SUBSTITUTE('1000_заявлений'!G40, ".", ","))</f>
        <v>-12330</v>
      </c>
      <c r="H46" s="5">
        <f>VALUE(SUBSTITUTE('1000_заявлений'!H40, ".", ","))</f>
        <v>-4627</v>
      </c>
      <c r="I46" s="4">
        <f>VALUE(SUBSTITUTE('1000_заявлений'!I40, ".", ","))</f>
        <v>8.3650000000000002E-2</v>
      </c>
      <c r="J46" s="4">
        <f>VALUE(SUBSTITUTE('1000_заявлений'!J40, ".", ","))</f>
        <v>19.2749646830889</v>
      </c>
      <c r="K46" s="5">
        <f>VALUE(SUBSTITUTE('1000_заявлений'!K40, ".", ","))</f>
        <v>-4770</v>
      </c>
      <c r="L46" s="6">
        <f>VALUE(SUBSTITUTE('1000_заявлений'!L40, ".", ","))</f>
        <v>22585.5</v>
      </c>
      <c r="M46" s="2" t="str">
        <f>IF(Данные[[#This Row],[proba]]&gt;$C$6, "отказ", "одобрение")</f>
        <v>одобрение</v>
      </c>
      <c r="N46" s="7">
        <f>IF(Данные[[#This Row],[proba]]&lt;$D$2,$C$2,IF(Данные[[#This Row],[proba]]&lt;$D$3,$C$3,IF(Данные[[#This Row],[proba]]&gt;$C$6,0,$C$4)))</f>
        <v>300000</v>
      </c>
      <c r="O46" s="2">
        <f>IF(Данные[[#This Row],[weighted_ext_score]]&gt;$O$1,MIN(Данные[[#This Row],[Базовая сумма]]*$O$2,$C$2),IF(Данные[[#This Row],[weighted_ext_score]]&lt;$O$3,Данные[[#This Row],[Базовая сумма]]*$O$4,N46))</f>
        <v>300000</v>
      </c>
      <c r="P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46" s="2">
        <f>ABS(Данные[[#This Row],[days_birth]])/365.2425</f>
        <v>33.758393396168302</v>
      </c>
      <c r="S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46" s="2">
        <f>IF(Данные[[#This Row],[ interest_rate]]&gt;$T$1,Данные[[#This Row],[days_birth4]]*$T$2,Данные[[#This Row],[days_birth4]])</f>
        <v>432000</v>
      </c>
      <c r="U46" s="2">
        <f>IF(Данные[[#This Row],[Проверка отказа]]="отказ",0,MAX(Данные[[#This Row],[interest_rate]],$C$1))</f>
        <v>432000</v>
      </c>
      <c r="V46" s="2">
        <f>MROUND(Данные[[#This Row],[Минимум 20000]], 100)</f>
        <v>432000</v>
      </c>
    </row>
    <row r="47" spans="1:35" x14ac:dyDescent="0.25">
      <c r="A47" s="2">
        <f>'1000_заявлений'!A41</f>
        <v>39</v>
      </c>
      <c r="B47" s="4">
        <f>VALUE(SUBSTITUTE('1000_заявлений'!B41, ".", ","))</f>
        <v>0.47204097157783997</v>
      </c>
      <c r="C47" s="4">
        <f>VALUE(SUBSTITUTE('1000_заявлений'!C41, ".", ","))</f>
        <v>0.34390494099156899</v>
      </c>
      <c r="D47" s="4">
        <f>VALUE(SUBSTITUTE('1000_заявлений'!D41, ".", ","))</f>
        <v>0.60583629999999999</v>
      </c>
      <c r="E47" s="4">
        <f>VALUE(SUBSTITUTE('1000_заявлений'!E41, ".", ","))</f>
        <v>0.38472155000000002</v>
      </c>
      <c r="F47" s="5">
        <f>VALUE(SUBSTITUTE('1000_заявлений'!F41, ".", ","))</f>
        <v>-5694</v>
      </c>
      <c r="G47" s="5">
        <f>VALUE(SUBSTITUTE('1000_заявлений'!G41, ".", ","))</f>
        <v>-13788</v>
      </c>
      <c r="H47" s="5">
        <f>VALUE(SUBSTITUTE('1000_заявлений'!H41, ".", ","))</f>
        <v>-4242</v>
      </c>
      <c r="I47" s="4">
        <f>VALUE(SUBSTITUTE('1000_заявлений'!I41, ".", ","))</f>
        <v>7.9090909090909003E-2</v>
      </c>
      <c r="J47" s="4">
        <f>VALUE(SUBSTITUTE('1000_заявлений'!J41, ".", ","))</f>
        <v>1.4868885179382501</v>
      </c>
      <c r="K47" s="5">
        <f>VALUE(SUBSTITUTE('1000_заявлений'!K41, ".", ","))</f>
        <v>-3822</v>
      </c>
      <c r="L47" s="6">
        <f>VALUE(SUBSTITUTE('1000_заявлений'!L41, ".", ","))</f>
        <v>19575</v>
      </c>
      <c r="M47" s="2" t="str">
        <f>IF(Данные[[#This Row],[proba]]&gt;$C$6, "отказ", "одобрение")</f>
        <v>отказ</v>
      </c>
      <c r="N47" s="7">
        <f>IF(Данные[[#This Row],[proba]]&lt;$D$2,$C$2,IF(Данные[[#This Row],[proba]]&lt;$D$3,$C$3,IF(Данные[[#This Row],[proba]]&gt;$C$6,0,$C$4)))</f>
        <v>0</v>
      </c>
      <c r="O47" s="2">
        <f>IF(Данные[[#This Row],[weighted_ext_score]]&gt;$O$1,MIN(Данные[[#This Row],[Базовая сумма]]*$O$2,$C$2),IF(Данные[[#This Row],[weighted_ext_score]]&lt;$O$3,Данные[[#This Row],[Базовая сумма]]*$O$4,N47))</f>
        <v>0</v>
      </c>
      <c r="P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" s="2">
        <f>ABS(Данные[[#This Row],[days_birth]])/365.2425</f>
        <v>37.750261812357543</v>
      </c>
      <c r="S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" s="2">
        <f>IF(Данные[[#This Row],[ interest_rate]]&gt;$T$1,Данные[[#This Row],[days_birth4]]*$T$2,Данные[[#This Row],[days_birth4]])</f>
        <v>0</v>
      </c>
      <c r="U47" s="2">
        <f>IF(Данные[[#This Row],[Проверка отказа]]="отказ",0,MAX(Данные[[#This Row],[interest_rate]],$C$1))</f>
        <v>0</v>
      </c>
      <c r="V47" s="2">
        <f>MROUND(Данные[[#This Row],[Минимум 20000]], 100)</f>
        <v>0</v>
      </c>
    </row>
    <row r="48" spans="1:35" x14ac:dyDescent="0.25">
      <c r="A48" s="2">
        <f>'1000_заявлений'!A42</f>
        <v>40</v>
      </c>
      <c r="B48" s="4">
        <f>VALUE(SUBSTITUTE('1000_заявлений'!B42, ".", ","))</f>
        <v>0.71941949170416997</v>
      </c>
      <c r="C48" s="4">
        <f>VALUE(SUBSTITUTE('1000_заявлений'!C42, ".", ","))</f>
        <v>0.226587795212912</v>
      </c>
      <c r="D48" s="4">
        <f>VALUE(SUBSTITUTE('1000_заявлений'!D42, ".", ","))</f>
        <v>5.7639290000000003E-2</v>
      </c>
      <c r="E48" s="4">
        <f>VALUE(SUBSTITUTE('1000_заявлений'!E42, ".", ","))</f>
        <v>0.63426729999999998</v>
      </c>
      <c r="F48" s="5">
        <f>VALUE(SUBSTITUTE('1000_заявлений'!F42, ".", ","))</f>
        <v>-550</v>
      </c>
      <c r="G48" s="5">
        <f>VALUE(SUBSTITUTE('1000_заявлений'!G42, ".", ","))</f>
        <v>-15399</v>
      </c>
      <c r="H48" s="5">
        <f>VALUE(SUBSTITUTE('1000_заявлений'!H42, ".", ","))</f>
        <v>-1866</v>
      </c>
      <c r="I48" s="4">
        <f>VALUE(SUBSTITUTE('1000_заявлений'!I42, ".", ","))</f>
        <v>0.10045</v>
      </c>
      <c r="J48" s="4">
        <f>VALUE(SUBSTITUTE('1000_заявлений'!J42, ".", ","))</f>
        <v>1.5550073913220599</v>
      </c>
      <c r="K48" s="5">
        <f>VALUE(SUBSTITUTE('1000_заявлений'!K42, ".", ","))</f>
        <v>-1642</v>
      </c>
      <c r="L48" s="6">
        <f>VALUE(SUBSTITUTE('1000_заявлений'!L42, ".", ","))</f>
        <v>45202.5</v>
      </c>
      <c r="M48" s="2" t="str">
        <f>IF(Данные[[#This Row],[proba]]&gt;$C$6, "отказ", "одобрение")</f>
        <v>отказ</v>
      </c>
      <c r="N48" s="7">
        <f>IF(Данные[[#This Row],[proba]]&lt;$D$2,$C$2,IF(Данные[[#This Row],[proba]]&lt;$D$3,$C$3,IF(Данные[[#This Row],[proba]]&gt;$C$6,0,$C$4)))</f>
        <v>0</v>
      </c>
      <c r="O48" s="2">
        <f>IF(Данные[[#This Row],[weighted_ext_score]]&gt;$O$1,MIN(Данные[[#This Row],[Базовая сумма]]*$O$2,$C$2),IF(Данные[[#This Row],[weighted_ext_score]]&lt;$O$3,Данные[[#This Row],[Базовая сумма]]*$O$4,N48))</f>
        <v>0</v>
      </c>
      <c r="P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" s="2">
        <f>ABS(Данные[[#This Row],[days_birth]])/365.2425</f>
        <v>42.16103000061603</v>
      </c>
      <c r="S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" s="2">
        <f>IF(Данные[[#This Row],[ interest_rate]]&gt;$T$1,Данные[[#This Row],[days_birth4]]*$T$2,Данные[[#This Row],[days_birth4]])</f>
        <v>0</v>
      </c>
      <c r="U48" s="2">
        <f>IF(Данные[[#This Row],[Проверка отказа]]="отказ",0,MAX(Данные[[#This Row],[interest_rate]],$C$1))</f>
        <v>0</v>
      </c>
      <c r="V48" s="2">
        <f>MROUND(Данные[[#This Row],[Минимум 20000]], 100)</f>
        <v>0</v>
      </c>
    </row>
    <row r="49" spans="1:22" x14ac:dyDescent="0.25">
      <c r="A49" s="2">
        <f>'1000_заявлений'!A43</f>
        <v>41</v>
      </c>
      <c r="B49" s="4">
        <f>VALUE(SUBSTITUTE('1000_заявлений'!B43, ".", ","))</f>
        <v>0.53641720761352096</v>
      </c>
      <c r="C49" s="4">
        <f>VALUE(SUBSTITUTE('1000_заявлений'!C43, ".", ","))</f>
        <v>0.17634844538599201</v>
      </c>
      <c r="D49" s="4">
        <f>VALUE(SUBSTITUTE('1000_заявлений'!D43, ".", ","))</f>
        <v>0.53527623000000002</v>
      </c>
      <c r="E49" s="4">
        <f>VALUE(SUBSTITUTE('1000_заявлений'!E43, ".", ","))</f>
        <v>0.54365295000000002</v>
      </c>
      <c r="F49" s="5">
        <f>VALUE(SUBSTITUTE('1000_заявлений'!F43, ".", ","))</f>
        <v>-914</v>
      </c>
      <c r="G49" s="5">
        <f>VALUE(SUBSTITUTE('1000_заявлений'!G43, ".", ","))</f>
        <v>-17467</v>
      </c>
      <c r="H49" s="5">
        <f>VALUE(SUBSTITUTE('1000_заявлений'!H43, ".", ","))</f>
        <v>-998</v>
      </c>
      <c r="I49" s="4">
        <f>VALUE(SUBSTITUTE('1000_заявлений'!I43, ".", ","))</f>
        <v>9.7100000000000006E-2</v>
      </c>
      <c r="J49" s="4">
        <f>VALUE(SUBSTITUTE('1000_заявлений'!J43, ".", ","))</f>
        <v>2.7268436150310298</v>
      </c>
      <c r="K49" s="5">
        <f>VALUE(SUBSTITUTE('1000_заявлений'!K43, ".", ","))</f>
        <v>-1337</v>
      </c>
      <c r="L49" s="6">
        <f>VALUE(SUBSTITUTE('1000_заявлений'!L43, ".", ","))</f>
        <v>26217</v>
      </c>
      <c r="M49" s="2" t="str">
        <f>IF(Данные[[#This Row],[proba]]&gt;$C$6, "отказ", "одобрение")</f>
        <v>отказ</v>
      </c>
      <c r="N49" s="7">
        <f>IF(Данные[[#This Row],[proba]]&lt;$D$2,$C$2,IF(Данные[[#This Row],[proba]]&lt;$D$3,$C$3,IF(Данные[[#This Row],[proba]]&gt;$C$6,0,$C$4)))</f>
        <v>0</v>
      </c>
      <c r="O49" s="2">
        <f>IF(Данные[[#This Row],[weighted_ext_score]]&gt;$O$1,MIN(Данные[[#This Row],[Базовая сумма]]*$O$2,$C$2),IF(Данные[[#This Row],[weighted_ext_score]]&lt;$O$3,Данные[[#This Row],[Базовая сумма]]*$O$4,N49))</f>
        <v>0</v>
      </c>
      <c r="P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" s="2">
        <f>ABS(Данные[[#This Row],[days_birth]])/365.2425</f>
        <v>47.823021691068263</v>
      </c>
      <c r="S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" s="2">
        <f>IF(Данные[[#This Row],[ interest_rate]]&gt;$T$1,Данные[[#This Row],[days_birth4]]*$T$2,Данные[[#This Row],[days_birth4]])</f>
        <v>0</v>
      </c>
      <c r="U49" s="2">
        <f>IF(Данные[[#This Row],[Проверка отказа]]="отказ",0,MAX(Данные[[#This Row],[interest_rate]],$C$1))</f>
        <v>0</v>
      </c>
      <c r="V49" s="2">
        <f>MROUND(Данные[[#This Row],[Минимум 20000]], 100)</f>
        <v>0</v>
      </c>
    </row>
    <row r="50" spans="1:22" x14ac:dyDescent="0.25">
      <c r="A50" s="2">
        <f>'1000_заявлений'!A44</f>
        <v>42</v>
      </c>
      <c r="B50" s="4">
        <f>VALUE(SUBSTITUTE('1000_заявлений'!B44, ".", ","))</f>
        <v>0.60105769622618799</v>
      </c>
      <c r="C50" s="4">
        <f>VALUE(SUBSTITUTE('1000_заявлений'!C44, ".", ","))</f>
        <v>0.27356116619662202</v>
      </c>
      <c r="D50" s="4">
        <f>VALUE(SUBSTITUTE('1000_заявлений'!D44, ".", ","))</f>
        <v>0.25946765999999999</v>
      </c>
      <c r="E50" s="4">
        <f>VALUE(SUBSTITUTE('1000_заявлений'!E44, ".", ","))</f>
        <v>0.55404883999999999</v>
      </c>
      <c r="F50" s="5">
        <f>VALUE(SUBSTITUTE('1000_заявлений'!F44, ".", ","))</f>
        <v>-6230</v>
      </c>
      <c r="G50" s="5">
        <f>VALUE(SUBSTITUTE('1000_заявлений'!G44, ".", ","))</f>
        <v>-15728</v>
      </c>
      <c r="H50" s="5">
        <f>VALUE(SUBSTITUTE('1000_заявлений'!H44, ".", ","))</f>
        <v>-4180</v>
      </c>
      <c r="I50" s="4">
        <f>VALUE(SUBSTITUTE('1000_заявлений'!I44, ".", ","))</f>
        <v>0.06</v>
      </c>
      <c r="J50" s="4">
        <f>VALUE(SUBSTITUTE('1000_заявлений'!J44, ".", ","))</f>
        <v>2.9117343591587601</v>
      </c>
      <c r="K50" s="5">
        <f>VALUE(SUBSTITUTE('1000_заявлений'!K44, ".", ","))</f>
        <v>-1213</v>
      </c>
      <c r="L50" s="6">
        <f>VALUE(SUBSTITUTE('1000_заявлений'!L44, ".", ","))</f>
        <v>17550</v>
      </c>
      <c r="M50" s="2" t="str">
        <f>IF(Данные[[#This Row],[proba]]&gt;$C$6, "отказ", "одобрение")</f>
        <v>отказ</v>
      </c>
      <c r="N50" s="7">
        <f>IF(Данные[[#This Row],[proba]]&lt;$D$2,$C$2,IF(Данные[[#This Row],[proba]]&lt;$D$3,$C$3,IF(Данные[[#This Row],[proba]]&gt;$C$6,0,$C$4)))</f>
        <v>0</v>
      </c>
      <c r="O50" s="2">
        <f>IF(Данные[[#This Row],[weighted_ext_score]]&gt;$O$1,MIN(Данные[[#This Row],[Базовая сумма]]*$O$2,$C$2),IF(Данные[[#This Row],[weighted_ext_score]]&lt;$O$3,Данные[[#This Row],[Базовая сумма]]*$O$4,N50))</f>
        <v>0</v>
      </c>
      <c r="P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" s="2">
        <f>ABS(Данные[[#This Row],[days_birth]])/365.2425</f>
        <v>43.061801405915247</v>
      </c>
      <c r="S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" s="2">
        <f>IF(Данные[[#This Row],[ interest_rate]]&gt;$T$1,Данные[[#This Row],[days_birth4]]*$T$2,Данные[[#This Row],[days_birth4]])</f>
        <v>0</v>
      </c>
      <c r="U50" s="2">
        <f>IF(Данные[[#This Row],[Проверка отказа]]="отказ",0,MAX(Данные[[#This Row],[interest_rate]],$C$1))</f>
        <v>0</v>
      </c>
      <c r="V50" s="2">
        <f>MROUND(Данные[[#This Row],[Минимум 20000]], 100)</f>
        <v>0</v>
      </c>
    </row>
    <row r="51" spans="1:22" x14ac:dyDescent="0.25">
      <c r="A51" s="2">
        <f>'1000_заявлений'!A45</f>
        <v>43</v>
      </c>
      <c r="B51" s="4">
        <f>VALUE(SUBSTITUTE('1000_заявлений'!B45, ".", ","))</f>
        <v>0.81511928615664897</v>
      </c>
      <c r="C51" s="4">
        <f>VALUE(SUBSTITUTE('1000_заявлений'!C45, ".", ","))</f>
        <v>0.16097306354634</v>
      </c>
      <c r="D51" s="4">
        <f>VALUE(SUBSTITUTE('1000_заявлений'!D45, ".", ","))</f>
        <v>9.3225089999999997E-2</v>
      </c>
      <c r="E51" s="4">
        <f>VALUE(SUBSTITUTE('1000_заявлений'!E45, ".", ","))</f>
        <v>0.39231142000000002</v>
      </c>
      <c r="F51" s="5">
        <f>VALUE(SUBSTITUTE('1000_заявлений'!F45, ".", ","))</f>
        <v>-5901</v>
      </c>
      <c r="G51" s="5">
        <f>VALUE(SUBSTITUTE('1000_заявлений'!G45, ".", ","))</f>
        <v>-13835</v>
      </c>
      <c r="H51" s="5">
        <f>VALUE(SUBSTITUTE('1000_заявлений'!H45, ".", ","))</f>
        <v>-4659</v>
      </c>
      <c r="I51" s="4">
        <f>VALUE(SUBSTITUTE('1000_заявлений'!I45, ".", ","))</f>
        <v>0.18384848484848401</v>
      </c>
      <c r="J51" s="4">
        <f>VALUE(SUBSTITUTE('1000_заявлений'!J45, ".", ","))</f>
        <v>0.14607516425368899</v>
      </c>
      <c r="K51" s="5">
        <f>VALUE(SUBSTITUTE('1000_заявлений'!K45, ".", ","))</f>
        <v>-3565</v>
      </c>
      <c r="L51" s="6">
        <f>VALUE(SUBSTITUTE('1000_заявлений'!L45, ".", ","))</f>
        <v>27301.5</v>
      </c>
      <c r="M51" s="2" t="str">
        <f>IF(Данные[[#This Row],[proba]]&gt;$C$6, "отказ", "одобрение")</f>
        <v>отказ</v>
      </c>
      <c r="N51" s="7">
        <f>IF(Данные[[#This Row],[proba]]&lt;$D$2,$C$2,IF(Данные[[#This Row],[proba]]&lt;$D$3,$C$3,IF(Данные[[#This Row],[proba]]&gt;$C$6,0,$C$4)))</f>
        <v>0</v>
      </c>
      <c r="O51" s="2">
        <f>IF(Данные[[#This Row],[weighted_ext_score]]&gt;$O$1,MIN(Данные[[#This Row],[Базовая сумма]]*$O$2,$C$2),IF(Данные[[#This Row],[weighted_ext_score]]&lt;$O$3,Данные[[#This Row],[Базовая сумма]]*$O$4,N51))</f>
        <v>0</v>
      </c>
      <c r="P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" s="2">
        <f>ABS(Данные[[#This Row],[days_birth]])/365.2425</f>
        <v>37.878943441686005</v>
      </c>
      <c r="S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" s="2">
        <f>IF(Данные[[#This Row],[ interest_rate]]&gt;$T$1,Данные[[#This Row],[days_birth4]]*$T$2,Данные[[#This Row],[days_birth4]])</f>
        <v>0</v>
      </c>
      <c r="U51" s="2">
        <f>IF(Данные[[#This Row],[Проверка отказа]]="отказ",0,MAX(Данные[[#This Row],[interest_rate]],$C$1))</f>
        <v>0</v>
      </c>
      <c r="V51" s="2">
        <f>MROUND(Данные[[#This Row],[Минимум 20000]], 100)</f>
        <v>0</v>
      </c>
    </row>
    <row r="52" spans="1:22" x14ac:dyDescent="0.25">
      <c r="A52" s="2">
        <f>'1000_заявлений'!A46</f>
        <v>44</v>
      </c>
      <c r="B52" s="4">
        <f>VALUE(SUBSTITUTE('1000_заявлений'!B46, ".", ","))</f>
        <v>0.240438739342068</v>
      </c>
      <c r="C52" s="4">
        <f>VALUE(SUBSTITUTE('1000_заявлений'!C46, ".", ","))</f>
        <v>0.65886418308569406</v>
      </c>
      <c r="D52" s="4">
        <f>VALUE(SUBSTITUTE('1000_заявлений'!D46, ".", ","))</f>
        <v>0.50828700000000004</v>
      </c>
      <c r="E52" s="4">
        <f>VALUE(SUBSTITUTE('1000_заявлений'!E46, ".", ","))</f>
        <v>0.73609966000000004</v>
      </c>
      <c r="F52" s="5">
        <f>VALUE(SUBSTITUTE('1000_заявлений'!F46, ".", ","))</f>
        <v>-10083</v>
      </c>
      <c r="G52" s="5">
        <f>VALUE(SUBSTITUTE('1000_заявлений'!G46, ".", ","))</f>
        <v>-16927</v>
      </c>
      <c r="H52" s="5">
        <f>VALUE(SUBSTITUTE('1000_заявлений'!H46, ".", ","))</f>
        <v>-455</v>
      </c>
      <c r="I52" s="4">
        <f>VALUE(SUBSTITUTE('1000_заявлений'!I46, ".", ","))</f>
        <v>0.1331</v>
      </c>
      <c r="J52" s="4">
        <f>VALUE(SUBSTITUTE('1000_заявлений'!J46, ".", ","))</f>
        <v>4.1738131229120699</v>
      </c>
      <c r="K52" s="5">
        <f>VALUE(SUBSTITUTE('1000_заявлений'!K46, ".", ","))</f>
        <v>-2654</v>
      </c>
      <c r="L52" s="6">
        <f>VALUE(SUBSTITUTE('1000_заявлений'!L46, ".", ","))</f>
        <v>35937</v>
      </c>
      <c r="M52" s="2" t="str">
        <f>IF(Данные[[#This Row],[proba]]&gt;$C$6, "отказ", "одобрение")</f>
        <v>одобрение</v>
      </c>
      <c r="N52" s="7">
        <f>IF(Данные[[#This Row],[proba]]&lt;$D$2,$C$2,IF(Данные[[#This Row],[proba]]&lt;$D$3,$C$3,IF(Данные[[#This Row],[proba]]&gt;$C$6,0,$C$4)))</f>
        <v>100000</v>
      </c>
      <c r="O52" s="2">
        <f>IF(Данные[[#This Row],[weighted_ext_score]]&gt;$O$1,MIN(Данные[[#This Row],[Базовая сумма]]*$O$2,$C$2),IF(Данные[[#This Row],[weighted_ext_score]]&lt;$O$3,Данные[[#This Row],[Базовая сумма]]*$O$4,N52))</f>
        <v>100000</v>
      </c>
      <c r="P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52" s="2">
        <f>ABS(Данные[[#This Row],[days_birth]])/365.2425</f>
        <v>46.344551907294466</v>
      </c>
      <c r="S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52" s="2">
        <f>IF(Данные[[#This Row],[ interest_rate]]&gt;$T$1,Данные[[#This Row],[days_birth4]]*$T$2,Данные[[#This Row],[days_birth4]])</f>
        <v>144000</v>
      </c>
      <c r="U52" s="2">
        <f>IF(Данные[[#This Row],[Проверка отказа]]="отказ",0,MAX(Данные[[#This Row],[interest_rate]],$C$1))</f>
        <v>144000</v>
      </c>
      <c r="V52" s="2">
        <f>MROUND(Данные[[#This Row],[Минимум 20000]], 100)</f>
        <v>144000</v>
      </c>
    </row>
    <row r="53" spans="1:22" x14ac:dyDescent="0.25">
      <c r="A53" s="2">
        <f>'1000_заявлений'!A47</f>
        <v>45</v>
      </c>
      <c r="B53" s="4">
        <f>VALUE(SUBSTITUTE('1000_заявлений'!B47, ".", ","))</f>
        <v>0.52907946850876897</v>
      </c>
      <c r="C53" s="4">
        <f>VALUE(SUBSTITUTE('1000_заявлений'!C47, ".", ","))</f>
        <v>0.28851786197432999</v>
      </c>
      <c r="D53" s="4">
        <f>VALUE(SUBSTITUTE('1000_заявлений'!D47, ".", ","))</f>
        <v>0.27933532</v>
      </c>
      <c r="E53" s="4">
        <f>VALUE(SUBSTITUTE('1000_заявлений'!E47, ".", ","))</f>
        <v>0.57800629999999997</v>
      </c>
      <c r="F53" s="5">
        <f>VALUE(SUBSTITUTE('1000_заявлений'!F47, ".", ","))</f>
        <v>-3150</v>
      </c>
      <c r="G53" s="5">
        <f>VALUE(SUBSTITUTE('1000_заявлений'!G47, ".", ","))</f>
        <v>-22277</v>
      </c>
      <c r="H53" s="5">
        <f>VALUE(SUBSTITUTE('1000_заявлений'!H47, ".", ","))</f>
        <v>-5818</v>
      </c>
      <c r="I53" s="4">
        <f>VALUE(SUBSTITUTE('1000_заявлений'!I47, ".", ","))</f>
        <v>0.13721428571428501</v>
      </c>
      <c r="J53" s="4">
        <f>VALUE(SUBSTITUTE('1000_заявлений'!J47, ".", ","))</f>
        <v>2.3484815554696001</v>
      </c>
      <c r="K53" s="5">
        <f>VALUE(SUBSTITUTE('1000_заявлений'!K47, ".", ","))</f>
        <v>-1454</v>
      </c>
      <c r="L53" s="6">
        <f>VALUE(SUBSTITUTE('1000_заявлений'!L47, ".", ","))</f>
        <v>43222.5</v>
      </c>
      <c r="M53" s="2" t="str">
        <f>IF(Данные[[#This Row],[proba]]&gt;$C$6, "отказ", "одобрение")</f>
        <v>отказ</v>
      </c>
      <c r="N53" s="7">
        <f>IF(Данные[[#This Row],[proba]]&lt;$D$2,$C$2,IF(Данные[[#This Row],[proba]]&lt;$D$3,$C$3,IF(Данные[[#This Row],[proba]]&gt;$C$6,0,$C$4)))</f>
        <v>0</v>
      </c>
      <c r="O53" s="2">
        <f>IF(Данные[[#This Row],[weighted_ext_score]]&gt;$O$1,MIN(Данные[[#This Row],[Базовая сумма]]*$O$2,$C$2),IF(Данные[[#This Row],[weighted_ext_score]]&lt;$O$3,Данные[[#This Row],[Базовая сумма]]*$O$4,N53))</f>
        <v>0</v>
      </c>
      <c r="P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" s="2">
        <f>ABS(Данные[[#This Row],[days_birth]])/365.2425</f>
        <v>60.992354394682984</v>
      </c>
      <c r="S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" s="2">
        <f>IF(Данные[[#This Row],[ interest_rate]]&gt;$T$1,Данные[[#This Row],[days_birth4]]*$T$2,Данные[[#This Row],[days_birth4]])</f>
        <v>0</v>
      </c>
      <c r="U53" s="2">
        <f>IF(Данные[[#This Row],[Проверка отказа]]="отказ",0,MAX(Данные[[#This Row],[interest_rate]],$C$1))</f>
        <v>0</v>
      </c>
      <c r="V53" s="2">
        <f>MROUND(Данные[[#This Row],[Минимум 20000]], 100)</f>
        <v>0</v>
      </c>
    </row>
    <row r="54" spans="1:22" x14ac:dyDescent="0.25">
      <c r="A54" s="2">
        <f>'1000_заявлений'!A48</f>
        <v>46</v>
      </c>
      <c r="B54" s="4">
        <f>VALUE(SUBSTITUTE('1000_заявлений'!B48, ".", ","))</f>
        <v>0.16227495053874999</v>
      </c>
      <c r="C54" s="4">
        <f>VALUE(SUBSTITUTE('1000_заявлений'!C48, ".", ","))</f>
        <v>0.53275200708858705</v>
      </c>
      <c r="D54" s="4">
        <f>VALUE(SUBSTITUTE('1000_заявлений'!D48, ".", ","))</f>
        <v>0.78626660000000004</v>
      </c>
      <c r="E54" s="4">
        <f>VALUE(SUBSTITUTE('1000_заявлений'!E48, ".", ","))</f>
        <v>0.76573400000000003</v>
      </c>
      <c r="F54" s="5">
        <f>VALUE(SUBSTITUTE('1000_заявлений'!F48, ".", ","))</f>
        <v>-65</v>
      </c>
      <c r="G54" s="5">
        <f>VALUE(SUBSTITUTE('1000_заявлений'!G48, ".", ","))</f>
        <v>-18589</v>
      </c>
      <c r="H54" s="5">
        <f>VALUE(SUBSTITUTE('1000_заявлений'!H48, ".", ","))</f>
        <v>-2112</v>
      </c>
      <c r="I54" s="4">
        <f>VALUE(SUBSTITUTE('1000_заявлений'!I48, ".", ","))</f>
        <v>0.16666666666666599</v>
      </c>
      <c r="J54" s="4">
        <f>VALUE(SUBSTITUTE('1000_заявлений'!J48, ".", ","))</f>
        <v>10.6209759779781</v>
      </c>
      <c r="K54" s="5">
        <f>VALUE(SUBSTITUTE('1000_заявлений'!K48, ".", ","))</f>
        <v>-7927</v>
      </c>
      <c r="L54" s="6">
        <f>VALUE(SUBSTITUTE('1000_заявлений'!L48, ".", ","))</f>
        <v>22500</v>
      </c>
      <c r="M54" s="2" t="str">
        <f>IF(Данные[[#This Row],[proba]]&gt;$C$6, "отказ", "одобрение")</f>
        <v>одобрение</v>
      </c>
      <c r="N54" s="7">
        <f>IF(Данные[[#This Row],[proba]]&lt;$D$2,$C$2,IF(Данные[[#This Row],[proba]]&lt;$D$3,$C$3,IF(Данные[[#This Row],[proba]]&gt;$C$6,0,$C$4)))</f>
        <v>300000</v>
      </c>
      <c r="O54" s="2">
        <f>IF(Данные[[#This Row],[weighted_ext_score]]&gt;$O$1,MIN(Данные[[#This Row],[Базовая сумма]]*$O$2,$C$2),IF(Данные[[#This Row],[weighted_ext_score]]&lt;$O$3,Данные[[#This Row],[Базовая сумма]]*$O$4,N54))</f>
        <v>300000</v>
      </c>
      <c r="P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54" s="2">
        <f>ABS(Данные[[#This Row],[days_birth]])/365.2425</f>
        <v>50.894953352909369</v>
      </c>
      <c r="S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54" s="2">
        <f>IF(Данные[[#This Row],[ interest_rate]]&gt;$T$1,Данные[[#This Row],[days_birth4]]*$T$2,Данные[[#This Row],[days_birth4]])</f>
        <v>453600</v>
      </c>
      <c r="U54" s="2">
        <f>IF(Данные[[#This Row],[Проверка отказа]]="отказ",0,MAX(Данные[[#This Row],[interest_rate]],$C$1))</f>
        <v>453600</v>
      </c>
      <c r="V54" s="2">
        <f>MROUND(Данные[[#This Row],[Минимум 20000]], 100)</f>
        <v>453600</v>
      </c>
    </row>
    <row r="55" spans="1:22" x14ac:dyDescent="0.25">
      <c r="A55" s="2">
        <f>'1000_заявлений'!A49</f>
        <v>47</v>
      </c>
      <c r="B55" s="4">
        <f>VALUE(SUBSTITUTE('1000_заявлений'!B49, ".", ","))</f>
        <v>0.34839808031027603</v>
      </c>
      <c r="C55" s="4">
        <f>VALUE(SUBSTITUTE('1000_заявлений'!C49, ".", ","))</f>
        <v>0.52724465405537702</v>
      </c>
      <c r="D55" s="4">
        <f>VALUE(SUBSTITUTE('1000_заявлений'!D49, ".", ","))</f>
        <v>0.51729654999999997</v>
      </c>
      <c r="E55" s="4">
        <f>VALUE(SUBSTITUTE('1000_заявлений'!E49, ".", ","))</f>
        <v>0.64607376000000005</v>
      </c>
      <c r="F55" s="5">
        <f>VALUE(SUBSTITUTE('1000_заявлений'!F49, ".", ","))</f>
        <v>-3286</v>
      </c>
      <c r="G55" s="5">
        <f>VALUE(SUBSTITUTE('1000_заявлений'!G49, ".", ","))</f>
        <v>-17386</v>
      </c>
      <c r="H55" s="5">
        <f>VALUE(SUBSTITUTE('1000_заявлений'!H49, ".", ","))</f>
        <v>-906</v>
      </c>
      <c r="I55" s="4">
        <f>VALUE(SUBSTITUTE('1000_заявлений'!I49, ".", ","))</f>
        <v>0.14572499999999999</v>
      </c>
      <c r="J55" s="4">
        <f>VALUE(SUBSTITUTE('1000_заявлений'!J49, ".", ","))</f>
        <v>1.81777576256554</v>
      </c>
      <c r="K55" s="5">
        <f>VALUE(SUBSTITUTE('1000_заявлений'!K49, ".", ","))</f>
        <v>-7926</v>
      </c>
      <c r="L55" s="6">
        <f>VALUE(SUBSTITUTE('1000_заявлений'!L49, ".", ","))</f>
        <v>26230.5</v>
      </c>
      <c r="M55" s="2" t="str">
        <f>IF(Данные[[#This Row],[proba]]&gt;$C$6, "отказ", "одобрение")</f>
        <v>отказ</v>
      </c>
      <c r="N55" s="7">
        <f>IF(Данные[[#This Row],[proba]]&lt;$D$2,$C$2,IF(Данные[[#This Row],[proba]]&lt;$D$3,$C$3,IF(Данные[[#This Row],[proba]]&gt;$C$6,0,$C$4)))</f>
        <v>0</v>
      </c>
      <c r="O55" s="2">
        <f>IF(Данные[[#This Row],[weighted_ext_score]]&gt;$O$1,MIN(Данные[[#This Row],[Базовая сумма]]*$O$2,$C$2),IF(Данные[[#This Row],[weighted_ext_score]]&lt;$O$3,Данные[[#This Row],[Базовая сумма]]*$O$4,N55))</f>
        <v>0</v>
      </c>
      <c r="P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" s="2">
        <f>ABS(Данные[[#This Row],[days_birth]])/365.2425</f>
        <v>47.601251223502196</v>
      </c>
      <c r="S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" s="2">
        <f>IF(Данные[[#This Row],[ interest_rate]]&gt;$T$1,Данные[[#This Row],[days_birth4]]*$T$2,Данные[[#This Row],[days_birth4]])</f>
        <v>0</v>
      </c>
      <c r="U55" s="2">
        <f>IF(Данные[[#This Row],[Проверка отказа]]="отказ",0,MAX(Данные[[#This Row],[interest_rate]],$C$1))</f>
        <v>0</v>
      </c>
      <c r="V55" s="2">
        <f>MROUND(Данные[[#This Row],[Минимум 20000]], 100)</f>
        <v>0</v>
      </c>
    </row>
    <row r="56" spans="1:22" x14ac:dyDescent="0.25">
      <c r="A56" s="2">
        <f>'1000_заявлений'!A50</f>
        <v>48</v>
      </c>
      <c r="B56" s="4">
        <f>VALUE(SUBSTITUTE('1000_заявлений'!B50, ".", ","))</f>
        <v>0.41753527720480099</v>
      </c>
      <c r="C56" s="4">
        <f>VALUE(SUBSTITUTE('1000_заявлений'!C50, ".", ","))</f>
        <v>0.37990922692037499</v>
      </c>
      <c r="D56" s="4">
        <f>VALUE(SUBSTITUTE('1000_заявлений'!D50, ".", ","))</f>
        <v>0.49927201999999998</v>
      </c>
      <c r="E56" s="4">
        <f>VALUE(SUBSTITUTE('1000_заявлений'!E50, ".", ","))</f>
        <v>0.61453115999999997</v>
      </c>
      <c r="F56" s="5">
        <f>VALUE(SUBSTITUTE('1000_заявлений'!F50, ".", ","))</f>
        <v>-7476</v>
      </c>
      <c r="G56" s="5">
        <f>VALUE(SUBSTITUTE('1000_заявлений'!G50, ".", ","))</f>
        <v>-13422</v>
      </c>
      <c r="H56" s="5">
        <f>VALUE(SUBSTITUTE('1000_заявлений'!H50, ".", ","))</f>
        <v>-4450</v>
      </c>
      <c r="I56" s="4">
        <f>VALUE(SUBSTITUTE('1000_заявлений'!I50, ".", ","))</f>
        <v>0.15297777777777699</v>
      </c>
      <c r="J56" s="4">
        <f>VALUE(SUBSTITUTE('1000_заявлений'!J50, ".", ","))</f>
        <v>2.9312945721189498</v>
      </c>
      <c r="K56" s="5">
        <f>VALUE(SUBSTITUTE('1000_заявлений'!K50, ".", ","))</f>
        <v>-1395</v>
      </c>
      <c r="L56" s="6">
        <f>VALUE(SUBSTITUTE('1000_заявлений'!L50, ".", ","))</f>
        <v>30978</v>
      </c>
      <c r="M56" s="2" t="str">
        <f>IF(Данные[[#This Row],[proba]]&gt;$C$6, "отказ", "одобрение")</f>
        <v>отказ</v>
      </c>
      <c r="N56" s="7">
        <f>IF(Данные[[#This Row],[proba]]&lt;$D$2,$C$2,IF(Данные[[#This Row],[proba]]&lt;$D$3,$C$3,IF(Данные[[#This Row],[proba]]&gt;$C$6,0,$C$4)))</f>
        <v>0</v>
      </c>
      <c r="O56" s="2">
        <f>IF(Данные[[#This Row],[weighted_ext_score]]&gt;$O$1,MIN(Данные[[#This Row],[Базовая сумма]]*$O$2,$C$2),IF(Данные[[#This Row],[weighted_ext_score]]&lt;$O$3,Данные[[#This Row],[Базовая сумма]]*$O$4,N56))</f>
        <v>0</v>
      </c>
      <c r="P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" s="2">
        <f>ABS(Данные[[#This Row],[days_birth]])/365.2425</f>
        <v>36.748187847799748</v>
      </c>
      <c r="S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" s="2">
        <f>IF(Данные[[#This Row],[ interest_rate]]&gt;$T$1,Данные[[#This Row],[days_birth4]]*$T$2,Данные[[#This Row],[days_birth4]])</f>
        <v>0</v>
      </c>
      <c r="U56" s="2">
        <f>IF(Данные[[#This Row],[Проверка отказа]]="отказ",0,MAX(Данные[[#This Row],[interest_rate]],$C$1))</f>
        <v>0</v>
      </c>
      <c r="V56" s="2">
        <f>MROUND(Данные[[#This Row],[Минимум 20000]], 100)</f>
        <v>0</v>
      </c>
    </row>
    <row r="57" spans="1:22" x14ac:dyDescent="0.25">
      <c r="A57" s="2">
        <f>'1000_заявлений'!A51</f>
        <v>49</v>
      </c>
      <c r="B57" s="4">
        <f>VALUE(SUBSTITUTE('1000_заявлений'!B51, ".", ","))</f>
        <v>0.28891504337211499</v>
      </c>
      <c r="C57" s="4">
        <f>VALUE(SUBSTITUTE('1000_заявлений'!C51, ".", ","))</f>
        <v>0.62777912238704303</v>
      </c>
      <c r="D57" s="4">
        <f>VALUE(SUBSTITUTE('1000_заявлений'!D51, ".", ","))</f>
        <v>0.65615840000000003</v>
      </c>
      <c r="E57" s="4">
        <f>VALUE(SUBSTITUTE('1000_заявлений'!E51, ".", ","))</f>
        <v>0.5658164</v>
      </c>
      <c r="F57" s="5">
        <f>VALUE(SUBSTITUTE('1000_заявлений'!F51, ".", ","))</f>
        <v>-972</v>
      </c>
      <c r="G57" s="5">
        <f>VALUE(SUBSTITUTE('1000_заявлений'!G51, ".", ","))</f>
        <v>-10487</v>
      </c>
      <c r="H57" s="5">
        <f>VALUE(SUBSTITUTE('1000_заявлений'!H51, ".", ","))</f>
        <v>-1142</v>
      </c>
      <c r="I57" s="4">
        <f>VALUE(SUBSTITUTE('1000_заявлений'!I51, ".", ","))</f>
        <v>0.18131666666666599</v>
      </c>
      <c r="J57" s="4">
        <f>VALUE(SUBSTITUTE('1000_заявлений'!J51, ".", ","))</f>
        <v>4.05449569901812</v>
      </c>
      <c r="K57" s="5">
        <f>VALUE(SUBSTITUTE('1000_заявлений'!K51, ".", ","))</f>
        <v>-940</v>
      </c>
      <c r="L57" s="6">
        <f>VALUE(SUBSTITUTE('1000_заявлений'!L51, ".", ","))</f>
        <v>48955.5</v>
      </c>
      <c r="M57" s="2" t="str">
        <f>IF(Данные[[#This Row],[proba]]&gt;$C$6, "отказ", "одобрение")</f>
        <v>одобрение</v>
      </c>
      <c r="N57" s="7">
        <f>IF(Данные[[#This Row],[proba]]&lt;$D$2,$C$2,IF(Данные[[#This Row],[proba]]&lt;$D$3,$C$3,IF(Данные[[#This Row],[proba]]&gt;$C$6,0,$C$4)))</f>
        <v>100000</v>
      </c>
      <c r="O57" s="2">
        <f>IF(Данные[[#This Row],[weighted_ext_score]]&gt;$O$1,MIN(Данные[[#This Row],[Базовая сумма]]*$O$2,$C$2),IF(Данные[[#This Row],[weighted_ext_score]]&lt;$O$3,Данные[[#This Row],[Базовая сумма]]*$O$4,N57))</f>
        <v>100000</v>
      </c>
      <c r="P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7" s="2">
        <f>ABS(Данные[[#This Row],[days_birth]])/365.2425</f>
        <v>28.712430782288479</v>
      </c>
      <c r="S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57" s="2">
        <f>IF(Данные[[#This Row],[ interest_rate]]&gt;$T$1,Данные[[#This Row],[days_birth4]]*$T$2,Данные[[#This Row],[days_birth4]])</f>
        <v>84000</v>
      </c>
      <c r="U57" s="2">
        <f>IF(Данные[[#This Row],[Проверка отказа]]="отказ",0,MAX(Данные[[#This Row],[interest_rate]],$C$1))</f>
        <v>84000</v>
      </c>
      <c r="V57" s="2">
        <f>MROUND(Данные[[#This Row],[Минимум 20000]], 100)</f>
        <v>84000</v>
      </c>
    </row>
    <row r="58" spans="1:22" x14ac:dyDescent="0.25">
      <c r="A58" s="2">
        <f>'1000_заявлений'!A52</f>
        <v>50</v>
      </c>
      <c r="B58" s="4">
        <f>VALUE(SUBSTITUTE('1000_заявлений'!B52, ".", ","))</f>
        <v>0.466843495067299</v>
      </c>
      <c r="C58" s="4">
        <f>VALUE(SUBSTITUTE('1000_заявлений'!C52, ".", ","))</f>
        <v>0.55683373487090604</v>
      </c>
      <c r="D58" s="4">
        <f>VALUE(SUBSTITUTE('1000_заявлений'!D52, ".", ","))</f>
        <v>0.23401516999999999</v>
      </c>
      <c r="E58" s="4">
        <f>VALUE(SUBSTITUTE('1000_заявлений'!E52, ".", ","))</f>
        <v>0.67781919999999996</v>
      </c>
      <c r="F58" s="5">
        <f>VALUE(SUBSTITUTE('1000_заявлений'!F52, ".", ","))</f>
        <v>-3383</v>
      </c>
      <c r="G58" s="5">
        <f>VALUE(SUBSTITUTE('1000_заявлений'!G52, ".", ","))</f>
        <v>-14391</v>
      </c>
      <c r="H58" s="5">
        <f>VALUE(SUBSTITUTE('1000_заявлений'!H52, ".", ","))</f>
        <v>-2274</v>
      </c>
      <c r="I58" s="4">
        <f>VALUE(SUBSTITUTE('1000_заявлений'!I52, ".", ","))</f>
        <v>0.14000000000000001</v>
      </c>
      <c r="J58" s="4">
        <f>VALUE(SUBSTITUTE('1000_заявлений'!J52, ".", ","))</f>
        <v>1.7926354583625901</v>
      </c>
      <c r="K58" s="5">
        <f>VALUE(SUBSTITUTE('1000_заявлений'!K52, ".", ","))</f>
        <v>-3010</v>
      </c>
      <c r="L58" s="6">
        <f>VALUE(SUBSTITUTE('1000_заявлений'!L52, ".", ","))</f>
        <v>37800</v>
      </c>
      <c r="M58" s="2" t="str">
        <f>IF(Данные[[#This Row],[proba]]&gt;$C$6, "отказ", "одобрение")</f>
        <v>отказ</v>
      </c>
      <c r="N58" s="7">
        <f>IF(Данные[[#This Row],[proba]]&lt;$D$2,$C$2,IF(Данные[[#This Row],[proba]]&lt;$D$3,$C$3,IF(Данные[[#This Row],[proba]]&gt;$C$6,0,$C$4)))</f>
        <v>0</v>
      </c>
      <c r="O58" s="2">
        <f>IF(Данные[[#This Row],[weighted_ext_score]]&gt;$O$1,MIN(Данные[[#This Row],[Базовая сумма]]*$O$2,$C$2),IF(Данные[[#This Row],[weighted_ext_score]]&lt;$O$3,Данные[[#This Row],[Базовая сумма]]*$O$4,N58))</f>
        <v>0</v>
      </c>
      <c r="P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" s="2">
        <f>ABS(Данные[[#This Row],[days_birth]])/365.2425</f>
        <v>39.401219737571616</v>
      </c>
      <c r="S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" s="2">
        <f>IF(Данные[[#This Row],[ interest_rate]]&gt;$T$1,Данные[[#This Row],[days_birth4]]*$T$2,Данные[[#This Row],[days_birth4]])</f>
        <v>0</v>
      </c>
      <c r="U58" s="2">
        <f>IF(Данные[[#This Row],[Проверка отказа]]="отказ",0,MAX(Данные[[#This Row],[interest_rate]],$C$1))</f>
        <v>0</v>
      </c>
      <c r="V58" s="2">
        <f>MROUND(Данные[[#This Row],[Минимум 20000]], 100)</f>
        <v>0</v>
      </c>
    </row>
    <row r="59" spans="1:22" x14ac:dyDescent="0.25">
      <c r="A59" s="2">
        <f>'1000_заявлений'!A53</f>
        <v>51</v>
      </c>
      <c r="B59" s="4">
        <f>VALUE(SUBSTITUTE('1000_заявлений'!B53, ".", ","))</f>
        <v>0.58952993872931603</v>
      </c>
      <c r="C59" s="4">
        <f>VALUE(SUBSTITUTE('1000_заявлений'!C53, ".", ","))</f>
        <v>0.34971395866406602</v>
      </c>
      <c r="D59" s="4">
        <f>VALUE(SUBSTITUTE('1000_заявлений'!D53, ".", ","))</f>
        <v>0.50828700000000004</v>
      </c>
      <c r="E59" s="4">
        <f>VALUE(SUBSTITUTE('1000_заявлений'!E53, ".", ","))</f>
        <v>0.32022926000000002</v>
      </c>
      <c r="F59" s="5">
        <f>VALUE(SUBSTITUTE('1000_заявлений'!F53, ".", ","))</f>
        <v>-1709</v>
      </c>
      <c r="G59" s="5">
        <f>VALUE(SUBSTITUTE('1000_заявлений'!G53, ".", ","))</f>
        <v>-10594</v>
      </c>
      <c r="H59" s="5">
        <f>VALUE(SUBSTITUTE('1000_заявлений'!H53, ".", ","))</f>
        <v>-2141</v>
      </c>
      <c r="I59" s="4">
        <f>VALUE(SUBSTITUTE('1000_заявлений'!I53, ".", ","))</f>
        <v>7.51E-2</v>
      </c>
      <c r="J59" s="4">
        <f>VALUE(SUBSTITUTE('1000_заявлений'!J53, ".", ","))</f>
        <v>2.7529295466223398</v>
      </c>
      <c r="K59" s="5">
        <f>VALUE(SUBSTITUTE('1000_заявлений'!K53, ".", ","))</f>
        <v>-127</v>
      </c>
      <c r="L59" s="6">
        <f>VALUE(SUBSTITUTE('1000_заявлений'!L53, ".", ","))</f>
        <v>16897.5</v>
      </c>
      <c r="M59" s="2" t="str">
        <f>IF(Данные[[#This Row],[proba]]&gt;$C$6, "отказ", "одобрение")</f>
        <v>отказ</v>
      </c>
      <c r="N59" s="7">
        <f>IF(Данные[[#This Row],[proba]]&lt;$D$2,$C$2,IF(Данные[[#This Row],[proba]]&lt;$D$3,$C$3,IF(Данные[[#This Row],[proba]]&gt;$C$6,0,$C$4)))</f>
        <v>0</v>
      </c>
      <c r="O59" s="2">
        <f>IF(Данные[[#This Row],[weighted_ext_score]]&gt;$O$1,MIN(Данные[[#This Row],[Базовая сумма]]*$O$2,$C$2),IF(Данные[[#This Row],[weighted_ext_score]]&lt;$O$3,Данные[[#This Row],[Базовая сумма]]*$O$4,N59))</f>
        <v>0</v>
      </c>
      <c r="P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" s="2">
        <f>ABS(Данные[[#This Row],[days_birth]])/365.2425</f>
        <v>29.005386832036251</v>
      </c>
      <c r="S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" s="2">
        <f>IF(Данные[[#This Row],[ interest_rate]]&gt;$T$1,Данные[[#This Row],[days_birth4]]*$T$2,Данные[[#This Row],[days_birth4]])</f>
        <v>0</v>
      </c>
      <c r="U59" s="2">
        <f>IF(Данные[[#This Row],[Проверка отказа]]="отказ",0,MAX(Данные[[#This Row],[interest_rate]],$C$1))</f>
        <v>0</v>
      </c>
      <c r="V59" s="2">
        <f>MROUND(Данные[[#This Row],[Минимум 20000]], 100)</f>
        <v>0</v>
      </c>
    </row>
    <row r="60" spans="1:22" x14ac:dyDescent="0.25">
      <c r="A60" s="2">
        <f>'1000_заявлений'!A54</f>
        <v>52</v>
      </c>
      <c r="B60" s="4">
        <f>VALUE(SUBSTITUTE('1000_заявлений'!B54, ".", ","))</f>
        <v>0.72832179476449099</v>
      </c>
      <c r="C60" s="4">
        <f>VALUE(SUBSTITUTE('1000_заявлений'!C54, ".", ","))</f>
        <v>3.4710959640111699E-2</v>
      </c>
      <c r="D60" s="4">
        <f>VALUE(SUBSTITUTE('1000_заявлений'!D54, ".", ","))</f>
        <v>0.53527623000000002</v>
      </c>
      <c r="E60" s="4">
        <f>VALUE(SUBSTITUTE('1000_заявлений'!E54, ".", ","))</f>
        <v>0.10700812</v>
      </c>
      <c r="F60" s="5">
        <f>VALUE(SUBSTITUTE('1000_заявлений'!F54, ".", ","))</f>
        <v>-3074</v>
      </c>
      <c r="G60" s="5">
        <f>VALUE(SUBSTITUTE('1000_заявлений'!G54, ".", ","))</f>
        <v>-20539</v>
      </c>
      <c r="H60" s="5">
        <f>VALUE(SUBSTITUTE('1000_заявлений'!H54, ".", ","))</f>
        <v>-4034</v>
      </c>
      <c r="I60" s="4">
        <f>VALUE(SUBSTITUTE('1000_заявлений'!I54, ".", ","))</f>
        <v>0.107833333333333</v>
      </c>
      <c r="J60" s="4">
        <f>VALUE(SUBSTITUTE('1000_заявлений'!J54, ".", ","))</f>
        <v>3.8377159585066298</v>
      </c>
      <c r="K60" s="5">
        <f>VALUE(SUBSTITUTE('1000_заявлений'!K54, ".", ","))</f>
        <v>-1682</v>
      </c>
      <c r="L60" s="6">
        <f>VALUE(SUBSTITUTE('1000_заявлений'!L54, ".", ","))</f>
        <v>14557.5</v>
      </c>
      <c r="M60" s="2" t="str">
        <f>IF(Данные[[#This Row],[proba]]&gt;$C$6, "отказ", "одобрение")</f>
        <v>отказ</v>
      </c>
      <c r="N60" s="7">
        <f>IF(Данные[[#This Row],[proba]]&lt;$D$2,$C$2,IF(Данные[[#This Row],[proba]]&lt;$D$3,$C$3,IF(Данные[[#This Row],[proba]]&gt;$C$6,0,$C$4)))</f>
        <v>0</v>
      </c>
      <c r="O60" s="2">
        <f>IF(Данные[[#This Row],[weighted_ext_score]]&gt;$O$1,MIN(Данные[[#This Row],[Базовая сумма]]*$O$2,$C$2),IF(Данные[[#This Row],[weighted_ext_score]]&lt;$O$3,Данные[[#This Row],[Базовая сумма]]*$O$4,N60))</f>
        <v>0</v>
      </c>
      <c r="P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" s="2">
        <f>ABS(Данные[[#This Row],[days_birth]])/365.2425</f>
        <v>56.233872016536957</v>
      </c>
      <c r="S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" s="2">
        <f>IF(Данные[[#This Row],[ interest_rate]]&gt;$T$1,Данные[[#This Row],[days_birth4]]*$T$2,Данные[[#This Row],[days_birth4]])</f>
        <v>0</v>
      </c>
      <c r="U60" s="2">
        <f>IF(Данные[[#This Row],[Проверка отказа]]="отказ",0,MAX(Данные[[#This Row],[interest_rate]],$C$1))</f>
        <v>0</v>
      </c>
      <c r="V60" s="2">
        <f>MROUND(Данные[[#This Row],[Минимум 20000]], 100)</f>
        <v>0</v>
      </c>
    </row>
    <row r="61" spans="1:22" x14ac:dyDescent="0.25">
      <c r="A61" s="2">
        <f>'1000_заявлений'!A55</f>
        <v>53</v>
      </c>
      <c r="B61" s="4">
        <f>VALUE(SUBSTITUTE('1000_заявлений'!B55, ".", ","))</f>
        <v>0.192707777408204</v>
      </c>
      <c r="C61" s="4">
        <f>VALUE(SUBSTITUTE('1000_заявлений'!C55, ".", ","))</f>
        <v>0.476290337473188</v>
      </c>
      <c r="D61" s="4">
        <f>VALUE(SUBSTITUTE('1000_заявлений'!D55, ".", ","))</f>
        <v>0.70320329999999998</v>
      </c>
      <c r="E61" s="4">
        <f>VALUE(SUBSTITUTE('1000_заявлений'!E55, ".", ","))</f>
        <v>0.68428389999999994</v>
      </c>
      <c r="F61" s="5">
        <f>VALUE(SUBSTITUTE('1000_заявлений'!F55, ".", ","))</f>
        <v>-1512</v>
      </c>
      <c r="G61" s="5">
        <f>VALUE(SUBSTITUTE('1000_заявлений'!G55, ".", ","))</f>
        <v>-16197</v>
      </c>
      <c r="H61" s="5">
        <f>VALUE(SUBSTITUTE('1000_заявлений'!H55, ".", ","))</f>
        <v>-4301</v>
      </c>
      <c r="I61" s="4">
        <f>VALUE(SUBSTITUTE('1000_заявлений'!I55, ".", ","))</f>
        <v>0.18756666666666599</v>
      </c>
      <c r="J61" s="4">
        <f>VALUE(SUBSTITUTE('1000_заявлений'!J55, ".", ","))</f>
        <v>19.866106837814598</v>
      </c>
      <c r="K61" s="5">
        <f>VALUE(SUBSTITUTE('1000_заявлений'!K55, ".", ","))</f>
        <v>-1428</v>
      </c>
      <c r="L61" s="6">
        <f>VALUE(SUBSTITUTE('1000_заявлений'!L55, ".", ","))</f>
        <v>25321.5</v>
      </c>
      <c r="M61" s="2" t="str">
        <f>IF(Данные[[#This Row],[proba]]&gt;$C$6, "отказ", "одобрение")</f>
        <v>одобрение</v>
      </c>
      <c r="N61" s="7">
        <f>IF(Данные[[#This Row],[proba]]&lt;$D$2,$C$2,IF(Данные[[#This Row],[proba]]&lt;$D$3,$C$3,IF(Данные[[#This Row],[proba]]&gt;$C$6,0,$C$4)))</f>
        <v>300000</v>
      </c>
      <c r="O61" s="2">
        <f>IF(Данные[[#This Row],[weighted_ext_score]]&gt;$O$1,MIN(Данные[[#This Row],[Базовая сумма]]*$O$2,$C$2),IF(Данные[[#This Row],[weighted_ext_score]]&lt;$O$3,Данные[[#This Row],[Базовая сумма]]*$O$4,N61))</f>
        <v>300000</v>
      </c>
      <c r="P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61" s="2">
        <f>ABS(Данные[[#This Row],[days_birth]])/365.2425</f>
        <v>44.345879792192861</v>
      </c>
      <c r="S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61" s="2">
        <f>IF(Данные[[#This Row],[ interest_rate]]&gt;$T$1,Данные[[#This Row],[days_birth4]]*$T$2,Данные[[#This Row],[days_birth4]])</f>
        <v>251999.99999999997</v>
      </c>
      <c r="U61" s="2">
        <f>IF(Данные[[#This Row],[Проверка отказа]]="отказ",0,MAX(Данные[[#This Row],[interest_rate]],$C$1))</f>
        <v>251999.99999999997</v>
      </c>
      <c r="V61" s="2">
        <f>MROUND(Данные[[#This Row],[Минимум 20000]], 100)</f>
        <v>252000</v>
      </c>
    </row>
    <row r="62" spans="1:22" x14ac:dyDescent="0.25">
      <c r="A62" s="2">
        <f>'1000_заявлений'!A56</f>
        <v>54</v>
      </c>
      <c r="B62" s="4">
        <f>VALUE(SUBSTITUTE('1000_заявлений'!B56, ".", ","))</f>
        <v>0.44497086894268101</v>
      </c>
      <c r="C62" s="4">
        <f>VALUE(SUBSTITUTE('1000_заявлений'!C56, ".", ","))</f>
        <v>0.21165503557657001</v>
      </c>
      <c r="D62" s="4">
        <f>VALUE(SUBSTITUTE('1000_заявлений'!D56, ".", ","))</f>
        <v>0.53527623000000002</v>
      </c>
      <c r="E62" s="4">
        <f>VALUE(SUBSTITUTE('1000_заявлений'!E56, ".", ","))</f>
        <v>0.65249729999999995</v>
      </c>
      <c r="F62" s="5">
        <f>VALUE(SUBSTITUTE('1000_заявлений'!F56, ".", ","))</f>
        <v>-7460</v>
      </c>
      <c r="G62" s="5">
        <f>VALUE(SUBSTITUTE('1000_заявлений'!G56, ".", ","))</f>
        <v>-19217</v>
      </c>
      <c r="H62" s="5">
        <f>VALUE(SUBSTITUTE('1000_заявлений'!H56, ".", ","))</f>
        <v>-2691</v>
      </c>
      <c r="I62" s="4">
        <f>VALUE(SUBSTITUTE('1000_заявлений'!I56, ".", ","))</f>
        <v>0.10578</v>
      </c>
      <c r="J62" s="4">
        <f>VALUE(SUBSTITUTE('1000_заявлений'!J56, ".", ","))</f>
        <v>1.55382250415887</v>
      </c>
      <c r="K62" s="5">
        <f>VALUE(SUBSTITUTE('1000_заявлений'!K56, ".", ","))</f>
        <v>-2935</v>
      </c>
      <c r="L62" s="6">
        <f>VALUE(SUBSTITUTE('1000_заявлений'!L56, ".", ","))</f>
        <v>23800.5</v>
      </c>
      <c r="M62" s="2" t="str">
        <f>IF(Данные[[#This Row],[proba]]&gt;$C$6, "отказ", "одобрение")</f>
        <v>отказ</v>
      </c>
      <c r="N62" s="7">
        <f>IF(Данные[[#This Row],[proba]]&lt;$D$2,$C$2,IF(Данные[[#This Row],[proba]]&lt;$D$3,$C$3,IF(Данные[[#This Row],[proba]]&gt;$C$6,0,$C$4)))</f>
        <v>0</v>
      </c>
      <c r="O62" s="2">
        <f>IF(Данные[[#This Row],[weighted_ext_score]]&gt;$O$1,MIN(Данные[[#This Row],[Базовая сумма]]*$O$2,$C$2),IF(Данные[[#This Row],[weighted_ext_score]]&lt;$O$3,Данные[[#This Row],[Базовая сумма]]*$O$4,N62))</f>
        <v>0</v>
      </c>
      <c r="P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2" s="2">
        <f>ABS(Данные[[#This Row],[days_birth]])/365.2425</f>
        <v>52.614358953298151</v>
      </c>
      <c r="S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2" s="2">
        <f>IF(Данные[[#This Row],[ interest_rate]]&gt;$T$1,Данные[[#This Row],[days_birth4]]*$T$2,Данные[[#This Row],[days_birth4]])</f>
        <v>0</v>
      </c>
      <c r="U62" s="2">
        <f>IF(Данные[[#This Row],[Проверка отказа]]="отказ",0,MAX(Данные[[#This Row],[interest_rate]],$C$1))</f>
        <v>0</v>
      </c>
      <c r="V62" s="2">
        <f>MROUND(Данные[[#This Row],[Минимум 20000]], 100)</f>
        <v>0</v>
      </c>
    </row>
    <row r="63" spans="1:22" x14ac:dyDescent="0.25">
      <c r="A63" s="2">
        <f>'1000_заявлений'!A57</f>
        <v>55</v>
      </c>
      <c r="B63" s="4">
        <f>VALUE(SUBSTITUTE('1000_заявлений'!B57, ".", ","))</f>
        <v>0.47282833233508298</v>
      </c>
      <c r="C63" s="4">
        <f>VALUE(SUBSTITUTE('1000_заявлений'!C57, ".", ","))</f>
        <v>0.32442312657971101</v>
      </c>
      <c r="D63" s="4">
        <f>VALUE(SUBSTITUTE('1000_заявлений'!D57, ".", ","))</f>
        <v>0.19862004999999999</v>
      </c>
      <c r="E63" s="4">
        <f>VALUE(SUBSTITUTE('1000_заявлений'!E57, ".", ","))</f>
        <v>0.77869016000000002</v>
      </c>
      <c r="F63" s="5">
        <f>VALUE(SUBSTITUTE('1000_заявлений'!F57, ".", ","))</f>
        <v>-3358</v>
      </c>
      <c r="G63" s="5">
        <f>VALUE(SUBSTITUTE('1000_заявлений'!G57, ".", ","))</f>
        <v>-20632</v>
      </c>
      <c r="H63" s="5">
        <f>VALUE(SUBSTITUTE('1000_заявлений'!H57, ".", ","))</f>
        <v>-3886</v>
      </c>
      <c r="I63" s="4">
        <f>VALUE(SUBSTITUTE('1000_заявлений'!I57, ".", ","))</f>
        <v>0.21759999999999999</v>
      </c>
      <c r="J63" s="4">
        <f>VALUE(SUBSTITUTE('1000_заявлений'!J57, ".", ","))</f>
        <v>4.2767576040916504</v>
      </c>
      <c r="K63" s="5">
        <f>VALUE(SUBSTITUTE('1000_заявлений'!K57, ".", ","))</f>
        <v>365243</v>
      </c>
      <c r="L63" s="6">
        <f>VALUE(SUBSTITUTE('1000_заявлений'!L57, ".", ","))</f>
        <v>29376</v>
      </c>
      <c r="M63" s="2" t="str">
        <f>IF(Данные[[#This Row],[proba]]&gt;$C$6, "отказ", "одобрение")</f>
        <v>отказ</v>
      </c>
      <c r="N63" s="7">
        <f>IF(Данные[[#This Row],[proba]]&lt;$D$2,$C$2,IF(Данные[[#This Row],[proba]]&lt;$D$3,$C$3,IF(Данные[[#This Row],[proba]]&gt;$C$6,0,$C$4)))</f>
        <v>0</v>
      </c>
      <c r="O63" s="2">
        <f>IF(Данные[[#This Row],[weighted_ext_score]]&gt;$O$1,MIN(Данные[[#This Row],[Базовая сумма]]*$O$2,$C$2),IF(Данные[[#This Row],[weighted_ext_score]]&lt;$O$3,Данные[[#This Row],[Базовая сумма]]*$O$4,N63))</f>
        <v>0</v>
      </c>
      <c r="P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" s="2">
        <f>ABS(Данные[[#This Row],[days_birth]])/365.2425</f>
        <v>56.488497368186891</v>
      </c>
      <c r="S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" s="2">
        <f>IF(Данные[[#This Row],[ interest_rate]]&gt;$T$1,Данные[[#This Row],[days_birth4]]*$T$2,Данные[[#This Row],[days_birth4]])</f>
        <v>0</v>
      </c>
      <c r="U63" s="2">
        <f>IF(Данные[[#This Row],[Проверка отказа]]="отказ",0,MAX(Данные[[#This Row],[interest_rate]],$C$1))</f>
        <v>0</v>
      </c>
      <c r="V63" s="2">
        <f>MROUND(Данные[[#This Row],[Минимум 20000]], 100)</f>
        <v>0</v>
      </c>
    </row>
    <row r="64" spans="1:22" x14ac:dyDescent="0.25">
      <c r="A64" s="2">
        <f>'1000_заявлений'!A58</f>
        <v>56</v>
      </c>
      <c r="B64" s="4">
        <f>VALUE(SUBSTITUTE('1000_заявлений'!B58, ".", ","))</f>
        <v>0.64742361146549998</v>
      </c>
      <c r="C64" s="4">
        <f>VALUE(SUBSTITUTE('1000_заявлений'!C58, ".", ","))</f>
        <v>0.26705611814039798</v>
      </c>
      <c r="D64" s="4">
        <f>VALUE(SUBSTITUTE('1000_заявлений'!D58, ".", ","))</f>
        <v>0.35895124</v>
      </c>
      <c r="E64" s="4">
        <f>VALUE(SUBSTITUTE('1000_заявлений'!E58, ".", ","))</f>
        <v>0.42307514000000002</v>
      </c>
      <c r="F64" s="5">
        <f>VALUE(SUBSTITUTE('1000_заявлений'!F58, ".", ","))</f>
        <v>-8789</v>
      </c>
      <c r="G64" s="5">
        <f>VALUE(SUBSTITUTE('1000_заявлений'!G58, ".", ","))</f>
        <v>-15839</v>
      </c>
      <c r="H64" s="5">
        <f>VALUE(SUBSTITUTE('1000_заявлений'!H58, ".", ","))</f>
        <v>-4949</v>
      </c>
      <c r="I64" s="4">
        <f>VALUE(SUBSTITUTE('1000_заявлений'!I58, ".", ","))</f>
        <v>0.30381818181818099</v>
      </c>
      <c r="J64" s="4">
        <f>VALUE(SUBSTITUTE('1000_заявлений'!J58, ".", ","))</f>
        <v>3.1702288732163102</v>
      </c>
      <c r="K64" s="5">
        <f>VALUE(SUBSTITUTE('1000_заявлений'!K58, ".", ","))</f>
        <v>-1391</v>
      </c>
      <c r="L64" s="6">
        <f>VALUE(SUBSTITUTE('1000_заявлений'!L58, ".", ","))</f>
        <v>30078</v>
      </c>
      <c r="M64" s="2" t="str">
        <f>IF(Данные[[#This Row],[proba]]&gt;$C$6, "отказ", "одобрение")</f>
        <v>отказ</v>
      </c>
      <c r="N64" s="7">
        <f>IF(Данные[[#This Row],[proba]]&lt;$D$2,$C$2,IF(Данные[[#This Row],[proba]]&lt;$D$3,$C$3,IF(Данные[[#This Row],[proba]]&gt;$C$6,0,$C$4)))</f>
        <v>0</v>
      </c>
      <c r="O64" s="2">
        <f>IF(Данные[[#This Row],[weighted_ext_score]]&gt;$O$1,MIN(Данные[[#This Row],[Базовая сумма]]*$O$2,$C$2),IF(Данные[[#This Row],[weighted_ext_score]]&lt;$O$3,Данные[[#This Row],[Базовая сумма]]*$O$4,N64))</f>
        <v>0</v>
      </c>
      <c r="P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" s="2">
        <f>ABS(Данные[[#This Row],[days_birth]])/365.2425</f>
        <v>43.365709083690973</v>
      </c>
      <c r="S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" s="2">
        <f>IF(Данные[[#This Row],[ interest_rate]]&gt;$T$1,Данные[[#This Row],[days_birth4]]*$T$2,Данные[[#This Row],[days_birth4]])</f>
        <v>0</v>
      </c>
      <c r="U64" s="2">
        <f>IF(Данные[[#This Row],[Проверка отказа]]="отказ",0,MAX(Данные[[#This Row],[interest_rate]],$C$1))</f>
        <v>0</v>
      </c>
      <c r="V64" s="2">
        <f>MROUND(Данные[[#This Row],[Минимум 20000]], 100)</f>
        <v>0</v>
      </c>
    </row>
    <row r="65" spans="1:22" x14ac:dyDescent="0.25">
      <c r="A65" s="2">
        <f>'1000_заявлений'!A59</f>
        <v>57</v>
      </c>
      <c r="B65" s="4">
        <f>VALUE(SUBSTITUTE('1000_заявлений'!B59, ".", ","))</f>
        <v>0.65929076181875002</v>
      </c>
      <c r="C65" s="4">
        <f>VALUE(SUBSTITUTE('1000_заявлений'!C59, ".", ","))</f>
        <v>0.40202187488593299</v>
      </c>
      <c r="D65" s="4">
        <f>VALUE(SUBSTITUTE('1000_заявлений'!D59, ".", ","))</f>
        <v>0.20092608000000001</v>
      </c>
      <c r="E65" s="4">
        <f>VALUE(SUBSTITUTE('1000_заявлений'!E59, ".", ","))</f>
        <v>0.36729494000000001</v>
      </c>
      <c r="F65" s="5">
        <f>VALUE(SUBSTITUTE('1000_заявлений'!F59, ".", ","))</f>
        <v>-7667</v>
      </c>
      <c r="G65" s="5">
        <f>VALUE(SUBSTITUTE('1000_заявлений'!G59, ".", ","))</f>
        <v>-13521</v>
      </c>
      <c r="H65" s="5">
        <f>VALUE(SUBSTITUTE('1000_заявлений'!H59, ".", ","))</f>
        <v>-4589</v>
      </c>
      <c r="I65" s="4">
        <f>VALUE(SUBSTITUTE('1000_заявлений'!I59, ".", ","))</f>
        <v>2.3841666666666601E-2</v>
      </c>
      <c r="J65" s="4">
        <f>VALUE(SUBSTITUTE('1000_заявлений'!J59, ".", ","))</f>
        <v>0.18626351069559399</v>
      </c>
      <c r="K65" s="5">
        <f>VALUE(SUBSTITUTE('1000_заявлений'!K59, ".", ","))</f>
        <v>-3715</v>
      </c>
      <c r="L65" s="6">
        <f>VALUE(SUBSTITUTE('1000_заявлений'!L59, ".", ","))</f>
        <v>12874.5</v>
      </c>
      <c r="M65" s="2" t="str">
        <f>IF(Данные[[#This Row],[proba]]&gt;$C$6, "отказ", "одобрение")</f>
        <v>отказ</v>
      </c>
      <c r="N65" s="7">
        <f>IF(Данные[[#This Row],[proba]]&lt;$D$2,$C$2,IF(Данные[[#This Row],[proba]]&lt;$D$3,$C$3,IF(Данные[[#This Row],[proba]]&gt;$C$6,0,$C$4)))</f>
        <v>0</v>
      </c>
      <c r="O65" s="2">
        <f>IF(Данные[[#This Row],[weighted_ext_score]]&gt;$O$1,MIN(Данные[[#This Row],[Базовая сумма]]*$O$2,$C$2),IF(Данные[[#This Row],[weighted_ext_score]]&lt;$O$3,Данные[[#This Row],[Базовая сумма]]*$O$4,N65))</f>
        <v>0</v>
      </c>
      <c r="P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" s="2">
        <f>ABS(Данные[[#This Row],[days_birth]])/365.2425</f>
        <v>37.019240641491614</v>
      </c>
      <c r="S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" s="2">
        <f>IF(Данные[[#This Row],[ interest_rate]]&gt;$T$1,Данные[[#This Row],[days_birth4]]*$T$2,Данные[[#This Row],[days_birth4]])</f>
        <v>0</v>
      </c>
      <c r="U65" s="2">
        <f>IF(Данные[[#This Row],[Проверка отказа]]="отказ",0,MAX(Данные[[#This Row],[interest_rate]],$C$1))</f>
        <v>0</v>
      </c>
      <c r="V65" s="2">
        <f>MROUND(Данные[[#This Row],[Минимум 20000]], 100)</f>
        <v>0</v>
      </c>
    </row>
    <row r="66" spans="1:22" x14ac:dyDescent="0.25">
      <c r="A66" s="2">
        <f>'1000_заявлений'!A60</f>
        <v>58</v>
      </c>
      <c r="B66" s="4">
        <f>VALUE(SUBSTITUTE('1000_заявлений'!B60, ".", ","))</f>
        <v>0.37135696018444803</v>
      </c>
      <c r="C66" s="4">
        <f>VALUE(SUBSTITUTE('1000_заявлений'!C60, ".", ","))</f>
        <v>0.392653223966419</v>
      </c>
      <c r="D66" s="4">
        <f>VALUE(SUBSTITUTE('1000_заявлений'!D60, ".", ","))</f>
        <v>0.59892624999999999</v>
      </c>
      <c r="E66" s="4">
        <f>VALUE(SUBSTITUTE('1000_заявлений'!E60, ".", ","))</f>
        <v>0.54270879999999999</v>
      </c>
      <c r="F66" s="5">
        <f>VALUE(SUBSTITUTE('1000_заявлений'!F60, ".", ","))</f>
        <v>-1340</v>
      </c>
      <c r="G66" s="5">
        <f>VALUE(SUBSTITUTE('1000_заявлений'!G60, ".", ","))</f>
        <v>-19731</v>
      </c>
      <c r="H66" s="5">
        <f>VALUE(SUBSTITUTE('1000_заявлений'!H60, ".", ","))</f>
        <v>-3272</v>
      </c>
      <c r="I66" s="4">
        <f>VALUE(SUBSTITUTE('1000_заявлений'!I60, ".", ","))</f>
        <v>0.12772</v>
      </c>
      <c r="J66" s="4">
        <f>VALUE(SUBSTITUTE('1000_заявлений'!J60, ".", ","))</f>
        <v>2.0392096045054502</v>
      </c>
      <c r="K66" s="5">
        <f>VALUE(SUBSTITUTE('1000_заявлений'!K60, ".", ","))</f>
        <v>-3282</v>
      </c>
      <c r="L66" s="6">
        <f>VALUE(SUBSTITUTE('1000_заявлений'!L60, ".", ","))</f>
        <v>28737</v>
      </c>
      <c r="M66" s="2" t="str">
        <f>IF(Данные[[#This Row],[proba]]&gt;$C$6, "отказ", "одобрение")</f>
        <v>отказ</v>
      </c>
      <c r="N66" s="7">
        <f>IF(Данные[[#This Row],[proba]]&lt;$D$2,$C$2,IF(Данные[[#This Row],[proba]]&lt;$D$3,$C$3,IF(Данные[[#This Row],[proba]]&gt;$C$6,0,$C$4)))</f>
        <v>0</v>
      </c>
      <c r="O66" s="2">
        <f>IF(Данные[[#This Row],[weighted_ext_score]]&gt;$O$1,MIN(Данные[[#This Row],[Базовая сумма]]*$O$2,$C$2),IF(Данные[[#This Row],[weighted_ext_score]]&lt;$O$3,Данные[[#This Row],[Базовая сумма]]*$O$4,N66))</f>
        <v>0</v>
      </c>
      <c r="P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" s="2">
        <f>ABS(Данные[[#This Row],[days_birth]])/365.2425</f>
        <v>54.021643154890242</v>
      </c>
      <c r="S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" s="2">
        <f>IF(Данные[[#This Row],[ interest_rate]]&gt;$T$1,Данные[[#This Row],[days_birth4]]*$T$2,Данные[[#This Row],[days_birth4]])</f>
        <v>0</v>
      </c>
      <c r="U66" s="2">
        <f>IF(Данные[[#This Row],[Проверка отказа]]="отказ",0,MAX(Данные[[#This Row],[interest_rate]],$C$1))</f>
        <v>0</v>
      </c>
      <c r="V66" s="2">
        <f>MROUND(Данные[[#This Row],[Минимум 20000]], 100)</f>
        <v>0</v>
      </c>
    </row>
    <row r="67" spans="1:22" x14ac:dyDescent="0.25">
      <c r="A67" s="2">
        <f>'1000_заявлений'!A61</f>
        <v>59</v>
      </c>
      <c r="B67" s="4">
        <f>VALUE(SUBSTITUTE('1000_заявлений'!B61, ".", ","))</f>
        <v>0.27644499183979299</v>
      </c>
      <c r="C67" s="4">
        <f>VALUE(SUBSTITUTE('1000_заявлений'!C61, ".", ","))</f>
        <v>0.65950318715607503</v>
      </c>
      <c r="D67" s="4">
        <f>VALUE(SUBSTITUTE('1000_заявлений'!D61, ".", ","))</f>
        <v>0.33767269999999999</v>
      </c>
      <c r="E67" s="4">
        <f>VALUE(SUBSTITUTE('1000_заявлений'!E61, ".", ","))</f>
        <v>0.78938909999999995</v>
      </c>
      <c r="F67" s="5">
        <f>VALUE(SUBSTITUTE('1000_заявлений'!F61, ".", ","))</f>
        <v>-157</v>
      </c>
      <c r="G67" s="5">
        <f>VALUE(SUBSTITUTE('1000_заявлений'!G61, ".", ","))</f>
        <v>-20390</v>
      </c>
      <c r="H67" s="5">
        <f>VALUE(SUBSTITUTE('1000_заявлений'!H61, ".", ","))</f>
        <v>-3906</v>
      </c>
      <c r="I67" s="4">
        <f>VALUE(SUBSTITUTE('1000_заявлений'!I61, ".", ","))</f>
        <v>0.137862068965517</v>
      </c>
      <c r="J67" s="4">
        <f>VALUE(SUBSTITUTE('1000_заявлений'!J61, ".", ","))</f>
        <v>2.9928653278581798</v>
      </c>
      <c r="K67" s="5">
        <f>VALUE(SUBSTITUTE('1000_заявлений'!K61, ".", ","))</f>
        <v>-5326</v>
      </c>
      <c r="L67" s="6">
        <f>VALUE(SUBSTITUTE('1000_заявлений'!L61, ".", ","))</f>
        <v>35982</v>
      </c>
      <c r="M67" s="2" t="str">
        <f>IF(Данные[[#This Row],[proba]]&gt;$C$6, "отказ", "одобрение")</f>
        <v>одобрение</v>
      </c>
      <c r="N67" s="7">
        <f>IF(Данные[[#This Row],[proba]]&lt;$D$2,$C$2,IF(Данные[[#This Row],[proba]]&lt;$D$3,$C$3,IF(Данные[[#This Row],[proba]]&gt;$C$6,0,$C$4)))</f>
        <v>100000</v>
      </c>
      <c r="O67" s="2">
        <f>IF(Данные[[#This Row],[weighted_ext_score]]&gt;$O$1,MIN(Данные[[#This Row],[Базовая сумма]]*$O$2,$C$2),IF(Данные[[#This Row],[weighted_ext_score]]&lt;$O$3,Данные[[#This Row],[Базовая сумма]]*$O$4,N67))</f>
        <v>100000</v>
      </c>
      <c r="P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7" s="2">
        <f>ABS(Данные[[#This Row],[days_birth]])/365.2425</f>
        <v>55.825923872495672</v>
      </c>
      <c r="S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67" s="2">
        <f>IF(Данные[[#This Row],[ interest_rate]]&gt;$T$1,Данные[[#This Row],[days_birth4]]*$T$2,Данные[[#This Row],[days_birth4]])</f>
        <v>151200</v>
      </c>
      <c r="U67" s="2">
        <f>IF(Данные[[#This Row],[Проверка отказа]]="отказ",0,MAX(Данные[[#This Row],[interest_rate]],$C$1))</f>
        <v>151200</v>
      </c>
      <c r="V67" s="2">
        <f>MROUND(Данные[[#This Row],[Минимум 20000]], 100)</f>
        <v>151200</v>
      </c>
    </row>
    <row r="68" spans="1:22" x14ac:dyDescent="0.25">
      <c r="A68" s="2">
        <f>'1000_заявлений'!A62</f>
        <v>60</v>
      </c>
      <c r="B68" s="4">
        <f>VALUE(SUBSTITUTE('1000_заявлений'!B62, ".", ","))</f>
        <v>0.59329295270733395</v>
      </c>
      <c r="C68" s="4">
        <f>VALUE(SUBSTITUTE('1000_заявлений'!C62, ".", ","))</f>
        <v>0.416153746434758</v>
      </c>
      <c r="D68" s="4">
        <f>VALUE(SUBSTITUTE('1000_заявлений'!D62, ".", ","))</f>
        <v>0.27500036</v>
      </c>
      <c r="E68" s="4">
        <f>VALUE(SUBSTITUTE('1000_заявлений'!E62, ".", ","))</f>
        <v>0.55809739999999997</v>
      </c>
      <c r="F68" s="5">
        <f>VALUE(SUBSTITUTE('1000_заявлений'!F62, ".", ","))</f>
        <v>-6</v>
      </c>
      <c r="G68" s="5">
        <f>VALUE(SUBSTITUTE('1000_заявлений'!G62, ".", ","))</f>
        <v>-15994</v>
      </c>
      <c r="H68" s="5">
        <f>VALUE(SUBSTITUTE('1000_заявлений'!H62, ".", ","))</f>
        <v>-4904</v>
      </c>
      <c r="I68" s="4">
        <f>VALUE(SUBSTITUTE('1000_заявлений'!I62, ".", ","))</f>
        <v>0.33600000000000002</v>
      </c>
      <c r="J68" s="4">
        <f>VALUE(SUBSTITUTE('1000_заявлений'!J62, ".", ","))</f>
        <v>1.7926354583625901</v>
      </c>
      <c r="K68" s="5">
        <f>VALUE(SUBSTITUTE('1000_заявлений'!K62, ".", ","))</f>
        <v>-290</v>
      </c>
      <c r="L68" s="6">
        <f>VALUE(SUBSTITUTE('1000_заявлений'!L62, ".", ","))</f>
        <v>37800</v>
      </c>
      <c r="M68" s="2" t="str">
        <f>IF(Данные[[#This Row],[proba]]&gt;$C$6, "отказ", "одобрение")</f>
        <v>отказ</v>
      </c>
      <c r="N68" s="7">
        <f>IF(Данные[[#This Row],[proba]]&lt;$D$2,$C$2,IF(Данные[[#This Row],[proba]]&lt;$D$3,$C$3,IF(Данные[[#This Row],[proba]]&gt;$C$6,0,$C$4)))</f>
        <v>0</v>
      </c>
      <c r="O68" s="2">
        <f>IF(Данные[[#This Row],[weighted_ext_score]]&gt;$O$1,MIN(Данные[[#This Row],[Базовая сумма]]*$O$2,$C$2),IF(Данные[[#This Row],[weighted_ext_score]]&lt;$O$3,Данные[[#This Row],[Базовая сумма]]*$O$4,N68))</f>
        <v>0</v>
      </c>
      <c r="P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" s="2">
        <f>ABS(Данные[[#This Row],[days_birth]])/365.2425</f>
        <v>43.790084669774188</v>
      </c>
      <c r="S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" s="2">
        <f>IF(Данные[[#This Row],[ interest_rate]]&gt;$T$1,Данные[[#This Row],[days_birth4]]*$T$2,Данные[[#This Row],[days_birth4]])</f>
        <v>0</v>
      </c>
      <c r="U68" s="2">
        <f>IF(Данные[[#This Row],[Проверка отказа]]="отказ",0,MAX(Данные[[#This Row],[interest_rate]],$C$1))</f>
        <v>0</v>
      </c>
      <c r="V68" s="2">
        <f>MROUND(Данные[[#This Row],[Минимум 20000]], 100)</f>
        <v>0</v>
      </c>
    </row>
    <row r="69" spans="1:22" x14ac:dyDescent="0.25">
      <c r="A69" s="2">
        <f>'1000_заявлений'!A63</f>
        <v>61</v>
      </c>
      <c r="B69" s="4">
        <f>VALUE(SUBSTITUTE('1000_заявлений'!B63, ".", ","))</f>
        <v>0.26147767454620802</v>
      </c>
      <c r="C69" s="4">
        <f>VALUE(SUBSTITUTE('1000_заявлений'!C63, ".", ","))</f>
        <v>0.532531027550606</v>
      </c>
      <c r="D69" s="4">
        <f>VALUE(SUBSTITUTE('1000_заявлений'!D63, ".", ","))</f>
        <v>0.68482770000000004</v>
      </c>
      <c r="E69" s="4">
        <f>VALUE(SUBSTITUTE('1000_заявлений'!E63, ".", ","))</f>
        <v>0.6255349</v>
      </c>
      <c r="F69" s="5">
        <f>VALUE(SUBSTITUTE('1000_заявлений'!F63, ".", ","))</f>
        <v>-10249</v>
      </c>
      <c r="G69" s="5">
        <f>VALUE(SUBSTITUTE('1000_заявлений'!G63, ".", ","))</f>
        <v>-11533</v>
      </c>
      <c r="H69" s="5">
        <f>VALUE(SUBSTITUTE('1000_заявлений'!H63, ".", ","))</f>
        <v>-3764</v>
      </c>
      <c r="I69" s="4">
        <f>VALUE(SUBSTITUTE('1000_заявлений'!I63, ".", ","))</f>
        <v>0.18677777777777699</v>
      </c>
      <c r="J69" s="4">
        <f>VALUE(SUBSTITUTE('1000_заявлений'!J63, ".", ","))</f>
        <v>6.80456684195791</v>
      </c>
      <c r="K69" s="5">
        <f>VALUE(SUBSTITUTE('1000_заявлений'!K63, ".", ","))</f>
        <v>-4063</v>
      </c>
      <c r="L69" s="6">
        <f>VALUE(SUBSTITUTE('1000_заявлений'!L63, ".", ","))</f>
        <v>22693.5</v>
      </c>
      <c r="M69" s="2" t="str">
        <f>IF(Данные[[#This Row],[proba]]&gt;$C$6, "отказ", "одобрение")</f>
        <v>одобрение</v>
      </c>
      <c r="N69" s="7">
        <f>IF(Данные[[#This Row],[proba]]&lt;$D$2,$C$2,IF(Данные[[#This Row],[proba]]&lt;$D$3,$C$3,IF(Данные[[#This Row],[proba]]&gt;$C$6,0,$C$4)))</f>
        <v>100000</v>
      </c>
      <c r="O69" s="2">
        <f>IF(Данные[[#This Row],[weighted_ext_score]]&gt;$O$1,MIN(Данные[[#This Row],[Базовая сумма]]*$O$2,$C$2),IF(Данные[[#This Row],[weighted_ext_score]]&lt;$O$3,Данные[[#This Row],[Базовая сумма]]*$O$4,N69))</f>
        <v>100000</v>
      </c>
      <c r="P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9" s="2">
        <f>ABS(Данные[[#This Row],[days_birth]])/365.2425</f>
        <v>31.576281511598459</v>
      </c>
      <c r="S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9" s="2">
        <f>IF(Данные[[#This Row],[ interest_rate]]&gt;$T$1,Данные[[#This Row],[days_birth4]]*$T$2,Данные[[#This Row],[days_birth4]])</f>
        <v>144000</v>
      </c>
      <c r="U69" s="2">
        <f>IF(Данные[[#This Row],[Проверка отказа]]="отказ",0,MAX(Данные[[#This Row],[interest_rate]],$C$1))</f>
        <v>144000</v>
      </c>
      <c r="V69" s="2">
        <f>MROUND(Данные[[#This Row],[Минимум 20000]], 100)</f>
        <v>144000</v>
      </c>
    </row>
    <row r="70" spans="1:22" x14ac:dyDescent="0.25">
      <c r="A70" s="2">
        <f>'1000_заявлений'!A64</f>
        <v>62</v>
      </c>
      <c r="B70" s="4">
        <f>VALUE(SUBSTITUTE('1000_заявлений'!B64, ".", ","))</f>
        <v>0.88689439906327905</v>
      </c>
      <c r="C70" s="4">
        <f>VALUE(SUBSTITUTE('1000_заявлений'!C64, ".", ","))</f>
        <v>6.2626337505788304E-2</v>
      </c>
      <c r="D70" s="4">
        <f>VALUE(SUBSTITUTE('1000_заявлений'!D64, ".", ","))</f>
        <v>0.16048893</v>
      </c>
      <c r="E70" s="4">
        <f>VALUE(SUBSTITUTE('1000_заявлений'!E64, ".", ","))</f>
        <v>1.4128651000000001E-2</v>
      </c>
      <c r="F70" s="5">
        <f>VALUE(SUBSTITUTE('1000_заявлений'!F64, ".", ","))</f>
        <v>-3711</v>
      </c>
      <c r="G70" s="5">
        <f>VALUE(SUBSTITUTE('1000_заявлений'!G64, ".", ","))</f>
        <v>-14250</v>
      </c>
      <c r="H70" s="5">
        <f>VALUE(SUBSTITUTE('1000_заявлений'!H64, ".", ","))</f>
        <v>-5027</v>
      </c>
      <c r="I70" s="4">
        <f>VALUE(SUBSTITUTE('1000_заявлений'!I64, ".", ","))</f>
        <v>0.14099999999999999</v>
      </c>
      <c r="J70" s="4">
        <f>VALUE(SUBSTITUTE('1000_заявлений'!J64, ".", ","))</f>
        <v>3.66949904978972</v>
      </c>
      <c r="K70" s="5">
        <f>VALUE(SUBSTITUTE('1000_заявлений'!K64, ".", ","))</f>
        <v>-664</v>
      </c>
      <c r="L70" s="6">
        <f>VALUE(SUBSTITUTE('1000_заявлений'!L64, ".", ","))</f>
        <v>19035</v>
      </c>
      <c r="M70" s="2" t="str">
        <f>IF(Данные[[#This Row],[proba]]&gt;$C$6, "отказ", "одобрение")</f>
        <v>отказ</v>
      </c>
      <c r="N70" s="7">
        <f>IF(Данные[[#This Row],[proba]]&lt;$D$2,$C$2,IF(Данные[[#This Row],[proba]]&lt;$D$3,$C$3,IF(Данные[[#This Row],[proba]]&gt;$C$6,0,$C$4)))</f>
        <v>0</v>
      </c>
      <c r="O70" s="2">
        <f>IF(Данные[[#This Row],[weighted_ext_score]]&gt;$O$1,MIN(Данные[[#This Row],[Базовая сумма]]*$O$2,$C$2),IF(Данные[[#This Row],[weighted_ext_score]]&lt;$O$3,Данные[[#This Row],[Базовая сумма]]*$O$4,N70))</f>
        <v>0</v>
      </c>
      <c r="P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0" s="2">
        <f>ABS(Данные[[#This Row],[days_birth]])/365.2425</f>
        <v>39.015174849586231</v>
      </c>
      <c r="S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0" s="2">
        <f>IF(Данные[[#This Row],[ interest_rate]]&gt;$T$1,Данные[[#This Row],[days_birth4]]*$T$2,Данные[[#This Row],[days_birth4]])</f>
        <v>0</v>
      </c>
      <c r="U70" s="2">
        <f>IF(Данные[[#This Row],[Проверка отказа]]="отказ",0,MAX(Данные[[#This Row],[interest_rate]],$C$1))</f>
        <v>0</v>
      </c>
      <c r="V70" s="2">
        <f>MROUND(Данные[[#This Row],[Минимум 20000]], 100)</f>
        <v>0</v>
      </c>
    </row>
    <row r="71" spans="1:22" x14ac:dyDescent="0.25">
      <c r="A71" s="2">
        <f>'1000_заявлений'!A65</f>
        <v>63</v>
      </c>
      <c r="B71" s="4">
        <f>VALUE(SUBSTITUTE('1000_заявлений'!B65, ".", ","))</f>
        <v>0.188485319894172</v>
      </c>
      <c r="C71" s="4">
        <f>VALUE(SUBSTITUTE('1000_заявлений'!C65, ".", ","))</f>
        <v>0.45719031340285599</v>
      </c>
      <c r="D71" s="4">
        <f>VALUE(SUBSTITUTE('1000_заявлений'!D65, ".", ","))</f>
        <v>0.70320329999999998</v>
      </c>
      <c r="E71" s="4">
        <f>VALUE(SUBSTITUTE('1000_заявлений'!E65, ".", ","))</f>
        <v>0.62540169999999995</v>
      </c>
      <c r="F71" s="5">
        <f>VALUE(SUBSTITUTE('1000_заявлений'!F65, ".", ","))</f>
        <v>-13299</v>
      </c>
      <c r="G71" s="5">
        <f>VALUE(SUBSTITUTE('1000_заявлений'!G65, ".", ","))</f>
        <v>-22689</v>
      </c>
      <c r="H71" s="5">
        <f>VALUE(SUBSTITUTE('1000_заявлений'!H65, ".", ","))</f>
        <v>-5200</v>
      </c>
      <c r="I71" s="4">
        <f>VALUE(SUBSTITUTE('1000_заявлений'!I65, ".", ","))</f>
        <v>0.18955645161290299</v>
      </c>
      <c r="J71" s="4">
        <f>VALUE(SUBSTITUTE('1000_заявлений'!J65, ".", ","))</f>
        <v>6.1514678974473096</v>
      </c>
      <c r="K71" s="5">
        <f>VALUE(SUBSTITUTE('1000_заявлений'!K65, ".", ","))</f>
        <v>365243</v>
      </c>
      <c r="L71" s="6">
        <f>VALUE(SUBSTITUTE('1000_заявлений'!L65, ".", ","))</f>
        <v>21154.5</v>
      </c>
      <c r="M71" s="2" t="str">
        <f>IF(Данные[[#This Row],[proba]]&gt;$C$6, "отказ", "одобрение")</f>
        <v>одобрение</v>
      </c>
      <c r="N71" s="7">
        <f>IF(Данные[[#This Row],[proba]]&lt;$D$2,$C$2,IF(Данные[[#This Row],[proba]]&lt;$D$3,$C$3,IF(Данные[[#This Row],[proba]]&gt;$C$6,0,$C$4)))</f>
        <v>300000</v>
      </c>
      <c r="O71" s="2">
        <f>IF(Данные[[#This Row],[weighted_ext_score]]&gt;$O$1,MIN(Данные[[#This Row],[Базовая сумма]]*$O$2,$C$2),IF(Данные[[#This Row],[weighted_ext_score]]&lt;$O$3,Данные[[#This Row],[Базовая сумма]]*$O$4,N71))</f>
        <v>300000</v>
      </c>
      <c r="P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1" s="2">
        <f>ABS(Данные[[#This Row],[days_birth]])/365.2425</f>
        <v>62.120372081562252</v>
      </c>
      <c r="S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1" s="2">
        <f>IF(Данные[[#This Row],[ interest_rate]]&gt;$T$1,Данные[[#This Row],[days_birth4]]*$T$2,Данные[[#This Row],[days_birth4]])</f>
        <v>378000</v>
      </c>
      <c r="U71" s="2">
        <f>IF(Данные[[#This Row],[Проверка отказа]]="отказ",0,MAX(Данные[[#This Row],[interest_rate]],$C$1))</f>
        <v>378000</v>
      </c>
      <c r="V71" s="2">
        <f>MROUND(Данные[[#This Row],[Минимум 20000]], 100)</f>
        <v>378000</v>
      </c>
    </row>
    <row r="72" spans="1:22" x14ac:dyDescent="0.25">
      <c r="A72" s="2">
        <f>'1000_заявлений'!A66</f>
        <v>64</v>
      </c>
      <c r="B72" s="4">
        <f>VALUE(SUBSTITUTE('1000_заявлений'!B66, ".", ","))</f>
        <v>0.437506135497231</v>
      </c>
      <c r="C72" s="4">
        <f>VALUE(SUBSTITUTE('1000_заявлений'!C66, ".", ","))</f>
        <v>0.24967281635077801</v>
      </c>
      <c r="D72" s="4">
        <f>VALUE(SUBSTITUTE('1000_заявлений'!D66, ".", ","))</f>
        <v>0.53527623000000002</v>
      </c>
      <c r="E72" s="4">
        <f>VALUE(SUBSTITUTE('1000_заявлений'!E66, ".", ","))</f>
        <v>0.76969980000000005</v>
      </c>
      <c r="F72" s="5">
        <f>VALUE(SUBSTITUTE('1000_заявлений'!F66, ".", ","))</f>
        <v>-4202</v>
      </c>
      <c r="G72" s="5">
        <f>VALUE(SUBSTITUTE('1000_заявлений'!G66, ".", ","))</f>
        <v>-12252</v>
      </c>
      <c r="H72" s="5">
        <f>VALUE(SUBSTITUTE('1000_заявлений'!H66, ".", ","))</f>
        <v>-4197</v>
      </c>
      <c r="I72" s="4">
        <f>VALUE(SUBSTITUTE('1000_заявлений'!I66, ".", ","))</f>
        <v>0.25185000000000002</v>
      </c>
      <c r="J72" s="4">
        <f>VALUE(SUBSTITUTE('1000_заявлений'!J66, ".", ","))</f>
        <v>1.7518996957527999</v>
      </c>
      <c r="K72" s="5">
        <f>VALUE(SUBSTITUTE('1000_заявлений'!K66, ".", ","))</f>
        <v>-2662</v>
      </c>
      <c r="L72" s="6">
        <f>VALUE(SUBSTITUTE('1000_заявлений'!L66, ".", ","))</f>
        <v>45333</v>
      </c>
      <c r="M72" s="2" t="str">
        <f>IF(Данные[[#This Row],[proba]]&gt;$C$6, "отказ", "одобрение")</f>
        <v>отказ</v>
      </c>
      <c r="N72" s="7">
        <f>IF(Данные[[#This Row],[proba]]&lt;$D$2,$C$2,IF(Данные[[#This Row],[proba]]&lt;$D$3,$C$3,IF(Данные[[#This Row],[proba]]&gt;$C$6,0,$C$4)))</f>
        <v>0</v>
      </c>
      <c r="O72" s="2">
        <f>IF(Данные[[#This Row],[weighted_ext_score]]&gt;$O$1,MIN(Данные[[#This Row],[Базовая сумма]]*$O$2,$C$2),IF(Данные[[#This Row],[weighted_ext_score]]&lt;$O$3,Данные[[#This Row],[Базовая сумма]]*$O$4,N72))</f>
        <v>0</v>
      </c>
      <c r="P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" s="2">
        <f>ABS(Данные[[#This Row],[days_birth]])/365.2425</f>
        <v>33.544836649623193</v>
      </c>
      <c r="S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" s="2">
        <f>IF(Данные[[#This Row],[ interest_rate]]&gt;$T$1,Данные[[#This Row],[days_birth4]]*$T$2,Данные[[#This Row],[days_birth4]])</f>
        <v>0</v>
      </c>
      <c r="U72" s="2">
        <f>IF(Данные[[#This Row],[Проверка отказа]]="отказ",0,MAX(Данные[[#This Row],[interest_rate]],$C$1))</f>
        <v>0</v>
      </c>
      <c r="V72" s="2">
        <f>MROUND(Данные[[#This Row],[Минимум 20000]], 100)</f>
        <v>0</v>
      </c>
    </row>
    <row r="73" spans="1:22" x14ac:dyDescent="0.25">
      <c r="A73" s="2">
        <f>'1000_заявлений'!A67</f>
        <v>65</v>
      </c>
      <c r="B73" s="4">
        <f>VALUE(SUBSTITUTE('1000_заявлений'!B67, ".", ","))</f>
        <v>0.36958203364974002</v>
      </c>
      <c r="C73" s="4">
        <f>VALUE(SUBSTITUTE('1000_заявлений'!C67, ".", ","))</f>
        <v>0.38982580855879301</v>
      </c>
      <c r="D73" s="4">
        <f>VALUE(SUBSTITUTE('1000_заявлений'!D67, ".", ","))</f>
        <v>0.61099130000000001</v>
      </c>
      <c r="E73" s="4">
        <f>VALUE(SUBSTITUTE('1000_заявлений'!E67, ".", ","))</f>
        <v>0.52054036000000004</v>
      </c>
      <c r="F73" s="5">
        <f>VALUE(SUBSTITUTE('1000_заявлений'!F67, ".", ","))</f>
        <v>-4583</v>
      </c>
      <c r="G73" s="5">
        <f>VALUE(SUBSTITUTE('1000_заявлений'!G67, ".", ","))</f>
        <v>-19389</v>
      </c>
      <c r="H73" s="5">
        <f>VALUE(SUBSTITUTE('1000_заявлений'!H67, ".", ","))</f>
        <v>-2921</v>
      </c>
      <c r="I73" s="4">
        <f>VALUE(SUBSTITUTE('1000_заявлений'!I67, ".", ","))</f>
        <v>7.22E-2</v>
      </c>
      <c r="J73" s="4">
        <f>VALUE(SUBSTITUTE('1000_заявлений'!J67, ".", ","))</f>
        <v>3.5200104837707298</v>
      </c>
      <c r="K73" s="5">
        <f>VALUE(SUBSTITUTE('1000_заявлений'!K67, ".", ","))</f>
        <v>-7472</v>
      </c>
      <c r="L73" s="6">
        <f>VALUE(SUBSTITUTE('1000_заявлений'!L67, ".", ","))</f>
        <v>4873.5</v>
      </c>
      <c r="M73" s="2" t="str">
        <f>IF(Данные[[#This Row],[proba]]&gt;$C$6, "отказ", "одобрение")</f>
        <v>отказ</v>
      </c>
      <c r="N73" s="7">
        <f>IF(Данные[[#This Row],[proba]]&lt;$D$2,$C$2,IF(Данные[[#This Row],[proba]]&lt;$D$3,$C$3,IF(Данные[[#This Row],[proba]]&gt;$C$6,0,$C$4)))</f>
        <v>0</v>
      </c>
      <c r="O73" s="2">
        <f>IF(Данные[[#This Row],[weighted_ext_score]]&gt;$O$1,MIN(Данные[[#This Row],[Базовая сумма]]*$O$2,$C$2),IF(Данные[[#This Row],[weighted_ext_score]]&lt;$O$3,Данные[[#This Row],[Базовая сумма]]*$O$4,N73))</f>
        <v>0</v>
      </c>
      <c r="P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" s="2">
        <f>ABS(Данные[[#This Row],[days_birth]])/365.2425</f>
        <v>53.085278958500176</v>
      </c>
      <c r="S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" s="2">
        <f>IF(Данные[[#This Row],[ interest_rate]]&gt;$T$1,Данные[[#This Row],[days_birth4]]*$T$2,Данные[[#This Row],[days_birth4]])</f>
        <v>0</v>
      </c>
      <c r="U73" s="2">
        <f>IF(Данные[[#This Row],[Проверка отказа]]="отказ",0,MAX(Данные[[#This Row],[interest_rate]],$C$1))</f>
        <v>0</v>
      </c>
      <c r="V73" s="2">
        <f>MROUND(Данные[[#This Row],[Минимум 20000]], 100)</f>
        <v>0</v>
      </c>
    </row>
    <row r="74" spans="1:22" x14ac:dyDescent="0.25">
      <c r="A74" s="2">
        <f>'1000_заявлений'!A68</f>
        <v>66</v>
      </c>
      <c r="B74" s="4">
        <f>VALUE(SUBSTITUTE('1000_заявлений'!B68, ".", ","))</f>
        <v>0.31508447921201299</v>
      </c>
      <c r="C74" s="4">
        <f>VALUE(SUBSTITUTE('1000_заявлений'!C68, ".", ","))</f>
        <v>0.60774784950354899</v>
      </c>
      <c r="D74" s="4">
        <f>VALUE(SUBSTITUTE('1000_заявлений'!D68, ".", ","))</f>
        <v>0.41184854999999998</v>
      </c>
      <c r="E74" s="4">
        <f>VALUE(SUBSTITUTE('1000_заявлений'!E68, ".", ","))</f>
        <v>0.70134189999999996</v>
      </c>
      <c r="F74" s="5">
        <f>VALUE(SUBSTITUTE('1000_заявлений'!F68, ".", ","))</f>
        <v>-4262</v>
      </c>
      <c r="G74" s="5">
        <f>VALUE(SUBSTITUTE('1000_заявлений'!G68, ".", ","))</f>
        <v>-14467</v>
      </c>
      <c r="H74" s="5">
        <f>VALUE(SUBSTITUTE('1000_заявлений'!H68, ".", ","))</f>
        <v>-4262</v>
      </c>
      <c r="I74" s="4">
        <f>VALUE(SUBSTITUTE('1000_заявлений'!I68, ".", ","))</f>
        <v>0.13413345275414201</v>
      </c>
      <c r="J74" s="4">
        <f>VALUE(SUBSTITUTE('1000_заявлений'!J68, ".", ","))</f>
        <v>3.3035993533333898</v>
      </c>
      <c r="K74" s="5">
        <f>VALUE(SUBSTITUTE('1000_заявлений'!K68, ".", ","))</f>
        <v>-1066</v>
      </c>
      <c r="L74" s="6">
        <f>VALUE(SUBSTITUTE('1000_заявлений'!L68, ".", ","))</f>
        <v>33696</v>
      </c>
      <c r="M74" s="2" t="str">
        <f>IF(Данные[[#This Row],[proba]]&gt;$C$6, "отказ", "одобрение")</f>
        <v>отказ</v>
      </c>
      <c r="N74" s="7">
        <f>IF(Данные[[#This Row],[proba]]&lt;$D$2,$C$2,IF(Данные[[#This Row],[proba]]&lt;$D$3,$C$3,IF(Данные[[#This Row],[proba]]&gt;$C$6,0,$C$4)))</f>
        <v>0</v>
      </c>
      <c r="O74" s="2">
        <f>IF(Данные[[#This Row],[weighted_ext_score]]&gt;$O$1,MIN(Данные[[#This Row],[Базовая сумма]]*$O$2,$C$2),IF(Данные[[#This Row],[weighted_ext_score]]&lt;$O$3,Данные[[#This Row],[Базовая сумма]]*$O$4,N74))</f>
        <v>0</v>
      </c>
      <c r="P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" s="2">
        <f>ABS(Данные[[#This Row],[days_birth]])/365.2425</f>
        <v>39.609300670102741</v>
      </c>
      <c r="S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" s="2">
        <f>IF(Данные[[#This Row],[ interest_rate]]&gt;$T$1,Данные[[#This Row],[days_birth4]]*$T$2,Данные[[#This Row],[days_birth4]])</f>
        <v>0</v>
      </c>
      <c r="U74" s="2">
        <f>IF(Данные[[#This Row],[Проверка отказа]]="отказ",0,MAX(Данные[[#This Row],[interest_rate]],$C$1))</f>
        <v>0</v>
      </c>
      <c r="V74" s="2">
        <f>MROUND(Данные[[#This Row],[Минимум 20000]], 100)</f>
        <v>0</v>
      </c>
    </row>
    <row r="75" spans="1:22" x14ac:dyDescent="0.25">
      <c r="A75" s="2">
        <f>'1000_заявлений'!A69</f>
        <v>67</v>
      </c>
      <c r="B75" s="4">
        <f>VALUE(SUBSTITUTE('1000_заявлений'!B69, ".", ","))</f>
        <v>0.27375730820206701</v>
      </c>
      <c r="C75" s="4">
        <f>VALUE(SUBSTITUTE('1000_заявлений'!C69, ".", ","))</f>
        <v>0.42725756830018502</v>
      </c>
      <c r="D75" s="4">
        <f>VALUE(SUBSTITUTE('1000_заявлений'!D69, ".", ","))</f>
        <v>0.71215516000000001</v>
      </c>
      <c r="E75" s="4">
        <f>VALUE(SUBSTITUTE('1000_заявлений'!E69, ".", ","))</f>
        <v>0.52314309999999997</v>
      </c>
      <c r="F75" s="5">
        <f>VALUE(SUBSTITUTE('1000_заявлений'!F69, ".", ","))</f>
        <v>-8758</v>
      </c>
      <c r="G75" s="5">
        <f>VALUE(SUBSTITUTE('1000_заявлений'!G69, ".", ","))</f>
        <v>-15407</v>
      </c>
      <c r="H75" s="5">
        <f>VALUE(SUBSTITUTE('1000_заявлений'!H69, ".", ","))</f>
        <v>-3731</v>
      </c>
      <c r="I75" s="4">
        <f>VALUE(SUBSTITUTE('1000_заявлений'!I69, ".", ","))</f>
        <v>6.2866666666666599E-2</v>
      </c>
      <c r="J75" s="4">
        <f>VALUE(SUBSTITUTE('1000_заявлений'!J69, ".", ","))</f>
        <v>10.283915034473299</v>
      </c>
      <c r="K75" s="5">
        <f>VALUE(SUBSTITUTE('1000_заявлений'!K69, ".", ","))</f>
        <v>-2506</v>
      </c>
      <c r="L75" s="6">
        <f>VALUE(SUBSTITUTE('1000_заявлений'!L69, ".", ","))</f>
        <v>8487</v>
      </c>
      <c r="M75" s="2" t="str">
        <f>IF(Данные[[#This Row],[proba]]&gt;$C$6, "отказ", "одобрение")</f>
        <v>одобрение</v>
      </c>
      <c r="N75" s="7">
        <f>IF(Данные[[#This Row],[proba]]&lt;$D$2,$C$2,IF(Данные[[#This Row],[proba]]&lt;$D$3,$C$3,IF(Данные[[#This Row],[proba]]&gt;$C$6,0,$C$4)))</f>
        <v>100000</v>
      </c>
      <c r="O75" s="2">
        <f>IF(Данные[[#This Row],[weighted_ext_score]]&gt;$O$1,MIN(Данные[[#This Row],[Базовая сумма]]*$O$2,$C$2),IF(Данные[[#This Row],[weighted_ext_score]]&lt;$O$3,Данные[[#This Row],[Базовая сумма]]*$O$4,N75))</f>
        <v>100000</v>
      </c>
      <c r="P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5" s="2">
        <f>ABS(Данные[[#This Row],[days_birth]])/365.2425</f>
        <v>42.182933256671937</v>
      </c>
      <c r="S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5" s="2">
        <f>IF(Данные[[#This Row],[ interest_rate]]&gt;$T$1,Данные[[#This Row],[days_birth4]]*$T$2,Данные[[#This Row],[days_birth4]])</f>
        <v>144000</v>
      </c>
      <c r="U75" s="2">
        <f>IF(Данные[[#This Row],[Проверка отказа]]="отказ",0,MAX(Данные[[#This Row],[interest_rate]],$C$1))</f>
        <v>144000</v>
      </c>
      <c r="V75" s="2">
        <f>MROUND(Данные[[#This Row],[Минимум 20000]], 100)</f>
        <v>144000</v>
      </c>
    </row>
    <row r="76" spans="1:22" x14ac:dyDescent="0.25">
      <c r="A76" s="2">
        <f>'1000_заявлений'!A70</f>
        <v>68</v>
      </c>
      <c r="B76" s="4">
        <f>VALUE(SUBSTITUTE('1000_заявлений'!B70, ".", ","))</f>
        <v>0.666755953306299</v>
      </c>
      <c r="C76" s="4">
        <f>VALUE(SUBSTITUTE('1000_заявлений'!C70, ".", ","))</f>
        <v>0.24820320656296399</v>
      </c>
      <c r="D76" s="4">
        <f>VALUE(SUBSTITUTE('1000_заявлений'!D70, ".", ","))</f>
        <v>0.50828700000000004</v>
      </c>
      <c r="E76" s="4">
        <f>VALUE(SUBSTITUTE('1000_заявлений'!E70, ".", ","))</f>
        <v>0.19845209</v>
      </c>
      <c r="F76" s="5">
        <f>VALUE(SUBSTITUTE('1000_заявлений'!F70, ".", ","))</f>
        <v>-330</v>
      </c>
      <c r="G76" s="5">
        <f>VALUE(SUBSTITUTE('1000_заявлений'!G70, ".", ","))</f>
        <v>-15370</v>
      </c>
      <c r="H76" s="5">
        <f>VALUE(SUBSTITUTE('1000_заявлений'!H70, ".", ","))</f>
        <v>-4069</v>
      </c>
      <c r="I76" s="4">
        <f>VALUE(SUBSTITUTE('1000_заявлений'!I70, ".", ","))</f>
        <v>0.18990000000000001</v>
      </c>
      <c r="J76" s="4">
        <f>VALUE(SUBSTITUTE('1000_заявлений'!J70, ".", ","))</f>
        <v>1.8143178924610699</v>
      </c>
      <c r="K76" s="5">
        <f>VALUE(SUBSTITUTE('1000_заявлений'!K70, ".", ","))</f>
        <v>-5520</v>
      </c>
      <c r="L76" s="6">
        <f>VALUE(SUBSTITUTE('1000_заявлений'!L70, ".", ","))</f>
        <v>34182</v>
      </c>
      <c r="M76" s="2" t="str">
        <f>IF(Данные[[#This Row],[proba]]&gt;$C$6, "отказ", "одобрение")</f>
        <v>отказ</v>
      </c>
      <c r="N76" s="7">
        <f>IF(Данные[[#This Row],[proba]]&lt;$D$2,$C$2,IF(Данные[[#This Row],[proba]]&lt;$D$3,$C$3,IF(Данные[[#This Row],[proba]]&gt;$C$6,0,$C$4)))</f>
        <v>0</v>
      </c>
      <c r="O76" s="2">
        <f>IF(Данные[[#This Row],[weighted_ext_score]]&gt;$O$1,MIN(Данные[[#This Row],[Базовая сумма]]*$O$2,$C$2),IF(Данные[[#This Row],[weighted_ext_score]]&lt;$O$3,Данные[[#This Row],[Базовая сумма]]*$O$4,N76))</f>
        <v>0</v>
      </c>
      <c r="P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" s="2">
        <f>ABS(Данные[[#This Row],[days_birth]])/365.2425</f>
        <v>42.08163069741336</v>
      </c>
      <c r="S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" s="2">
        <f>IF(Данные[[#This Row],[ interest_rate]]&gt;$T$1,Данные[[#This Row],[days_birth4]]*$T$2,Данные[[#This Row],[days_birth4]])</f>
        <v>0</v>
      </c>
      <c r="U76" s="2">
        <f>IF(Данные[[#This Row],[Проверка отказа]]="отказ",0,MAX(Данные[[#This Row],[interest_rate]],$C$1))</f>
        <v>0</v>
      </c>
      <c r="V76" s="2">
        <f>MROUND(Данные[[#This Row],[Минимум 20000]], 100)</f>
        <v>0</v>
      </c>
    </row>
    <row r="77" spans="1:22" x14ac:dyDescent="0.25">
      <c r="A77" s="2">
        <f>'1000_заявлений'!A71</f>
        <v>69</v>
      </c>
      <c r="B77" s="4">
        <f>VALUE(SUBSTITUTE('1000_заявлений'!B71, ".", ","))</f>
        <v>0.26916869809792299</v>
      </c>
      <c r="C77" s="4">
        <f>VALUE(SUBSTITUTE('1000_заявлений'!C71, ".", ","))</f>
        <v>0.45706764000067601</v>
      </c>
      <c r="D77" s="4">
        <f>VALUE(SUBSTITUTE('1000_заявлений'!D71, ".", ","))</f>
        <v>0.66263777000000001</v>
      </c>
      <c r="E77" s="4">
        <f>VALUE(SUBSTITUTE('1000_заявлений'!E71, ".", ","))</f>
        <v>0.67025226000000004</v>
      </c>
      <c r="F77" s="5">
        <f>VALUE(SUBSTITUTE('1000_заявлений'!F71, ".", ","))</f>
        <v>-999</v>
      </c>
      <c r="G77" s="5">
        <f>VALUE(SUBSTITUTE('1000_заявлений'!G71, ".", ","))</f>
        <v>-16323</v>
      </c>
      <c r="H77" s="5">
        <f>VALUE(SUBSTITUTE('1000_заявлений'!H71, ".", ","))</f>
        <v>-3933</v>
      </c>
      <c r="I77" s="4">
        <f>VALUE(SUBSTITUTE('1000_заявлений'!I71, ".", ","))</f>
        <v>0.17815</v>
      </c>
      <c r="J77" s="4">
        <f>VALUE(SUBSTITUTE('1000_заявлений'!J71, ".", ","))</f>
        <v>6.5919107930292897</v>
      </c>
      <c r="K77" s="5">
        <f>VALUE(SUBSTITUTE('1000_заявлений'!K71, ".", ","))</f>
        <v>-6486</v>
      </c>
      <c r="L77" s="6">
        <f>VALUE(SUBSTITUTE('1000_заявлений'!L71, ".", ","))</f>
        <v>32067</v>
      </c>
      <c r="M77" s="2" t="str">
        <f>IF(Данные[[#This Row],[proba]]&gt;$C$6, "отказ", "одобрение")</f>
        <v>одобрение</v>
      </c>
      <c r="N77" s="7">
        <f>IF(Данные[[#This Row],[proba]]&lt;$D$2,$C$2,IF(Данные[[#This Row],[proba]]&lt;$D$3,$C$3,IF(Данные[[#This Row],[proba]]&gt;$C$6,0,$C$4)))</f>
        <v>100000</v>
      </c>
      <c r="O77" s="2">
        <f>IF(Данные[[#This Row],[weighted_ext_score]]&gt;$O$1,MIN(Данные[[#This Row],[Базовая сумма]]*$O$2,$C$2),IF(Данные[[#This Row],[weighted_ext_score]]&lt;$O$3,Данные[[#This Row],[Базовая сумма]]*$O$4,N77))</f>
        <v>100000</v>
      </c>
      <c r="P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7" s="2">
        <f>ABS(Данные[[#This Row],[days_birth]])/365.2425</f>
        <v>44.690856075073413</v>
      </c>
      <c r="S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7" s="2">
        <f>IF(Данные[[#This Row],[ interest_rate]]&gt;$T$1,Данные[[#This Row],[days_birth4]]*$T$2,Данные[[#This Row],[days_birth4]])</f>
        <v>144000</v>
      </c>
      <c r="U77" s="2">
        <f>IF(Данные[[#This Row],[Проверка отказа]]="отказ",0,MAX(Данные[[#This Row],[interest_rate]],$C$1))</f>
        <v>144000</v>
      </c>
      <c r="V77" s="2">
        <f>MROUND(Данные[[#This Row],[Минимум 20000]], 100)</f>
        <v>144000</v>
      </c>
    </row>
    <row r="78" spans="1:22" x14ac:dyDescent="0.25">
      <c r="A78" s="2">
        <f>'1000_заявлений'!A72</f>
        <v>70</v>
      </c>
      <c r="B78" s="4">
        <f>VALUE(SUBSTITUTE('1000_заявлений'!B72, ".", ","))</f>
        <v>0.82123716054776197</v>
      </c>
      <c r="C78" s="4">
        <f>VALUE(SUBSTITUTE('1000_заявлений'!C72, ".", ","))</f>
        <v>0.159172183294744</v>
      </c>
      <c r="D78" s="4">
        <f>VALUE(SUBSTITUTE('1000_заявлений'!D72, ".", ","))</f>
        <v>0.25123944999999998</v>
      </c>
      <c r="E78" s="4">
        <f>VALUE(SUBSTITUTE('1000_заявлений'!E72, ".", ","))</f>
        <v>0.21058070000000001</v>
      </c>
      <c r="F78" s="5">
        <f>VALUE(SUBSTITUTE('1000_заявлений'!F72, ".", ","))</f>
        <v>-4367</v>
      </c>
      <c r="G78" s="5">
        <f>VALUE(SUBSTITUTE('1000_заявлений'!G72, ".", ","))</f>
        <v>-9658</v>
      </c>
      <c r="H78" s="5">
        <f>VALUE(SUBSTITUTE('1000_заявлений'!H72, ".", ","))</f>
        <v>-2217</v>
      </c>
      <c r="I78" s="4">
        <f>VALUE(SUBSTITUTE('1000_заявлений'!I72, ".", ","))</f>
        <v>0.13600000000000001</v>
      </c>
      <c r="J78" s="4">
        <f>VALUE(SUBSTITUTE('1000_заявлений'!J72, ".", ","))</f>
        <v>4.7111736185995596</v>
      </c>
      <c r="K78" s="5">
        <f>VALUE(SUBSTITUTE('1000_заявлений'!K72, ".", ","))</f>
        <v>-907</v>
      </c>
      <c r="L78" s="6">
        <f>VALUE(SUBSTITUTE('1000_заявлений'!L72, ".", ","))</f>
        <v>16524</v>
      </c>
      <c r="M78" s="2" t="str">
        <f>IF(Данные[[#This Row],[proba]]&gt;$C$6, "отказ", "одобрение")</f>
        <v>отказ</v>
      </c>
      <c r="N78" s="7">
        <f>IF(Данные[[#This Row],[proba]]&lt;$D$2,$C$2,IF(Данные[[#This Row],[proba]]&lt;$D$3,$C$3,IF(Данные[[#This Row],[proba]]&gt;$C$6,0,$C$4)))</f>
        <v>0</v>
      </c>
      <c r="O78" s="2">
        <f>IF(Данные[[#This Row],[weighted_ext_score]]&gt;$O$1,MIN(Данные[[#This Row],[Базовая сумма]]*$O$2,$C$2),IF(Данные[[#This Row],[weighted_ext_score]]&lt;$O$3,Данные[[#This Row],[Базовая сумма]]*$O$4,N78))</f>
        <v>0</v>
      </c>
      <c r="P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" s="2">
        <f>ABS(Данные[[#This Row],[days_birth]])/365.2425</f>
        <v>26.442705873495008</v>
      </c>
      <c r="S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" s="2">
        <f>IF(Данные[[#This Row],[ interest_rate]]&gt;$T$1,Данные[[#This Row],[days_birth4]]*$T$2,Данные[[#This Row],[days_birth4]])</f>
        <v>0</v>
      </c>
      <c r="U78" s="2">
        <f>IF(Данные[[#This Row],[Проверка отказа]]="отказ",0,MAX(Данные[[#This Row],[interest_rate]],$C$1))</f>
        <v>0</v>
      </c>
      <c r="V78" s="2">
        <f>MROUND(Данные[[#This Row],[Минимум 20000]], 100)</f>
        <v>0</v>
      </c>
    </row>
    <row r="79" spans="1:22" x14ac:dyDescent="0.25">
      <c r="A79" s="2">
        <f>'1000_заявлений'!A73</f>
        <v>71</v>
      </c>
      <c r="B79" s="4">
        <f>VALUE(SUBSTITUTE('1000_заявлений'!B73, ".", ","))</f>
        <v>0.29917635285476402</v>
      </c>
      <c r="C79" s="4">
        <f>VALUE(SUBSTITUTE('1000_заявлений'!C73, ".", ","))</f>
        <v>0.56856775222622502</v>
      </c>
      <c r="D79" s="4">
        <f>VALUE(SUBSTITUTE('1000_заявлений'!D73, ".", ","))</f>
        <v>0.70620510000000003</v>
      </c>
      <c r="E79" s="4">
        <f>VALUE(SUBSTITUTE('1000_заявлений'!E73, ".", ","))</f>
        <v>0.49372621999999999</v>
      </c>
      <c r="F79" s="5">
        <f>VALUE(SUBSTITUTE('1000_заявлений'!F73, ".", ","))</f>
        <v>-63</v>
      </c>
      <c r="G79" s="5">
        <f>VALUE(SUBSTITUTE('1000_заявлений'!G73, ".", ","))</f>
        <v>-15195</v>
      </c>
      <c r="H79" s="5">
        <f>VALUE(SUBSTITUTE('1000_заявлений'!H73, ".", ","))</f>
        <v>-4280</v>
      </c>
      <c r="I79" s="4">
        <f>VALUE(SUBSTITUTE('1000_заявлений'!I73, ".", ","))</f>
        <v>0.18691428571428501</v>
      </c>
      <c r="J79" s="4">
        <f>VALUE(SUBSTITUTE('1000_заявлений'!J73, ".", ","))</f>
        <v>0.84218333764933795</v>
      </c>
      <c r="K79" s="5">
        <f>VALUE(SUBSTITUTE('1000_заявлений'!K73, ".", ","))</f>
        <v>-7078</v>
      </c>
      <c r="L79" s="6">
        <f>VALUE(SUBSTITUTE('1000_заявлений'!L73, ".", ","))</f>
        <v>29439</v>
      </c>
      <c r="M79" s="2" t="str">
        <f>IF(Данные[[#This Row],[proba]]&gt;$C$6, "отказ", "одобрение")</f>
        <v>одобрение</v>
      </c>
      <c r="N79" s="7">
        <f>IF(Данные[[#This Row],[proba]]&lt;$D$2,$C$2,IF(Данные[[#This Row],[proba]]&lt;$D$3,$C$3,IF(Данные[[#This Row],[proba]]&gt;$C$6,0,$C$4)))</f>
        <v>100000</v>
      </c>
      <c r="O79" s="2">
        <f>IF(Данные[[#This Row],[weighted_ext_score]]&gt;$O$1,MIN(Данные[[#This Row],[Базовая сумма]]*$O$2,$C$2),IF(Данные[[#This Row],[weighted_ext_score]]&lt;$O$3,Данные[[#This Row],[Базовая сумма]]*$O$4,N79))</f>
        <v>100000</v>
      </c>
      <c r="P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9" s="2">
        <f>ABS(Данные[[#This Row],[days_birth]])/365.2425</f>
        <v>41.602496971190369</v>
      </c>
      <c r="S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9" s="2">
        <f>IF(Данные[[#This Row],[ interest_rate]]&gt;$T$1,Данные[[#This Row],[days_birth4]]*$T$2,Данные[[#This Row],[days_birth4]])</f>
        <v>144000</v>
      </c>
      <c r="U79" s="2">
        <f>IF(Данные[[#This Row],[Проверка отказа]]="отказ",0,MAX(Данные[[#This Row],[interest_rate]],$C$1))</f>
        <v>144000</v>
      </c>
      <c r="V79" s="2">
        <f>MROUND(Данные[[#This Row],[Минимум 20000]], 100)</f>
        <v>144000</v>
      </c>
    </row>
    <row r="80" spans="1:22" x14ac:dyDescent="0.25">
      <c r="A80" s="2">
        <f>'1000_заявлений'!A74</f>
        <v>72</v>
      </c>
      <c r="B80" s="4">
        <f>VALUE(SUBSTITUTE('1000_заявлений'!B74, ".", ","))</f>
        <v>0.220122393195504</v>
      </c>
      <c r="C80" s="4">
        <f>VALUE(SUBSTITUTE('1000_заявлений'!C74, ".", ","))</f>
        <v>0.691404125185765</v>
      </c>
      <c r="D80" s="4">
        <f>VALUE(SUBSTITUTE('1000_заявлений'!D74, ".", ","))</f>
        <v>0.5797274</v>
      </c>
      <c r="E80" s="4">
        <f>VALUE(SUBSTITUTE('1000_заявлений'!E74, ".", ","))</f>
        <v>0.67449610000000004</v>
      </c>
      <c r="F80" s="5">
        <f>VALUE(SUBSTITUTE('1000_заявлений'!F74, ".", ","))</f>
        <v>-2945</v>
      </c>
      <c r="G80" s="5">
        <f>VALUE(SUBSTITUTE('1000_заявлений'!G74, ".", ","))</f>
        <v>-18067</v>
      </c>
      <c r="H80" s="5">
        <f>VALUE(SUBSTITUTE('1000_заявлений'!H74, ".", ","))</f>
        <v>-1616</v>
      </c>
      <c r="I80" s="4">
        <f>VALUE(SUBSTITUTE('1000_заявлений'!I74, ".", ","))</f>
        <v>9.8346666666666596E-2</v>
      </c>
      <c r="J80" s="4">
        <f>VALUE(SUBSTITUTE('1000_заявлений'!J74, ".", ","))</f>
        <v>2.0040427079677401</v>
      </c>
      <c r="K80" s="5">
        <f>VALUE(SUBSTITUTE('1000_заявлений'!K74, ".", ","))</f>
        <v>-3543</v>
      </c>
      <c r="L80" s="6">
        <f>VALUE(SUBSTITUTE('1000_заявлений'!L74, ".", ","))</f>
        <v>33192</v>
      </c>
      <c r="M80" s="2" t="str">
        <f>IF(Данные[[#This Row],[proba]]&gt;$C$6, "отказ", "одобрение")</f>
        <v>одобрение</v>
      </c>
      <c r="N80" s="7">
        <f>IF(Данные[[#This Row],[proba]]&lt;$D$2,$C$2,IF(Данные[[#This Row],[proba]]&lt;$D$3,$C$3,IF(Данные[[#This Row],[proba]]&gt;$C$6,0,$C$4)))</f>
        <v>100000</v>
      </c>
      <c r="O80" s="2">
        <f>IF(Данные[[#This Row],[weighted_ext_score]]&gt;$O$1,MIN(Данные[[#This Row],[Базовая сумма]]*$O$2,$C$2),IF(Данные[[#This Row],[weighted_ext_score]]&lt;$O$3,Данные[[#This Row],[Базовая сумма]]*$O$4,N80))</f>
        <v>100000</v>
      </c>
      <c r="P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0" s="2">
        <f>ABS(Данные[[#This Row],[days_birth]])/365.2425</f>
        <v>49.465765895261363</v>
      </c>
      <c r="S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80" s="2">
        <f>IF(Данные[[#This Row],[ interest_rate]]&gt;$T$1,Данные[[#This Row],[days_birth4]]*$T$2,Данные[[#This Row],[days_birth4]])</f>
        <v>144000</v>
      </c>
      <c r="U80" s="2">
        <f>IF(Данные[[#This Row],[Проверка отказа]]="отказ",0,MAX(Данные[[#This Row],[interest_rate]],$C$1))</f>
        <v>144000</v>
      </c>
      <c r="V80" s="2">
        <f>MROUND(Данные[[#This Row],[Минимум 20000]], 100)</f>
        <v>144000</v>
      </c>
    </row>
    <row r="81" spans="1:22" x14ac:dyDescent="0.25">
      <c r="A81" s="2">
        <f>'1000_заявлений'!A75</f>
        <v>73</v>
      </c>
      <c r="B81" s="4">
        <f>VALUE(SUBSTITUTE('1000_заявлений'!B75, ".", ","))</f>
        <v>0.51748680165039895</v>
      </c>
      <c r="C81" s="4">
        <f>VALUE(SUBSTITUTE('1000_заявлений'!C75, ".", ","))</f>
        <v>0.31032865972414603</v>
      </c>
      <c r="D81" s="4">
        <f>VALUE(SUBSTITUTE('1000_заявлений'!D75, ".", ","))</f>
        <v>0.24186149000000001</v>
      </c>
      <c r="E81" s="4">
        <f>VALUE(SUBSTITUTE('1000_заявлений'!E75, ".", ","))</f>
        <v>0.68702700000000005</v>
      </c>
      <c r="F81" s="5">
        <f>VALUE(SUBSTITUTE('1000_заявлений'!F75, ".", ","))</f>
        <v>-5458</v>
      </c>
      <c r="G81" s="5">
        <f>VALUE(SUBSTITUTE('1000_заявлений'!G75, ".", ","))</f>
        <v>-16657</v>
      </c>
      <c r="H81" s="5">
        <f>VALUE(SUBSTITUTE('1000_заявлений'!H75, ".", ","))</f>
        <v>-38</v>
      </c>
      <c r="I81" s="4">
        <f>VALUE(SUBSTITUTE('1000_заявлений'!I75, ".", ","))</f>
        <v>7.1400000000000005E-2</v>
      </c>
      <c r="J81" s="4">
        <f>VALUE(SUBSTITUTE('1000_заявлений'!J75, ".", ","))</f>
        <v>14.8570179335033</v>
      </c>
      <c r="K81" s="5">
        <f>VALUE(SUBSTITUTE('1000_заявлений'!K75, ".", ","))</f>
        <v>-3952</v>
      </c>
      <c r="L81" s="6">
        <f>VALUE(SUBSTITUTE('1000_заявлений'!L75, ".", ","))</f>
        <v>4819.5</v>
      </c>
      <c r="M81" s="2" t="str">
        <f>IF(Данные[[#This Row],[proba]]&gt;$C$6, "отказ", "одобрение")</f>
        <v>отказ</v>
      </c>
      <c r="N81" s="7">
        <f>IF(Данные[[#This Row],[proba]]&lt;$D$2,$C$2,IF(Данные[[#This Row],[proba]]&lt;$D$3,$C$3,IF(Данные[[#This Row],[proba]]&gt;$C$6,0,$C$4)))</f>
        <v>0</v>
      </c>
      <c r="O81" s="2">
        <f>IF(Данные[[#This Row],[weighted_ext_score]]&gt;$O$1,MIN(Данные[[#This Row],[Базовая сумма]]*$O$2,$C$2),IF(Данные[[#This Row],[weighted_ext_score]]&lt;$O$3,Данные[[#This Row],[Базовая сумма]]*$O$4,N81))</f>
        <v>0</v>
      </c>
      <c r="P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" s="2">
        <f>ABS(Данные[[#This Row],[days_birth]])/365.2425</f>
        <v>45.605317015407572</v>
      </c>
      <c r="S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" s="2">
        <f>IF(Данные[[#This Row],[ interest_rate]]&gt;$T$1,Данные[[#This Row],[days_birth4]]*$T$2,Данные[[#This Row],[days_birth4]])</f>
        <v>0</v>
      </c>
      <c r="U81" s="2">
        <f>IF(Данные[[#This Row],[Проверка отказа]]="отказ",0,MAX(Данные[[#This Row],[interest_rate]],$C$1))</f>
        <v>0</v>
      </c>
      <c r="V81" s="2">
        <f>MROUND(Данные[[#This Row],[Минимум 20000]], 100)</f>
        <v>0</v>
      </c>
    </row>
    <row r="82" spans="1:22" x14ac:dyDescent="0.25">
      <c r="A82" s="2">
        <f>'1000_заявлений'!A76</f>
        <v>74</v>
      </c>
      <c r="B82" s="4">
        <f>VALUE(SUBSTITUTE('1000_заявлений'!B76, ".", ","))</f>
        <v>0.66974938866209099</v>
      </c>
      <c r="C82" s="4">
        <f>VALUE(SUBSTITUTE('1000_заявлений'!C76, ".", ","))</f>
        <v>0.25176400563224699</v>
      </c>
      <c r="D82" s="4">
        <f>VALUE(SUBSTITUTE('1000_заявлений'!D76, ".", ","))</f>
        <v>8.2268510000000003E-2</v>
      </c>
      <c r="E82" s="4">
        <f>VALUE(SUBSTITUTE('1000_заявлений'!E76, ".", ","))</f>
        <v>0.6844209</v>
      </c>
      <c r="F82" s="5">
        <f>VALUE(SUBSTITUTE('1000_заявлений'!F76, ".", ","))</f>
        <v>-4340</v>
      </c>
      <c r="G82" s="5">
        <f>VALUE(SUBSTITUTE('1000_заявлений'!G76, ".", ","))</f>
        <v>-10309</v>
      </c>
      <c r="H82" s="5">
        <f>VALUE(SUBSTITUTE('1000_заявлений'!H76, ".", ","))</f>
        <v>-2977</v>
      </c>
      <c r="I82" s="4">
        <f>VALUE(SUBSTITUTE('1000_заявлений'!I76, ".", ","))</f>
        <v>7.46E-2</v>
      </c>
      <c r="J82" s="4">
        <f>VALUE(SUBSTITUTE('1000_заявлений'!J76, ".", ","))</f>
        <v>9.8522264590684596</v>
      </c>
      <c r="K82" s="5">
        <f>VALUE(SUBSTITUTE('1000_заявлений'!K76, ".", ","))</f>
        <v>-2821</v>
      </c>
      <c r="L82" s="6">
        <f>VALUE(SUBSTITUTE('1000_заявлений'!L76, ".", ","))</f>
        <v>10071</v>
      </c>
      <c r="M82" s="2" t="str">
        <f>IF(Данные[[#This Row],[proba]]&gt;$C$6, "отказ", "одобрение")</f>
        <v>отказ</v>
      </c>
      <c r="N82" s="7">
        <f>IF(Данные[[#This Row],[proba]]&lt;$D$2,$C$2,IF(Данные[[#This Row],[proba]]&lt;$D$3,$C$3,IF(Данные[[#This Row],[proba]]&gt;$C$6,0,$C$4)))</f>
        <v>0</v>
      </c>
      <c r="O82" s="2">
        <f>IF(Данные[[#This Row],[weighted_ext_score]]&gt;$O$1,MIN(Данные[[#This Row],[Базовая сумма]]*$O$2,$C$2),IF(Данные[[#This Row],[weighted_ext_score]]&lt;$O$3,Данные[[#This Row],[Базовая сумма]]*$O$4,N82))</f>
        <v>0</v>
      </c>
      <c r="P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" s="2">
        <f>ABS(Данные[[#This Row],[days_birth]])/365.2425</f>
        <v>28.225083335044523</v>
      </c>
      <c r="S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" s="2">
        <f>IF(Данные[[#This Row],[ interest_rate]]&gt;$T$1,Данные[[#This Row],[days_birth4]]*$T$2,Данные[[#This Row],[days_birth4]])</f>
        <v>0</v>
      </c>
      <c r="U82" s="2">
        <f>IF(Данные[[#This Row],[Проверка отказа]]="отказ",0,MAX(Данные[[#This Row],[interest_rate]],$C$1))</f>
        <v>0</v>
      </c>
      <c r="V82" s="2">
        <f>MROUND(Данные[[#This Row],[Минимум 20000]], 100)</f>
        <v>0</v>
      </c>
    </row>
    <row r="83" spans="1:22" x14ac:dyDescent="0.25">
      <c r="A83" s="2">
        <f>'1000_заявлений'!A77</f>
        <v>75</v>
      </c>
      <c r="B83" s="4">
        <f>VALUE(SUBSTITUTE('1000_заявлений'!B77, ".", ","))</f>
        <v>0.47280761805343402</v>
      </c>
      <c r="C83" s="4">
        <f>VALUE(SUBSTITUTE('1000_заявлений'!C77, ".", ","))</f>
        <v>0.456444744312823</v>
      </c>
      <c r="D83" s="4">
        <f>VALUE(SUBSTITUTE('1000_заявлений'!D77, ".", ","))</f>
        <v>0.20092608000000001</v>
      </c>
      <c r="E83" s="4">
        <f>VALUE(SUBSTITUTE('1000_заявлений'!E77, ".", ","))</f>
        <v>0.68931229999999999</v>
      </c>
      <c r="F83" s="5">
        <f>VALUE(SUBSTITUTE('1000_заявлений'!F77, ".", ","))</f>
        <v>-1214</v>
      </c>
      <c r="G83" s="5">
        <f>VALUE(SUBSTITUTE('1000_заявлений'!G77, ".", ","))</f>
        <v>-20120</v>
      </c>
      <c r="H83" s="5">
        <f>VALUE(SUBSTITUTE('1000_заявлений'!H77, ".", ","))</f>
        <v>-3608</v>
      </c>
      <c r="I83" s="4">
        <f>VALUE(SUBSTITUTE('1000_заявлений'!I77, ".", ","))</f>
        <v>9.1840000000000005E-2</v>
      </c>
      <c r="J83" s="4">
        <f>VALUE(SUBSTITUTE('1000_заявлений'!J77, ".", ","))</f>
        <v>4.2330044385654899</v>
      </c>
      <c r="K83" s="5">
        <f>VALUE(SUBSTITUTE('1000_заявлений'!K77, ".", ","))</f>
        <v>-1032</v>
      </c>
      <c r="L83" s="6">
        <f>VALUE(SUBSTITUTE('1000_заявлений'!L77, ".", ","))</f>
        <v>20664</v>
      </c>
      <c r="M83" s="2" t="str">
        <f>IF(Данные[[#This Row],[proba]]&gt;$C$6, "отказ", "одобрение")</f>
        <v>отказ</v>
      </c>
      <c r="N83" s="7">
        <f>IF(Данные[[#This Row],[proba]]&lt;$D$2,$C$2,IF(Данные[[#This Row],[proba]]&lt;$D$3,$C$3,IF(Данные[[#This Row],[proba]]&gt;$C$6,0,$C$4)))</f>
        <v>0</v>
      </c>
      <c r="O83" s="2">
        <f>IF(Данные[[#This Row],[weighted_ext_score]]&gt;$O$1,MIN(Данные[[#This Row],[Базовая сумма]]*$O$2,$C$2),IF(Данные[[#This Row],[weighted_ext_score]]&lt;$O$3,Данные[[#This Row],[Базовая сумма]]*$O$4,N83))</f>
        <v>0</v>
      </c>
      <c r="P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" s="2">
        <f>ABS(Данные[[#This Row],[days_birth]])/365.2425</f>
        <v>55.08668898060877</v>
      </c>
      <c r="S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" s="2">
        <f>IF(Данные[[#This Row],[ interest_rate]]&gt;$T$1,Данные[[#This Row],[days_birth4]]*$T$2,Данные[[#This Row],[days_birth4]])</f>
        <v>0</v>
      </c>
      <c r="U83" s="2">
        <f>IF(Данные[[#This Row],[Проверка отказа]]="отказ",0,MAX(Данные[[#This Row],[interest_rate]],$C$1))</f>
        <v>0</v>
      </c>
      <c r="V83" s="2">
        <f>MROUND(Данные[[#This Row],[Минимум 20000]], 100)</f>
        <v>0</v>
      </c>
    </row>
    <row r="84" spans="1:22" x14ac:dyDescent="0.25">
      <c r="A84" s="2">
        <f>'1000_заявлений'!A78</f>
        <v>76</v>
      </c>
      <c r="B84" s="4">
        <f>VALUE(SUBSTITUTE('1000_заявлений'!B78, ".", ","))</f>
        <v>0.33970374867049202</v>
      </c>
      <c r="C84" s="4">
        <f>VALUE(SUBSTITUTE('1000_заявлений'!C78, ".", ","))</f>
        <v>0.56408970644170797</v>
      </c>
      <c r="D84" s="4">
        <f>VALUE(SUBSTITUTE('1000_заявлений'!D78, ".", ","))</f>
        <v>0.53348165999999997</v>
      </c>
      <c r="E84" s="4">
        <f>VALUE(SUBSTITUTE('1000_заявлений'!E78, ".", ","))</f>
        <v>0.63610160000000004</v>
      </c>
      <c r="F84" s="5">
        <f>VALUE(SUBSTITUTE('1000_заявлений'!F78, ".", ","))</f>
        <v>-8731</v>
      </c>
      <c r="G84" s="5">
        <f>VALUE(SUBSTITUTE('1000_заявлений'!G78, ".", ","))</f>
        <v>-10945</v>
      </c>
      <c r="H84" s="5">
        <f>VALUE(SUBSTITUTE('1000_заявлений'!H78, ".", ","))</f>
        <v>-2225</v>
      </c>
      <c r="I84" s="4">
        <f>VALUE(SUBSTITUTE('1000_заявлений'!I78, ".", ","))</f>
        <v>0.10951923076922999</v>
      </c>
      <c r="J84" s="4">
        <f>VALUE(SUBSTITUTE('1000_заявлений'!J78, ".", ","))</f>
        <v>0.63246618577590397</v>
      </c>
      <c r="K84" s="5">
        <f>VALUE(SUBSTITUTE('1000_заявлений'!K78, ".", ","))</f>
        <v>-1085</v>
      </c>
      <c r="L84" s="6">
        <f>VALUE(SUBSTITUTE('1000_заявлений'!L78, ".", ","))</f>
        <v>25627.5</v>
      </c>
      <c r="M84" s="2" t="str">
        <f>IF(Данные[[#This Row],[proba]]&gt;$C$6, "отказ", "одобрение")</f>
        <v>отказ</v>
      </c>
      <c r="N84" s="7">
        <f>IF(Данные[[#This Row],[proba]]&lt;$D$2,$C$2,IF(Данные[[#This Row],[proba]]&lt;$D$3,$C$3,IF(Данные[[#This Row],[proba]]&gt;$C$6,0,$C$4)))</f>
        <v>0</v>
      </c>
      <c r="O84" s="2">
        <f>IF(Данные[[#This Row],[weighted_ext_score]]&gt;$O$1,MIN(Данные[[#This Row],[Базовая сумма]]*$O$2,$C$2),IF(Данные[[#This Row],[weighted_ext_score]]&lt;$O$3,Данные[[#This Row],[Базовая сумма]]*$O$4,N84))</f>
        <v>0</v>
      </c>
      <c r="P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" s="2">
        <f>ABS(Данные[[#This Row],[days_birth]])/365.2425</f>
        <v>29.966392191489216</v>
      </c>
      <c r="S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" s="2">
        <f>IF(Данные[[#This Row],[ interest_rate]]&gt;$T$1,Данные[[#This Row],[days_birth4]]*$T$2,Данные[[#This Row],[days_birth4]])</f>
        <v>0</v>
      </c>
      <c r="U84" s="2">
        <f>IF(Данные[[#This Row],[Проверка отказа]]="отказ",0,MAX(Данные[[#This Row],[interest_rate]],$C$1))</f>
        <v>0</v>
      </c>
      <c r="V84" s="2">
        <f>MROUND(Данные[[#This Row],[Минимум 20000]], 100)</f>
        <v>0</v>
      </c>
    </row>
    <row r="85" spans="1:22" x14ac:dyDescent="0.25">
      <c r="A85" s="2">
        <f>'1000_заявлений'!A79</f>
        <v>77</v>
      </c>
      <c r="B85" s="4">
        <f>VALUE(SUBSTITUTE('1000_заявлений'!B79, ".", ","))</f>
        <v>0.22171444935165299</v>
      </c>
      <c r="C85" s="4">
        <f>VALUE(SUBSTITUTE('1000_заявлений'!C79, ".", ","))</f>
        <v>0.61835443786511002</v>
      </c>
      <c r="D85" s="4">
        <f>VALUE(SUBSTITUTE('1000_заявлений'!D79, ".", ","))</f>
        <v>0.57091652999999998</v>
      </c>
      <c r="E85" s="4">
        <f>VALUE(SUBSTITUTE('1000_заявлений'!E79, ".", ","))</f>
        <v>0.69979599999999997</v>
      </c>
      <c r="F85" s="5">
        <f>VALUE(SUBSTITUTE('1000_заявлений'!F79, ".", ","))</f>
        <v>-3489</v>
      </c>
      <c r="G85" s="5">
        <f>VALUE(SUBSTITUTE('1000_заявлений'!G79, ".", ","))</f>
        <v>-20302</v>
      </c>
      <c r="H85" s="5">
        <f>VALUE(SUBSTITUTE('1000_заявлений'!H79, ".", ","))</f>
        <v>-3489</v>
      </c>
      <c r="I85" s="4">
        <f>VALUE(SUBSTITUTE('1000_заявлений'!I79, ".", ","))</f>
        <v>9.00857142857142E-2</v>
      </c>
      <c r="J85" s="4">
        <f>VALUE(SUBSTITUTE('1000_заявлений'!J79, ".", ","))</f>
        <v>3.6461607409491799</v>
      </c>
      <c r="K85" s="5">
        <f>VALUE(SUBSTITUTE('1000_заявлений'!K79, ".", ","))</f>
        <v>-2247</v>
      </c>
      <c r="L85" s="6">
        <f>VALUE(SUBSTITUTE('1000_заявлений'!L79, ".", ","))</f>
        <v>14188.5</v>
      </c>
      <c r="M85" s="2" t="str">
        <f>IF(Данные[[#This Row],[proba]]&gt;$C$6, "отказ", "одобрение")</f>
        <v>одобрение</v>
      </c>
      <c r="N85" s="7">
        <f>IF(Данные[[#This Row],[proba]]&lt;$D$2,$C$2,IF(Данные[[#This Row],[proba]]&lt;$D$3,$C$3,IF(Данные[[#This Row],[proba]]&gt;$C$6,0,$C$4)))</f>
        <v>100000</v>
      </c>
      <c r="O85" s="2">
        <f>IF(Данные[[#This Row],[weighted_ext_score]]&gt;$O$1,MIN(Данные[[#This Row],[Базовая сумма]]*$O$2,$C$2),IF(Данные[[#This Row],[weighted_ext_score]]&lt;$O$3,Данные[[#This Row],[Базовая сумма]]*$O$4,N85))</f>
        <v>100000</v>
      </c>
      <c r="P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5" s="2">
        <f>ABS(Данные[[#This Row],[days_birth]])/365.2425</f>
        <v>55.584988055880679</v>
      </c>
      <c r="S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85" s="2">
        <f>IF(Данные[[#This Row],[ interest_rate]]&gt;$T$1,Данные[[#This Row],[days_birth4]]*$T$2,Данные[[#This Row],[days_birth4]])</f>
        <v>151200</v>
      </c>
      <c r="U85" s="2">
        <f>IF(Данные[[#This Row],[Проверка отказа]]="отказ",0,MAX(Данные[[#This Row],[interest_rate]],$C$1))</f>
        <v>151200</v>
      </c>
      <c r="V85" s="2">
        <f>MROUND(Данные[[#This Row],[Минимум 20000]], 100)</f>
        <v>151200</v>
      </c>
    </row>
    <row r="86" spans="1:22" x14ac:dyDescent="0.25">
      <c r="A86" s="2">
        <f>'1000_заявлений'!A80</f>
        <v>78</v>
      </c>
      <c r="B86" s="4">
        <f>VALUE(SUBSTITUTE('1000_заявлений'!B80, ".", ","))</f>
        <v>0.53857483443782295</v>
      </c>
      <c r="C86" s="4">
        <f>VALUE(SUBSTITUTE('1000_заявлений'!C80, ".", ","))</f>
        <v>0.50328433839595998</v>
      </c>
      <c r="D86" s="4">
        <f>VALUE(SUBSTITUTE('1000_заявлений'!D80, ".", ","))</f>
        <v>0.21275630000000001</v>
      </c>
      <c r="E86" s="4">
        <f>VALUE(SUBSTITUTE('1000_заявлений'!E80, ".", ","))</f>
        <v>0.57418274999999996</v>
      </c>
      <c r="F86" s="5">
        <f>VALUE(SUBSTITUTE('1000_заявлений'!F80, ".", ","))</f>
        <v>-8202</v>
      </c>
      <c r="G86" s="5">
        <f>VALUE(SUBSTITUTE('1000_заявлений'!G80, ".", ","))</f>
        <v>-15426</v>
      </c>
      <c r="H86" s="5">
        <f>VALUE(SUBSTITUTE('1000_заявлений'!H80, ".", ","))</f>
        <v>-5005</v>
      </c>
      <c r="I86" s="4">
        <f>VALUE(SUBSTITUTE('1000_заявлений'!I80, ".", ","))</f>
        <v>0.219388888888888</v>
      </c>
      <c r="J86" s="4">
        <f>VALUE(SUBSTITUTE('1000_заявлений'!J80, ".", ","))</f>
        <v>3.2956384783875099</v>
      </c>
      <c r="K86" s="5">
        <f>VALUE(SUBSTITUTE('1000_заявлений'!K80, ".", ","))</f>
        <v>-2885</v>
      </c>
      <c r="L86" s="6">
        <f>VALUE(SUBSTITUTE('1000_заявлений'!L80, ".", ","))</f>
        <v>17770.5</v>
      </c>
      <c r="M86" s="2" t="str">
        <f>IF(Данные[[#This Row],[proba]]&gt;$C$6, "отказ", "одобрение")</f>
        <v>отказ</v>
      </c>
      <c r="N86" s="7">
        <f>IF(Данные[[#This Row],[proba]]&lt;$D$2,$C$2,IF(Данные[[#This Row],[proba]]&lt;$D$3,$C$3,IF(Данные[[#This Row],[proba]]&gt;$C$6,0,$C$4)))</f>
        <v>0</v>
      </c>
      <c r="O86" s="2">
        <f>IF(Данные[[#This Row],[weighted_ext_score]]&gt;$O$1,MIN(Данные[[#This Row],[Базовая сумма]]*$O$2,$C$2),IF(Данные[[#This Row],[weighted_ext_score]]&lt;$O$3,Данные[[#This Row],[Базовая сумма]]*$O$4,N86))</f>
        <v>0</v>
      </c>
      <c r="P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" s="2">
        <f>ABS(Данные[[#This Row],[days_birth]])/365.2425</f>
        <v>42.234953489804717</v>
      </c>
      <c r="S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" s="2">
        <f>IF(Данные[[#This Row],[ interest_rate]]&gt;$T$1,Данные[[#This Row],[days_birth4]]*$T$2,Данные[[#This Row],[days_birth4]])</f>
        <v>0</v>
      </c>
      <c r="U86" s="2">
        <f>IF(Данные[[#This Row],[Проверка отказа]]="отказ",0,MAX(Данные[[#This Row],[interest_rate]],$C$1))</f>
        <v>0</v>
      </c>
      <c r="V86" s="2">
        <f>MROUND(Данные[[#This Row],[Минимум 20000]], 100)</f>
        <v>0</v>
      </c>
    </row>
    <row r="87" spans="1:22" x14ac:dyDescent="0.25">
      <c r="A87" s="2">
        <f>'1000_заявлений'!A81</f>
        <v>79</v>
      </c>
      <c r="B87" s="4">
        <f>VALUE(SUBSTITUTE('1000_заявлений'!B81, ".", ","))</f>
        <v>0.47130473326308697</v>
      </c>
      <c r="C87" s="4">
        <f>VALUE(SUBSTITUTE('1000_заявлений'!C81, ".", ","))</f>
        <v>0.50573645632233799</v>
      </c>
      <c r="D87" s="4">
        <f>VALUE(SUBSTITUTE('1000_заявлений'!D81, ".", ","))</f>
        <v>0.28517989999999999</v>
      </c>
      <c r="E87" s="4">
        <f>VALUE(SUBSTITUTE('1000_заявлений'!E81, ".", ","))</f>
        <v>0.69817185000000004</v>
      </c>
      <c r="F87" s="5">
        <f>VALUE(SUBSTITUTE('1000_заявлений'!F81, ".", ","))</f>
        <v>-3406</v>
      </c>
      <c r="G87" s="5">
        <f>VALUE(SUBSTITUTE('1000_заявлений'!G81, ".", ","))</f>
        <v>-15734</v>
      </c>
      <c r="H87" s="5">
        <f>VALUE(SUBSTITUTE('1000_заявлений'!H81, ".", ","))</f>
        <v>-4949</v>
      </c>
      <c r="I87" s="4">
        <f>VALUE(SUBSTITUTE('1000_заявлений'!I81, ".", ","))</f>
        <v>0.2913</v>
      </c>
      <c r="J87" s="4">
        <f>VALUE(SUBSTITUTE('1000_заявлений'!J81, ".", ","))</f>
        <v>2.7268436150310298</v>
      </c>
      <c r="K87" s="5">
        <f>VALUE(SUBSTITUTE('1000_заявлений'!K81, ".", ","))</f>
        <v>-7319</v>
      </c>
      <c r="L87" s="6">
        <f>VALUE(SUBSTITUTE('1000_заявлений'!L81, ".", ","))</f>
        <v>26217</v>
      </c>
      <c r="M87" s="2" t="str">
        <f>IF(Данные[[#This Row],[proba]]&gt;$C$6, "отказ", "одобрение")</f>
        <v>отказ</v>
      </c>
      <c r="N87" s="7">
        <f>IF(Данные[[#This Row],[proba]]&lt;$D$2,$C$2,IF(Данные[[#This Row],[proba]]&lt;$D$3,$C$3,IF(Данные[[#This Row],[proba]]&gt;$C$6,0,$C$4)))</f>
        <v>0</v>
      </c>
      <c r="O87" s="2">
        <f>IF(Данные[[#This Row],[weighted_ext_score]]&gt;$O$1,MIN(Данные[[#This Row],[Базовая сумма]]*$O$2,$C$2),IF(Данные[[#This Row],[weighted_ext_score]]&lt;$O$3,Данные[[#This Row],[Базовая сумма]]*$O$4,N87))</f>
        <v>0</v>
      </c>
      <c r="P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" s="2">
        <f>ABS(Данные[[#This Row],[days_birth]])/365.2425</f>
        <v>43.078228847957178</v>
      </c>
      <c r="S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" s="2">
        <f>IF(Данные[[#This Row],[ interest_rate]]&gt;$T$1,Данные[[#This Row],[days_birth4]]*$T$2,Данные[[#This Row],[days_birth4]])</f>
        <v>0</v>
      </c>
      <c r="U87" s="2">
        <f>IF(Данные[[#This Row],[Проверка отказа]]="отказ",0,MAX(Данные[[#This Row],[interest_rate]],$C$1))</f>
        <v>0</v>
      </c>
      <c r="V87" s="2">
        <f>MROUND(Данные[[#This Row],[Минимум 20000]], 100)</f>
        <v>0</v>
      </c>
    </row>
    <row r="88" spans="1:22" x14ac:dyDescent="0.25">
      <c r="A88" s="2">
        <f>'1000_заявлений'!A82</f>
        <v>80</v>
      </c>
      <c r="B88" s="4">
        <f>VALUE(SUBSTITUTE('1000_заявлений'!B82, ".", ","))</f>
        <v>0.45093375513753198</v>
      </c>
      <c r="C88" s="4">
        <f>VALUE(SUBSTITUTE('1000_заявлений'!C82, ".", ","))</f>
        <v>0.37313430168274903</v>
      </c>
      <c r="D88" s="4">
        <f>VALUE(SUBSTITUTE('1000_заявлений'!D82, ".", ","))</f>
        <v>0.36896873000000002</v>
      </c>
      <c r="E88" s="4">
        <f>VALUE(SUBSTITUTE('1000_заявлений'!E82, ".", ","))</f>
        <v>0.73892749999999996</v>
      </c>
      <c r="F88" s="5">
        <f>VALUE(SUBSTITUTE('1000_заявлений'!F82, ".", ","))</f>
        <v>-2549</v>
      </c>
      <c r="G88" s="5">
        <f>VALUE(SUBSTITUTE('1000_заявлений'!G82, ".", ","))</f>
        <v>-11788</v>
      </c>
      <c r="H88" s="5">
        <f>VALUE(SUBSTITUTE('1000_заявлений'!H82, ".", ","))</f>
        <v>-2583</v>
      </c>
      <c r="I88" s="4">
        <f>VALUE(SUBSTITUTE('1000_заявлений'!I82, ".", ","))</f>
        <v>0.102466666666666</v>
      </c>
      <c r="J88" s="4">
        <f>VALUE(SUBSTITUTE('1000_заявлений'!J82, ".", ","))</f>
        <v>7.4016662344926099</v>
      </c>
      <c r="K88" s="5">
        <f>VALUE(SUBSTITUTE('1000_заявлений'!K82, ".", ","))</f>
        <v>-720</v>
      </c>
      <c r="L88" s="6">
        <f>VALUE(SUBSTITUTE('1000_заявлений'!L82, ".", ","))</f>
        <v>13833</v>
      </c>
      <c r="M88" s="2" t="str">
        <f>IF(Данные[[#This Row],[proba]]&gt;$C$6, "отказ", "одобрение")</f>
        <v>отказ</v>
      </c>
      <c r="N88" s="7">
        <f>IF(Данные[[#This Row],[proba]]&lt;$D$2,$C$2,IF(Данные[[#This Row],[proba]]&lt;$D$3,$C$3,IF(Данные[[#This Row],[proba]]&gt;$C$6,0,$C$4)))</f>
        <v>0</v>
      </c>
      <c r="O88" s="2">
        <f>IF(Данные[[#This Row],[weighted_ext_score]]&gt;$O$1,MIN(Данные[[#This Row],[Базовая сумма]]*$O$2,$C$2),IF(Данные[[#This Row],[weighted_ext_score]]&lt;$O$3,Данные[[#This Row],[Базовая сумма]]*$O$4,N88))</f>
        <v>0</v>
      </c>
      <c r="P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" s="2">
        <f>ABS(Данные[[#This Row],[days_birth]])/365.2425</f>
        <v>32.274447798380528</v>
      </c>
      <c r="S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" s="2">
        <f>IF(Данные[[#This Row],[ interest_rate]]&gt;$T$1,Данные[[#This Row],[days_birth4]]*$T$2,Данные[[#This Row],[days_birth4]])</f>
        <v>0</v>
      </c>
      <c r="U88" s="2">
        <f>IF(Данные[[#This Row],[Проверка отказа]]="отказ",0,MAX(Данные[[#This Row],[interest_rate]],$C$1))</f>
        <v>0</v>
      </c>
      <c r="V88" s="2">
        <f>MROUND(Данные[[#This Row],[Минимум 20000]], 100)</f>
        <v>0</v>
      </c>
    </row>
    <row r="89" spans="1:22" x14ac:dyDescent="0.25">
      <c r="A89" s="2">
        <f>'1000_заявлений'!A83</f>
        <v>81</v>
      </c>
      <c r="B89" s="4">
        <f>VALUE(SUBSTITUTE('1000_заявлений'!B83, ".", ","))</f>
        <v>0.66538917443665402</v>
      </c>
      <c r="C89" s="4">
        <f>VALUE(SUBSTITUTE('1000_заявлений'!C83, ".", ","))</f>
        <v>0.431060313740181</v>
      </c>
      <c r="D89" s="4">
        <f>VALUE(SUBSTITUTE('1000_заявлений'!D83, ".", ","))</f>
        <v>0.39621958000000002</v>
      </c>
      <c r="E89" s="4">
        <f>VALUE(SUBSTITUTE('1000_заявлений'!E83, ".", ","))</f>
        <v>0.13444519999999999</v>
      </c>
      <c r="F89" s="5">
        <f>VALUE(SUBSTITUTE('1000_заявлений'!F83, ".", ","))</f>
        <v>-1659</v>
      </c>
      <c r="G89" s="5">
        <f>VALUE(SUBSTITUTE('1000_заявлений'!G83, ".", ","))</f>
        <v>-10900</v>
      </c>
      <c r="H89" s="5">
        <f>VALUE(SUBSTITUTE('1000_заявлений'!H83, ".", ","))</f>
        <v>-2407</v>
      </c>
      <c r="I89" s="4">
        <f>VALUE(SUBSTITUTE('1000_заявлений'!I83, ".", ","))</f>
        <v>0.18258333333333299</v>
      </c>
      <c r="J89" s="4">
        <f>VALUE(SUBSTITUTE('1000_заявлений'!J83, ".", ","))</f>
        <v>6.1526136069854598</v>
      </c>
      <c r="K89" s="5">
        <f>VALUE(SUBSTITUTE('1000_заявлений'!K83, ".", ","))</f>
        <v>-2083</v>
      </c>
      <c r="L89" s="6">
        <f>VALUE(SUBSTITUTE('1000_заявлений'!L83, ".", ","))</f>
        <v>49297.5</v>
      </c>
      <c r="M89" s="2" t="str">
        <f>IF(Данные[[#This Row],[proba]]&gt;$C$6, "отказ", "одобрение")</f>
        <v>отказ</v>
      </c>
      <c r="N89" s="7">
        <f>IF(Данные[[#This Row],[proba]]&lt;$D$2,$C$2,IF(Данные[[#This Row],[proba]]&lt;$D$3,$C$3,IF(Данные[[#This Row],[proba]]&gt;$C$6,0,$C$4)))</f>
        <v>0</v>
      </c>
      <c r="O89" s="2">
        <f>IF(Данные[[#This Row],[weighted_ext_score]]&gt;$O$1,MIN(Данные[[#This Row],[Базовая сумма]]*$O$2,$C$2),IF(Данные[[#This Row],[weighted_ext_score]]&lt;$O$3,Данные[[#This Row],[Базовая сумма]]*$O$4,N89))</f>
        <v>0</v>
      </c>
      <c r="P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" s="2">
        <f>ABS(Данные[[#This Row],[days_birth]])/365.2425</f>
        <v>29.843186376174732</v>
      </c>
      <c r="S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" s="2">
        <f>IF(Данные[[#This Row],[ interest_rate]]&gt;$T$1,Данные[[#This Row],[days_birth4]]*$T$2,Данные[[#This Row],[days_birth4]])</f>
        <v>0</v>
      </c>
      <c r="U89" s="2">
        <f>IF(Данные[[#This Row],[Проверка отказа]]="отказ",0,MAX(Данные[[#This Row],[interest_rate]],$C$1))</f>
        <v>0</v>
      </c>
      <c r="V89" s="2">
        <f>MROUND(Данные[[#This Row],[Минимум 20000]], 100)</f>
        <v>0</v>
      </c>
    </row>
    <row r="90" spans="1:22" x14ac:dyDescent="0.25">
      <c r="A90" s="2">
        <f>'1000_заявлений'!A84</f>
        <v>82</v>
      </c>
      <c r="B90" s="4">
        <f>VALUE(SUBSTITUTE('1000_заявлений'!B84, ".", ","))</f>
        <v>0.45093071945118401</v>
      </c>
      <c r="C90" s="4">
        <f>VALUE(SUBSTITUTE('1000_заявлений'!C84, ".", ","))</f>
        <v>0.36666708318666502</v>
      </c>
      <c r="D90" s="4">
        <f>VALUE(SUBSTITUTE('1000_заявлений'!D84, ".", ","))</f>
        <v>0.74355930000000003</v>
      </c>
      <c r="E90" s="4">
        <f>VALUE(SUBSTITUTE('1000_заявлений'!E84, ".", ","))</f>
        <v>0.30133850000000001</v>
      </c>
      <c r="F90" s="5">
        <f>VALUE(SUBSTITUTE('1000_заявлений'!F84, ".", ","))</f>
        <v>-914</v>
      </c>
      <c r="G90" s="5">
        <f>VALUE(SUBSTITUTE('1000_заявлений'!G84, ".", ","))</f>
        <v>-17456</v>
      </c>
      <c r="H90" s="5">
        <f>VALUE(SUBSTITUTE('1000_заявлений'!H84, ".", ","))</f>
        <v>-992</v>
      </c>
      <c r="I90" s="4">
        <f>VALUE(SUBSTITUTE('1000_заявлений'!I84, ".", ","))</f>
        <v>0.17249999999999999</v>
      </c>
      <c r="J90" s="4">
        <f>VALUE(SUBSTITUTE('1000_заявлений'!J84, ".", ","))</f>
        <v>1.8435982397603199</v>
      </c>
      <c r="K90" s="5">
        <f>VALUE(SUBSTITUTE('1000_заявлений'!K84, ".", ","))</f>
        <v>-2423</v>
      </c>
      <c r="L90" s="6">
        <f>VALUE(SUBSTITUTE('1000_заявлений'!L84, ".", ","))</f>
        <v>31050</v>
      </c>
      <c r="M90" s="2" t="str">
        <f>IF(Данные[[#This Row],[proba]]&gt;$C$6, "отказ", "одобрение")</f>
        <v>отказ</v>
      </c>
      <c r="N90" s="7">
        <f>IF(Данные[[#This Row],[proba]]&lt;$D$2,$C$2,IF(Данные[[#This Row],[proba]]&lt;$D$3,$C$3,IF(Данные[[#This Row],[proba]]&gt;$C$6,0,$C$4)))</f>
        <v>0</v>
      </c>
      <c r="O90" s="2">
        <f>IF(Данные[[#This Row],[weighted_ext_score]]&gt;$O$1,MIN(Данные[[#This Row],[Базовая сумма]]*$O$2,$C$2),IF(Данные[[#This Row],[weighted_ext_score]]&lt;$O$3,Данные[[#This Row],[Базовая сумма]]*$O$4,N90))</f>
        <v>0</v>
      </c>
      <c r="P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" s="2">
        <f>ABS(Данные[[#This Row],[days_birth]])/365.2425</f>
        <v>47.792904713991391</v>
      </c>
      <c r="S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" s="2">
        <f>IF(Данные[[#This Row],[ interest_rate]]&gt;$T$1,Данные[[#This Row],[days_birth4]]*$T$2,Данные[[#This Row],[days_birth4]])</f>
        <v>0</v>
      </c>
      <c r="U90" s="2">
        <f>IF(Данные[[#This Row],[Проверка отказа]]="отказ",0,MAX(Данные[[#This Row],[interest_rate]],$C$1))</f>
        <v>0</v>
      </c>
      <c r="V90" s="2">
        <f>MROUND(Данные[[#This Row],[Минимум 20000]], 100)</f>
        <v>0</v>
      </c>
    </row>
    <row r="91" spans="1:22" x14ac:dyDescent="0.25">
      <c r="A91" s="2">
        <f>'1000_заявлений'!A85</f>
        <v>83</v>
      </c>
      <c r="B91" s="4">
        <f>VALUE(SUBSTITUTE('1000_заявлений'!B85, ".", ","))</f>
        <v>0.29313138650223403</v>
      </c>
      <c r="C91" s="4">
        <f>VALUE(SUBSTITUTE('1000_заявлений'!C85, ".", ","))</f>
        <v>0.42981726655979102</v>
      </c>
      <c r="D91" s="4">
        <f>VALUE(SUBSTITUTE('1000_заявлений'!D85, ".", ","))</f>
        <v>0.68947919999999996</v>
      </c>
      <c r="E91" s="4">
        <f>VALUE(SUBSTITUTE('1000_заявлений'!E85, ".", ","))</f>
        <v>0.5563169</v>
      </c>
      <c r="F91" s="5">
        <f>VALUE(SUBSTITUTE('1000_заявлений'!F85, ".", ","))</f>
        <v>-343</v>
      </c>
      <c r="G91" s="5">
        <f>VALUE(SUBSTITUTE('1000_заявлений'!G85, ".", ","))</f>
        <v>-19925</v>
      </c>
      <c r="H91" s="5">
        <f>VALUE(SUBSTITUTE('1000_заявлений'!H85, ".", ","))</f>
        <v>-3273</v>
      </c>
      <c r="I91" s="4">
        <f>VALUE(SUBSTITUTE('1000_заявлений'!I85, ".", ","))</f>
        <v>0.17214285714285699</v>
      </c>
      <c r="J91" s="4">
        <f>VALUE(SUBSTITUTE('1000_заявлений'!J85, ".", ","))</f>
        <v>3.4259161328562699</v>
      </c>
      <c r="K91" s="5">
        <f>VALUE(SUBSTITUTE('1000_заявлений'!K85, ".", ","))</f>
        <v>-6329</v>
      </c>
      <c r="L91" s="6">
        <f>VALUE(SUBSTITUTE('1000_заявлений'!L85, ".", ","))</f>
        <v>54225</v>
      </c>
      <c r="M91" s="2" t="str">
        <f>IF(Данные[[#This Row],[proba]]&gt;$C$6, "отказ", "одобрение")</f>
        <v>одобрение</v>
      </c>
      <c r="N91" s="7">
        <f>IF(Данные[[#This Row],[proba]]&lt;$D$2,$C$2,IF(Данные[[#This Row],[proba]]&lt;$D$3,$C$3,IF(Данные[[#This Row],[proba]]&gt;$C$6,0,$C$4)))</f>
        <v>100000</v>
      </c>
      <c r="O91" s="2">
        <f>IF(Данные[[#This Row],[weighted_ext_score]]&gt;$O$1,MIN(Данные[[#This Row],[Базовая сумма]]*$O$2,$C$2),IF(Данные[[#This Row],[weighted_ext_score]]&lt;$O$3,Данные[[#This Row],[Базовая сумма]]*$O$4,N91))</f>
        <v>100000</v>
      </c>
      <c r="P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1" s="2">
        <f>ABS(Данные[[#This Row],[days_birth]])/365.2425</f>
        <v>54.552797114246012</v>
      </c>
      <c r="S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91" s="2">
        <f>IF(Данные[[#This Row],[ interest_rate]]&gt;$T$1,Данные[[#This Row],[days_birth4]]*$T$2,Данные[[#This Row],[days_birth4]])</f>
        <v>151200</v>
      </c>
      <c r="U91" s="2">
        <f>IF(Данные[[#This Row],[Проверка отказа]]="отказ",0,MAX(Данные[[#This Row],[interest_rate]],$C$1))</f>
        <v>151200</v>
      </c>
      <c r="V91" s="2">
        <f>MROUND(Данные[[#This Row],[Минимум 20000]], 100)</f>
        <v>151200</v>
      </c>
    </row>
    <row r="92" spans="1:22" x14ac:dyDescent="0.25">
      <c r="A92" s="2">
        <f>'1000_заявлений'!A86</f>
        <v>84</v>
      </c>
      <c r="B92" s="4">
        <f>VALUE(SUBSTITUTE('1000_заявлений'!B86, ".", ","))</f>
        <v>0.58828321368469005</v>
      </c>
      <c r="C92" s="4">
        <f>VALUE(SUBSTITUTE('1000_заявлений'!C86, ".", ","))</f>
        <v>0.291039187001085</v>
      </c>
      <c r="D92" s="4">
        <f>VALUE(SUBSTITUTE('1000_заявлений'!D86, ".", ","))</f>
        <v>0.58148370000000005</v>
      </c>
      <c r="E92" s="4">
        <f>VALUE(SUBSTITUTE('1000_заявлений'!E86, ".", ","))</f>
        <v>0.24889727</v>
      </c>
      <c r="F92" s="5">
        <f>VALUE(SUBSTITUTE('1000_заявлений'!F86, ".", ","))</f>
        <v>-1786</v>
      </c>
      <c r="G92" s="5">
        <f>VALUE(SUBSTITUTE('1000_заявлений'!G86, ".", ","))</f>
        <v>-8993</v>
      </c>
      <c r="H92" s="5">
        <f>VALUE(SUBSTITUTE('1000_заявлений'!H86, ".", ","))</f>
        <v>-1674</v>
      </c>
      <c r="I92" s="4">
        <f>VALUE(SUBSTITUTE('1000_заявлений'!I86, ".", ","))</f>
        <v>0.15895000000000001</v>
      </c>
      <c r="J92" s="4">
        <f>VALUE(SUBSTITUTE('1000_заявлений'!J86, ".", ","))</f>
        <v>13.594085045309299</v>
      </c>
      <c r="K92" s="5">
        <f>VALUE(SUBSTITUTE('1000_заявлений'!K86, ".", ","))</f>
        <v>-152</v>
      </c>
      <c r="L92" s="6">
        <f>VALUE(SUBSTITUTE('1000_заявлений'!L86, ".", ","))</f>
        <v>14305.5</v>
      </c>
      <c r="M92" s="2" t="str">
        <f>IF(Данные[[#This Row],[proba]]&gt;$C$6, "отказ", "одобрение")</f>
        <v>отказ</v>
      </c>
      <c r="N92" s="7">
        <f>IF(Данные[[#This Row],[proba]]&lt;$D$2,$C$2,IF(Данные[[#This Row],[proba]]&lt;$D$3,$C$3,IF(Данные[[#This Row],[proba]]&gt;$C$6,0,$C$4)))</f>
        <v>0</v>
      </c>
      <c r="O92" s="2">
        <f>IF(Данные[[#This Row],[weighted_ext_score]]&gt;$O$1,MIN(Данные[[#This Row],[Базовая сумма]]*$O$2,$C$2),IF(Данные[[#This Row],[weighted_ext_score]]&lt;$O$3,Данные[[#This Row],[Базовая сумма]]*$O$4,N92))</f>
        <v>0</v>
      </c>
      <c r="P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" s="2">
        <f>ABS(Данные[[#This Row],[days_birth]])/365.2425</f>
        <v>24.621997713847648</v>
      </c>
      <c r="S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" s="2">
        <f>IF(Данные[[#This Row],[ interest_rate]]&gt;$T$1,Данные[[#This Row],[days_birth4]]*$T$2,Данные[[#This Row],[days_birth4]])</f>
        <v>0</v>
      </c>
      <c r="U92" s="2">
        <f>IF(Данные[[#This Row],[Проверка отказа]]="отказ",0,MAX(Данные[[#This Row],[interest_rate]],$C$1))</f>
        <v>0</v>
      </c>
      <c r="V92" s="2">
        <f>MROUND(Данные[[#This Row],[Минимум 20000]], 100)</f>
        <v>0</v>
      </c>
    </row>
    <row r="93" spans="1:22" x14ac:dyDescent="0.25">
      <c r="A93" s="2">
        <f>'1000_заявлений'!A87</f>
        <v>85</v>
      </c>
      <c r="B93" s="4">
        <f>VALUE(SUBSTITUTE('1000_заявлений'!B87, ".", ","))</f>
        <v>0.21548966266669101</v>
      </c>
      <c r="C93" s="4">
        <f>VALUE(SUBSTITUTE('1000_заявлений'!C87, ".", ","))</f>
        <v>0.63502740686066395</v>
      </c>
      <c r="D93" s="4">
        <f>VALUE(SUBSTITUTE('1000_заявлений'!D87, ".", ","))</f>
        <v>0.63637613999999998</v>
      </c>
      <c r="E93" s="4">
        <f>VALUE(SUBSTITUTE('1000_заявлений'!E87, ".", ","))</f>
        <v>0.70255429999999996</v>
      </c>
      <c r="F93" s="5">
        <f>VALUE(SUBSTITUTE('1000_заявлений'!F87, ".", ","))</f>
        <v>-9436</v>
      </c>
      <c r="G93" s="5">
        <f>VALUE(SUBSTITUTE('1000_заявлений'!G87, ".", ","))</f>
        <v>-17254</v>
      </c>
      <c r="H93" s="5">
        <f>VALUE(SUBSTITUTE('1000_заявлений'!H87, ".", ","))</f>
        <v>-792</v>
      </c>
      <c r="I93" s="4">
        <f>VALUE(SUBSTITUTE('1000_заявлений'!I87, ".", ","))</f>
        <v>0.215159010600706</v>
      </c>
      <c r="J93" s="4">
        <f>VALUE(SUBSTITUTE('1000_заявлений'!J87, ".", ","))</f>
        <v>3.5549687654000199</v>
      </c>
      <c r="K93" s="5">
        <f>VALUE(SUBSTITUTE('1000_заявлений'!K87, ".", ","))</f>
        <v>-9131</v>
      </c>
      <c r="L93" s="6">
        <f>VALUE(SUBSTITUTE('1000_заявлений'!L87, ".", ","))</f>
        <v>54801</v>
      </c>
      <c r="M93" s="2" t="str">
        <f>IF(Данные[[#This Row],[proba]]&gt;$C$6, "отказ", "одобрение")</f>
        <v>одобрение</v>
      </c>
      <c r="N93" s="7">
        <f>IF(Данные[[#This Row],[proba]]&lt;$D$2,$C$2,IF(Данные[[#This Row],[proba]]&lt;$D$3,$C$3,IF(Данные[[#This Row],[proba]]&gt;$C$6,0,$C$4)))</f>
        <v>100000</v>
      </c>
      <c r="O93" s="2">
        <f>IF(Данные[[#This Row],[weighted_ext_score]]&gt;$O$1,MIN(Данные[[#This Row],[Базовая сумма]]*$O$2,$C$2),IF(Данные[[#This Row],[weighted_ext_score]]&lt;$O$3,Данные[[#This Row],[Базовая сумма]]*$O$4,N93))</f>
        <v>100000</v>
      </c>
      <c r="P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93" s="2">
        <f>ABS(Данные[[#This Row],[days_birth]])/365.2425</f>
        <v>47.239847498579707</v>
      </c>
      <c r="S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93" s="2">
        <f>IF(Данные[[#This Row],[ interest_rate]]&gt;$T$1,Данные[[#This Row],[days_birth4]]*$T$2,Данные[[#This Row],[days_birth4]])</f>
        <v>120000</v>
      </c>
      <c r="U93" s="2">
        <f>IF(Данные[[#This Row],[Проверка отказа]]="отказ",0,MAX(Данные[[#This Row],[interest_rate]],$C$1))</f>
        <v>120000</v>
      </c>
      <c r="V93" s="2">
        <f>MROUND(Данные[[#This Row],[Минимум 20000]], 100)</f>
        <v>120000</v>
      </c>
    </row>
    <row r="94" spans="1:22" x14ac:dyDescent="0.25">
      <c r="A94" s="2">
        <f>'1000_заявлений'!A88</f>
        <v>86</v>
      </c>
      <c r="B94" s="4">
        <f>VALUE(SUBSTITUTE('1000_заявлений'!B88, ".", ","))</f>
        <v>0.62730975967222202</v>
      </c>
      <c r="C94" s="4">
        <f>VALUE(SUBSTITUTE('1000_заявлений'!C88, ".", ","))</f>
        <v>0.38644886684229401</v>
      </c>
      <c r="D94" s="4">
        <f>VALUE(SUBSTITUTE('1000_заявлений'!D88, ".", ","))</f>
        <v>0.55316469999999995</v>
      </c>
      <c r="E94" s="4">
        <f>VALUE(SUBSTITUTE('1000_заявлений'!E88, ".", ","))</f>
        <v>6.6663793999999998E-2</v>
      </c>
      <c r="F94" s="5">
        <f>VALUE(SUBSTITUTE('1000_заявлений'!F88, ".", ","))</f>
        <v>-7837</v>
      </c>
      <c r="G94" s="5">
        <f>VALUE(SUBSTITUTE('1000_заявлений'!G88, ".", ","))</f>
        <v>-15658</v>
      </c>
      <c r="H94" s="5">
        <f>VALUE(SUBSTITUTE('1000_заявлений'!H88, ".", ","))</f>
        <v>-4838</v>
      </c>
      <c r="I94" s="4">
        <f>VALUE(SUBSTITUTE('1000_заявлений'!I88, ".", ","))</f>
        <v>0.23946666666666599</v>
      </c>
      <c r="J94" s="4">
        <f>VALUE(SUBSTITUTE('1000_заявлений'!J88, ".", ","))</f>
        <v>3.3619817605943001</v>
      </c>
      <c r="K94" s="5">
        <f>VALUE(SUBSTITUTE('1000_заявлений'!K88, ".", ","))</f>
        <v>-2214</v>
      </c>
      <c r="L94" s="6">
        <f>VALUE(SUBSTITUTE('1000_заявлений'!L88, ".", ","))</f>
        <v>16164</v>
      </c>
      <c r="M94" s="2" t="str">
        <f>IF(Данные[[#This Row],[proba]]&gt;$C$6, "отказ", "одобрение")</f>
        <v>отказ</v>
      </c>
      <c r="N94" s="7">
        <f>IF(Данные[[#This Row],[proba]]&lt;$D$2,$C$2,IF(Данные[[#This Row],[proba]]&lt;$D$3,$C$3,IF(Данные[[#This Row],[proba]]&gt;$C$6,0,$C$4)))</f>
        <v>0</v>
      </c>
      <c r="O94" s="2">
        <f>IF(Данные[[#This Row],[weighted_ext_score]]&gt;$O$1,MIN(Данные[[#This Row],[Базовая сумма]]*$O$2,$C$2),IF(Данные[[#This Row],[weighted_ext_score]]&lt;$O$3,Данные[[#This Row],[Базовая сумма]]*$O$4,N94))</f>
        <v>0</v>
      </c>
      <c r="P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" s="2">
        <f>ABS(Данные[[#This Row],[days_birth]])/365.2425</f>
        <v>42.870147915426053</v>
      </c>
      <c r="S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" s="2">
        <f>IF(Данные[[#This Row],[ interest_rate]]&gt;$T$1,Данные[[#This Row],[days_birth4]]*$T$2,Данные[[#This Row],[days_birth4]])</f>
        <v>0</v>
      </c>
      <c r="U94" s="2">
        <f>IF(Данные[[#This Row],[Проверка отказа]]="отказ",0,MAX(Данные[[#This Row],[interest_rate]],$C$1))</f>
        <v>0</v>
      </c>
      <c r="V94" s="2">
        <f>MROUND(Данные[[#This Row],[Минимум 20000]], 100)</f>
        <v>0</v>
      </c>
    </row>
    <row r="95" spans="1:22" x14ac:dyDescent="0.25">
      <c r="A95" s="2">
        <f>'1000_заявлений'!A89</f>
        <v>87</v>
      </c>
      <c r="B95" s="4">
        <f>VALUE(SUBSTITUTE('1000_заявлений'!B89, ".", ","))</f>
        <v>0.53317398647882497</v>
      </c>
      <c r="C95" s="4">
        <f>VALUE(SUBSTITUTE('1000_заявлений'!C89, ".", ","))</f>
        <v>0.34838228668590898</v>
      </c>
      <c r="D95" s="4">
        <f>VALUE(SUBSTITUTE('1000_заявлений'!D89, ".", ","))</f>
        <v>0.40835884</v>
      </c>
      <c r="E95" s="4">
        <f>VALUE(SUBSTITUTE('1000_заявлений'!E89, ".", ","))</f>
        <v>0.61870294999999997</v>
      </c>
      <c r="F95" s="5">
        <f>VALUE(SUBSTITUTE('1000_заявлений'!F89, ".", ","))</f>
        <v>-5119</v>
      </c>
      <c r="G95" s="5">
        <f>VALUE(SUBSTITUTE('1000_заявлений'!G89, ".", ","))</f>
        <v>-10774</v>
      </c>
      <c r="H95" s="5">
        <f>VALUE(SUBSTITUTE('1000_заявлений'!H89, ".", ","))</f>
        <v>-3436</v>
      </c>
      <c r="I95" s="4">
        <f>VALUE(SUBSTITUTE('1000_заявлений'!I89, ".", ","))</f>
        <v>0.22646666666666601</v>
      </c>
      <c r="J95" s="4">
        <f>VALUE(SUBSTITUTE('1000_заявлений'!J89, ".", ","))</f>
        <v>2.8867379599879199</v>
      </c>
      <c r="K95" s="5">
        <f>VALUE(SUBSTITUTE('1000_заявлений'!K89, ".", ","))</f>
        <v>-412</v>
      </c>
      <c r="L95" s="6">
        <f>VALUE(SUBSTITUTE('1000_заявлений'!L89, ".", ","))</f>
        <v>30573</v>
      </c>
      <c r="M95" s="2" t="str">
        <f>IF(Данные[[#This Row],[proba]]&gt;$C$6, "отказ", "одобрение")</f>
        <v>отказ</v>
      </c>
      <c r="N95" s="7">
        <f>IF(Данные[[#This Row],[proba]]&lt;$D$2,$C$2,IF(Данные[[#This Row],[proba]]&lt;$D$3,$C$3,IF(Данные[[#This Row],[proba]]&gt;$C$6,0,$C$4)))</f>
        <v>0</v>
      </c>
      <c r="O95" s="2">
        <f>IF(Данные[[#This Row],[weighted_ext_score]]&gt;$O$1,MIN(Данные[[#This Row],[Базовая сумма]]*$O$2,$C$2),IF(Данные[[#This Row],[weighted_ext_score]]&lt;$O$3,Данные[[#This Row],[Базовая сумма]]*$O$4,N95))</f>
        <v>0</v>
      </c>
      <c r="P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" s="2">
        <f>ABS(Данные[[#This Row],[days_birth]])/365.2425</f>
        <v>29.49821009329418</v>
      </c>
      <c r="S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" s="2">
        <f>IF(Данные[[#This Row],[ interest_rate]]&gt;$T$1,Данные[[#This Row],[days_birth4]]*$T$2,Данные[[#This Row],[days_birth4]])</f>
        <v>0</v>
      </c>
      <c r="U95" s="2">
        <f>IF(Данные[[#This Row],[Проверка отказа]]="отказ",0,MAX(Данные[[#This Row],[interest_rate]],$C$1))</f>
        <v>0</v>
      </c>
      <c r="V95" s="2">
        <f>MROUND(Данные[[#This Row],[Минимум 20000]], 100)</f>
        <v>0</v>
      </c>
    </row>
    <row r="96" spans="1:22" x14ac:dyDescent="0.25">
      <c r="A96" s="2">
        <f>'1000_заявлений'!A90</f>
        <v>88</v>
      </c>
      <c r="B96" s="4">
        <f>VALUE(SUBSTITUTE('1000_заявлений'!B90, ".", ","))</f>
        <v>0.39379781918453899</v>
      </c>
      <c r="C96" s="4">
        <f>VALUE(SUBSTITUTE('1000_заявлений'!C90, ".", ","))</f>
        <v>0.53065249338881004</v>
      </c>
      <c r="D96" s="4">
        <f>VALUE(SUBSTITUTE('1000_заявлений'!D90, ".", ","))</f>
        <v>0.37740424</v>
      </c>
      <c r="E96" s="4">
        <f>VALUE(SUBSTITUTE('1000_заявлений'!E90, ".", ","))</f>
        <v>0.64435679999999995</v>
      </c>
      <c r="F96" s="5">
        <f>VALUE(SUBSTITUTE('1000_заявлений'!F90, ".", ","))</f>
        <v>-9015</v>
      </c>
      <c r="G96" s="5">
        <f>VALUE(SUBSTITUTE('1000_заявлений'!G90, ".", ","))</f>
        <v>-16690</v>
      </c>
      <c r="H96" s="5">
        <f>VALUE(SUBSTITUTE('1000_заявлений'!H90, ".", ","))</f>
        <v>-241</v>
      </c>
      <c r="I96" s="4">
        <f>VALUE(SUBSTITUTE('1000_заявлений'!I90, ".", ","))</f>
        <v>2.8914285714285701E-2</v>
      </c>
      <c r="J96" s="4">
        <f>VALUE(SUBSTITUTE('1000_заявлений'!J90, ".", ","))</f>
        <v>3.6282869831437901</v>
      </c>
      <c r="K96" s="5">
        <f>VALUE(SUBSTITUTE('1000_заявлений'!K90, ".", ","))</f>
        <v>-9011</v>
      </c>
      <c r="L96" s="6">
        <f>VALUE(SUBSTITUTE('1000_заявлений'!L90, ".", ","))</f>
        <v>4554</v>
      </c>
      <c r="M96" s="2" t="str">
        <f>IF(Данные[[#This Row],[proba]]&gt;$C$6, "отказ", "одобрение")</f>
        <v>отказ</v>
      </c>
      <c r="N96" s="7">
        <f>IF(Данные[[#This Row],[proba]]&lt;$D$2,$C$2,IF(Данные[[#This Row],[proba]]&lt;$D$3,$C$3,IF(Данные[[#This Row],[proba]]&gt;$C$6,0,$C$4)))</f>
        <v>0</v>
      </c>
      <c r="O96" s="2">
        <f>IF(Данные[[#This Row],[weighted_ext_score]]&gt;$O$1,MIN(Данные[[#This Row],[Базовая сумма]]*$O$2,$C$2),IF(Данные[[#This Row],[weighted_ext_score]]&lt;$O$3,Данные[[#This Row],[Базовая сумма]]*$O$4,N96))</f>
        <v>0</v>
      </c>
      <c r="P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" s="2">
        <f>ABS(Данные[[#This Row],[days_birth]])/365.2425</f>
        <v>45.695667946638189</v>
      </c>
      <c r="S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" s="2">
        <f>IF(Данные[[#This Row],[ interest_rate]]&gt;$T$1,Данные[[#This Row],[days_birth4]]*$T$2,Данные[[#This Row],[days_birth4]])</f>
        <v>0</v>
      </c>
      <c r="U96" s="2">
        <f>IF(Данные[[#This Row],[Проверка отказа]]="отказ",0,MAX(Данные[[#This Row],[interest_rate]],$C$1))</f>
        <v>0</v>
      </c>
      <c r="V96" s="2">
        <f>MROUND(Данные[[#This Row],[Минимум 20000]], 100)</f>
        <v>0</v>
      </c>
    </row>
    <row r="97" spans="1:22" x14ac:dyDescent="0.25">
      <c r="A97" s="2">
        <f>'1000_заявлений'!A91</f>
        <v>89</v>
      </c>
      <c r="B97" s="4">
        <f>VALUE(SUBSTITUTE('1000_заявлений'!B91, ".", ","))</f>
        <v>0.27246156329083798</v>
      </c>
      <c r="C97" s="4">
        <f>VALUE(SUBSTITUTE('1000_заявлений'!C91, ".", ","))</f>
        <v>0.44089078748159299</v>
      </c>
      <c r="D97" s="4">
        <f>VALUE(SUBSTITUTE('1000_заявлений'!D91, ".", ","))</f>
        <v>0.66745776000000001</v>
      </c>
      <c r="E97" s="4">
        <f>VALUE(SUBSTITUTE('1000_заявлений'!E91, ".", ","))</f>
        <v>0.61500763999999997</v>
      </c>
      <c r="F97" s="5">
        <f>VALUE(SUBSTITUTE('1000_заявлений'!F91, ".", ","))</f>
        <v>-7875</v>
      </c>
      <c r="G97" s="5">
        <f>VALUE(SUBSTITUTE('1000_заявлений'!G91, ".", ","))</f>
        <v>-15467</v>
      </c>
      <c r="H97" s="5">
        <f>VALUE(SUBSTITUTE('1000_заявлений'!H91, ".", ","))</f>
        <v>-4983</v>
      </c>
      <c r="I97" s="4">
        <f>VALUE(SUBSTITUTE('1000_заявлений'!I91, ".", ","))</f>
        <v>0.2586</v>
      </c>
      <c r="J97" s="4">
        <f>VALUE(SUBSTITUTE('1000_заявлений'!J91, ".", ","))</f>
        <v>2.62954293619444</v>
      </c>
      <c r="K97" s="5">
        <f>VALUE(SUBSTITUTE('1000_заявлений'!K91, ".", ","))</f>
        <v>365243</v>
      </c>
      <c r="L97" s="6">
        <f>VALUE(SUBSTITUTE('1000_заявлений'!L91, ".", ","))</f>
        <v>34911</v>
      </c>
      <c r="M97" s="2" t="str">
        <f>IF(Данные[[#This Row],[proba]]&gt;$C$6, "отказ", "одобрение")</f>
        <v>одобрение</v>
      </c>
      <c r="N97" s="7">
        <f>IF(Данные[[#This Row],[proba]]&lt;$D$2,$C$2,IF(Данные[[#This Row],[proba]]&lt;$D$3,$C$3,IF(Данные[[#This Row],[proba]]&gt;$C$6,0,$C$4)))</f>
        <v>100000</v>
      </c>
      <c r="O97" s="2">
        <f>IF(Данные[[#This Row],[weighted_ext_score]]&gt;$O$1,MIN(Данные[[#This Row],[Базовая сумма]]*$O$2,$C$2),IF(Данные[[#This Row],[weighted_ext_score]]&lt;$O$3,Данные[[#This Row],[Базовая сумма]]*$O$4,N97))</f>
        <v>100000</v>
      </c>
      <c r="P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97" s="2">
        <f>ABS(Данные[[#This Row],[days_birth]])/365.2425</f>
        <v>42.347207677091248</v>
      </c>
      <c r="S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100000</v>
      </c>
      <c r="T97" s="2">
        <f>IF(Данные[[#This Row],[ interest_rate]]&gt;$T$1,Данные[[#This Row],[days_birth4]]*$T$2,Данные[[#This Row],[days_birth4]])</f>
        <v>100000</v>
      </c>
      <c r="U97" s="2">
        <f>IF(Данные[[#This Row],[Проверка отказа]]="отказ",0,MAX(Данные[[#This Row],[interest_rate]],$C$1))</f>
        <v>100000</v>
      </c>
      <c r="V97" s="2">
        <f>MROUND(Данные[[#This Row],[Минимум 20000]], 100)</f>
        <v>100000</v>
      </c>
    </row>
    <row r="98" spans="1:22" x14ac:dyDescent="0.25">
      <c r="A98" s="2">
        <f>'1000_заявлений'!A92</f>
        <v>90</v>
      </c>
      <c r="B98" s="4">
        <f>VALUE(SUBSTITUTE('1000_заявлений'!B92, ".", ","))</f>
        <v>0.28663109916665902</v>
      </c>
      <c r="C98" s="4">
        <f>VALUE(SUBSTITUTE('1000_заявлений'!C92, ".", ","))</f>
        <v>0.52201845410357195</v>
      </c>
      <c r="D98" s="4">
        <f>VALUE(SUBSTITUTE('1000_заявлений'!D92, ".", ","))</f>
        <v>0.73522100000000001</v>
      </c>
      <c r="E98" s="4">
        <f>VALUE(SUBSTITUTE('1000_заявлений'!E92, ".", ","))</f>
        <v>0.37962027999999998</v>
      </c>
      <c r="F98" s="5">
        <f>VALUE(SUBSTITUTE('1000_заявлений'!F92, ".", ","))</f>
        <v>-6664</v>
      </c>
      <c r="G98" s="5">
        <f>VALUE(SUBSTITUTE('1000_заявлений'!G92, ".", ","))</f>
        <v>-20335</v>
      </c>
      <c r="H98" s="5">
        <f>VALUE(SUBSTITUTE('1000_заявлений'!H92, ".", ","))</f>
        <v>-3825</v>
      </c>
      <c r="I98" s="4">
        <f>VALUE(SUBSTITUTE('1000_заявлений'!I92, ".", ","))</f>
        <v>0.108483333333333</v>
      </c>
      <c r="J98" s="4">
        <f>VALUE(SUBSTITUTE('1000_заявлений'!J92, ".", ","))</f>
        <v>1.86007890887476</v>
      </c>
      <c r="K98" s="5">
        <f>VALUE(SUBSTITUTE('1000_заявлений'!K92, ".", ","))</f>
        <v>-2056</v>
      </c>
      <c r="L98" s="6">
        <f>VALUE(SUBSTITUTE('1000_заявлений'!L92, ".", ","))</f>
        <v>29290.5</v>
      </c>
      <c r="M98" s="2" t="str">
        <f>IF(Данные[[#This Row],[proba]]&gt;$C$6, "отказ", "одобрение")</f>
        <v>одобрение</v>
      </c>
      <c r="N98" s="7">
        <f>IF(Данные[[#This Row],[proba]]&lt;$D$2,$C$2,IF(Данные[[#This Row],[proba]]&lt;$D$3,$C$3,IF(Данные[[#This Row],[proba]]&gt;$C$6,0,$C$4)))</f>
        <v>100000</v>
      </c>
      <c r="O98" s="2">
        <f>IF(Данные[[#This Row],[weighted_ext_score]]&gt;$O$1,MIN(Данные[[#This Row],[Базовая сумма]]*$O$2,$C$2),IF(Данные[[#This Row],[weighted_ext_score]]&lt;$O$3,Данные[[#This Row],[Базовая сумма]]*$O$4,N98))</f>
        <v>100000</v>
      </c>
      <c r="P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8" s="2">
        <f>ABS(Данные[[#This Row],[days_birth]])/365.2425</f>
        <v>55.675338987111303</v>
      </c>
      <c r="S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98" s="2">
        <f>IF(Данные[[#This Row],[ interest_rate]]&gt;$T$1,Данные[[#This Row],[days_birth4]]*$T$2,Данные[[#This Row],[days_birth4]])</f>
        <v>151200</v>
      </c>
      <c r="U98" s="2">
        <f>IF(Данные[[#This Row],[Проверка отказа]]="отказ",0,MAX(Данные[[#This Row],[interest_rate]],$C$1))</f>
        <v>151200</v>
      </c>
      <c r="V98" s="2">
        <f>MROUND(Данные[[#This Row],[Минимум 20000]], 100)</f>
        <v>151200</v>
      </c>
    </row>
    <row r="99" spans="1:22" x14ac:dyDescent="0.25">
      <c r="A99" s="2">
        <f>'1000_заявлений'!A93</f>
        <v>91</v>
      </c>
      <c r="B99" s="4">
        <f>VALUE(SUBSTITUTE('1000_заявлений'!B93, ".", ","))</f>
        <v>0.19064292746732101</v>
      </c>
      <c r="C99" s="4">
        <f>VALUE(SUBSTITUTE('1000_заявлений'!C93, ".", ","))</f>
        <v>0.52153881177860195</v>
      </c>
      <c r="D99" s="4">
        <f>VALUE(SUBSTITUTE('1000_заявлений'!D93, ".", ","))</f>
        <v>0.82459499999999997</v>
      </c>
      <c r="E99" s="4">
        <f>VALUE(SUBSTITUTE('1000_заявлений'!E93, ".", ","))</f>
        <v>0.68843114000000005</v>
      </c>
      <c r="F99" s="5">
        <f>VALUE(SUBSTITUTE('1000_заявлений'!F93, ".", ","))</f>
        <v>-5806</v>
      </c>
      <c r="G99" s="5">
        <f>VALUE(SUBSTITUTE('1000_заявлений'!G93, ".", ","))</f>
        <v>-11995</v>
      </c>
      <c r="H99" s="5">
        <f>VALUE(SUBSTITUTE('1000_заявлений'!H93, ".", ","))</f>
        <v>-3888</v>
      </c>
      <c r="I99" s="4">
        <f>VALUE(SUBSTITUTE('1000_заявлений'!I93, ".", ","))</f>
        <v>0.27203333333333302</v>
      </c>
      <c r="J99" s="4">
        <f>VALUE(SUBSTITUTE('1000_заявлений'!J93, ".", ","))</f>
        <v>5.5315428676420302</v>
      </c>
      <c r="K99" s="5">
        <f>VALUE(SUBSTITUTE('1000_заявлений'!K93, ".", ","))</f>
        <v>-3785</v>
      </c>
      <c r="L99" s="6">
        <f>VALUE(SUBSTITUTE('1000_заявлений'!L93, ".", ","))</f>
        <v>73449</v>
      </c>
      <c r="M99" s="2" t="str">
        <f>IF(Данные[[#This Row],[proba]]&gt;$C$6, "отказ", "одобрение")</f>
        <v>одобрение</v>
      </c>
      <c r="N99" s="7">
        <f>IF(Данные[[#This Row],[proba]]&lt;$D$2,$C$2,IF(Данные[[#This Row],[proba]]&lt;$D$3,$C$3,IF(Данные[[#This Row],[proba]]&gt;$C$6,0,$C$4)))</f>
        <v>300000</v>
      </c>
      <c r="O99" s="2">
        <f>IF(Данные[[#This Row],[weighted_ext_score]]&gt;$O$1,MIN(Данные[[#This Row],[Базовая сумма]]*$O$2,$C$2),IF(Данные[[#This Row],[weighted_ext_score]]&lt;$O$3,Данные[[#This Row],[Базовая сумма]]*$O$4,N99))</f>
        <v>300000</v>
      </c>
      <c r="P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99" s="2">
        <f>ABS(Данные[[#This Row],[days_birth]])/365.2425</f>
        <v>32.841194548827147</v>
      </c>
      <c r="S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360000</v>
      </c>
      <c r="T99" s="2">
        <f>IF(Данные[[#This Row],[ interest_rate]]&gt;$T$1,Данные[[#This Row],[days_birth4]]*$T$2,Данные[[#This Row],[days_birth4]])</f>
        <v>360000</v>
      </c>
      <c r="U99" s="2">
        <f>IF(Данные[[#This Row],[Проверка отказа]]="отказ",0,MAX(Данные[[#This Row],[interest_rate]],$C$1))</f>
        <v>360000</v>
      </c>
      <c r="V99" s="2">
        <f>MROUND(Данные[[#This Row],[Минимум 20000]], 100)</f>
        <v>360000</v>
      </c>
    </row>
    <row r="100" spans="1:22" x14ac:dyDescent="0.25">
      <c r="A100" s="2">
        <f>'1000_заявлений'!A94</f>
        <v>92</v>
      </c>
      <c r="B100" s="4">
        <f>VALUE(SUBSTITUTE('1000_заявлений'!B94, ".", ","))</f>
        <v>0.483594678145565</v>
      </c>
      <c r="C100" s="4">
        <f>VALUE(SUBSTITUTE('1000_заявлений'!C94, ".", ","))</f>
        <v>0.492264846903396</v>
      </c>
      <c r="D100" s="4">
        <f>VALUE(SUBSTITUTE('1000_заявлений'!D94, ".", ","))</f>
        <v>0.32965505000000001</v>
      </c>
      <c r="E100" s="4">
        <f>VALUE(SUBSTITUTE('1000_заявлений'!E94, ".", ","))</f>
        <v>0.59001740000000003</v>
      </c>
      <c r="F100" s="5">
        <f>VALUE(SUBSTITUTE('1000_заявлений'!F94, ".", ","))</f>
        <v>-4183</v>
      </c>
      <c r="G100" s="5">
        <f>VALUE(SUBSTITUTE('1000_заявлений'!G94, ".", ","))</f>
        <v>-17237</v>
      </c>
      <c r="H100" s="5">
        <f>VALUE(SUBSTITUTE('1000_заявлений'!H94, ".", ","))</f>
        <v>-647</v>
      </c>
      <c r="I100" s="4">
        <f>VALUE(SUBSTITUTE('1000_заявлений'!I94, ".", ","))</f>
        <v>0.146633333333333</v>
      </c>
      <c r="J100" s="4">
        <f>VALUE(SUBSTITUTE('1000_заявлений'!J94, ".", ","))</f>
        <v>3.7178502237405802</v>
      </c>
      <c r="K100" s="5">
        <f>VALUE(SUBSTITUTE('1000_заявлений'!K94, ".", ","))</f>
        <v>-1458</v>
      </c>
      <c r="L100" s="6">
        <f>VALUE(SUBSTITUTE('1000_заявлений'!L94, ".", ","))</f>
        <v>19795.5</v>
      </c>
      <c r="M100" s="2" t="str">
        <f>IF(Данные[[#This Row],[proba]]&gt;$C$6, "отказ", "одобрение")</f>
        <v>отказ</v>
      </c>
      <c r="N100" s="7">
        <f>IF(Данные[[#This Row],[proba]]&lt;$D$2,$C$2,IF(Данные[[#This Row],[proba]]&lt;$D$3,$C$3,IF(Данные[[#This Row],[proba]]&gt;$C$6,0,$C$4)))</f>
        <v>0</v>
      </c>
      <c r="O100" s="2">
        <f>IF(Данные[[#This Row],[weighted_ext_score]]&gt;$O$1,MIN(Данные[[#This Row],[Базовая сумма]]*$O$2,$C$2),IF(Данные[[#This Row],[weighted_ext_score]]&lt;$O$3,Данные[[#This Row],[Базовая сумма]]*$O$4,N100))</f>
        <v>0</v>
      </c>
      <c r="P1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" s="2">
        <f>ABS(Данные[[#This Row],[days_birth]])/365.2425</f>
        <v>47.193303079460904</v>
      </c>
      <c r="S1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" s="2">
        <f>IF(Данные[[#This Row],[ interest_rate]]&gt;$T$1,Данные[[#This Row],[days_birth4]]*$T$2,Данные[[#This Row],[days_birth4]])</f>
        <v>0</v>
      </c>
      <c r="U100" s="2">
        <f>IF(Данные[[#This Row],[Проверка отказа]]="отказ",0,MAX(Данные[[#This Row],[interest_rate]],$C$1))</f>
        <v>0</v>
      </c>
      <c r="V100" s="2">
        <f>MROUND(Данные[[#This Row],[Минимум 20000]], 100)</f>
        <v>0</v>
      </c>
    </row>
    <row r="101" spans="1:22" x14ac:dyDescent="0.25">
      <c r="A101" s="2">
        <f>'1000_заявлений'!A95</f>
        <v>93</v>
      </c>
      <c r="B101" s="4">
        <f>VALUE(SUBSTITUTE('1000_заявлений'!B95, ".", ","))</f>
        <v>0.69151816184846604</v>
      </c>
      <c r="C101" s="4">
        <f>VALUE(SUBSTITUTE('1000_заявлений'!C95, ".", ","))</f>
        <v>0.27402240578921999</v>
      </c>
      <c r="D101" s="4">
        <f>VALUE(SUBSTITUTE('1000_заявлений'!D95, ".", ","))</f>
        <v>0.25670557999999999</v>
      </c>
      <c r="E101" s="4">
        <f>VALUE(SUBSTITUTE('1000_заявлений'!E95, ".", ","))</f>
        <v>0.55855036000000002</v>
      </c>
      <c r="F101" s="5">
        <f>VALUE(SUBSTITUTE('1000_заявлений'!F95, ".", ","))</f>
        <v>-3370</v>
      </c>
      <c r="G101" s="5">
        <f>VALUE(SUBSTITUTE('1000_заявлений'!G95, ".", ","))</f>
        <v>-10033</v>
      </c>
      <c r="H101" s="5">
        <f>VALUE(SUBSTITUTE('1000_заявлений'!H95, ".", ","))</f>
        <v>-2516</v>
      </c>
      <c r="I101" s="4">
        <f>VALUE(SUBSTITUTE('1000_заявлений'!I95, ".", ","))</f>
        <v>0.15490909090909</v>
      </c>
      <c r="J101" s="4">
        <f>VALUE(SUBSTITUTE('1000_заявлений'!J95, ".", ","))</f>
        <v>0.35327004041301102</v>
      </c>
      <c r="K101" s="5">
        <f>VALUE(SUBSTITUTE('1000_заявлений'!K95, ".", ","))</f>
        <v>-558</v>
      </c>
      <c r="L101" s="6">
        <f>VALUE(SUBSTITUTE('1000_заявлений'!L95, ".", ","))</f>
        <v>15336</v>
      </c>
      <c r="M101" s="2" t="str">
        <f>IF(Данные[[#This Row],[proba]]&gt;$C$6, "отказ", "одобрение")</f>
        <v>отказ</v>
      </c>
      <c r="N101" s="7">
        <f>IF(Данные[[#This Row],[proba]]&lt;$D$2,$C$2,IF(Данные[[#This Row],[proba]]&lt;$D$3,$C$3,IF(Данные[[#This Row],[proba]]&gt;$C$6,0,$C$4)))</f>
        <v>0</v>
      </c>
      <c r="O101" s="2">
        <f>IF(Данные[[#This Row],[weighted_ext_score]]&gt;$O$1,MIN(Данные[[#This Row],[Базовая сумма]]*$O$2,$C$2),IF(Данные[[#This Row],[weighted_ext_score]]&lt;$O$3,Данные[[#This Row],[Базовая сумма]]*$O$4,N101))</f>
        <v>0</v>
      </c>
      <c r="P1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1" s="2">
        <f>ABS(Данные[[#This Row],[days_birth]])/365.2425</f>
        <v>27.469421001115698</v>
      </c>
      <c r="S1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1" s="2">
        <f>IF(Данные[[#This Row],[ interest_rate]]&gt;$T$1,Данные[[#This Row],[days_birth4]]*$T$2,Данные[[#This Row],[days_birth4]])</f>
        <v>0</v>
      </c>
      <c r="U101" s="2">
        <f>IF(Данные[[#This Row],[Проверка отказа]]="отказ",0,MAX(Данные[[#This Row],[interest_rate]],$C$1))</f>
        <v>0</v>
      </c>
      <c r="V101" s="2">
        <f>MROUND(Данные[[#This Row],[Минимум 20000]], 100)</f>
        <v>0</v>
      </c>
    </row>
    <row r="102" spans="1:22" x14ac:dyDescent="0.25">
      <c r="A102" s="2">
        <f>'1000_заявлений'!A96</f>
        <v>94</v>
      </c>
      <c r="B102" s="4">
        <f>VALUE(SUBSTITUTE('1000_заявлений'!B96, ".", ","))</f>
        <v>0.784913317025562</v>
      </c>
      <c r="C102" s="4">
        <f>VALUE(SUBSTITUTE('1000_заявлений'!C96, ".", ","))</f>
        <v>0.20535871510693399</v>
      </c>
      <c r="D102" s="4">
        <f>VALUE(SUBSTITUTE('1000_заявлений'!D96, ".", ","))</f>
        <v>5.7639290000000003E-2</v>
      </c>
      <c r="E102" s="4">
        <f>VALUE(SUBSTITUTE('1000_заявлений'!E96, ".", ","))</f>
        <v>0.44636556999999999</v>
      </c>
      <c r="F102" s="5">
        <f>VALUE(SUBSTITUTE('1000_заявлений'!F96, ".", ","))</f>
        <v>-9298</v>
      </c>
      <c r="G102" s="5">
        <f>VALUE(SUBSTITUTE('1000_заявлений'!G96, ".", ","))</f>
        <v>-11378</v>
      </c>
      <c r="H102" s="5">
        <f>VALUE(SUBSTITUTE('1000_заявлений'!H96, ".", ","))</f>
        <v>-3317</v>
      </c>
      <c r="I102" s="4">
        <f>VALUE(SUBSTITUTE('1000_заявлений'!I96, ".", ","))</f>
        <v>0.10680000000000001</v>
      </c>
      <c r="J102" s="4">
        <f>VALUE(SUBSTITUTE('1000_заявлений'!J96, ".", ","))</f>
        <v>2.8854197754306798</v>
      </c>
      <c r="K102" s="5">
        <f>VALUE(SUBSTITUTE('1000_заявлений'!K96, ".", ","))</f>
        <v>-3440</v>
      </c>
      <c r="L102" s="6">
        <f>VALUE(SUBSTITUTE('1000_заявлений'!L96, ".", ","))</f>
        <v>33642</v>
      </c>
      <c r="M102" s="2" t="str">
        <f>IF(Данные[[#This Row],[proba]]&gt;$C$6, "отказ", "одобрение")</f>
        <v>отказ</v>
      </c>
      <c r="N102" s="7">
        <f>IF(Данные[[#This Row],[proba]]&lt;$D$2,$C$2,IF(Данные[[#This Row],[proba]]&lt;$D$3,$C$3,IF(Данные[[#This Row],[proba]]&gt;$C$6,0,$C$4)))</f>
        <v>0</v>
      </c>
      <c r="O102" s="2">
        <f>IF(Данные[[#This Row],[weighted_ext_score]]&gt;$O$1,MIN(Данные[[#This Row],[Базовая сумма]]*$O$2,$C$2),IF(Данные[[#This Row],[weighted_ext_score]]&lt;$O$3,Данные[[#This Row],[Базовая сумма]]*$O$4,N102))</f>
        <v>0</v>
      </c>
      <c r="P1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2" s="2">
        <f>ABS(Данные[[#This Row],[days_birth]])/365.2425</f>
        <v>31.151905925515241</v>
      </c>
      <c r="S1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2" s="2">
        <f>IF(Данные[[#This Row],[ interest_rate]]&gt;$T$1,Данные[[#This Row],[days_birth4]]*$T$2,Данные[[#This Row],[days_birth4]])</f>
        <v>0</v>
      </c>
      <c r="U102" s="2">
        <f>IF(Данные[[#This Row],[Проверка отказа]]="отказ",0,MAX(Данные[[#This Row],[interest_rate]],$C$1))</f>
        <v>0</v>
      </c>
      <c r="V102" s="2">
        <f>MROUND(Данные[[#This Row],[Минимум 20000]], 100)</f>
        <v>0</v>
      </c>
    </row>
    <row r="103" spans="1:22" x14ac:dyDescent="0.25">
      <c r="A103" s="2">
        <f>'1000_заявлений'!A97</f>
        <v>95</v>
      </c>
      <c r="B103" s="4">
        <f>VALUE(SUBSTITUTE('1000_заявлений'!B97, ".", ","))</f>
        <v>0.21240807023146699</v>
      </c>
      <c r="C103" s="4">
        <f>VALUE(SUBSTITUTE('1000_заявлений'!C97, ".", ","))</f>
        <v>0.61231297864131295</v>
      </c>
      <c r="D103" s="4">
        <f>VALUE(SUBSTITUTE('1000_заявлений'!D97, ".", ","))</f>
        <v>0.68013880000000004</v>
      </c>
      <c r="E103" s="4">
        <f>VALUE(SUBSTITUTE('1000_заявлений'!E97, ".", ","))</f>
        <v>0.72190624000000003</v>
      </c>
      <c r="F103" s="5">
        <f>VALUE(SUBSTITUTE('1000_заявлений'!F97, ".", ","))</f>
        <v>-5740</v>
      </c>
      <c r="G103" s="5">
        <f>VALUE(SUBSTITUTE('1000_заявлений'!G97, ".", ","))</f>
        <v>-13758</v>
      </c>
      <c r="H103" s="5">
        <f>VALUE(SUBSTITUTE('1000_заявлений'!H97, ".", ","))</f>
        <v>-4594</v>
      </c>
      <c r="I103" s="4">
        <f>VALUE(SUBSTITUTE('1000_заявлений'!I97, ".", ","))</f>
        <v>0.157225</v>
      </c>
      <c r="J103" s="4">
        <f>VALUE(SUBSTITUTE('1000_заявлений'!J97, ".", ","))</f>
        <v>0.430864759569837</v>
      </c>
      <c r="K103" s="5">
        <f>VALUE(SUBSTITUTE('1000_заявлений'!K97, ".", ","))</f>
        <v>-1604</v>
      </c>
      <c r="L103" s="6">
        <f>VALUE(SUBSTITUTE('1000_заявлений'!L97, ".", ","))</f>
        <v>28300.5</v>
      </c>
      <c r="M103" s="2" t="str">
        <f>IF(Данные[[#This Row],[proba]]&gt;$C$6, "отказ", "одобрение")</f>
        <v>одобрение</v>
      </c>
      <c r="N103" s="7">
        <f>IF(Данные[[#This Row],[proba]]&lt;$D$2,$C$2,IF(Данные[[#This Row],[proba]]&lt;$D$3,$C$3,IF(Данные[[#This Row],[proba]]&gt;$C$6,0,$C$4)))</f>
        <v>100000</v>
      </c>
      <c r="O103" s="2">
        <f>IF(Данные[[#This Row],[weighted_ext_score]]&gt;$O$1,MIN(Данные[[#This Row],[Базовая сумма]]*$O$2,$C$2),IF(Данные[[#This Row],[weighted_ext_score]]&lt;$O$3,Данные[[#This Row],[Базовая сумма]]*$O$4,N103))</f>
        <v>100000</v>
      </c>
      <c r="P1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03" s="2">
        <f>ABS(Данные[[#This Row],[days_birth]])/365.2425</f>
        <v>37.668124602147884</v>
      </c>
      <c r="S1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103" s="2">
        <f>IF(Данные[[#This Row],[ interest_rate]]&gt;$T$1,Данные[[#This Row],[days_birth4]]*$T$2,Данные[[#This Row],[days_birth4]])</f>
        <v>84000</v>
      </c>
      <c r="U103" s="2">
        <f>IF(Данные[[#This Row],[Проверка отказа]]="отказ",0,MAX(Данные[[#This Row],[interest_rate]],$C$1))</f>
        <v>84000</v>
      </c>
      <c r="V103" s="2">
        <f>MROUND(Данные[[#This Row],[Минимум 20000]], 100)</f>
        <v>84000</v>
      </c>
    </row>
    <row r="104" spans="1:22" x14ac:dyDescent="0.25">
      <c r="A104" s="2">
        <f>'1000_заявлений'!A98</f>
        <v>96</v>
      </c>
      <c r="B104" s="4">
        <f>VALUE(SUBSTITUTE('1000_заявлений'!B98, ".", ","))</f>
        <v>0.34262152611411301</v>
      </c>
      <c r="C104" s="4">
        <f>VALUE(SUBSTITUTE('1000_заявлений'!C98, ".", ","))</f>
        <v>0.56164489758999103</v>
      </c>
      <c r="D104" s="4">
        <f>VALUE(SUBSTITUTE('1000_заявлений'!D98, ".", ","))</f>
        <v>0.82975010000000005</v>
      </c>
      <c r="E104" s="4">
        <f>VALUE(SUBSTITUTE('1000_заявлений'!E98, ".", ","))</f>
        <v>0.20352282999999999</v>
      </c>
      <c r="F104" s="5">
        <f>VALUE(SUBSTITUTE('1000_заявлений'!F98, ".", ","))</f>
        <v>-9512</v>
      </c>
      <c r="G104" s="5">
        <f>VALUE(SUBSTITUTE('1000_заявлений'!G98, ".", ","))</f>
        <v>-17026</v>
      </c>
      <c r="H104" s="5">
        <f>VALUE(SUBSTITUTE('1000_заявлений'!H98, ".", ","))</f>
        <v>-398</v>
      </c>
      <c r="I104" s="4">
        <f>VALUE(SUBSTITUTE('1000_заявлений'!I98, ".", ","))</f>
        <v>0.20235</v>
      </c>
      <c r="J104" s="4">
        <f>VALUE(SUBSTITUTE('1000_заявлений'!J98, ".", ","))</f>
        <v>2.6226309622799899</v>
      </c>
      <c r="K104" s="5">
        <f>VALUE(SUBSTITUTE('1000_заявлений'!K98, ".", ","))</f>
        <v>-3342</v>
      </c>
      <c r="L104" s="6">
        <f>VALUE(SUBSTITUTE('1000_заявлений'!L98, ".", ","))</f>
        <v>36423</v>
      </c>
      <c r="M104" s="2" t="str">
        <f>IF(Данные[[#This Row],[proba]]&gt;$C$6, "отказ", "одобрение")</f>
        <v>отказ</v>
      </c>
      <c r="N104" s="7">
        <f>IF(Данные[[#This Row],[proba]]&lt;$D$2,$C$2,IF(Данные[[#This Row],[proba]]&lt;$D$3,$C$3,IF(Данные[[#This Row],[proba]]&gt;$C$6,0,$C$4)))</f>
        <v>0</v>
      </c>
      <c r="O104" s="2">
        <f>IF(Данные[[#This Row],[weighted_ext_score]]&gt;$O$1,MIN(Данные[[#This Row],[Базовая сумма]]*$O$2,$C$2),IF(Данные[[#This Row],[weighted_ext_score]]&lt;$O$3,Данные[[#This Row],[Базовая сумма]]*$O$4,N104))</f>
        <v>0</v>
      </c>
      <c r="P1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4" s="2">
        <f>ABS(Данные[[#This Row],[days_birth]])/365.2425</f>
        <v>46.615604700986331</v>
      </c>
      <c r="S1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4" s="2">
        <f>IF(Данные[[#This Row],[ interest_rate]]&gt;$T$1,Данные[[#This Row],[days_birth4]]*$T$2,Данные[[#This Row],[days_birth4]])</f>
        <v>0</v>
      </c>
      <c r="U104" s="2">
        <f>IF(Данные[[#This Row],[Проверка отказа]]="отказ",0,MAX(Данные[[#This Row],[interest_rate]],$C$1))</f>
        <v>0</v>
      </c>
      <c r="V104" s="2">
        <f>MROUND(Данные[[#This Row],[Минимум 20000]], 100)</f>
        <v>0</v>
      </c>
    </row>
    <row r="105" spans="1:22" x14ac:dyDescent="0.25">
      <c r="A105" s="2">
        <f>'1000_заявлений'!A99</f>
        <v>97</v>
      </c>
      <c r="B105" s="4">
        <f>VALUE(SUBSTITUTE('1000_заявлений'!B99, ".", ","))</f>
        <v>0.27942584748685301</v>
      </c>
      <c r="C105" s="4">
        <f>VALUE(SUBSTITUTE('1000_заявлений'!C99, ".", ","))</f>
        <v>0.47724311081227</v>
      </c>
      <c r="D105" s="4">
        <f>VALUE(SUBSTITUTE('1000_заявлений'!D99, ".", ","))</f>
        <v>0.71510309999999999</v>
      </c>
      <c r="E105" s="4">
        <f>VALUE(SUBSTITUTE('1000_заявлений'!E99, ".", ","))</f>
        <v>0.67395340000000004</v>
      </c>
      <c r="F105" s="5">
        <f>VALUE(SUBSTITUTE('1000_заявлений'!F99, ".", ","))</f>
        <v>-5237</v>
      </c>
      <c r="G105" s="5">
        <f>VALUE(SUBSTITUTE('1000_заявлений'!G99, ".", ","))</f>
        <v>-16413</v>
      </c>
      <c r="H105" s="5">
        <f>VALUE(SUBSTITUTE('1000_заявлений'!H99, ".", ","))</f>
        <v>-4552</v>
      </c>
      <c r="I105" s="4">
        <f>VALUE(SUBSTITUTE('1000_заявлений'!I99, ".", ","))</f>
        <v>0.37675999999999998</v>
      </c>
      <c r="J105" s="4">
        <f>VALUE(SUBSTITUTE('1000_заявлений'!J99, ".", ","))</f>
        <v>3.06318978938058</v>
      </c>
      <c r="K105" s="5">
        <f>VALUE(SUBSTITUTE('1000_заявлений'!K99, ".", ","))</f>
        <v>-2659</v>
      </c>
      <c r="L105" s="6">
        <f>VALUE(SUBSTITUTE('1000_заявлений'!L99, ".", ","))</f>
        <v>42385.5</v>
      </c>
      <c r="M105" s="2" t="str">
        <f>IF(Данные[[#This Row],[proba]]&gt;$C$6, "отказ", "одобрение")</f>
        <v>одобрение</v>
      </c>
      <c r="N105" s="7">
        <f>IF(Данные[[#This Row],[proba]]&lt;$D$2,$C$2,IF(Данные[[#This Row],[proba]]&lt;$D$3,$C$3,IF(Данные[[#This Row],[proba]]&gt;$C$6,0,$C$4)))</f>
        <v>100000</v>
      </c>
      <c r="O105" s="2">
        <f>IF(Данные[[#This Row],[weighted_ext_score]]&gt;$O$1,MIN(Данные[[#This Row],[Базовая сумма]]*$O$2,$C$2),IF(Данные[[#This Row],[weighted_ext_score]]&lt;$O$3,Данные[[#This Row],[Базовая сумма]]*$O$4,N105))</f>
        <v>100000</v>
      </c>
      <c r="P1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05" s="2">
        <f>ABS(Данные[[#This Row],[days_birth]])/365.2425</f>
        <v>44.937267705702375</v>
      </c>
      <c r="S1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105" s="2">
        <f>IF(Данные[[#This Row],[ interest_rate]]&gt;$T$1,Данные[[#This Row],[days_birth4]]*$T$2,Данные[[#This Row],[days_birth4]])</f>
        <v>120000</v>
      </c>
      <c r="U105" s="2">
        <f>IF(Данные[[#This Row],[Проверка отказа]]="отказ",0,MAX(Данные[[#This Row],[interest_rate]],$C$1))</f>
        <v>120000</v>
      </c>
      <c r="V105" s="2">
        <f>MROUND(Данные[[#This Row],[Минимум 20000]], 100)</f>
        <v>120000</v>
      </c>
    </row>
    <row r="106" spans="1:22" x14ac:dyDescent="0.25">
      <c r="A106" s="2">
        <f>'1000_заявлений'!A100</f>
        <v>98</v>
      </c>
      <c r="B106" s="4">
        <f>VALUE(SUBSTITUTE('1000_заявлений'!B100, ".", ","))</f>
        <v>0.345127251453829</v>
      </c>
      <c r="C106" s="4">
        <f>VALUE(SUBSTITUTE('1000_заявлений'!C100, ".", ","))</f>
        <v>0.44166960326811699</v>
      </c>
      <c r="D106" s="4">
        <f>VALUE(SUBSTITUTE('1000_заявлений'!D100, ".", ","))</f>
        <v>0.65778380000000003</v>
      </c>
      <c r="E106" s="4">
        <f>VALUE(SUBSTITUTE('1000_заявлений'!E100, ".", ","))</f>
        <v>0.62819462999999998</v>
      </c>
      <c r="F106" s="5">
        <f>VALUE(SUBSTITUTE('1000_заявлений'!F100, ".", ","))</f>
        <v>-10953</v>
      </c>
      <c r="G106" s="5">
        <f>VALUE(SUBSTITUTE('1000_заявлений'!G100, ".", ","))</f>
        <v>-17428</v>
      </c>
      <c r="H106" s="5">
        <f>VALUE(SUBSTITUTE('1000_заявлений'!H100, ".", ","))</f>
        <v>-960</v>
      </c>
      <c r="I106" s="4">
        <f>VALUE(SUBSTITUTE('1000_заявлений'!I100, ".", ","))</f>
        <v>0.40510000000000002</v>
      </c>
      <c r="J106" s="4">
        <f>VALUE(SUBSTITUTE('1000_заявлений'!J100, ".", ","))</f>
        <v>6.5526323213506297</v>
      </c>
      <c r="K106" s="5">
        <f>VALUE(SUBSTITUTE('1000_заявлений'!K100, ".", ","))</f>
        <v>-5088</v>
      </c>
      <c r="L106" s="6">
        <f>VALUE(SUBSTITUTE('1000_заявлений'!L100, ".", ","))</f>
        <v>36459</v>
      </c>
      <c r="M106" s="2" t="str">
        <f>IF(Данные[[#This Row],[proba]]&gt;$C$6, "отказ", "одобрение")</f>
        <v>отказ</v>
      </c>
      <c r="N106" s="7">
        <f>IF(Данные[[#This Row],[proba]]&lt;$D$2,$C$2,IF(Данные[[#This Row],[proba]]&lt;$D$3,$C$3,IF(Данные[[#This Row],[proba]]&gt;$C$6,0,$C$4)))</f>
        <v>0</v>
      </c>
      <c r="O106" s="2">
        <f>IF(Данные[[#This Row],[weighted_ext_score]]&gt;$O$1,MIN(Данные[[#This Row],[Базовая сумма]]*$O$2,$C$2),IF(Данные[[#This Row],[weighted_ext_score]]&lt;$O$3,Данные[[#This Row],[Базовая сумма]]*$O$4,N106))</f>
        <v>0</v>
      </c>
      <c r="P1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6" s="2">
        <f>ABS(Данные[[#This Row],[days_birth]])/365.2425</f>
        <v>47.716243317795708</v>
      </c>
      <c r="S1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6" s="2">
        <f>IF(Данные[[#This Row],[ interest_rate]]&gt;$T$1,Данные[[#This Row],[days_birth4]]*$T$2,Данные[[#This Row],[days_birth4]])</f>
        <v>0</v>
      </c>
      <c r="U106" s="2">
        <f>IF(Данные[[#This Row],[Проверка отказа]]="отказ",0,MAX(Данные[[#This Row],[interest_rate]],$C$1))</f>
        <v>0</v>
      </c>
      <c r="V106" s="2">
        <f>MROUND(Данные[[#This Row],[Минимум 20000]], 100)</f>
        <v>0</v>
      </c>
    </row>
    <row r="107" spans="1:22" x14ac:dyDescent="0.25">
      <c r="A107" s="2">
        <f>'1000_заявлений'!A101</f>
        <v>99</v>
      </c>
      <c r="B107" s="4">
        <f>VALUE(SUBSTITUTE('1000_заявлений'!B101, ".", ","))</f>
        <v>0.44322348198697298</v>
      </c>
      <c r="C107" s="4">
        <f>VALUE(SUBSTITUTE('1000_заявлений'!C101, ".", ","))</f>
        <v>0.34195428584041798</v>
      </c>
      <c r="D107" s="4">
        <f>VALUE(SUBSTITUTE('1000_заявлений'!D101, ".", ","))</f>
        <v>0.63470554000000001</v>
      </c>
      <c r="E107" s="4">
        <f>VALUE(SUBSTITUTE('1000_заявлений'!E101, ".", ","))</f>
        <v>0.3465201</v>
      </c>
      <c r="F107" s="5">
        <f>VALUE(SUBSTITUTE('1000_заявлений'!F101, ".", ","))</f>
        <v>-7974</v>
      </c>
      <c r="G107" s="5">
        <f>VALUE(SUBSTITUTE('1000_заявлений'!G101, ".", ","))</f>
        <v>-21144</v>
      </c>
      <c r="H107" s="5">
        <f>VALUE(SUBSTITUTE('1000_заявлений'!H101, ".", ","))</f>
        <v>-4194</v>
      </c>
      <c r="I107" s="4">
        <f>VALUE(SUBSTITUTE('1000_заявлений'!I101, ".", ","))</f>
        <v>0.34186666666666599</v>
      </c>
      <c r="J107" s="4">
        <f>VALUE(SUBSTITUTE('1000_заявлений'!J101, ".", ","))</f>
        <v>2.0256037533076698</v>
      </c>
      <c r="K107" s="5">
        <f>VALUE(SUBSTITUTE('1000_заявлений'!K101, ".", ","))</f>
        <v>365243</v>
      </c>
      <c r="L107" s="6">
        <f>VALUE(SUBSTITUTE('1000_заявлений'!L101, ".", ","))</f>
        <v>23076</v>
      </c>
      <c r="M107" s="2" t="str">
        <f>IF(Данные[[#This Row],[proba]]&gt;$C$6, "отказ", "одобрение")</f>
        <v>отказ</v>
      </c>
      <c r="N107" s="7">
        <f>IF(Данные[[#This Row],[proba]]&lt;$D$2,$C$2,IF(Данные[[#This Row],[proba]]&lt;$D$3,$C$3,IF(Данные[[#This Row],[proba]]&gt;$C$6,0,$C$4)))</f>
        <v>0</v>
      </c>
      <c r="O107" s="2">
        <f>IF(Данные[[#This Row],[weighted_ext_score]]&gt;$O$1,MIN(Данные[[#This Row],[Базовая сумма]]*$O$2,$C$2),IF(Данные[[#This Row],[weighted_ext_score]]&lt;$O$3,Данные[[#This Row],[Базовая сумма]]*$O$4,N107))</f>
        <v>0</v>
      </c>
      <c r="P1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7" s="2">
        <f>ABS(Данные[[#This Row],[days_birth]])/365.2425</f>
        <v>57.890305755765006</v>
      </c>
      <c r="S1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7" s="2">
        <f>IF(Данные[[#This Row],[ interest_rate]]&gt;$T$1,Данные[[#This Row],[days_birth4]]*$T$2,Данные[[#This Row],[days_birth4]])</f>
        <v>0</v>
      </c>
      <c r="U107" s="2">
        <f>IF(Данные[[#This Row],[Проверка отказа]]="отказ",0,MAX(Данные[[#This Row],[interest_rate]],$C$1))</f>
        <v>0</v>
      </c>
      <c r="V107" s="2">
        <f>MROUND(Данные[[#This Row],[Минимум 20000]], 100)</f>
        <v>0</v>
      </c>
    </row>
    <row r="108" spans="1:22" x14ac:dyDescent="0.25">
      <c r="A108" s="2">
        <f>'1000_заявлений'!A102</f>
        <v>100</v>
      </c>
      <c r="B108" s="4">
        <f>VALUE(SUBSTITUTE('1000_заявлений'!B102, ".", ","))</f>
        <v>0.47251973233291</v>
      </c>
      <c r="C108" s="4">
        <f>VALUE(SUBSTITUTE('1000_заявлений'!C102, ".", ","))</f>
        <v>0.30522964484353898</v>
      </c>
      <c r="D108" s="4">
        <f>VALUE(SUBSTITUTE('1000_заявлений'!D102, ".", ","))</f>
        <v>0.19070596000000001</v>
      </c>
      <c r="E108" s="4">
        <f>VALUE(SUBSTITUTE('1000_заявлений'!E102, ".", ","))</f>
        <v>0.72834370000000004</v>
      </c>
      <c r="F108" s="5">
        <f>VALUE(SUBSTITUTE('1000_заявлений'!F102, ".", ","))</f>
        <v>-15644</v>
      </c>
      <c r="G108" s="5">
        <f>VALUE(SUBSTITUTE('1000_заявлений'!G102, ".", ","))</f>
        <v>-23902</v>
      </c>
      <c r="H108" s="5">
        <f>VALUE(SUBSTITUTE('1000_заявлений'!H102, ".", ","))</f>
        <v>-1755</v>
      </c>
      <c r="I108" s="4">
        <f>VALUE(SUBSTITUTE('1000_заявлений'!I102, ".", ","))</f>
        <v>7.8466666666666601E-2</v>
      </c>
      <c r="J108" s="4">
        <f>VALUE(SUBSTITUTE('1000_заявлений'!J102, ".", ","))</f>
        <v>1.4292372294717399</v>
      </c>
      <c r="K108" s="5">
        <f>VALUE(SUBSTITUTE('1000_заявлений'!K102, ".", ","))</f>
        <v>365243</v>
      </c>
      <c r="L108" s="6">
        <f>VALUE(SUBSTITUTE('1000_заявлений'!L102, ".", ","))</f>
        <v>10593</v>
      </c>
      <c r="M108" s="2" t="str">
        <f>IF(Данные[[#This Row],[proba]]&gt;$C$6, "отказ", "одобрение")</f>
        <v>отказ</v>
      </c>
      <c r="N108" s="7">
        <f>IF(Данные[[#This Row],[proba]]&lt;$D$2,$C$2,IF(Данные[[#This Row],[proba]]&lt;$D$3,$C$3,IF(Данные[[#This Row],[proba]]&gt;$C$6,0,$C$4)))</f>
        <v>0</v>
      </c>
      <c r="O108" s="2">
        <f>IF(Данные[[#This Row],[weighted_ext_score]]&gt;$O$1,MIN(Данные[[#This Row],[Базовая сумма]]*$O$2,$C$2),IF(Данные[[#This Row],[weighted_ext_score]]&lt;$O$3,Данные[[#This Row],[Базовая сумма]]*$O$4,N108))</f>
        <v>0</v>
      </c>
      <c r="P1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8" s="2">
        <f>ABS(Данные[[#This Row],[days_birth]])/365.2425</f>
        <v>65.441453281039301</v>
      </c>
      <c r="S1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8" s="2">
        <f>IF(Данные[[#This Row],[ interest_rate]]&gt;$T$1,Данные[[#This Row],[days_birth4]]*$T$2,Данные[[#This Row],[days_birth4]])</f>
        <v>0</v>
      </c>
      <c r="U108" s="2">
        <f>IF(Данные[[#This Row],[Проверка отказа]]="отказ",0,MAX(Данные[[#This Row],[interest_rate]],$C$1))</f>
        <v>0</v>
      </c>
      <c r="V108" s="2">
        <f>MROUND(Данные[[#This Row],[Минимум 20000]], 100)</f>
        <v>0</v>
      </c>
    </row>
    <row r="109" spans="1:22" x14ac:dyDescent="0.25">
      <c r="A109" s="2">
        <f>'1000_заявлений'!A103</f>
        <v>101</v>
      </c>
      <c r="B109" s="4">
        <f>VALUE(SUBSTITUTE('1000_заявлений'!B103, ".", ","))</f>
        <v>0.39691330795812702</v>
      </c>
      <c r="C109" s="4">
        <f>VALUE(SUBSTITUTE('1000_заявлений'!C103, ".", ","))</f>
        <v>0.37323274359280001</v>
      </c>
      <c r="D109" s="4">
        <f>VALUE(SUBSTITUTE('1000_заявлений'!D103, ".", ","))</f>
        <v>0.43828139999999999</v>
      </c>
      <c r="E109" s="4">
        <f>VALUE(SUBSTITUTE('1000_заявлений'!E103, ".", ","))</f>
        <v>0.66195046999999996</v>
      </c>
      <c r="F109" s="5">
        <f>VALUE(SUBSTITUTE('1000_заявлений'!F103, ".", ","))</f>
        <v>-8481</v>
      </c>
      <c r="G109" s="5">
        <f>VALUE(SUBSTITUTE('1000_заявлений'!G103, ".", ","))</f>
        <v>-20490</v>
      </c>
      <c r="H109" s="5">
        <f>VALUE(SUBSTITUTE('1000_заявлений'!H103, ".", ","))</f>
        <v>-4033</v>
      </c>
      <c r="I109" s="4">
        <f>VALUE(SUBSTITUTE('1000_заявлений'!I103, ".", ","))</f>
        <v>0.15662000000000001</v>
      </c>
      <c r="J109" s="4">
        <f>VALUE(SUBSTITUTE('1000_заявлений'!J103, ".", ","))</f>
        <v>1.81176425121121</v>
      </c>
      <c r="K109" s="5">
        <f>VALUE(SUBSTITUTE('1000_заявлений'!K103, ".", ","))</f>
        <v>-5229</v>
      </c>
      <c r="L109" s="6">
        <f>VALUE(SUBSTITUTE('1000_заявлений'!L103, ".", ","))</f>
        <v>35239.5</v>
      </c>
      <c r="M109" s="2" t="str">
        <f>IF(Данные[[#This Row],[proba]]&gt;$C$6, "отказ", "одобрение")</f>
        <v>отказ</v>
      </c>
      <c r="N109" s="7">
        <f>IF(Данные[[#This Row],[proba]]&lt;$D$2,$C$2,IF(Данные[[#This Row],[proba]]&lt;$D$3,$C$3,IF(Данные[[#This Row],[proba]]&gt;$C$6,0,$C$4)))</f>
        <v>0</v>
      </c>
      <c r="O109" s="2">
        <f>IF(Данные[[#This Row],[weighted_ext_score]]&gt;$O$1,MIN(Данные[[#This Row],[Базовая сумма]]*$O$2,$C$2),IF(Данные[[#This Row],[weighted_ext_score]]&lt;$O$3,Данные[[#This Row],[Базовая сумма]]*$O$4,N109))</f>
        <v>0</v>
      </c>
      <c r="P1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9" s="2">
        <f>ABS(Данные[[#This Row],[days_birth]])/365.2425</f>
        <v>56.099714573194518</v>
      </c>
      <c r="S1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9" s="2">
        <f>IF(Данные[[#This Row],[ interest_rate]]&gt;$T$1,Данные[[#This Row],[days_birth4]]*$T$2,Данные[[#This Row],[days_birth4]])</f>
        <v>0</v>
      </c>
      <c r="U109" s="2">
        <f>IF(Данные[[#This Row],[Проверка отказа]]="отказ",0,MAX(Данные[[#This Row],[interest_rate]],$C$1))</f>
        <v>0</v>
      </c>
      <c r="V109" s="2">
        <f>MROUND(Данные[[#This Row],[Минимум 20000]], 100)</f>
        <v>0</v>
      </c>
    </row>
    <row r="110" spans="1:22" x14ac:dyDescent="0.25">
      <c r="A110" s="2">
        <f>'1000_заявлений'!A104</f>
        <v>102</v>
      </c>
      <c r="B110" s="4">
        <f>VALUE(SUBSTITUTE('1000_заявлений'!B104, ".", ","))</f>
        <v>0.37923803256774202</v>
      </c>
      <c r="C110" s="4">
        <f>VALUE(SUBSTITUTE('1000_заявлений'!C104, ".", ","))</f>
        <v>0.390352751224955</v>
      </c>
      <c r="D110" s="4">
        <f>VALUE(SUBSTITUTE('1000_заявлений'!D104, ".", ","))</f>
        <v>0.48845517999999999</v>
      </c>
      <c r="E110" s="4">
        <f>VALUE(SUBSTITUTE('1000_заявлений'!E104, ".", ","))</f>
        <v>0.65878709999999996</v>
      </c>
      <c r="F110" s="5">
        <f>VALUE(SUBSTITUTE('1000_заявлений'!F104, ".", ","))</f>
        <v>-6999</v>
      </c>
      <c r="G110" s="5">
        <f>VALUE(SUBSTITUTE('1000_заявлений'!G104, ".", ","))</f>
        <v>-19803</v>
      </c>
      <c r="H110" s="5">
        <f>VALUE(SUBSTITUTE('1000_заявлений'!H104, ".", ","))</f>
        <v>-3337</v>
      </c>
      <c r="I110" s="4">
        <f>VALUE(SUBSTITUTE('1000_заявлений'!I104, ".", ","))</f>
        <v>0.12791428571428501</v>
      </c>
      <c r="J110" s="4">
        <f>VALUE(SUBSTITUTE('1000_заявлений'!J104, ".", ","))</f>
        <v>1.9928337601827999</v>
      </c>
      <c r="K110" s="5">
        <f>VALUE(SUBSTITUTE('1000_заявлений'!K104, ".", ","))</f>
        <v>-5955</v>
      </c>
      <c r="L110" s="6">
        <f>VALUE(SUBSTITUTE('1000_заявлений'!L104, ".", ","))</f>
        <v>20146.5</v>
      </c>
      <c r="M110" s="2" t="str">
        <f>IF(Данные[[#This Row],[proba]]&gt;$C$6, "отказ", "одобрение")</f>
        <v>отказ</v>
      </c>
      <c r="N110" s="7">
        <f>IF(Данные[[#This Row],[proba]]&lt;$D$2,$C$2,IF(Данные[[#This Row],[proba]]&lt;$D$3,$C$3,IF(Данные[[#This Row],[proba]]&gt;$C$6,0,$C$4)))</f>
        <v>0</v>
      </c>
      <c r="O110" s="2">
        <f>IF(Данные[[#This Row],[weighted_ext_score]]&gt;$O$1,MIN(Данные[[#This Row],[Базовая сумма]]*$O$2,$C$2),IF(Данные[[#This Row],[weighted_ext_score]]&lt;$O$3,Данные[[#This Row],[Базовая сумма]]*$O$4,N110))</f>
        <v>0</v>
      </c>
      <c r="P1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0" s="2">
        <f>ABS(Данные[[#This Row],[days_birth]])/365.2425</f>
        <v>54.218772459393413</v>
      </c>
      <c r="S1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0" s="2">
        <f>IF(Данные[[#This Row],[ interest_rate]]&gt;$T$1,Данные[[#This Row],[days_birth4]]*$T$2,Данные[[#This Row],[days_birth4]])</f>
        <v>0</v>
      </c>
      <c r="U110" s="2">
        <f>IF(Данные[[#This Row],[Проверка отказа]]="отказ",0,MAX(Данные[[#This Row],[interest_rate]],$C$1))</f>
        <v>0</v>
      </c>
      <c r="V110" s="2">
        <f>MROUND(Данные[[#This Row],[Минимум 20000]], 100)</f>
        <v>0</v>
      </c>
    </row>
    <row r="111" spans="1:22" x14ac:dyDescent="0.25">
      <c r="A111" s="2">
        <f>'1000_заявлений'!A105</f>
        <v>103</v>
      </c>
      <c r="B111" s="4">
        <f>VALUE(SUBSTITUTE('1000_заявлений'!B105, ".", ","))</f>
        <v>0.212175255287777</v>
      </c>
      <c r="C111" s="4">
        <f>VALUE(SUBSTITUTE('1000_заявлений'!C105, ".", ","))</f>
        <v>0.55410488517236201</v>
      </c>
      <c r="D111" s="4">
        <f>VALUE(SUBSTITUTE('1000_заявлений'!D105, ".", ","))</f>
        <v>0.68170589999999998</v>
      </c>
      <c r="E111" s="4">
        <f>VALUE(SUBSTITUTE('1000_заявлений'!E105, ".", ","))</f>
        <v>0.64116335000000002</v>
      </c>
      <c r="F111" s="5">
        <f>VALUE(SUBSTITUTE('1000_заявлений'!F105, ".", ","))</f>
        <v>-8425</v>
      </c>
      <c r="G111" s="5">
        <f>VALUE(SUBSTITUTE('1000_заявлений'!G105, ".", ","))</f>
        <v>-11395</v>
      </c>
      <c r="H111" s="5">
        <f>VALUE(SUBSTITUTE('1000_заявлений'!H105, ".", ","))</f>
        <v>-3910</v>
      </c>
      <c r="I111" s="4">
        <f>VALUE(SUBSTITUTE('1000_заявлений'!I105, ".", ","))</f>
        <v>0.1023</v>
      </c>
      <c r="J111" s="4">
        <f>VALUE(SUBSTITUTE('1000_заявлений'!J105, ".", ","))</f>
        <v>13.0736708826512</v>
      </c>
      <c r="K111" s="5">
        <f>VALUE(SUBSTITUTE('1000_заявлений'!K105, ".", ","))</f>
        <v>-4611</v>
      </c>
      <c r="L111" s="6">
        <f>VALUE(SUBSTITUTE('1000_заявлений'!L105, ".", ","))</f>
        <v>18414</v>
      </c>
      <c r="M111" s="2" t="str">
        <f>IF(Данные[[#This Row],[proba]]&gt;$C$6, "отказ", "одобрение")</f>
        <v>одобрение</v>
      </c>
      <c r="N111" s="7">
        <f>IF(Данные[[#This Row],[proba]]&lt;$D$2,$C$2,IF(Данные[[#This Row],[proba]]&lt;$D$3,$C$3,IF(Данные[[#This Row],[proba]]&gt;$C$6,0,$C$4)))</f>
        <v>100000</v>
      </c>
      <c r="O111" s="2">
        <f>IF(Данные[[#This Row],[weighted_ext_score]]&gt;$O$1,MIN(Данные[[#This Row],[Базовая сумма]]*$O$2,$C$2),IF(Данные[[#This Row],[weighted_ext_score]]&lt;$O$3,Данные[[#This Row],[Базовая сумма]]*$O$4,N111))</f>
        <v>100000</v>
      </c>
      <c r="P1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111" s="2">
        <f>ABS(Данные[[#This Row],[days_birth]])/365.2425</f>
        <v>31.198450344634043</v>
      </c>
      <c r="S1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111" s="2">
        <f>IF(Данные[[#This Row],[ interest_rate]]&gt;$T$1,Данные[[#This Row],[days_birth4]]*$T$2,Данные[[#This Row],[days_birth4]])</f>
        <v>144000</v>
      </c>
      <c r="U111" s="2">
        <f>IF(Данные[[#This Row],[Проверка отказа]]="отказ",0,MAX(Данные[[#This Row],[interest_rate]],$C$1))</f>
        <v>144000</v>
      </c>
      <c r="V111" s="2">
        <f>MROUND(Данные[[#This Row],[Минимум 20000]], 100)</f>
        <v>144000</v>
      </c>
    </row>
    <row r="112" spans="1:22" x14ac:dyDescent="0.25">
      <c r="A112" s="2">
        <f>'1000_заявлений'!A106</f>
        <v>104</v>
      </c>
      <c r="B112" s="4">
        <f>VALUE(SUBSTITUTE('1000_заявлений'!B106, ".", ","))</f>
        <v>0.68607024686282403</v>
      </c>
      <c r="C112" s="4">
        <f>VALUE(SUBSTITUTE('1000_заявлений'!C106, ".", ","))</f>
        <v>0.24735861859671801</v>
      </c>
      <c r="D112" s="4">
        <f>VALUE(SUBSTITUTE('1000_заявлений'!D106, ".", ","))</f>
        <v>0.35233998</v>
      </c>
      <c r="E112" s="4">
        <f>VALUE(SUBSTITUTE('1000_заявлений'!E106, ".", ","))</f>
        <v>0.36972228000000001</v>
      </c>
      <c r="F112" s="5">
        <f>VALUE(SUBSTITUTE('1000_заявлений'!F106, ".", ","))</f>
        <v>-888</v>
      </c>
      <c r="G112" s="5">
        <f>VALUE(SUBSTITUTE('1000_заявлений'!G106, ".", ","))</f>
        <v>-10284</v>
      </c>
      <c r="H112" s="5">
        <f>VALUE(SUBSTITUTE('1000_заявлений'!H106, ".", ","))</f>
        <v>-2955</v>
      </c>
      <c r="I112" s="4">
        <f>VALUE(SUBSTITUTE('1000_заявлений'!I106, ".", ","))</f>
        <v>0.110166666666666</v>
      </c>
      <c r="J112" s="4">
        <f>VALUE(SUBSTITUTE('1000_заявлений'!J106, ".", ","))</f>
        <v>4.1948317763984297</v>
      </c>
      <c r="K112" s="5">
        <f>VALUE(SUBSTITUTE('1000_заявлений'!K106, ".", ","))</f>
        <v>-550</v>
      </c>
      <c r="L112" s="6">
        <f>VALUE(SUBSTITUTE('1000_заявлений'!L106, ".", ","))</f>
        <v>29745</v>
      </c>
      <c r="M112" s="2" t="str">
        <f>IF(Данные[[#This Row],[proba]]&gt;$C$6, "отказ", "одобрение")</f>
        <v>отказ</v>
      </c>
      <c r="N112" s="7">
        <f>IF(Данные[[#This Row],[proba]]&lt;$D$2,$C$2,IF(Данные[[#This Row],[proba]]&lt;$D$3,$C$3,IF(Данные[[#This Row],[proba]]&gt;$C$6,0,$C$4)))</f>
        <v>0</v>
      </c>
      <c r="O112" s="2">
        <f>IF(Данные[[#This Row],[weighted_ext_score]]&gt;$O$1,MIN(Данные[[#This Row],[Базовая сумма]]*$O$2,$C$2),IF(Данные[[#This Row],[weighted_ext_score]]&lt;$O$3,Данные[[#This Row],[Базовая сумма]]*$O$4,N112))</f>
        <v>0</v>
      </c>
      <c r="P1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2" s="2">
        <f>ABS(Данные[[#This Row],[days_birth]])/365.2425</f>
        <v>28.156635659869814</v>
      </c>
      <c r="S1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2" s="2">
        <f>IF(Данные[[#This Row],[ interest_rate]]&gt;$T$1,Данные[[#This Row],[days_birth4]]*$T$2,Данные[[#This Row],[days_birth4]])</f>
        <v>0</v>
      </c>
      <c r="U112" s="2">
        <f>IF(Данные[[#This Row],[Проверка отказа]]="отказ",0,MAX(Данные[[#This Row],[interest_rate]],$C$1))</f>
        <v>0</v>
      </c>
      <c r="V112" s="2">
        <f>MROUND(Данные[[#This Row],[Минимум 20000]], 100)</f>
        <v>0</v>
      </c>
    </row>
    <row r="113" spans="1:22" x14ac:dyDescent="0.25">
      <c r="A113" s="2">
        <f>'1000_заявлений'!A107</f>
        <v>105</v>
      </c>
      <c r="B113" s="4">
        <f>VALUE(SUBSTITUTE('1000_заявлений'!B107, ".", ","))</f>
        <v>0.42779020305992699</v>
      </c>
      <c r="C113" s="4">
        <f>VALUE(SUBSTITUTE('1000_заявлений'!C107, ".", ","))</f>
        <v>0.34483295095084898</v>
      </c>
      <c r="D113" s="4">
        <f>VALUE(SUBSTITUTE('1000_заявлений'!D107, ".", ","))</f>
        <v>0.37064964</v>
      </c>
      <c r="E113" s="4">
        <f>VALUE(SUBSTITUTE('1000_заявлений'!E107, ".", ","))</f>
        <v>0.64980499999999997</v>
      </c>
      <c r="F113" s="5">
        <f>VALUE(SUBSTITUTE('1000_заявлений'!F107, ".", ","))</f>
        <v>-12795</v>
      </c>
      <c r="G113" s="5">
        <f>VALUE(SUBSTITUTE('1000_заявлений'!G107, ".", ","))</f>
        <v>-21145</v>
      </c>
      <c r="H113" s="5">
        <f>VALUE(SUBSTITUTE('1000_заявлений'!H107, ".", ","))</f>
        <v>-839</v>
      </c>
      <c r="I113" s="4">
        <f>VALUE(SUBSTITUTE('1000_заявлений'!I107, ".", ","))</f>
        <v>0.25762222222222197</v>
      </c>
      <c r="J113" s="4">
        <f>VALUE(SUBSTITUTE('1000_заявлений'!J107, ".", ","))</f>
        <v>3.0093052346896698</v>
      </c>
      <c r="K113" s="5">
        <f>VALUE(SUBSTITUTE('1000_заявлений'!K107, ".", ","))</f>
        <v>365243</v>
      </c>
      <c r="L113" s="6">
        <f>VALUE(SUBSTITUTE('1000_заявлений'!L107, ".", ","))</f>
        <v>52168.5</v>
      </c>
      <c r="M113" s="2" t="str">
        <f>IF(Данные[[#This Row],[proba]]&gt;$C$6, "отказ", "одобрение")</f>
        <v>отказ</v>
      </c>
      <c r="N113" s="7">
        <f>IF(Данные[[#This Row],[proba]]&lt;$D$2,$C$2,IF(Данные[[#This Row],[proba]]&lt;$D$3,$C$3,IF(Данные[[#This Row],[proba]]&gt;$C$6,0,$C$4)))</f>
        <v>0</v>
      </c>
      <c r="O113" s="2">
        <f>IF(Данные[[#This Row],[weighted_ext_score]]&gt;$O$1,MIN(Данные[[#This Row],[Базовая сумма]]*$O$2,$C$2),IF(Данные[[#This Row],[weighted_ext_score]]&lt;$O$3,Данные[[#This Row],[Базовая сумма]]*$O$4,N113))</f>
        <v>0</v>
      </c>
      <c r="P1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3" s="2">
        <f>ABS(Данные[[#This Row],[days_birth]])/365.2425</f>
        <v>57.893043662771994</v>
      </c>
      <c r="S1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3" s="2">
        <f>IF(Данные[[#This Row],[ interest_rate]]&gt;$T$1,Данные[[#This Row],[days_birth4]]*$T$2,Данные[[#This Row],[days_birth4]])</f>
        <v>0</v>
      </c>
      <c r="U113" s="2">
        <f>IF(Данные[[#This Row],[Проверка отказа]]="отказ",0,MAX(Данные[[#This Row],[interest_rate]],$C$1))</f>
        <v>0</v>
      </c>
      <c r="V113" s="2">
        <f>MROUND(Данные[[#This Row],[Минимум 20000]], 100)</f>
        <v>0</v>
      </c>
    </row>
    <row r="114" spans="1:22" x14ac:dyDescent="0.25">
      <c r="A114" s="2">
        <f>'1000_заявлений'!A108</f>
        <v>106</v>
      </c>
      <c r="B114" s="4">
        <f>VALUE(SUBSTITUTE('1000_заявлений'!B108, ".", ","))</f>
        <v>0.447611500884045</v>
      </c>
      <c r="C114" s="4">
        <f>VALUE(SUBSTITUTE('1000_заявлений'!C108, ".", ","))</f>
        <v>0.36972443314592102</v>
      </c>
      <c r="D114" s="4">
        <f>VALUE(SUBSTITUTE('1000_заявлений'!D108, ".", ","))</f>
        <v>0.66585492999999996</v>
      </c>
      <c r="E114" s="4">
        <f>VALUE(SUBSTITUTE('1000_заявлений'!E108, ".", ","))</f>
        <v>0.39740068000000001</v>
      </c>
      <c r="F114" s="5">
        <f>VALUE(SUBSTITUTE('1000_заявлений'!F108, ".", ","))</f>
        <v>-2728</v>
      </c>
      <c r="G114" s="5">
        <f>VALUE(SUBSTITUTE('1000_заявлений'!G108, ".", ","))</f>
        <v>-17239</v>
      </c>
      <c r="H114" s="5">
        <f>VALUE(SUBSTITUTE('1000_заявлений'!H108, ".", ","))</f>
        <v>-766</v>
      </c>
      <c r="I114" s="4">
        <f>VALUE(SUBSTITUTE('1000_заявлений'!I108, ".", ","))</f>
        <v>0.12723999999999999</v>
      </c>
      <c r="J114" s="4">
        <f>VALUE(SUBSTITUTE('1000_заявлений'!J108, ".", ","))</f>
        <v>2.6335894841311398</v>
      </c>
      <c r="K114" s="5">
        <f>VALUE(SUBSTITUTE('1000_заявлений'!K108, ".", ","))</f>
        <v>-3037</v>
      </c>
      <c r="L114" s="6">
        <f>VALUE(SUBSTITUTE('1000_заявлений'!L108, ".", ","))</f>
        <v>14314.5</v>
      </c>
      <c r="M114" s="2" t="str">
        <f>IF(Данные[[#This Row],[proba]]&gt;$C$6, "отказ", "одобрение")</f>
        <v>отказ</v>
      </c>
      <c r="N114" s="7">
        <f>IF(Данные[[#This Row],[proba]]&lt;$D$2,$C$2,IF(Данные[[#This Row],[proba]]&lt;$D$3,$C$3,IF(Данные[[#This Row],[proba]]&gt;$C$6,0,$C$4)))</f>
        <v>0</v>
      </c>
      <c r="O114" s="2">
        <f>IF(Данные[[#This Row],[weighted_ext_score]]&gt;$O$1,MIN(Данные[[#This Row],[Базовая сумма]]*$O$2,$C$2),IF(Данные[[#This Row],[weighted_ext_score]]&lt;$O$3,Данные[[#This Row],[Базовая сумма]]*$O$4,N114))</f>
        <v>0</v>
      </c>
      <c r="P1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4" s="2">
        <f>ABS(Данные[[#This Row],[days_birth]])/365.2425</f>
        <v>47.198778893474881</v>
      </c>
      <c r="S1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4" s="2">
        <f>IF(Данные[[#This Row],[ interest_rate]]&gt;$T$1,Данные[[#This Row],[days_birth4]]*$T$2,Данные[[#This Row],[days_birth4]])</f>
        <v>0</v>
      </c>
      <c r="U114" s="2">
        <f>IF(Данные[[#This Row],[Проверка отказа]]="отказ",0,MAX(Данные[[#This Row],[interest_rate]],$C$1))</f>
        <v>0</v>
      </c>
      <c r="V114" s="2">
        <f>MROUND(Данные[[#This Row],[Минимум 20000]], 100)</f>
        <v>0</v>
      </c>
    </row>
    <row r="115" spans="1:22" x14ac:dyDescent="0.25">
      <c r="A115" s="2">
        <f>'1000_заявлений'!A109</f>
        <v>107</v>
      </c>
      <c r="B115" s="4">
        <f>VALUE(SUBSTITUTE('1000_заявлений'!B109, ".", ","))</f>
        <v>0.53040466216029103</v>
      </c>
      <c r="C115" s="4">
        <f>VALUE(SUBSTITUTE('1000_заявлений'!C109, ".", ","))</f>
        <v>0.31683347975086101</v>
      </c>
      <c r="D115" s="4">
        <f>VALUE(SUBSTITUTE('1000_заявлений'!D109, ".", ","))</f>
        <v>0.28517989999999999</v>
      </c>
      <c r="E115" s="4">
        <f>VALUE(SUBSTITUTE('1000_заявлений'!E109, ".", ","))</f>
        <v>0.65878219999999998</v>
      </c>
      <c r="F115" s="5">
        <f>VALUE(SUBSTITUTE('1000_заявлений'!F109, ".", ","))</f>
        <v>-10679</v>
      </c>
      <c r="G115" s="5">
        <f>VALUE(SUBSTITUTE('1000_заявлений'!G109, ".", ","))</f>
        <v>-18213</v>
      </c>
      <c r="H115" s="5">
        <f>VALUE(SUBSTITUTE('1000_заявлений'!H109, ".", ","))</f>
        <v>-1766</v>
      </c>
      <c r="I115" s="4">
        <f>VALUE(SUBSTITUTE('1000_заявлений'!I109, ".", ","))</f>
        <v>8.6022222222222194E-2</v>
      </c>
      <c r="J115" s="4">
        <f>VALUE(SUBSTITUTE('1000_заявлений'!J109, ".", ","))</f>
        <v>2.34835056914828</v>
      </c>
      <c r="K115" s="5">
        <f>VALUE(SUBSTITUTE('1000_заявлений'!K109, ".", ","))</f>
        <v>-3025</v>
      </c>
      <c r="L115" s="6">
        <f>VALUE(SUBSTITUTE('1000_заявлений'!L109, ".", ","))</f>
        <v>17419.5</v>
      </c>
      <c r="M115" s="2" t="str">
        <f>IF(Данные[[#This Row],[proba]]&gt;$C$6, "отказ", "одобрение")</f>
        <v>отказ</v>
      </c>
      <c r="N115" s="7">
        <f>IF(Данные[[#This Row],[proba]]&lt;$D$2,$C$2,IF(Данные[[#This Row],[proba]]&lt;$D$3,$C$3,IF(Данные[[#This Row],[proba]]&gt;$C$6,0,$C$4)))</f>
        <v>0</v>
      </c>
      <c r="O115" s="2">
        <f>IF(Данные[[#This Row],[weighted_ext_score]]&gt;$O$1,MIN(Данные[[#This Row],[Базовая сумма]]*$O$2,$C$2),IF(Данные[[#This Row],[weighted_ext_score]]&lt;$O$3,Данные[[#This Row],[Базовая сумма]]*$O$4,N115))</f>
        <v>0</v>
      </c>
      <c r="P1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5" s="2">
        <f>ABS(Данные[[#This Row],[days_birth]])/365.2425</f>
        <v>49.86550031828169</v>
      </c>
      <c r="S1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5" s="2">
        <f>IF(Данные[[#This Row],[ interest_rate]]&gt;$T$1,Данные[[#This Row],[days_birth4]]*$T$2,Данные[[#This Row],[days_birth4]])</f>
        <v>0</v>
      </c>
      <c r="U115" s="2">
        <f>IF(Данные[[#This Row],[Проверка отказа]]="отказ",0,MAX(Данные[[#This Row],[interest_rate]],$C$1))</f>
        <v>0</v>
      </c>
      <c r="V115" s="2">
        <f>MROUND(Данные[[#This Row],[Минимум 20000]], 100)</f>
        <v>0</v>
      </c>
    </row>
    <row r="116" spans="1:22" x14ac:dyDescent="0.25">
      <c r="A116" s="2">
        <f>'1000_заявлений'!A110</f>
        <v>108</v>
      </c>
      <c r="B116" s="4">
        <f>VALUE(SUBSTITUTE('1000_заявлений'!B110, ".", ","))</f>
        <v>0.21735003952846299</v>
      </c>
      <c r="C116" s="4">
        <f>VALUE(SUBSTITUTE('1000_заявлений'!C110, ".", ","))</f>
        <v>0.47169562651790098</v>
      </c>
      <c r="D116" s="4">
        <f>VALUE(SUBSTITUTE('1000_заявлений'!D110, ".", ","))</f>
        <v>0.68013880000000004</v>
      </c>
      <c r="E116" s="4">
        <f>VALUE(SUBSTITUTE('1000_заявлений'!E110, ".", ","))</f>
        <v>0.69583505000000001</v>
      </c>
      <c r="F116" s="5">
        <f>VALUE(SUBSTITUTE('1000_заявлений'!F110, ".", ","))</f>
        <v>-4700</v>
      </c>
      <c r="G116" s="5">
        <f>VALUE(SUBSTITUTE('1000_заявлений'!G110, ".", ","))</f>
        <v>-18821</v>
      </c>
      <c r="H116" s="5">
        <f>VALUE(SUBSTITUTE('1000_заявлений'!H110, ".", ","))</f>
        <v>-2355</v>
      </c>
      <c r="I116" s="4">
        <f>VALUE(SUBSTITUTE('1000_заявлений'!I110, ".", ","))</f>
        <v>0.11085</v>
      </c>
      <c r="J116" s="4">
        <f>VALUE(SUBSTITUTE('1000_заявлений'!J110, ".", ","))</f>
        <v>1.9880377818094199</v>
      </c>
      <c r="K116" s="5">
        <f>VALUE(SUBSTITUTE('1000_заявлений'!K110, ".", ","))</f>
        <v>365243</v>
      </c>
      <c r="L116" s="6">
        <f>VALUE(SUBSTITUTE('1000_заявлений'!L110, ".", ","))</f>
        <v>19953</v>
      </c>
      <c r="M116" s="2" t="str">
        <f>IF(Данные[[#This Row],[proba]]&gt;$C$6, "отказ", "одобрение")</f>
        <v>одобрение</v>
      </c>
      <c r="N116" s="7">
        <f>IF(Данные[[#This Row],[proba]]&lt;$D$2,$C$2,IF(Данные[[#This Row],[proba]]&lt;$D$3,$C$3,IF(Данные[[#This Row],[proba]]&gt;$C$6,0,$C$4)))</f>
        <v>100000</v>
      </c>
      <c r="O116" s="2">
        <f>IF(Данные[[#This Row],[weighted_ext_score]]&gt;$O$1,MIN(Данные[[#This Row],[Базовая сумма]]*$O$2,$C$2),IF(Данные[[#This Row],[weighted_ext_score]]&lt;$O$3,Данные[[#This Row],[Базовая сумма]]*$O$4,N116))</f>
        <v>100000</v>
      </c>
      <c r="P1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16" s="2">
        <f>ABS(Данные[[#This Row],[days_birth]])/365.2425</f>
        <v>51.530147778530704</v>
      </c>
      <c r="S1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16" s="2">
        <f>IF(Данные[[#This Row],[ interest_rate]]&gt;$T$1,Данные[[#This Row],[days_birth4]]*$T$2,Данные[[#This Row],[days_birth4]])</f>
        <v>126000</v>
      </c>
      <c r="U116" s="2">
        <f>IF(Данные[[#This Row],[Проверка отказа]]="отказ",0,MAX(Данные[[#This Row],[interest_rate]],$C$1))</f>
        <v>126000</v>
      </c>
      <c r="V116" s="2">
        <f>MROUND(Данные[[#This Row],[Минимум 20000]], 100)</f>
        <v>126000</v>
      </c>
    </row>
    <row r="117" spans="1:22" x14ac:dyDescent="0.25">
      <c r="A117" s="2">
        <f>'1000_заявлений'!A111</f>
        <v>109</v>
      </c>
      <c r="B117" s="4">
        <f>VALUE(SUBSTITUTE('1000_заявлений'!B111, ".", ","))</f>
        <v>0.815353963002172</v>
      </c>
      <c r="C117" s="4">
        <f>VALUE(SUBSTITUTE('1000_заявлений'!C111, ".", ","))</f>
        <v>0.159696095112073</v>
      </c>
      <c r="D117" s="4">
        <f>VALUE(SUBSTITUTE('1000_заявлений'!D111, ".", ","))</f>
        <v>0.29408309999999999</v>
      </c>
      <c r="E117" s="4">
        <f>VALUE(SUBSTITUTE('1000_заявлений'!E111, ".", ","))</f>
        <v>0.16442709</v>
      </c>
      <c r="F117" s="5">
        <f>VALUE(SUBSTITUTE('1000_заявлений'!F111, ".", ","))</f>
        <v>-935</v>
      </c>
      <c r="G117" s="5">
        <f>VALUE(SUBSTITUTE('1000_заявлений'!G111, ".", ","))</f>
        <v>-11816</v>
      </c>
      <c r="H117" s="5">
        <f>VALUE(SUBSTITUTE('1000_заявлений'!H111, ".", ","))</f>
        <v>-4141</v>
      </c>
      <c r="I117" s="4">
        <f>VALUE(SUBSTITUTE('1000_заявлений'!I111, ".", ","))</f>
        <v>0.28052380952380901</v>
      </c>
      <c r="J117" s="4">
        <f>VALUE(SUBSTITUTE('1000_заявлений'!J111, ".", ","))</f>
        <v>7.3980757530384098</v>
      </c>
      <c r="K117" s="5">
        <f>VALUE(SUBSTITUTE('1000_заявлений'!K111, ".", ","))</f>
        <v>-439</v>
      </c>
      <c r="L117" s="6">
        <f>VALUE(SUBSTITUTE('1000_заявлений'!L111, ".", ","))</f>
        <v>26509.5</v>
      </c>
      <c r="M117" s="2" t="str">
        <f>IF(Данные[[#This Row],[proba]]&gt;$C$6, "отказ", "одобрение")</f>
        <v>отказ</v>
      </c>
      <c r="N117" s="7">
        <f>IF(Данные[[#This Row],[proba]]&lt;$D$2,$C$2,IF(Данные[[#This Row],[proba]]&lt;$D$3,$C$3,IF(Данные[[#This Row],[proba]]&gt;$C$6,0,$C$4)))</f>
        <v>0</v>
      </c>
      <c r="O117" s="2">
        <f>IF(Данные[[#This Row],[weighted_ext_score]]&gt;$O$1,MIN(Данные[[#This Row],[Базовая сумма]]*$O$2,$C$2),IF(Данные[[#This Row],[weighted_ext_score]]&lt;$O$3,Данные[[#This Row],[Базовая сумма]]*$O$4,N117))</f>
        <v>0</v>
      </c>
      <c r="P1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7" s="2">
        <f>ABS(Данные[[#This Row],[days_birth]])/365.2425</f>
        <v>32.351109194576203</v>
      </c>
      <c r="S1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7" s="2">
        <f>IF(Данные[[#This Row],[ interest_rate]]&gt;$T$1,Данные[[#This Row],[days_birth4]]*$T$2,Данные[[#This Row],[days_birth4]])</f>
        <v>0</v>
      </c>
      <c r="U117" s="2">
        <f>IF(Данные[[#This Row],[Проверка отказа]]="отказ",0,MAX(Данные[[#This Row],[interest_rate]],$C$1))</f>
        <v>0</v>
      </c>
      <c r="V117" s="2">
        <f>MROUND(Данные[[#This Row],[Минимум 20000]], 100)</f>
        <v>0</v>
      </c>
    </row>
    <row r="118" spans="1:22" x14ac:dyDescent="0.25">
      <c r="A118" s="2">
        <f>'1000_заявлений'!A112</f>
        <v>110</v>
      </c>
      <c r="B118" s="4">
        <f>VALUE(SUBSTITUTE('1000_заявлений'!B112, ".", ","))</f>
        <v>0.50701259766500095</v>
      </c>
      <c r="C118" s="4">
        <f>VALUE(SUBSTITUTE('1000_заявлений'!C112, ".", ","))</f>
        <v>0.33106554405143102</v>
      </c>
      <c r="D118" s="4">
        <f>VALUE(SUBSTITUTE('1000_заявлений'!D112, ".", ","))</f>
        <v>0.64632990000000001</v>
      </c>
      <c r="E118" s="4">
        <f>VALUE(SUBSTITUTE('1000_заявлений'!E112, ".", ","))</f>
        <v>0.29999128000000003</v>
      </c>
      <c r="F118" s="5">
        <f>VALUE(SUBSTITUTE('1000_заявлений'!F112, ".", ","))</f>
        <v>-4487</v>
      </c>
      <c r="G118" s="5">
        <f>VALUE(SUBSTITUTE('1000_заявлений'!G112, ".", ","))</f>
        <v>-15856</v>
      </c>
      <c r="H118" s="5">
        <f>VALUE(SUBSTITUTE('1000_заявлений'!H112, ".", ","))</f>
        <v>-4626</v>
      </c>
      <c r="I118" s="4">
        <f>VALUE(SUBSTITUTE('1000_заявлений'!I112, ".", ","))</f>
        <v>0.25421874999999999</v>
      </c>
      <c r="J118" s="4">
        <f>VALUE(SUBSTITUTE('1000_заявлений'!J112, ".", ","))</f>
        <v>2.7689264209761699</v>
      </c>
      <c r="K118" s="5">
        <f>VALUE(SUBSTITUTE('1000_заявлений'!K112, ".", ","))</f>
        <v>-1108</v>
      </c>
      <c r="L118" s="6">
        <f>VALUE(SUBSTITUTE('1000_заявлений'!L112, ".", ","))</f>
        <v>36607.5</v>
      </c>
      <c r="M118" s="2" t="str">
        <f>IF(Данные[[#This Row],[proba]]&gt;$C$6, "отказ", "одобрение")</f>
        <v>отказ</v>
      </c>
      <c r="N118" s="7">
        <f>IF(Данные[[#This Row],[proba]]&lt;$D$2,$C$2,IF(Данные[[#This Row],[proba]]&lt;$D$3,$C$3,IF(Данные[[#This Row],[proba]]&gt;$C$6,0,$C$4)))</f>
        <v>0</v>
      </c>
      <c r="O118" s="2">
        <f>IF(Данные[[#This Row],[weighted_ext_score]]&gt;$O$1,MIN(Данные[[#This Row],[Базовая сумма]]*$O$2,$C$2),IF(Данные[[#This Row],[weighted_ext_score]]&lt;$O$3,Данные[[#This Row],[Базовая сумма]]*$O$4,N118))</f>
        <v>0</v>
      </c>
      <c r="P1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8" s="2">
        <f>ABS(Данные[[#This Row],[days_birth]])/365.2425</f>
        <v>43.412253502809776</v>
      </c>
      <c r="S1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8" s="2">
        <f>IF(Данные[[#This Row],[ interest_rate]]&gt;$T$1,Данные[[#This Row],[days_birth4]]*$T$2,Данные[[#This Row],[days_birth4]])</f>
        <v>0</v>
      </c>
      <c r="U118" s="2">
        <f>IF(Данные[[#This Row],[Проверка отказа]]="отказ",0,MAX(Данные[[#This Row],[interest_rate]],$C$1))</f>
        <v>0</v>
      </c>
      <c r="V118" s="2">
        <f>MROUND(Данные[[#This Row],[Минимум 20000]], 100)</f>
        <v>0</v>
      </c>
    </row>
    <row r="119" spans="1:22" x14ac:dyDescent="0.25">
      <c r="A119" s="2">
        <f>'1000_заявлений'!A113</f>
        <v>111</v>
      </c>
      <c r="B119" s="4">
        <f>VALUE(SUBSTITUTE('1000_заявлений'!B113, ".", ","))</f>
        <v>0.364106689857981</v>
      </c>
      <c r="C119" s="4">
        <f>VALUE(SUBSTITUTE('1000_заявлений'!C113, ".", ","))</f>
        <v>0.50922440105062705</v>
      </c>
      <c r="D119" s="4">
        <f>VALUE(SUBSTITUTE('1000_заявлений'!D113, ".", ","))</f>
        <v>0.68170589999999998</v>
      </c>
      <c r="E119" s="4">
        <f>VALUE(SUBSTITUTE('1000_заявлений'!E113, ".", ","))</f>
        <v>0.16040531999999999</v>
      </c>
      <c r="F119" s="5">
        <f>VALUE(SUBSTITUTE('1000_заявлений'!F113, ".", ","))</f>
        <v>-8180</v>
      </c>
      <c r="G119" s="5">
        <f>VALUE(SUBSTITUTE('1000_заявлений'!G113, ".", ","))</f>
        <v>-17865</v>
      </c>
      <c r="H119" s="5">
        <f>VALUE(SUBSTITUTE('1000_заявлений'!H113, ".", ","))</f>
        <v>-1276</v>
      </c>
      <c r="I119" s="4">
        <f>VALUE(SUBSTITUTE('1000_заявлений'!I113, ".", ","))</f>
        <v>0.11748</v>
      </c>
      <c r="J119" s="4">
        <f>VALUE(SUBSTITUTE('1000_заявлений'!J113, ".", ","))</f>
        <v>16.152025818866701</v>
      </c>
      <c r="K119" s="5">
        <f>VALUE(SUBSTITUTE('1000_заявлений'!K113, ".", ","))</f>
        <v>-3178</v>
      </c>
      <c r="L119" s="6">
        <f>VALUE(SUBSTITUTE('1000_заявлений'!L113, ".", ","))</f>
        <v>26433</v>
      </c>
      <c r="M119" s="2" t="str">
        <f>IF(Данные[[#This Row],[proba]]&gt;$C$6, "отказ", "одобрение")</f>
        <v>отказ</v>
      </c>
      <c r="N119" s="7">
        <f>IF(Данные[[#This Row],[proba]]&lt;$D$2,$C$2,IF(Данные[[#This Row],[proba]]&lt;$D$3,$C$3,IF(Данные[[#This Row],[proba]]&gt;$C$6,0,$C$4)))</f>
        <v>0</v>
      </c>
      <c r="O119" s="2">
        <f>IF(Данные[[#This Row],[weighted_ext_score]]&gt;$O$1,MIN(Данные[[#This Row],[Базовая сумма]]*$O$2,$C$2),IF(Данные[[#This Row],[weighted_ext_score]]&lt;$O$3,Данные[[#This Row],[Базовая сумма]]*$O$4,N119))</f>
        <v>0</v>
      </c>
      <c r="P1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19" s="2">
        <f>ABS(Данные[[#This Row],[days_birth]])/365.2425</f>
        <v>48.912708679849686</v>
      </c>
      <c r="S1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19" s="2">
        <f>IF(Данные[[#This Row],[ interest_rate]]&gt;$T$1,Данные[[#This Row],[days_birth4]]*$T$2,Данные[[#This Row],[days_birth4]])</f>
        <v>0</v>
      </c>
      <c r="U119" s="2">
        <f>IF(Данные[[#This Row],[Проверка отказа]]="отказ",0,MAX(Данные[[#This Row],[interest_rate]],$C$1))</f>
        <v>0</v>
      </c>
      <c r="V119" s="2">
        <f>MROUND(Данные[[#This Row],[Минимум 20000]], 100)</f>
        <v>0</v>
      </c>
    </row>
    <row r="120" spans="1:22" x14ac:dyDescent="0.25">
      <c r="A120" s="2">
        <f>'1000_заявлений'!A114</f>
        <v>112</v>
      </c>
      <c r="B120" s="4">
        <f>VALUE(SUBSTITUTE('1000_заявлений'!B114, ".", ","))</f>
        <v>0.60088236606017897</v>
      </c>
      <c r="C120" s="4">
        <f>VALUE(SUBSTITUTE('1000_заявлений'!C114, ".", ","))</f>
        <v>0.40487386210857002</v>
      </c>
      <c r="D120" s="4">
        <f>VALUE(SUBSTITUTE('1000_заявлений'!D114, ".", ","))</f>
        <v>0.48485148</v>
      </c>
      <c r="E120" s="4">
        <f>VALUE(SUBSTITUTE('1000_заявлений'!E114, ".", ","))</f>
        <v>0.33112994000000001</v>
      </c>
      <c r="F120" s="5">
        <f>VALUE(SUBSTITUTE('1000_заявлений'!F114, ".", ","))</f>
        <v>-957</v>
      </c>
      <c r="G120" s="5">
        <f>VALUE(SUBSTITUTE('1000_заявлений'!G114, ".", ","))</f>
        <v>-11825</v>
      </c>
      <c r="H120" s="5">
        <f>VALUE(SUBSTITUTE('1000_заявлений'!H114, ".", ","))</f>
        <v>-3432</v>
      </c>
      <c r="I120" s="4">
        <f>VALUE(SUBSTITUTE('1000_заявлений'!I114, ".", ","))</f>
        <v>0.35887999999999998</v>
      </c>
      <c r="J120" s="4">
        <f>VALUE(SUBSTITUTE('1000_заявлений'!J114, ".", ","))</f>
        <v>5.2829283134532199</v>
      </c>
      <c r="K120" s="5">
        <f>VALUE(SUBSTITUTE('1000_заявлений'!K114, ".", ","))</f>
        <v>-844</v>
      </c>
      <c r="L120" s="6">
        <f>VALUE(SUBSTITUTE('1000_заявлений'!L114, ".", ","))</f>
        <v>40374</v>
      </c>
      <c r="M120" s="2" t="str">
        <f>IF(Данные[[#This Row],[proba]]&gt;$C$6, "отказ", "одобрение")</f>
        <v>отказ</v>
      </c>
      <c r="N120" s="7">
        <f>IF(Данные[[#This Row],[proba]]&lt;$D$2,$C$2,IF(Данные[[#This Row],[proba]]&lt;$D$3,$C$3,IF(Данные[[#This Row],[proba]]&gt;$C$6,0,$C$4)))</f>
        <v>0</v>
      </c>
      <c r="O120" s="2">
        <f>IF(Данные[[#This Row],[weighted_ext_score]]&gt;$O$1,MIN(Данные[[#This Row],[Базовая сумма]]*$O$2,$C$2),IF(Данные[[#This Row],[weighted_ext_score]]&lt;$O$3,Данные[[#This Row],[Базовая сумма]]*$O$4,N120))</f>
        <v>0</v>
      </c>
      <c r="P1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0" s="2">
        <f>ABS(Данные[[#This Row],[days_birth]])/365.2425</f>
        <v>32.375750357639099</v>
      </c>
      <c r="S1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0" s="2">
        <f>IF(Данные[[#This Row],[ interest_rate]]&gt;$T$1,Данные[[#This Row],[days_birth4]]*$T$2,Данные[[#This Row],[days_birth4]])</f>
        <v>0</v>
      </c>
      <c r="U120" s="2">
        <f>IF(Данные[[#This Row],[Проверка отказа]]="отказ",0,MAX(Данные[[#This Row],[interest_rate]],$C$1))</f>
        <v>0</v>
      </c>
      <c r="V120" s="2">
        <f>MROUND(Данные[[#This Row],[Минимум 20000]], 100)</f>
        <v>0</v>
      </c>
    </row>
    <row r="121" spans="1:22" x14ac:dyDescent="0.25">
      <c r="A121" s="2">
        <f>'1000_заявлений'!A115</f>
        <v>113</v>
      </c>
      <c r="B121" s="4">
        <f>VALUE(SUBSTITUTE('1000_заявлений'!B115, ".", ","))</f>
        <v>0.42376270780909298</v>
      </c>
      <c r="C121" s="4">
        <f>VALUE(SUBSTITUTE('1000_заявлений'!C115, ".", ","))</f>
        <v>0.405161351372196</v>
      </c>
      <c r="D121" s="4">
        <f>VALUE(SUBSTITUTE('1000_заявлений'!D115, ".", ","))</f>
        <v>0.53527623000000002</v>
      </c>
      <c r="E121" s="4">
        <f>VALUE(SUBSTITUTE('1000_заявлений'!E115, ".", ","))</f>
        <v>0.56793720000000003</v>
      </c>
      <c r="F121" s="5">
        <f>VALUE(SUBSTITUTE('1000_заявлений'!F115, ".", ","))</f>
        <v>-5081</v>
      </c>
      <c r="G121" s="5">
        <f>VALUE(SUBSTITUTE('1000_заявлений'!G115, ".", ","))</f>
        <v>-12740</v>
      </c>
      <c r="H121" s="5">
        <f>VALUE(SUBSTITUTE('1000_заявлений'!H115, ".", ","))</f>
        <v>-4807</v>
      </c>
      <c r="I121" s="4">
        <f>VALUE(SUBSTITUTE('1000_заявлений'!I115, ".", ","))</f>
        <v>0.14123333333333299</v>
      </c>
      <c r="J121" s="4">
        <f>VALUE(SUBSTITUTE('1000_заявлений'!J115, ".", ","))</f>
        <v>1.62414913429236</v>
      </c>
      <c r="K121" s="5">
        <f>VALUE(SUBSTITUTE('1000_заявлений'!K115, ".", ","))</f>
        <v>-1656</v>
      </c>
      <c r="L121" s="6">
        <f>VALUE(SUBSTITUTE('1000_заявлений'!L115, ".", ","))</f>
        <v>19066.5</v>
      </c>
      <c r="M121" s="2" t="str">
        <f>IF(Данные[[#This Row],[proba]]&gt;$C$6, "отказ", "одобрение")</f>
        <v>отказ</v>
      </c>
      <c r="N121" s="7">
        <f>IF(Данные[[#This Row],[proba]]&lt;$D$2,$C$2,IF(Данные[[#This Row],[proba]]&lt;$D$3,$C$3,IF(Данные[[#This Row],[proba]]&gt;$C$6,0,$C$4)))</f>
        <v>0</v>
      </c>
      <c r="O121" s="2">
        <f>IF(Данные[[#This Row],[weighted_ext_score]]&gt;$O$1,MIN(Данные[[#This Row],[Базовая сумма]]*$O$2,$C$2),IF(Данные[[#This Row],[weighted_ext_score]]&lt;$O$3,Данные[[#This Row],[Базовая сумма]]*$O$4,N121))</f>
        <v>0</v>
      </c>
      <c r="P1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1" s="2">
        <f>ABS(Данные[[#This Row],[days_birth]])/365.2425</f>
        <v>34.880935269033586</v>
      </c>
      <c r="S1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1" s="2">
        <f>IF(Данные[[#This Row],[ interest_rate]]&gt;$T$1,Данные[[#This Row],[days_birth4]]*$T$2,Данные[[#This Row],[days_birth4]])</f>
        <v>0</v>
      </c>
      <c r="U121" s="2">
        <f>IF(Данные[[#This Row],[Проверка отказа]]="отказ",0,MAX(Данные[[#This Row],[interest_rate]],$C$1))</f>
        <v>0</v>
      </c>
      <c r="V121" s="2">
        <f>MROUND(Данные[[#This Row],[Минимум 20000]], 100)</f>
        <v>0</v>
      </c>
    </row>
    <row r="122" spans="1:22" x14ac:dyDescent="0.25">
      <c r="A122" s="2">
        <f>'1000_заявлений'!A116</f>
        <v>114</v>
      </c>
      <c r="B122" s="4">
        <f>VALUE(SUBSTITUTE('1000_заявлений'!B116, ".", ","))</f>
        <v>0.47641817304154299</v>
      </c>
      <c r="C122" s="4">
        <f>VALUE(SUBSTITUTE('1000_заявлений'!C116, ".", ","))</f>
        <v>0.48238224327413198</v>
      </c>
      <c r="D122" s="4">
        <f>VALUE(SUBSTITUTE('1000_заявлений'!D116, ".", ","))</f>
        <v>0.57444660000000003</v>
      </c>
      <c r="E122" s="4">
        <f>VALUE(SUBSTITUTE('1000_заявлений'!E116, ".", ","))</f>
        <v>0.13183565</v>
      </c>
      <c r="F122" s="5">
        <f>VALUE(SUBSTITUTE('1000_заявлений'!F116, ".", ","))</f>
        <v>-11027</v>
      </c>
      <c r="G122" s="5">
        <f>VALUE(SUBSTITUTE('1000_заявлений'!G116, ".", ","))</f>
        <v>-19959</v>
      </c>
      <c r="H122" s="5">
        <f>VALUE(SUBSTITUTE('1000_заявлений'!H116, ".", ","))</f>
        <v>-3405</v>
      </c>
      <c r="I122" s="4">
        <f>VALUE(SUBSTITUTE('1000_заявлений'!I116, ".", ","))</f>
        <v>0.227333333333333</v>
      </c>
      <c r="J122" s="4">
        <f>VALUE(SUBSTITUTE('1000_заявлений'!J116, ".", ","))</f>
        <v>2.6617974302169198</v>
      </c>
      <c r="K122" s="5">
        <f>VALUE(SUBSTITUTE('1000_заявлений'!K116, ".", ","))</f>
        <v>365243</v>
      </c>
      <c r="L122" s="6">
        <f>VALUE(SUBSTITUTE('1000_заявлений'!L116, ".", ","))</f>
        <v>12276</v>
      </c>
      <c r="M122" s="2" t="str">
        <f>IF(Данные[[#This Row],[proba]]&gt;$C$6, "отказ", "одобрение")</f>
        <v>отказ</v>
      </c>
      <c r="N122" s="7">
        <f>IF(Данные[[#This Row],[proba]]&lt;$D$2,$C$2,IF(Данные[[#This Row],[proba]]&lt;$D$3,$C$3,IF(Данные[[#This Row],[proba]]&gt;$C$6,0,$C$4)))</f>
        <v>0</v>
      </c>
      <c r="O122" s="2">
        <f>IF(Данные[[#This Row],[weighted_ext_score]]&gt;$O$1,MIN(Данные[[#This Row],[Базовая сумма]]*$O$2,$C$2),IF(Данные[[#This Row],[weighted_ext_score]]&lt;$O$3,Данные[[#This Row],[Базовая сумма]]*$O$4,N122))</f>
        <v>0</v>
      </c>
      <c r="P1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2" s="2">
        <f>ABS(Данные[[#This Row],[days_birth]])/365.2425</f>
        <v>54.645885952483624</v>
      </c>
      <c r="S1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2" s="2">
        <f>IF(Данные[[#This Row],[ interest_rate]]&gt;$T$1,Данные[[#This Row],[days_birth4]]*$T$2,Данные[[#This Row],[days_birth4]])</f>
        <v>0</v>
      </c>
      <c r="U122" s="2">
        <f>IF(Данные[[#This Row],[Проверка отказа]]="отказ",0,MAX(Данные[[#This Row],[interest_rate]],$C$1))</f>
        <v>0</v>
      </c>
      <c r="V122" s="2">
        <f>MROUND(Данные[[#This Row],[Минимум 20000]], 100)</f>
        <v>0</v>
      </c>
    </row>
    <row r="123" spans="1:22" x14ac:dyDescent="0.25">
      <c r="A123" s="2">
        <f>'1000_заявлений'!A117</f>
        <v>115</v>
      </c>
      <c r="B123" s="4">
        <f>VALUE(SUBSTITUTE('1000_заявлений'!B117, ".", ","))</f>
        <v>0.43236887572343502</v>
      </c>
      <c r="C123" s="4">
        <f>VALUE(SUBSTITUTE('1000_заявлений'!C117, ".", ","))</f>
        <v>0.15575876917053999</v>
      </c>
      <c r="D123" s="4">
        <f>VALUE(SUBSTITUTE('1000_заявлений'!D117, ".", ","))</f>
        <v>0.53527623000000002</v>
      </c>
      <c r="E123" s="4">
        <f>VALUE(SUBSTITUTE('1000_заявлений'!E117, ".", ","))</f>
        <v>0.48017840000000001</v>
      </c>
      <c r="F123" s="5">
        <f>VALUE(SUBSTITUTE('1000_заявлений'!F117, ".", ","))</f>
        <v>-557</v>
      </c>
      <c r="G123" s="5">
        <f>VALUE(SUBSTITUTE('1000_заявлений'!G117, ".", ","))</f>
        <v>-21032</v>
      </c>
      <c r="H123" s="5">
        <f>VALUE(SUBSTITUTE('1000_заявлений'!H117, ".", ","))</f>
        <v>-4042</v>
      </c>
      <c r="I123" s="4">
        <f>VALUE(SUBSTITUTE('1000_заявлений'!I117, ".", ","))</f>
        <v>0.21203333333333299</v>
      </c>
      <c r="J123" s="4">
        <f>VALUE(SUBSTITUTE('1000_заявлений'!J117, ".", ","))</f>
        <v>16.058848345088599</v>
      </c>
      <c r="K123" s="5">
        <f>VALUE(SUBSTITUTE('1000_заявлений'!K117, ".", ","))</f>
        <v>365243</v>
      </c>
      <c r="L123" s="6">
        <f>VALUE(SUBSTITUTE('1000_заявлений'!L117, ".", ","))</f>
        <v>28624.5</v>
      </c>
      <c r="M123" s="2" t="str">
        <f>IF(Данные[[#This Row],[proba]]&gt;$C$6, "отказ", "одобрение")</f>
        <v>отказ</v>
      </c>
      <c r="N123" s="7">
        <f>IF(Данные[[#This Row],[proba]]&lt;$D$2,$C$2,IF(Данные[[#This Row],[proba]]&lt;$D$3,$C$3,IF(Данные[[#This Row],[proba]]&gt;$C$6,0,$C$4)))</f>
        <v>0</v>
      </c>
      <c r="O123" s="2">
        <f>IF(Данные[[#This Row],[weighted_ext_score]]&gt;$O$1,MIN(Данные[[#This Row],[Базовая сумма]]*$O$2,$C$2),IF(Данные[[#This Row],[weighted_ext_score]]&lt;$O$3,Данные[[#This Row],[Базовая сумма]]*$O$4,N123))</f>
        <v>0</v>
      </c>
      <c r="P1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3" s="2">
        <f>ABS(Данные[[#This Row],[days_birth]])/365.2425</f>
        <v>57.583660170982292</v>
      </c>
      <c r="S1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3" s="2">
        <f>IF(Данные[[#This Row],[ interest_rate]]&gt;$T$1,Данные[[#This Row],[days_birth4]]*$T$2,Данные[[#This Row],[days_birth4]])</f>
        <v>0</v>
      </c>
      <c r="U123" s="2">
        <f>IF(Данные[[#This Row],[Проверка отказа]]="отказ",0,MAX(Данные[[#This Row],[interest_rate]],$C$1))</f>
        <v>0</v>
      </c>
      <c r="V123" s="2">
        <f>MROUND(Данные[[#This Row],[Минимум 20000]], 100)</f>
        <v>0</v>
      </c>
    </row>
    <row r="124" spans="1:22" x14ac:dyDescent="0.25">
      <c r="A124" s="2">
        <f>'1000_заявлений'!A118</f>
        <v>116</v>
      </c>
      <c r="B124" s="4">
        <f>VALUE(SUBSTITUTE('1000_заявлений'!B118, ".", ","))</f>
        <v>0.57016467039485996</v>
      </c>
      <c r="C124" s="4">
        <f>VALUE(SUBSTITUTE('1000_заявлений'!C118, ".", ","))</f>
        <v>0.31994644632661601</v>
      </c>
      <c r="D124" s="4">
        <f>VALUE(SUBSTITUTE('1000_заявлений'!D118, ".", ","))</f>
        <v>0.38762533999999998</v>
      </c>
      <c r="E124" s="4">
        <f>VALUE(SUBSTITUTE('1000_заявлений'!E118, ".", ","))</f>
        <v>0.55415689999999995</v>
      </c>
      <c r="F124" s="5">
        <f>VALUE(SUBSTITUTE('1000_заявлений'!F118, ".", ","))</f>
        <v>-3334</v>
      </c>
      <c r="G124" s="5">
        <f>VALUE(SUBSTITUTE('1000_заявлений'!G118, ".", ","))</f>
        <v>-8140</v>
      </c>
      <c r="H124" s="5">
        <f>VALUE(SUBSTITUTE('1000_заявлений'!H118, ".", ","))</f>
        <v>-813</v>
      </c>
      <c r="I124" s="4">
        <f>VALUE(SUBSTITUTE('1000_заявлений'!I118, ".", ","))</f>
        <v>0.11111111111111099</v>
      </c>
      <c r="J124" s="4">
        <f>VALUE(SUBSTITUTE('1000_заявлений'!J118, ".", ","))</f>
        <v>10.6209759779781</v>
      </c>
      <c r="K124" s="5">
        <f>VALUE(SUBSTITUTE('1000_заявлений'!K118, ".", ","))</f>
        <v>-1548</v>
      </c>
      <c r="L124" s="6">
        <f>VALUE(SUBSTITUTE('1000_заявлений'!L118, ".", ","))</f>
        <v>9000</v>
      </c>
      <c r="M124" s="2" t="str">
        <f>IF(Данные[[#This Row],[proba]]&gt;$C$6, "отказ", "одобрение")</f>
        <v>отказ</v>
      </c>
      <c r="N124" s="7">
        <f>IF(Данные[[#This Row],[proba]]&lt;$D$2,$C$2,IF(Данные[[#This Row],[proba]]&lt;$D$3,$C$3,IF(Данные[[#This Row],[proba]]&gt;$C$6,0,$C$4)))</f>
        <v>0</v>
      </c>
      <c r="O124" s="2">
        <f>IF(Данные[[#This Row],[weighted_ext_score]]&gt;$O$1,MIN(Данные[[#This Row],[Базовая сумма]]*$O$2,$C$2),IF(Данные[[#This Row],[weighted_ext_score]]&lt;$O$3,Данные[[#This Row],[Базовая сумма]]*$O$4,N124))</f>
        <v>0</v>
      </c>
      <c r="P1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4" s="2">
        <f>ABS(Данные[[#This Row],[days_birth]])/365.2425</f>
        <v>22.286563036886452</v>
      </c>
      <c r="S1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4" s="2">
        <f>IF(Данные[[#This Row],[ interest_rate]]&gt;$T$1,Данные[[#This Row],[days_birth4]]*$T$2,Данные[[#This Row],[days_birth4]])</f>
        <v>0</v>
      </c>
      <c r="U124" s="2">
        <f>IF(Данные[[#This Row],[Проверка отказа]]="отказ",0,MAX(Данные[[#This Row],[interest_rate]],$C$1))</f>
        <v>0</v>
      </c>
      <c r="V124" s="2">
        <f>MROUND(Данные[[#This Row],[Минимум 20000]], 100)</f>
        <v>0</v>
      </c>
    </row>
    <row r="125" spans="1:22" x14ac:dyDescent="0.25">
      <c r="A125" s="2">
        <f>'1000_заявлений'!A119</f>
        <v>117</v>
      </c>
      <c r="B125" s="4">
        <f>VALUE(SUBSTITUTE('1000_заявлений'!B119, ".", ","))</f>
        <v>0.36342846714266003</v>
      </c>
      <c r="C125" s="4">
        <f>VALUE(SUBSTITUTE('1000_заявлений'!C119, ".", ","))</f>
        <v>0.38020989868112098</v>
      </c>
      <c r="D125" s="4">
        <f>VALUE(SUBSTITUTE('1000_заявлений'!D119, ".", ","))</f>
        <v>0.42589290000000002</v>
      </c>
      <c r="E125" s="4">
        <f>VALUE(SUBSTITUTE('1000_заявлений'!E119, ".", ","))</f>
        <v>0.69727249999999996</v>
      </c>
      <c r="F125" s="5">
        <f>VALUE(SUBSTITUTE('1000_заявлений'!F119, ".", ","))</f>
        <v>-3580</v>
      </c>
      <c r="G125" s="5">
        <f>VALUE(SUBSTITUTE('1000_заявлений'!G119, ".", ","))</f>
        <v>-19570</v>
      </c>
      <c r="H125" s="5">
        <f>VALUE(SUBSTITUTE('1000_заявлений'!H119, ".", ","))</f>
        <v>-3122</v>
      </c>
      <c r="I125" s="4">
        <f>VALUE(SUBSTITUTE('1000_заявлений'!I119, ".", ","))</f>
        <v>0.13307159353348699</v>
      </c>
      <c r="J125" s="4">
        <f>VALUE(SUBSTITUTE('1000_заявлений'!J119, ".", ","))</f>
        <v>1.61870337666849</v>
      </c>
      <c r="K125" s="5">
        <f>VALUE(SUBSTITUTE('1000_заявлений'!K119, ".", ","))</f>
        <v>365243</v>
      </c>
      <c r="L125" s="6">
        <f>VALUE(SUBSTITUTE('1000_заявлений'!L119, ".", ","))</f>
        <v>25929</v>
      </c>
      <c r="M125" s="2" t="str">
        <f>IF(Данные[[#This Row],[proba]]&gt;$C$6, "отказ", "одобрение")</f>
        <v>отказ</v>
      </c>
      <c r="N125" s="7">
        <f>IF(Данные[[#This Row],[proba]]&lt;$D$2,$C$2,IF(Данные[[#This Row],[proba]]&lt;$D$3,$C$3,IF(Данные[[#This Row],[proba]]&gt;$C$6,0,$C$4)))</f>
        <v>0</v>
      </c>
      <c r="O125" s="2">
        <f>IF(Данные[[#This Row],[weighted_ext_score]]&gt;$O$1,MIN(Данные[[#This Row],[Базовая сумма]]*$O$2,$C$2),IF(Данные[[#This Row],[weighted_ext_score]]&lt;$O$3,Данные[[#This Row],[Базовая сумма]]*$O$4,N125))</f>
        <v>0</v>
      </c>
      <c r="P1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5" s="2">
        <f>ABS(Данные[[#This Row],[days_birth]])/365.2425</f>
        <v>53.580840126765096</v>
      </c>
      <c r="S1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5" s="2">
        <f>IF(Данные[[#This Row],[ interest_rate]]&gt;$T$1,Данные[[#This Row],[days_birth4]]*$T$2,Данные[[#This Row],[days_birth4]])</f>
        <v>0</v>
      </c>
      <c r="U125" s="2">
        <f>IF(Данные[[#This Row],[Проверка отказа]]="отказ",0,MAX(Данные[[#This Row],[interest_rate]],$C$1))</f>
        <v>0</v>
      </c>
      <c r="V125" s="2">
        <f>MROUND(Данные[[#This Row],[Минимум 20000]], 100)</f>
        <v>0</v>
      </c>
    </row>
    <row r="126" spans="1:22" x14ac:dyDescent="0.25">
      <c r="A126" s="2">
        <f>'1000_заявлений'!A120</f>
        <v>118</v>
      </c>
      <c r="B126" s="4">
        <f>VALUE(SUBSTITUTE('1000_заявлений'!B120, ".", ","))</f>
        <v>0.23354151801957199</v>
      </c>
      <c r="C126" s="4">
        <f>VALUE(SUBSTITUTE('1000_заявлений'!C120, ".", ","))</f>
        <v>0.48414130700305102</v>
      </c>
      <c r="D126" s="4">
        <f>VALUE(SUBSTITUTE('1000_заявлений'!D120, ".", ","))</f>
        <v>0.81931770000000004</v>
      </c>
      <c r="E126" s="4">
        <f>VALUE(SUBSTITUTE('1000_заявлений'!E120, ".", ","))</f>
        <v>0.57902480000000001</v>
      </c>
      <c r="F126" s="5">
        <f>VALUE(SUBSTITUTE('1000_заявлений'!F120, ".", ","))</f>
        <v>-1370</v>
      </c>
      <c r="G126" s="5">
        <f>VALUE(SUBSTITUTE('1000_заявлений'!G120, ".", ","))</f>
        <v>-17928</v>
      </c>
      <c r="H126" s="5">
        <f>VALUE(SUBSTITUTE('1000_заявлений'!H120, ".", ","))</f>
        <v>-1426</v>
      </c>
      <c r="I126" s="4">
        <f>VALUE(SUBSTITUTE('1000_заявлений'!I120, ".", ","))</f>
        <v>0.157</v>
      </c>
      <c r="J126" s="4">
        <f>VALUE(SUBSTITUTE('1000_заявлений'!J120, ".", ","))</f>
        <v>6.9726452480345102</v>
      </c>
      <c r="K126" s="5">
        <f>VALUE(SUBSTITUTE('1000_заявлений'!K120, ".", ","))</f>
        <v>-3243</v>
      </c>
      <c r="L126" s="6">
        <f>VALUE(SUBSTITUTE('1000_заявлений'!L120, ".", ","))</f>
        <v>17662.5</v>
      </c>
      <c r="M126" s="2" t="str">
        <f>IF(Данные[[#This Row],[proba]]&gt;$C$6, "отказ", "одобрение")</f>
        <v>одобрение</v>
      </c>
      <c r="N126" s="7">
        <f>IF(Данные[[#This Row],[proba]]&lt;$D$2,$C$2,IF(Данные[[#This Row],[proba]]&lt;$D$3,$C$3,IF(Данные[[#This Row],[proba]]&gt;$C$6,0,$C$4)))</f>
        <v>100000</v>
      </c>
      <c r="O126" s="2">
        <f>IF(Данные[[#This Row],[weighted_ext_score]]&gt;$O$1,MIN(Данные[[#This Row],[Базовая сумма]]*$O$2,$C$2),IF(Данные[[#This Row],[weighted_ext_score]]&lt;$O$3,Данные[[#This Row],[Базовая сумма]]*$O$4,N126))</f>
        <v>100000</v>
      </c>
      <c r="P1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126" s="2">
        <f>ABS(Данные[[#This Row],[days_birth]])/365.2425</f>
        <v>49.085196821289962</v>
      </c>
      <c r="S1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126" s="2">
        <f>IF(Данные[[#This Row],[ interest_rate]]&gt;$T$1,Данные[[#This Row],[days_birth4]]*$T$2,Данные[[#This Row],[days_birth4]])</f>
        <v>144000</v>
      </c>
      <c r="U126" s="2">
        <f>IF(Данные[[#This Row],[Проверка отказа]]="отказ",0,MAX(Данные[[#This Row],[interest_rate]],$C$1))</f>
        <v>144000</v>
      </c>
      <c r="V126" s="2">
        <f>MROUND(Данные[[#This Row],[Минимум 20000]], 100)</f>
        <v>144000</v>
      </c>
    </row>
    <row r="127" spans="1:22" x14ac:dyDescent="0.25">
      <c r="A127" s="2">
        <f>'1000_заявлений'!A121</f>
        <v>119</v>
      </c>
      <c r="B127" s="4">
        <f>VALUE(SUBSTITUTE('1000_заявлений'!B121, ".", ","))</f>
        <v>0.21867514184124601</v>
      </c>
      <c r="C127" s="4">
        <f>VALUE(SUBSTITUTE('1000_заявлений'!C121, ".", ","))</f>
        <v>0.62304549579781998</v>
      </c>
      <c r="D127" s="4">
        <f>VALUE(SUBSTITUTE('1000_заявлений'!D121, ".", ","))</f>
        <v>0.73381454000000002</v>
      </c>
      <c r="E127" s="4">
        <f>VALUE(SUBSTITUTE('1000_заявлений'!E121, ".", ","))</f>
        <v>0.68386804999999995</v>
      </c>
      <c r="F127" s="5">
        <f>VALUE(SUBSTITUTE('1000_заявлений'!F121, ".", ","))</f>
        <v>-2916</v>
      </c>
      <c r="G127" s="5">
        <f>VALUE(SUBSTITUTE('1000_заявлений'!G121, ".", ","))</f>
        <v>-11512</v>
      </c>
      <c r="H127" s="5">
        <f>VALUE(SUBSTITUTE('1000_заявлений'!H121, ".", ","))</f>
        <v>-677</v>
      </c>
      <c r="I127" s="4">
        <f>VALUE(SUBSTITUTE('1000_заявлений'!I121, ".", ","))</f>
        <v>0.126931034482758</v>
      </c>
      <c r="J127" s="4">
        <f>VALUE(SUBSTITUTE('1000_заявлений'!J121, ".", ","))</f>
        <v>5.2957932695434797</v>
      </c>
      <c r="K127" s="5">
        <f>VALUE(SUBSTITUTE('1000_заявлений'!K121, ".", ","))</f>
        <v>-1354</v>
      </c>
      <c r="L127" s="6">
        <f>VALUE(SUBSTITUTE('1000_заявлений'!L121, ".", ","))</f>
        <v>16564.5</v>
      </c>
      <c r="M127" s="2" t="str">
        <f>IF(Данные[[#This Row],[proba]]&gt;$C$6, "отказ", "одобрение")</f>
        <v>одобрение</v>
      </c>
      <c r="N127" s="7">
        <f>IF(Данные[[#This Row],[proba]]&lt;$D$2,$C$2,IF(Данные[[#This Row],[proba]]&lt;$D$3,$C$3,IF(Данные[[#This Row],[proba]]&gt;$C$6,0,$C$4)))</f>
        <v>100000</v>
      </c>
      <c r="O127" s="2">
        <f>IF(Данные[[#This Row],[weighted_ext_score]]&gt;$O$1,MIN(Данные[[#This Row],[Базовая сумма]]*$O$2,$C$2),IF(Данные[[#This Row],[weighted_ext_score]]&lt;$O$3,Данные[[#This Row],[Базовая сумма]]*$O$4,N127))</f>
        <v>100000</v>
      </c>
      <c r="P1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27" s="2">
        <f>ABS(Данные[[#This Row],[days_birth]])/365.2425</f>
        <v>31.5187854644517</v>
      </c>
      <c r="S1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127" s="2">
        <f>IF(Данные[[#This Row],[ interest_rate]]&gt;$T$1,Данные[[#This Row],[days_birth4]]*$T$2,Данные[[#This Row],[days_birth4]])</f>
        <v>84000</v>
      </c>
      <c r="U127" s="2">
        <f>IF(Данные[[#This Row],[Проверка отказа]]="отказ",0,MAX(Данные[[#This Row],[interest_rate]],$C$1))</f>
        <v>84000</v>
      </c>
      <c r="V127" s="2">
        <f>MROUND(Данные[[#This Row],[Минимум 20000]], 100)</f>
        <v>84000</v>
      </c>
    </row>
    <row r="128" spans="1:22" x14ac:dyDescent="0.25">
      <c r="A128" s="2">
        <f>'1000_заявлений'!A122</f>
        <v>120</v>
      </c>
      <c r="B128" s="4">
        <f>VALUE(SUBSTITUTE('1000_заявлений'!B122, ".", ","))</f>
        <v>0.65679121787998496</v>
      </c>
      <c r="C128" s="4">
        <f>VALUE(SUBSTITUTE('1000_заявлений'!C122, ".", ","))</f>
        <v>0.129475364043766</v>
      </c>
      <c r="D128" s="4">
        <f>VALUE(SUBSTITUTE('1000_заявлений'!D122, ".", ","))</f>
        <v>0.53527623000000002</v>
      </c>
      <c r="E128" s="4">
        <f>VALUE(SUBSTITUTE('1000_заявлений'!E122, ".", ","))</f>
        <v>0.39915103000000002</v>
      </c>
      <c r="F128" s="5">
        <f>VALUE(SUBSTITUTE('1000_заявлений'!F122, ".", ","))</f>
        <v>-7903</v>
      </c>
      <c r="G128" s="5">
        <f>VALUE(SUBSTITUTE('1000_заявлений'!G122, ".", ","))</f>
        <v>-15526</v>
      </c>
      <c r="H128" s="5">
        <f>VALUE(SUBSTITUTE('1000_заявлений'!H122, ".", ","))</f>
        <v>-1256</v>
      </c>
      <c r="I128" s="4">
        <f>VALUE(SUBSTITUTE('1000_заявлений'!I122, ".", ","))</f>
        <v>0.3</v>
      </c>
      <c r="J128" s="4">
        <f>VALUE(SUBSTITUTE('1000_заявлений'!J122, ".", ","))</f>
        <v>5.8519687623644598</v>
      </c>
      <c r="K128" s="5">
        <f>VALUE(SUBSTITUTE('1000_заявлений'!K122, ".", ","))</f>
        <v>-911</v>
      </c>
      <c r="L128" s="6">
        <f>VALUE(SUBSTITUTE('1000_заявлений'!L122, ".", ","))</f>
        <v>20250</v>
      </c>
      <c r="M128" s="2" t="str">
        <f>IF(Данные[[#This Row],[proba]]&gt;$C$6, "отказ", "одобрение")</f>
        <v>отказ</v>
      </c>
      <c r="N128" s="7">
        <f>IF(Данные[[#This Row],[proba]]&lt;$D$2,$C$2,IF(Данные[[#This Row],[proba]]&lt;$D$3,$C$3,IF(Данные[[#This Row],[proba]]&gt;$C$6,0,$C$4)))</f>
        <v>0</v>
      </c>
      <c r="O128" s="2">
        <f>IF(Данные[[#This Row],[weighted_ext_score]]&gt;$O$1,MIN(Данные[[#This Row],[Базовая сумма]]*$O$2,$C$2),IF(Данные[[#This Row],[weighted_ext_score]]&lt;$O$3,Данные[[#This Row],[Базовая сумма]]*$O$4,N128))</f>
        <v>0</v>
      </c>
      <c r="P1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28" s="2">
        <f>ABS(Данные[[#This Row],[days_birth]])/365.2425</f>
        <v>42.50874419050357</v>
      </c>
      <c r="S1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28" s="2">
        <f>IF(Данные[[#This Row],[ interest_rate]]&gt;$T$1,Данные[[#This Row],[days_birth4]]*$T$2,Данные[[#This Row],[days_birth4]])</f>
        <v>0</v>
      </c>
      <c r="U128" s="2">
        <f>IF(Данные[[#This Row],[Проверка отказа]]="отказ",0,MAX(Данные[[#This Row],[interest_rate]],$C$1))</f>
        <v>0</v>
      </c>
      <c r="V128" s="2">
        <f>MROUND(Данные[[#This Row],[Минимум 20000]], 100)</f>
        <v>0</v>
      </c>
    </row>
    <row r="129" spans="1:22" x14ac:dyDescent="0.25">
      <c r="A129" s="2">
        <f>'1000_заявлений'!A123</f>
        <v>121</v>
      </c>
      <c r="B129" s="4">
        <f>VALUE(SUBSTITUTE('1000_заявлений'!B123, ".", ","))</f>
        <v>7.1522997052612294E-2</v>
      </c>
      <c r="C129" s="4">
        <f>VALUE(SUBSTITUTE('1000_заявлений'!C123, ".", ","))</f>
        <v>0.817907977384288</v>
      </c>
      <c r="D129" s="4">
        <f>VALUE(SUBSTITUTE('1000_заявлений'!D123, ".", ","))</f>
        <v>0.86251029999999995</v>
      </c>
      <c r="E129" s="4">
        <f>VALUE(SUBSTITUTE('1000_заявлений'!E123, ".", ","))</f>
        <v>0.72917365999999995</v>
      </c>
      <c r="F129" s="5">
        <f>VALUE(SUBSTITUTE('1000_заявлений'!F123, ".", ","))</f>
        <v>-5536</v>
      </c>
      <c r="G129" s="5">
        <f>VALUE(SUBSTITUTE('1000_заявлений'!G123, ".", ","))</f>
        <v>-24111</v>
      </c>
      <c r="H129" s="5">
        <f>VALUE(SUBSTITUTE('1000_заявлений'!H123, ".", ","))</f>
        <v>-4475</v>
      </c>
      <c r="I129" s="4">
        <f>VALUE(SUBSTITUTE('1000_заявлений'!I123, ".", ","))</f>
        <v>0.29638461538461502</v>
      </c>
      <c r="J129" s="4">
        <f>VALUE(SUBSTITUTE('1000_заявлений'!J123, ".", ","))</f>
        <v>7.9268600541926304</v>
      </c>
      <c r="K129" s="5">
        <f>VALUE(SUBSTITUTE('1000_заявлений'!K123, ".", ","))</f>
        <v>365243</v>
      </c>
      <c r="L129" s="6">
        <f>VALUE(SUBSTITUTE('1000_заявлений'!L123, ".", ","))</f>
        <v>17338.5</v>
      </c>
      <c r="M129" s="2" t="str">
        <f>IF(Данные[[#This Row],[proba]]&gt;$C$6, "отказ", "одобрение")</f>
        <v>одобрение</v>
      </c>
      <c r="N129" s="7">
        <f>IF(Данные[[#This Row],[proba]]&lt;$D$2,$C$2,IF(Данные[[#This Row],[proba]]&lt;$D$3,$C$3,IF(Данные[[#This Row],[proba]]&gt;$C$6,0,$C$4)))</f>
        <v>500000</v>
      </c>
      <c r="O129" s="2">
        <f>IF(Данные[[#This Row],[weighted_ext_score]]&gt;$O$1,MIN(Данные[[#This Row],[Базовая сумма]]*$O$2,$C$2),IF(Данные[[#This Row],[weighted_ext_score]]&lt;$O$3,Данные[[#This Row],[Базовая сумма]]*$O$4,N129))</f>
        <v>500000</v>
      </c>
      <c r="P1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500000</v>
      </c>
      <c r="Q1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129" s="2">
        <f>ABS(Данные[[#This Row],[days_birth]])/365.2425</f>
        <v>66.013675845499904</v>
      </c>
      <c r="S1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129" s="2">
        <f>IF(Данные[[#This Row],[ interest_rate]]&gt;$T$1,Данные[[#This Row],[days_birth4]]*$T$2,Данные[[#This Row],[days_birth4]])</f>
        <v>500000</v>
      </c>
      <c r="U129" s="2">
        <f>IF(Данные[[#This Row],[Проверка отказа]]="отказ",0,MAX(Данные[[#This Row],[interest_rate]],$C$1))</f>
        <v>500000</v>
      </c>
      <c r="V129" s="2">
        <f>MROUND(Данные[[#This Row],[Минимум 20000]], 100)</f>
        <v>500000</v>
      </c>
    </row>
    <row r="130" spans="1:22" x14ac:dyDescent="0.25">
      <c r="A130" s="2">
        <f>'1000_заявлений'!A124</f>
        <v>122</v>
      </c>
      <c r="B130" s="4">
        <f>VALUE(SUBSTITUTE('1000_заявлений'!B124, ".", ","))</f>
        <v>0.36989711915251</v>
      </c>
      <c r="C130" s="4">
        <f>VALUE(SUBSTITUTE('1000_заявлений'!C124, ".", ","))</f>
        <v>0.21705029883702201</v>
      </c>
      <c r="D130" s="4">
        <f>VALUE(SUBSTITUTE('1000_заявлений'!D124, ".", ","))</f>
        <v>0.53527623000000002</v>
      </c>
      <c r="E130" s="4">
        <f>VALUE(SUBSTITUTE('1000_заявлений'!E124, ".", ","))</f>
        <v>0.66913</v>
      </c>
      <c r="F130" s="5">
        <f>VALUE(SUBSTITUTE('1000_заявлений'!F124, ".", ","))</f>
        <v>-4934</v>
      </c>
      <c r="G130" s="5">
        <f>VALUE(SUBSTITUTE('1000_заявлений'!G124, ".", ","))</f>
        <v>-11419</v>
      </c>
      <c r="H130" s="5">
        <f>VALUE(SUBSTITUTE('1000_заявлений'!H124, ".", ","))</f>
        <v>-3739</v>
      </c>
      <c r="I130" s="4">
        <f>VALUE(SUBSTITUTE('1000_заявлений'!I124, ".", ","))</f>
        <v>6.0028571428571403E-2</v>
      </c>
      <c r="J130" s="4">
        <f>VALUE(SUBSTITUTE('1000_заявлений'!J124, ".", ","))</f>
        <v>21.398878966830299</v>
      </c>
      <c r="K130" s="5">
        <f>VALUE(SUBSTITUTE('1000_заявлений'!K124, ".", ","))</f>
        <v>-963</v>
      </c>
      <c r="L130" s="6">
        <f>VALUE(SUBSTITUTE('1000_заявлений'!L124, ".", ","))</f>
        <v>9454.5</v>
      </c>
      <c r="M130" s="2" t="str">
        <f>IF(Данные[[#This Row],[proba]]&gt;$C$6, "отказ", "одобрение")</f>
        <v>отказ</v>
      </c>
      <c r="N130" s="7">
        <f>IF(Данные[[#This Row],[proba]]&lt;$D$2,$C$2,IF(Данные[[#This Row],[proba]]&lt;$D$3,$C$3,IF(Данные[[#This Row],[proba]]&gt;$C$6,0,$C$4)))</f>
        <v>0</v>
      </c>
      <c r="O130" s="2">
        <f>IF(Данные[[#This Row],[weighted_ext_score]]&gt;$O$1,MIN(Данные[[#This Row],[Базовая сумма]]*$O$2,$C$2),IF(Данные[[#This Row],[weighted_ext_score]]&lt;$O$3,Данные[[#This Row],[Базовая сумма]]*$O$4,N130))</f>
        <v>0</v>
      </c>
      <c r="P1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0" s="2">
        <f>ABS(Данные[[#This Row],[days_birth]])/365.2425</f>
        <v>31.264160112801768</v>
      </c>
      <c r="S1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0" s="2">
        <f>IF(Данные[[#This Row],[ interest_rate]]&gt;$T$1,Данные[[#This Row],[days_birth4]]*$T$2,Данные[[#This Row],[days_birth4]])</f>
        <v>0</v>
      </c>
      <c r="U130" s="2">
        <f>IF(Данные[[#This Row],[Проверка отказа]]="отказ",0,MAX(Данные[[#This Row],[interest_rate]],$C$1))</f>
        <v>0</v>
      </c>
      <c r="V130" s="2">
        <f>MROUND(Данные[[#This Row],[Минимум 20000]], 100)</f>
        <v>0</v>
      </c>
    </row>
    <row r="131" spans="1:22" x14ac:dyDescent="0.25">
      <c r="A131" s="2">
        <f>'1000_заявлений'!A125</f>
        <v>123</v>
      </c>
      <c r="B131" s="4">
        <f>VALUE(SUBSTITUTE('1000_заявлений'!B125, ".", ","))</f>
        <v>0.231428230375992</v>
      </c>
      <c r="C131" s="4">
        <f>VALUE(SUBSTITUTE('1000_заявлений'!C125, ".", ","))</f>
        <v>0.45187143548882402</v>
      </c>
      <c r="D131" s="4">
        <f>VALUE(SUBSTITUTE('1000_заявлений'!D125, ".", ","))</f>
        <v>0.64467940000000001</v>
      </c>
      <c r="E131" s="4">
        <f>VALUE(SUBSTITUTE('1000_заявлений'!E125, ".", ","))</f>
        <v>0.67425599999999997</v>
      </c>
      <c r="F131" s="5">
        <f>VALUE(SUBSTITUTE('1000_заявлений'!F125, ".", ","))</f>
        <v>-14</v>
      </c>
      <c r="G131" s="5">
        <f>VALUE(SUBSTITUTE('1000_заявлений'!G125, ".", ","))</f>
        <v>-21503</v>
      </c>
      <c r="H131" s="5">
        <f>VALUE(SUBSTITUTE('1000_заявлений'!H125, ".", ","))</f>
        <v>-4733</v>
      </c>
      <c r="I131" s="4">
        <f>VALUE(SUBSTITUTE('1000_заявлений'!I125, ".", ","))</f>
        <v>0.147166666666666</v>
      </c>
      <c r="J131" s="4">
        <f>VALUE(SUBSTITUTE('1000_заявлений'!J125, ".", ","))</f>
        <v>2.0106774466545501</v>
      </c>
      <c r="K131" s="5">
        <f>VALUE(SUBSTITUTE('1000_заявлений'!K125, ".", ","))</f>
        <v>365243</v>
      </c>
      <c r="L131" s="6">
        <f>VALUE(SUBSTITUTE('1000_заявлений'!L125, ".", ","))</f>
        <v>19867.5</v>
      </c>
      <c r="M131" s="2" t="str">
        <f>IF(Данные[[#This Row],[proba]]&gt;$C$6, "отказ", "одобрение")</f>
        <v>одобрение</v>
      </c>
      <c r="N131" s="7">
        <f>IF(Данные[[#This Row],[proba]]&lt;$D$2,$C$2,IF(Данные[[#This Row],[proba]]&lt;$D$3,$C$3,IF(Данные[[#This Row],[proba]]&gt;$C$6,0,$C$4)))</f>
        <v>100000</v>
      </c>
      <c r="O131" s="2">
        <f>IF(Данные[[#This Row],[weighted_ext_score]]&gt;$O$1,MIN(Данные[[#This Row],[Базовая сумма]]*$O$2,$C$2),IF(Данные[[#This Row],[weighted_ext_score]]&lt;$O$3,Данные[[#This Row],[Базовая сумма]]*$O$4,N131))</f>
        <v>100000</v>
      </c>
      <c r="P1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31" s="2">
        <f>ABS(Данные[[#This Row],[days_birth]])/365.2425</f>
        <v>58.873214371273882</v>
      </c>
      <c r="S1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31" s="2">
        <f>IF(Данные[[#This Row],[ interest_rate]]&gt;$T$1,Данные[[#This Row],[days_birth4]]*$T$2,Данные[[#This Row],[days_birth4]])</f>
        <v>126000</v>
      </c>
      <c r="U131" s="2">
        <f>IF(Данные[[#This Row],[Проверка отказа]]="отказ",0,MAX(Данные[[#This Row],[interest_rate]],$C$1))</f>
        <v>126000</v>
      </c>
      <c r="V131" s="2">
        <f>MROUND(Данные[[#This Row],[Минимум 20000]], 100)</f>
        <v>126000</v>
      </c>
    </row>
    <row r="132" spans="1:22" x14ac:dyDescent="0.25">
      <c r="A132" s="2">
        <f>'1000_заявлений'!A126</f>
        <v>124</v>
      </c>
      <c r="B132" s="4">
        <f>VALUE(SUBSTITUTE('1000_заявлений'!B126, ".", ","))</f>
        <v>0.64280867627211402</v>
      </c>
      <c r="C132" s="4">
        <f>VALUE(SUBSTITUTE('1000_заявлений'!C126, ".", ","))</f>
        <v>0.35438028480772898</v>
      </c>
      <c r="D132" s="4">
        <f>VALUE(SUBSTITUTE('1000_заявлений'!D126, ".", ","))</f>
        <v>0.36061257000000002</v>
      </c>
      <c r="E132" s="4">
        <f>VALUE(SUBSTITUTE('1000_заявлений'!E126, ".", ","))</f>
        <v>0.39993795999999998</v>
      </c>
      <c r="F132" s="5">
        <f>VALUE(SUBSTITUTE('1000_заявлений'!F126, ".", ","))</f>
        <v>-4604</v>
      </c>
      <c r="G132" s="5">
        <f>VALUE(SUBSTITUTE('1000_заявлений'!G126, ".", ","))</f>
        <v>-9881</v>
      </c>
      <c r="H132" s="5">
        <f>VALUE(SUBSTITUTE('1000_заявлений'!H126, ".", ","))</f>
        <v>-2545</v>
      </c>
      <c r="I132" s="4">
        <f>VALUE(SUBSTITUTE('1000_заявлений'!I126, ".", ","))</f>
        <v>0.25426315789473602</v>
      </c>
      <c r="J132" s="4">
        <f>VALUE(SUBSTITUTE('1000_заявлений'!J126, ".", ","))</f>
        <v>8.5115996873021693</v>
      </c>
      <c r="K132" s="5">
        <f>VALUE(SUBSTITUTE('1000_заявлений'!K126, ".", ","))</f>
        <v>-1350</v>
      </c>
      <c r="L132" s="6">
        <f>VALUE(SUBSTITUTE('1000_заявлений'!L126, ".", ","))</f>
        <v>21739.5</v>
      </c>
      <c r="M132" s="2" t="str">
        <f>IF(Данные[[#This Row],[proba]]&gt;$C$6, "отказ", "одобрение")</f>
        <v>отказ</v>
      </c>
      <c r="N132" s="7">
        <f>IF(Данные[[#This Row],[proba]]&lt;$D$2,$C$2,IF(Данные[[#This Row],[proba]]&lt;$D$3,$C$3,IF(Данные[[#This Row],[proba]]&gt;$C$6,0,$C$4)))</f>
        <v>0</v>
      </c>
      <c r="O132" s="2">
        <f>IF(Данные[[#This Row],[weighted_ext_score]]&gt;$O$1,MIN(Данные[[#This Row],[Базовая сумма]]*$O$2,$C$2),IF(Данные[[#This Row],[weighted_ext_score]]&lt;$O$3,Данные[[#This Row],[Базовая сумма]]*$O$4,N132))</f>
        <v>0</v>
      </c>
      <c r="P1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2" s="2">
        <f>ABS(Данные[[#This Row],[days_birth]])/365.2425</f>
        <v>27.053259136053445</v>
      </c>
      <c r="S1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2" s="2">
        <f>IF(Данные[[#This Row],[ interest_rate]]&gt;$T$1,Данные[[#This Row],[days_birth4]]*$T$2,Данные[[#This Row],[days_birth4]])</f>
        <v>0</v>
      </c>
      <c r="U132" s="2">
        <f>IF(Данные[[#This Row],[Проверка отказа]]="отказ",0,MAX(Данные[[#This Row],[interest_rate]],$C$1))</f>
        <v>0</v>
      </c>
      <c r="V132" s="2">
        <f>MROUND(Данные[[#This Row],[Минимум 20000]], 100)</f>
        <v>0</v>
      </c>
    </row>
    <row r="133" spans="1:22" x14ac:dyDescent="0.25">
      <c r="A133" s="2">
        <f>'1000_заявлений'!A127</f>
        <v>125</v>
      </c>
      <c r="B133" s="4">
        <f>VALUE(SUBSTITUTE('1000_заявлений'!B127, ".", ","))</f>
        <v>0.39250300918637399</v>
      </c>
      <c r="C133" s="4">
        <f>VALUE(SUBSTITUTE('1000_заявлений'!C127, ".", ","))</f>
        <v>0.24591220818642101</v>
      </c>
      <c r="D133" s="4">
        <f>VALUE(SUBSTITUTE('1000_заявлений'!D127, ".", ","))</f>
        <v>0.53527623000000002</v>
      </c>
      <c r="E133" s="4">
        <f>VALUE(SUBSTITUTE('1000_заявлений'!E127, ".", ","))</f>
        <v>0.75810646999999998</v>
      </c>
      <c r="F133" s="5">
        <f>VALUE(SUBSTITUTE('1000_заявлений'!F127, ".", ","))</f>
        <v>-9650</v>
      </c>
      <c r="G133" s="5">
        <f>VALUE(SUBSTITUTE('1000_заявлений'!G127, ".", ","))</f>
        <v>-15690</v>
      </c>
      <c r="H133" s="5">
        <f>VALUE(SUBSTITUTE('1000_заявлений'!H127, ".", ","))</f>
        <v>-4448</v>
      </c>
      <c r="I133" s="4">
        <f>VALUE(SUBSTITUTE('1000_заявлений'!I127, ".", ","))</f>
        <v>0.20008888888888801</v>
      </c>
      <c r="J133" s="4">
        <f>VALUE(SUBSTITUTE('1000_заявлений'!J127, ".", ","))</f>
        <v>2.96900627739904</v>
      </c>
      <c r="K133" s="5">
        <f>VALUE(SUBSTITUTE('1000_заявлений'!K127, ".", ","))</f>
        <v>-244</v>
      </c>
      <c r="L133" s="6">
        <f>VALUE(SUBSTITUTE('1000_заявлений'!L127, ".", ","))</f>
        <v>40518</v>
      </c>
      <c r="M133" s="2" t="str">
        <f>IF(Данные[[#This Row],[proba]]&gt;$C$6, "отказ", "одобрение")</f>
        <v>отказ</v>
      </c>
      <c r="N133" s="7">
        <f>IF(Данные[[#This Row],[proba]]&lt;$D$2,$C$2,IF(Данные[[#This Row],[proba]]&lt;$D$3,$C$3,IF(Данные[[#This Row],[proba]]&gt;$C$6,0,$C$4)))</f>
        <v>0</v>
      </c>
      <c r="O133" s="2">
        <f>IF(Данные[[#This Row],[weighted_ext_score]]&gt;$O$1,MIN(Данные[[#This Row],[Базовая сумма]]*$O$2,$C$2),IF(Данные[[#This Row],[weighted_ext_score]]&lt;$O$3,Данные[[#This Row],[Базовая сумма]]*$O$4,N133))</f>
        <v>0</v>
      </c>
      <c r="P1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3" s="2">
        <f>ABS(Данные[[#This Row],[days_birth]])/365.2425</f>
        <v>42.957760939649681</v>
      </c>
      <c r="S1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3" s="2">
        <f>IF(Данные[[#This Row],[ interest_rate]]&gt;$T$1,Данные[[#This Row],[days_birth4]]*$T$2,Данные[[#This Row],[days_birth4]])</f>
        <v>0</v>
      </c>
      <c r="U133" s="2">
        <f>IF(Данные[[#This Row],[Проверка отказа]]="отказ",0,MAX(Данные[[#This Row],[interest_rate]],$C$1))</f>
        <v>0</v>
      </c>
      <c r="V133" s="2">
        <f>MROUND(Данные[[#This Row],[Минимум 20000]], 100)</f>
        <v>0</v>
      </c>
    </row>
    <row r="134" spans="1:22" x14ac:dyDescent="0.25">
      <c r="A134" s="2">
        <f>'1000_заявлений'!A128</f>
        <v>126</v>
      </c>
      <c r="B134" s="4">
        <f>VALUE(SUBSTITUTE('1000_заявлений'!B128, ".", ","))</f>
        <v>0.36617931047807301</v>
      </c>
      <c r="C134" s="4">
        <f>VALUE(SUBSTITUTE('1000_заявлений'!C128, ".", ","))</f>
        <v>0.54198882071773302</v>
      </c>
      <c r="D134" s="4">
        <f>VALUE(SUBSTITUTE('1000_заявлений'!D128, ".", ","))</f>
        <v>0.44896227</v>
      </c>
      <c r="E134" s="4">
        <f>VALUE(SUBSTITUTE('1000_заявлений'!E128, ".", ","))</f>
        <v>0.606101</v>
      </c>
      <c r="F134" s="5">
        <f>VALUE(SUBSTITUTE('1000_заявлений'!F128, ".", ","))</f>
        <v>-1673</v>
      </c>
      <c r="G134" s="5">
        <f>VALUE(SUBSTITUTE('1000_заявлений'!G128, ".", ","))</f>
        <v>-16127</v>
      </c>
      <c r="H134" s="5">
        <f>VALUE(SUBSTITUTE('1000_заявлений'!H128, ".", ","))</f>
        <v>-4186</v>
      </c>
      <c r="I134" s="4">
        <f>VALUE(SUBSTITUTE('1000_заявлений'!I128, ".", ","))</f>
        <v>0.17526666666666599</v>
      </c>
      <c r="J134" s="4">
        <f>VALUE(SUBSTITUTE('1000_заявлений'!J128, ".", ","))</f>
        <v>1.8914674618260401</v>
      </c>
      <c r="K134" s="5">
        <f>VALUE(SUBSTITUTE('1000_заявлений'!K128, ".", ","))</f>
        <v>-1087</v>
      </c>
      <c r="L134" s="6">
        <f>VALUE(SUBSTITUTE('1000_заявлений'!L128, ".", ","))</f>
        <v>47322</v>
      </c>
      <c r="M134" s="2" t="str">
        <f>IF(Данные[[#This Row],[proba]]&gt;$C$6, "отказ", "одобрение")</f>
        <v>отказ</v>
      </c>
      <c r="N134" s="7">
        <f>IF(Данные[[#This Row],[proba]]&lt;$D$2,$C$2,IF(Данные[[#This Row],[proba]]&lt;$D$3,$C$3,IF(Данные[[#This Row],[proba]]&gt;$C$6,0,$C$4)))</f>
        <v>0</v>
      </c>
      <c r="O134" s="2">
        <f>IF(Данные[[#This Row],[weighted_ext_score]]&gt;$O$1,MIN(Данные[[#This Row],[Базовая сумма]]*$O$2,$C$2),IF(Данные[[#This Row],[weighted_ext_score]]&lt;$O$3,Данные[[#This Row],[Базовая сумма]]*$O$4,N134))</f>
        <v>0</v>
      </c>
      <c r="P1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4" s="2">
        <f>ABS(Данные[[#This Row],[days_birth]])/365.2425</f>
        <v>44.154226301703659</v>
      </c>
      <c r="S1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4" s="2">
        <f>IF(Данные[[#This Row],[ interest_rate]]&gt;$T$1,Данные[[#This Row],[days_birth4]]*$T$2,Данные[[#This Row],[days_birth4]])</f>
        <v>0</v>
      </c>
      <c r="U134" s="2">
        <f>IF(Данные[[#This Row],[Проверка отказа]]="отказ",0,MAX(Данные[[#This Row],[interest_rate]],$C$1))</f>
        <v>0</v>
      </c>
      <c r="V134" s="2">
        <f>MROUND(Данные[[#This Row],[Минимум 20000]], 100)</f>
        <v>0</v>
      </c>
    </row>
    <row r="135" spans="1:22" x14ac:dyDescent="0.25">
      <c r="A135" s="2">
        <f>'1000_заявлений'!A129</f>
        <v>127</v>
      </c>
      <c r="B135" s="4">
        <f>VALUE(SUBSTITUTE('1000_заявлений'!B129, ".", ","))</f>
        <v>0.39520510811841397</v>
      </c>
      <c r="C135" s="4">
        <f>VALUE(SUBSTITUTE('1000_заявлений'!C129, ".", ","))</f>
        <v>0.40619667103682</v>
      </c>
      <c r="D135" s="4">
        <f>VALUE(SUBSTITUTE('1000_заявлений'!D129, ".", ","))</f>
        <v>0.53168610000000005</v>
      </c>
      <c r="E135" s="4">
        <f>VALUE(SUBSTITUTE('1000_заявлений'!E129, ".", ","))</f>
        <v>0.65943074000000002</v>
      </c>
      <c r="F135" s="5">
        <f>VALUE(SUBSTITUTE('1000_заявлений'!F129, ".", ","))</f>
        <v>-3291</v>
      </c>
      <c r="G135" s="5">
        <f>VALUE(SUBSTITUTE('1000_заявлений'!G129, ".", ","))</f>
        <v>-19444</v>
      </c>
      <c r="H135" s="5">
        <f>VALUE(SUBSTITUTE('1000_заявлений'!H129, ".", ","))</f>
        <v>-2974</v>
      </c>
      <c r="I135" s="4">
        <f>VALUE(SUBSTITUTE('1000_заявлений'!I129, ".", ","))</f>
        <v>0.25595000000000001</v>
      </c>
      <c r="J135" s="4">
        <f>VALUE(SUBSTITUTE('1000_заявлений'!J129, ".", ","))</f>
        <v>1.61328665869147</v>
      </c>
      <c r="K135" s="5">
        <f>VALUE(SUBSTITUTE('1000_заявлений'!K129, ".", ","))</f>
        <v>-377</v>
      </c>
      <c r="L135" s="6">
        <f>VALUE(SUBSTITUTE('1000_заявлений'!L129, ".", ","))</f>
        <v>23035.5</v>
      </c>
      <c r="M135" s="2" t="str">
        <f>IF(Данные[[#This Row],[proba]]&gt;$C$6, "отказ", "одобрение")</f>
        <v>отказ</v>
      </c>
      <c r="N135" s="7">
        <f>IF(Данные[[#This Row],[proba]]&lt;$D$2,$C$2,IF(Данные[[#This Row],[proba]]&lt;$D$3,$C$3,IF(Данные[[#This Row],[proba]]&gt;$C$6,0,$C$4)))</f>
        <v>0</v>
      </c>
      <c r="O135" s="2">
        <f>IF(Данные[[#This Row],[weighted_ext_score]]&gt;$O$1,MIN(Данные[[#This Row],[Базовая сумма]]*$O$2,$C$2),IF(Данные[[#This Row],[weighted_ext_score]]&lt;$O$3,Данные[[#This Row],[Базовая сумма]]*$O$4,N135))</f>
        <v>0</v>
      </c>
      <c r="P1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5" s="2">
        <f>ABS(Данные[[#This Row],[days_birth]])/365.2425</f>
        <v>53.235863843884545</v>
      </c>
      <c r="S1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5" s="2">
        <f>IF(Данные[[#This Row],[ interest_rate]]&gt;$T$1,Данные[[#This Row],[days_birth4]]*$T$2,Данные[[#This Row],[days_birth4]])</f>
        <v>0</v>
      </c>
      <c r="U135" s="2">
        <f>IF(Данные[[#This Row],[Проверка отказа]]="отказ",0,MAX(Данные[[#This Row],[interest_rate]],$C$1))</f>
        <v>0</v>
      </c>
      <c r="V135" s="2">
        <f>MROUND(Данные[[#This Row],[Минимум 20000]], 100)</f>
        <v>0</v>
      </c>
    </row>
    <row r="136" spans="1:22" x14ac:dyDescent="0.25">
      <c r="A136" s="2">
        <f>'1000_заявлений'!A130</f>
        <v>128</v>
      </c>
      <c r="B136" s="4">
        <f>VALUE(SUBSTITUTE('1000_заявлений'!B130, ".", ","))</f>
        <v>0.71553988129745005</v>
      </c>
      <c r="C136" s="4">
        <f>VALUE(SUBSTITUTE('1000_заявлений'!C130, ".", ","))</f>
        <v>0.17912495756680599</v>
      </c>
      <c r="D136" s="4">
        <f>VALUE(SUBSTITUTE('1000_заявлений'!D130, ".", ","))</f>
        <v>0.21396684999999999</v>
      </c>
      <c r="E136" s="4">
        <f>VALUE(SUBSTITUTE('1000_заявлений'!E130, ".", ","))</f>
        <v>0.31364905999999998</v>
      </c>
      <c r="F136" s="5">
        <f>VALUE(SUBSTITUTE('1000_заявлений'!F130, ".", ","))</f>
        <v>-4003</v>
      </c>
      <c r="G136" s="5">
        <f>VALUE(SUBSTITUTE('1000_заявлений'!G130, ".", ","))</f>
        <v>-22795</v>
      </c>
      <c r="H136" s="5">
        <f>VALUE(SUBSTITUTE('1000_заявлений'!H130, ".", ","))</f>
        <v>-4423</v>
      </c>
      <c r="I136" s="4">
        <f>VALUE(SUBSTITUTE('1000_заявлений'!I130, ".", ","))</f>
        <v>0.15133333333333299</v>
      </c>
      <c r="J136" s="4">
        <f>VALUE(SUBSTITUTE('1000_заявлений'!J130, ".", ","))</f>
        <v>0.47159589466623197</v>
      </c>
      <c r="K136" s="5">
        <f>VALUE(SUBSTITUTE('1000_заявлений'!K130, ".", ","))</f>
        <v>365243</v>
      </c>
      <c r="L136" s="6">
        <f>VALUE(SUBSTITUTE('1000_заявлений'!L130, ".", ","))</f>
        <v>10215</v>
      </c>
      <c r="M136" s="2" t="str">
        <f>IF(Данные[[#This Row],[proba]]&gt;$C$6, "отказ", "одобрение")</f>
        <v>отказ</v>
      </c>
      <c r="N136" s="7">
        <f>IF(Данные[[#This Row],[proba]]&lt;$D$2,$C$2,IF(Данные[[#This Row],[proba]]&lt;$D$3,$C$3,IF(Данные[[#This Row],[proba]]&gt;$C$6,0,$C$4)))</f>
        <v>0</v>
      </c>
      <c r="O136" s="2">
        <f>IF(Данные[[#This Row],[weighted_ext_score]]&gt;$O$1,MIN(Данные[[#This Row],[Базовая сумма]]*$O$2,$C$2),IF(Данные[[#This Row],[weighted_ext_score]]&lt;$O$3,Данные[[#This Row],[Базовая сумма]]*$O$4,N136))</f>
        <v>0</v>
      </c>
      <c r="P1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6" s="2">
        <f>ABS(Данные[[#This Row],[days_birth]])/365.2425</f>
        <v>62.410590224303029</v>
      </c>
      <c r="S1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6" s="2">
        <f>IF(Данные[[#This Row],[ interest_rate]]&gt;$T$1,Данные[[#This Row],[days_birth4]]*$T$2,Данные[[#This Row],[days_birth4]])</f>
        <v>0</v>
      </c>
      <c r="U136" s="2">
        <f>IF(Данные[[#This Row],[Проверка отказа]]="отказ",0,MAX(Данные[[#This Row],[interest_rate]],$C$1))</f>
        <v>0</v>
      </c>
      <c r="V136" s="2">
        <f>MROUND(Данные[[#This Row],[Минимум 20000]], 100)</f>
        <v>0</v>
      </c>
    </row>
    <row r="137" spans="1:22" x14ac:dyDescent="0.25">
      <c r="A137" s="2">
        <f>'1000_заявлений'!A131</f>
        <v>129</v>
      </c>
      <c r="B137" s="4">
        <f>VALUE(SUBSTITUTE('1000_заявлений'!B131, ".", ","))</f>
        <v>0.78340310229509103</v>
      </c>
      <c r="C137" s="4">
        <f>VALUE(SUBSTITUTE('1000_заявлений'!C131, ".", ","))</f>
        <v>0.195246465596431</v>
      </c>
      <c r="D137" s="4">
        <f>VALUE(SUBSTITUTE('1000_заявлений'!D131, ".", ","))</f>
        <v>0.36561650000000001</v>
      </c>
      <c r="E137" s="4">
        <f>VALUE(SUBSTITUTE('1000_заявлений'!E131, ".", ","))</f>
        <v>0.19426645000000001</v>
      </c>
      <c r="F137" s="5">
        <f>VALUE(SUBSTITUTE('1000_заявлений'!F131, ".", ","))</f>
        <v>-10735</v>
      </c>
      <c r="G137" s="5">
        <f>VALUE(SUBSTITUTE('1000_заявлений'!G131, ".", ","))</f>
        <v>-21450</v>
      </c>
      <c r="H137" s="5">
        <f>VALUE(SUBSTITUTE('1000_заявлений'!H131, ".", ","))</f>
        <v>-4043</v>
      </c>
      <c r="I137" s="4">
        <f>VALUE(SUBSTITUTE('1000_заявлений'!I131, ".", ","))</f>
        <v>0.69329411764705795</v>
      </c>
      <c r="J137" s="4">
        <f>VALUE(SUBSTITUTE('1000_заявлений'!J131, ".", ","))</f>
        <v>2.06813091819697</v>
      </c>
      <c r="K137" s="5">
        <f>VALUE(SUBSTITUTE('1000_заявлений'!K131, ".", ","))</f>
        <v>365243</v>
      </c>
      <c r="L137" s="6">
        <f>VALUE(SUBSTITUTE('1000_заявлений'!L131, ".", ","))</f>
        <v>26518.5</v>
      </c>
      <c r="M137" s="2" t="str">
        <f>IF(Данные[[#This Row],[proba]]&gt;$C$6, "отказ", "одобрение")</f>
        <v>отказ</v>
      </c>
      <c r="N137" s="7">
        <f>IF(Данные[[#This Row],[proba]]&lt;$D$2,$C$2,IF(Данные[[#This Row],[proba]]&lt;$D$3,$C$3,IF(Данные[[#This Row],[proba]]&gt;$C$6,0,$C$4)))</f>
        <v>0</v>
      </c>
      <c r="O137" s="2">
        <f>IF(Данные[[#This Row],[weighted_ext_score]]&gt;$O$1,MIN(Данные[[#This Row],[Базовая сумма]]*$O$2,$C$2),IF(Данные[[#This Row],[weighted_ext_score]]&lt;$O$3,Данные[[#This Row],[Базовая сумма]]*$O$4,N137))</f>
        <v>0</v>
      </c>
      <c r="P1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7" s="2">
        <f>ABS(Данные[[#This Row],[days_birth]])/365.2425</f>
        <v>58.72810529990349</v>
      </c>
      <c r="S1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7" s="2">
        <f>IF(Данные[[#This Row],[ interest_rate]]&gt;$T$1,Данные[[#This Row],[days_birth4]]*$T$2,Данные[[#This Row],[days_birth4]])</f>
        <v>0</v>
      </c>
      <c r="U137" s="2">
        <f>IF(Данные[[#This Row],[Проверка отказа]]="отказ",0,MAX(Данные[[#This Row],[interest_rate]],$C$1))</f>
        <v>0</v>
      </c>
      <c r="V137" s="2">
        <f>MROUND(Данные[[#This Row],[Минимум 20000]], 100)</f>
        <v>0</v>
      </c>
    </row>
    <row r="138" spans="1:22" x14ac:dyDescent="0.25">
      <c r="A138" s="2">
        <f>'1000_заявлений'!A132</f>
        <v>130</v>
      </c>
      <c r="B138" s="4">
        <f>VALUE(SUBSTITUTE('1000_заявлений'!B132, ".", ","))</f>
        <v>0.658747813174136</v>
      </c>
      <c r="C138" s="4">
        <f>VALUE(SUBSTITUTE('1000_заявлений'!C132, ".", ","))</f>
        <v>0.25717650428531003</v>
      </c>
      <c r="D138" s="4">
        <f>VALUE(SUBSTITUTE('1000_заявлений'!D132, ".", ","))</f>
        <v>0.55850659999999996</v>
      </c>
      <c r="E138" s="4">
        <f>VALUE(SUBSTITUTE('1000_заявлений'!E132, ".", ","))</f>
        <v>0.17012268</v>
      </c>
      <c r="F138" s="5">
        <f>VALUE(SUBSTITUTE('1000_заявлений'!F132, ".", ","))</f>
        <v>-1856</v>
      </c>
      <c r="G138" s="5">
        <f>VALUE(SUBSTITUTE('1000_заявлений'!G132, ".", ","))</f>
        <v>-19767</v>
      </c>
      <c r="H138" s="5">
        <f>VALUE(SUBSTITUTE('1000_заявлений'!H132, ".", ","))</f>
        <v>-1778</v>
      </c>
      <c r="I138" s="4">
        <f>VALUE(SUBSTITUTE('1000_заявлений'!I132, ".", ","))</f>
        <v>0.20729411764705799</v>
      </c>
      <c r="J138" s="4">
        <f>VALUE(SUBSTITUTE('1000_заявлений'!J132, ".", ","))</f>
        <v>1.31765245344361</v>
      </c>
      <c r="K138" s="5">
        <f>VALUE(SUBSTITUTE('1000_заявлений'!K132, ".", ","))</f>
        <v>-481</v>
      </c>
      <c r="L138" s="6">
        <f>VALUE(SUBSTITUTE('1000_заявлений'!L132, ".", ","))</f>
        <v>15858</v>
      </c>
      <c r="M138" s="2" t="str">
        <f>IF(Данные[[#This Row],[proba]]&gt;$C$6, "отказ", "одобрение")</f>
        <v>отказ</v>
      </c>
      <c r="N138" s="7">
        <f>IF(Данные[[#This Row],[proba]]&lt;$D$2,$C$2,IF(Данные[[#This Row],[proba]]&lt;$D$3,$C$3,IF(Данные[[#This Row],[proba]]&gt;$C$6,0,$C$4)))</f>
        <v>0</v>
      </c>
      <c r="O138" s="2">
        <f>IF(Данные[[#This Row],[weighted_ext_score]]&gt;$O$1,MIN(Данные[[#This Row],[Базовая сумма]]*$O$2,$C$2),IF(Данные[[#This Row],[weighted_ext_score]]&lt;$O$3,Данные[[#This Row],[Базовая сумма]]*$O$4,N138))</f>
        <v>0</v>
      </c>
      <c r="P1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8" s="2">
        <f>ABS(Данные[[#This Row],[days_birth]])/365.2425</f>
        <v>54.120207807141831</v>
      </c>
      <c r="S1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8" s="2">
        <f>IF(Данные[[#This Row],[ interest_rate]]&gt;$T$1,Данные[[#This Row],[days_birth4]]*$T$2,Данные[[#This Row],[days_birth4]])</f>
        <v>0</v>
      </c>
      <c r="U138" s="2">
        <f>IF(Данные[[#This Row],[Проверка отказа]]="отказ",0,MAX(Данные[[#This Row],[interest_rate]],$C$1))</f>
        <v>0</v>
      </c>
      <c r="V138" s="2">
        <f>MROUND(Данные[[#This Row],[Минимум 20000]], 100)</f>
        <v>0</v>
      </c>
    </row>
    <row r="139" spans="1:22" x14ac:dyDescent="0.25">
      <c r="A139" s="2">
        <f>'1000_заявлений'!A133</f>
        <v>131</v>
      </c>
      <c r="B139" s="4">
        <f>VALUE(SUBSTITUTE('1000_заявлений'!B133, ".", ","))</f>
        <v>0.32229960822194198</v>
      </c>
      <c r="C139" s="4">
        <f>VALUE(SUBSTITUTE('1000_заявлений'!C133, ".", ","))</f>
        <v>0.41636488651166298</v>
      </c>
      <c r="D139" s="4">
        <f>VALUE(SUBSTITUTE('1000_заявлений'!D133, ".", ","))</f>
        <v>0.49927201999999998</v>
      </c>
      <c r="E139" s="4">
        <f>VALUE(SUBSTITUTE('1000_заявлений'!E133, ".", ","))</f>
        <v>0.72691790000000001</v>
      </c>
      <c r="F139" s="5">
        <f>VALUE(SUBSTITUTE('1000_заявлений'!F133, ".", ","))</f>
        <v>-8095</v>
      </c>
      <c r="G139" s="5">
        <f>VALUE(SUBSTITUTE('1000_заявлений'!G133, ".", ","))</f>
        <v>-19611</v>
      </c>
      <c r="H139" s="5">
        <f>VALUE(SUBSTITUTE('1000_заявлений'!H133, ".", ","))</f>
        <v>-3061</v>
      </c>
      <c r="I139" s="4">
        <f>VALUE(SUBSTITUTE('1000_заявлений'!I133, ".", ","))</f>
        <v>8.5584615384615301E-2</v>
      </c>
      <c r="J139" s="4">
        <f>VALUE(SUBSTITUTE('1000_заявлений'!J133, ".", ","))</f>
        <v>1.9089036897522</v>
      </c>
      <c r="K139" s="5">
        <f>VALUE(SUBSTITUTE('1000_заявлений'!K133, ".", ","))</f>
        <v>-76</v>
      </c>
      <c r="L139" s="6">
        <f>VALUE(SUBSTITUTE('1000_заявлений'!L133, ".", ","))</f>
        <v>25033.5</v>
      </c>
      <c r="M139" s="2" t="str">
        <f>IF(Данные[[#This Row],[proba]]&gt;$C$6, "отказ", "одобрение")</f>
        <v>отказ</v>
      </c>
      <c r="N139" s="7">
        <f>IF(Данные[[#This Row],[proba]]&lt;$D$2,$C$2,IF(Данные[[#This Row],[proba]]&lt;$D$3,$C$3,IF(Данные[[#This Row],[proba]]&gt;$C$6,0,$C$4)))</f>
        <v>0</v>
      </c>
      <c r="O139" s="2">
        <f>IF(Данные[[#This Row],[weighted_ext_score]]&gt;$O$1,MIN(Данные[[#This Row],[Базовая сумма]]*$O$2,$C$2),IF(Данные[[#This Row],[weighted_ext_score]]&lt;$O$3,Данные[[#This Row],[Базовая сумма]]*$O$4,N139))</f>
        <v>0</v>
      </c>
      <c r="P1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39" s="2">
        <f>ABS(Данные[[#This Row],[days_birth]])/365.2425</f>
        <v>53.693094314051621</v>
      </c>
      <c r="S1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39" s="2">
        <f>IF(Данные[[#This Row],[ interest_rate]]&gt;$T$1,Данные[[#This Row],[days_birth4]]*$T$2,Данные[[#This Row],[days_birth4]])</f>
        <v>0</v>
      </c>
      <c r="U139" s="2">
        <f>IF(Данные[[#This Row],[Проверка отказа]]="отказ",0,MAX(Данные[[#This Row],[interest_rate]],$C$1))</f>
        <v>0</v>
      </c>
      <c r="V139" s="2">
        <f>MROUND(Данные[[#This Row],[Минимум 20000]], 100)</f>
        <v>0</v>
      </c>
    </row>
    <row r="140" spans="1:22" x14ac:dyDescent="0.25">
      <c r="A140" s="2">
        <f>'1000_заявлений'!A134</f>
        <v>132</v>
      </c>
      <c r="B140" s="4">
        <f>VALUE(SUBSTITUTE('1000_заявлений'!B134, ".", ","))</f>
        <v>0.429277421231895</v>
      </c>
      <c r="C140" s="4">
        <f>VALUE(SUBSTITUTE('1000_заявлений'!C134, ".", ","))</f>
        <v>0.38285738489013299</v>
      </c>
      <c r="D140" s="4">
        <f>VALUE(SUBSTITUTE('1000_заявлений'!D134, ".", ","))</f>
        <v>0.42589290000000002</v>
      </c>
      <c r="E140" s="4">
        <f>VALUE(SUBSTITUTE('1000_заявлений'!E134, ".", ","))</f>
        <v>0.70543425999999998</v>
      </c>
      <c r="F140" s="5">
        <f>VALUE(SUBSTITUTE('1000_заявлений'!F134, ".", ","))</f>
        <v>-3822</v>
      </c>
      <c r="G140" s="5">
        <f>VALUE(SUBSTITUTE('1000_заявлений'!G134, ".", ","))</f>
        <v>-15276</v>
      </c>
      <c r="H140" s="5">
        <f>VALUE(SUBSTITUTE('1000_заявлений'!H134, ".", ","))</f>
        <v>-4880</v>
      </c>
      <c r="I140" s="4">
        <f>VALUE(SUBSTITUTE('1000_заявлений'!I134, ".", ","))</f>
        <v>0.200971428571428</v>
      </c>
      <c r="J140" s="4">
        <f>VALUE(SUBSTITUTE('1000_заявлений'!J134, ".", ","))</f>
        <v>1.83324182632016</v>
      </c>
      <c r="K140" s="5">
        <f>VALUE(SUBSTITUTE('1000_заявлений'!K134, ".", ","))</f>
        <v>-1184</v>
      </c>
      <c r="L140" s="6">
        <f>VALUE(SUBSTITUTE('1000_заявлений'!L134, ".", ","))</f>
        <v>31653</v>
      </c>
      <c r="M140" s="2" t="str">
        <f>IF(Данные[[#This Row],[proba]]&gt;$C$6, "отказ", "одобрение")</f>
        <v>отказ</v>
      </c>
      <c r="N140" s="7">
        <f>IF(Данные[[#This Row],[proba]]&lt;$D$2,$C$2,IF(Данные[[#This Row],[proba]]&lt;$D$3,$C$3,IF(Данные[[#This Row],[proba]]&gt;$C$6,0,$C$4)))</f>
        <v>0</v>
      </c>
      <c r="O140" s="2">
        <f>IF(Данные[[#This Row],[weighted_ext_score]]&gt;$O$1,MIN(Данные[[#This Row],[Базовая сумма]]*$O$2,$C$2),IF(Данные[[#This Row],[weighted_ext_score]]&lt;$O$3,Данные[[#This Row],[Базовая сумма]]*$O$4,N140))</f>
        <v>0</v>
      </c>
      <c r="P1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0" s="2">
        <f>ABS(Данные[[#This Row],[days_birth]])/365.2425</f>
        <v>41.824267438756443</v>
      </c>
      <c r="S1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0" s="2">
        <f>IF(Данные[[#This Row],[ interest_rate]]&gt;$T$1,Данные[[#This Row],[days_birth4]]*$T$2,Данные[[#This Row],[days_birth4]])</f>
        <v>0</v>
      </c>
      <c r="U140" s="2">
        <f>IF(Данные[[#This Row],[Проверка отказа]]="отказ",0,MAX(Данные[[#This Row],[interest_rate]],$C$1))</f>
        <v>0</v>
      </c>
      <c r="V140" s="2">
        <f>MROUND(Данные[[#This Row],[Минимум 20000]], 100)</f>
        <v>0</v>
      </c>
    </row>
    <row r="141" spans="1:22" x14ac:dyDescent="0.25">
      <c r="A141" s="2">
        <f>'1000_заявлений'!A135</f>
        <v>133</v>
      </c>
      <c r="B141" s="4">
        <f>VALUE(SUBSTITUTE('1000_заявлений'!B135, ".", ","))</f>
        <v>0.30926371048575502</v>
      </c>
      <c r="C141" s="4">
        <f>VALUE(SUBSTITUTE('1000_заявлений'!C135, ".", ","))</f>
        <v>0.44131286677538301</v>
      </c>
      <c r="D141" s="4">
        <f>VALUE(SUBSTITUTE('1000_заявлений'!D135, ".", ","))</f>
        <v>0.64302559999999997</v>
      </c>
      <c r="E141" s="4">
        <f>VALUE(SUBSTITUTE('1000_заявлений'!E135, ".", ","))</f>
        <v>0.64354960000000005</v>
      </c>
      <c r="F141" s="5">
        <f>VALUE(SUBSTITUTE('1000_заявлений'!F135, ".", ","))</f>
        <v>-8719</v>
      </c>
      <c r="G141" s="5">
        <f>VALUE(SUBSTITUTE('1000_заявлений'!G135, ".", ","))</f>
        <v>-16257</v>
      </c>
      <c r="H141" s="5">
        <f>VALUE(SUBSTITUTE('1000_заявлений'!H135, ".", ","))</f>
        <v>-4128</v>
      </c>
      <c r="I141" s="4">
        <f>VALUE(SUBSTITUTE('1000_заявлений'!I135, ".", ","))</f>
        <v>0.22140000000000001</v>
      </c>
      <c r="J141" s="4">
        <f>VALUE(SUBSTITUTE('1000_заявлений'!J135, ".", ","))</f>
        <v>2.6785816018740101</v>
      </c>
      <c r="K141" s="5">
        <f>VALUE(SUBSTITUTE('1000_заявлений'!K135, ".", ","))</f>
        <v>-3861</v>
      </c>
      <c r="L141" s="6">
        <f>VALUE(SUBSTITUTE('1000_заявлений'!L135, ".", ","))</f>
        <v>29889</v>
      </c>
      <c r="M141" s="2" t="str">
        <f>IF(Данные[[#This Row],[proba]]&gt;$C$6, "отказ", "одобрение")</f>
        <v>отказ</v>
      </c>
      <c r="N141" s="7">
        <f>IF(Данные[[#This Row],[proba]]&lt;$D$2,$C$2,IF(Данные[[#This Row],[proba]]&lt;$D$3,$C$3,IF(Данные[[#This Row],[proba]]&gt;$C$6,0,$C$4)))</f>
        <v>0</v>
      </c>
      <c r="O141" s="2">
        <f>IF(Данные[[#This Row],[weighted_ext_score]]&gt;$O$1,MIN(Данные[[#This Row],[Базовая сумма]]*$O$2,$C$2),IF(Данные[[#This Row],[weighted_ext_score]]&lt;$O$3,Данные[[#This Row],[Базовая сумма]]*$O$4,N141))</f>
        <v>0</v>
      </c>
      <c r="P1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1" s="2">
        <f>ABS(Данные[[#This Row],[days_birth]])/365.2425</f>
        <v>44.510154212612164</v>
      </c>
      <c r="S1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1" s="2">
        <f>IF(Данные[[#This Row],[ interest_rate]]&gt;$T$1,Данные[[#This Row],[days_birth4]]*$T$2,Данные[[#This Row],[days_birth4]])</f>
        <v>0</v>
      </c>
      <c r="U141" s="2">
        <f>IF(Данные[[#This Row],[Проверка отказа]]="отказ",0,MAX(Данные[[#This Row],[interest_rate]],$C$1))</f>
        <v>0</v>
      </c>
      <c r="V141" s="2">
        <f>MROUND(Данные[[#This Row],[Минимум 20000]], 100)</f>
        <v>0</v>
      </c>
    </row>
    <row r="142" spans="1:22" x14ac:dyDescent="0.25">
      <c r="A142" s="2">
        <f>'1000_заявлений'!A136</f>
        <v>134</v>
      </c>
      <c r="B142" s="4">
        <f>VALUE(SUBSTITUTE('1000_заявлений'!B136, ".", ","))</f>
        <v>0.39877706340318397</v>
      </c>
      <c r="C142" s="4">
        <f>VALUE(SUBSTITUTE('1000_заявлений'!C136, ".", ","))</f>
        <v>0.516048064216305</v>
      </c>
      <c r="D142" s="4">
        <f>VALUE(SUBSTITUTE('1000_заявлений'!D136, ".", ","))</f>
        <v>0.50468135000000003</v>
      </c>
      <c r="E142" s="4">
        <f>VALUE(SUBSTITUTE('1000_заявлений'!E136, ".", ","))</f>
        <v>0.59326654999999995</v>
      </c>
      <c r="F142" s="5">
        <f>VALUE(SUBSTITUTE('1000_заявлений'!F136, ".", ","))</f>
        <v>-8404</v>
      </c>
      <c r="G142" s="5">
        <f>VALUE(SUBSTITUTE('1000_заявлений'!G136, ".", ","))</f>
        <v>-17096</v>
      </c>
      <c r="H142" s="5">
        <f>VALUE(SUBSTITUTE('1000_заявлений'!H136, ".", ","))</f>
        <v>-647</v>
      </c>
      <c r="I142" s="4">
        <f>VALUE(SUBSTITUTE('1000_заявлений'!I136, ".", ","))</f>
        <v>0.28854999999999997</v>
      </c>
      <c r="J142" s="4">
        <f>VALUE(SUBSTITUTE('1000_заявлений'!J136, ".", ","))</f>
        <v>4.5741332740013299</v>
      </c>
      <c r="K142" s="5">
        <f>VALUE(SUBSTITUTE('1000_заявлений'!K136, ".", ","))</f>
        <v>-3101</v>
      </c>
      <c r="L142" s="6">
        <f>VALUE(SUBSTITUTE('1000_заявлений'!L136, ".", ","))</f>
        <v>25969.5</v>
      </c>
      <c r="M142" s="2" t="str">
        <f>IF(Данные[[#This Row],[proba]]&gt;$C$6, "отказ", "одобрение")</f>
        <v>отказ</v>
      </c>
      <c r="N142" s="7">
        <f>IF(Данные[[#This Row],[proba]]&lt;$D$2,$C$2,IF(Данные[[#This Row],[proba]]&lt;$D$3,$C$3,IF(Данные[[#This Row],[proba]]&gt;$C$6,0,$C$4)))</f>
        <v>0</v>
      </c>
      <c r="O142" s="2">
        <f>IF(Данные[[#This Row],[weighted_ext_score]]&gt;$O$1,MIN(Данные[[#This Row],[Базовая сумма]]*$O$2,$C$2),IF(Данные[[#This Row],[weighted_ext_score]]&lt;$O$3,Данные[[#This Row],[Базовая сумма]]*$O$4,N142))</f>
        <v>0</v>
      </c>
      <c r="P1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2" s="2">
        <f>ABS(Данные[[#This Row],[days_birth]])/365.2425</f>
        <v>46.807258191475526</v>
      </c>
      <c r="S1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2" s="2">
        <f>IF(Данные[[#This Row],[ interest_rate]]&gt;$T$1,Данные[[#This Row],[days_birth4]]*$T$2,Данные[[#This Row],[days_birth4]])</f>
        <v>0</v>
      </c>
      <c r="U142" s="2">
        <f>IF(Данные[[#This Row],[Проверка отказа]]="отказ",0,MAX(Данные[[#This Row],[interest_rate]],$C$1))</f>
        <v>0</v>
      </c>
      <c r="V142" s="2">
        <f>MROUND(Данные[[#This Row],[Минимум 20000]], 100)</f>
        <v>0</v>
      </c>
    </row>
    <row r="143" spans="1:22" x14ac:dyDescent="0.25">
      <c r="A143" s="2">
        <f>'1000_заявлений'!A137</f>
        <v>135</v>
      </c>
      <c r="B143" s="4">
        <f>VALUE(SUBSTITUTE('1000_заявлений'!B137, ".", ","))</f>
        <v>0.112007651652371</v>
      </c>
      <c r="C143" s="4">
        <f>VALUE(SUBSTITUTE('1000_заявлений'!C137, ".", ","))</f>
        <v>0.68725438211943402</v>
      </c>
      <c r="D143" s="4">
        <f>VALUE(SUBSTITUTE('1000_заявлений'!D137, ".", ","))</f>
        <v>0.75839305000000001</v>
      </c>
      <c r="E143" s="4">
        <f>VALUE(SUBSTITUTE('1000_заявлений'!E137, ".", ","))</f>
        <v>0.75689340000000005</v>
      </c>
      <c r="F143" s="5">
        <f>VALUE(SUBSTITUTE('1000_заявлений'!F137, ".", ","))</f>
        <v>-1316</v>
      </c>
      <c r="G143" s="5">
        <f>VALUE(SUBSTITUTE('1000_заявлений'!G137, ".", ","))</f>
        <v>-17241</v>
      </c>
      <c r="H143" s="5">
        <f>VALUE(SUBSTITUTE('1000_заявлений'!H137, ".", ","))</f>
        <v>-731</v>
      </c>
      <c r="I143" s="4">
        <f>VALUE(SUBSTITUTE('1000_заявлений'!I137, ".", ","))</f>
        <v>0.1318</v>
      </c>
      <c r="J143" s="4">
        <f>VALUE(SUBSTITUTE('1000_заявлений'!J137, ".", ","))</f>
        <v>19.6826049733214</v>
      </c>
      <c r="K143" s="5">
        <f>VALUE(SUBSTITUTE('1000_заявлений'!K137, ".", ","))</f>
        <v>-3326</v>
      </c>
      <c r="L143" s="6">
        <f>VALUE(SUBSTITUTE('1000_заявлений'!L137, ".", ","))</f>
        <v>29655</v>
      </c>
      <c r="M143" s="2" t="str">
        <f>IF(Данные[[#This Row],[proba]]&gt;$C$6, "отказ", "одобрение")</f>
        <v>одобрение</v>
      </c>
      <c r="N143" s="7">
        <f>IF(Данные[[#This Row],[proba]]&lt;$D$2,$C$2,IF(Данные[[#This Row],[proba]]&lt;$D$3,$C$3,IF(Данные[[#This Row],[proba]]&gt;$C$6,0,$C$4)))</f>
        <v>300000</v>
      </c>
      <c r="O143" s="2">
        <f>IF(Данные[[#This Row],[weighted_ext_score]]&gt;$O$1,MIN(Данные[[#This Row],[Базовая сумма]]*$O$2,$C$2),IF(Данные[[#This Row],[weighted_ext_score]]&lt;$O$3,Данные[[#This Row],[Базовая сумма]]*$O$4,N143))</f>
        <v>300000</v>
      </c>
      <c r="P1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1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143" s="2">
        <f>ABS(Данные[[#This Row],[days_birth]])/365.2425</f>
        <v>47.204254707488857</v>
      </c>
      <c r="S1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143" s="2">
        <f>IF(Данные[[#This Row],[ interest_rate]]&gt;$T$1,Данные[[#This Row],[days_birth4]]*$T$2,Данные[[#This Row],[days_birth4]])</f>
        <v>432000</v>
      </c>
      <c r="U143" s="2">
        <f>IF(Данные[[#This Row],[Проверка отказа]]="отказ",0,MAX(Данные[[#This Row],[interest_rate]],$C$1))</f>
        <v>432000</v>
      </c>
      <c r="V143" s="2">
        <f>MROUND(Данные[[#This Row],[Минимум 20000]], 100)</f>
        <v>432000</v>
      </c>
    </row>
    <row r="144" spans="1:22" x14ac:dyDescent="0.25">
      <c r="A144" s="2">
        <f>'1000_заявлений'!A138</f>
        <v>136</v>
      </c>
      <c r="B144" s="4">
        <f>VALUE(SUBSTITUTE('1000_заявлений'!B138, ".", ","))</f>
        <v>0.671463185240469</v>
      </c>
      <c r="C144" s="4">
        <f>VALUE(SUBSTITUTE('1000_заявлений'!C138, ".", ","))</f>
        <v>0.38223164363981099</v>
      </c>
      <c r="D144" s="4">
        <f>VALUE(SUBSTITUTE('1000_заявлений'!D138, ".", ","))</f>
        <v>0.14199154</v>
      </c>
      <c r="E144" s="4">
        <f>VALUE(SUBSTITUTE('1000_заявлений'!E138, ".", ","))</f>
        <v>0.45711583</v>
      </c>
      <c r="F144" s="5">
        <f>VALUE(SUBSTITUTE('1000_заявлений'!F138, ".", ","))</f>
        <v>-173</v>
      </c>
      <c r="G144" s="5">
        <f>VALUE(SUBSTITUTE('1000_заявлений'!G138, ".", ","))</f>
        <v>-14622</v>
      </c>
      <c r="H144" s="5">
        <f>VALUE(SUBSTITUTE('1000_заявлений'!H138, ".", ","))</f>
        <v>-4304</v>
      </c>
      <c r="I144" s="4">
        <f>VALUE(SUBSTITUTE('1000_заявлений'!I138, ".", ","))</f>
        <v>9.1524999999999995E-2</v>
      </c>
      <c r="J144" s="4">
        <f>VALUE(SUBSTITUTE('1000_заявлений'!J138, ".", ","))</f>
        <v>3.4100067210835099</v>
      </c>
      <c r="K144" s="5">
        <f>VALUE(SUBSTITUTE('1000_заявлений'!K138, ".", ","))</f>
        <v>-1145</v>
      </c>
      <c r="L144" s="6">
        <f>VALUE(SUBSTITUTE('1000_заявлений'!L138, ".", ","))</f>
        <v>16474.5</v>
      </c>
      <c r="M144" s="2" t="str">
        <f>IF(Данные[[#This Row],[proba]]&gt;$C$6, "отказ", "одобрение")</f>
        <v>отказ</v>
      </c>
      <c r="N144" s="7">
        <f>IF(Данные[[#This Row],[proba]]&lt;$D$2,$C$2,IF(Данные[[#This Row],[proba]]&lt;$D$3,$C$3,IF(Данные[[#This Row],[proba]]&gt;$C$6,0,$C$4)))</f>
        <v>0</v>
      </c>
      <c r="O144" s="2">
        <f>IF(Данные[[#This Row],[weighted_ext_score]]&gt;$O$1,MIN(Данные[[#This Row],[Базовая сумма]]*$O$2,$C$2),IF(Данные[[#This Row],[weighted_ext_score]]&lt;$O$3,Данные[[#This Row],[Базовая сумма]]*$O$4,N144))</f>
        <v>0</v>
      </c>
      <c r="P1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4" s="2">
        <f>ABS(Данные[[#This Row],[days_birth]])/365.2425</f>
        <v>40.033676256185956</v>
      </c>
      <c r="S1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4" s="2">
        <f>IF(Данные[[#This Row],[ interest_rate]]&gt;$T$1,Данные[[#This Row],[days_birth4]]*$T$2,Данные[[#This Row],[days_birth4]])</f>
        <v>0</v>
      </c>
      <c r="U144" s="2">
        <f>IF(Данные[[#This Row],[Проверка отказа]]="отказ",0,MAX(Данные[[#This Row],[interest_rate]],$C$1))</f>
        <v>0</v>
      </c>
      <c r="V144" s="2">
        <f>MROUND(Данные[[#This Row],[Минимум 20000]], 100)</f>
        <v>0</v>
      </c>
    </row>
    <row r="145" spans="1:22" x14ac:dyDescent="0.25">
      <c r="A145" s="2">
        <f>'1000_заявлений'!A139</f>
        <v>137</v>
      </c>
      <c r="B145" s="4">
        <f>VALUE(SUBSTITUTE('1000_заявлений'!B139, ".", ","))</f>
        <v>0.26011577262216501</v>
      </c>
      <c r="C145" s="4">
        <f>VALUE(SUBSTITUTE('1000_заявлений'!C139, ".", ","))</f>
        <v>0.42886420188622199</v>
      </c>
      <c r="D145" s="4">
        <f>VALUE(SUBSTITUTE('1000_заявлений'!D139, ".", ","))</f>
        <v>0.68947919999999996</v>
      </c>
      <c r="E145" s="4">
        <f>VALUE(SUBSTITUTE('1000_заявлений'!E139, ".", ","))</f>
        <v>0.55337875999999997</v>
      </c>
      <c r="F145" s="5">
        <f>VALUE(SUBSTITUTE('1000_заявлений'!F139, ".", ","))</f>
        <v>-1295</v>
      </c>
      <c r="G145" s="5">
        <f>VALUE(SUBSTITUTE('1000_заявлений'!G139, ".", ","))</f>
        <v>-21154</v>
      </c>
      <c r="H145" s="5">
        <f>VALUE(SUBSTITUTE('1000_заявлений'!H139, ".", ","))</f>
        <v>-4654</v>
      </c>
      <c r="I145" s="4">
        <f>VALUE(SUBSTITUTE('1000_заявлений'!I139, ".", ","))</f>
        <v>0.13888888888888801</v>
      </c>
      <c r="J145" s="4">
        <f>VALUE(SUBSTITUTE('1000_заявлений'!J139, ".", ","))</f>
        <v>10.6209759779781</v>
      </c>
      <c r="K145" s="5">
        <f>VALUE(SUBSTITUTE('1000_заявлений'!K139, ".", ","))</f>
        <v>-520</v>
      </c>
      <c r="L145" s="6">
        <f>VALUE(SUBSTITUTE('1000_заявлений'!L139, ".", ","))</f>
        <v>16875</v>
      </c>
      <c r="M145" s="2" t="str">
        <f>IF(Данные[[#This Row],[proba]]&gt;$C$6, "отказ", "одобрение")</f>
        <v>одобрение</v>
      </c>
      <c r="N145" s="7">
        <f>IF(Данные[[#This Row],[proba]]&lt;$D$2,$C$2,IF(Данные[[#This Row],[proba]]&lt;$D$3,$C$3,IF(Данные[[#This Row],[proba]]&gt;$C$6,0,$C$4)))</f>
        <v>100000</v>
      </c>
      <c r="O145" s="2">
        <f>IF(Данные[[#This Row],[weighted_ext_score]]&gt;$O$1,MIN(Данные[[#This Row],[Базовая сумма]]*$O$2,$C$2),IF(Данные[[#This Row],[weighted_ext_score]]&lt;$O$3,Данные[[#This Row],[Базовая сумма]]*$O$4,N145))</f>
        <v>100000</v>
      </c>
      <c r="P1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45" s="2">
        <f>ABS(Данные[[#This Row],[days_birth]])/365.2425</f>
        <v>57.91768482583489</v>
      </c>
      <c r="S1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145" s="2">
        <f>IF(Данные[[#This Row],[ interest_rate]]&gt;$T$1,Данные[[#This Row],[days_birth4]]*$T$2,Данные[[#This Row],[days_birth4]])</f>
        <v>88200</v>
      </c>
      <c r="U145" s="2">
        <f>IF(Данные[[#This Row],[Проверка отказа]]="отказ",0,MAX(Данные[[#This Row],[interest_rate]],$C$1))</f>
        <v>88200</v>
      </c>
      <c r="V145" s="2">
        <f>MROUND(Данные[[#This Row],[Минимум 20000]], 100)</f>
        <v>88200</v>
      </c>
    </row>
    <row r="146" spans="1:22" x14ac:dyDescent="0.25">
      <c r="A146" s="2">
        <f>'1000_заявлений'!A140</f>
        <v>138</v>
      </c>
      <c r="B146" s="4">
        <f>VALUE(SUBSTITUTE('1000_заявлений'!B140, ".", ","))</f>
        <v>0.75316932394742697</v>
      </c>
      <c r="C146" s="4">
        <f>VALUE(SUBSTITUTE('1000_заявлений'!C140, ".", ","))</f>
        <v>0.34560439079759098</v>
      </c>
      <c r="D146" s="4">
        <f>VALUE(SUBSTITUTE('1000_заявлений'!D140, ".", ","))</f>
        <v>0.12217975</v>
      </c>
      <c r="E146" s="4">
        <f>VALUE(SUBSTITUTE('1000_заявлений'!E140, ".", ","))</f>
        <v>0.45867913999999999</v>
      </c>
      <c r="F146" s="5">
        <f>VALUE(SUBSTITUTE('1000_заявлений'!F140, ".", ","))</f>
        <v>-3497</v>
      </c>
      <c r="G146" s="5">
        <f>VALUE(SUBSTITUTE('1000_заявлений'!G140, ".", ","))</f>
        <v>-8729</v>
      </c>
      <c r="H146" s="5">
        <f>VALUE(SUBSTITUTE('1000_заявлений'!H140, ".", ","))</f>
        <v>-278</v>
      </c>
      <c r="I146" s="4">
        <f>VALUE(SUBSTITUTE('1000_заявлений'!I140, ".", ","))</f>
        <v>0.17521999999999999</v>
      </c>
      <c r="J146" s="4">
        <f>VALUE(SUBSTITUTE('1000_заявлений'!J140, ".", ","))</f>
        <v>3.5736040808111298</v>
      </c>
      <c r="K146" s="5">
        <f>VALUE(SUBSTITUTE('1000_заявлений'!K140, ".", ","))</f>
        <v>-1060</v>
      </c>
      <c r="L146" s="6">
        <f>VALUE(SUBSTITUTE('1000_заявлений'!L140, ".", ","))</f>
        <v>39424.5</v>
      </c>
      <c r="M146" s="2" t="str">
        <f>IF(Данные[[#This Row],[proba]]&gt;$C$6, "отказ", "одобрение")</f>
        <v>отказ</v>
      </c>
      <c r="N146" s="7">
        <f>IF(Данные[[#This Row],[proba]]&lt;$D$2,$C$2,IF(Данные[[#This Row],[proba]]&lt;$D$3,$C$3,IF(Данные[[#This Row],[proba]]&gt;$C$6,0,$C$4)))</f>
        <v>0</v>
      </c>
      <c r="O146" s="2">
        <f>IF(Данные[[#This Row],[weighted_ext_score]]&gt;$O$1,MIN(Данные[[#This Row],[Базовая сумма]]*$O$2,$C$2),IF(Данные[[#This Row],[weighted_ext_score]]&lt;$O$3,Данные[[#This Row],[Базовая сумма]]*$O$4,N146))</f>
        <v>0</v>
      </c>
      <c r="P1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6" s="2">
        <f>ABS(Данные[[#This Row],[days_birth]])/365.2425</f>
        <v>23.899190264002684</v>
      </c>
      <c r="S1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6" s="2">
        <f>IF(Данные[[#This Row],[ interest_rate]]&gt;$T$1,Данные[[#This Row],[days_birth4]]*$T$2,Данные[[#This Row],[days_birth4]])</f>
        <v>0</v>
      </c>
      <c r="U146" s="2">
        <f>IF(Данные[[#This Row],[Проверка отказа]]="отказ",0,MAX(Данные[[#This Row],[interest_rate]],$C$1))</f>
        <v>0</v>
      </c>
      <c r="V146" s="2">
        <f>MROUND(Данные[[#This Row],[Минимум 20000]], 100)</f>
        <v>0</v>
      </c>
    </row>
    <row r="147" spans="1:22" x14ac:dyDescent="0.25">
      <c r="A147" s="2">
        <f>'1000_заявлений'!A141</f>
        <v>139</v>
      </c>
      <c r="B147" s="4">
        <f>VALUE(SUBSTITUTE('1000_заявлений'!B141, ".", ","))</f>
        <v>0.48961935905235798</v>
      </c>
      <c r="C147" s="4">
        <f>VALUE(SUBSTITUTE('1000_заявлений'!C141, ".", ","))</f>
        <v>0.46282776323740199</v>
      </c>
      <c r="D147" s="4">
        <f>VALUE(SUBSTITUTE('1000_заявлений'!D141, ".", ","))</f>
        <v>0.56560796000000002</v>
      </c>
      <c r="E147" s="4">
        <f>VALUE(SUBSTITUTE('1000_заявлений'!E141, ".", ","))</f>
        <v>0.39320846999999998</v>
      </c>
      <c r="F147" s="5">
        <f>VALUE(SUBSTITUTE('1000_заявлений'!F141, ".", ","))</f>
        <v>-11551</v>
      </c>
      <c r="G147" s="5">
        <f>VALUE(SUBSTITUTE('1000_заявлений'!G141, ".", ","))</f>
        <v>-11592</v>
      </c>
      <c r="H147" s="5">
        <f>VALUE(SUBSTITUTE('1000_заявлений'!H141, ".", ","))</f>
        <v>-579</v>
      </c>
      <c r="I147" s="4">
        <f>VALUE(SUBSTITUTE('1000_заявлений'!I141, ".", ","))</f>
        <v>0.19472</v>
      </c>
      <c r="J147" s="4">
        <f>VALUE(SUBSTITUTE('1000_заявлений'!J141, ".", ","))</f>
        <v>2.8029246753719899</v>
      </c>
      <c r="K147" s="5">
        <f>VALUE(SUBSTITUTE('1000_заявлений'!K141, ".", ","))</f>
        <v>-2253</v>
      </c>
      <c r="L147" s="6">
        <f>VALUE(SUBSTITUTE('1000_заявлений'!L141, ".", ","))</f>
        <v>21906</v>
      </c>
      <c r="M147" s="2" t="str">
        <f>IF(Данные[[#This Row],[proba]]&gt;$C$6, "отказ", "одобрение")</f>
        <v>отказ</v>
      </c>
      <c r="N147" s="7">
        <f>IF(Данные[[#This Row],[proba]]&lt;$D$2,$C$2,IF(Данные[[#This Row],[proba]]&lt;$D$3,$C$3,IF(Данные[[#This Row],[proba]]&gt;$C$6,0,$C$4)))</f>
        <v>0</v>
      </c>
      <c r="O147" s="2">
        <f>IF(Данные[[#This Row],[weighted_ext_score]]&gt;$O$1,MIN(Данные[[#This Row],[Базовая сумма]]*$O$2,$C$2),IF(Данные[[#This Row],[weighted_ext_score]]&lt;$O$3,Данные[[#This Row],[Базовая сумма]]*$O$4,N147))</f>
        <v>0</v>
      </c>
      <c r="P1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7" s="2">
        <f>ABS(Данные[[#This Row],[days_birth]])/365.2425</f>
        <v>31.737818025010778</v>
      </c>
      <c r="S1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7" s="2">
        <f>IF(Данные[[#This Row],[ interest_rate]]&gt;$T$1,Данные[[#This Row],[days_birth4]]*$T$2,Данные[[#This Row],[days_birth4]])</f>
        <v>0</v>
      </c>
      <c r="U147" s="2">
        <f>IF(Данные[[#This Row],[Проверка отказа]]="отказ",0,MAX(Данные[[#This Row],[interest_rate]],$C$1))</f>
        <v>0</v>
      </c>
      <c r="V147" s="2">
        <f>MROUND(Данные[[#This Row],[Минимум 20000]], 100)</f>
        <v>0</v>
      </c>
    </row>
    <row r="148" spans="1:22" x14ac:dyDescent="0.25">
      <c r="A148" s="2">
        <f>'1000_заявлений'!A142</f>
        <v>140</v>
      </c>
      <c r="B148" s="4">
        <f>VALUE(SUBSTITUTE('1000_заявлений'!B142, ".", ","))</f>
        <v>0.236173274901742</v>
      </c>
      <c r="C148" s="4">
        <f>VALUE(SUBSTITUTE('1000_заявлений'!C142, ".", ","))</f>
        <v>0.67747104052275597</v>
      </c>
      <c r="D148" s="4">
        <f>VALUE(SUBSTITUTE('1000_заявлений'!D142, ".", ","))</f>
        <v>0.8050197</v>
      </c>
      <c r="E148" s="4">
        <f>VALUE(SUBSTITUTE('1000_заявлений'!E142, ".", ","))</f>
        <v>0.44542009999999999</v>
      </c>
      <c r="F148" s="5">
        <f>VALUE(SUBSTITUTE('1000_заявлений'!F142, ".", ","))</f>
        <v>-6274</v>
      </c>
      <c r="G148" s="5">
        <f>VALUE(SUBSTITUTE('1000_заявлений'!G142, ".", ","))</f>
        <v>-14278</v>
      </c>
      <c r="H148" s="5">
        <f>VALUE(SUBSTITUTE('1000_заявлений'!H142, ".", ","))</f>
        <v>-4921</v>
      </c>
      <c r="I148" s="4">
        <f>VALUE(SUBSTITUTE('1000_заявлений'!I142, ".", ","))</f>
        <v>0.27183333333333298</v>
      </c>
      <c r="J148" s="4">
        <f>VALUE(SUBSTITUTE('1000_заявлений'!J142, ".", ","))</f>
        <v>0.365690780211336</v>
      </c>
      <c r="K148" s="5">
        <f>VALUE(SUBSTITUTE('1000_заявлений'!K142, ".", ","))</f>
        <v>-3282</v>
      </c>
      <c r="L148" s="6">
        <f>VALUE(SUBSTITUTE('1000_заявлений'!L142, ".", ","))</f>
        <v>36697.5</v>
      </c>
      <c r="M148" s="2" t="str">
        <f>IF(Данные[[#This Row],[proba]]&gt;$C$6, "отказ", "одобрение")</f>
        <v>одобрение</v>
      </c>
      <c r="N148" s="7">
        <f>IF(Данные[[#This Row],[proba]]&lt;$D$2,$C$2,IF(Данные[[#This Row],[proba]]&lt;$D$3,$C$3,IF(Данные[[#This Row],[proba]]&gt;$C$6,0,$C$4)))</f>
        <v>100000</v>
      </c>
      <c r="O148" s="2">
        <f>IF(Данные[[#This Row],[weighted_ext_score]]&gt;$O$1,MIN(Данные[[#This Row],[Базовая сумма]]*$O$2,$C$2),IF(Данные[[#This Row],[weighted_ext_score]]&lt;$O$3,Данные[[#This Row],[Базовая сумма]]*$O$4,N148))</f>
        <v>100000</v>
      </c>
      <c r="P1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48" s="2">
        <f>ABS(Данные[[#This Row],[days_birth]])/365.2425</f>
        <v>39.091836245781913</v>
      </c>
      <c r="S1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148" s="2">
        <f>IF(Данные[[#This Row],[ interest_rate]]&gt;$T$1,Данные[[#This Row],[days_birth4]]*$T$2,Данные[[#This Row],[days_birth4]])</f>
        <v>120000</v>
      </c>
      <c r="U148" s="2">
        <f>IF(Данные[[#This Row],[Проверка отказа]]="отказ",0,MAX(Данные[[#This Row],[interest_rate]],$C$1))</f>
        <v>120000</v>
      </c>
      <c r="V148" s="2">
        <f>MROUND(Данные[[#This Row],[Минимум 20000]], 100)</f>
        <v>120000</v>
      </c>
    </row>
    <row r="149" spans="1:22" x14ac:dyDescent="0.25">
      <c r="A149" s="2">
        <f>'1000_заявлений'!A143</f>
        <v>141</v>
      </c>
      <c r="B149" s="4">
        <f>VALUE(SUBSTITUTE('1000_заявлений'!B143, ".", ","))</f>
        <v>0.48543403424397702</v>
      </c>
      <c r="C149" s="4">
        <f>VALUE(SUBSTITUTE('1000_заявлений'!C143, ".", ","))</f>
        <v>0.28624396693762399</v>
      </c>
      <c r="D149" s="4">
        <f>VALUE(SUBSTITUTE('1000_заявлений'!D143, ".", ","))</f>
        <v>0.30467218000000001</v>
      </c>
      <c r="E149" s="4">
        <f>VALUE(SUBSTITUTE('1000_заявлений'!E143, ".", ","))</f>
        <v>0.54274679999999997</v>
      </c>
      <c r="F149" s="5">
        <f>VALUE(SUBSTITUTE('1000_заявлений'!F143, ".", ","))</f>
        <v>-9743</v>
      </c>
      <c r="G149" s="5">
        <f>VALUE(SUBSTITUTE('1000_заявлений'!G143, ".", ","))</f>
        <v>-22464</v>
      </c>
      <c r="H149" s="5">
        <f>VALUE(SUBSTITUTE('1000_заявлений'!H143, ".", ","))</f>
        <v>-4001</v>
      </c>
      <c r="I149" s="4">
        <f>VALUE(SUBSTITUTE('1000_заявлений'!I143, ".", ","))</f>
        <v>0.123945454545454</v>
      </c>
      <c r="J149" s="4">
        <f>VALUE(SUBSTITUTE('1000_заявлений'!J143, ".", ","))</f>
        <v>3.1611984847545802</v>
      </c>
      <c r="K149" s="5">
        <f>VALUE(SUBSTITUTE('1000_заявлений'!K143, ".", ","))</f>
        <v>365243</v>
      </c>
      <c r="L149" s="6">
        <f>VALUE(SUBSTITUTE('1000_заявлений'!L143, ".", ","))</f>
        <v>30676.5</v>
      </c>
      <c r="M149" s="2" t="str">
        <f>IF(Данные[[#This Row],[proba]]&gt;$C$6, "отказ", "одобрение")</f>
        <v>отказ</v>
      </c>
      <c r="N149" s="7">
        <f>IF(Данные[[#This Row],[proba]]&lt;$D$2,$C$2,IF(Данные[[#This Row],[proba]]&lt;$D$3,$C$3,IF(Данные[[#This Row],[proba]]&gt;$C$6,0,$C$4)))</f>
        <v>0</v>
      </c>
      <c r="O149" s="2">
        <f>IF(Данные[[#This Row],[weighted_ext_score]]&gt;$O$1,MIN(Данные[[#This Row],[Базовая сумма]]*$O$2,$C$2),IF(Данные[[#This Row],[weighted_ext_score]]&lt;$O$3,Данные[[#This Row],[Базовая сумма]]*$O$4,N149))</f>
        <v>0</v>
      </c>
      <c r="P1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49" s="2">
        <f>ABS(Данные[[#This Row],[days_birth]])/365.2425</f>
        <v>61.504343004989835</v>
      </c>
      <c r="S1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49" s="2">
        <f>IF(Данные[[#This Row],[ interest_rate]]&gt;$T$1,Данные[[#This Row],[days_birth4]]*$T$2,Данные[[#This Row],[days_birth4]])</f>
        <v>0</v>
      </c>
      <c r="U149" s="2">
        <f>IF(Данные[[#This Row],[Проверка отказа]]="отказ",0,MAX(Данные[[#This Row],[interest_rate]],$C$1))</f>
        <v>0</v>
      </c>
      <c r="V149" s="2">
        <f>MROUND(Данные[[#This Row],[Минимум 20000]], 100)</f>
        <v>0</v>
      </c>
    </row>
    <row r="150" spans="1:22" x14ac:dyDescent="0.25">
      <c r="A150" s="2">
        <f>'1000_заявлений'!A144</f>
        <v>142</v>
      </c>
      <c r="B150" s="4">
        <f>VALUE(SUBSTITUTE('1000_заявлений'!B144, ".", ","))</f>
        <v>0.36231316334586899</v>
      </c>
      <c r="C150" s="4">
        <f>VALUE(SUBSTITUTE('1000_заявлений'!C144, ".", ","))</f>
        <v>0.40002858258850998</v>
      </c>
      <c r="D150" s="4">
        <f>VALUE(SUBSTITUTE('1000_заявлений'!D144, ".", ","))</f>
        <v>0.44183581999999999</v>
      </c>
      <c r="E150" s="4">
        <f>VALUE(SUBSTITUTE('1000_заявлений'!E144, ".", ","))</f>
        <v>0.74059456999999995</v>
      </c>
      <c r="F150" s="5">
        <f>VALUE(SUBSTITUTE('1000_заявлений'!F144, ".", ","))</f>
        <v>-8827</v>
      </c>
      <c r="G150" s="5">
        <f>VALUE(SUBSTITUTE('1000_заявлений'!G144, ".", ","))</f>
        <v>-19368</v>
      </c>
      <c r="H150" s="5">
        <f>VALUE(SUBSTITUTE('1000_заявлений'!H144, ".", ","))</f>
        <v>-2784</v>
      </c>
      <c r="I150" s="4">
        <f>VALUE(SUBSTITUTE('1000_заявлений'!I144, ".", ","))</f>
        <v>0.11182</v>
      </c>
      <c r="J150" s="4">
        <f>VALUE(SUBSTITUTE('1000_заявлений'!J144, ".", ","))</f>
        <v>1.9258198119999901</v>
      </c>
      <c r="K150" s="5">
        <f>VALUE(SUBSTITUTE('1000_заявлений'!K144, ".", ","))</f>
        <v>-3018</v>
      </c>
      <c r="L150" s="6">
        <f>VALUE(SUBSTITUTE('1000_заявлений'!L144, ".", ","))</f>
        <v>25159.5</v>
      </c>
      <c r="M150" s="2" t="str">
        <f>IF(Данные[[#This Row],[proba]]&gt;$C$6, "отказ", "одобрение")</f>
        <v>отказ</v>
      </c>
      <c r="N150" s="7">
        <f>IF(Данные[[#This Row],[proba]]&lt;$D$2,$C$2,IF(Данные[[#This Row],[proba]]&lt;$D$3,$C$3,IF(Данные[[#This Row],[proba]]&gt;$C$6,0,$C$4)))</f>
        <v>0</v>
      </c>
      <c r="O150" s="2">
        <f>IF(Данные[[#This Row],[weighted_ext_score]]&gt;$O$1,MIN(Данные[[#This Row],[Базовая сумма]]*$O$2,$C$2),IF(Данные[[#This Row],[weighted_ext_score]]&lt;$O$3,Данные[[#This Row],[Базовая сумма]]*$O$4,N150))</f>
        <v>0</v>
      </c>
      <c r="P1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0" s="2">
        <f>ABS(Данные[[#This Row],[days_birth]])/365.2425</f>
        <v>53.027782911353412</v>
      </c>
      <c r="S1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0" s="2">
        <f>IF(Данные[[#This Row],[ interest_rate]]&gt;$T$1,Данные[[#This Row],[days_birth4]]*$T$2,Данные[[#This Row],[days_birth4]])</f>
        <v>0</v>
      </c>
      <c r="U150" s="2">
        <f>IF(Данные[[#This Row],[Проверка отказа]]="отказ",0,MAX(Данные[[#This Row],[interest_rate]],$C$1))</f>
        <v>0</v>
      </c>
      <c r="V150" s="2">
        <f>MROUND(Данные[[#This Row],[Минимум 20000]], 100)</f>
        <v>0</v>
      </c>
    </row>
    <row r="151" spans="1:22" x14ac:dyDescent="0.25">
      <c r="A151" s="2">
        <f>'1000_заявлений'!A145</f>
        <v>143</v>
      </c>
      <c r="B151" s="4">
        <f>VALUE(SUBSTITUTE('1000_заявлений'!B145, ".", ","))</f>
        <v>0.58384110032185998</v>
      </c>
      <c r="C151" s="4">
        <f>VALUE(SUBSTITUTE('1000_заявлений'!C145, ".", ","))</f>
        <v>0.309001910208062</v>
      </c>
      <c r="D151" s="4">
        <f>VALUE(SUBSTITUTE('1000_заявлений'!D145, ".", ","))</f>
        <v>0.30467218000000001</v>
      </c>
      <c r="E151" s="4">
        <f>VALUE(SUBSTITUTE('1000_заявлений'!E145, ".", ","))</f>
        <v>0.44241871999999999</v>
      </c>
      <c r="F151" s="5">
        <f>VALUE(SUBSTITUTE('1000_заявлений'!F145, ".", ","))</f>
        <v>-10010</v>
      </c>
      <c r="G151" s="5">
        <f>VALUE(SUBSTITUTE('1000_заявлений'!G145, ".", ","))</f>
        <v>-18919</v>
      </c>
      <c r="H151" s="5">
        <f>VALUE(SUBSTITUTE('1000_заявлений'!H145, ".", ","))</f>
        <v>-671</v>
      </c>
      <c r="I151" s="4">
        <f>VALUE(SUBSTITUTE('1000_заявлений'!I145, ".", ","))</f>
        <v>0.17514285714285699</v>
      </c>
      <c r="J151" s="4">
        <f>VALUE(SUBSTITUTE('1000_заявлений'!J145, ".", ","))</f>
        <v>4.0182967010297297</v>
      </c>
      <c r="K151" s="5">
        <f>VALUE(SUBSTITUTE('1000_заявлений'!K145, ".", ","))</f>
        <v>365243</v>
      </c>
      <c r="L151" s="6">
        <f>VALUE(SUBSTITUTE('1000_заявлений'!L145, ".", ","))</f>
        <v>22068</v>
      </c>
      <c r="M151" s="2" t="str">
        <f>IF(Данные[[#This Row],[proba]]&gt;$C$6, "отказ", "одобрение")</f>
        <v>отказ</v>
      </c>
      <c r="N151" s="7">
        <f>IF(Данные[[#This Row],[proba]]&lt;$D$2,$C$2,IF(Данные[[#This Row],[proba]]&lt;$D$3,$C$3,IF(Данные[[#This Row],[proba]]&gt;$C$6,0,$C$4)))</f>
        <v>0</v>
      </c>
      <c r="O151" s="2">
        <f>IF(Данные[[#This Row],[weighted_ext_score]]&gt;$O$1,MIN(Данные[[#This Row],[Базовая сумма]]*$O$2,$C$2),IF(Данные[[#This Row],[weighted_ext_score]]&lt;$O$3,Данные[[#This Row],[Базовая сумма]]*$O$4,N151))</f>
        <v>0</v>
      </c>
      <c r="P1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1" s="2">
        <f>ABS(Данные[[#This Row],[days_birth]])/365.2425</f>
        <v>51.798462665215574</v>
      </c>
      <c r="S1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1" s="2">
        <f>IF(Данные[[#This Row],[ interest_rate]]&gt;$T$1,Данные[[#This Row],[days_birth4]]*$T$2,Данные[[#This Row],[days_birth4]])</f>
        <v>0</v>
      </c>
      <c r="U151" s="2">
        <f>IF(Данные[[#This Row],[Проверка отказа]]="отказ",0,MAX(Данные[[#This Row],[interest_rate]],$C$1))</f>
        <v>0</v>
      </c>
      <c r="V151" s="2">
        <f>MROUND(Данные[[#This Row],[Минимум 20000]], 100)</f>
        <v>0</v>
      </c>
    </row>
    <row r="152" spans="1:22" x14ac:dyDescent="0.25">
      <c r="A152" s="2">
        <f>'1000_заявлений'!A146</f>
        <v>144</v>
      </c>
      <c r="B152" s="4">
        <f>VALUE(SUBSTITUTE('1000_заявлений'!B146, ".", ","))</f>
        <v>0.54547950233132803</v>
      </c>
      <c r="C152" s="4">
        <f>VALUE(SUBSTITUTE('1000_заявлений'!C146, ".", ","))</f>
        <v>0.44688231060398098</v>
      </c>
      <c r="D152" s="4">
        <f>VALUE(SUBSTITUTE('1000_заявлений'!D146, ".", ","))</f>
        <v>0.45610972999999999</v>
      </c>
      <c r="E152" s="4">
        <f>VALUE(SUBSTITUTE('1000_заявлений'!E146, ".", ","))</f>
        <v>0.47097254</v>
      </c>
      <c r="F152" s="5">
        <f>VALUE(SUBSTITUTE('1000_заявлений'!F146, ".", ","))</f>
        <v>-1569</v>
      </c>
      <c r="G152" s="5">
        <f>VALUE(SUBSTITUTE('1000_заявлений'!G146, ".", ","))</f>
        <v>-12215</v>
      </c>
      <c r="H152" s="5">
        <f>VALUE(SUBSTITUTE('1000_заявлений'!H146, ".", ","))</f>
        <v>-2757</v>
      </c>
      <c r="I152" s="4">
        <f>VALUE(SUBSTITUTE('1000_заявлений'!I146, ".", ","))</f>
        <v>0.32479999999999998</v>
      </c>
      <c r="J152" s="4">
        <f>VALUE(SUBSTITUTE('1000_заявлений'!J146, ".", ","))</f>
        <v>6.3048776243870197</v>
      </c>
      <c r="K152" s="5">
        <f>VALUE(SUBSTITUTE('1000_заявлений'!K146, ".", ","))</f>
        <v>-1449</v>
      </c>
      <c r="L152" s="6">
        <f>VALUE(SUBSTITUTE('1000_заявлений'!L146, ".", ","))</f>
        <v>14616</v>
      </c>
      <c r="M152" s="2" t="str">
        <f>IF(Данные[[#This Row],[proba]]&gt;$C$6, "отказ", "одобрение")</f>
        <v>отказ</v>
      </c>
      <c r="N152" s="7">
        <f>IF(Данные[[#This Row],[proba]]&lt;$D$2,$C$2,IF(Данные[[#This Row],[proba]]&lt;$D$3,$C$3,IF(Данные[[#This Row],[proba]]&gt;$C$6,0,$C$4)))</f>
        <v>0</v>
      </c>
      <c r="O152" s="2">
        <f>IF(Данные[[#This Row],[weighted_ext_score]]&gt;$O$1,MIN(Данные[[#This Row],[Базовая сумма]]*$O$2,$C$2),IF(Данные[[#This Row],[weighted_ext_score]]&lt;$O$3,Данные[[#This Row],[Базовая сумма]]*$O$4,N152))</f>
        <v>0</v>
      </c>
      <c r="P1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2" s="2">
        <f>ABS(Данные[[#This Row],[days_birth]])/365.2425</f>
        <v>33.443534090364622</v>
      </c>
      <c r="S1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2" s="2">
        <f>IF(Данные[[#This Row],[ interest_rate]]&gt;$T$1,Данные[[#This Row],[days_birth4]]*$T$2,Данные[[#This Row],[days_birth4]])</f>
        <v>0</v>
      </c>
      <c r="U152" s="2">
        <f>IF(Данные[[#This Row],[Проверка отказа]]="отказ",0,MAX(Данные[[#This Row],[interest_rate]],$C$1))</f>
        <v>0</v>
      </c>
      <c r="V152" s="2">
        <f>MROUND(Данные[[#This Row],[Минимум 20000]], 100)</f>
        <v>0</v>
      </c>
    </row>
    <row r="153" spans="1:22" x14ac:dyDescent="0.25">
      <c r="A153" s="2">
        <f>'1000_заявлений'!A147</f>
        <v>145</v>
      </c>
      <c r="B153" s="4">
        <f>VALUE(SUBSTITUTE('1000_заявлений'!B147, ".", ","))</f>
        <v>0.51347117452270996</v>
      </c>
      <c r="C153" s="4">
        <f>VALUE(SUBSTITUTE('1000_заявлений'!C147, ".", ","))</f>
        <v>0.46938875705980898</v>
      </c>
      <c r="D153" s="4">
        <f>VALUE(SUBSTITUTE('1000_заявлений'!D147, ".", ","))</f>
        <v>0.23661082999999999</v>
      </c>
      <c r="E153" s="4">
        <f>VALUE(SUBSTITUTE('1000_заявлений'!E147, ".", ","))</f>
        <v>0.72028786</v>
      </c>
      <c r="F153" s="5">
        <f>VALUE(SUBSTITUTE('1000_заявлений'!F147, ".", ","))</f>
        <v>-1403</v>
      </c>
      <c r="G153" s="5">
        <f>VALUE(SUBSTITUTE('1000_заявлений'!G147, ".", ","))</f>
        <v>-12343</v>
      </c>
      <c r="H153" s="5">
        <f>VALUE(SUBSTITUTE('1000_заявлений'!H147, ".", ","))</f>
        <v>-3769</v>
      </c>
      <c r="I153" s="4">
        <f>VALUE(SUBSTITUTE('1000_заявлений'!I147, ".", ","))</f>
        <v>0.228679245283018</v>
      </c>
      <c r="J153" s="4">
        <f>VALUE(SUBSTITUTE('1000_заявлений'!J147, ".", ","))</f>
        <v>0.64317479737601102</v>
      </c>
      <c r="K153" s="5">
        <f>VALUE(SUBSTITUTE('1000_заявлений'!K147, ".", ","))</f>
        <v>-1799</v>
      </c>
      <c r="L153" s="6">
        <f>VALUE(SUBSTITUTE('1000_заявлений'!L147, ".", ","))</f>
        <v>54540</v>
      </c>
      <c r="M153" s="2" t="str">
        <f>IF(Данные[[#This Row],[proba]]&gt;$C$6, "отказ", "одобрение")</f>
        <v>отказ</v>
      </c>
      <c r="N153" s="7">
        <f>IF(Данные[[#This Row],[proba]]&lt;$D$2,$C$2,IF(Данные[[#This Row],[proba]]&lt;$D$3,$C$3,IF(Данные[[#This Row],[proba]]&gt;$C$6,0,$C$4)))</f>
        <v>0</v>
      </c>
      <c r="O153" s="2">
        <f>IF(Данные[[#This Row],[weighted_ext_score]]&gt;$O$1,MIN(Данные[[#This Row],[Базовая сумма]]*$O$2,$C$2),IF(Данные[[#This Row],[weighted_ext_score]]&lt;$O$3,Данные[[#This Row],[Базовая сумма]]*$O$4,N153))</f>
        <v>0</v>
      </c>
      <c r="P1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3" s="2">
        <f>ABS(Данные[[#This Row],[days_birth]])/365.2425</f>
        <v>33.793986187259151</v>
      </c>
      <c r="S1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3" s="2">
        <f>IF(Данные[[#This Row],[ interest_rate]]&gt;$T$1,Данные[[#This Row],[days_birth4]]*$T$2,Данные[[#This Row],[days_birth4]])</f>
        <v>0</v>
      </c>
      <c r="U153" s="2">
        <f>IF(Данные[[#This Row],[Проверка отказа]]="отказ",0,MAX(Данные[[#This Row],[interest_rate]],$C$1))</f>
        <v>0</v>
      </c>
      <c r="V153" s="2">
        <f>MROUND(Данные[[#This Row],[Минимум 20000]], 100)</f>
        <v>0</v>
      </c>
    </row>
    <row r="154" spans="1:22" x14ac:dyDescent="0.25">
      <c r="A154" s="2">
        <f>'1000_заявлений'!A148</f>
        <v>146</v>
      </c>
      <c r="B154" s="4">
        <f>VALUE(SUBSTITUTE('1000_заявлений'!B148, ".", ","))</f>
        <v>0.27371933174743301</v>
      </c>
      <c r="C154" s="4">
        <f>VALUE(SUBSTITUTE('1000_заявлений'!C148, ".", ","))</f>
        <v>0.56588298307508</v>
      </c>
      <c r="D154" s="4">
        <f>VALUE(SUBSTITUTE('1000_заявлений'!D148, ".", ","))</f>
        <v>0.6769925</v>
      </c>
      <c r="E154" s="4">
        <f>VALUE(SUBSTITUTE('1000_заявлений'!E148, ".", ","))</f>
        <v>0.5410857</v>
      </c>
      <c r="F154" s="5">
        <f>VALUE(SUBSTITUTE('1000_заявлений'!F148, ".", ","))</f>
        <v>-1542</v>
      </c>
      <c r="G154" s="5">
        <f>VALUE(SUBSTITUTE('1000_заявлений'!G148, ".", ","))</f>
        <v>-19688</v>
      </c>
      <c r="H154" s="5">
        <f>VALUE(SUBSTITUTE('1000_заявлений'!H148, ".", ","))</f>
        <v>-3237</v>
      </c>
      <c r="I154" s="4">
        <f>VALUE(SUBSTITUTE('1000_заявлений'!I148, ".", ","))</f>
        <v>0.26197142857142802</v>
      </c>
      <c r="J154" s="4">
        <f>VALUE(SUBSTITUTE('1000_заявлений'!J148, ".", ","))</f>
        <v>4.1078608391877003</v>
      </c>
      <c r="K154" s="5">
        <f>VALUE(SUBSTITUTE('1000_заявлений'!K148, ".", ","))</f>
        <v>-2171</v>
      </c>
      <c r="L154" s="6">
        <f>VALUE(SUBSTITUTE('1000_заявлений'!L148, ".", ","))</f>
        <v>41260.5</v>
      </c>
      <c r="M154" s="2" t="str">
        <f>IF(Данные[[#This Row],[proba]]&gt;$C$6, "отказ", "одобрение")</f>
        <v>одобрение</v>
      </c>
      <c r="N154" s="7">
        <f>IF(Данные[[#This Row],[proba]]&lt;$D$2,$C$2,IF(Данные[[#This Row],[proba]]&lt;$D$3,$C$3,IF(Данные[[#This Row],[proba]]&gt;$C$6,0,$C$4)))</f>
        <v>100000</v>
      </c>
      <c r="O154" s="2">
        <f>IF(Данные[[#This Row],[weighted_ext_score]]&gt;$O$1,MIN(Данные[[#This Row],[Базовая сумма]]*$O$2,$C$2),IF(Данные[[#This Row],[weighted_ext_score]]&lt;$O$3,Данные[[#This Row],[Базовая сумма]]*$O$4,N154))</f>
        <v>100000</v>
      </c>
      <c r="P1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54" s="2">
        <f>ABS(Данные[[#This Row],[days_birth]])/365.2425</f>
        <v>53.903913153589734</v>
      </c>
      <c r="S1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54" s="2">
        <f>IF(Данные[[#This Row],[ interest_rate]]&gt;$T$1,Данные[[#This Row],[days_birth4]]*$T$2,Данные[[#This Row],[days_birth4]])</f>
        <v>126000</v>
      </c>
      <c r="U154" s="2">
        <f>IF(Данные[[#This Row],[Проверка отказа]]="отказ",0,MAX(Данные[[#This Row],[interest_rate]],$C$1))</f>
        <v>126000</v>
      </c>
      <c r="V154" s="2">
        <f>MROUND(Данные[[#This Row],[Минимум 20000]], 100)</f>
        <v>126000</v>
      </c>
    </row>
    <row r="155" spans="1:22" x14ac:dyDescent="0.25">
      <c r="A155" s="2">
        <f>'1000_заявлений'!A149</f>
        <v>147</v>
      </c>
      <c r="B155" s="4">
        <f>VALUE(SUBSTITUTE('1000_заявлений'!B149, ".", ","))</f>
        <v>0.57073614046868504</v>
      </c>
      <c r="C155" s="4">
        <f>VALUE(SUBSTITUTE('1000_заявлений'!C149, ".", ","))</f>
        <v>0.28535549747441602</v>
      </c>
      <c r="D155" s="4">
        <f>VALUE(SUBSTITUTE('1000_заявлений'!D149, ".", ","))</f>
        <v>0.37910047000000002</v>
      </c>
      <c r="E155" s="4">
        <f>VALUE(SUBSTITUTE('1000_заявлений'!E149, ".", ","))</f>
        <v>0.45702359999999997</v>
      </c>
      <c r="F155" s="5">
        <f>VALUE(SUBSTITUTE('1000_заявлений'!F149, ".", ","))</f>
        <v>-1296</v>
      </c>
      <c r="G155" s="5">
        <f>VALUE(SUBSTITUTE('1000_заявлений'!G149, ".", ","))</f>
        <v>-17368</v>
      </c>
      <c r="H155" s="5">
        <f>VALUE(SUBSTITUTE('1000_заявлений'!H149, ".", ","))</f>
        <v>-880</v>
      </c>
      <c r="I155" s="4">
        <f>VALUE(SUBSTITUTE('1000_заявлений'!I149, ".", ","))</f>
        <v>7.3418181818181799E-2</v>
      </c>
      <c r="J155" s="4">
        <f>VALUE(SUBSTITUTE('1000_заявлений'!J149, ".", ","))</f>
        <v>8.76645358415524</v>
      </c>
      <c r="K155" s="5">
        <f>VALUE(SUBSTITUTE('1000_заявлений'!K149, ".", ","))</f>
        <v>-2540</v>
      </c>
      <c r="L155" s="6">
        <f>VALUE(SUBSTITUTE('1000_заявлений'!L149, ".", ","))</f>
        <v>18171</v>
      </c>
      <c r="M155" s="2" t="str">
        <f>IF(Данные[[#This Row],[proba]]&gt;$C$6, "отказ", "одобрение")</f>
        <v>отказ</v>
      </c>
      <c r="N155" s="7">
        <f>IF(Данные[[#This Row],[proba]]&lt;$D$2,$C$2,IF(Данные[[#This Row],[proba]]&lt;$D$3,$C$3,IF(Данные[[#This Row],[proba]]&gt;$C$6,0,$C$4)))</f>
        <v>0</v>
      </c>
      <c r="O155" s="2">
        <f>IF(Данные[[#This Row],[weighted_ext_score]]&gt;$O$1,MIN(Данные[[#This Row],[Базовая сумма]]*$O$2,$C$2),IF(Данные[[#This Row],[weighted_ext_score]]&lt;$O$3,Данные[[#This Row],[Базовая сумма]]*$O$4,N155))</f>
        <v>0</v>
      </c>
      <c r="P1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5" s="2">
        <f>ABS(Данные[[#This Row],[days_birth]])/365.2425</f>
        <v>47.551968897376398</v>
      </c>
      <c r="S1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5" s="2">
        <f>IF(Данные[[#This Row],[ interest_rate]]&gt;$T$1,Данные[[#This Row],[days_birth4]]*$T$2,Данные[[#This Row],[days_birth4]])</f>
        <v>0</v>
      </c>
      <c r="U155" s="2">
        <f>IF(Данные[[#This Row],[Проверка отказа]]="отказ",0,MAX(Данные[[#This Row],[interest_rate]],$C$1))</f>
        <v>0</v>
      </c>
      <c r="V155" s="2">
        <f>MROUND(Данные[[#This Row],[Минимум 20000]], 100)</f>
        <v>0</v>
      </c>
    </row>
    <row r="156" spans="1:22" x14ac:dyDescent="0.25">
      <c r="A156" s="2">
        <f>'1000_заявлений'!A150</f>
        <v>148</v>
      </c>
      <c r="B156" s="4">
        <f>VALUE(SUBSTITUTE('1000_заявлений'!B150, ".", ","))</f>
        <v>0.38510933972067102</v>
      </c>
      <c r="C156" s="4">
        <f>VALUE(SUBSTITUTE('1000_заявлений'!C150, ".", ","))</f>
        <v>0.48564216057956999</v>
      </c>
      <c r="D156" s="4">
        <f>VALUE(SUBSTITUTE('1000_заявлений'!D150, ".", ","))</f>
        <v>0.3457848</v>
      </c>
      <c r="E156" s="4">
        <f>VALUE(SUBSTITUTE('1000_заявлений'!E150, ".", ","))</f>
        <v>0.60591819999999996</v>
      </c>
      <c r="F156" s="5">
        <f>VALUE(SUBSTITUTE('1000_заявлений'!F150, ".", ","))</f>
        <v>-7217</v>
      </c>
      <c r="G156" s="5">
        <f>VALUE(SUBSTITUTE('1000_заявлений'!G150, ".", ","))</f>
        <v>-14984</v>
      </c>
      <c r="H156" s="5">
        <f>VALUE(SUBSTITUTE('1000_заявлений'!H150, ".", ","))</f>
        <v>-5181</v>
      </c>
      <c r="I156" s="4">
        <f>VALUE(SUBSTITUTE('1000_заявлений'!I150, ".", ","))</f>
        <v>0.1</v>
      </c>
      <c r="J156" s="4">
        <f>VALUE(SUBSTITUTE('1000_заявлений'!J150, ".", ","))</f>
        <v>10.6209759779781</v>
      </c>
      <c r="K156" s="5">
        <f>VALUE(SUBSTITUTE('1000_заявлений'!K150, ".", ","))</f>
        <v>-3165</v>
      </c>
      <c r="L156" s="6">
        <f>VALUE(SUBSTITUTE('1000_заявлений'!L150, ".", ","))</f>
        <v>24750</v>
      </c>
      <c r="M156" s="2" t="str">
        <f>IF(Данные[[#This Row],[proba]]&gt;$C$6, "отказ", "одобрение")</f>
        <v>отказ</v>
      </c>
      <c r="N156" s="7">
        <f>IF(Данные[[#This Row],[proba]]&lt;$D$2,$C$2,IF(Данные[[#This Row],[proba]]&lt;$D$3,$C$3,IF(Данные[[#This Row],[proba]]&gt;$C$6,0,$C$4)))</f>
        <v>0</v>
      </c>
      <c r="O156" s="2">
        <f>IF(Данные[[#This Row],[weighted_ext_score]]&gt;$O$1,MIN(Данные[[#This Row],[Базовая сумма]]*$O$2,$C$2),IF(Данные[[#This Row],[weighted_ext_score]]&lt;$O$3,Данные[[#This Row],[Базовая сумма]]*$O$4,N156))</f>
        <v>0</v>
      </c>
      <c r="P1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6" s="2">
        <f>ABS(Данные[[#This Row],[days_birth]])/365.2425</f>
        <v>41.024798592715797</v>
      </c>
      <c r="S1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6" s="2">
        <f>IF(Данные[[#This Row],[ interest_rate]]&gt;$T$1,Данные[[#This Row],[days_birth4]]*$T$2,Данные[[#This Row],[days_birth4]])</f>
        <v>0</v>
      </c>
      <c r="U156" s="2">
        <f>IF(Данные[[#This Row],[Проверка отказа]]="отказ",0,MAX(Данные[[#This Row],[interest_rate]],$C$1))</f>
        <v>0</v>
      </c>
      <c r="V156" s="2">
        <f>MROUND(Данные[[#This Row],[Минимум 20000]], 100)</f>
        <v>0</v>
      </c>
    </row>
    <row r="157" spans="1:22" x14ac:dyDescent="0.25">
      <c r="A157" s="2">
        <f>'1000_заявлений'!A151</f>
        <v>149</v>
      </c>
      <c r="B157" s="4">
        <f>VALUE(SUBSTITUTE('1000_заявлений'!B151, ".", ","))</f>
        <v>0.20139309324143301</v>
      </c>
      <c r="C157" s="4">
        <f>VALUE(SUBSTITUTE('1000_заявлений'!C151, ".", ","))</f>
        <v>0.663387389824591</v>
      </c>
      <c r="D157" s="4">
        <f>VALUE(SUBSTITUTE('1000_заявлений'!D151, ".", ","))</f>
        <v>0.72527640000000004</v>
      </c>
      <c r="E157" s="4">
        <f>VALUE(SUBSTITUTE('1000_заявлений'!E151, ".", ","))</f>
        <v>0.64895360000000002</v>
      </c>
      <c r="F157" s="5">
        <f>VALUE(SUBSTITUTE('1000_заявлений'!F151, ".", ","))</f>
        <v>-5192</v>
      </c>
      <c r="G157" s="5">
        <f>VALUE(SUBSTITUTE('1000_заявлений'!G151, ".", ","))</f>
        <v>-12649</v>
      </c>
      <c r="H157" s="5">
        <f>VALUE(SUBSTITUTE('1000_заявлений'!H151, ".", ","))</f>
        <v>-3498</v>
      </c>
      <c r="I157" s="4">
        <f>VALUE(SUBSTITUTE('1000_заявлений'!I151, ".", ","))</f>
        <v>0.116184615384615</v>
      </c>
      <c r="J157" s="4">
        <f>VALUE(SUBSTITUTE('1000_заявлений'!J151, ".", ","))</f>
        <v>0.14529046441096299</v>
      </c>
      <c r="K157" s="5">
        <f>VALUE(SUBSTITUTE('1000_заявлений'!K151, ".", ","))</f>
        <v>-1167</v>
      </c>
      <c r="L157" s="6">
        <f>VALUE(SUBSTITUTE('1000_заявлений'!L151, ".", ","))</f>
        <v>33984</v>
      </c>
      <c r="M157" s="2" t="str">
        <f>IF(Данные[[#This Row],[proba]]&gt;$C$6, "отказ", "одобрение")</f>
        <v>одобрение</v>
      </c>
      <c r="N157" s="7">
        <f>IF(Данные[[#This Row],[proba]]&lt;$D$2,$C$2,IF(Данные[[#This Row],[proba]]&lt;$D$3,$C$3,IF(Данные[[#This Row],[proba]]&gt;$C$6,0,$C$4)))</f>
        <v>100000</v>
      </c>
      <c r="O157" s="2">
        <f>IF(Данные[[#This Row],[weighted_ext_score]]&gt;$O$1,MIN(Данные[[#This Row],[Базовая сумма]]*$O$2,$C$2),IF(Данные[[#This Row],[weighted_ext_score]]&lt;$O$3,Данные[[#This Row],[Базовая сумма]]*$O$4,N157))</f>
        <v>100000</v>
      </c>
      <c r="P1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57" s="2">
        <f>ABS(Данные[[#This Row],[days_birth]])/365.2425</f>
        <v>34.631785731397635</v>
      </c>
      <c r="S1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157" s="2">
        <f>IF(Данные[[#This Row],[ interest_rate]]&gt;$T$1,Данные[[#This Row],[days_birth4]]*$T$2,Данные[[#This Row],[days_birth4]])</f>
        <v>84000</v>
      </c>
      <c r="U157" s="2">
        <f>IF(Данные[[#This Row],[Проверка отказа]]="отказ",0,MAX(Данные[[#This Row],[interest_rate]],$C$1))</f>
        <v>84000</v>
      </c>
      <c r="V157" s="2">
        <f>MROUND(Данные[[#This Row],[Минимум 20000]], 100)</f>
        <v>84000</v>
      </c>
    </row>
    <row r="158" spans="1:22" x14ac:dyDescent="0.25">
      <c r="A158" s="2">
        <f>'1000_заявлений'!A152</f>
        <v>150</v>
      </c>
      <c r="B158" s="4">
        <f>VALUE(SUBSTITUTE('1000_заявлений'!B152, ".", ","))</f>
        <v>0.25336923744969497</v>
      </c>
      <c r="C158" s="4">
        <f>VALUE(SUBSTITUTE('1000_заявлений'!C152, ".", ","))</f>
        <v>0.46695584944804203</v>
      </c>
      <c r="D158" s="4">
        <f>VALUE(SUBSTITUTE('1000_заявлений'!D152, ".", ","))</f>
        <v>0.68326885000000004</v>
      </c>
      <c r="E158" s="4">
        <f>VALUE(SUBSTITUTE('1000_заявлений'!E152, ".", ","))</f>
        <v>0.67773324000000001</v>
      </c>
      <c r="F158" s="5">
        <f>VALUE(SUBSTITUTE('1000_заявлений'!F152, ".", ","))</f>
        <v>-9404</v>
      </c>
      <c r="G158" s="5">
        <f>VALUE(SUBSTITUTE('1000_заявлений'!G152, ".", ","))</f>
        <v>-11676</v>
      </c>
      <c r="H158" s="5">
        <f>VALUE(SUBSTITUTE('1000_заявлений'!H152, ".", ","))</f>
        <v>-3965</v>
      </c>
      <c r="I158" s="4">
        <f>VALUE(SUBSTITUTE('1000_заявлений'!I152, ".", ","))</f>
        <v>0.12673999999999999</v>
      </c>
      <c r="J158" s="4">
        <f>VALUE(SUBSTITUTE('1000_заявлений'!J152, ".", ","))</f>
        <v>6.6588028389767899</v>
      </c>
      <c r="K158" s="5">
        <f>VALUE(SUBSTITUTE('1000_заявлений'!K152, ".", ","))</f>
        <v>-1216</v>
      </c>
      <c r="L158" s="6">
        <f>VALUE(SUBSTITUTE('1000_заявлений'!L152, ".", ","))</f>
        <v>28516.5</v>
      </c>
      <c r="M158" s="2" t="str">
        <f>IF(Данные[[#This Row],[proba]]&gt;$C$6, "отказ", "одобрение")</f>
        <v>одобрение</v>
      </c>
      <c r="N158" s="7">
        <f>IF(Данные[[#This Row],[proba]]&lt;$D$2,$C$2,IF(Данные[[#This Row],[proba]]&lt;$D$3,$C$3,IF(Данные[[#This Row],[proba]]&gt;$C$6,0,$C$4)))</f>
        <v>100000</v>
      </c>
      <c r="O158" s="2">
        <f>IF(Данные[[#This Row],[weighted_ext_score]]&gt;$O$1,MIN(Данные[[#This Row],[Базовая сумма]]*$O$2,$C$2),IF(Данные[[#This Row],[weighted_ext_score]]&lt;$O$3,Данные[[#This Row],[Базовая сумма]]*$O$4,N158))</f>
        <v>100000</v>
      </c>
      <c r="P1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58" s="2">
        <f>ABS(Данные[[#This Row],[days_birth]])/365.2425</f>
        <v>31.967802213597814</v>
      </c>
      <c r="S1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158" s="2">
        <f>IF(Данные[[#This Row],[ interest_rate]]&gt;$T$1,Данные[[#This Row],[days_birth4]]*$T$2,Данные[[#This Row],[days_birth4]])</f>
        <v>84000</v>
      </c>
      <c r="U158" s="2">
        <f>IF(Данные[[#This Row],[Проверка отказа]]="отказ",0,MAX(Данные[[#This Row],[interest_rate]],$C$1))</f>
        <v>84000</v>
      </c>
      <c r="V158" s="2">
        <f>MROUND(Данные[[#This Row],[Минимум 20000]], 100)</f>
        <v>84000</v>
      </c>
    </row>
    <row r="159" spans="1:22" x14ac:dyDescent="0.25">
      <c r="A159" s="2">
        <f>'1000_заявлений'!A153</f>
        <v>151</v>
      </c>
      <c r="B159" s="4">
        <f>VALUE(SUBSTITUTE('1000_заявлений'!B153, ".", ","))</f>
        <v>0.45811161755133301</v>
      </c>
      <c r="C159" s="4">
        <f>VALUE(SUBSTITUTE('1000_заявлений'!C153, ".", ","))</f>
        <v>0.337471486968481</v>
      </c>
      <c r="D159" s="4">
        <f>VALUE(SUBSTITUTE('1000_заявлений'!D153, ".", ","))</f>
        <v>0.51369374999999995</v>
      </c>
      <c r="E159" s="4">
        <f>VALUE(SUBSTITUTE('1000_заявлений'!E153, ".", ","))</f>
        <v>0.46762308000000002</v>
      </c>
      <c r="F159" s="5">
        <f>VALUE(SUBSTITUTE('1000_заявлений'!F153, ".", ","))</f>
        <v>-10656</v>
      </c>
      <c r="G159" s="5">
        <f>VALUE(SUBSTITUTE('1000_заявлений'!G153, ".", ","))</f>
        <v>-22864</v>
      </c>
      <c r="H159" s="5">
        <f>VALUE(SUBSTITUTE('1000_заявлений'!H153, ".", ","))</f>
        <v>-4497</v>
      </c>
      <c r="I159" s="4">
        <f>VALUE(SUBSTITUTE('1000_заявлений'!I153, ".", ","))</f>
        <v>0.29190909090909001</v>
      </c>
      <c r="J159" s="4">
        <f>VALUE(SUBSTITUTE('1000_заявлений'!J153, ".", ","))</f>
        <v>4.5372820847421096</v>
      </c>
      <c r="K159" s="5">
        <f>VALUE(SUBSTITUTE('1000_заявлений'!K153, ".", ","))</f>
        <v>-381</v>
      </c>
      <c r="L159" s="6">
        <f>VALUE(SUBSTITUTE('1000_заявлений'!L153, ".", ","))</f>
        <v>28899</v>
      </c>
      <c r="M159" s="2" t="str">
        <f>IF(Данные[[#This Row],[proba]]&gt;$C$6, "отказ", "одобрение")</f>
        <v>отказ</v>
      </c>
      <c r="N159" s="7">
        <f>IF(Данные[[#This Row],[proba]]&lt;$D$2,$C$2,IF(Данные[[#This Row],[proba]]&lt;$D$3,$C$3,IF(Данные[[#This Row],[proba]]&gt;$C$6,0,$C$4)))</f>
        <v>0</v>
      </c>
      <c r="O159" s="2">
        <f>IF(Данные[[#This Row],[weighted_ext_score]]&gt;$O$1,MIN(Данные[[#This Row],[Базовая сумма]]*$O$2,$C$2),IF(Данные[[#This Row],[weighted_ext_score]]&lt;$O$3,Данные[[#This Row],[Базовая сумма]]*$O$4,N159))</f>
        <v>0</v>
      </c>
      <c r="P1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59" s="2">
        <f>ABS(Данные[[#This Row],[days_birth]])/365.2425</f>
        <v>62.599505807785235</v>
      </c>
      <c r="S1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59" s="2">
        <f>IF(Данные[[#This Row],[ interest_rate]]&gt;$T$1,Данные[[#This Row],[days_birth4]]*$T$2,Данные[[#This Row],[days_birth4]])</f>
        <v>0</v>
      </c>
      <c r="U159" s="2">
        <f>IF(Данные[[#This Row],[Проверка отказа]]="отказ",0,MAX(Данные[[#This Row],[interest_rate]],$C$1))</f>
        <v>0</v>
      </c>
      <c r="V159" s="2">
        <f>MROUND(Данные[[#This Row],[Минимум 20000]], 100)</f>
        <v>0</v>
      </c>
    </row>
    <row r="160" spans="1:22" x14ac:dyDescent="0.25">
      <c r="A160" s="2">
        <f>'1000_заявлений'!A154</f>
        <v>152</v>
      </c>
      <c r="B160" s="4">
        <f>VALUE(SUBSTITUTE('1000_заявлений'!B154, ".", ","))</f>
        <v>0.37007090523751501</v>
      </c>
      <c r="C160" s="4">
        <f>VALUE(SUBSTITUTE('1000_заявлений'!C154, ".", ","))</f>
        <v>0.48207585490065702</v>
      </c>
      <c r="D160" s="4">
        <f>VALUE(SUBSTITUTE('1000_заявлений'!D154, ".", ","))</f>
        <v>0.50648420000000005</v>
      </c>
      <c r="E160" s="4">
        <f>VALUE(SUBSTITUTE('1000_заявлений'!E154, ".", ","))</f>
        <v>0.65305239999999998</v>
      </c>
      <c r="F160" s="5">
        <f>VALUE(SUBSTITUTE('1000_заявлений'!F154, ".", ","))</f>
        <v>-3538</v>
      </c>
      <c r="G160" s="5">
        <f>VALUE(SUBSTITUTE('1000_заявлений'!G154, ".", ","))</f>
        <v>-8687</v>
      </c>
      <c r="H160" s="5">
        <f>VALUE(SUBSTITUTE('1000_заявлений'!H154, ".", ","))</f>
        <v>-1374</v>
      </c>
      <c r="I160" s="4">
        <f>VALUE(SUBSTITUTE('1000_заявлений'!I154, ".", ","))</f>
        <v>9.0909090909090898E-2</v>
      </c>
      <c r="J160" s="4">
        <f>VALUE(SUBSTITUTE('1000_заявлений'!J154, ".", ","))</f>
        <v>10.6209759779781</v>
      </c>
      <c r="K160" s="5">
        <f>VALUE(SUBSTITUTE('1000_заявлений'!K154, ".", ","))</f>
        <v>-211</v>
      </c>
      <c r="L160" s="6">
        <f>VALUE(SUBSTITUTE('1000_заявлений'!L154, ".", ","))</f>
        <v>9000</v>
      </c>
      <c r="M160" s="2" t="str">
        <f>IF(Данные[[#This Row],[proba]]&gt;$C$6, "отказ", "одобрение")</f>
        <v>отказ</v>
      </c>
      <c r="N160" s="7">
        <f>IF(Данные[[#This Row],[proba]]&lt;$D$2,$C$2,IF(Данные[[#This Row],[proba]]&lt;$D$3,$C$3,IF(Данные[[#This Row],[proba]]&gt;$C$6,0,$C$4)))</f>
        <v>0</v>
      </c>
      <c r="O160" s="2">
        <f>IF(Данные[[#This Row],[weighted_ext_score]]&gt;$O$1,MIN(Данные[[#This Row],[Базовая сумма]]*$O$2,$C$2),IF(Данные[[#This Row],[weighted_ext_score]]&lt;$O$3,Данные[[#This Row],[Базовая сумма]]*$O$4,N160))</f>
        <v>0</v>
      </c>
      <c r="P1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0" s="2">
        <f>ABS(Данные[[#This Row],[days_birth]])/365.2425</f>
        <v>23.784198169709164</v>
      </c>
      <c r="S1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0" s="2">
        <f>IF(Данные[[#This Row],[ interest_rate]]&gt;$T$1,Данные[[#This Row],[days_birth4]]*$T$2,Данные[[#This Row],[days_birth4]])</f>
        <v>0</v>
      </c>
      <c r="U160" s="2">
        <f>IF(Данные[[#This Row],[Проверка отказа]]="отказ",0,MAX(Данные[[#This Row],[interest_rate]],$C$1))</f>
        <v>0</v>
      </c>
      <c r="V160" s="2">
        <f>MROUND(Данные[[#This Row],[Минимум 20000]], 100)</f>
        <v>0</v>
      </c>
    </row>
    <row r="161" spans="1:22" x14ac:dyDescent="0.25">
      <c r="A161" s="2">
        <f>'1000_заявлений'!A155</f>
        <v>153</v>
      </c>
      <c r="B161" s="4">
        <f>VALUE(SUBSTITUTE('1000_заявлений'!B155, ".", ","))</f>
        <v>0.52087965536469105</v>
      </c>
      <c r="C161" s="4">
        <f>VALUE(SUBSTITUTE('1000_заявлений'!C155, ".", ","))</f>
        <v>0.351347409309262</v>
      </c>
      <c r="D161" s="4">
        <f>VALUE(SUBSTITUTE('1000_заявлений'!D155, ".", ","))</f>
        <v>0.66905669999999995</v>
      </c>
      <c r="E161" s="4">
        <f>VALUE(SUBSTITUTE('1000_заявлений'!E155, ".", ","))</f>
        <v>0.33717754</v>
      </c>
      <c r="F161" s="5">
        <f>VALUE(SUBSTITUTE('1000_заявлений'!F155, ".", ","))</f>
        <v>-1427</v>
      </c>
      <c r="G161" s="5">
        <f>VALUE(SUBSTITUTE('1000_заявлений'!G155, ".", ","))</f>
        <v>-13334</v>
      </c>
      <c r="H161" s="5">
        <f>VALUE(SUBSTITUTE('1000_заявлений'!H155, ".", ","))</f>
        <v>-1250</v>
      </c>
      <c r="I161" s="4">
        <f>VALUE(SUBSTITUTE('1000_заявлений'!I155, ".", ","))</f>
        <v>0.27713888888888799</v>
      </c>
      <c r="J161" s="4">
        <f>VALUE(SUBSTITUTE('1000_заявлений'!J155, ".", ","))</f>
        <v>2.7668361934235701</v>
      </c>
      <c r="K161" s="5">
        <f>VALUE(SUBSTITUTE('1000_заявлений'!K155, ".", ","))</f>
        <v>-356</v>
      </c>
      <c r="L161" s="6">
        <f>VALUE(SUBSTITUTE('1000_заявлений'!L155, ".", ","))</f>
        <v>44896.5</v>
      </c>
      <c r="M161" s="2" t="str">
        <f>IF(Данные[[#This Row],[proba]]&gt;$C$6, "отказ", "одобрение")</f>
        <v>отказ</v>
      </c>
      <c r="N161" s="7">
        <f>IF(Данные[[#This Row],[proba]]&lt;$D$2,$C$2,IF(Данные[[#This Row],[proba]]&lt;$D$3,$C$3,IF(Данные[[#This Row],[proba]]&gt;$C$6,0,$C$4)))</f>
        <v>0</v>
      </c>
      <c r="O161" s="2">
        <f>IF(Данные[[#This Row],[weighted_ext_score]]&gt;$O$1,MIN(Данные[[#This Row],[Базовая сумма]]*$O$2,$C$2),IF(Данные[[#This Row],[weighted_ext_score]]&lt;$O$3,Данные[[#This Row],[Базовая сумма]]*$O$4,N161))</f>
        <v>0</v>
      </c>
      <c r="P1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1" s="2">
        <f>ABS(Данные[[#This Row],[days_birth]])/365.2425</f>
        <v>36.507252031184763</v>
      </c>
      <c r="S1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1" s="2">
        <f>IF(Данные[[#This Row],[ interest_rate]]&gt;$T$1,Данные[[#This Row],[days_birth4]]*$T$2,Данные[[#This Row],[days_birth4]])</f>
        <v>0</v>
      </c>
      <c r="U161" s="2">
        <f>IF(Данные[[#This Row],[Проверка отказа]]="отказ",0,MAX(Данные[[#This Row],[interest_rate]],$C$1))</f>
        <v>0</v>
      </c>
      <c r="V161" s="2">
        <f>MROUND(Данные[[#This Row],[Минимум 20000]], 100)</f>
        <v>0</v>
      </c>
    </row>
    <row r="162" spans="1:22" x14ac:dyDescent="0.25">
      <c r="A162" s="2">
        <f>'1000_заявлений'!A156</f>
        <v>154</v>
      </c>
      <c r="B162" s="4">
        <f>VALUE(SUBSTITUTE('1000_заявлений'!B156, ".", ","))</f>
        <v>0.22290984689569199</v>
      </c>
      <c r="C162" s="4">
        <f>VALUE(SUBSTITUTE('1000_заявлений'!C156, ".", ","))</f>
        <v>0.67215455373344402</v>
      </c>
      <c r="D162" s="4">
        <f>VALUE(SUBSTITUTE('1000_заявлений'!D156, ".", ","))</f>
        <v>0.76752310000000001</v>
      </c>
      <c r="E162" s="4">
        <f>VALUE(SUBSTITUTE('1000_заявлений'!E156, ".", ","))</f>
        <v>0.60632545000000004</v>
      </c>
      <c r="F162" s="5">
        <f>VALUE(SUBSTITUTE('1000_заявлений'!F156, ".", ","))</f>
        <v>-1125</v>
      </c>
      <c r="G162" s="5">
        <f>VALUE(SUBSTITUTE('1000_заявлений'!G156, ".", ","))</f>
        <v>-14955</v>
      </c>
      <c r="H162" s="5">
        <f>VALUE(SUBSTITUTE('1000_заявлений'!H156, ".", ","))</f>
        <v>-4207</v>
      </c>
      <c r="I162" s="4">
        <f>VALUE(SUBSTITUTE('1000_заявлений'!I156, ".", ","))</f>
        <v>0.312823529411764</v>
      </c>
      <c r="J162" s="4">
        <f>VALUE(SUBSTITUTE('1000_заявлений'!J156, ".", ","))</f>
        <v>1.9277550027685999</v>
      </c>
      <c r="K162" s="5">
        <f>VALUE(SUBSTITUTE('1000_заявлений'!K156, ".", ","))</f>
        <v>-1987</v>
      </c>
      <c r="L162" s="6">
        <f>VALUE(SUBSTITUTE('1000_заявлений'!L156, ".", ","))</f>
        <v>23931</v>
      </c>
      <c r="M162" s="2" t="str">
        <f>IF(Данные[[#This Row],[proba]]&gt;$C$6, "отказ", "одобрение")</f>
        <v>одобрение</v>
      </c>
      <c r="N162" s="7">
        <f>IF(Данные[[#This Row],[proba]]&lt;$D$2,$C$2,IF(Данные[[#This Row],[proba]]&lt;$D$3,$C$3,IF(Данные[[#This Row],[proba]]&gt;$C$6,0,$C$4)))</f>
        <v>100000</v>
      </c>
      <c r="O162" s="2">
        <f>IF(Данные[[#This Row],[weighted_ext_score]]&gt;$O$1,MIN(Данные[[#This Row],[Базовая сумма]]*$O$2,$C$2),IF(Данные[[#This Row],[weighted_ext_score]]&lt;$O$3,Данные[[#This Row],[Базовая сумма]]*$O$4,N162))</f>
        <v>100000</v>
      </c>
      <c r="P1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162" s="2">
        <f>ABS(Данные[[#This Row],[days_birth]])/365.2425</f>
        <v>40.945399289513134</v>
      </c>
      <c r="S1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162" s="2">
        <f>IF(Данные[[#This Row],[ interest_rate]]&gt;$T$1,Данные[[#This Row],[days_birth4]]*$T$2,Данные[[#This Row],[days_birth4]])</f>
        <v>70000</v>
      </c>
      <c r="U162" s="2">
        <f>IF(Данные[[#This Row],[Проверка отказа]]="отказ",0,MAX(Данные[[#This Row],[interest_rate]],$C$1))</f>
        <v>70000</v>
      </c>
      <c r="V162" s="2">
        <f>MROUND(Данные[[#This Row],[Минимум 20000]], 100)</f>
        <v>70000</v>
      </c>
    </row>
    <row r="163" spans="1:22" x14ac:dyDescent="0.25">
      <c r="A163" s="2">
        <f>'1000_заявлений'!A157</f>
        <v>155</v>
      </c>
      <c r="B163" s="4">
        <f>VALUE(SUBSTITUTE('1000_заявлений'!B157, ".", ","))</f>
        <v>0.63600493149217896</v>
      </c>
      <c r="C163" s="4">
        <f>VALUE(SUBSTITUTE('1000_заявлений'!C157, ".", ","))</f>
        <v>0.29527269081297702</v>
      </c>
      <c r="D163" s="4">
        <f>VALUE(SUBSTITUTE('1000_заявлений'!D157, ".", ","))</f>
        <v>0.2091547</v>
      </c>
      <c r="E163" s="4">
        <f>VALUE(SUBSTITUTE('1000_заявлений'!E157, ".", ","))</f>
        <v>0.67707854999999995</v>
      </c>
      <c r="F163" s="5">
        <f>VALUE(SUBSTITUTE('1000_заявлений'!F157, ".", ","))</f>
        <v>-7589</v>
      </c>
      <c r="G163" s="5">
        <f>VALUE(SUBSTITUTE('1000_заявлений'!G157, ".", ","))</f>
        <v>-13469</v>
      </c>
      <c r="H163" s="5">
        <f>VALUE(SUBSTITUTE('1000_заявлений'!H157, ".", ","))</f>
        <v>-4332</v>
      </c>
      <c r="I163" s="4">
        <f>VALUE(SUBSTITUTE('1000_заявлений'!I157, ".", ","))</f>
        <v>0.3599</v>
      </c>
      <c r="J163" s="4">
        <f>VALUE(SUBSTITUTE('1000_заявлений'!J157, ".", ","))</f>
        <v>2.9354350402932501</v>
      </c>
      <c r="K163" s="5">
        <f>VALUE(SUBSTITUTE('1000_заявлений'!K157, ".", ","))</f>
        <v>-2862</v>
      </c>
      <c r="L163" s="6">
        <f>VALUE(SUBSTITUTE('1000_заявлений'!L157, ".", ","))</f>
        <v>48586.5</v>
      </c>
      <c r="M163" s="2" t="str">
        <f>IF(Данные[[#This Row],[proba]]&gt;$C$6, "отказ", "одобрение")</f>
        <v>отказ</v>
      </c>
      <c r="N163" s="7">
        <f>IF(Данные[[#This Row],[proba]]&lt;$D$2,$C$2,IF(Данные[[#This Row],[proba]]&lt;$D$3,$C$3,IF(Данные[[#This Row],[proba]]&gt;$C$6,0,$C$4)))</f>
        <v>0</v>
      </c>
      <c r="O163" s="2">
        <f>IF(Данные[[#This Row],[weighted_ext_score]]&gt;$O$1,MIN(Данные[[#This Row],[Базовая сумма]]*$O$2,$C$2),IF(Данные[[#This Row],[weighted_ext_score]]&lt;$O$3,Данные[[#This Row],[Базовая сумма]]*$O$4,N163))</f>
        <v>0</v>
      </c>
      <c r="P1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3" s="2">
        <f>ABS(Данные[[#This Row],[days_birth]])/365.2425</f>
        <v>36.87686947712821</v>
      </c>
      <c r="S1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3" s="2">
        <f>IF(Данные[[#This Row],[ interest_rate]]&gt;$T$1,Данные[[#This Row],[days_birth4]]*$T$2,Данные[[#This Row],[days_birth4]])</f>
        <v>0</v>
      </c>
      <c r="U163" s="2">
        <f>IF(Данные[[#This Row],[Проверка отказа]]="отказ",0,MAX(Данные[[#This Row],[interest_rate]],$C$1))</f>
        <v>0</v>
      </c>
      <c r="V163" s="2">
        <f>MROUND(Данные[[#This Row],[Минимум 20000]], 100)</f>
        <v>0</v>
      </c>
    </row>
    <row r="164" spans="1:22" x14ac:dyDescent="0.25">
      <c r="A164" s="2">
        <f>'1000_заявлений'!A158</f>
        <v>156</v>
      </c>
      <c r="B164" s="4">
        <f>VALUE(SUBSTITUTE('1000_заявлений'!B158, ".", ","))</f>
        <v>0.78323137673866405</v>
      </c>
      <c r="C164" s="4">
        <f>VALUE(SUBSTITUTE('1000_заявлений'!C158, ".", ","))</f>
        <v>0.179359422619151</v>
      </c>
      <c r="D164" s="4">
        <f>VALUE(SUBSTITUTE('1000_заявлений'!D158, ".", ","))</f>
        <v>0.29708663000000002</v>
      </c>
      <c r="E164" s="4">
        <f>VALUE(SUBSTITUTE('1000_заявлений'!E158, ".", ","))</f>
        <v>0.22169706</v>
      </c>
      <c r="F164" s="5">
        <f>VALUE(SUBSTITUTE('1000_заявлений'!F158, ".", ","))</f>
        <v>-3816</v>
      </c>
      <c r="G164" s="5">
        <f>VALUE(SUBSTITUTE('1000_заявлений'!G158, ".", ","))</f>
        <v>-12141</v>
      </c>
      <c r="H164" s="5">
        <f>VALUE(SUBSTITUTE('1000_заявлений'!H158, ".", ","))</f>
        <v>-3817</v>
      </c>
      <c r="I164" s="4">
        <f>VALUE(SUBSTITUTE('1000_заявлений'!I158, ".", ","))</f>
        <v>0.183025354533734</v>
      </c>
      <c r="J164" s="4">
        <f>VALUE(SUBSTITUTE('1000_заявлений'!J158, ".", ","))</f>
        <v>2.48252919616061</v>
      </c>
      <c r="K164" s="5">
        <f>VALUE(SUBSTITUTE('1000_заявлений'!K158, ".", ","))</f>
        <v>-3279</v>
      </c>
      <c r="L164" s="6">
        <f>VALUE(SUBSTITUTE('1000_заявлений'!L158, ".", ","))</f>
        <v>38331</v>
      </c>
      <c r="M164" s="2" t="str">
        <f>IF(Данные[[#This Row],[proba]]&gt;$C$6, "отказ", "одобрение")</f>
        <v>отказ</v>
      </c>
      <c r="N164" s="7">
        <f>IF(Данные[[#This Row],[proba]]&lt;$D$2,$C$2,IF(Данные[[#This Row],[proba]]&lt;$D$3,$C$3,IF(Данные[[#This Row],[proba]]&gt;$C$6,0,$C$4)))</f>
        <v>0</v>
      </c>
      <c r="O164" s="2">
        <f>IF(Данные[[#This Row],[weighted_ext_score]]&gt;$O$1,MIN(Данные[[#This Row],[Базовая сумма]]*$O$2,$C$2),IF(Данные[[#This Row],[weighted_ext_score]]&lt;$O$3,Данные[[#This Row],[Базовая сумма]]*$O$4,N164))</f>
        <v>0</v>
      </c>
      <c r="P1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4" s="2">
        <f>ABS(Данные[[#This Row],[days_birth]])/365.2425</f>
        <v>33.240928971847474</v>
      </c>
      <c r="S1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4" s="2">
        <f>IF(Данные[[#This Row],[ interest_rate]]&gt;$T$1,Данные[[#This Row],[days_birth4]]*$T$2,Данные[[#This Row],[days_birth4]])</f>
        <v>0</v>
      </c>
      <c r="U164" s="2">
        <f>IF(Данные[[#This Row],[Проверка отказа]]="отказ",0,MAX(Данные[[#This Row],[interest_rate]],$C$1))</f>
        <v>0</v>
      </c>
      <c r="V164" s="2">
        <f>MROUND(Данные[[#This Row],[Минимум 20000]], 100)</f>
        <v>0</v>
      </c>
    </row>
    <row r="165" spans="1:22" x14ac:dyDescent="0.25">
      <c r="A165" s="2">
        <f>'1000_заявлений'!A159</f>
        <v>157</v>
      </c>
      <c r="B165" s="4">
        <f>VALUE(SUBSTITUTE('1000_заявлений'!B159, ".", ","))</f>
        <v>0.65810793143634505</v>
      </c>
      <c r="C165" s="4">
        <f>VALUE(SUBSTITUTE('1000_заявлений'!C159, ".", ","))</f>
        <v>0.27898589641472699</v>
      </c>
      <c r="D165" s="4">
        <f>VALUE(SUBSTITUTE('1000_заявлений'!D159, ".", ","))</f>
        <v>0.24585122000000001</v>
      </c>
      <c r="E165" s="4">
        <f>VALUE(SUBSTITUTE('1000_заявлений'!E159, ".", ","))</f>
        <v>0.58595410000000003</v>
      </c>
      <c r="F165" s="5">
        <f>VALUE(SUBSTITUTE('1000_заявлений'!F159, ".", ","))</f>
        <v>-3940</v>
      </c>
      <c r="G165" s="5">
        <f>VALUE(SUBSTITUTE('1000_заявлений'!G159, ".", ","))</f>
        <v>-10192</v>
      </c>
      <c r="H165" s="5">
        <f>VALUE(SUBSTITUTE('1000_заявлений'!H159, ".", ","))</f>
        <v>-2167</v>
      </c>
      <c r="I165" s="4">
        <f>VALUE(SUBSTITUTE('1000_заявлений'!I159, ".", ","))</f>
        <v>0.490863636363636</v>
      </c>
      <c r="J165" s="4">
        <f>VALUE(SUBSTITUTE('1000_заявлений'!J159, ".", ","))</f>
        <v>18.472240322533398</v>
      </c>
      <c r="K165" s="5">
        <f>VALUE(SUBSTITUTE('1000_заявлений'!K159, ".", ","))</f>
        <v>-1371</v>
      </c>
      <c r="L165" s="6">
        <f>VALUE(SUBSTITUTE('1000_заявлений'!L159, ".", ","))</f>
        <v>48595.5</v>
      </c>
      <c r="M165" s="2" t="str">
        <f>IF(Данные[[#This Row],[proba]]&gt;$C$6, "отказ", "одобрение")</f>
        <v>отказ</v>
      </c>
      <c r="N165" s="7">
        <f>IF(Данные[[#This Row],[proba]]&lt;$D$2,$C$2,IF(Данные[[#This Row],[proba]]&lt;$D$3,$C$3,IF(Данные[[#This Row],[proba]]&gt;$C$6,0,$C$4)))</f>
        <v>0</v>
      </c>
      <c r="O165" s="2">
        <f>IF(Данные[[#This Row],[weighted_ext_score]]&gt;$O$1,MIN(Данные[[#This Row],[Базовая сумма]]*$O$2,$C$2),IF(Данные[[#This Row],[weighted_ext_score]]&lt;$O$3,Данные[[#This Row],[Базовая сумма]]*$O$4,N165))</f>
        <v>0</v>
      </c>
      <c r="P1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5" s="2">
        <f>ABS(Данные[[#This Row],[days_birth]])/365.2425</f>
        <v>27.904748215226871</v>
      </c>
      <c r="S1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5" s="2">
        <f>IF(Данные[[#This Row],[ interest_rate]]&gt;$T$1,Данные[[#This Row],[days_birth4]]*$T$2,Данные[[#This Row],[days_birth4]])</f>
        <v>0</v>
      </c>
      <c r="U165" s="2">
        <f>IF(Данные[[#This Row],[Проверка отказа]]="отказ",0,MAX(Данные[[#This Row],[interest_rate]],$C$1))</f>
        <v>0</v>
      </c>
      <c r="V165" s="2">
        <f>MROUND(Данные[[#This Row],[Минимум 20000]], 100)</f>
        <v>0</v>
      </c>
    </row>
    <row r="166" spans="1:22" x14ac:dyDescent="0.25">
      <c r="A166" s="2">
        <f>'1000_заявлений'!A160</f>
        <v>158</v>
      </c>
      <c r="B166" s="4">
        <f>VALUE(SUBSTITUTE('1000_заявлений'!B160, ".", ","))</f>
        <v>0.56312028960934901</v>
      </c>
      <c r="C166" s="4">
        <f>VALUE(SUBSTITUTE('1000_заявлений'!C160, ".", ","))</f>
        <v>0.29106916729378202</v>
      </c>
      <c r="D166" s="4">
        <f>VALUE(SUBSTITUTE('1000_заявлений'!D160, ".", ","))</f>
        <v>0.32806316000000002</v>
      </c>
      <c r="E166" s="4">
        <f>VALUE(SUBSTITUTE('1000_заявлений'!E160, ".", ","))</f>
        <v>0.53154219999999996</v>
      </c>
      <c r="F166" s="5">
        <f>VALUE(SUBSTITUTE('1000_заявлений'!F160, ".", ","))</f>
        <v>-1416</v>
      </c>
      <c r="G166" s="5">
        <f>VALUE(SUBSTITUTE('1000_заявлений'!G160, ".", ","))</f>
        <v>-12046</v>
      </c>
      <c r="H166" s="5">
        <f>VALUE(SUBSTITUTE('1000_заявлений'!H160, ".", ","))</f>
        <v>-3903</v>
      </c>
      <c r="I166" s="4">
        <f>VALUE(SUBSTITUTE('1000_заявлений'!I160, ".", ","))</f>
        <v>5.7142857142857099E-2</v>
      </c>
      <c r="J166" s="4">
        <f>VALUE(SUBSTITUTE('1000_заявлений'!J160, ".", ","))</f>
        <v>10.6209759779781</v>
      </c>
      <c r="K166" s="5">
        <f>VALUE(SUBSTITUTE('1000_заявлений'!K160, ".", ","))</f>
        <v>-954</v>
      </c>
      <c r="L166" s="6">
        <f>VALUE(SUBSTITUTE('1000_заявлений'!L160, ".", ","))</f>
        <v>9000</v>
      </c>
      <c r="M166" s="2" t="str">
        <f>IF(Данные[[#This Row],[proba]]&gt;$C$6, "отказ", "одобрение")</f>
        <v>отказ</v>
      </c>
      <c r="N166" s="7">
        <f>IF(Данные[[#This Row],[proba]]&lt;$D$2,$C$2,IF(Данные[[#This Row],[proba]]&lt;$D$3,$C$3,IF(Данные[[#This Row],[proba]]&gt;$C$6,0,$C$4)))</f>
        <v>0</v>
      </c>
      <c r="O166" s="2">
        <f>IF(Данные[[#This Row],[weighted_ext_score]]&gt;$O$1,MIN(Данные[[#This Row],[Базовая сумма]]*$O$2,$C$2),IF(Данные[[#This Row],[weighted_ext_score]]&lt;$O$3,Данные[[#This Row],[Базовая сумма]]*$O$4,N166))</f>
        <v>0</v>
      </c>
      <c r="P1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6" s="2">
        <f>ABS(Данные[[#This Row],[days_birth]])/365.2425</f>
        <v>32.980827806183562</v>
      </c>
      <c r="S1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6" s="2">
        <f>IF(Данные[[#This Row],[ interest_rate]]&gt;$T$1,Данные[[#This Row],[days_birth4]]*$T$2,Данные[[#This Row],[days_birth4]])</f>
        <v>0</v>
      </c>
      <c r="U166" s="2">
        <f>IF(Данные[[#This Row],[Проверка отказа]]="отказ",0,MAX(Данные[[#This Row],[interest_rate]],$C$1))</f>
        <v>0</v>
      </c>
      <c r="V166" s="2">
        <f>MROUND(Данные[[#This Row],[Минимум 20000]], 100)</f>
        <v>0</v>
      </c>
    </row>
    <row r="167" spans="1:22" x14ac:dyDescent="0.25">
      <c r="A167" s="2">
        <f>'1000_заявлений'!A161</f>
        <v>159</v>
      </c>
      <c r="B167" s="4">
        <f>VALUE(SUBSTITUTE('1000_заявлений'!B161, ".", ","))</f>
        <v>0.48775734449112301</v>
      </c>
      <c r="C167" s="4">
        <f>VALUE(SUBSTITUTE('1000_заявлений'!C161, ".", ","))</f>
        <v>0.50634726129414598</v>
      </c>
      <c r="D167" s="4">
        <f>VALUE(SUBSTITUTE('1000_заявлений'!D161, ".", ","))</f>
        <v>0.30773669999999997</v>
      </c>
      <c r="E167" s="4">
        <f>VALUE(SUBSTITUTE('1000_заявлений'!E161, ".", ","))</f>
        <v>0.67337170000000002</v>
      </c>
      <c r="F167" s="5">
        <f>VALUE(SUBSTITUTE('1000_заявлений'!F161, ".", ","))</f>
        <v>-5629</v>
      </c>
      <c r="G167" s="5">
        <f>VALUE(SUBSTITUTE('1000_заявлений'!G161, ".", ","))</f>
        <v>-11280</v>
      </c>
      <c r="H167" s="5">
        <f>VALUE(SUBSTITUTE('1000_заявлений'!H161, ".", ","))</f>
        <v>-1499</v>
      </c>
      <c r="I167" s="4">
        <f>VALUE(SUBSTITUTE('1000_заявлений'!I161, ".", ","))</f>
        <v>0.26408571428571398</v>
      </c>
      <c r="J167" s="4">
        <f>VALUE(SUBSTITUTE('1000_заявлений'!J161, ".", ","))</f>
        <v>5.4005051750974902</v>
      </c>
      <c r="K167" s="5">
        <f>VALUE(SUBSTITUTE('1000_заявлений'!K161, ".", ","))</f>
        <v>-2012</v>
      </c>
      <c r="L167" s="6">
        <f>VALUE(SUBSTITUTE('1000_заявлений'!L161, ".", ","))</f>
        <v>41593.5</v>
      </c>
      <c r="M167" s="2" t="str">
        <f>IF(Данные[[#This Row],[proba]]&gt;$C$6, "отказ", "одобрение")</f>
        <v>отказ</v>
      </c>
      <c r="N167" s="7">
        <f>IF(Данные[[#This Row],[proba]]&lt;$D$2,$C$2,IF(Данные[[#This Row],[proba]]&lt;$D$3,$C$3,IF(Данные[[#This Row],[proba]]&gt;$C$6,0,$C$4)))</f>
        <v>0</v>
      </c>
      <c r="O167" s="2">
        <f>IF(Данные[[#This Row],[weighted_ext_score]]&gt;$O$1,MIN(Данные[[#This Row],[Базовая сумма]]*$O$2,$C$2),IF(Данные[[#This Row],[weighted_ext_score]]&lt;$O$3,Данные[[#This Row],[Базовая сумма]]*$O$4,N167))</f>
        <v>0</v>
      </c>
      <c r="P1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7" s="2">
        <f>ABS(Данные[[#This Row],[days_birth]])/365.2425</f>
        <v>30.883591038830364</v>
      </c>
      <c r="S1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7" s="2">
        <f>IF(Данные[[#This Row],[ interest_rate]]&gt;$T$1,Данные[[#This Row],[days_birth4]]*$T$2,Данные[[#This Row],[days_birth4]])</f>
        <v>0</v>
      </c>
      <c r="U167" s="2">
        <f>IF(Данные[[#This Row],[Проверка отказа]]="отказ",0,MAX(Данные[[#This Row],[interest_rate]],$C$1))</f>
        <v>0</v>
      </c>
      <c r="V167" s="2">
        <f>MROUND(Данные[[#This Row],[Минимум 20000]], 100)</f>
        <v>0</v>
      </c>
    </row>
    <row r="168" spans="1:22" x14ac:dyDescent="0.25">
      <c r="A168" s="2">
        <f>'1000_заявлений'!A162</f>
        <v>160</v>
      </c>
      <c r="B168" s="4">
        <f>VALUE(SUBSTITUTE('1000_заявлений'!B162, ".", ","))</f>
        <v>0.28472898522346002</v>
      </c>
      <c r="C168" s="4">
        <f>VALUE(SUBSTITUTE('1000_заявлений'!C162, ".", ","))</f>
        <v>0.44147063406687298</v>
      </c>
      <c r="D168" s="4">
        <f>VALUE(SUBSTITUTE('1000_заявлений'!D162, ".", ","))</f>
        <v>0.7223929</v>
      </c>
      <c r="E168" s="4">
        <f>VALUE(SUBSTITUTE('1000_заявлений'!E162, ".", ","))</f>
        <v>0.55554499999999996</v>
      </c>
      <c r="F168" s="5">
        <f>VALUE(SUBSTITUTE('1000_заявлений'!F162, ".", ","))</f>
        <v>-6585</v>
      </c>
      <c r="G168" s="5">
        <f>VALUE(SUBSTITUTE('1000_заявлений'!G162, ".", ","))</f>
        <v>-16539</v>
      </c>
      <c r="H168" s="5">
        <f>VALUE(SUBSTITUTE('1000_заявлений'!H162, ".", ","))</f>
        <v>-83</v>
      </c>
      <c r="I168" s="4">
        <f>VALUE(SUBSTITUTE('1000_заявлений'!I162, ".", ","))</f>
        <v>0.16250000000000001</v>
      </c>
      <c r="J168" s="4">
        <f>VALUE(SUBSTITUTE('1000_заявлений'!J162, ".", ","))</f>
        <v>10.6209759779781</v>
      </c>
      <c r="K168" s="5">
        <f>VALUE(SUBSTITUTE('1000_заявлений'!K162, ".", ","))</f>
        <v>-1250</v>
      </c>
      <c r="L168" s="6">
        <f>VALUE(SUBSTITUTE('1000_заявлений'!L162, ".", ","))</f>
        <v>29250</v>
      </c>
      <c r="M168" s="2" t="str">
        <f>IF(Данные[[#This Row],[proba]]&gt;$C$6, "отказ", "одобрение")</f>
        <v>одобрение</v>
      </c>
      <c r="N168" s="7">
        <f>IF(Данные[[#This Row],[proba]]&lt;$D$2,$C$2,IF(Данные[[#This Row],[proba]]&lt;$D$3,$C$3,IF(Данные[[#This Row],[proba]]&gt;$C$6,0,$C$4)))</f>
        <v>100000</v>
      </c>
      <c r="O168" s="2">
        <f>IF(Данные[[#This Row],[weighted_ext_score]]&gt;$O$1,MIN(Данные[[#This Row],[Базовая сумма]]*$O$2,$C$2),IF(Данные[[#This Row],[weighted_ext_score]]&lt;$O$3,Данные[[#This Row],[Базовая сумма]]*$O$4,N168))</f>
        <v>100000</v>
      </c>
      <c r="P1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68" s="2">
        <f>ABS(Данные[[#This Row],[days_birth]])/365.2425</f>
        <v>45.282243988582927</v>
      </c>
      <c r="S1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168" s="2">
        <f>IF(Данные[[#This Row],[ interest_rate]]&gt;$T$1,Данные[[#This Row],[days_birth4]]*$T$2,Данные[[#This Row],[days_birth4]])</f>
        <v>84000</v>
      </c>
      <c r="U168" s="2">
        <f>IF(Данные[[#This Row],[Проверка отказа]]="отказ",0,MAX(Данные[[#This Row],[interest_rate]],$C$1))</f>
        <v>84000</v>
      </c>
      <c r="V168" s="2">
        <f>MROUND(Данные[[#This Row],[Минимум 20000]], 100)</f>
        <v>84000</v>
      </c>
    </row>
    <row r="169" spans="1:22" x14ac:dyDescent="0.25">
      <c r="A169" s="2">
        <f>'1000_заявлений'!A163</f>
        <v>161</v>
      </c>
      <c r="B169" s="4">
        <f>VALUE(SUBSTITUTE('1000_заявлений'!B163, ".", ","))</f>
        <v>0.66806814101106604</v>
      </c>
      <c r="C169" s="4">
        <f>VALUE(SUBSTITUTE('1000_заявлений'!C163, ".", ","))</f>
        <v>0.339931980844555</v>
      </c>
      <c r="D169" s="4">
        <f>VALUE(SUBSTITUTE('1000_заявлений'!D163, ".", ","))</f>
        <v>0.23401516999999999</v>
      </c>
      <c r="E169" s="4">
        <f>VALUE(SUBSTITUTE('1000_заявлений'!E163, ".", ","))</f>
        <v>0.49858049999999998</v>
      </c>
      <c r="F169" s="5">
        <f>VALUE(SUBSTITUTE('1000_заявлений'!F163, ".", ","))</f>
        <v>-8685</v>
      </c>
      <c r="G169" s="5">
        <f>VALUE(SUBSTITUTE('1000_заявлений'!G163, ".", ","))</f>
        <v>-8708</v>
      </c>
      <c r="H169" s="5">
        <f>VALUE(SUBSTITUTE('1000_заявлений'!H163, ".", ","))</f>
        <v>-1139</v>
      </c>
      <c r="I169" s="4">
        <f>VALUE(SUBSTITUTE('1000_заявлений'!I163, ".", ","))</f>
        <v>4.2381818181818097E-2</v>
      </c>
      <c r="J169" s="4">
        <f>VALUE(SUBSTITUTE('1000_заявлений'!J163, ".", ","))</f>
        <v>2.6874890980188502</v>
      </c>
      <c r="K169" s="5">
        <f>VALUE(SUBSTITUTE('1000_заявлений'!K163, ".", ","))</f>
        <v>-990</v>
      </c>
      <c r="L169" s="6">
        <f>VALUE(SUBSTITUTE('1000_заявлений'!L163, ".", ","))</f>
        <v>10489.5</v>
      </c>
      <c r="M169" s="2" t="str">
        <f>IF(Данные[[#This Row],[proba]]&gt;$C$6, "отказ", "одобрение")</f>
        <v>отказ</v>
      </c>
      <c r="N169" s="7">
        <f>IF(Данные[[#This Row],[proba]]&lt;$D$2,$C$2,IF(Данные[[#This Row],[proba]]&lt;$D$3,$C$3,IF(Данные[[#This Row],[proba]]&gt;$C$6,0,$C$4)))</f>
        <v>0</v>
      </c>
      <c r="O169" s="2">
        <f>IF(Данные[[#This Row],[weighted_ext_score]]&gt;$O$1,MIN(Данные[[#This Row],[Базовая сумма]]*$O$2,$C$2),IF(Данные[[#This Row],[weighted_ext_score]]&lt;$O$3,Данные[[#This Row],[Базовая сумма]]*$O$4,N169))</f>
        <v>0</v>
      </c>
      <c r="P1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69" s="2">
        <f>ABS(Данные[[#This Row],[days_birth]])/365.2425</f>
        <v>23.841694216855924</v>
      </c>
      <c r="S1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69" s="2">
        <f>IF(Данные[[#This Row],[ interest_rate]]&gt;$T$1,Данные[[#This Row],[days_birth4]]*$T$2,Данные[[#This Row],[days_birth4]])</f>
        <v>0</v>
      </c>
      <c r="U169" s="2">
        <f>IF(Данные[[#This Row],[Проверка отказа]]="отказ",0,MAX(Данные[[#This Row],[interest_rate]],$C$1))</f>
        <v>0</v>
      </c>
      <c r="V169" s="2">
        <f>MROUND(Данные[[#This Row],[Минимум 20000]], 100)</f>
        <v>0</v>
      </c>
    </row>
    <row r="170" spans="1:22" x14ac:dyDescent="0.25">
      <c r="A170" s="2">
        <f>'1000_заявлений'!A164</f>
        <v>162</v>
      </c>
      <c r="B170" s="4">
        <f>VALUE(SUBSTITUTE('1000_заявлений'!B164, ".", ","))</f>
        <v>0.63913298110526195</v>
      </c>
      <c r="C170" s="4">
        <f>VALUE(SUBSTITUTE('1000_заявлений'!C164, ".", ","))</f>
        <v>0.38123204446166098</v>
      </c>
      <c r="D170" s="4">
        <f>VALUE(SUBSTITUTE('1000_заявлений'!D164, ".", ","))</f>
        <v>0.13595104</v>
      </c>
      <c r="E170" s="4">
        <f>VALUE(SUBSTITUTE('1000_заявлений'!E164, ".", ","))</f>
        <v>0.58036745000000001</v>
      </c>
      <c r="F170" s="5">
        <f>VALUE(SUBSTITUTE('1000_заявлений'!F164, ".", ","))</f>
        <v>-6303</v>
      </c>
      <c r="G170" s="5">
        <f>VALUE(SUBSTITUTE('1000_заявлений'!G164, ".", ","))</f>
        <v>-12291</v>
      </c>
      <c r="H170" s="5">
        <f>VALUE(SUBSTITUTE('1000_заявлений'!H164, ".", ","))</f>
        <v>-4129</v>
      </c>
      <c r="I170" s="4">
        <f>VALUE(SUBSTITUTE('1000_заявлений'!I164, ".", ","))</f>
        <v>0.107123076923076</v>
      </c>
      <c r="J170" s="4">
        <f>VALUE(SUBSTITUTE('1000_заявлений'!J164, ".", ","))</f>
        <v>0.66233239007120703</v>
      </c>
      <c r="K170" s="5">
        <f>VALUE(SUBSTITUTE('1000_заявлений'!K164, ".", ","))</f>
        <v>-2682</v>
      </c>
      <c r="L170" s="6">
        <f>VALUE(SUBSTITUTE('1000_заявлений'!L164, ".", ","))</f>
        <v>31333.5</v>
      </c>
      <c r="M170" s="2" t="str">
        <f>IF(Данные[[#This Row],[proba]]&gt;$C$6, "отказ", "одобрение")</f>
        <v>отказ</v>
      </c>
      <c r="N170" s="7">
        <f>IF(Данные[[#This Row],[proba]]&lt;$D$2,$C$2,IF(Данные[[#This Row],[proba]]&lt;$D$3,$C$3,IF(Данные[[#This Row],[proba]]&gt;$C$6,0,$C$4)))</f>
        <v>0</v>
      </c>
      <c r="O170" s="2">
        <f>IF(Данные[[#This Row],[weighted_ext_score]]&gt;$O$1,MIN(Данные[[#This Row],[Базовая сумма]]*$O$2,$C$2),IF(Данные[[#This Row],[weighted_ext_score]]&lt;$O$3,Данные[[#This Row],[Базовая сумма]]*$O$4,N170))</f>
        <v>0</v>
      </c>
      <c r="P1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0" s="2">
        <f>ABS(Данные[[#This Row],[days_birth]])/365.2425</f>
        <v>33.651615022895747</v>
      </c>
      <c r="S1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0" s="2">
        <f>IF(Данные[[#This Row],[ interest_rate]]&gt;$T$1,Данные[[#This Row],[days_birth4]]*$T$2,Данные[[#This Row],[days_birth4]])</f>
        <v>0</v>
      </c>
      <c r="U170" s="2">
        <f>IF(Данные[[#This Row],[Проверка отказа]]="отказ",0,MAX(Данные[[#This Row],[interest_rate]],$C$1))</f>
        <v>0</v>
      </c>
      <c r="V170" s="2">
        <f>MROUND(Данные[[#This Row],[Минимум 20000]], 100)</f>
        <v>0</v>
      </c>
    </row>
    <row r="171" spans="1:22" x14ac:dyDescent="0.25">
      <c r="A171" s="2">
        <f>'1000_заявлений'!A165</f>
        <v>163</v>
      </c>
      <c r="B171" s="4">
        <f>VALUE(SUBSTITUTE('1000_заявлений'!B165, ".", ","))</f>
        <v>0.29768816167666901</v>
      </c>
      <c r="C171" s="4">
        <f>VALUE(SUBSTITUTE('1000_заявлений'!C165, ".", ","))</f>
        <v>0.4074410469759</v>
      </c>
      <c r="D171" s="4">
        <f>VALUE(SUBSTITUTE('1000_заявлений'!D165, ".", ","))</f>
        <v>0.89600955999999998</v>
      </c>
      <c r="E171" s="4">
        <f>VALUE(SUBSTITUTE('1000_заявлений'!E165, ".", ","))</f>
        <v>0.25706266999999999</v>
      </c>
      <c r="F171" s="5">
        <f>VALUE(SUBSTITUTE('1000_заявлений'!F165, ".", ","))</f>
        <v>-9448</v>
      </c>
      <c r="G171" s="5">
        <f>VALUE(SUBSTITUTE('1000_заявлений'!G165, ".", ","))</f>
        <v>-22671</v>
      </c>
      <c r="H171" s="5">
        <f>VALUE(SUBSTITUTE('1000_заявлений'!H165, ".", ","))</f>
        <v>-1623</v>
      </c>
      <c r="I171" s="4">
        <f>VALUE(SUBSTITUTE('1000_заявлений'!I165, ".", ","))</f>
        <v>0.25584000000000001</v>
      </c>
      <c r="J171" s="4">
        <f>VALUE(SUBSTITUTE('1000_заявлений'!J165, ".", ","))</f>
        <v>1.8620842611752599</v>
      </c>
      <c r="K171" s="5">
        <f>VALUE(SUBSTITUTE('1000_заявлений'!K165, ".", ","))</f>
        <v>365243</v>
      </c>
      <c r="L171" s="6">
        <f>VALUE(SUBSTITUTE('1000_заявлений'!L165, ".", ","))</f>
        <v>28782</v>
      </c>
      <c r="M171" s="2" t="str">
        <f>IF(Данные[[#This Row],[proba]]&gt;$C$6, "отказ", "одобрение")</f>
        <v>одобрение</v>
      </c>
      <c r="N171" s="7">
        <f>IF(Данные[[#This Row],[proba]]&lt;$D$2,$C$2,IF(Данные[[#This Row],[proba]]&lt;$D$3,$C$3,IF(Данные[[#This Row],[proba]]&gt;$C$6,0,$C$4)))</f>
        <v>100000</v>
      </c>
      <c r="O171" s="2">
        <f>IF(Данные[[#This Row],[weighted_ext_score]]&gt;$O$1,MIN(Данные[[#This Row],[Базовая сумма]]*$O$2,$C$2),IF(Данные[[#This Row],[weighted_ext_score]]&lt;$O$3,Данные[[#This Row],[Базовая сумма]]*$O$4,N171))</f>
        <v>100000</v>
      </c>
      <c r="P1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171" s="2">
        <f>ABS(Данные[[#This Row],[days_birth]])/365.2425</f>
        <v>62.071089755436454</v>
      </c>
      <c r="S1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171" s="2">
        <f>IF(Данные[[#This Row],[ interest_rate]]&gt;$T$1,Данные[[#This Row],[days_birth4]]*$T$2,Данные[[#This Row],[days_birth4]])</f>
        <v>105000</v>
      </c>
      <c r="U171" s="2">
        <f>IF(Данные[[#This Row],[Проверка отказа]]="отказ",0,MAX(Данные[[#This Row],[interest_rate]],$C$1))</f>
        <v>105000</v>
      </c>
      <c r="V171" s="2">
        <f>MROUND(Данные[[#This Row],[Минимум 20000]], 100)</f>
        <v>105000</v>
      </c>
    </row>
    <row r="172" spans="1:22" x14ac:dyDescent="0.25">
      <c r="A172" s="2">
        <f>'1000_заявлений'!A166</f>
        <v>164</v>
      </c>
      <c r="B172" s="4">
        <f>VALUE(SUBSTITUTE('1000_заявлений'!B166, ".", ","))</f>
        <v>0.52716796764043306</v>
      </c>
      <c r="C172" s="4">
        <f>VALUE(SUBSTITUTE('1000_заявлений'!C166, ".", ","))</f>
        <v>0.34735057999086599</v>
      </c>
      <c r="D172" s="4">
        <f>VALUE(SUBSTITUTE('1000_заявлений'!D166, ".", ","))</f>
        <v>0.41184854999999998</v>
      </c>
      <c r="E172" s="4">
        <f>VALUE(SUBSTITUTE('1000_заявлений'!E166, ".", ","))</f>
        <v>0.61163149999999999</v>
      </c>
      <c r="F172" s="5">
        <f>VALUE(SUBSTITUTE('1000_заявлений'!F166, ".", ","))</f>
        <v>-3128</v>
      </c>
      <c r="G172" s="5">
        <f>VALUE(SUBSTITUTE('1000_заявлений'!G166, ".", ","))</f>
        <v>-13882</v>
      </c>
      <c r="H172" s="5">
        <f>VALUE(SUBSTITUTE('1000_заявлений'!H166, ".", ","))</f>
        <v>-4667</v>
      </c>
      <c r="I172" s="4">
        <f>VALUE(SUBSTITUTE('1000_заявлений'!I166, ".", ","))</f>
        <v>0.28375</v>
      </c>
      <c r="J172" s="4">
        <f>VALUE(SUBSTITUTE('1000_заявлений'!J166, ".", ","))</f>
        <v>3.2308359537540801</v>
      </c>
      <c r="K172" s="5">
        <f>VALUE(SUBSTITUTE('1000_заявлений'!K166, ".", ","))</f>
        <v>-3967</v>
      </c>
      <c r="L172" s="6">
        <f>VALUE(SUBSTITUTE('1000_заявлений'!L166, ".", ","))</f>
        <v>25537.5</v>
      </c>
      <c r="M172" s="2" t="str">
        <f>IF(Данные[[#This Row],[proba]]&gt;$C$6, "отказ", "одобрение")</f>
        <v>отказ</v>
      </c>
      <c r="N172" s="7">
        <f>IF(Данные[[#This Row],[proba]]&lt;$D$2,$C$2,IF(Данные[[#This Row],[proba]]&lt;$D$3,$C$3,IF(Данные[[#This Row],[proba]]&gt;$C$6,0,$C$4)))</f>
        <v>0</v>
      </c>
      <c r="O172" s="2">
        <f>IF(Данные[[#This Row],[weighted_ext_score]]&gt;$O$1,MIN(Данные[[#This Row],[Базовая сумма]]*$O$2,$C$2),IF(Данные[[#This Row],[weighted_ext_score]]&lt;$O$3,Данные[[#This Row],[Базовая сумма]]*$O$4,N172))</f>
        <v>0</v>
      </c>
      <c r="P1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2" s="2">
        <f>ABS(Данные[[#This Row],[days_birth]])/365.2425</f>
        <v>38.007625071014459</v>
      </c>
      <c r="S1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2" s="2">
        <f>IF(Данные[[#This Row],[ interest_rate]]&gt;$T$1,Данные[[#This Row],[days_birth4]]*$T$2,Данные[[#This Row],[days_birth4]])</f>
        <v>0</v>
      </c>
      <c r="U172" s="2">
        <f>IF(Данные[[#This Row],[Проверка отказа]]="отказ",0,MAX(Данные[[#This Row],[interest_rate]],$C$1))</f>
        <v>0</v>
      </c>
      <c r="V172" s="2">
        <f>MROUND(Данные[[#This Row],[Минимум 20000]], 100)</f>
        <v>0</v>
      </c>
    </row>
    <row r="173" spans="1:22" x14ac:dyDescent="0.25">
      <c r="A173" s="2">
        <f>'1000_заявлений'!A167</f>
        <v>165</v>
      </c>
      <c r="B173" s="4">
        <f>VALUE(SUBSTITUTE('1000_заявлений'!B167, ".", ","))</f>
        <v>0.69442287364545197</v>
      </c>
      <c r="C173" s="4">
        <f>VALUE(SUBSTITUTE('1000_заявлений'!C167, ".", ","))</f>
        <v>0.23637993108639799</v>
      </c>
      <c r="D173" s="4">
        <f>VALUE(SUBSTITUTE('1000_заявлений'!D167, ".", ","))</f>
        <v>0.40314168</v>
      </c>
      <c r="E173" s="4">
        <f>VALUE(SUBSTITUTE('1000_заявлений'!E167, ".", ","))</f>
        <v>0.27923520000000002</v>
      </c>
      <c r="F173" s="5">
        <f>VALUE(SUBSTITUTE('1000_заявлений'!F167, ".", ","))</f>
        <v>-3533</v>
      </c>
      <c r="G173" s="5">
        <f>VALUE(SUBSTITUTE('1000_заявлений'!G167, ".", ","))</f>
        <v>-17325</v>
      </c>
      <c r="H173" s="5">
        <f>VALUE(SUBSTITUTE('1000_заявлений'!H167, ".", ","))</f>
        <v>-848</v>
      </c>
      <c r="I173" s="4">
        <f>VALUE(SUBSTITUTE('1000_заявлений'!I167, ".", ","))</f>
        <v>0.19400000000000001</v>
      </c>
      <c r="J173" s="4">
        <f>VALUE(SUBSTITUTE('1000_заявлений'!J167, ".", ","))</f>
        <v>3.9138817118157201</v>
      </c>
      <c r="K173" s="5">
        <f>VALUE(SUBSTITUTE('1000_заявлений'!K167, ".", ","))</f>
        <v>-1168</v>
      </c>
      <c r="L173" s="6">
        <f>VALUE(SUBSTITUTE('1000_заявлений'!L167, ".", ","))</f>
        <v>30555</v>
      </c>
      <c r="M173" s="2" t="str">
        <f>IF(Данные[[#This Row],[proba]]&gt;$C$6, "отказ", "одобрение")</f>
        <v>отказ</v>
      </c>
      <c r="N173" s="7">
        <f>IF(Данные[[#This Row],[proba]]&lt;$D$2,$C$2,IF(Данные[[#This Row],[proba]]&lt;$D$3,$C$3,IF(Данные[[#This Row],[proba]]&gt;$C$6,0,$C$4)))</f>
        <v>0</v>
      </c>
      <c r="O173" s="2">
        <f>IF(Данные[[#This Row],[weighted_ext_score]]&gt;$O$1,MIN(Данные[[#This Row],[Базовая сумма]]*$O$2,$C$2),IF(Данные[[#This Row],[weighted_ext_score]]&lt;$O$3,Данные[[#This Row],[Базовая сумма]]*$O$4,N173))</f>
        <v>0</v>
      </c>
      <c r="P1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3" s="2">
        <f>ABS(Данные[[#This Row],[days_birth]])/365.2425</f>
        <v>47.434238896075897</v>
      </c>
      <c r="S1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3" s="2">
        <f>IF(Данные[[#This Row],[ interest_rate]]&gt;$T$1,Данные[[#This Row],[days_birth4]]*$T$2,Данные[[#This Row],[days_birth4]])</f>
        <v>0</v>
      </c>
      <c r="U173" s="2">
        <f>IF(Данные[[#This Row],[Проверка отказа]]="отказ",0,MAX(Данные[[#This Row],[interest_rate]],$C$1))</f>
        <v>0</v>
      </c>
      <c r="V173" s="2">
        <f>MROUND(Данные[[#This Row],[Минимум 20000]], 100)</f>
        <v>0</v>
      </c>
    </row>
    <row r="174" spans="1:22" x14ac:dyDescent="0.25">
      <c r="A174" s="2">
        <f>'1000_заявлений'!A168</f>
        <v>166</v>
      </c>
      <c r="B174" s="4">
        <f>VALUE(SUBSTITUTE('1000_заявлений'!B168, ".", ","))</f>
        <v>0.25646463246086199</v>
      </c>
      <c r="C174" s="4">
        <f>VALUE(SUBSTITUTE('1000_заявлений'!C168, ".", ","))</f>
        <v>0.45113186179617898</v>
      </c>
      <c r="D174" s="4">
        <f>VALUE(SUBSTITUTE('1000_заявлений'!D168, ".", ","))</f>
        <v>0.62461465999999999</v>
      </c>
      <c r="E174" s="4">
        <f>VALUE(SUBSTITUTE('1000_заявлений'!E168, ".", ","))</f>
        <v>0.6943473</v>
      </c>
      <c r="F174" s="5">
        <f>VALUE(SUBSTITUTE('1000_заявлений'!F168, ".", ","))</f>
        <v>-6807</v>
      </c>
      <c r="G174" s="5">
        <f>VALUE(SUBSTITUTE('1000_заявлений'!G168, ".", ","))</f>
        <v>-21406</v>
      </c>
      <c r="H174" s="5">
        <f>VALUE(SUBSTITUTE('1000_заявлений'!H168, ".", ","))</f>
        <v>-3969</v>
      </c>
      <c r="I174" s="4">
        <f>VALUE(SUBSTITUTE('1000_заявлений'!I168, ".", ","))</f>
        <v>0.106583333333333</v>
      </c>
      <c r="J174" s="4">
        <f>VALUE(SUBSTITUTE('1000_заявлений'!J168, ".", ","))</f>
        <v>0.852780867511437</v>
      </c>
      <c r="K174" s="5">
        <f>VALUE(SUBSTITUTE('1000_заявлений'!K168, ".", ","))</f>
        <v>-4472</v>
      </c>
      <c r="L174" s="6">
        <f>VALUE(SUBSTITUTE('1000_заявлений'!L168, ".", ","))</f>
        <v>28777.5</v>
      </c>
      <c r="M174" s="2" t="str">
        <f>IF(Данные[[#This Row],[proba]]&gt;$C$6, "отказ", "одобрение")</f>
        <v>одобрение</v>
      </c>
      <c r="N174" s="7">
        <f>IF(Данные[[#This Row],[proba]]&lt;$D$2,$C$2,IF(Данные[[#This Row],[proba]]&lt;$D$3,$C$3,IF(Данные[[#This Row],[proba]]&gt;$C$6,0,$C$4)))</f>
        <v>100000</v>
      </c>
      <c r="O174" s="2">
        <f>IF(Данные[[#This Row],[weighted_ext_score]]&gt;$O$1,MIN(Данные[[#This Row],[Базовая сумма]]*$O$2,$C$2),IF(Данные[[#This Row],[weighted_ext_score]]&lt;$O$3,Данные[[#This Row],[Базовая сумма]]*$O$4,N174))</f>
        <v>100000</v>
      </c>
      <c r="P1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174" s="2">
        <f>ABS(Данные[[#This Row],[days_birth]])/365.2425</f>
        <v>58.607637391595993</v>
      </c>
      <c r="S1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174" s="2">
        <f>IF(Данные[[#This Row],[ interest_rate]]&gt;$T$1,Данные[[#This Row],[days_birth4]]*$T$2,Данные[[#This Row],[days_birth4]])</f>
        <v>151200</v>
      </c>
      <c r="U174" s="2">
        <f>IF(Данные[[#This Row],[Проверка отказа]]="отказ",0,MAX(Данные[[#This Row],[interest_rate]],$C$1))</f>
        <v>151200</v>
      </c>
      <c r="V174" s="2">
        <f>MROUND(Данные[[#This Row],[Минимум 20000]], 100)</f>
        <v>151200</v>
      </c>
    </row>
    <row r="175" spans="1:22" x14ac:dyDescent="0.25">
      <c r="A175" s="2">
        <f>'1000_заявлений'!A169</f>
        <v>167</v>
      </c>
      <c r="B175" s="4">
        <f>VALUE(SUBSTITUTE('1000_заявлений'!B169, ".", ","))</f>
        <v>0.30332415505911298</v>
      </c>
      <c r="C175" s="4">
        <f>VALUE(SUBSTITUTE('1000_заявлений'!C169, ".", ","))</f>
        <v>0.21887659254751199</v>
      </c>
      <c r="D175" s="4">
        <f>VALUE(SUBSTITUTE('1000_заявлений'!D169, ".", ","))</f>
        <v>0.53527623000000002</v>
      </c>
      <c r="E175" s="4">
        <f>VALUE(SUBSTITUTE('1000_заявлений'!E169, ".", ","))</f>
        <v>0.67476016000000005</v>
      </c>
      <c r="F175" s="5">
        <f>VALUE(SUBSTITUTE('1000_заявлений'!F169, ".", ","))</f>
        <v>-6454</v>
      </c>
      <c r="G175" s="5">
        <f>VALUE(SUBSTITUTE('1000_заявлений'!G169, ".", ","))</f>
        <v>-24559</v>
      </c>
      <c r="H175" s="5">
        <f>VALUE(SUBSTITUTE('1000_заявлений'!H169, ".", ","))</f>
        <v>-2310</v>
      </c>
      <c r="I175" s="4">
        <f>VALUE(SUBSTITUTE('1000_заявлений'!I169, ".", ","))</f>
        <v>0.16685</v>
      </c>
      <c r="J175" s="4">
        <f>VALUE(SUBSTITUTE('1000_заявлений'!J169, ".", ","))</f>
        <v>17.033016141112501</v>
      </c>
      <c r="K175" s="5">
        <f>VALUE(SUBSTITUTE('1000_заявлений'!K169, ".", ","))</f>
        <v>365243</v>
      </c>
      <c r="L175" s="6">
        <f>VALUE(SUBSTITUTE('1000_заявлений'!L169, ".", ","))</f>
        <v>15016.5</v>
      </c>
      <c r="M175" s="2" t="str">
        <f>IF(Данные[[#This Row],[proba]]&gt;$C$6, "отказ", "одобрение")</f>
        <v>отказ</v>
      </c>
      <c r="N175" s="7">
        <f>IF(Данные[[#This Row],[proba]]&lt;$D$2,$C$2,IF(Данные[[#This Row],[proba]]&lt;$D$3,$C$3,IF(Данные[[#This Row],[proba]]&gt;$C$6,0,$C$4)))</f>
        <v>0</v>
      </c>
      <c r="O175" s="2">
        <f>IF(Данные[[#This Row],[weighted_ext_score]]&gt;$O$1,MIN(Данные[[#This Row],[Базовая сумма]]*$O$2,$C$2),IF(Данные[[#This Row],[weighted_ext_score]]&lt;$O$3,Данные[[#This Row],[Базовая сумма]]*$O$4,N175))</f>
        <v>0</v>
      </c>
      <c r="P1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5" s="2">
        <f>ABS(Данные[[#This Row],[days_birth]])/365.2425</f>
        <v>67.240258184630761</v>
      </c>
      <c r="S1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5" s="2">
        <f>IF(Данные[[#This Row],[ interest_rate]]&gt;$T$1,Данные[[#This Row],[days_birth4]]*$T$2,Данные[[#This Row],[days_birth4]])</f>
        <v>0</v>
      </c>
      <c r="U175" s="2">
        <f>IF(Данные[[#This Row],[Проверка отказа]]="отказ",0,MAX(Данные[[#This Row],[interest_rate]],$C$1))</f>
        <v>0</v>
      </c>
      <c r="V175" s="2">
        <f>MROUND(Данные[[#This Row],[Минимум 20000]], 100)</f>
        <v>0</v>
      </c>
    </row>
    <row r="176" spans="1:22" x14ac:dyDescent="0.25">
      <c r="A176" s="2">
        <f>'1000_заявлений'!A170</f>
        <v>168</v>
      </c>
      <c r="B176" s="4">
        <f>VALUE(SUBSTITUTE('1000_заявлений'!B170, ".", ","))</f>
        <v>0.435899058014658</v>
      </c>
      <c r="C176" s="4">
        <f>VALUE(SUBSTITUTE('1000_заявлений'!C170, ".", ","))</f>
        <v>0.29088082610460703</v>
      </c>
      <c r="D176" s="4">
        <f>VALUE(SUBSTITUTE('1000_заявлений'!D170, ".", ","))</f>
        <v>0.53527623000000002</v>
      </c>
      <c r="E176" s="4">
        <f>VALUE(SUBSTITUTE('1000_заявлений'!E170, ".", ","))</f>
        <v>0.70436525000000005</v>
      </c>
      <c r="F176" s="5">
        <f>VALUE(SUBSTITUTE('1000_заявлений'!F170, ".", ","))</f>
        <v>-4305</v>
      </c>
      <c r="G176" s="5">
        <f>VALUE(SUBSTITUTE('1000_заявлений'!G170, ".", ","))</f>
        <v>-11983</v>
      </c>
      <c r="H176" s="5">
        <f>VALUE(SUBSTITUTE('1000_заявлений'!H170, ".", ","))</f>
        <v>-1716</v>
      </c>
      <c r="I176" s="4">
        <f>VALUE(SUBSTITUTE('1000_заявлений'!I170, ".", ","))</f>
        <v>0.19216</v>
      </c>
      <c r="J176" s="4">
        <f>VALUE(SUBSTITUTE('1000_заявлений'!J170, ".", ","))</f>
        <v>4.6977512469178597</v>
      </c>
      <c r="K176" s="5">
        <f>VALUE(SUBSTITUTE('1000_заявлений'!K170, ".", ","))</f>
        <v>-1825</v>
      </c>
      <c r="L176" s="6">
        <f>VALUE(SUBSTITUTE('1000_заявлений'!L170, ".", ","))</f>
        <v>43236</v>
      </c>
      <c r="M176" s="2" t="str">
        <f>IF(Данные[[#This Row],[proba]]&gt;$C$6, "отказ", "одобрение")</f>
        <v>отказ</v>
      </c>
      <c r="N176" s="7">
        <f>IF(Данные[[#This Row],[proba]]&lt;$D$2,$C$2,IF(Данные[[#This Row],[proba]]&lt;$D$3,$C$3,IF(Данные[[#This Row],[proba]]&gt;$C$6,0,$C$4)))</f>
        <v>0</v>
      </c>
      <c r="O176" s="2">
        <f>IF(Данные[[#This Row],[weighted_ext_score]]&gt;$O$1,MIN(Данные[[#This Row],[Базовая сумма]]*$O$2,$C$2),IF(Данные[[#This Row],[weighted_ext_score]]&lt;$O$3,Данные[[#This Row],[Базовая сумма]]*$O$4,N176))</f>
        <v>0</v>
      </c>
      <c r="P1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6" s="2">
        <f>ABS(Данные[[#This Row],[days_birth]])/365.2425</f>
        <v>32.808339664743286</v>
      </c>
      <c r="S1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6" s="2">
        <f>IF(Данные[[#This Row],[ interest_rate]]&gt;$T$1,Данные[[#This Row],[days_birth4]]*$T$2,Данные[[#This Row],[days_birth4]])</f>
        <v>0</v>
      </c>
      <c r="U176" s="2">
        <f>IF(Данные[[#This Row],[Проверка отказа]]="отказ",0,MAX(Данные[[#This Row],[interest_rate]],$C$1))</f>
        <v>0</v>
      </c>
      <c r="V176" s="2">
        <f>MROUND(Данные[[#This Row],[Минимум 20000]], 100)</f>
        <v>0</v>
      </c>
    </row>
    <row r="177" spans="1:22" x14ac:dyDescent="0.25">
      <c r="A177" s="2">
        <f>'1000_заявлений'!A171</f>
        <v>169</v>
      </c>
      <c r="B177" s="4">
        <f>VALUE(SUBSTITUTE('1000_заявлений'!B171, ".", ","))</f>
        <v>0.50960638382979195</v>
      </c>
      <c r="C177" s="4">
        <f>VALUE(SUBSTITUTE('1000_заявлений'!C171, ".", ","))</f>
        <v>0.19758603197296701</v>
      </c>
      <c r="D177" s="4">
        <f>VALUE(SUBSTITUTE('1000_заявлений'!D171, ".", ","))</f>
        <v>0.53527623000000002</v>
      </c>
      <c r="E177" s="4">
        <f>VALUE(SUBSTITUTE('1000_заявлений'!E171, ".", ","))</f>
        <v>0.60912489999999997</v>
      </c>
      <c r="F177" s="5">
        <f>VALUE(SUBSTITUTE('1000_заявлений'!F171, ".", ","))</f>
        <v>-528</v>
      </c>
      <c r="G177" s="5">
        <f>VALUE(SUBSTITUTE('1000_заявлений'!G171, ".", ","))</f>
        <v>-16509</v>
      </c>
      <c r="H177" s="5">
        <f>VALUE(SUBSTITUTE('1000_заявлений'!H171, ".", ","))</f>
        <v>-22</v>
      </c>
      <c r="I177" s="4">
        <f>VALUE(SUBSTITUTE('1000_заявлений'!I171, ".", ","))</f>
        <v>0.14488888888888801</v>
      </c>
      <c r="J177" s="4">
        <f>VALUE(SUBSTITUTE('1000_заявлений'!J171, ".", ","))</f>
        <v>5.5113876435199201</v>
      </c>
      <c r="K177" s="5">
        <f>VALUE(SUBSTITUTE('1000_заявлений'!K171, ".", ","))</f>
        <v>-1901</v>
      </c>
      <c r="L177" s="6">
        <f>VALUE(SUBSTITUTE('1000_заявлений'!L171, ".", ","))</f>
        <v>29340</v>
      </c>
      <c r="M177" s="2" t="str">
        <f>IF(Данные[[#This Row],[proba]]&gt;$C$6, "отказ", "одобрение")</f>
        <v>отказ</v>
      </c>
      <c r="N177" s="7">
        <f>IF(Данные[[#This Row],[proba]]&lt;$D$2,$C$2,IF(Данные[[#This Row],[proba]]&lt;$D$3,$C$3,IF(Данные[[#This Row],[proba]]&gt;$C$6,0,$C$4)))</f>
        <v>0</v>
      </c>
      <c r="O177" s="2">
        <f>IF(Данные[[#This Row],[weighted_ext_score]]&gt;$O$1,MIN(Данные[[#This Row],[Базовая сумма]]*$O$2,$C$2),IF(Данные[[#This Row],[weighted_ext_score]]&lt;$O$3,Данные[[#This Row],[Базовая сумма]]*$O$4,N177))</f>
        <v>0</v>
      </c>
      <c r="P1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7" s="2">
        <f>ABS(Данные[[#This Row],[days_birth]])/365.2425</f>
        <v>45.200106778373275</v>
      </c>
      <c r="S1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7" s="2">
        <f>IF(Данные[[#This Row],[ interest_rate]]&gt;$T$1,Данные[[#This Row],[days_birth4]]*$T$2,Данные[[#This Row],[days_birth4]])</f>
        <v>0</v>
      </c>
      <c r="U177" s="2">
        <f>IF(Данные[[#This Row],[Проверка отказа]]="отказ",0,MAX(Данные[[#This Row],[interest_rate]],$C$1))</f>
        <v>0</v>
      </c>
      <c r="V177" s="2">
        <f>MROUND(Данные[[#This Row],[Минимум 20000]], 100)</f>
        <v>0</v>
      </c>
    </row>
    <row r="178" spans="1:22" x14ac:dyDescent="0.25">
      <c r="A178" s="2">
        <f>'1000_заявлений'!A172</f>
        <v>170</v>
      </c>
      <c r="B178" s="4">
        <f>VALUE(SUBSTITUTE('1000_заявлений'!B172, ".", ","))</f>
        <v>0.42187450933302401</v>
      </c>
      <c r="C178" s="4">
        <f>VALUE(SUBSTITUTE('1000_заявлений'!C172, ".", ","))</f>
        <v>0.23654667901177201</v>
      </c>
      <c r="D178" s="4">
        <f>VALUE(SUBSTITUTE('1000_заявлений'!D172, ".", ","))</f>
        <v>0.53527623000000002</v>
      </c>
      <c r="E178" s="4">
        <f>VALUE(SUBSTITUTE('1000_заявлений'!E172, ".", ","))</f>
        <v>0.7292341</v>
      </c>
      <c r="F178" s="5">
        <f>VALUE(SUBSTITUTE('1000_заявлений'!F172, ".", ","))</f>
        <v>-2967</v>
      </c>
      <c r="G178" s="5">
        <f>VALUE(SUBSTITUTE('1000_заявлений'!G172, ".", ","))</f>
        <v>-19142</v>
      </c>
      <c r="H178" s="5">
        <f>VALUE(SUBSTITUTE('1000_заявлений'!H172, ".", ","))</f>
        <v>-2689</v>
      </c>
      <c r="I178" s="4">
        <f>VALUE(SUBSTITUTE('1000_заявлений'!I172, ".", ","))</f>
        <v>0.33454285714285698</v>
      </c>
      <c r="J178" s="4">
        <f>VALUE(SUBSTITUTE('1000_заявлений'!J172, ".", ","))</f>
        <v>7.1150470899487797</v>
      </c>
      <c r="K178" s="5">
        <f>VALUE(SUBSTITUTE('1000_заявлений'!K172, ".", ","))</f>
        <v>-2554</v>
      </c>
      <c r="L178" s="6">
        <f>VALUE(SUBSTITUTE('1000_заявлений'!L172, ".", ","))</f>
        <v>52690.5</v>
      </c>
      <c r="M178" s="2" t="str">
        <f>IF(Данные[[#This Row],[proba]]&gt;$C$6, "отказ", "одобрение")</f>
        <v>отказ</v>
      </c>
      <c r="N178" s="7">
        <f>IF(Данные[[#This Row],[proba]]&lt;$D$2,$C$2,IF(Данные[[#This Row],[proba]]&lt;$D$3,$C$3,IF(Данные[[#This Row],[proba]]&gt;$C$6,0,$C$4)))</f>
        <v>0</v>
      </c>
      <c r="O178" s="2">
        <f>IF(Данные[[#This Row],[weighted_ext_score]]&gt;$O$1,MIN(Данные[[#This Row],[Базовая сумма]]*$O$2,$C$2),IF(Данные[[#This Row],[weighted_ext_score]]&lt;$O$3,Данные[[#This Row],[Базовая сумма]]*$O$4,N178))</f>
        <v>0</v>
      </c>
      <c r="P1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8" s="2">
        <f>ABS(Данные[[#This Row],[days_birth]])/365.2425</f>
        <v>52.409015927774014</v>
      </c>
      <c r="S1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8" s="2">
        <f>IF(Данные[[#This Row],[ interest_rate]]&gt;$T$1,Данные[[#This Row],[days_birth4]]*$T$2,Данные[[#This Row],[days_birth4]])</f>
        <v>0</v>
      </c>
      <c r="U178" s="2">
        <f>IF(Данные[[#This Row],[Проверка отказа]]="отказ",0,MAX(Данные[[#This Row],[interest_rate]],$C$1))</f>
        <v>0</v>
      </c>
      <c r="V178" s="2">
        <f>MROUND(Данные[[#This Row],[Минимум 20000]], 100)</f>
        <v>0</v>
      </c>
    </row>
    <row r="179" spans="1:22" x14ac:dyDescent="0.25">
      <c r="A179" s="2">
        <f>'1000_заявлений'!A173</f>
        <v>171</v>
      </c>
      <c r="B179" s="4">
        <f>VALUE(SUBSTITUTE('1000_заявлений'!B173, ".", ","))</f>
        <v>0.58227720982931996</v>
      </c>
      <c r="C179" s="4">
        <f>VALUE(SUBSTITUTE('1000_заявлений'!C173, ".", ","))</f>
        <v>0.35931651196543801</v>
      </c>
      <c r="D179" s="4">
        <f>VALUE(SUBSTITUTE('1000_заявлений'!D173, ".", ","))</f>
        <v>0.29859498000000001</v>
      </c>
      <c r="E179" s="4">
        <f>VALUE(SUBSTITUTE('1000_заявлений'!E173, ".", ","))</f>
        <v>0.60420423999999995</v>
      </c>
      <c r="F179" s="5">
        <f>VALUE(SUBSTITUTE('1000_заявлений'!F173, ".", ","))</f>
        <v>-4156</v>
      </c>
      <c r="G179" s="5">
        <f>VALUE(SUBSTITUTE('1000_заявлений'!G173, ".", ","))</f>
        <v>-13742</v>
      </c>
      <c r="H179" s="5">
        <f>VALUE(SUBSTITUTE('1000_заявлений'!H173, ".", ","))</f>
        <v>-5016</v>
      </c>
      <c r="I179" s="4">
        <f>VALUE(SUBSTITUTE('1000_заявлений'!I173, ".", ","))</f>
        <v>0.31564999999999999</v>
      </c>
      <c r="J179" s="4">
        <f>VALUE(SUBSTITUTE('1000_заявлений'!J173, ".", ","))</f>
        <v>4.2924571703572196</v>
      </c>
      <c r="K179" s="5">
        <f>VALUE(SUBSTITUTE('1000_заявлений'!K173, ".", ","))</f>
        <v>-524</v>
      </c>
      <c r="L179" s="6">
        <f>VALUE(SUBSTITUTE('1000_заявлений'!L173, ".", ","))</f>
        <v>28408.5</v>
      </c>
      <c r="M179" s="2" t="str">
        <f>IF(Данные[[#This Row],[proba]]&gt;$C$6, "отказ", "одобрение")</f>
        <v>отказ</v>
      </c>
      <c r="N179" s="7">
        <f>IF(Данные[[#This Row],[proba]]&lt;$D$2,$C$2,IF(Данные[[#This Row],[proba]]&lt;$D$3,$C$3,IF(Данные[[#This Row],[proba]]&gt;$C$6,0,$C$4)))</f>
        <v>0</v>
      </c>
      <c r="O179" s="2">
        <f>IF(Данные[[#This Row],[weighted_ext_score]]&gt;$O$1,MIN(Данные[[#This Row],[Базовая сумма]]*$O$2,$C$2),IF(Данные[[#This Row],[weighted_ext_score]]&lt;$O$3,Данные[[#This Row],[Базовая сумма]]*$O$4,N179))</f>
        <v>0</v>
      </c>
      <c r="P1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79" s="2">
        <f>ABS(Данные[[#This Row],[days_birth]])/365.2425</f>
        <v>37.62431809003607</v>
      </c>
      <c r="S1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79" s="2">
        <f>IF(Данные[[#This Row],[ interest_rate]]&gt;$T$1,Данные[[#This Row],[days_birth4]]*$T$2,Данные[[#This Row],[days_birth4]])</f>
        <v>0</v>
      </c>
      <c r="U179" s="2">
        <f>IF(Данные[[#This Row],[Проверка отказа]]="отказ",0,MAX(Данные[[#This Row],[interest_rate]],$C$1))</f>
        <v>0</v>
      </c>
      <c r="V179" s="2">
        <f>MROUND(Данные[[#This Row],[Минимум 20000]], 100)</f>
        <v>0</v>
      </c>
    </row>
    <row r="180" spans="1:22" x14ac:dyDescent="0.25">
      <c r="A180" s="2">
        <f>'1000_заявлений'!A174</f>
        <v>172</v>
      </c>
      <c r="B180" s="4">
        <f>VALUE(SUBSTITUTE('1000_заявлений'!B174, ".", ","))</f>
        <v>0.68562618224092198</v>
      </c>
      <c r="C180" s="4">
        <f>VALUE(SUBSTITUTE('1000_заявлений'!C174, ".", ","))</f>
        <v>0.313418893519676</v>
      </c>
      <c r="D180" s="4">
        <f>VALUE(SUBSTITUTE('1000_заявлений'!D174, ".", ","))</f>
        <v>0.20796417</v>
      </c>
      <c r="E180" s="4">
        <f>VALUE(SUBSTITUTE('1000_заявлений'!E174, ".", ","))</f>
        <v>0.35240605000000003</v>
      </c>
      <c r="F180" s="5">
        <f>VALUE(SUBSTITUTE('1000_заявлений'!F174, ".", ","))</f>
        <v>-5592</v>
      </c>
      <c r="G180" s="5">
        <f>VALUE(SUBSTITUTE('1000_заявлений'!G174, ".", ","))</f>
        <v>-15213</v>
      </c>
      <c r="H180" s="5">
        <f>VALUE(SUBSTITUTE('1000_заявлений'!H174, ".", ","))</f>
        <v>-4088</v>
      </c>
      <c r="I180" s="4">
        <f>VALUE(SUBSTITUTE('1000_заявлений'!I174, ".", ","))</f>
        <v>8.0291666666666595E-2</v>
      </c>
      <c r="J180" s="4">
        <f>VALUE(SUBSTITUTE('1000_заявлений'!J174, ".", ","))</f>
        <v>6.3024393739735203</v>
      </c>
      <c r="K180" s="5">
        <f>VALUE(SUBSTITUTE('1000_заявлений'!K174, ".", ","))</f>
        <v>-1091</v>
      </c>
      <c r="L180" s="6">
        <f>VALUE(SUBSTITUTE('1000_заявлений'!L174, ".", ","))</f>
        <v>8671.5</v>
      </c>
      <c r="M180" s="2" t="str">
        <f>IF(Данные[[#This Row],[proba]]&gt;$C$6, "отказ", "одобрение")</f>
        <v>отказ</v>
      </c>
      <c r="N180" s="7">
        <f>IF(Данные[[#This Row],[proba]]&lt;$D$2,$C$2,IF(Данные[[#This Row],[proba]]&lt;$D$3,$C$3,IF(Данные[[#This Row],[proba]]&gt;$C$6,0,$C$4)))</f>
        <v>0</v>
      </c>
      <c r="O180" s="2">
        <f>IF(Данные[[#This Row],[weighted_ext_score]]&gt;$O$1,MIN(Данные[[#This Row],[Базовая сумма]]*$O$2,$C$2),IF(Данные[[#This Row],[weighted_ext_score]]&lt;$O$3,Данные[[#This Row],[Базовая сумма]]*$O$4,N180))</f>
        <v>0</v>
      </c>
      <c r="P1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0" s="2">
        <f>ABS(Данные[[#This Row],[days_birth]])/365.2425</f>
        <v>41.651779297316168</v>
      </c>
      <c r="S1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0" s="2">
        <f>IF(Данные[[#This Row],[ interest_rate]]&gt;$T$1,Данные[[#This Row],[days_birth4]]*$T$2,Данные[[#This Row],[days_birth4]])</f>
        <v>0</v>
      </c>
      <c r="U180" s="2">
        <f>IF(Данные[[#This Row],[Проверка отказа]]="отказ",0,MAX(Данные[[#This Row],[interest_rate]],$C$1))</f>
        <v>0</v>
      </c>
      <c r="V180" s="2">
        <f>MROUND(Данные[[#This Row],[Минимум 20000]], 100)</f>
        <v>0</v>
      </c>
    </row>
    <row r="181" spans="1:22" x14ac:dyDescent="0.25">
      <c r="A181" s="2">
        <f>'1000_заявлений'!A175</f>
        <v>173</v>
      </c>
      <c r="B181" s="4">
        <f>VALUE(SUBSTITUTE('1000_заявлений'!B175, ".", ","))</f>
        <v>0.44691986181230497</v>
      </c>
      <c r="C181" s="4">
        <f>VALUE(SUBSTITUTE('1000_заявлений'!C175, ".", ","))</f>
        <v>0.35421951953063602</v>
      </c>
      <c r="D181" s="4">
        <f>VALUE(SUBSTITUTE('1000_заявлений'!D175, ".", ","))</f>
        <v>0.43828139999999999</v>
      </c>
      <c r="E181" s="4">
        <f>VALUE(SUBSTITUTE('1000_заявлений'!E175, ".", ","))</f>
        <v>0.60333585999999995</v>
      </c>
      <c r="F181" s="5">
        <f>VALUE(SUBSTITUTE('1000_заявлений'!F175, ".", ","))</f>
        <v>-18337</v>
      </c>
      <c r="G181" s="5">
        <f>VALUE(SUBSTITUTE('1000_заявлений'!G175, ".", ","))</f>
        <v>-18665</v>
      </c>
      <c r="H181" s="5">
        <f>VALUE(SUBSTITUTE('1000_заявлений'!H175, ".", ","))</f>
        <v>-2144</v>
      </c>
      <c r="I181" s="4">
        <f>VALUE(SUBSTITUTE('1000_заявлений'!I175, ".", ","))</f>
        <v>0.20143333333333299</v>
      </c>
      <c r="J181" s="4">
        <f>VALUE(SUBSTITUTE('1000_заявлений'!J175, ".", ","))</f>
        <v>3.6727932085766302</v>
      </c>
      <c r="K181" s="5">
        <f>VALUE(SUBSTITUTE('1000_заявлений'!K175, ".", ","))</f>
        <v>-2595</v>
      </c>
      <c r="L181" s="6">
        <f>VALUE(SUBSTITUTE('1000_заявлений'!L175, ".", ","))</f>
        <v>27193.5</v>
      </c>
      <c r="M181" s="2" t="str">
        <f>IF(Данные[[#This Row],[proba]]&gt;$C$6, "отказ", "одобрение")</f>
        <v>отказ</v>
      </c>
      <c r="N181" s="7">
        <f>IF(Данные[[#This Row],[proba]]&lt;$D$2,$C$2,IF(Данные[[#This Row],[proba]]&lt;$D$3,$C$3,IF(Данные[[#This Row],[proba]]&gt;$C$6,0,$C$4)))</f>
        <v>0</v>
      </c>
      <c r="O181" s="2">
        <f>IF(Данные[[#This Row],[weighted_ext_score]]&gt;$O$1,MIN(Данные[[#This Row],[Базовая сумма]]*$O$2,$C$2),IF(Данные[[#This Row],[weighted_ext_score]]&lt;$O$3,Данные[[#This Row],[Базовая сумма]]*$O$4,N181))</f>
        <v>0</v>
      </c>
      <c r="P1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1" s="2">
        <f>ABS(Данные[[#This Row],[days_birth]])/365.2425</f>
        <v>51.103034285440494</v>
      </c>
      <c r="S1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1" s="2">
        <f>IF(Данные[[#This Row],[ interest_rate]]&gt;$T$1,Данные[[#This Row],[days_birth4]]*$T$2,Данные[[#This Row],[days_birth4]])</f>
        <v>0</v>
      </c>
      <c r="U181" s="2">
        <f>IF(Данные[[#This Row],[Проверка отказа]]="отказ",0,MAX(Данные[[#This Row],[interest_rate]],$C$1))</f>
        <v>0</v>
      </c>
      <c r="V181" s="2">
        <f>MROUND(Данные[[#This Row],[Минимум 20000]], 100)</f>
        <v>0</v>
      </c>
    </row>
    <row r="182" spans="1:22" x14ac:dyDescent="0.25">
      <c r="A182" s="2">
        <f>'1000_заявлений'!A176</f>
        <v>174</v>
      </c>
      <c r="B182" s="4">
        <f>VALUE(SUBSTITUTE('1000_заявлений'!B176, ".", ","))</f>
        <v>0.47958385516803897</v>
      </c>
      <c r="C182" s="4">
        <f>VALUE(SUBSTITUTE('1000_заявлений'!C176, ".", ","))</f>
        <v>0.35476173196456201</v>
      </c>
      <c r="D182" s="4">
        <f>VALUE(SUBSTITUTE('1000_заявлений'!D176, ".", ","))</f>
        <v>0.39794633000000001</v>
      </c>
      <c r="E182" s="4">
        <f>VALUE(SUBSTITUTE('1000_заявлений'!E176, ".", ","))</f>
        <v>0.64997919999999998</v>
      </c>
      <c r="F182" s="5">
        <f>VALUE(SUBSTITUTE('1000_заявлений'!F176, ".", ","))</f>
        <v>-979</v>
      </c>
      <c r="G182" s="5">
        <f>VALUE(SUBSTITUTE('1000_заявлений'!G176, ".", ","))</f>
        <v>-11826</v>
      </c>
      <c r="H182" s="5">
        <f>VALUE(SUBSTITUTE('1000_заявлений'!H176, ".", ","))</f>
        <v>-3847</v>
      </c>
      <c r="I182" s="4">
        <f>VALUE(SUBSTITUTE('1000_заявлений'!I176, ".", ","))</f>
        <v>6.3333333333333297E-2</v>
      </c>
      <c r="J182" s="4">
        <f>VALUE(SUBSTITUTE('1000_заявлений'!J176, ".", ","))</f>
        <v>3.1417683407939299</v>
      </c>
      <c r="K182" s="5">
        <f>VALUE(SUBSTITUTE('1000_заявлений'!K176, ".", ","))</f>
        <v>-516</v>
      </c>
      <c r="L182" s="6">
        <f>VALUE(SUBSTITUTE('1000_заявлений'!L176, ".", ","))</f>
        <v>21375</v>
      </c>
      <c r="M182" s="2" t="str">
        <f>IF(Данные[[#This Row],[proba]]&gt;$C$6, "отказ", "одобрение")</f>
        <v>отказ</v>
      </c>
      <c r="N182" s="7">
        <f>IF(Данные[[#This Row],[proba]]&lt;$D$2,$C$2,IF(Данные[[#This Row],[proba]]&lt;$D$3,$C$3,IF(Данные[[#This Row],[proba]]&gt;$C$6,0,$C$4)))</f>
        <v>0</v>
      </c>
      <c r="O182" s="2">
        <f>IF(Данные[[#This Row],[weighted_ext_score]]&gt;$O$1,MIN(Данные[[#This Row],[Базовая сумма]]*$O$2,$C$2),IF(Данные[[#This Row],[weighted_ext_score]]&lt;$O$3,Данные[[#This Row],[Базовая сумма]]*$O$4,N182))</f>
        <v>0</v>
      </c>
      <c r="P1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2" s="2">
        <f>ABS(Данные[[#This Row],[days_birth]])/365.2425</f>
        <v>32.378488264646087</v>
      </c>
      <c r="S1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2" s="2">
        <f>IF(Данные[[#This Row],[ interest_rate]]&gt;$T$1,Данные[[#This Row],[days_birth4]]*$T$2,Данные[[#This Row],[days_birth4]])</f>
        <v>0</v>
      </c>
      <c r="U182" s="2">
        <f>IF(Данные[[#This Row],[Проверка отказа]]="отказ",0,MAX(Данные[[#This Row],[interest_rate]],$C$1))</f>
        <v>0</v>
      </c>
      <c r="V182" s="2">
        <f>MROUND(Данные[[#This Row],[Минимум 20000]], 100)</f>
        <v>0</v>
      </c>
    </row>
    <row r="183" spans="1:22" x14ac:dyDescent="0.25">
      <c r="A183" s="2">
        <f>'1000_заявлений'!A177</f>
        <v>175</v>
      </c>
      <c r="B183" s="4">
        <f>VALUE(SUBSTITUTE('1000_заявлений'!B177, ".", ","))</f>
        <v>0.22342094123540401</v>
      </c>
      <c r="C183" s="4">
        <f>VALUE(SUBSTITUTE('1000_заявлений'!C177, ".", ","))</f>
        <v>0.629251814430835</v>
      </c>
      <c r="D183" s="4">
        <f>VALUE(SUBSTITUTE('1000_заявлений'!D177, ".", ","))</f>
        <v>0.78260784999999999</v>
      </c>
      <c r="E183" s="4">
        <f>VALUE(SUBSTITUTE('1000_заявлений'!E177, ".", ","))</f>
        <v>0.62631314999999999</v>
      </c>
      <c r="F183" s="5">
        <f>VALUE(SUBSTITUTE('1000_заявлений'!F177, ".", ","))</f>
        <v>-6231</v>
      </c>
      <c r="G183" s="5">
        <f>VALUE(SUBSTITUTE('1000_заявлений'!G177, ".", ","))</f>
        <v>-11904</v>
      </c>
      <c r="H183" s="5">
        <f>VALUE(SUBSTITUTE('1000_заявлений'!H177, ".", ","))</f>
        <v>-2218</v>
      </c>
      <c r="I183" s="4">
        <f>VALUE(SUBSTITUTE('1000_заявлений'!I177, ".", ","))</f>
        <v>0.213233333333333</v>
      </c>
      <c r="J183" s="4">
        <f>VALUE(SUBSTITUTE('1000_заявлений'!J177, ".", ","))</f>
        <v>1.6108143884238</v>
      </c>
      <c r="K183" s="5">
        <f>VALUE(SUBSTITUTE('1000_заявлений'!K177, ".", ","))</f>
        <v>-1057</v>
      </c>
      <c r="L183" s="6">
        <f>VALUE(SUBSTITUTE('1000_заявлений'!L177, ".", ","))</f>
        <v>28786.5</v>
      </c>
      <c r="M183" s="2" t="str">
        <f>IF(Данные[[#This Row],[proba]]&gt;$C$6, "отказ", "одобрение")</f>
        <v>одобрение</v>
      </c>
      <c r="N183" s="7">
        <f>IF(Данные[[#This Row],[proba]]&lt;$D$2,$C$2,IF(Данные[[#This Row],[proba]]&lt;$D$3,$C$3,IF(Данные[[#This Row],[proba]]&gt;$C$6,0,$C$4)))</f>
        <v>100000</v>
      </c>
      <c r="O183" s="2">
        <f>IF(Данные[[#This Row],[weighted_ext_score]]&gt;$O$1,MIN(Данные[[#This Row],[Базовая сумма]]*$O$2,$C$2),IF(Данные[[#This Row],[weighted_ext_score]]&lt;$O$3,Данные[[#This Row],[Базовая сумма]]*$O$4,N183))</f>
        <v>100000</v>
      </c>
      <c r="P1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183" s="2">
        <f>ABS(Данные[[#This Row],[days_birth]])/365.2425</f>
        <v>32.592045011191196</v>
      </c>
      <c r="S1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183" s="2">
        <f>IF(Данные[[#This Row],[ interest_rate]]&gt;$T$1,Данные[[#This Row],[days_birth4]]*$T$2,Данные[[#This Row],[days_birth4]])</f>
        <v>70000</v>
      </c>
      <c r="U183" s="2">
        <f>IF(Данные[[#This Row],[Проверка отказа]]="отказ",0,MAX(Данные[[#This Row],[interest_rate]],$C$1))</f>
        <v>70000</v>
      </c>
      <c r="V183" s="2">
        <f>MROUND(Данные[[#This Row],[Минимум 20000]], 100)</f>
        <v>70000</v>
      </c>
    </row>
    <row r="184" spans="1:22" x14ac:dyDescent="0.25">
      <c r="A184" s="2">
        <f>'1000_заявлений'!A178</f>
        <v>176</v>
      </c>
      <c r="B184" s="4">
        <f>VALUE(SUBSTITUTE('1000_заявлений'!B178, ".", ","))</f>
        <v>0.34359710878691502</v>
      </c>
      <c r="C184" s="4">
        <f>VALUE(SUBSTITUTE('1000_заявлений'!C178, ".", ","))</f>
        <v>0.53669839349793802</v>
      </c>
      <c r="D184" s="4">
        <f>VALUE(SUBSTITUTE('1000_заявлений'!D178, ".", ","))</f>
        <v>0.41359675000000001</v>
      </c>
      <c r="E184" s="4">
        <f>VALUE(SUBSTITUTE('1000_заявлений'!E178, ".", ","))</f>
        <v>0.71742404000000004</v>
      </c>
      <c r="F184" s="5">
        <f>VALUE(SUBSTITUTE('1000_заявлений'!F178, ".", ","))</f>
        <v>-2938</v>
      </c>
      <c r="G184" s="5">
        <f>VALUE(SUBSTITUTE('1000_заявлений'!G178, ".", ","))</f>
        <v>-15921</v>
      </c>
      <c r="H184" s="5">
        <f>VALUE(SUBSTITUTE('1000_заявлений'!H178, ".", ","))</f>
        <v>-4639</v>
      </c>
      <c r="I184" s="4">
        <f>VALUE(SUBSTITUTE('1000_заявлений'!I178, ".", ","))</f>
        <v>0.14355000000000001</v>
      </c>
      <c r="J184" s="4">
        <f>VALUE(SUBSTITUTE('1000_заявлений'!J178, ".", ","))</f>
        <v>2.34856880541416</v>
      </c>
      <c r="K184" s="5">
        <f>VALUE(SUBSTITUTE('1000_заявлений'!K178, ".", ","))</f>
        <v>-246</v>
      </c>
      <c r="L184" s="6">
        <f>VALUE(SUBSTITUTE('1000_заявлений'!L178, ".", ","))</f>
        <v>25839</v>
      </c>
      <c r="M184" s="2" t="str">
        <f>IF(Данные[[#This Row],[proba]]&gt;$C$6, "отказ", "одобрение")</f>
        <v>отказ</v>
      </c>
      <c r="N184" s="7">
        <f>IF(Данные[[#This Row],[proba]]&lt;$D$2,$C$2,IF(Данные[[#This Row],[proba]]&lt;$D$3,$C$3,IF(Данные[[#This Row],[proba]]&gt;$C$6,0,$C$4)))</f>
        <v>0</v>
      </c>
      <c r="O184" s="2">
        <f>IF(Данные[[#This Row],[weighted_ext_score]]&gt;$O$1,MIN(Данные[[#This Row],[Базовая сумма]]*$O$2,$C$2),IF(Данные[[#This Row],[weighted_ext_score]]&lt;$O$3,Данные[[#This Row],[Базовая сумма]]*$O$4,N184))</f>
        <v>0</v>
      </c>
      <c r="P1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4" s="2">
        <f>ABS(Данные[[#This Row],[days_birth]])/365.2425</f>
        <v>43.590217458264028</v>
      </c>
      <c r="S1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4" s="2">
        <f>IF(Данные[[#This Row],[ interest_rate]]&gt;$T$1,Данные[[#This Row],[days_birth4]]*$T$2,Данные[[#This Row],[days_birth4]])</f>
        <v>0</v>
      </c>
      <c r="U184" s="2">
        <f>IF(Данные[[#This Row],[Проверка отказа]]="отказ",0,MAX(Данные[[#This Row],[interest_rate]],$C$1))</f>
        <v>0</v>
      </c>
      <c r="V184" s="2">
        <f>MROUND(Данные[[#This Row],[Минимум 20000]], 100)</f>
        <v>0</v>
      </c>
    </row>
    <row r="185" spans="1:22" x14ac:dyDescent="0.25">
      <c r="A185" s="2">
        <f>'1000_заявлений'!A179</f>
        <v>177</v>
      </c>
      <c r="B185" s="4">
        <f>VALUE(SUBSTITUTE('1000_заявлений'!B179, ".", ","))</f>
        <v>0.18688735661386199</v>
      </c>
      <c r="C185" s="4">
        <f>VALUE(SUBSTITUTE('1000_заявлений'!C179, ".", ","))</f>
        <v>0.689852990949268</v>
      </c>
      <c r="D185" s="4">
        <f>VALUE(SUBSTITUTE('1000_заявлений'!D179, ".", ","))</f>
        <v>0.65289649999999999</v>
      </c>
      <c r="E185" s="4">
        <f>VALUE(SUBSTITUTE('1000_заявлений'!E179, ".", ","))</f>
        <v>0.65271044</v>
      </c>
      <c r="F185" s="5">
        <f>VALUE(SUBSTITUTE('1000_заявлений'!F179, ".", ","))</f>
        <v>-9725</v>
      </c>
      <c r="G185" s="5">
        <f>VALUE(SUBSTITUTE('1000_заявлений'!G179, ".", ","))</f>
        <v>-21284</v>
      </c>
      <c r="H185" s="5">
        <f>VALUE(SUBSTITUTE('1000_заявлений'!H179, ".", ","))</f>
        <v>-4456</v>
      </c>
      <c r="I185" s="4">
        <f>VALUE(SUBSTITUTE('1000_заявлений'!I179, ".", ","))</f>
        <v>0.199375</v>
      </c>
      <c r="J185" s="4">
        <f>VALUE(SUBSTITUTE('1000_заявлений'!J179, ".", ","))</f>
        <v>1.9292258400437501</v>
      </c>
      <c r="K185" s="5">
        <f>VALUE(SUBSTITUTE('1000_заявлений'!K179, ".", ","))</f>
        <v>-1847</v>
      </c>
      <c r="L185" s="6">
        <f>VALUE(SUBSTITUTE('1000_заявлений'!L179, ".", ","))</f>
        <v>21532.5</v>
      </c>
      <c r="M185" s="2" t="str">
        <f>IF(Данные[[#This Row],[proba]]&gt;$C$6, "отказ", "одобрение")</f>
        <v>одобрение</v>
      </c>
      <c r="N185" s="7">
        <f>IF(Данные[[#This Row],[proba]]&lt;$D$2,$C$2,IF(Данные[[#This Row],[proba]]&lt;$D$3,$C$3,IF(Данные[[#This Row],[proba]]&gt;$C$6,0,$C$4)))</f>
        <v>300000</v>
      </c>
      <c r="O185" s="2">
        <f>IF(Данные[[#This Row],[weighted_ext_score]]&gt;$O$1,MIN(Данные[[#This Row],[Базовая сумма]]*$O$2,$C$2),IF(Данные[[#This Row],[weighted_ext_score]]&lt;$O$3,Данные[[#This Row],[Базовая сумма]]*$O$4,N185))</f>
        <v>300000</v>
      </c>
      <c r="P1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1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185" s="2">
        <f>ABS(Данные[[#This Row],[days_birth]])/365.2425</f>
        <v>58.273612736743395</v>
      </c>
      <c r="S1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264600</v>
      </c>
      <c r="T185" s="2">
        <f>IF(Данные[[#This Row],[ interest_rate]]&gt;$T$1,Данные[[#This Row],[days_birth4]]*$T$2,Данные[[#This Row],[days_birth4]])</f>
        <v>264600</v>
      </c>
      <c r="U185" s="2">
        <f>IF(Данные[[#This Row],[Проверка отказа]]="отказ",0,MAX(Данные[[#This Row],[interest_rate]],$C$1))</f>
        <v>264600</v>
      </c>
      <c r="V185" s="2">
        <f>MROUND(Данные[[#This Row],[Минимум 20000]], 100)</f>
        <v>264600</v>
      </c>
    </row>
    <row r="186" spans="1:22" x14ac:dyDescent="0.25">
      <c r="A186" s="2">
        <f>'1000_заявлений'!A180</f>
        <v>178</v>
      </c>
      <c r="B186" s="4">
        <f>VALUE(SUBSTITUTE('1000_заявлений'!B180, ".", ","))</f>
        <v>0.383373965699498</v>
      </c>
      <c r="C186" s="4">
        <f>VALUE(SUBSTITUTE('1000_заявлений'!C180, ".", ","))</f>
        <v>0.38075164720131</v>
      </c>
      <c r="D186" s="4">
        <f>VALUE(SUBSTITUTE('1000_заявлений'!D180, ".", ","))</f>
        <v>0.82770264000000005</v>
      </c>
      <c r="E186" s="4">
        <f>VALUE(SUBSTITUTE('1000_заявлений'!E180, ".", ","))</f>
        <v>0.25094283000000001</v>
      </c>
      <c r="F186" s="5">
        <f>VALUE(SUBSTITUTE('1000_заявлений'!F180, ".", ","))</f>
        <v>-9247</v>
      </c>
      <c r="G186" s="5">
        <f>VALUE(SUBSTITUTE('1000_заявлений'!G180, ".", ","))</f>
        <v>-19584</v>
      </c>
      <c r="H186" s="5">
        <f>VALUE(SUBSTITUTE('1000_заявлений'!H180, ".", ","))</f>
        <v>-3121</v>
      </c>
      <c r="I186" s="4">
        <f>VALUE(SUBSTITUTE('1000_заявлений'!I180, ".", ","))</f>
        <v>0.20845</v>
      </c>
      <c r="J186" s="4">
        <f>VALUE(SUBSTITUTE('1000_заявлений'!J180, ".", ","))</f>
        <v>3.2507636321376099</v>
      </c>
      <c r="K186" s="5">
        <f>VALUE(SUBSTITUTE('1000_заявлений'!K180, ".", ","))</f>
        <v>-1258</v>
      </c>
      <c r="L186" s="6">
        <f>VALUE(SUBSTITUTE('1000_заявлений'!L180, ".", ","))</f>
        <v>18760.5</v>
      </c>
      <c r="M186" s="2" t="str">
        <f>IF(Данные[[#This Row],[proba]]&gt;$C$6, "отказ", "одобрение")</f>
        <v>отказ</v>
      </c>
      <c r="N186" s="7">
        <f>IF(Данные[[#This Row],[proba]]&lt;$D$2,$C$2,IF(Данные[[#This Row],[proba]]&lt;$D$3,$C$3,IF(Данные[[#This Row],[proba]]&gt;$C$6,0,$C$4)))</f>
        <v>0</v>
      </c>
      <c r="O186" s="2">
        <f>IF(Данные[[#This Row],[weighted_ext_score]]&gt;$O$1,MIN(Данные[[#This Row],[Базовая сумма]]*$O$2,$C$2),IF(Данные[[#This Row],[weighted_ext_score]]&lt;$O$3,Данные[[#This Row],[Базовая сумма]]*$O$4,N186))</f>
        <v>0</v>
      </c>
      <c r="P1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6" s="2">
        <f>ABS(Данные[[#This Row],[days_birth]])/365.2425</f>
        <v>53.619170824862934</v>
      </c>
      <c r="S1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6" s="2">
        <f>IF(Данные[[#This Row],[ interest_rate]]&gt;$T$1,Данные[[#This Row],[days_birth4]]*$T$2,Данные[[#This Row],[days_birth4]])</f>
        <v>0</v>
      </c>
      <c r="U186" s="2">
        <f>IF(Данные[[#This Row],[Проверка отказа]]="отказ",0,MAX(Данные[[#This Row],[interest_rate]],$C$1))</f>
        <v>0</v>
      </c>
      <c r="V186" s="2">
        <f>MROUND(Данные[[#This Row],[Минимум 20000]], 100)</f>
        <v>0</v>
      </c>
    </row>
    <row r="187" spans="1:22" x14ac:dyDescent="0.25">
      <c r="A187" s="2">
        <f>'1000_заявлений'!A181</f>
        <v>179</v>
      </c>
      <c r="B187" s="4">
        <f>VALUE(SUBSTITUTE('1000_заявлений'!B181, ".", ","))</f>
        <v>0.25942058293398701</v>
      </c>
      <c r="C187" s="4">
        <f>VALUE(SUBSTITUTE('1000_заявлений'!C181, ".", ","))</f>
        <v>0.48058439960794502</v>
      </c>
      <c r="D187" s="4">
        <f>VALUE(SUBSTITUTE('1000_заявлений'!D181, ".", ","))</f>
        <v>0.69562190000000002</v>
      </c>
      <c r="E187" s="4">
        <f>VALUE(SUBSTITUTE('1000_заявлений'!E181, ".", ","))</f>
        <v>0.70597469999999996</v>
      </c>
      <c r="F187" s="5">
        <f>VALUE(SUBSTITUTE('1000_заявлений'!F181, ".", ","))</f>
        <v>-10111</v>
      </c>
      <c r="G187" s="5">
        <f>VALUE(SUBSTITUTE('1000_заявлений'!G181, ".", ","))</f>
        <v>-18001</v>
      </c>
      <c r="H187" s="5">
        <f>VALUE(SUBSTITUTE('1000_заявлений'!H181, ".", ","))</f>
        <v>-1554</v>
      </c>
      <c r="I187" s="4">
        <f>VALUE(SUBSTITUTE('1000_заявлений'!I181, ".", ","))</f>
        <v>0.24068000000000001</v>
      </c>
      <c r="J187" s="4">
        <f>VALUE(SUBSTITUTE('1000_заявлений'!J181, ".", ","))</f>
        <v>3.2151445841177302</v>
      </c>
      <c r="K187" s="5">
        <f>VALUE(SUBSTITUTE('1000_заявлений'!K181, ".", ","))</f>
        <v>-1255</v>
      </c>
      <c r="L187" s="6">
        <f>VALUE(SUBSTITUTE('1000_заявлений'!L181, ".", ","))</f>
        <v>27076.5</v>
      </c>
      <c r="M187" s="2" t="str">
        <f>IF(Данные[[#This Row],[proba]]&gt;$C$6, "отказ", "одобрение")</f>
        <v>одобрение</v>
      </c>
      <c r="N187" s="7">
        <f>IF(Данные[[#This Row],[proba]]&lt;$D$2,$C$2,IF(Данные[[#This Row],[proba]]&lt;$D$3,$C$3,IF(Данные[[#This Row],[proba]]&gt;$C$6,0,$C$4)))</f>
        <v>100000</v>
      </c>
      <c r="O187" s="2">
        <f>IF(Данные[[#This Row],[weighted_ext_score]]&gt;$O$1,MIN(Данные[[#This Row],[Базовая сумма]]*$O$2,$C$2),IF(Данные[[#This Row],[weighted_ext_score]]&lt;$O$3,Данные[[#This Row],[Базовая сумма]]*$O$4,N187))</f>
        <v>100000</v>
      </c>
      <c r="P1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1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187" s="2">
        <f>ABS(Данные[[#This Row],[days_birth]])/365.2425</f>
        <v>49.285064032800122</v>
      </c>
      <c r="S1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187" s="2">
        <f>IF(Данные[[#This Row],[ interest_rate]]&gt;$T$1,Данные[[#This Row],[days_birth4]]*$T$2,Данные[[#This Row],[days_birth4]])</f>
        <v>70000</v>
      </c>
      <c r="U187" s="2">
        <f>IF(Данные[[#This Row],[Проверка отказа]]="отказ",0,MAX(Данные[[#This Row],[interest_rate]],$C$1))</f>
        <v>70000</v>
      </c>
      <c r="V187" s="2">
        <f>MROUND(Данные[[#This Row],[Минимум 20000]], 100)</f>
        <v>70000</v>
      </c>
    </row>
    <row r="188" spans="1:22" x14ac:dyDescent="0.25">
      <c r="A188" s="2">
        <f>'1000_заявлений'!A182</f>
        <v>180</v>
      </c>
      <c r="B188" s="4">
        <f>VALUE(SUBSTITUTE('1000_заявлений'!B182, ".", ","))</f>
        <v>0.55135743452012898</v>
      </c>
      <c r="C188" s="4">
        <f>VALUE(SUBSTITUTE('1000_заявлений'!C182, ".", ","))</f>
        <v>0.32183880289866101</v>
      </c>
      <c r="D188" s="4">
        <f>VALUE(SUBSTITUTE('1000_заявлений'!D182, ".", ","))</f>
        <v>0.66585492999999996</v>
      </c>
      <c r="E188" s="4">
        <f>VALUE(SUBSTITUTE('1000_заявлений'!E182, ".", ","))</f>
        <v>0.24977724000000001</v>
      </c>
      <c r="F188" s="5">
        <f>VALUE(SUBSTITUTE('1000_заявлений'!F182, ".", ","))</f>
        <v>-160</v>
      </c>
      <c r="G188" s="5">
        <f>VALUE(SUBSTITUTE('1000_заявлений'!G182, ".", ","))</f>
        <v>-11284</v>
      </c>
      <c r="H188" s="5">
        <f>VALUE(SUBSTITUTE('1000_заявлений'!H182, ".", ","))</f>
        <v>-3966</v>
      </c>
      <c r="I188" s="4">
        <f>VALUE(SUBSTITUTE('1000_заявлений'!I182, ".", ","))</f>
        <v>0.19045714285714199</v>
      </c>
      <c r="J188" s="4">
        <f>VALUE(SUBSTITUTE('1000_заявлений'!J182, ".", ","))</f>
        <v>2.93533404894572</v>
      </c>
      <c r="K188" s="5">
        <f>VALUE(SUBSTITUTE('1000_заявлений'!K182, ".", ","))</f>
        <v>-1801</v>
      </c>
      <c r="L188" s="6">
        <f>VALUE(SUBSTITUTE('1000_заявлений'!L182, ".", ","))</f>
        <v>29997</v>
      </c>
      <c r="M188" s="2" t="str">
        <f>IF(Данные[[#This Row],[proba]]&gt;$C$6, "отказ", "одобрение")</f>
        <v>отказ</v>
      </c>
      <c r="N188" s="7">
        <f>IF(Данные[[#This Row],[proba]]&lt;$D$2,$C$2,IF(Данные[[#This Row],[proba]]&lt;$D$3,$C$3,IF(Данные[[#This Row],[proba]]&gt;$C$6,0,$C$4)))</f>
        <v>0</v>
      </c>
      <c r="O188" s="2">
        <f>IF(Данные[[#This Row],[weighted_ext_score]]&gt;$O$1,MIN(Данные[[#This Row],[Базовая сумма]]*$O$2,$C$2),IF(Данные[[#This Row],[weighted_ext_score]]&lt;$O$3,Данные[[#This Row],[Базовая сумма]]*$O$4,N188))</f>
        <v>0</v>
      </c>
      <c r="P1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8" s="2">
        <f>ABS(Данные[[#This Row],[days_birth]])/365.2425</f>
        <v>30.894542666858321</v>
      </c>
      <c r="S1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8" s="2">
        <f>IF(Данные[[#This Row],[ interest_rate]]&gt;$T$1,Данные[[#This Row],[days_birth4]]*$T$2,Данные[[#This Row],[days_birth4]])</f>
        <v>0</v>
      </c>
      <c r="U188" s="2">
        <f>IF(Данные[[#This Row],[Проверка отказа]]="отказ",0,MAX(Данные[[#This Row],[interest_rate]],$C$1))</f>
        <v>0</v>
      </c>
      <c r="V188" s="2">
        <f>MROUND(Данные[[#This Row],[Минимум 20000]], 100)</f>
        <v>0</v>
      </c>
    </row>
    <row r="189" spans="1:22" x14ac:dyDescent="0.25">
      <c r="A189" s="2">
        <f>'1000_заявлений'!A183</f>
        <v>181</v>
      </c>
      <c r="B189" s="4">
        <f>VALUE(SUBSTITUTE('1000_заявлений'!B183, ".", ","))</f>
        <v>0.58479914422867396</v>
      </c>
      <c r="C189" s="4">
        <f>VALUE(SUBSTITUTE('1000_заявлений'!C183, ".", ","))</f>
        <v>0.26147763116446998</v>
      </c>
      <c r="D189" s="4">
        <f>VALUE(SUBSTITUTE('1000_заявлений'!D183, ".", ","))</f>
        <v>0.39794633000000001</v>
      </c>
      <c r="E189" s="4">
        <f>VALUE(SUBSTITUTE('1000_заявлений'!E183, ".", ","))</f>
        <v>0.36239981999999998</v>
      </c>
      <c r="F189" s="5">
        <f>VALUE(SUBSTITUTE('1000_заявлений'!F183, ".", ","))</f>
        <v>-4975</v>
      </c>
      <c r="G189" s="5">
        <f>VALUE(SUBSTITUTE('1000_заявлений'!G183, ".", ","))</f>
        <v>-20924</v>
      </c>
      <c r="H189" s="5">
        <f>VALUE(SUBSTITUTE('1000_заявлений'!H183, ".", ","))</f>
        <v>-3660</v>
      </c>
      <c r="I189" s="4">
        <f>VALUE(SUBSTITUTE('1000_заявлений'!I183, ".", ","))</f>
        <v>0.23528571428571399</v>
      </c>
      <c r="J189" s="4">
        <f>VALUE(SUBSTITUTE('1000_заявлений'!J183, ".", ","))</f>
        <v>2.7556620031779602</v>
      </c>
      <c r="K189" s="5">
        <f>VALUE(SUBSTITUTE('1000_заявлений'!K183, ".", ","))</f>
        <v>365243</v>
      </c>
      <c r="L189" s="6">
        <f>VALUE(SUBSTITUTE('1000_заявлений'!L183, ".", ","))</f>
        <v>22234.5</v>
      </c>
      <c r="M189" s="2" t="str">
        <f>IF(Данные[[#This Row],[proba]]&gt;$C$6, "отказ", "одобрение")</f>
        <v>отказ</v>
      </c>
      <c r="N189" s="7">
        <f>IF(Данные[[#This Row],[proba]]&lt;$D$2,$C$2,IF(Данные[[#This Row],[proba]]&lt;$D$3,$C$3,IF(Данные[[#This Row],[proba]]&gt;$C$6,0,$C$4)))</f>
        <v>0</v>
      </c>
      <c r="O189" s="2">
        <f>IF(Данные[[#This Row],[weighted_ext_score]]&gt;$O$1,MIN(Данные[[#This Row],[Базовая сумма]]*$O$2,$C$2),IF(Данные[[#This Row],[weighted_ext_score]]&lt;$O$3,Данные[[#This Row],[Базовая сумма]]*$O$4,N189))</f>
        <v>0</v>
      </c>
      <c r="P1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89" s="2">
        <f>ABS(Данные[[#This Row],[days_birth]])/365.2425</f>
        <v>57.287966214227531</v>
      </c>
      <c r="S1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89" s="2">
        <f>IF(Данные[[#This Row],[ interest_rate]]&gt;$T$1,Данные[[#This Row],[days_birth4]]*$T$2,Данные[[#This Row],[days_birth4]])</f>
        <v>0</v>
      </c>
      <c r="U189" s="2">
        <f>IF(Данные[[#This Row],[Проверка отказа]]="отказ",0,MAX(Данные[[#This Row],[interest_rate]],$C$1))</f>
        <v>0</v>
      </c>
      <c r="V189" s="2">
        <f>MROUND(Данные[[#This Row],[Минимум 20000]], 100)</f>
        <v>0</v>
      </c>
    </row>
    <row r="190" spans="1:22" x14ac:dyDescent="0.25">
      <c r="A190" s="2">
        <f>'1000_заявлений'!A184</f>
        <v>182</v>
      </c>
      <c r="B190" s="4">
        <f>VALUE(SUBSTITUTE('1000_заявлений'!B184, ".", ","))</f>
        <v>0.58256193605645901</v>
      </c>
      <c r="C190" s="4">
        <f>VALUE(SUBSTITUTE('1000_заявлений'!C184, ".", ","))</f>
        <v>0.133658044911246</v>
      </c>
      <c r="D190" s="4">
        <f>VALUE(SUBSTITUTE('1000_заявлений'!D184, ".", ","))</f>
        <v>0.53527623000000002</v>
      </c>
      <c r="E190" s="4">
        <f>VALUE(SUBSTITUTE('1000_заявлений'!E184, ".", ","))</f>
        <v>0.41204553999999999</v>
      </c>
      <c r="F190" s="5">
        <f>VALUE(SUBSTITUTE('1000_заявлений'!F184, ".", ","))</f>
        <v>-901</v>
      </c>
      <c r="G190" s="5">
        <f>VALUE(SUBSTITUTE('1000_заявлений'!G184, ".", ","))</f>
        <v>-13275</v>
      </c>
      <c r="H190" s="5">
        <f>VALUE(SUBSTITUTE('1000_заявлений'!H184, ".", ","))</f>
        <v>-4628</v>
      </c>
      <c r="I190" s="4">
        <f>VALUE(SUBSTITUTE('1000_заявлений'!I184, ".", ","))</f>
        <v>0.15</v>
      </c>
      <c r="J190" s="4">
        <f>VALUE(SUBSTITUTE('1000_заявлений'!J184, ".", ","))</f>
        <v>10.6209759779781</v>
      </c>
      <c r="K190" s="5">
        <f>VALUE(SUBSTITUTE('1000_заявлений'!K184, ".", ","))</f>
        <v>-3611</v>
      </c>
      <c r="L190" s="6">
        <f>VALUE(SUBSTITUTE('1000_заявлений'!L184, ".", ","))</f>
        <v>20250</v>
      </c>
      <c r="M190" s="2" t="str">
        <f>IF(Данные[[#This Row],[proba]]&gt;$C$6, "отказ", "одобрение")</f>
        <v>отказ</v>
      </c>
      <c r="N190" s="7">
        <f>IF(Данные[[#This Row],[proba]]&lt;$D$2,$C$2,IF(Данные[[#This Row],[proba]]&lt;$D$3,$C$3,IF(Данные[[#This Row],[proba]]&gt;$C$6,0,$C$4)))</f>
        <v>0</v>
      </c>
      <c r="O190" s="2">
        <f>IF(Данные[[#This Row],[weighted_ext_score]]&gt;$O$1,MIN(Данные[[#This Row],[Базовая сумма]]*$O$2,$C$2),IF(Данные[[#This Row],[weighted_ext_score]]&lt;$O$3,Данные[[#This Row],[Базовая сумма]]*$O$4,N190))</f>
        <v>0</v>
      </c>
      <c r="P1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0" s="2">
        <f>ABS(Данные[[#This Row],[days_birth]])/365.2425</f>
        <v>36.34571551777244</v>
      </c>
      <c r="S1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0" s="2">
        <f>IF(Данные[[#This Row],[ interest_rate]]&gt;$T$1,Данные[[#This Row],[days_birth4]]*$T$2,Данные[[#This Row],[days_birth4]])</f>
        <v>0</v>
      </c>
      <c r="U190" s="2">
        <f>IF(Данные[[#This Row],[Проверка отказа]]="отказ",0,MAX(Данные[[#This Row],[interest_rate]],$C$1))</f>
        <v>0</v>
      </c>
      <c r="V190" s="2">
        <f>MROUND(Данные[[#This Row],[Минимум 20000]], 100)</f>
        <v>0</v>
      </c>
    </row>
    <row r="191" spans="1:22" x14ac:dyDescent="0.25">
      <c r="A191" s="2">
        <f>'1000_заявлений'!A185</f>
        <v>183</v>
      </c>
      <c r="B191" s="4">
        <f>VALUE(SUBSTITUTE('1000_заявлений'!B185, ".", ","))</f>
        <v>0.21554242272685001</v>
      </c>
      <c r="C191" s="4">
        <f>VALUE(SUBSTITUTE('1000_заявлений'!C185, ".", ","))</f>
        <v>0.48645480947298197</v>
      </c>
      <c r="D191" s="4">
        <f>VALUE(SUBSTITUTE('1000_заявлений'!D185, ".", ","))</f>
        <v>0.63470554000000001</v>
      </c>
      <c r="E191" s="4">
        <f>VALUE(SUBSTITUTE('1000_заявлений'!E185, ".", ","))</f>
        <v>0.79199120000000001</v>
      </c>
      <c r="F191" s="5">
        <f>VALUE(SUBSTITUTE('1000_заявлений'!F185, ".", ","))</f>
        <v>-854</v>
      </c>
      <c r="G191" s="5">
        <f>VALUE(SUBSTITUTE('1000_заявлений'!G185, ".", ","))</f>
        <v>-18886</v>
      </c>
      <c r="H191" s="5">
        <f>VALUE(SUBSTITUTE('1000_заявлений'!H185, ".", ","))</f>
        <v>-2427</v>
      </c>
      <c r="I191" s="4">
        <f>VALUE(SUBSTITUTE('1000_заявлений'!I185, ".", ","))</f>
        <v>0.103085714285714</v>
      </c>
      <c r="J191" s="4">
        <f>VALUE(SUBSTITUTE('1000_заявлений'!J185, ".", ","))</f>
        <v>6.1510714313004398</v>
      </c>
      <c r="K191" s="5">
        <f>VALUE(SUBSTITUTE('1000_заявлений'!K185, ".", ","))</f>
        <v>-95</v>
      </c>
      <c r="L191" s="6">
        <f>VALUE(SUBSTITUTE('1000_заявлений'!L185, ".", ","))</f>
        <v>32472</v>
      </c>
      <c r="M191" s="2" t="str">
        <f>IF(Данные[[#This Row],[proba]]&gt;$C$6, "отказ", "одобрение")</f>
        <v>одобрение</v>
      </c>
      <c r="N191" s="7">
        <f>IF(Данные[[#This Row],[proba]]&lt;$D$2,$C$2,IF(Данные[[#This Row],[proba]]&lt;$D$3,$C$3,IF(Данные[[#This Row],[proba]]&gt;$C$6,0,$C$4)))</f>
        <v>100000</v>
      </c>
      <c r="O191" s="2">
        <f>IF(Данные[[#This Row],[weighted_ext_score]]&gt;$O$1,MIN(Данные[[#This Row],[Базовая сумма]]*$O$2,$C$2),IF(Данные[[#This Row],[weighted_ext_score]]&lt;$O$3,Данные[[#This Row],[Базовая сумма]]*$O$4,N191))</f>
        <v>100000</v>
      </c>
      <c r="P1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91" s="2">
        <f>ABS(Данные[[#This Row],[days_birth]])/365.2425</f>
        <v>51.708111733984957</v>
      </c>
      <c r="S1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91" s="2">
        <f>IF(Данные[[#This Row],[ interest_rate]]&gt;$T$1,Данные[[#This Row],[days_birth4]]*$T$2,Данные[[#This Row],[days_birth4]])</f>
        <v>126000</v>
      </c>
      <c r="U191" s="2">
        <f>IF(Данные[[#This Row],[Проверка отказа]]="отказ",0,MAX(Данные[[#This Row],[interest_rate]],$C$1))</f>
        <v>126000</v>
      </c>
      <c r="V191" s="2">
        <f>MROUND(Данные[[#This Row],[Минимум 20000]], 100)</f>
        <v>126000</v>
      </c>
    </row>
    <row r="192" spans="1:22" x14ac:dyDescent="0.25">
      <c r="A192" s="2">
        <f>'1000_заявлений'!A186</f>
        <v>184</v>
      </c>
      <c r="B192" s="4">
        <f>VALUE(SUBSTITUTE('1000_заявлений'!B186, ".", ","))</f>
        <v>0.69529639874228399</v>
      </c>
      <c r="C192" s="4">
        <f>VALUE(SUBSTITUTE('1000_заявлений'!C186, ".", ","))</f>
        <v>0.25308527310464901</v>
      </c>
      <c r="D192" s="4">
        <f>VALUE(SUBSTITUTE('1000_заявлений'!D186, ".", ","))</f>
        <v>0.22009465</v>
      </c>
      <c r="E192" s="4">
        <f>VALUE(SUBSTITUTE('1000_заявлений'!E186, ".", ","))</f>
        <v>0.53482419999999997</v>
      </c>
      <c r="F192" s="5">
        <f>VALUE(SUBSTITUTE('1000_заявлений'!F186, ".", ","))</f>
        <v>-2018</v>
      </c>
      <c r="G192" s="5">
        <f>VALUE(SUBSTITUTE('1000_заявлений'!G186, ".", ","))</f>
        <v>-16722</v>
      </c>
      <c r="H192" s="5">
        <f>VALUE(SUBSTITUTE('1000_заявлений'!H186, ".", ","))</f>
        <v>-251</v>
      </c>
      <c r="I192" s="4">
        <f>VALUE(SUBSTITUTE('1000_заявлений'!I186, ".", ","))</f>
        <v>0.14849999999999999</v>
      </c>
      <c r="J192" s="4">
        <f>VALUE(SUBSTITUTE('1000_заявлений'!J186, ".", ","))</f>
        <v>3.38888975284359</v>
      </c>
      <c r="K192" s="5">
        <f>VALUE(SUBSTITUTE('1000_заявлений'!K186, ".", ","))</f>
        <v>-1984</v>
      </c>
      <c r="L192" s="6">
        <f>VALUE(SUBSTITUTE('1000_заявлений'!L186, ".", ","))</f>
        <v>13365</v>
      </c>
      <c r="M192" s="2" t="str">
        <f>IF(Данные[[#This Row],[proba]]&gt;$C$6, "отказ", "одобрение")</f>
        <v>отказ</v>
      </c>
      <c r="N192" s="7">
        <f>IF(Данные[[#This Row],[proba]]&lt;$D$2,$C$2,IF(Данные[[#This Row],[proba]]&lt;$D$3,$C$3,IF(Данные[[#This Row],[proba]]&gt;$C$6,0,$C$4)))</f>
        <v>0</v>
      </c>
      <c r="O192" s="2">
        <f>IF(Данные[[#This Row],[weighted_ext_score]]&gt;$O$1,MIN(Данные[[#This Row],[Базовая сумма]]*$O$2,$C$2),IF(Данные[[#This Row],[weighted_ext_score]]&lt;$O$3,Данные[[#This Row],[Базовая сумма]]*$O$4,N192))</f>
        <v>0</v>
      </c>
      <c r="P1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2" s="2">
        <f>ABS(Данные[[#This Row],[days_birth]])/365.2425</f>
        <v>45.783280970861824</v>
      </c>
      <c r="S1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2" s="2">
        <f>IF(Данные[[#This Row],[ interest_rate]]&gt;$T$1,Данные[[#This Row],[days_birth4]]*$T$2,Данные[[#This Row],[days_birth4]])</f>
        <v>0</v>
      </c>
      <c r="U192" s="2">
        <f>IF(Данные[[#This Row],[Проверка отказа]]="отказ",0,MAX(Данные[[#This Row],[interest_rate]],$C$1))</f>
        <v>0</v>
      </c>
      <c r="V192" s="2">
        <f>MROUND(Данные[[#This Row],[Минимум 20000]], 100)</f>
        <v>0</v>
      </c>
    </row>
    <row r="193" spans="1:22" x14ac:dyDescent="0.25">
      <c r="A193" s="2">
        <f>'1000_заявлений'!A187</f>
        <v>185</v>
      </c>
      <c r="B193" s="4">
        <f>VALUE(SUBSTITUTE('1000_заявлений'!B187, ".", ","))</f>
        <v>0.34902247063139702</v>
      </c>
      <c r="C193" s="4">
        <f>VALUE(SUBSTITUTE('1000_заявлений'!C187, ".", ","))</f>
        <v>0.38802316670776099</v>
      </c>
      <c r="D193" s="4">
        <f>VALUE(SUBSTITUTE('1000_заявлений'!D187, ".", ","))</f>
        <v>0.53707000000000005</v>
      </c>
      <c r="E193" s="4">
        <f>VALUE(SUBSTITUTE('1000_заявлений'!E187, ".", ","))</f>
        <v>0.59740203999999997</v>
      </c>
      <c r="F193" s="5">
        <f>VALUE(SUBSTITUTE('1000_заявлений'!F187, ".", ","))</f>
        <v>-5318</v>
      </c>
      <c r="G193" s="5">
        <f>VALUE(SUBSTITUTE('1000_заявлений'!G187, ".", ","))</f>
        <v>-19219</v>
      </c>
      <c r="H193" s="5">
        <f>VALUE(SUBSTITUTE('1000_заявлений'!H187, ".", ","))</f>
        <v>-2753</v>
      </c>
      <c r="I193" s="4">
        <f>VALUE(SUBSTITUTE('1000_заявлений'!I187, ".", ","))</f>
        <v>0.138328571428571</v>
      </c>
      <c r="J193" s="4">
        <f>VALUE(SUBSTITUTE('1000_заявлений'!J187, ".", ","))</f>
        <v>7.1302883489143998</v>
      </c>
      <c r="K193" s="5">
        <f>VALUE(SUBSTITUTE('1000_заявлений'!K187, ".", ","))</f>
        <v>-665</v>
      </c>
      <c r="L193" s="6">
        <f>VALUE(SUBSTITUTE('1000_заявлений'!L187, ".", ","))</f>
        <v>43573.5</v>
      </c>
      <c r="M193" s="2" t="str">
        <f>IF(Данные[[#This Row],[proba]]&gt;$C$6, "отказ", "одобрение")</f>
        <v>отказ</v>
      </c>
      <c r="N193" s="7">
        <f>IF(Данные[[#This Row],[proba]]&lt;$D$2,$C$2,IF(Данные[[#This Row],[proba]]&lt;$D$3,$C$3,IF(Данные[[#This Row],[proba]]&gt;$C$6,0,$C$4)))</f>
        <v>0</v>
      </c>
      <c r="O193" s="2">
        <f>IF(Данные[[#This Row],[weighted_ext_score]]&gt;$O$1,MIN(Данные[[#This Row],[Базовая сумма]]*$O$2,$C$2),IF(Данные[[#This Row],[weighted_ext_score]]&lt;$O$3,Данные[[#This Row],[Базовая сумма]]*$O$4,N193))</f>
        <v>0</v>
      </c>
      <c r="P1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3" s="2">
        <f>ABS(Данные[[#This Row],[days_birth]])/365.2425</f>
        <v>52.619834767312128</v>
      </c>
      <c r="S1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3" s="2">
        <f>IF(Данные[[#This Row],[ interest_rate]]&gt;$T$1,Данные[[#This Row],[days_birth4]]*$T$2,Данные[[#This Row],[days_birth4]])</f>
        <v>0</v>
      </c>
      <c r="U193" s="2">
        <f>IF(Данные[[#This Row],[Проверка отказа]]="отказ",0,MAX(Данные[[#This Row],[interest_rate]],$C$1))</f>
        <v>0</v>
      </c>
      <c r="V193" s="2">
        <f>MROUND(Данные[[#This Row],[Минимум 20000]], 100)</f>
        <v>0</v>
      </c>
    </row>
    <row r="194" spans="1:22" x14ac:dyDescent="0.25">
      <c r="A194" s="2">
        <f>'1000_заявлений'!A188</f>
        <v>186</v>
      </c>
      <c r="B194" s="4">
        <f>VALUE(SUBSTITUTE('1000_заявлений'!B188, ".", ","))</f>
        <v>0.47795591158302803</v>
      </c>
      <c r="C194" s="4">
        <f>VALUE(SUBSTITUTE('1000_заявлений'!C188, ".", ","))</f>
        <v>0.380822946370106</v>
      </c>
      <c r="D194" s="4">
        <f>VALUE(SUBSTITUTE('1000_заявлений'!D188, ".", ","))</f>
        <v>0.41534715999999999</v>
      </c>
      <c r="E194" s="4">
        <f>VALUE(SUBSTITUTE('1000_заявлений'!E188, ".", ","))</f>
        <v>0.71092045000000004</v>
      </c>
      <c r="F194" s="5">
        <f>VALUE(SUBSTITUTE('1000_заявлений'!F188, ".", ","))</f>
        <v>-1001</v>
      </c>
      <c r="G194" s="5">
        <f>VALUE(SUBSTITUTE('1000_заявлений'!G188, ".", ","))</f>
        <v>-14037</v>
      </c>
      <c r="H194" s="5">
        <f>VALUE(SUBSTITUTE('1000_заявлений'!H188, ".", ","))</f>
        <v>-4893</v>
      </c>
      <c r="I194" s="4">
        <f>VALUE(SUBSTITUTE('1000_заявлений'!I188, ".", ","))</f>
        <v>0.240466666666666</v>
      </c>
      <c r="J194" s="4">
        <f>VALUE(SUBSTITUTE('1000_заявлений'!J188, ".", ","))</f>
        <v>0.57967341454907495</v>
      </c>
      <c r="K194" s="5">
        <f>VALUE(SUBSTITUTE('1000_заявлений'!K188, ".", ","))</f>
        <v>-5443</v>
      </c>
      <c r="L194" s="6">
        <f>VALUE(SUBSTITUTE('1000_заявлений'!L188, ".", ","))</f>
        <v>16231.5</v>
      </c>
      <c r="M194" s="2" t="str">
        <f>IF(Данные[[#This Row],[proba]]&gt;$C$6, "отказ", "одобрение")</f>
        <v>отказ</v>
      </c>
      <c r="N194" s="7">
        <f>IF(Данные[[#This Row],[proba]]&lt;$D$2,$C$2,IF(Данные[[#This Row],[proba]]&lt;$D$3,$C$3,IF(Данные[[#This Row],[proba]]&gt;$C$6,0,$C$4)))</f>
        <v>0</v>
      </c>
      <c r="O194" s="2">
        <f>IF(Данные[[#This Row],[weighted_ext_score]]&gt;$O$1,MIN(Данные[[#This Row],[Базовая сумма]]*$O$2,$C$2),IF(Данные[[#This Row],[weighted_ext_score]]&lt;$O$3,Данные[[#This Row],[Базовая сумма]]*$O$4,N194))</f>
        <v>0</v>
      </c>
      <c r="P1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4" s="2">
        <f>ABS(Данные[[#This Row],[days_birth]])/365.2425</f>
        <v>38.432000657097682</v>
      </c>
      <c r="S1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4" s="2">
        <f>IF(Данные[[#This Row],[ interest_rate]]&gt;$T$1,Данные[[#This Row],[days_birth4]]*$T$2,Данные[[#This Row],[days_birth4]])</f>
        <v>0</v>
      </c>
      <c r="U194" s="2">
        <f>IF(Данные[[#This Row],[Проверка отказа]]="отказ",0,MAX(Данные[[#This Row],[interest_rate]],$C$1))</f>
        <v>0</v>
      </c>
      <c r="V194" s="2">
        <f>MROUND(Данные[[#This Row],[Минимум 20000]], 100)</f>
        <v>0</v>
      </c>
    </row>
    <row r="195" spans="1:22" x14ac:dyDescent="0.25">
      <c r="A195" s="2">
        <f>'1000_заявлений'!A189</f>
        <v>187</v>
      </c>
      <c r="B195" s="4">
        <f>VALUE(SUBSTITUTE('1000_заявлений'!B189, ".", ","))</f>
        <v>0.23397132708418</v>
      </c>
      <c r="C195" s="4">
        <f>VALUE(SUBSTITUTE('1000_заявлений'!C189, ".", ","))</f>
        <v>0.46066188719214202</v>
      </c>
      <c r="D195" s="4">
        <f>VALUE(SUBSTITUTE('1000_заявлений'!D189, ".", ","))</f>
        <v>0.79813725000000002</v>
      </c>
      <c r="E195" s="4">
        <f>VALUE(SUBSTITUTE('1000_заявлений'!E189, ".", ","))</f>
        <v>0.53025690000000003</v>
      </c>
      <c r="F195" s="5">
        <f>VALUE(SUBSTITUTE('1000_заявлений'!F189, ".", ","))</f>
        <v>-13337</v>
      </c>
      <c r="G195" s="5">
        <f>VALUE(SUBSTITUTE('1000_заявлений'!G189, ".", ","))</f>
        <v>-19898</v>
      </c>
      <c r="H195" s="5">
        <f>VALUE(SUBSTITUTE('1000_заявлений'!H189, ".", ","))</f>
        <v>-3428</v>
      </c>
      <c r="I195" s="4">
        <f>VALUE(SUBSTITUTE('1000_заявлений'!I189, ".", ","))</f>
        <v>0.11219999999999999</v>
      </c>
      <c r="J195" s="4">
        <f>VALUE(SUBSTITUTE('1000_заявлений'!J189, ".", ","))</f>
        <v>2.03892461762584</v>
      </c>
      <c r="K195" s="5">
        <f>VALUE(SUBSTITUTE('1000_заявлений'!K189, ".", ","))</f>
        <v>-6163</v>
      </c>
      <c r="L195" s="6">
        <f>VALUE(SUBSTITUTE('1000_заявлений'!L189, ".", ","))</f>
        <v>22720.5</v>
      </c>
      <c r="M195" s="2" t="str">
        <f>IF(Данные[[#This Row],[proba]]&gt;$C$6, "отказ", "одобрение")</f>
        <v>одобрение</v>
      </c>
      <c r="N195" s="7">
        <f>IF(Данные[[#This Row],[proba]]&lt;$D$2,$C$2,IF(Данные[[#This Row],[proba]]&lt;$D$3,$C$3,IF(Данные[[#This Row],[proba]]&gt;$C$6,0,$C$4)))</f>
        <v>100000</v>
      </c>
      <c r="O195" s="2">
        <f>IF(Данные[[#This Row],[weighted_ext_score]]&gt;$O$1,MIN(Данные[[#This Row],[Базовая сумма]]*$O$2,$C$2),IF(Данные[[#This Row],[weighted_ext_score]]&lt;$O$3,Данные[[#This Row],[Базовая сумма]]*$O$4,N195))</f>
        <v>100000</v>
      </c>
      <c r="P1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195" s="2">
        <f>ABS(Данные[[#This Row],[days_birth]])/365.2425</f>
        <v>54.478873625057325</v>
      </c>
      <c r="S1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195" s="2">
        <f>IF(Данные[[#This Row],[ interest_rate]]&gt;$T$1,Данные[[#This Row],[days_birth4]]*$T$2,Данные[[#This Row],[days_birth4]])</f>
        <v>151200</v>
      </c>
      <c r="U195" s="2">
        <f>IF(Данные[[#This Row],[Проверка отказа]]="отказ",0,MAX(Данные[[#This Row],[interest_rate]],$C$1))</f>
        <v>151200</v>
      </c>
      <c r="V195" s="2">
        <f>MROUND(Данные[[#This Row],[Минимум 20000]], 100)</f>
        <v>151200</v>
      </c>
    </row>
    <row r="196" spans="1:22" x14ac:dyDescent="0.25">
      <c r="A196" s="2">
        <f>'1000_заявлений'!A190</f>
        <v>188</v>
      </c>
      <c r="B196" s="4">
        <f>VALUE(SUBSTITUTE('1000_заявлений'!B190, ".", ","))</f>
        <v>0.32679936628860201</v>
      </c>
      <c r="C196" s="4">
        <f>VALUE(SUBSTITUTE('1000_заявлений'!C190, ".", ","))</f>
        <v>0.54112500207775804</v>
      </c>
      <c r="D196" s="4">
        <f>VALUE(SUBSTITUTE('1000_заявлений'!D190, ".", ","))</f>
        <v>0.38420680000000001</v>
      </c>
      <c r="E196" s="4">
        <f>VALUE(SUBSTITUTE('1000_заявлений'!E190, ".", ","))</f>
        <v>0.66804949999999996</v>
      </c>
      <c r="F196" s="5">
        <f>VALUE(SUBSTITUTE('1000_заявлений'!F190, ".", ","))</f>
        <v>-6544</v>
      </c>
      <c r="G196" s="5">
        <f>VALUE(SUBSTITUTE('1000_заявлений'!G190, ".", ","))</f>
        <v>-19985</v>
      </c>
      <c r="H196" s="5">
        <f>VALUE(SUBSTITUTE('1000_заявлений'!H190, ".", ","))</f>
        <v>-3431</v>
      </c>
      <c r="I196" s="4">
        <f>VALUE(SUBSTITUTE('1000_заявлений'!I190, ".", ","))</f>
        <v>9.6771428571428494E-2</v>
      </c>
      <c r="J196" s="4">
        <f>VALUE(SUBSTITUTE('1000_заявлений'!J190, ".", ","))</f>
        <v>7.1314488883586096</v>
      </c>
      <c r="K196" s="5">
        <f>VALUE(SUBSTITUTE('1000_заявлений'!K190, ".", ","))</f>
        <v>-2467</v>
      </c>
      <c r="L196" s="6">
        <f>VALUE(SUBSTITUTE('1000_заявлений'!L190, ".", ","))</f>
        <v>15241.5</v>
      </c>
      <c r="M196" s="2" t="str">
        <f>IF(Данные[[#This Row],[proba]]&gt;$C$6, "отказ", "одобрение")</f>
        <v>отказ</v>
      </c>
      <c r="N196" s="7">
        <f>IF(Данные[[#This Row],[proba]]&lt;$D$2,$C$2,IF(Данные[[#This Row],[proba]]&lt;$D$3,$C$3,IF(Данные[[#This Row],[proba]]&gt;$C$6,0,$C$4)))</f>
        <v>0</v>
      </c>
      <c r="O196" s="2">
        <f>IF(Данные[[#This Row],[weighted_ext_score]]&gt;$O$1,MIN(Данные[[#This Row],[Базовая сумма]]*$O$2,$C$2),IF(Данные[[#This Row],[weighted_ext_score]]&lt;$O$3,Данные[[#This Row],[Базовая сумма]]*$O$4,N196))</f>
        <v>0</v>
      </c>
      <c r="P1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6" s="2">
        <f>ABS(Данные[[#This Row],[days_birth]])/365.2425</f>
        <v>54.717071534665322</v>
      </c>
      <c r="S1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6" s="2">
        <f>IF(Данные[[#This Row],[ interest_rate]]&gt;$T$1,Данные[[#This Row],[days_birth4]]*$T$2,Данные[[#This Row],[days_birth4]])</f>
        <v>0</v>
      </c>
      <c r="U196" s="2">
        <f>IF(Данные[[#This Row],[Проверка отказа]]="отказ",0,MAX(Данные[[#This Row],[interest_rate]],$C$1))</f>
        <v>0</v>
      </c>
      <c r="V196" s="2">
        <f>MROUND(Данные[[#This Row],[Минимум 20000]], 100)</f>
        <v>0</v>
      </c>
    </row>
    <row r="197" spans="1:22" x14ac:dyDescent="0.25">
      <c r="A197" s="2">
        <f>'1000_заявлений'!A191</f>
        <v>189</v>
      </c>
      <c r="B197" s="4">
        <f>VALUE(SUBSTITUTE('1000_заявлений'!B191, ".", ","))</f>
        <v>0.63479419988239105</v>
      </c>
      <c r="C197" s="4">
        <f>VALUE(SUBSTITUTE('1000_заявлений'!C191, ".", ","))</f>
        <v>0.33722448456704401</v>
      </c>
      <c r="D197" s="4">
        <f>VALUE(SUBSTITUTE('1000_заявлений'!D191, ".", ","))</f>
        <v>0.27213367999999999</v>
      </c>
      <c r="E197" s="4">
        <f>VALUE(SUBSTITUTE('1000_заявлений'!E191, ".", ","))</f>
        <v>0.36667516999999999</v>
      </c>
      <c r="F197" s="5">
        <f>VALUE(SUBSTITUTE('1000_заявлений'!F191, ".", ","))</f>
        <v>-4616</v>
      </c>
      <c r="G197" s="5">
        <f>VALUE(SUBSTITUTE('1000_заявлений'!G191, ".", ","))</f>
        <v>-11273</v>
      </c>
      <c r="H197" s="5">
        <f>VALUE(SUBSTITUTE('1000_заявлений'!H191, ".", ","))</f>
        <v>-3891</v>
      </c>
      <c r="I197" s="4">
        <f>VALUE(SUBSTITUTE('1000_заявлений'!I191, ".", ","))</f>
        <v>6.6666666666666596E-2</v>
      </c>
      <c r="J197" s="4">
        <f>VALUE(SUBSTITUTE('1000_заявлений'!J191, ".", ","))</f>
        <v>10.6209759779781</v>
      </c>
      <c r="K197" s="5">
        <f>VALUE(SUBSTITUTE('1000_заявлений'!K191, ".", ","))</f>
        <v>-1167</v>
      </c>
      <c r="L197" s="6">
        <f>VALUE(SUBSTITUTE('1000_заявлений'!L191, ".", ","))</f>
        <v>13500</v>
      </c>
      <c r="M197" s="2" t="str">
        <f>IF(Данные[[#This Row],[proba]]&gt;$C$6, "отказ", "одобрение")</f>
        <v>отказ</v>
      </c>
      <c r="N197" s="7">
        <f>IF(Данные[[#This Row],[proba]]&lt;$D$2,$C$2,IF(Данные[[#This Row],[proba]]&lt;$D$3,$C$3,IF(Данные[[#This Row],[proba]]&gt;$C$6,0,$C$4)))</f>
        <v>0</v>
      </c>
      <c r="O197" s="2">
        <f>IF(Данные[[#This Row],[weighted_ext_score]]&gt;$O$1,MIN(Данные[[#This Row],[Базовая сумма]]*$O$2,$C$2),IF(Данные[[#This Row],[weighted_ext_score]]&lt;$O$3,Данные[[#This Row],[Базовая сумма]]*$O$4,N197))</f>
        <v>0</v>
      </c>
      <c r="P1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7" s="2">
        <f>ABS(Данные[[#This Row],[days_birth]])/365.2425</f>
        <v>30.864425689781445</v>
      </c>
      <c r="S1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7" s="2">
        <f>IF(Данные[[#This Row],[ interest_rate]]&gt;$T$1,Данные[[#This Row],[days_birth4]]*$T$2,Данные[[#This Row],[days_birth4]])</f>
        <v>0</v>
      </c>
      <c r="U197" s="2">
        <f>IF(Данные[[#This Row],[Проверка отказа]]="отказ",0,MAX(Данные[[#This Row],[interest_rate]],$C$1))</f>
        <v>0</v>
      </c>
      <c r="V197" s="2">
        <f>MROUND(Данные[[#This Row],[Минимум 20000]], 100)</f>
        <v>0</v>
      </c>
    </row>
    <row r="198" spans="1:22" x14ac:dyDescent="0.25">
      <c r="A198" s="2">
        <f>'1000_заявлений'!A192</f>
        <v>190</v>
      </c>
      <c r="B198" s="4">
        <f>VALUE(SUBSTITUTE('1000_заявлений'!B192, ".", ","))</f>
        <v>0.59212116377019697</v>
      </c>
      <c r="C198" s="4">
        <f>VALUE(SUBSTITUTE('1000_заявлений'!C192, ".", ","))</f>
        <v>0.21920043392764901</v>
      </c>
      <c r="D198" s="4">
        <f>VALUE(SUBSTITUTE('1000_заявлений'!D192, ".", ","))</f>
        <v>0.52089759999999996</v>
      </c>
      <c r="E198" s="4">
        <f>VALUE(SUBSTITUTE('1000_заявлений'!E192, ".", ","))</f>
        <v>9.4981109999999994E-2</v>
      </c>
      <c r="F198" s="5">
        <f>VALUE(SUBSTITUTE('1000_заявлений'!F192, ".", ","))</f>
        <v>-4445</v>
      </c>
      <c r="G198" s="5">
        <f>VALUE(SUBSTITUTE('1000_заявлений'!G192, ".", ","))</f>
        <v>-23533</v>
      </c>
      <c r="H198" s="5">
        <f>VALUE(SUBSTITUTE('1000_заявлений'!H192, ".", ","))</f>
        <v>-4439</v>
      </c>
      <c r="I198" s="4">
        <f>VALUE(SUBSTITUTE('1000_заявлений'!I192, ".", ","))</f>
        <v>0.123136363636363</v>
      </c>
      <c r="J198" s="4">
        <f>VALUE(SUBSTITUTE('1000_заявлений'!J192, ".", ","))</f>
        <v>4.8217977773832699</v>
      </c>
      <c r="K198" s="5">
        <f>VALUE(SUBSTITUTE('1000_заявлений'!K192, ".", ","))</f>
        <v>365243</v>
      </c>
      <c r="L198" s="6">
        <f>VALUE(SUBSTITUTE('1000_заявлений'!L192, ".", ","))</f>
        <v>12190.5</v>
      </c>
      <c r="M198" s="2" t="str">
        <f>IF(Данные[[#This Row],[proba]]&gt;$C$6, "отказ", "одобрение")</f>
        <v>отказ</v>
      </c>
      <c r="N198" s="7">
        <f>IF(Данные[[#This Row],[proba]]&lt;$D$2,$C$2,IF(Данные[[#This Row],[proba]]&lt;$D$3,$C$3,IF(Данные[[#This Row],[proba]]&gt;$C$6,0,$C$4)))</f>
        <v>0</v>
      </c>
      <c r="O198" s="2">
        <f>IF(Данные[[#This Row],[weighted_ext_score]]&gt;$O$1,MIN(Данные[[#This Row],[Базовая сумма]]*$O$2,$C$2),IF(Данные[[#This Row],[weighted_ext_score]]&lt;$O$3,Данные[[#This Row],[Базовая сумма]]*$O$4,N198))</f>
        <v>0</v>
      </c>
      <c r="P1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98" s="2">
        <f>ABS(Данные[[#This Row],[days_birth]])/365.2425</f>
        <v>64.431165595460556</v>
      </c>
      <c r="S1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98" s="2">
        <f>IF(Данные[[#This Row],[ interest_rate]]&gt;$T$1,Данные[[#This Row],[days_birth4]]*$T$2,Данные[[#This Row],[days_birth4]])</f>
        <v>0</v>
      </c>
      <c r="U198" s="2">
        <f>IF(Данные[[#This Row],[Проверка отказа]]="отказ",0,MAX(Данные[[#This Row],[interest_rate]],$C$1))</f>
        <v>0</v>
      </c>
      <c r="V198" s="2">
        <f>MROUND(Данные[[#This Row],[Минимум 20000]], 100)</f>
        <v>0</v>
      </c>
    </row>
    <row r="199" spans="1:22" x14ac:dyDescent="0.25">
      <c r="A199" s="2">
        <f>'1000_заявлений'!A193</f>
        <v>191</v>
      </c>
      <c r="B199" s="4">
        <f>VALUE(SUBSTITUTE('1000_заявлений'!B193, ".", ","))</f>
        <v>0.29576809737588999</v>
      </c>
      <c r="C199" s="4">
        <f>VALUE(SUBSTITUTE('1000_заявлений'!C193, ".", ","))</f>
        <v>0.41078584553340802</v>
      </c>
      <c r="D199" s="4">
        <f>VALUE(SUBSTITUTE('1000_заявлений'!D193, ".", ","))</f>
        <v>0.55138129999999996</v>
      </c>
      <c r="E199" s="4">
        <f>VALUE(SUBSTITUTE('1000_заявлений'!E193, ".", ","))</f>
        <v>0.65161913999999999</v>
      </c>
      <c r="F199" s="5">
        <f>VALUE(SUBSTITUTE('1000_заявлений'!F193, ".", ","))</f>
        <v>-4260</v>
      </c>
      <c r="G199" s="5">
        <f>VALUE(SUBSTITUTE('1000_заявлений'!G193, ".", ","))</f>
        <v>-21814</v>
      </c>
      <c r="H199" s="5">
        <f>VALUE(SUBSTITUTE('1000_заявлений'!H193, ".", ","))</f>
        <v>-4408</v>
      </c>
      <c r="I199" s="4">
        <f>VALUE(SUBSTITUTE('1000_заявлений'!I193, ".", ","))</f>
        <v>0.157481481481481</v>
      </c>
      <c r="J199" s="4">
        <f>VALUE(SUBSTITUTE('1000_заявлений'!J193, ".", ","))</f>
        <v>1.0200492132227601</v>
      </c>
      <c r="K199" s="5">
        <f>VALUE(SUBSTITUTE('1000_заявлений'!K193, ".", ","))</f>
        <v>365243</v>
      </c>
      <c r="L199" s="6">
        <f>VALUE(SUBSTITUTE('1000_заявлений'!L193, ".", ","))</f>
        <v>19134</v>
      </c>
      <c r="M199" s="2" t="str">
        <f>IF(Данные[[#This Row],[proba]]&gt;$C$6, "отказ", "одобрение")</f>
        <v>одобрение</v>
      </c>
      <c r="N199" s="7">
        <f>IF(Данные[[#This Row],[proba]]&lt;$D$2,$C$2,IF(Данные[[#This Row],[proba]]&lt;$D$3,$C$3,IF(Данные[[#This Row],[proba]]&gt;$C$6,0,$C$4)))</f>
        <v>100000</v>
      </c>
      <c r="O199" s="2">
        <f>IF(Данные[[#This Row],[weighted_ext_score]]&gt;$O$1,MIN(Данные[[#This Row],[Базовая сумма]]*$O$2,$C$2),IF(Данные[[#This Row],[weighted_ext_score]]&lt;$O$3,Данные[[#This Row],[Базовая сумма]]*$O$4,N199))</f>
        <v>100000</v>
      </c>
      <c r="P1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199" s="2">
        <f>ABS(Данные[[#This Row],[days_birth]])/365.2425</f>
        <v>59.724703450447308</v>
      </c>
      <c r="S1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199" s="2">
        <f>IF(Данные[[#This Row],[ interest_rate]]&gt;$T$1,Данные[[#This Row],[days_birth4]]*$T$2,Данные[[#This Row],[days_birth4]])</f>
        <v>126000</v>
      </c>
      <c r="U199" s="2">
        <f>IF(Данные[[#This Row],[Проверка отказа]]="отказ",0,MAX(Данные[[#This Row],[interest_rate]],$C$1))</f>
        <v>126000</v>
      </c>
      <c r="V199" s="2">
        <f>MROUND(Данные[[#This Row],[Минимум 20000]], 100)</f>
        <v>126000</v>
      </c>
    </row>
    <row r="200" spans="1:22" x14ac:dyDescent="0.25">
      <c r="A200" s="2">
        <f>'1000_заявлений'!A194</f>
        <v>192</v>
      </c>
      <c r="B200" s="4">
        <f>VALUE(SUBSTITUTE('1000_заявлений'!B194, ".", ","))</f>
        <v>0.396244049457812</v>
      </c>
      <c r="C200" s="4">
        <f>VALUE(SUBSTITUTE('1000_заявлений'!C194, ".", ","))</f>
        <v>0.41154554767715301</v>
      </c>
      <c r="D200" s="4">
        <f>VALUE(SUBSTITUTE('1000_заявлений'!D194, ".", ","))</f>
        <v>0.56383499999999998</v>
      </c>
      <c r="E200" s="4">
        <f>VALUE(SUBSTITUTE('1000_заявлений'!E194, ".", ","))</f>
        <v>0.64007586000000005</v>
      </c>
      <c r="F200" s="5">
        <f>VALUE(SUBSTITUTE('1000_заявлений'!F194, ".", ","))</f>
        <v>-4544</v>
      </c>
      <c r="G200" s="5">
        <f>VALUE(SUBSTITUTE('1000_заявлений'!G194, ".", ","))</f>
        <v>-10008</v>
      </c>
      <c r="H200" s="5">
        <f>VALUE(SUBSTITUTE('1000_заявлений'!H194, ".", ","))</f>
        <v>-2676</v>
      </c>
      <c r="I200" s="4">
        <f>VALUE(SUBSTITUTE('1000_заявлений'!I194, ".", ","))</f>
        <v>0.124454545454545</v>
      </c>
      <c r="J200" s="4">
        <f>VALUE(SUBSTITUTE('1000_заявлений'!J194, ".", ","))</f>
        <v>2.0296992496886301</v>
      </c>
      <c r="K200" s="5">
        <f>VALUE(SUBSTITUTE('1000_заявлений'!K194, ".", ","))</f>
        <v>-708</v>
      </c>
      <c r="L200" s="6">
        <f>VALUE(SUBSTITUTE('1000_заявлений'!L194, ".", ","))</f>
        <v>30802.5</v>
      </c>
      <c r="M200" s="2" t="str">
        <f>IF(Данные[[#This Row],[proba]]&gt;$C$6, "отказ", "одобрение")</f>
        <v>отказ</v>
      </c>
      <c r="N200" s="7">
        <f>IF(Данные[[#This Row],[proba]]&lt;$D$2,$C$2,IF(Данные[[#This Row],[proba]]&lt;$D$3,$C$3,IF(Данные[[#This Row],[proba]]&gt;$C$6,0,$C$4)))</f>
        <v>0</v>
      </c>
      <c r="O200" s="2">
        <f>IF(Данные[[#This Row],[weighted_ext_score]]&gt;$O$1,MIN(Данные[[#This Row],[Базовая сумма]]*$O$2,$C$2),IF(Данные[[#This Row],[weighted_ext_score]]&lt;$O$3,Данные[[#This Row],[Базовая сумма]]*$O$4,N200))</f>
        <v>0</v>
      </c>
      <c r="P2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0" s="2">
        <f>ABS(Данные[[#This Row],[days_birth]])/365.2425</f>
        <v>27.400973325940985</v>
      </c>
      <c r="S2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0" s="2">
        <f>IF(Данные[[#This Row],[ interest_rate]]&gt;$T$1,Данные[[#This Row],[days_birth4]]*$T$2,Данные[[#This Row],[days_birth4]])</f>
        <v>0</v>
      </c>
      <c r="U200" s="2">
        <f>IF(Данные[[#This Row],[Проверка отказа]]="отказ",0,MAX(Данные[[#This Row],[interest_rate]],$C$1))</f>
        <v>0</v>
      </c>
      <c r="V200" s="2">
        <f>MROUND(Данные[[#This Row],[Минимум 20000]], 100)</f>
        <v>0</v>
      </c>
    </row>
    <row r="201" spans="1:22" x14ac:dyDescent="0.25">
      <c r="A201" s="2">
        <f>'1000_заявлений'!A195</f>
        <v>193</v>
      </c>
      <c r="B201" s="4">
        <f>VALUE(SUBSTITUTE('1000_заявлений'!B195, ".", ","))</f>
        <v>0.78829009694096697</v>
      </c>
      <c r="C201" s="4">
        <f>VALUE(SUBSTITUTE('1000_заявлений'!C195, ".", ","))</f>
        <v>0.163257583870521</v>
      </c>
      <c r="D201" s="4">
        <f>VALUE(SUBSTITUTE('1000_заявлений'!D195, ".", ","))</f>
        <v>0.16540746000000001</v>
      </c>
      <c r="E201" s="4">
        <f>VALUE(SUBSTITUTE('1000_заявлений'!E195, ".", ","))</f>
        <v>0.31887411999999998</v>
      </c>
      <c r="F201" s="5">
        <f>VALUE(SUBSTITUTE('1000_заявлений'!F195, ".", ","))</f>
        <v>-8867</v>
      </c>
      <c r="G201" s="5">
        <f>VALUE(SUBSTITUTE('1000_заявлений'!G195, ".", ","))</f>
        <v>-16132</v>
      </c>
      <c r="H201" s="5">
        <f>VALUE(SUBSTITUTE('1000_заявлений'!H195, ".", ","))</f>
        <v>-4382</v>
      </c>
      <c r="I201" s="4">
        <f>VALUE(SUBSTITUTE('1000_заявлений'!I195, ".", ","))</f>
        <v>0.22511111111111101</v>
      </c>
      <c r="J201" s="4">
        <f>VALUE(SUBSTITUTE('1000_заявлений'!J195, ".", ","))</f>
        <v>7.3260126146686897</v>
      </c>
      <c r="K201" s="5">
        <f>VALUE(SUBSTITUTE('1000_заявлений'!K195, ".", ","))</f>
        <v>-1671</v>
      </c>
      <c r="L201" s="6">
        <f>VALUE(SUBSTITUTE('1000_заявлений'!L195, ".", ","))</f>
        <v>9117</v>
      </c>
      <c r="M201" s="2" t="str">
        <f>IF(Данные[[#This Row],[proba]]&gt;$C$6, "отказ", "одобрение")</f>
        <v>отказ</v>
      </c>
      <c r="N201" s="7">
        <f>IF(Данные[[#This Row],[proba]]&lt;$D$2,$C$2,IF(Данные[[#This Row],[proba]]&lt;$D$3,$C$3,IF(Данные[[#This Row],[proba]]&gt;$C$6,0,$C$4)))</f>
        <v>0</v>
      </c>
      <c r="O201" s="2">
        <f>IF(Данные[[#This Row],[weighted_ext_score]]&gt;$O$1,MIN(Данные[[#This Row],[Базовая сумма]]*$O$2,$C$2),IF(Данные[[#This Row],[weighted_ext_score]]&lt;$O$3,Данные[[#This Row],[Базовая сумма]]*$O$4,N201))</f>
        <v>0</v>
      </c>
      <c r="P2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1" s="2">
        <f>ABS(Данные[[#This Row],[days_birth]])/365.2425</f>
        <v>44.167915836738601</v>
      </c>
      <c r="S2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1" s="2">
        <f>IF(Данные[[#This Row],[ interest_rate]]&gt;$T$1,Данные[[#This Row],[days_birth4]]*$T$2,Данные[[#This Row],[days_birth4]])</f>
        <v>0</v>
      </c>
      <c r="U201" s="2">
        <f>IF(Данные[[#This Row],[Проверка отказа]]="отказ",0,MAX(Данные[[#This Row],[interest_rate]],$C$1))</f>
        <v>0</v>
      </c>
      <c r="V201" s="2">
        <f>MROUND(Данные[[#This Row],[Минимум 20000]], 100)</f>
        <v>0</v>
      </c>
    </row>
    <row r="202" spans="1:22" x14ac:dyDescent="0.25">
      <c r="A202" s="2">
        <f>'1000_заявлений'!A196</f>
        <v>194</v>
      </c>
      <c r="B202" s="4">
        <f>VALUE(SUBSTITUTE('1000_заявлений'!B196, ".", ","))</f>
        <v>0.112196333997422</v>
      </c>
      <c r="C202" s="4">
        <f>VALUE(SUBSTITUTE('1000_заявлений'!C196, ".", ","))</f>
        <v>0.51981127232042401</v>
      </c>
      <c r="D202" s="4">
        <f>VALUE(SUBSTITUTE('1000_заявлений'!D196, ".", ","))</f>
        <v>0.81824750000000002</v>
      </c>
      <c r="E202" s="4">
        <f>VALUE(SUBSTITUTE('1000_заявлений'!E196, ".", ","))</f>
        <v>0.69018259999999998</v>
      </c>
      <c r="F202" s="5">
        <f>VALUE(SUBSTITUTE('1000_заявлений'!F196, ".", ","))</f>
        <v>-6225</v>
      </c>
      <c r="G202" s="5">
        <f>VALUE(SUBSTITUTE('1000_заявлений'!G196, ".", ","))</f>
        <v>-24536</v>
      </c>
      <c r="H202" s="5">
        <f>VALUE(SUBSTITUTE('1000_заявлений'!H196, ".", ","))</f>
        <v>-4586</v>
      </c>
      <c r="I202" s="4">
        <f>VALUE(SUBSTITUTE('1000_заявлений'!I196, ".", ","))</f>
        <v>0.26105</v>
      </c>
      <c r="J202" s="4">
        <f>VALUE(SUBSTITUTE('1000_заявлений'!J196, ".", ","))</f>
        <v>16.285286095096101</v>
      </c>
      <c r="K202" s="5">
        <f>VALUE(SUBSTITUTE('1000_заявлений'!K196, ".", ","))</f>
        <v>365243</v>
      </c>
      <c r="L202" s="6">
        <f>VALUE(SUBSTITUTE('1000_заявлений'!L196, ".", ","))</f>
        <v>23494.5</v>
      </c>
      <c r="M202" s="2" t="str">
        <f>IF(Данные[[#This Row],[proba]]&gt;$C$6, "отказ", "одобрение")</f>
        <v>одобрение</v>
      </c>
      <c r="N202" s="7">
        <f>IF(Данные[[#This Row],[proba]]&lt;$D$2,$C$2,IF(Данные[[#This Row],[proba]]&lt;$D$3,$C$3,IF(Данные[[#This Row],[proba]]&gt;$C$6,0,$C$4)))</f>
        <v>300000</v>
      </c>
      <c r="O202" s="2">
        <f>IF(Данные[[#This Row],[weighted_ext_score]]&gt;$O$1,MIN(Данные[[#This Row],[Базовая сумма]]*$O$2,$C$2),IF(Данные[[#This Row],[weighted_ext_score]]&lt;$O$3,Данные[[#This Row],[Базовая сумма]]*$O$4,N202))</f>
        <v>300000</v>
      </c>
      <c r="P2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2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202" s="2">
        <f>ABS(Данные[[#This Row],[days_birth]])/365.2425</f>
        <v>67.177286323470028</v>
      </c>
      <c r="S2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202" s="2">
        <f>IF(Данные[[#This Row],[ interest_rate]]&gt;$T$1,Данные[[#This Row],[days_birth4]]*$T$2,Данные[[#This Row],[days_birth4]])</f>
        <v>315000</v>
      </c>
      <c r="U202" s="2">
        <f>IF(Данные[[#This Row],[Проверка отказа]]="отказ",0,MAX(Данные[[#This Row],[interest_rate]],$C$1))</f>
        <v>315000</v>
      </c>
      <c r="V202" s="2">
        <f>MROUND(Данные[[#This Row],[Минимум 20000]], 100)</f>
        <v>315000</v>
      </c>
    </row>
    <row r="203" spans="1:22" x14ac:dyDescent="0.25">
      <c r="A203" s="2">
        <f>'1000_заявлений'!A197</f>
        <v>195</v>
      </c>
      <c r="B203" s="4">
        <f>VALUE(SUBSTITUTE('1000_заявлений'!B197, ".", ","))</f>
        <v>0.45789152776080799</v>
      </c>
      <c r="C203" s="4">
        <f>VALUE(SUBSTITUTE('1000_заявлений'!C197, ".", ","))</f>
        <v>0.38182823530090998</v>
      </c>
      <c r="D203" s="4">
        <f>VALUE(SUBSTITUTE('1000_заявлений'!D197, ".", ","))</f>
        <v>0.57268249999999998</v>
      </c>
      <c r="E203" s="4">
        <f>VALUE(SUBSTITUTE('1000_заявлений'!E197, ".", ","))</f>
        <v>0.53859776000000004</v>
      </c>
      <c r="F203" s="5">
        <f>VALUE(SUBSTITUTE('1000_заявлений'!F197, ".", ","))</f>
        <v>-4199</v>
      </c>
      <c r="G203" s="5">
        <f>VALUE(SUBSTITUTE('1000_заявлений'!G197, ".", ","))</f>
        <v>-10815</v>
      </c>
      <c r="H203" s="5">
        <f>VALUE(SUBSTITUTE('1000_заявлений'!H197, ".", ","))</f>
        <v>-2185</v>
      </c>
      <c r="I203" s="4">
        <f>VALUE(SUBSTITUTE('1000_заявлений'!I197, ".", ","))</f>
        <v>0.17544000000000001</v>
      </c>
      <c r="J203" s="4">
        <f>VALUE(SUBSTITUTE('1000_заявлений'!J197, ".", ","))</f>
        <v>1.55972200073934</v>
      </c>
      <c r="K203" s="5">
        <f>VALUE(SUBSTITUTE('1000_заявлений'!K197, ".", ","))</f>
        <v>-193</v>
      </c>
      <c r="L203" s="6">
        <f>VALUE(SUBSTITUTE('1000_заявлений'!L197, ".", ","))</f>
        <v>39474</v>
      </c>
      <c r="M203" s="2" t="str">
        <f>IF(Данные[[#This Row],[proba]]&gt;$C$6, "отказ", "одобрение")</f>
        <v>отказ</v>
      </c>
      <c r="N203" s="7">
        <f>IF(Данные[[#This Row],[proba]]&lt;$D$2,$C$2,IF(Данные[[#This Row],[proba]]&lt;$D$3,$C$3,IF(Данные[[#This Row],[proba]]&gt;$C$6,0,$C$4)))</f>
        <v>0</v>
      </c>
      <c r="O203" s="2">
        <f>IF(Данные[[#This Row],[weighted_ext_score]]&gt;$O$1,MIN(Данные[[#This Row],[Базовая сумма]]*$O$2,$C$2),IF(Данные[[#This Row],[weighted_ext_score]]&lt;$O$3,Данные[[#This Row],[Базовая сумма]]*$O$4,N203))</f>
        <v>0</v>
      </c>
      <c r="P2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3" s="2">
        <f>ABS(Данные[[#This Row],[days_birth]])/365.2425</f>
        <v>29.610464280580711</v>
      </c>
      <c r="S2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3" s="2">
        <f>IF(Данные[[#This Row],[ interest_rate]]&gt;$T$1,Данные[[#This Row],[days_birth4]]*$T$2,Данные[[#This Row],[days_birth4]])</f>
        <v>0</v>
      </c>
      <c r="U203" s="2">
        <f>IF(Данные[[#This Row],[Проверка отказа]]="отказ",0,MAX(Данные[[#This Row],[interest_rate]],$C$1))</f>
        <v>0</v>
      </c>
      <c r="V203" s="2">
        <f>MROUND(Данные[[#This Row],[Минимум 20000]], 100)</f>
        <v>0</v>
      </c>
    </row>
    <row r="204" spans="1:22" x14ac:dyDescent="0.25">
      <c r="A204" s="2">
        <f>'1000_заявлений'!A198</f>
        <v>196</v>
      </c>
      <c r="B204" s="4">
        <f>VALUE(SUBSTITUTE('1000_заявлений'!B198, ".", ","))</f>
        <v>0.43162736759993803</v>
      </c>
      <c r="C204" s="4">
        <f>VALUE(SUBSTITUTE('1000_заявлений'!C198, ".", ","))</f>
        <v>0.352586265637445</v>
      </c>
      <c r="D204" s="4">
        <f>VALUE(SUBSTITUTE('1000_заявлений'!D198, ".", ","))</f>
        <v>0.48124932999999998</v>
      </c>
      <c r="E204" s="4">
        <f>VALUE(SUBSTITUTE('1000_заявлений'!E198, ".", ","))</f>
        <v>0.55039349999999998</v>
      </c>
      <c r="F204" s="5">
        <f>VALUE(SUBSTITUTE('1000_заявлений'!F198, ".", ","))</f>
        <v>-3512</v>
      </c>
      <c r="G204" s="5">
        <f>VALUE(SUBSTITUTE('1000_заявлений'!G198, ".", ","))</f>
        <v>-15914</v>
      </c>
      <c r="H204" s="5">
        <f>VALUE(SUBSTITUTE('1000_заявлений'!H198, ".", ","))</f>
        <v>-5291</v>
      </c>
      <c r="I204" s="4">
        <f>VALUE(SUBSTITUTE('1000_заявлений'!I198, ".", ","))</f>
        <v>6.1800000000000001E-2</v>
      </c>
      <c r="J204" s="4">
        <f>VALUE(SUBSTITUTE('1000_заявлений'!J198, ".", ","))</f>
        <v>5.4316907254036302</v>
      </c>
      <c r="K204" s="5">
        <f>VALUE(SUBSTITUTE('1000_заявлений'!K198, ".", ","))</f>
        <v>-2801</v>
      </c>
      <c r="L204" s="6">
        <f>VALUE(SUBSTITUTE('1000_заявлений'!L198, ".", ","))</f>
        <v>6952.5</v>
      </c>
      <c r="M204" s="2" t="str">
        <f>IF(Данные[[#This Row],[proba]]&gt;$C$6, "отказ", "одобрение")</f>
        <v>отказ</v>
      </c>
      <c r="N204" s="7">
        <f>IF(Данные[[#This Row],[proba]]&lt;$D$2,$C$2,IF(Данные[[#This Row],[proba]]&lt;$D$3,$C$3,IF(Данные[[#This Row],[proba]]&gt;$C$6,0,$C$4)))</f>
        <v>0</v>
      </c>
      <c r="O204" s="2">
        <f>IF(Данные[[#This Row],[weighted_ext_score]]&gt;$O$1,MIN(Данные[[#This Row],[Базовая сумма]]*$O$2,$C$2),IF(Данные[[#This Row],[weighted_ext_score]]&lt;$O$3,Данные[[#This Row],[Базовая сумма]]*$O$4,N204))</f>
        <v>0</v>
      </c>
      <c r="P2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4" s="2">
        <f>ABS(Данные[[#This Row],[days_birth]])/365.2425</f>
        <v>43.57105210921511</v>
      </c>
      <c r="S2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4" s="2">
        <f>IF(Данные[[#This Row],[ interest_rate]]&gt;$T$1,Данные[[#This Row],[days_birth4]]*$T$2,Данные[[#This Row],[days_birth4]])</f>
        <v>0</v>
      </c>
      <c r="U204" s="2">
        <f>IF(Данные[[#This Row],[Проверка отказа]]="отказ",0,MAX(Данные[[#This Row],[interest_rate]],$C$1))</f>
        <v>0</v>
      </c>
      <c r="V204" s="2">
        <f>MROUND(Данные[[#This Row],[Минимум 20000]], 100)</f>
        <v>0</v>
      </c>
    </row>
    <row r="205" spans="1:22" x14ac:dyDescent="0.25">
      <c r="A205" s="2">
        <f>'1000_заявлений'!A199</f>
        <v>197</v>
      </c>
      <c r="B205" s="4">
        <f>VALUE(SUBSTITUTE('1000_заявлений'!B199, ".", ","))</f>
        <v>0.51790852757677097</v>
      </c>
      <c r="C205" s="4">
        <f>VALUE(SUBSTITUTE('1000_заявлений'!C199, ".", ","))</f>
        <v>0.28595650801828398</v>
      </c>
      <c r="D205" s="4">
        <f>VALUE(SUBSTITUTE('1000_заявлений'!D199, ".", ","))</f>
        <v>0.20559815000000001</v>
      </c>
      <c r="E205" s="4">
        <f>VALUE(SUBSTITUTE('1000_заявлений'!E199, ".", ","))</f>
        <v>0.65232369999999995</v>
      </c>
      <c r="F205" s="5">
        <f>VALUE(SUBSTITUTE('1000_заявлений'!F199, ".", ","))</f>
        <v>-9380</v>
      </c>
      <c r="G205" s="5">
        <f>VALUE(SUBSTITUTE('1000_заявлений'!G199, ".", ","))</f>
        <v>-21797</v>
      </c>
      <c r="H205" s="5">
        <f>VALUE(SUBSTITUTE('1000_заявлений'!H199, ".", ","))</f>
        <v>-1445</v>
      </c>
      <c r="I205" s="4">
        <f>VALUE(SUBSTITUTE('1000_заявлений'!I199, ".", ","))</f>
        <v>4.8192771084337303E-2</v>
      </c>
      <c r="J205" s="4">
        <f>VALUE(SUBSTITUTE('1000_заявлений'!J199, ".", ","))</f>
        <v>10.6209759779781</v>
      </c>
      <c r="K205" s="5">
        <f>VALUE(SUBSTITUTE('1000_заявлений'!K199, ".", ","))</f>
        <v>-3575</v>
      </c>
      <c r="L205" s="6">
        <f>VALUE(SUBSTITUTE('1000_заявлений'!L199, ".", ","))</f>
        <v>18000</v>
      </c>
      <c r="M205" s="2" t="str">
        <f>IF(Данные[[#This Row],[proba]]&gt;$C$6, "отказ", "одобрение")</f>
        <v>отказ</v>
      </c>
      <c r="N205" s="7">
        <f>IF(Данные[[#This Row],[proba]]&lt;$D$2,$C$2,IF(Данные[[#This Row],[proba]]&lt;$D$3,$C$3,IF(Данные[[#This Row],[proba]]&gt;$C$6,0,$C$4)))</f>
        <v>0</v>
      </c>
      <c r="O205" s="2">
        <f>IF(Данные[[#This Row],[weighted_ext_score]]&gt;$O$1,MIN(Данные[[#This Row],[Базовая сумма]]*$O$2,$C$2),IF(Данные[[#This Row],[weighted_ext_score]]&lt;$O$3,Данные[[#This Row],[Базовая сумма]]*$O$4,N205))</f>
        <v>0</v>
      </c>
      <c r="P2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5" s="2">
        <f>ABS(Данные[[#This Row],[days_birth]])/365.2425</f>
        <v>59.678159031328498</v>
      </c>
      <c r="S2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5" s="2">
        <f>IF(Данные[[#This Row],[ interest_rate]]&gt;$T$1,Данные[[#This Row],[days_birth4]]*$T$2,Данные[[#This Row],[days_birth4]])</f>
        <v>0</v>
      </c>
      <c r="U205" s="2">
        <f>IF(Данные[[#This Row],[Проверка отказа]]="отказ",0,MAX(Данные[[#This Row],[interest_rate]],$C$1))</f>
        <v>0</v>
      </c>
      <c r="V205" s="2">
        <f>MROUND(Данные[[#This Row],[Минимум 20000]], 100)</f>
        <v>0</v>
      </c>
    </row>
    <row r="206" spans="1:22" x14ac:dyDescent="0.25">
      <c r="A206" s="2">
        <f>'1000_заявлений'!A200</f>
        <v>198</v>
      </c>
      <c r="B206" s="4">
        <f>VALUE(SUBSTITUTE('1000_заявлений'!B200, ".", ","))</f>
        <v>0.83310249627418498</v>
      </c>
      <c r="C206" s="4">
        <f>VALUE(SUBSTITUTE('1000_заявлений'!C200, ".", ","))</f>
        <v>0.116223387427353</v>
      </c>
      <c r="D206" s="4">
        <f>VALUE(SUBSTITUTE('1000_заявлений'!D200, ".", ","))</f>
        <v>0.13259749000000001</v>
      </c>
      <c r="E206" s="4">
        <f>VALUE(SUBSTITUTE('1000_заявлений'!E200, ".", ","))</f>
        <v>0.21045715000000001</v>
      </c>
      <c r="F206" s="5">
        <f>VALUE(SUBSTITUTE('1000_заявлений'!F200, ".", ","))</f>
        <v>-5908</v>
      </c>
      <c r="G206" s="5">
        <f>VALUE(SUBSTITUTE('1000_заявлений'!G200, ".", ","))</f>
        <v>-14208</v>
      </c>
      <c r="H206" s="5">
        <f>VALUE(SUBSTITUTE('1000_заявлений'!H200, ".", ","))</f>
        <v>-4487</v>
      </c>
      <c r="I206" s="4">
        <f>VALUE(SUBSTITUTE('1000_заявлений'!I200, ".", ","))</f>
        <v>6.9142857142857103E-2</v>
      </c>
      <c r="J206" s="4">
        <f>VALUE(SUBSTITUTE('1000_заявлений'!J200, ".", ","))</f>
        <v>4.6156471859143799</v>
      </c>
      <c r="K206" s="5">
        <f>VALUE(SUBSTITUTE('1000_заявлений'!K200, ".", ","))</f>
        <v>-872</v>
      </c>
      <c r="L206" s="6">
        <f>VALUE(SUBSTITUTE('1000_заявлений'!L200, ".", ","))</f>
        <v>10890</v>
      </c>
      <c r="M206" s="2" t="str">
        <f>IF(Данные[[#This Row],[proba]]&gt;$C$6, "отказ", "одобрение")</f>
        <v>отказ</v>
      </c>
      <c r="N206" s="7">
        <f>IF(Данные[[#This Row],[proba]]&lt;$D$2,$C$2,IF(Данные[[#This Row],[proba]]&lt;$D$3,$C$3,IF(Данные[[#This Row],[proba]]&gt;$C$6,0,$C$4)))</f>
        <v>0</v>
      </c>
      <c r="O206" s="2">
        <f>IF(Данные[[#This Row],[weighted_ext_score]]&gt;$O$1,MIN(Данные[[#This Row],[Базовая сумма]]*$O$2,$C$2),IF(Данные[[#This Row],[weighted_ext_score]]&lt;$O$3,Данные[[#This Row],[Базовая сумма]]*$O$4,N206))</f>
        <v>0</v>
      </c>
      <c r="P2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6" s="2">
        <f>ABS(Данные[[#This Row],[days_birth]])/365.2425</f>
        <v>38.900182755292718</v>
      </c>
      <c r="S2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6" s="2">
        <f>IF(Данные[[#This Row],[ interest_rate]]&gt;$T$1,Данные[[#This Row],[days_birth4]]*$T$2,Данные[[#This Row],[days_birth4]])</f>
        <v>0</v>
      </c>
      <c r="U206" s="2">
        <f>IF(Данные[[#This Row],[Проверка отказа]]="отказ",0,MAX(Данные[[#This Row],[interest_rate]],$C$1))</f>
        <v>0</v>
      </c>
      <c r="V206" s="2">
        <f>MROUND(Данные[[#This Row],[Минимум 20000]], 100)</f>
        <v>0</v>
      </c>
    </row>
    <row r="207" spans="1:22" x14ac:dyDescent="0.25">
      <c r="A207" s="2">
        <f>'1000_заявлений'!A201</f>
        <v>199</v>
      </c>
      <c r="B207" s="4">
        <f>VALUE(SUBSTITUTE('1000_заявлений'!B201, ".", ","))</f>
        <v>0.370273598964867</v>
      </c>
      <c r="C207" s="4">
        <f>VALUE(SUBSTITUTE('1000_заявлений'!C201, ".", ","))</f>
        <v>0.52362729544443098</v>
      </c>
      <c r="D207" s="4">
        <f>VALUE(SUBSTITUTE('1000_заявлений'!D201, ".", ","))</f>
        <v>0.55138129999999996</v>
      </c>
      <c r="E207" s="4">
        <f>VALUE(SUBSTITUTE('1000_заявлений'!E201, ".", ","))</f>
        <v>0.62383789999999995</v>
      </c>
      <c r="F207" s="5">
        <f>VALUE(SUBSTITUTE('1000_заявлений'!F201, ".", ","))</f>
        <v>-2777</v>
      </c>
      <c r="G207" s="5">
        <f>VALUE(SUBSTITUTE('1000_заявлений'!G201, ".", ","))</f>
        <v>-10111</v>
      </c>
      <c r="H207" s="5">
        <f>VALUE(SUBSTITUTE('1000_заявлений'!H201, ".", ","))</f>
        <v>-2513</v>
      </c>
      <c r="I207" s="4">
        <f>VALUE(SUBSTITUTE('1000_заявлений'!I201, ".", ","))</f>
        <v>0.18672</v>
      </c>
      <c r="J207" s="4">
        <f>VALUE(SUBSTITUTE('1000_заявлений'!J201, ".", ","))</f>
        <v>4.7239018639166401</v>
      </c>
      <c r="K207" s="5">
        <f>VALUE(SUBSTITUTE('1000_заявлений'!K201, ".", ","))</f>
        <v>-1859</v>
      </c>
      <c r="L207" s="6">
        <f>VALUE(SUBSTITUTE('1000_заявлений'!L201, ".", ","))</f>
        <v>21006</v>
      </c>
      <c r="M207" s="2" t="str">
        <f>IF(Данные[[#This Row],[proba]]&gt;$C$6, "отказ", "одобрение")</f>
        <v>отказ</v>
      </c>
      <c r="N207" s="7">
        <f>IF(Данные[[#This Row],[proba]]&lt;$D$2,$C$2,IF(Данные[[#This Row],[proba]]&lt;$D$3,$C$3,IF(Данные[[#This Row],[proba]]&gt;$C$6,0,$C$4)))</f>
        <v>0</v>
      </c>
      <c r="O207" s="2">
        <f>IF(Данные[[#This Row],[weighted_ext_score]]&gt;$O$1,MIN(Данные[[#This Row],[Базовая сумма]]*$O$2,$C$2),IF(Данные[[#This Row],[weighted_ext_score]]&lt;$O$3,Данные[[#This Row],[Базовая сумма]]*$O$4,N207))</f>
        <v>0</v>
      </c>
      <c r="P2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7" s="2">
        <f>ABS(Данные[[#This Row],[days_birth]])/365.2425</f>
        <v>27.6829777476608</v>
      </c>
      <c r="S2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7" s="2">
        <f>IF(Данные[[#This Row],[ interest_rate]]&gt;$T$1,Данные[[#This Row],[days_birth4]]*$T$2,Данные[[#This Row],[days_birth4]])</f>
        <v>0</v>
      </c>
      <c r="U207" s="2">
        <f>IF(Данные[[#This Row],[Проверка отказа]]="отказ",0,MAX(Данные[[#This Row],[interest_rate]],$C$1))</f>
        <v>0</v>
      </c>
      <c r="V207" s="2">
        <f>MROUND(Данные[[#This Row],[Минимум 20000]], 100)</f>
        <v>0</v>
      </c>
    </row>
    <row r="208" spans="1:22" x14ac:dyDescent="0.25">
      <c r="A208" s="2">
        <f>'1000_заявлений'!A202</f>
        <v>200</v>
      </c>
      <c r="B208" s="4">
        <f>VALUE(SUBSTITUTE('1000_заявлений'!B202, ".", ","))</f>
        <v>0.44442211597745401</v>
      </c>
      <c r="C208" s="4">
        <f>VALUE(SUBSTITUTE('1000_заявлений'!C202, ".", ","))</f>
        <v>0.50334964437251295</v>
      </c>
      <c r="D208" s="4">
        <f>VALUE(SUBSTITUTE('1000_заявлений'!D202, ".", ","))</f>
        <v>0.51008949999999997</v>
      </c>
      <c r="E208" s="4">
        <f>VALUE(SUBSTITUTE('1000_заявлений'!E202, ".", ","))</f>
        <v>0.21346687</v>
      </c>
      <c r="F208" s="5">
        <f>VALUE(SUBSTITUTE('1000_заявлений'!F202, ".", ","))</f>
        <v>-5965</v>
      </c>
      <c r="G208" s="5">
        <f>VALUE(SUBSTITUTE('1000_заявлений'!G202, ".", ","))</f>
        <v>-19526</v>
      </c>
      <c r="H208" s="5">
        <f>VALUE(SUBSTITUTE('1000_заявлений'!H202, ".", ","))</f>
        <v>-3066</v>
      </c>
      <c r="I208" s="4">
        <f>VALUE(SUBSTITUTE('1000_заявлений'!I202, ".", ","))</f>
        <v>3.6997500000000003E-2</v>
      </c>
      <c r="J208" s="4">
        <f>VALUE(SUBSTITUTE('1000_заявлений'!J202, ".", ","))</f>
        <v>0.89091687720583801</v>
      </c>
      <c r="K208" s="5">
        <f>VALUE(SUBSTITUTE('1000_заявлений'!K202, ".", ","))</f>
        <v>-2279</v>
      </c>
      <c r="L208" s="6">
        <f>VALUE(SUBSTITUTE('1000_заявлений'!L202, ".", ","))</f>
        <v>66595.5</v>
      </c>
      <c r="M208" s="2" t="str">
        <f>IF(Данные[[#This Row],[proba]]&gt;$C$6, "отказ", "одобрение")</f>
        <v>отказ</v>
      </c>
      <c r="N208" s="7">
        <f>IF(Данные[[#This Row],[proba]]&lt;$D$2,$C$2,IF(Данные[[#This Row],[proba]]&lt;$D$3,$C$3,IF(Данные[[#This Row],[proba]]&gt;$C$6,0,$C$4)))</f>
        <v>0</v>
      </c>
      <c r="O208" s="2">
        <f>IF(Данные[[#This Row],[weighted_ext_score]]&gt;$O$1,MIN(Данные[[#This Row],[Базовая сумма]]*$O$2,$C$2),IF(Данные[[#This Row],[weighted_ext_score]]&lt;$O$3,Данные[[#This Row],[Базовая сумма]]*$O$4,N208))</f>
        <v>0</v>
      </c>
      <c r="P2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8" s="2">
        <f>ABS(Данные[[#This Row],[days_birth]])/365.2425</f>
        <v>53.4603722184576</v>
      </c>
      <c r="S2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8" s="2">
        <f>IF(Данные[[#This Row],[ interest_rate]]&gt;$T$1,Данные[[#This Row],[days_birth4]]*$T$2,Данные[[#This Row],[days_birth4]])</f>
        <v>0</v>
      </c>
      <c r="U208" s="2">
        <f>IF(Данные[[#This Row],[Проверка отказа]]="отказ",0,MAX(Данные[[#This Row],[interest_rate]],$C$1))</f>
        <v>0</v>
      </c>
      <c r="V208" s="2">
        <f>MROUND(Данные[[#This Row],[Минимум 20000]], 100)</f>
        <v>0</v>
      </c>
    </row>
    <row r="209" spans="1:22" x14ac:dyDescent="0.25">
      <c r="A209" s="2">
        <f>'1000_заявлений'!A203</f>
        <v>201</v>
      </c>
      <c r="B209" s="4">
        <f>VALUE(SUBSTITUTE('1000_заявлений'!B203, ".", ","))</f>
        <v>0.56611845438339603</v>
      </c>
      <c r="C209" s="4">
        <f>VALUE(SUBSTITUTE('1000_заявлений'!C203, ".", ","))</f>
        <v>0.34222818906554198</v>
      </c>
      <c r="D209" s="4">
        <f>VALUE(SUBSTITUTE('1000_заявлений'!D203, ".", ","))</f>
        <v>0.29708663000000002</v>
      </c>
      <c r="E209" s="4">
        <f>VALUE(SUBSTITUTE('1000_заявлений'!E203, ".", ","))</f>
        <v>0.72379439999999995</v>
      </c>
      <c r="F209" s="5">
        <f>VALUE(SUBSTITUTE('1000_заявлений'!F203, ".", ","))</f>
        <v>-4147</v>
      </c>
      <c r="G209" s="5">
        <f>VALUE(SUBSTITUTE('1000_заявлений'!G203, ".", ","))</f>
        <v>-13400</v>
      </c>
      <c r="H209" s="5">
        <f>VALUE(SUBSTITUTE('1000_заявлений'!H203, ".", ","))</f>
        <v>-1525</v>
      </c>
      <c r="I209" s="4">
        <f>VALUE(SUBSTITUTE('1000_заявлений'!I203, ".", ","))</f>
        <v>0.26640000000000003</v>
      </c>
      <c r="J209" s="4">
        <f>VALUE(SUBSTITUTE('1000_заявлений'!J203, ".", ","))</f>
        <v>3.1563858036098398</v>
      </c>
      <c r="K209" s="5">
        <f>VALUE(SUBSTITUTE('1000_заявлений'!K203, ".", ","))</f>
        <v>-109</v>
      </c>
      <c r="L209" s="6">
        <f>VALUE(SUBSTITUTE('1000_заявлений'!L203, ".", ","))</f>
        <v>29970</v>
      </c>
      <c r="M209" s="2" t="str">
        <f>IF(Данные[[#This Row],[proba]]&gt;$C$6, "отказ", "одобрение")</f>
        <v>отказ</v>
      </c>
      <c r="N209" s="7">
        <f>IF(Данные[[#This Row],[proba]]&lt;$D$2,$C$2,IF(Данные[[#This Row],[proba]]&lt;$D$3,$C$3,IF(Данные[[#This Row],[proba]]&gt;$C$6,0,$C$4)))</f>
        <v>0</v>
      </c>
      <c r="O209" s="2">
        <f>IF(Данные[[#This Row],[weighted_ext_score]]&gt;$O$1,MIN(Данные[[#This Row],[Базовая сумма]]*$O$2,$C$2),IF(Данные[[#This Row],[weighted_ext_score]]&lt;$O$3,Данные[[#This Row],[Базовая сумма]]*$O$4,N209))</f>
        <v>0</v>
      </c>
      <c r="P2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09" s="2">
        <f>ABS(Данные[[#This Row],[days_birth]])/365.2425</f>
        <v>36.687953893646004</v>
      </c>
      <c r="S2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09" s="2">
        <f>IF(Данные[[#This Row],[ interest_rate]]&gt;$T$1,Данные[[#This Row],[days_birth4]]*$T$2,Данные[[#This Row],[days_birth4]])</f>
        <v>0</v>
      </c>
      <c r="U209" s="2">
        <f>IF(Данные[[#This Row],[Проверка отказа]]="отказ",0,MAX(Данные[[#This Row],[interest_rate]],$C$1))</f>
        <v>0</v>
      </c>
      <c r="V209" s="2">
        <f>MROUND(Данные[[#This Row],[Минимум 20000]], 100)</f>
        <v>0</v>
      </c>
    </row>
    <row r="210" spans="1:22" x14ac:dyDescent="0.25">
      <c r="A210" s="2">
        <f>'1000_заявлений'!A204</f>
        <v>202</v>
      </c>
      <c r="B210" s="4">
        <f>VALUE(SUBSTITUTE('1000_заявлений'!B204, ".", ","))</f>
        <v>0.29624442460998102</v>
      </c>
      <c r="C210" s="4">
        <f>VALUE(SUBSTITUTE('1000_заявлений'!C204, ".", ","))</f>
        <v>0.479367345838422</v>
      </c>
      <c r="D210" s="4">
        <f>VALUE(SUBSTITUTE('1000_заявлений'!D204, ".", ","))</f>
        <v>0.74630019999999997</v>
      </c>
      <c r="E210" s="4">
        <f>VALUE(SUBSTITUTE('1000_заявлений'!E204, ".", ","))</f>
        <v>0.64571869999999998</v>
      </c>
      <c r="F210" s="5">
        <f>VALUE(SUBSTITUTE('1000_заявлений'!F204, ".", ","))</f>
        <v>-6860</v>
      </c>
      <c r="G210" s="5">
        <f>VALUE(SUBSTITUTE('1000_заявлений'!G204, ".", ","))</f>
        <v>-14575</v>
      </c>
      <c r="H210" s="5">
        <f>VALUE(SUBSTITUTE('1000_заявлений'!H204, ".", ","))</f>
        <v>-2130</v>
      </c>
      <c r="I210" s="4">
        <f>VALUE(SUBSTITUTE('1000_заявлений'!I204, ".", ","))</f>
        <v>0.36806666666666599</v>
      </c>
      <c r="J210" s="4">
        <f>VALUE(SUBSTITUTE('1000_заявлений'!J204, ".", ","))</f>
        <v>5.6463095175507396</v>
      </c>
      <c r="K210" s="5">
        <f>VALUE(SUBSTITUTE('1000_заявлений'!K204, ".", ","))</f>
        <v>-2146</v>
      </c>
      <c r="L210" s="6">
        <f>VALUE(SUBSTITUTE('1000_заявлений'!L204, ".", ","))</f>
        <v>24844.5</v>
      </c>
      <c r="M210" s="2" t="str">
        <f>IF(Данные[[#This Row],[proba]]&gt;$C$6, "отказ", "одобрение")</f>
        <v>одобрение</v>
      </c>
      <c r="N210" s="7">
        <f>IF(Данные[[#This Row],[proba]]&lt;$D$2,$C$2,IF(Данные[[#This Row],[proba]]&lt;$D$3,$C$3,IF(Данные[[#This Row],[proba]]&gt;$C$6,0,$C$4)))</f>
        <v>100000</v>
      </c>
      <c r="O210" s="2">
        <f>IF(Данные[[#This Row],[weighted_ext_score]]&gt;$O$1,MIN(Данные[[#This Row],[Базовая сумма]]*$O$2,$C$2),IF(Данные[[#This Row],[weighted_ext_score]]&lt;$O$3,Данные[[#This Row],[Базовая сумма]]*$O$4,N210))</f>
        <v>100000</v>
      </c>
      <c r="P2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10" s="2">
        <f>ABS(Данные[[#This Row],[days_birth]])/365.2425</f>
        <v>39.904994626857501</v>
      </c>
      <c r="S2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210" s="2">
        <f>IF(Данные[[#This Row],[ interest_rate]]&gt;$T$1,Данные[[#This Row],[days_birth4]]*$T$2,Данные[[#This Row],[days_birth4]])</f>
        <v>120000</v>
      </c>
      <c r="U210" s="2">
        <f>IF(Данные[[#This Row],[Проверка отказа]]="отказ",0,MAX(Данные[[#This Row],[interest_rate]],$C$1))</f>
        <v>120000</v>
      </c>
      <c r="V210" s="2">
        <f>MROUND(Данные[[#This Row],[Минимум 20000]], 100)</f>
        <v>120000</v>
      </c>
    </row>
    <row r="211" spans="1:22" x14ac:dyDescent="0.25">
      <c r="A211" s="2">
        <f>'1000_заявлений'!A205</f>
        <v>203</v>
      </c>
      <c r="B211" s="4">
        <f>VALUE(SUBSTITUTE('1000_заявлений'!B205, ".", ","))</f>
        <v>0.28776287494963998</v>
      </c>
      <c r="C211" s="4">
        <f>VALUE(SUBSTITUTE('1000_заявлений'!C205, ".", ","))</f>
        <v>0.45501528415488601</v>
      </c>
      <c r="D211" s="4">
        <f>VALUE(SUBSTITUTE('1000_заявлений'!D205, ".", ","))</f>
        <v>0.67224289999999998</v>
      </c>
      <c r="E211" s="4">
        <f>VALUE(SUBSTITUTE('1000_заявлений'!E205, ".", ","))</f>
        <v>0.65321589999999996</v>
      </c>
      <c r="F211" s="5">
        <f>VALUE(SUBSTITUTE('1000_заявлений'!F205, ".", ","))</f>
        <v>-6218</v>
      </c>
      <c r="G211" s="5">
        <f>VALUE(SUBSTITUTE('1000_заявлений'!G205, ".", ","))</f>
        <v>-15803</v>
      </c>
      <c r="H211" s="5">
        <f>VALUE(SUBSTITUTE('1000_заявлений'!H205, ".", ","))</f>
        <v>-4547</v>
      </c>
      <c r="I211" s="4">
        <f>VALUE(SUBSTITUTE('1000_заявлений'!I205, ".", ","))</f>
        <v>0.30686666666666601</v>
      </c>
      <c r="J211" s="4">
        <f>VALUE(SUBSTITUTE('1000_заявлений'!J205, ".", ","))</f>
        <v>5.8590378733198696</v>
      </c>
      <c r="K211" s="5">
        <f>VALUE(SUBSTITUTE('1000_заявлений'!K205, ".", ","))</f>
        <v>-1071</v>
      </c>
      <c r="L211" s="6">
        <f>VALUE(SUBSTITUTE('1000_заявлений'!L205, ".", ","))</f>
        <v>41427</v>
      </c>
      <c r="M211" s="2" t="str">
        <f>IF(Данные[[#This Row],[proba]]&gt;$C$6, "отказ", "одобрение")</f>
        <v>одобрение</v>
      </c>
      <c r="N211" s="7">
        <f>IF(Данные[[#This Row],[proba]]&lt;$D$2,$C$2,IF(Данные[[#This Row],[proba]]&lt;$D$3,$C$3,IF(Данные[[#This Row],[proba]]&gt;$C$6,0,$C$4)))</f>
        <v>100000</v>
      </c>
      <c r="O211" s="2">
        <f>IF(Данные[[#This Row],[weighted_ext_score]]&gt;$O$1,MIN(Данные[[#This Row],[Базовая сумма]]*$O$2,$C$2),IF(Данные[[#This Row],[weighted_ext_score]]&lt;$O$3,Данные[[#This Row],[Базовая сумма]]*$O$4,N211))</f>
        <v>100000</v>
      </c>
      <c r="P2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211" s="2">
        <f>ABS(Данные[[#This Row],[days_birth]])/365.2425</f>
        <v>43.267144431439384</v>
      </c>
      <c r="S2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211" s="2">
        <f>IF(Данные[[#This Row],[ interest_rate]]&gt;$T$1,Данные[[#This Row],[days_birth4]]*$T$2,Данные[[#This Row],[days_birth4]])</f>
        <v>70000</v>
      </c>
      <c r="U211" s="2">
        <f>IF(Данные[[#This Row],[Проверка отказа]]="отказ",0,MAX(Данные[[#This Row],[interest_rate]],$C$1))</f>
        <v>70000</v>
      </c>
      <c r="V211" s="2">
        <f>MROUND(Данные[[#This Row],[Минимум 20000]], 100)</f>
        <v>70000</v>
      </c>
    </row>
    <row r="212" spans="1:22" x14ac:dyDescent="0.25">
      <c r="A212" s="2">
        <f>'1000_заявлений'!A206</f>
        <v>204</v>
      </c>
      <c r="B212" s="4">
        <f>VALUE(SUBSTITUTE('1000_заявлений'!B206, ".", ","))</f>
        <v>0.20455532150501399</v>
      </c>
      <c r="C212" s="4">
        <f>VALUE(SUBSTITUTE('1000_заявлений'!C206, ".", ","))</f>
        <v>0.46856766608771</v>
      </c>
      <c r="D212" s="4">
        <f>VALUE(SUBSTITUTE('1000_заявлений'!D206, ".", ","))</f>
        <v>0.64797689999999997</v>
      </c>
      <c r="E212" s="4">
        <f>VALUE(SUBSTITUTE('1000_заявлений'!E206, ".", ","))</f>
        <v>0.72205114000000004</v>
      </c>
      <c r="F212" s="5">
        <f>VALUE(SUBSTITUTE('1000_заявлений'!F206, ".", ","))</f>
        <v>-1137</v>
      </c>
      <c r="G212" s="5">
        <f>VALUE(SUBSTITUTE('1000_заявлений'!G206, ".", ","))</f>
        <v>-20626</v>
      </c>
      <c r="H212" s="5">
        <f>VALUE(SUBSTITUTE('1000_заявлений'!H206, ".", ","))</f>
        <v>-4059</v>
      </c>
      <c r="I212" s="4">
        <f>VALUE(SUBSTITUTE('1000_заявлений'!I206, ".", ","))</f>
        <v>0.30349999999999999</v>
      </c>
      <c r="J212" s="4">
        <f>VALUE(SUBSTITUTE('1000_заявлений'!J206, ".", ","))</f>
        <v>9.4032211204061404</v>
      </c>
      <c r="K212" s="5">
        <f>VALUE(SUBSTITUTE('1000_заявлений'!K206, ".", ","))</f>
        <v>-664</v>
      </c>
      <c r="L212" s="6">
        <f>VALUE(SUBSTITUTE('1000_заявлений'!L206, ".", ","))</f>
        <v>109260</v>
      </c>
      <c r="M212" s="2" t="str">
        <f>IF(Данные[[#This Row],[proba]]&gt;$C$6, "отказ", "одобрение")</f>
        <v>одобрение</v>
      </c>
      <c r="N212" s="7">
        <f>IF(Данные[[#This Row],[proba]]&lt;$D$2,$C$2,IF(Данные[[#This Row],[proba]]&lt;$D$3,$C$3,IF(Данные[[#This Row],[proba]]&gt;$C$6,0,$C$4)))</f>
        <v>100000</v>
      </c>
      <c r="O212" s="2">
        <f>IF(Данные[[#This Row],[weighted_ext_score]]&gt;$O$1,MIN(Данные[[#This Row],[Базовая сумма]]*$O$2,$C$2),IF(Данные[[#This Row],[weighted_ext_score]]&lt;$O$3,Данные[[#This Row],[Базовая сумма]]*$O$4,N212))</f>
        <v>100000</v>
      </c>
      <c r="P2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212" s="2">
        <f>ABS(Данные[[#This Row],[days_birth]])/365.2425</f>
        <v>56.472069926144954</v>
      </c>
      <c r="S2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73500</v>
      </c>
      <c r="T212" s="2">
        <f>IF(Данные[[#This Row],[ interest_rate]]&gt;$T$1,Данные[[#This Row],[days_birth4]]*$T$2,Данные[[#This Row],[days_birth4]])</f>
        <v>73500</v>
      </c>
      <c r="U212" s="2">
        <f>IF(Данные[[#This Row],[Проверка отказа]]="отказ",0,MAX(Данные[[#This Row],[interest_rate]],$C$1))</f>
        <v>73500</v>
      </c>
      <c r="V212" s="2">
        <f>MROUND(Данные[[#This Row],[Минимум 20000]], 100)</f>
        <v>73500</v>
      </c>
    </row>
    <row r="213" spans="1:22" x14ac:dyDescent="0.25">
      <c r="A213" s="2">
        <f>'1000_заявлений'!A207</f>
        <v>205</v>
      </c>
      <c r="B213" s="4">
        <f>VALUE(SUBSTITUTE('1000_заявлений'!B207, ".", ","))</f>
        <v>0.429914543546279</v>
      </c>
      <c r="C213" s="4">
        <f>VALUE(SUBSTITUTE('1000_заявлений'!C207, ".", ","))</f>
        <v>0.46511415331593298</v>
      </c>
      <c r="D213" s="4">
        <f>VALUE(SUBSTITUTE('1000_заявлений'!D207, ".", ","))</f>
        <v>0.66263777000000001</v>
      </c>
      <c r="E213" s="4">
        <f>VALUE(SUBSTITUTE('1000_заявлений'!E207, ".", ","))</f>
        <v>0.44845786999999998</v>
      </c>
      <c r="F213" s="5">
        <f>VALUE(SUBSTITUTE('1000_заявлений'!F207, ".", ","))</f>
        <v>-279</v>
      </c>
      <c r="G213" s="5">
        <f>VALUE(SUBSTITUTE('1000_заявлений'!G207, ".", ","))</f>
        <v>-10892</v>
      </c>
      <c r="H213" s="5">
        <f>VALUE(SUBSTITUTE('1000_заявлений'!H207, ".", ","))</f>
        <v>-3463</v>
      </c>
      <c r="I213" s="4">
        <f>VALUE(SUBSTITUTE('1000_заявлений'!I207, ".", ","))</f>
        <v>0.26860000000000001</v>
      </c>
      <c r="J213" s="4">
        <f>VALUE(SUBSTITUTE('1000_заявлений'!J207, ".", ","))</f>
        <v>1.61679290308431</v>
      </c>
      <c r="K213" s="5">
        <f>VALUE(SUBSTITUTE('1000_заявлений'!K207, ".", ","))</f>
        <v>-2264</v>
      </c>
      <c r="L213" s="6">
        <f>VALUE(SUBSTITUTE('1000_заявлений'!L207, ".", ","))</f>
        <v>36261</v>
      </c>
      <c r="M213" s="2" t="str">
        <f>IF(Данные[[#This Row],[proba]]&gt;$C$6, "отказ", "одобрение")</f>
        <v>отказ</v>
      </c>
      <c r="N213" s="7">
        <f>IF(Данные[[#This Row],[proba]]&lt;$D$2,$C$2,IF(Данные[[#This Row],[proba]]&lt;$D$3,$C$3,IF(Данные[[#This Row],[proba]]&gt;$C$6,0,$C$4)))</f>
        <v>0</v>
      </c>
      <c r="O213" s="2">
        <f>IF(Данные[[#This Row],[weighted_ext_score]]&gt;$O$1,MIN(Данные[[#This Row],[Базовая сумма]]*$O$2,$C$2),IF(Данные[[#This Row],[weighted_ext_score]]&lt;$O$3,Данные[[#This Row],[Базовая сумма]]*$O$4,N213))</f>
        <v>0</v>
      </c>
      <c r="P2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3" s="2">
        <f>ABS(Данные[[#This Row],[days_birth]])/365.2425</f>
        <v>29.821283120118824</v>
      </c>
      <c r="S2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3" s="2">
        <f>IF(Данные[[#This Row],[ interest_rate]]&gt;$T$1,Данные[[#This Row],[days_birth4]]*$T$2,Данные[[#This Row],[days_birth4]])</f>
        <v>0</v>
      </c>
      <c r="U213" s="2">
        <f>IF(Данные[[#This Row],[Проверка отказа]]="отказ",0,MAX(Данные[[#This Row],[interest_rate]],$C$1))</f>
        <v>0</v>
      </c>
      <c r="V213" s="2">
        <f>MROUND(Данные[[#This Row],[Минимум 20000]], 100)</f>
        <v>0</v>
      </c>
    </row>
    <row r="214" spans="1:22" x14ac:dyDescent="0.25">
      <c r="A214" s="2">
        <f>'1000_заявлений'!A208</f>
        <v>206</v>
      </c>
      <c r="B214" s="4">
        <f>VALUE(SUBSTITUTE('1000_заявлений'!B208, ".", ","))</f>
        <v>0.88744682014814302</v>
      </c>
      <c r="C214" s="4">
        <f>VALUE(SUBSTITUTE('1000_заявлений'!C208, ".", ","))</f>
        <v>0.103619373791056</v>
      </c>
      <c r="D214" s="4">
        <f>VALUE(SUBSTITUTE('1000_заявлений'!D208, ".", ","))</f>
        <v>0.23661082999999999</v>
      </c>
      <c r="E214" s="4">
        <f>VALUE(SUBSTITUTE('1000_заявлений'!E208, ".", ","))</f>
        <v>5.5630873999999997E-2</v>
      </c>
      <c r="F214" s="5">
        <f>VALUE(SUBSTITUTE('1000_заявлений'!F208, ".", ","))</f>
        <v>-110</v>
      </c>
      <c r="G214" s="5">
        <f>VALUE(SUBSTITUTE('1000_заявлений'!G208, ".", ","))</f>
        <v>-9555</v>
      </c>
      <c r="H214" s="5">
        <f>VALUE(SUBSTITUTE('1000_заявлений'!H208, ".", ","))</f>
        <v>-712</v>
      </c>
      <c r="I214" s="4">
        <f>VALUE(SUBSTITUTE('1000_заявлений'!I208, ".", ","))</f>
        <v>6.8781250000000002E-2</v>
      </c>
      <c r="J214" s="4">
        <f>VALUE(SUBSTITUTE('1000_заявлений'!J208, ".", ","))</f>
        <v>0.19376321711837</v>
      </c>
      <c r="K214" s="5">
        <f>VALUE(SUBSTITUTE('1000_заявлений'!K208, ".", ","))</f>
        <v>-618</v>
      </c>
      <c r="L214" s="6">
        <f>VALUE(SUBSTITUTE('1000_заявлений'!L208, ".", ","))</f>
        <v>9904.5</v>
      </c>
      <c r="M214" s="2" t="str">
        <f>IF(Данные[[#This Row],[proba]]&gt;$C$6, "отказ", "одобрение")</f>
        <v>отказ</v>
      </c>
      <c r="N214" s="7">
        <f>IF(Данные[[#This Row],[proba]]&lt;$D$2,$C$2,IF(Данные[[#This Row],[proba]]&lt;$D$3,$C$3,IF(Данные[[#This Row],[proba]]&gt;$C$6,0,$C$4)))</f>
        <v>0</v>
      </c>
      <c r="O214" s="2">
        <f>IF(Данные[[#This Row],[weighted_ext_score]]&gt;$O$1,MIN(Данные[[#This Row],[Базовая сумма]]*$O$2,$C$2),IF(Данные[[#This Row],[weighted_ext_score]]&lt;$O$3,Данные[[#This Row],[Базовая сумма]]*$O$4,N214))</f>
        <v>0</v>
      </c>
      <c r="P2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4" s="2">
        <f>ABS(Данные[[#This Row],[days_birth]])/365.2425</f>
        <v>26.160701451775189</v>
      </c>
      <c r="S2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4" s="2">
        <f>IF(Данные[[#This Row],[ interest_rate]]&gt;$T$1,Данные[[#This Row],[days_birth4]]*$T$2,Данные[[#This Row],[days_birth4]])</f>
        <v>0</v>
      </c>
      <c r="U214" s="2">
        <f>IF(Данные[[#This Row],[Проверка отказа]]="отказ",0,MAX(Данные[[#This Row],[interest_rate]],$C$1))</f>
        <v>0</v>
      </c>
      <c r="V214" s="2">
        <f>MROUND(Данные[[#This Row],[Минимум 20000]], 100)</f>
        <v>0</v>
      </c>
    </row>
    <row r="215" spans="1:22" x14ac:dyDescent="0.25">
      <c r="A215" s="2">
        <f>'1000_заявлений'!A209</f>
        <v>207</v>
      </c>
      <c r="B215" s="4">
        <f>VALUE(SUBSTITUTE('1000_заявлений'!B209, ".", ","))</f>
        <v>0.75097452621869898</v>
      </c>
      <c r="C215" s="4">
        <f>VALUE(SUBSTITUTE('1000_заявлений'!C209, ".", ","))</f>
        <v>0.18019265006507901</v>
      </c>
      <c r="D215" s="4">
        <f>VALUE(SUBSTITUTE('1000_заявлений'!D209, ".", ","))</f>
        <v>0.38420680000000001</v>
      </c>
      <c r="E215" s="4">
        <f>VALUE(SUBSTITUTE('1000_заявлений'!E209, ".", ","))</f>
        <v>0.12713068999999999</v>
      </c>
      <c r="F215" s="5">
        <f>VALUE(SUBSTITUTE('1000_заявлений'!F209, ".", ","))</f>
        <v>-9147</v>
      </c>
      <c r="G215" s="5">
        <f>VALUE(SUBSTITUTE('1000_заявлений'!G209, ".", ","))</f>
        <v>-21383</v>
      </c>
      <c r="H215" s="5">
        <f>VALUE(SUBSTITUTE('1000_заявлений'!H209, ".", ","))</f>
        <v>-1075</v>
      </c>
      <c r="I215" s="4">
        <f>VALUE(SUBSTITUTE('1000_заявлений'!I209, ".", ","))</f>
        <v>0.32933333333333298</v>
      </c>
      <c r="J215" s="4">
        <f>VALUE(SUBSTITUTE('1000_заявлений'!J209, ".", ","))</f>
        <v>2.6702755583181998</v>
      </c>
      <c r="K215" s="5">
        <f>VALUE(SUBSTITUTE('1000_заявлений'!K209, ".", ","))</f>
        <v>365243</v>
      </c>
      <c r="L215" s="6">
        <f>VALUE(SUBSTITUTE('1000_заявлений'!L209, ".", ","))</f>
        <v>17784</v>
      </c>
      <c r="M215" s="2" t="str">
        <f>IF(Данные[[#This Row],[proba]]&gt;$C$6, "отказ", "одобрение")</f>
        <v>отказ</v>
      </c>
      <c r="N215" s="7">
        <f>IF(Данные[[#This Row],[proba]]&lt;$D$2,$C$2,IF(Данные[[#This Row],[proba]]&lt;$D$3,$C$3,IF(Данные[[#This Row],[proba]]&gt;$C$6,0,$C$4)))</f>
        <v>0</v>
      </c>
      <c r="O215" s="2">
        <f>IF(Данные[[#This Row],[weighted_ext_score]]&gt;$O$1,MIN(Данные[[#This Row],[Базовая сумма]]*$O$2,$C$2),IF(Данные[[#This Row],[weighted_ext_score]]&lt;$O$3,Данные[[#This Row],[Базовая сумма]]*$O$4,N215))</f>
        <v>0</v>
      </c>
      <c r="P2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5" s="2">
        <f>ABS(Данные[[#This Row],[days_birth]])/365.2425</f>
        <v>58.54466553043526</v>
      </c>
      <c r="S2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5" s="2">
        <f>IF(Данные[[#This Row],[ interest_rate]]&gt;$T$1,Данные[[#This Row],[days_birth4]]*$T$2,Данные[[#This Row],[days_birth4]])</f>
        <v>0</v>
      </c>
      <c r="U215" s="2">
        <f>IF(Данные[[#This Row],[Проверка отказа]]="отказ",0,MAX(Данные[[#This Row],[interest_rate]],$C$1))</f>
        <v>0</v>
      </c>
      <c r="V215" s="2">
        <f>MROUND(Данные[[#This Row],[Минимум 20000]], 100)</f>
        <v>0</v>
      </c>
    </row>
    <row r="216" spans="1:22" x14ac:dyDescent="0.25">
      <c r="A216" s="2">
        <f>'1000_заявлений'!A210</f>
        <v>208</v>
      </c>
      <c r="B216" s="4">
        <f>VALUE(SUBSTITUTE('1000_заявлений'!B210, ".", ","))</f>
        <v>0.17785108241962699</v>
      </c>
      <c r="C216" s="4">
        <f>VALUE(SUBSTITUTE('1000_заявлений'!C210, ".", ","))</f>
        <v>0.64218063710523199</v>
      </c>
      <c r="D216" s="4">
        <f>VALUE(SUBSTITUTE('1000_заявлений'!D210, ".", ","))</f>
        <v>0.68326885000000004</v>
      </c>
      <c r="E216" s="4">
        <f>VALUE(SUBSTITUTE('1000_заявлений'!E210, ".", ","))</f>
        <v>0.75918759999999996</v>
      </c>
      <c r="F216" s="5">
        <f>VALUE(SUBSTITUTE('1000_заявлений'!F210, ".", ","))</f>
        <v>-2398</v>
      </c>
      <c r="G216" s="5">
        <f>VALUE(SUBSTITUTE('1000_заявлений'!G210, ".", ","))</f>
        <v>-14400</v>
      </c>
      <c r="H216" s="5">
        <f>VALUE(SUBSTITUTE('1000_заявлений'!H210, ".", ","))</f>
        <v>-4731</v>
      </c>
      <c r="I216" s="4">
        <f>VALUE(SUBSTITUTE('1000_заявлений'!I210, ".", ","))</f>
        <v>0.128816666666666</v>
      </c>
      <c r="J216" s="4">
        <f>VALUE(SUBSTITUTE('1000_заявлений'!J210, ".", ","))</f>
        <v>2.34741022261553</v>
      </c>
      <c r="K216" s="5">
        <f>VALUE(SUBSTITUTE('1000_заявлений'!K210, ".", ","))</f>
        <v>-787</v>
      </c>
      <c r="L216" s="6">
        <f>VALUE(SUBSTITUTE('1000_заявлений'!L210, ".", ","))</f>
        <v>34780.5</v>
      </c>
      <c r="M216" s="2" t="str">
        <f>IF(Данные[[#This Row],[proba]]&gt;$C$6, "отказ", "одобрение")</f>
        <v>одобрение</v>
      </c>
      <c r="N216" s="7">
        <f>IF(Данные[[#This Row],[proba]]&lt;$D$2,$C$2,IF(Данные[[#This Row],[proba]]&lt;$D$3,$C$3,IF(Данные[[#This Row],[proba]]&gt;$C$6,0,$C$4)))</f>
        <v>300000</v>
      </c>
      <c r="O216" s="2">
        <f>IF(Данные[[#This Row],[weighted_ext_score]]&gt;$O$1,MIN(Данные[[#This Row],[Базовая сумма]]*$O$2,$C$2),IF(Данные[[#This Row],[weighted_ext_score]]&lt;$O$3,Данные[[#This Row],[Базовая сумма]]*$O$4,N216))</f>
        <v>300000</v>
      </c>
      <c r="P2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2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216" s="2">
        <f>ABS(Данные[[#This Row],[days_birth]])/365.2425</f>
        <v>39.425860900634511</v>
      </c>
      <c r="S2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216" s="2">
        <f>IF(Данные[[#This Row],[ interest_rate]]&gt;$T$1,Данные[[#This Row],[days_birth4]]*$T$2,Данные[[#This Row],[days_birth4]])</f>
        <v>251999.99999999997</v>
      </c>
      <c r="U216" s="2">
        <f>IF(Данные[[#This Row],[Проверка отказа]]="отказ",0,MAX(Данные[[#This Row],[interest_rate]],$C$1))</f>
        <v>251999.99999999997</v>
      </c>
      <c r="V216" s="2">
        <f>MROUND(Данные[[#This Row],[Минимум 20000]], 100)</f>
        <v>252000</v>
      </c>
    </row>
    <row r="217" spans="1:22" x14ac:dyDescent="0.25">
      <c r="A217" s="2">
        <f>'1000_заявлений'!A211</f>
        <v>209</v>
      </c>
      <c r="B217" s="4">
        <f>VALUE(SUBSTITUTE('1000_заявлений'!B211, ".", ","))</f>
        <v>0.49722837637166101</v>
      </c>
      <c r="C217" s="4">
        <f>VALUE(SUBSTITUTE('1000_заявлений'!C211, ".", ","))</f>
        <v>0.44459983921665203</v>
      </c>
      <c r="D217" s="4">
        <f>VALUE(SUBSTITUTE('1000_заявлений'!D211, ".", ","))</f>
        <v>0.37402079999999999</v>
      </c>
      <c r="E217" s="4">
        <f>VALUE(SUBSTITUTE('1000_заявлений'!E211, ".", ","))</f>
        <v>0.40508126999999999</v>
      </c>
      <c r="F217" s="5">
        <f>VALUE(SUBSTITUTE('1000_заявлений'!F211, ".", ","))</f>
        <v>-2258</v>
      </c>
      <c r="G217" s="5">
        <f>VALUE(SUBSTITUTE('1000_заявлений'!G211, ".", ","))</f>
        <v>-10379</v>
      </c>
      <c r="H217" s="5">
        <f>VALUE(SUBSTITUTE('1000_заявлений'!H211, ".", ","))</f>
        <v>-2878</v>
      </c>
      <c r="I217" s="4">
        <f>VALUE(SUBSTITUTE('1000_заявлений'!I211, ".", ","))</f>
        <v>0.14014285714285701</v>
      </c>
      <c r="J217" s="4">
        <f>VALUE(SUBSTITUTE('1000_заявлений'!J211, ".", ","))</f>
        <v>19.2957609326103</v>
      </c>
      <c r="K217" s="5">
        <f>VALUE(SUBSTITUTE('1000_заявлений'!K211, ".", ","))</f>
        <v>-2336</v>
      </c>
      <c r="L217" s="6">
        <f>VALUE(SUBSTITUTE('1000_заявлений'!L211, ".", ","))</f>
        <v>22072.5</v>
      </c>
      <c r="M217" s="2" t="str">
        <f>IF(Данные[[#This Row],[proba]]&gt;$C$6, "отказ", "одобрение")</f>
        <v>отказ</v>
      </c>
      <c r="N217" s="7">
        <f>IF(Данные[[#This Row],[proba]]&lt;$D$2,$C$2,IF(Данные[[#This Row],[proba]]&lt;$D$3,$C$3,IF(Данные[[#This Row],[proba]]&gt;$C$6,0,$C$4)))</f>
        <v>0</v>
      </c>
      <c r="O217" s="2">
        <f>IF(Данные[[#This Row],[weighted_ext_score]]&gt;$O$1,MIN(Данные[[#This Row],[Базовая сумма]]*$O$2,$C$2),IF(Данные[[#This Row],[weighted_ext_score]]&lt;$O$3,Данные[[#This Row],[Базовая сумма]]*$O$4,N217))</f>
        <v>0</v>
      </c>
      <c r="P2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7" s="2">
        <f>ABS(Данные[[#This Row],[days_birth]])/365.2425</f>
        <v>28.416736825533722</v>
      </c>
      <c r="S2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7" s="2">
        <f>IF(Данные[[#This Row],[ interest_rate]]&gt;$T$1,Данные[[#This Row],[days_birth4]]*$T$2,Данные[[#This Row],[days_birth4]])</f>
        <v>0</v>
      </c>
      <c r="U217" s="2">
        <f>IF(Данные[[#This Row],[Проверка отказа]]="отказ",0,MAX(Данные[[#This Row],[interest_rate]],$C$1))</f>
        <v>0</v>
      </c>
      <c r="V217" s="2">
        <f>MROUND(Данные[[#This Row],[Минимум 20000]], 100)</f>
        <v>0</v>
      </c>
    </row>
    <row r="218" spans="1:22" x14ac:dyDescent="0.25">
      <c r="A218" s="2">
        <f>'1000_заявлений'!A212</f>
        <v>210</v>
      </c>
      <c r="B218" s="4">
        <f>VALUE(SUBSTITUTE('1000_заявлений'!B212, ".", ","))</f>
        <v>0.25850549016218699</v>
      </c>
      <c r="C218" s="4">
        <f>VALUE(SUBSTITUTE('1000_заявлений'!C212, ".", ","))</f>
        <v>0.41962120460164098</v>
      </c>
      <c r="D218" s="4">
        <f>VALUE(SUBSTITUTE('1000_заявлений'!D212, ".", ","))</f>
        <v>0.56737923999999995</v>
      </c>
      <c r="E218" s="4">
        <f>VALUE(SUBSTITUTE('1000_заявлений'!E212, ".", ","))</f>
        <v>0.6610201</v>
      </c>
      <c r="F218" s="5">
        <f>VALUE(SUBSTITUTE('1000_заявлений'!F212, ".", ","))</f>
        <v>-14632</v>
      </c>
      <c r="G218" s="5">
        <f>VALUE(SUBSTITUTE('1000_заявлений'!G212, ".", ","))</f>
        <v>-22552</v>
      </c>
      <c r="H218" s="5">
        <f>VALUE(SUBSTITUTE('1000_заявлений'!H212, ".", ","))</f>
        <v>-1627</v>
      </c>
      <c r="I218" s="4">
        <f>VALUE(SUBSTITUTE('1000_заявлений'!I212, ".", ","))</f>
        <v>9.7607142857142795E-2</v>
      </c>
      <c r="J218" s="4">
        <f>VALUE(SUBSTITUTE('1000_заявлений'!J212, ".", ","))</f>
        <v>4.0340303407808404</v>
      </c>
      <c r="K218" s="5">
        <f>VALUE(SUBSTITUTE('1000_заявлений'!K212, ".", ","))</f>
        <v>365243</v>
      </c>
      <c r="L218" s="6">
        <f>VALUE(SUBSTITUTE('1000_заявлений'!L212, ".", ","))</f>
        <v>12298.5</v>
      </c>
      <c r="M218" s="2" t="str">
        <f>IF(Данные[[#This Row],[proba]]&gt;$C$6, "отказ", "одобрение")</f>
        <v>одобрение</v>
      </c>
      <c r="N218" s="7">
        <f>IF(Данные[[#This Row],[proba]]&lt;$D$2,$C$2,IF(Данные[[#This Row],[proba]]&lt;$D$3,$C$3,IF(Данные[[#This Row],[proba]]&gt;$C$6,0,$C$4)))</f>
        <v>100000</v>
      </c>
      <c r="O218" s="2">
        <f>IF(Данные[[#This Row],[weighted_ext_score]]&gt;$O$1,MIN(Данные[[#This Row],[Базовая сумма]]*$O$2,$C$2),IF(Данные[[#This Row],[weighted_ext_score]]&lt;$O$3,Данные[[#This Row],[Базовая сумма]]*$O$4,N218))</f>
        <v>100000</v>
      </c>
      <c r="P2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18" s="2">
        <f>ABS(Данные[[#This Row],[days_birth]])/365.2425</f>
        <v>61.745278821604821</v>
      </c>
      <c r="S2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218" s="2">
        <f>IF(Данные[[#This Row],[ interest_rate]]&gt;$T$1,Данные[[#This Row],[days_birth4]]*$T$2,Данные[[#This Row],[days_birth4]])</f>
        <v>126000</v>
      </c>
      <c r="U218" s="2">
        <f>IF(Данные[[#This Row],[Проверка отказа]]="отказ",0,MAX(Данные[[#This Row],[interest_rate]],$C$1))</f>
        <v>126000</v>
      </c>
      <c r="V218" s="2">
        <f>MROUND(Данные[[#This Row],[Минимум 20000]], 100)</f>
        <v>126000</v>
      </c>
    </row>
    <row r="219" spans="1:22" x14ac:dyDescent="0.25">
      <c r="A219" s="2">
        <f>'1000_заявлений'!A213</f>
        <v>211</v>
      </c>
      <c r="B219" s="4">
        <f>VALUE(SUBSTITUTE('1000_заявлений'!B213, ".", ","))</f>
        <v>0.388200726042981</v>
      </c>
      <c r="C219" s="4">
        <f>VALUE(SUBSTITUTE('1000_заявлений'!C213, ".", ","))</f>
        <v>0.516206059902376</v>
      </c>
      <c r="D219" s="4">
        <f>VALUE(SUBSTITUTE('1000_заявлений'!D213, ".", ","))</f>
        <v>0.44717857</v>
      </c>
      <c r="E219" s="4">
        <f>VALUE(SUBSTITUTE('1000_заявлений'!E213, ".", ","))</f>
        <v>0.72927295999999997</v>
      </c>
      <c r="F219" s="5">
        <f>VALUE(SUBSTITUTE('1000_заявлений'!F213, ".", ","))</f>
        <v>-3163</v>
      </c>
      <c r="G219" s="5">
        <f>VALUE(SUBSTITUTE('1000_заявлений'!G213, ".", ","))</f>
        <v>-12588</v>
      </c>
      <c r="H219" s="5">
        <f>VALUE(SUBSTITUTE('1000_заявлений'!H213, ".", ","))</f>
        <v>-5028</v>
      </c>
      <c r="I219" s="4">
        <f>VALUE(SUBSTITUTE('1000_заявлений'!I213, ".", ","))</f>
        <v>0.29239130434782601</v>
      </c>
      <c r="J219" s="4">
        <f>VALUE(SUBSTITUTE('1000_заявлений'!J213, ".", ","))</f>
        <v>1.5576936610682299</v>
      </c>
      <c r="K219" s="5">
        <f>VALUE(SUBSTITUTE('1000_заявлений'!K213, ".", ","))</f>
        <v>-3824</v>
      </c>
      <c r="L219" s="6">
        <f>VALUE(SUBSTITUTE('1000_заявлений'!L213, ".", ","))</f>
        <v>30262.5</v>
      </c>
      <c r="M219" s="2" t="str">
        <f>IF(Данные[[#This Row],[proba]]&gt;$C$6, "отказ", "одобрение")</f>
        <v>отказ</v>
      </c>
      <c r="N219" s="7">
        <f>IF(Данные[[#This Row],[proba]]&lt;$D$2,$C$2,IF(Данные[[#This Row],[proba]]&lt;$D$3,$C$3,IF(Данные[[#This Row],[proba]]&gt;$C$6,0,$C$4)))</f>
        <v>0</v>
      </c>
      <c r="O219" s="2">
        <f>IF(Данные[[#This Row],[weighted_ext_score]]&gt;$O$1,MIN(Данные[[#This Row],[Базовая сумма]]*$O$2,$C$2),IF(Данные[[#This Row],[weighted_ext_score]]&lt;$O$3,Данные[[#This Row],[Базовая сумма]]*$O$4,N219))</f>
        <v>0</v>
      </c>
      <c r="P2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19" s="2">
        <f>ABS(Данные[[#This Row],[days_birth]])/365.2425</f>
        <v>34.464773403971336</v>
      </c>
      <c r="S2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19" s="2">
        <f>IF(Данные[[#This Row],[ interest_rate]]&gt;$T$1,Данные[[#This Row],[days_birth4]]*$T$2,Данные[[#This Row],[days_birth4]])</f>
        <v>0</v>
      </c>
      <c r="U219" s="2">
        <f>IF(Данные[[#This Row],[Проверка отказа]]="отказ",0,MAX(Данные[[#This Row],[interest_rate]],$C$1))</f>
        <v>0</v>
      </c>
      <c r="V219" s="2">
        <f>MROUND(Данные[[#This Row],[Минимум 20000]], 100)</f>
        <v>0</v>
      </c>
    </row>
    <row r="220" spans="1:22" x14ac:dyDescent="0.25">
      <c r="A220" s="2">
        <f>'1000_заявлений'!A214</f>
        <v>212</v>
      </c>
      <c r="B220" s="4">
        <f>VALUE(SUBSTITUTE('1000_заявлений'!B214, ".", ","))</f>
        <v>0.460038889061477</v>
      </c>
      <c r="C220" s="4">
        <f>VALUE(SUBSTITUTE('1000_заявлений'!C214, ".", ","))</f>
        <v>0.21347675557311299</v>
      </c>
      <c r="D220" s="4">
        <f>VALUE(SUBSTITUTE('1000_заявлений'!D214, ".", ","))</f>
        <v>0.53527623000000002</v>
      </c>
      <c r="E220" s="4">
        <f>VALUE(SUBSTITUTE('1000_заявлений'!E214, ".", ","))</f>
        <v>0.65811335999999998</v>
      </c>
      <c r="F220" s="5">
        <f>VALUE(SUBSTITUTE('1000_заявлений'!F214, ".", ","))</f>
        <v>-8933</v>
      </c>
      <c r="G220" s="5">
        <f>VALUE(SUBSTITUTE('1000_заявлений'!G214, ".", ","))</f>
        <v>-18598</v>
      </c>
      <c r="H220" s="5">
        <f>VALUE(SUBSTITUTE('1000_заявлений'!H214, ".", ","))</f>
        <v>-2139</v>
      </c>
      <c r="I220" s="4">
        <f>VALUE(SUBSTITUTE('1000_заявлений'!I214, ".", ","))</f>
        <v>0.10047058823529401</v>
      </c>
      <c r="J220" s="4">
        <f>VALUE(SUBSTITUTE('1000_заявлений'!J214, ".", ","))</f>
        <v>1.29044811520808</v>
      </c>
      <c r="K220" s="5">
        <f>VALUE(SUBSTITUTE('1000_заявлений'!K214, ".", ","))</f>
        <v>-1810</v>
      </c>
      <c r="L220" s="6">
        <f>VALUE(SUBSTITUTE('1000_заявлений'!L214, ".", ","))</f>
        <v>7686</v>
      </c>
      <c r="M220" s="2" t="str">
        <f>IF(Данные[[#This Row],[proba]]&gt;$C$6, "отказ", "одобрение")</f>
        <v>отказ</v>
      </c>
      <c r="N220" s="7">
        <f>IF(Данные[[#This Row],[proba]]&lt;$D$2,$C$2,IF(Данные[[#This Row],[proba]]&lt;$D$3,$C$3,IF(Данные[[#This Row],[proba]]&gt;$C$6,0,$C$4)))</f>
        <v>0</v>
      </c>
      <c r="O220" s="2">
        <f>IF(Данные[[#This Row],[weighted_ext_score]]&gt;$O$1,MIN(Данные[[#This Row],[Базовая сумма]]*$O$2,$C$2),IF(Данные[[#This Row],[weighted_ext_score]]&lt;$O$3,Данные[[#This Row],[Базовая сумма]]*$O$4,N220))</f>
        <v>0</v>
      </c>
      <c r="P2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0" s="2">
        <f>ABS(Данные[[#This Row],[days_birth]])/365.2425</f>
        <v>50.919594515972264</v>
      </c>
      <c r="S2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0" s="2">
        <f>IF(Данные[[#This Row],[ interest_rate]]&gt;$T$1,Данные[[#This Row],[days_birth4]]*$T$2,Данные[[#This Row],[days_birth4]])</f>
        <v>0</v>
      </c>
      <c r="U220" s="2">
        <f>IF(Данные[[#This Row],[Проверка отказа]]="отказ",0,MAX(Данные[[#This Row],[interest_rate]],$C$1))</f>
        <v>0</v>
      </c>
      <c r="V220" s="2">
        <f>MROUND(Данные[[#This Row],[Минимум 20000]], 100)</f>
        <v>0</v>
      </c>
    </row>
    <row r="221" spans="1:22" x14ac:dyDescent="0.25">
      <c r="A221" s="2">
        <f>'1000_заявлений'!A215</f>
        <v>213</v>
      </c>
      <c r="B221" s="4">
        <f>VALUE(SUBSTITUTE('1000_заявлений'!B215, ".", ","))</f>
        <v>0.26699646701952701</v>
      </c>
      <c r="C221" s="4">
        <f>VALUE(SUBSTITUTE('1000_заявлений'!C215, ".", ","))</f>
        <v>0.587888359589406</v>
      </c>
      <c r="D221" s="4">
        <f>VALUE(SUBSTITUTE('1000_заявлений'!D215, ".", ","))</f>
        <v>0.59371759999999996</v>
      </c>
      <c r="E221" s="4">
        <f>VALUE(SUBSTITUTE('1000_заявлений'!E215, ".", ","))</f>
        <v>0.70532969999999995</v>
      </c>
      <c r="F221" s="5">
        <f>VALUE(SUBSTITUTE('1000_заявлений'!F215, ".", ","))</f>
        <v>-5023</v>
      </c>
      <c r="G221" s="5">
        <f>VALUE(SUBSTITUTE('1000_заявлений'!G215, ".", ","))</f>
        <v>-10988</v>
      </c>
      <c r="H221" s="5">
        <f>VALUE(SUBSTITUTE('1000_заявлений'!H215, ".", ","))</f>
        <v>-3184</v>
      </c>
      <c r="I221" s="4">
        <f>VALUE(SUBSTITUTE('1000_заявлений'!I215, ".", ","))</f>
        <v>8.4581818181818105E-2</v>
      </c>
      <c r="J221" s="4">
        <f>VALUE(SUBSTITUTE('1000_заявлений'!J215, ".", ","))</f>
        <v>1.9742512978304601</v>
      </c>
      <c r="K221" s="5">
        <f>VALUE(SUBSTITUTE('1000_заявлений'!K215, ".", ","))</f>
        <v>-3821</v>
      </c>
      <c r="L221" s="6">
        <f>VALUE(SUBSTITUTE('1000_заявлений'!L215, ".", ","))</f>
        <v>20934</v>
      </c>
      <c r="M221" s="2" t="str">
        <f>IF(Данные[[#This Row],[proba]]&gt;$C$6, "отказ", "одобрение")</f>
        <v>одобрение</v>
      </c>
      <c r="N221" s="7">
        <f>IF(Данные[[#This Row],[proba]]&lt;$D$2,$C$2,IF(Данные[[#This Row],[proba]]&lt;$D$3,$C$3,IF(Данные[[#This Row],[proba]]&gt;$C$6,0,$C$4)))</f>
        <v>100000</v>
      </c>
      <c r="O221" s="2">
        <f>IF(Данные[[#This Row],[weighted_ext_score]]&gt;$O$1,MIN(Данные[[#This Row],[Базовая сумма]]*$O$2,$C$2),IF(Данные[[#This Row],[weighted_ext_score]]&lt;$O$3,Данные[[#This Row],[Базовая сумма]]*$O$4,N221))</f>
        <v>100000</v>
      </c>
      <c r="P2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21" s="2">
        <f>ABS(Данные[[#This Row],[days_birth]])/365.2425</f>
        <v>30.084122192789721</v>
      </c>
      <c r="S2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221" s="2">
        <f>IF(Данные[[#This Row],[ interest_rate]]&gt;$T$1,Данные[[#This Row],[days_birth4]]*$T$2,Данные[[#This Row],[days_birth4]])</f>
        <v>144000</v>
      </c>
      <c r="U221" s="2">
        <f>IF(Данные[[#This Row],[Проверка отказа]]="отказ",0,MAX(Данные[[#This Row],[interest_rate]],$C$1))</f>
        <v>144000</v>
      </c>
      <c r="V221" s="2">
        <f>MROUND(Данные[[#This Row],[Минимум 20000]], 100)</f>
        <v>144000</v>
      </c>
    </row>
    <row r="222" spans="1:22" x14ac:dyDescent="0.25">
      <c r="A222" s="2">
        <f>'1000_заявлений'!A216</f>
        <v>214</v>
      </c>
      <c r="B222" s="4">
        <f>VALUE(SUBSTITUTE('1000_заявлений'!B216, ".", ","))</f>
        <v>0.61979171035106695</v>
      </c>
      <c r="C222" s="4">
        <f>VALUE(SUBSTITUTE('1000_заявлений'!C216, ".", ","))</f>
        <v>0.378169706130558</v>
      </c>
      <c r="D222" s="4">
        <f>VALUE(SUBSTITUTE('1000_заявлений'!D216, ".", ","))</f>
        <v>0.18959527000000001</v>
      </c>
      <c r="E222" s="4">
        <f>VALUE(SUBSTITUTE('1000_заявлений'!E216, ".", ","))</f>
        <v>0.5260281</v>
      </c>
      <c r="F222" s="5">
        <f>VALUE(SUBSTITUTE('1000_заявлений'!F216, ".", ","))</f>
        <v>-784</v>
      </c>
      <c r="G222" s="5">
        <f>VALUE(SUBSTITUTE('1000_заявлений'!G216, ".", ","))</f>
        <v>-10066</v>
      </c>
      <c r="H222" s="5">
        <f>VALUE(SUBSTITUTE('1000_заявлений'!H216, ".", ","))</f>
        <v>-2759</v>
      </c>
      <c r="I222" s="4">
        <f>VALUE(SUBSTITUTE('1000_заявлений'!I216, ".", ","))</f>
        <v>0.05</v>
      </c>
      <c r="J222" s="4">
        <f>VALUE(SUBSTITUTE('1000_заявлений'!J216, ".", ","))</f>
        <v>10.6209759779781</v>
      </c>
      <c r="K222" s="5">
        <f>VALUE(SUBSTITUTE('1000_заявлений'!K216, ".", ","))</f>
        <v>-516</v>
      </c>
      <c r="L222" s="6">
        <f>VALUE(SUBSTITUTE('1000_заявлений'!L216, ".", ","))</f>
        <v>6750</v>
      </c>
      <c r="M222" s="2" t="str">
        <f>IF(Данные[[#This Row],[proba]]&gt;$C$6, "отказ", "одобрение")</f>
        <v>отказ</v>
      </c>
      <c r="N222" s="7">
        <f>IF(Данные[[#This Row],[proba]]&lt;$D$2,$C$2,IF(Данные[[#This Row],[proba]]&lt;$D$3,$C$3,IF(Данные[[#This Row],[proba]]&gt;$C$6,0,$C$4)))</f>
        <v>0</v>
      </c>
      <c r="O222" s="2">
        <f>IF(Данные[[#This Row],[weighted_ext_score]]&gt;$O$1,MIN(Данные[[#This Row],[Базовая сумма]]*$O$2,$C$2),IF(Данные[[#This Row],[weighted_ext_score]]&lt;$O$3,Данные[[#This Row],[Базовая сумма]]*$O$4,N222))</f>
        <v>0</v>
      </c>
      <c r="P2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2" s="2">
        <f>ABS(Данные[[#This Row],[days_birth]])/365.2425</f>
        <v>27.559771932346319</v>
      </c>
      <c r="S2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2" s="2">
        <f>IF(Данные[[#This Row],[ interest_rate]]&gt;$T$1,Данные[[#This Row],[days_birth4]]*$T$2,Данные[[#This Row],[days_birth4]])</f>
        <v>0</v>
      </c>
      <c r="U222" s="2">
        <f>IF(Данные[[#This Row],[Проверка отказа]]="отказ",0,MAX(Данные[[#This Row],[interest_rate]],$C$1))</f>
        <v>0</v>
      </c>
      <c r="V222" s="2">
        <f>MROUND(Данные[[#This Row],[Минимум 20000]], 100)</f>
        <v>0</v>
      </c>
    </row>
    <row r="223" spans="1:22" x14ac:dyDescent="0.25">
      <c r="A223" s="2">
        <f>'1000_заявлений'!A217</f>
        <v>215</v>
      </c>
      <c r="B223" s="4">
        <f>VALUE(SUBSTITUTE('1000_заявлений'!B217, ".", ","))</f>
        <v>0.184353296368377</v>
      </c>
      <c r="C223" s="4">
        <f>VALUE(SUBSTITUTE('1000_заявлений'!C217, ".", ","))</f>
        <v>0.68634510070043397</v>
      </c>
      <c r="D223" s="4">
        <f>VALUE(SUBSTITUTE('1000_заявлений'!D217, ".", ","))</f>
        <v>0.72527640000000004</v>
      </c>
      <c r="E223" s="4">
        <f>VALUE(SUBSTITUTE('1000_заявлений'!E217, ".", ","))</f>
        <v>0.47678429999999999</v>
      </c>
      <c r="F223" s="5">
        <f>VALUE(SUBSTITUTE('1000_заявлений'!F217, ".", ","))</f>
        <v>-7656</v>
      </c>
      <c r="G223" s="5">
        <f>VALUE(SUBSTITUTE('1000_заявлений'!G217, ".", ","))</f>
        <v>-22972</v>
      </c>
      <c r="H223" s="5">
        <f>VALUE(SUBSTITUTE('1000_заявлений'!H217, ".", ","))</f>
        <v>-4725</v>
      </c>
      <c r="I223" s="4">
        <f>VALUE(SUBSTITUTE('1000_заявлений'!I217, ".", ","))</f>
        <v>0.36433333333333301</v>
      </c>
      <c r="J223" s="4">
        <f>VALUE(SUBSTITUTE('1000_заявлений'!J217, ".", ","))</f>
        <v>6.7529529522816798</v>
      </c>
      <c r="K223" s="5">
        <f>VALUE(SUBSTITUTE('1000_заявлений'!K217, ".", ","))</f>
        <v>365243</v>
      </c>
      <c r="L223" s="6">
        <f>VALUE(SUBSTITUTE('1000_заявлений'!L217, ".", ","))</f>
        <v>24592.5</v>
      </c>
      <c r="M223" s="2" t="str">
        <f>IF(Данные[[#This Row],[proba]]&gt;$C$6, "отказ", "одобрение")</f>
        <v>одобрение</v>
      </c>
      <c r="N223" s="7">
        <f>IF(Данные[[#This Row],[proba]]&lt;$D$2,$C$2,IF(Данные[[#This Row],[proba]]&lt;$D$3,$C$3,IF(Данные[[#This Row],[proba]]&gt;$C$6,0,$C$4)))</f>
        <v>300000</v>
      </c>
      <c r="O223" s="2">
        <f>IF(Данные[[#This Row],[weighted_ext_score]]&gt;$O$1,MIN(Данные[[#This Row],[Базовая сумма]]*$O$2,$C$2),IF(Данные[[#This Row],[weighted_ext_score]]&lt;$O$3,Данные[[#This Row],[Базовая сумма]]*$O$4,N223))</f>
        <v>300000</v>
      </c>
      <c r="P2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2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223" s="2">
        <f>ABS(Данные[[#This Row],[days_birth]])/365.2425</f>
        <v>62.895199764539996</v>
      </c>
      <c r="S2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223" s="2">
        <f>IF(Данные[[#This Row],[ interest_rate]]&gt;$T$1,Данные[[#This Row],[days_birth4]]*$T$2,Данные[[#This Row],[days_birth4]])</f>
        <v>315000</v>
      </c>
      <c r="U223" s="2">
        <f>IF(Данные[[#This Row],[Проверка отказа]]="отказ",0,MAX(Данные[[#This Row],[interest_rate]],$C$1))</f>
        <v>315000</v>
      </c>
      <c r="V223" s="2">
        <f>MROUND(Данные[[#This Row],[Минимум 20000]], 100)</f>
        <v>315000</v>
      </c>
    </row>
    <row r="224" spans="1:22" x14ac:dyDescent="0.25">
      <c r="A224" s="2">
        <f>'1000_заявлений'!A218</f>
        <v>216</v>
      </c>
      <c r="B224" s="4">
        <f>VALUE(SUBSTITUTE('1000_заявлений'!B218, ".", ","))</f>
        <v>0.35339418243590598</v>
      </c>
      <c r="C224" s="4">
        <f>VALUE(SUBSTITUTE('1000_заявлений'!C218, ".", ","))</f>
        <v>0.58629308559785498</v>
      </c>
      <c r="D224" s="4">
        <f>VALUE(SUBSTITUTE('1000_заявлений'!D218, ".", ","))</f>
        <v>0.27213367999999999</v>
      </c>
      <c r="E224" s="4">
        <f>VALUE(SUBSTITUTE('1000_заявлений'!E218, ".", ","))</f>
        <v>0.74790319999999999</v>
      </c>
      <c r="F224" s="5">
        <f>VALUE(SUBSTITUTE('1000_заявлений'!F218, ".", ","))</f>
        <v>-5494</v>
      </c>
      <c r="G224" s="5">
        <f>VALUE(SUBSTITUTE('1000_заявлений'!G218, ".", ","))</f>
        <v>-15795</v>
      </c>
      <c r="H224" s="5">
        <f>VALUE(SUBSTITUTE('1000_заявлений'!H218, ".", ","))</f>
        <v>-4650</v>
      </c>
      <c r="I224" s="4">
        <f>VALUE(SUBSTITUTE('1000_заявлений'!I218, ".", ","))</f>
        <v>0.105766666666666</v>
      </c>
      <c r="J224" s="4">
        <f>VALUE(SUBSTITUTE('1000_заявлений'!J218, ".", ","))</f>
        <v>4.5484804553368603</v>
      </c>
      <c r="K224" s="5">
        <f>VALUE(SUBSTITUTE('1000_заявлений'!K218, ".", ","))</f>
        <v>-1855</v>
      </c>
      <c r="L224" s="6">
        <f>VALUE(SUBSTITUTE('1000_заявлений'!L218, ".", ","))</f>
        <v>28557</v>
      </c>
      <c r="M224" s="2" t="str">
        <f>IF(Данные[[#This Row],[proba]]&gt;$C$6, "отказ", "одобрение")</f>
        <v>отказ</v>
      </c>
      <c r="N224" s="7">
        <f>IF(Данные[[#This Row],[proba]]&lt;$D$2,$C$2,IF(Данные[[#This Row],[proba]]&lt;$D$3,$C$3,IF(Данные[[#This Row],[proba]]&gt;$C$6,0,$C$4)))</f>
        <v>0</v>
      </c>
      <c r="O224" s="2">
        <f>IF(Данные[[#This Row],[weighted_ext_score]]&gt;$O$1,MIN(Данные[[#This Row],[Базовая сумма]]*$O$2,$C$2),IF(Данные[[#This Row],[weighted_ext_score]]&lt;$O$3,Данные[[#This Row],[Базовая сумма]]*$O$4,N224))</f>
        <v>0</v>
      </c>
      <c r="P2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4" s="2">
        <f>ABS(Данные[[#This Row],[days_birth]])/365.2425</f>
        <v>43.245241175383477</v>
      </c>
      <c r="S2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4" s="2">
        <f>IF(Данные[[#This Row],[ interest_rate]]&gt;$T$1,Данные[[#This Row],[days_birth4]]*$T$2,Данные[[#This Row],[days_birth4]])</f>
        <v>0</v>
      </c>
      <c r="U224" s="2">
        <f>IF(Данные[[#This Row],[Проверка отказа]]="отказ",0,MAX(Данные[[#This Row],[interest_rate]],$C$1))</f>
        <v>0</v>
      </c>
      <c r="V224" s="2">
        <f>MROUND(Данные[[#This Row],[Минимум 20000]], 100)</f>
        <v>0</v>
      </c>
    </row>
    <row r="225" spans="1:22" x14ac:dyDescent="0.25">
      <c r="A225" s="2">
        <f>'1000_заявлений'!A219</f>
        <v>217</v>
      </c>
      <c r="B225" s="4">
        <f>VALUE(SUBSTITUTE('1000_заявлений'!B219, ".", ","))</f>
        <v>0.49117535091752101</v>
      </c>
      <c r="C225" s="4">
        <f>VALUE(SUBSTITUTE('1000_заявлений'!C219, ".", ","))</f>
        <v>0.29501775287032</v>
      </c>
      <c r="D225" s="4">
        <f>VALUE(SUBSTITUTE('1000_заявлений'!D219, ".", ","))</f>
        <v>0.78626660000000004</v>
      </c>
      <c r="E225" s="4">
        <f>VALUE(SUBSTITUTE('1000_заявлений'!E219, ".", ","))</f>
        <v>3.2838803E-2</v>
      </c>
      <c r="F225" s="5">
        <f>VALUE(SUBSTITUTE('1000_заявлений'!F219, ".", ","))</f>
        <v>-4135</v>
      </c>
      <c r="G225" s="5">
        <f>VALUE(SUBSTITUTE('1000_заявлений'!G219, ".", ","))</f>
        <v>-10047</v>
      </c>
      <c r="H225" s="5">
        <f>VALUE(SUBSTITUTE('1000_заявлений'!H219, ".", ","))</f>
        <v>-2599</v>
      </c>
      <c r="I225" s="4">
        <f>VALUE(SUBSTITUTE('1000_заявлений'!I219, ".", ","))</f>
        <v>0.100407407407407</v>
      </c>
      <c r="J225" s="4">
        <f>VALUE(SUBSTITUTE('1000_заявлений'!J219, ".", ","))</f>
        <v>20.6078276905636</v>
      </c>
      <c r="K225" s="5">
        <f>VALUE(SUBSTITUTE('1000_заявлений'!K219, ".", ","))</f>
        <v>-2468</v>
      </c>
      <c r="L225" s="6">
        <f>VALUE(SUBSTITUTE('1000_заявлений'!L219, ".", ","))</f>
        <v>12199.5</v>
      </c>
      <c r="M225" s="2" t="str">
        <f>IF(Данные[[#This Row],[proba]]&gt;$C$6, "отказ", "одобрение")</f>
        <v>отказ</v>
      </c>
      <c r="N225" s="7">
        <f>IF(Данные[[#This Row],[proba]]&lt;$D$2,$C$2,IF(Данные[[#This Row],[proba]]&lt;$D$3,$C$3,IF(Данные[[#This Row],[proba]]&gt;$C$6,0,$C$4)))</f>
        <v>0</v>
      </c>
      <c r="O225" s="2">
        <f>IF(Данные[[#This Row],[weighted_ext_score]]&gt;$O$1,MIN(Данные[[#This Row],[Базовая сумма]]*$O$2,$C$2),IF(Данные[[#This Row],[weighted_ext_score]]&lt;$O$3,Данные[[#This Row],[Базовая сумма]]*$O$4,N225))</f>
        <v>0</v>
      </c>
      <c r="P2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5" s="2">
        <f>ABS(Данные[[#This Row],[days_birth]])/365.2425</f>
        <v>27.507751699213536</v>
      </c>
      <c r="S2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5" s="2">
        <f>IF(Данные[[#This Row],[ interest_rate]]&gt;$T$1,Данные[[#This Row],[days_birth4]]*$T$2,Данные[[#This Row],[days_birth4]])</f>
        <v>0</v>
      </c>
      <c r="U225" s="2">
        <f>IF(Данные[[#This Row],[Проверка отказа]]="отказ",0,MAX(Данные[[#This Row],[interest_rate]],$C$1))</f>
        <v>0</v>
      </c>
      <c r="V225" s="2">
        <f>MROUND(Данные[[#This Row],[Минимум 20000]], 100)</f>
        <v>0</v>
      </c>
    </row>
    <row r="226" spans="1:22" x14ac:dyDescent="0.25">
      <c r="A226" s="2">
        <f>'1000_заявлений'!A220</f>
        <v>218</v>
      </c>
      <c r="B226" s="4">
        <f>VALUE(SUBSTITUTE('1000_заявлений'!B220, ".", ","))</f>
        <v>0.56264754995378996</v>
      </c>
      <c r="C226" s="4">
        <f>VALUE(SUBSTITUTE('1000_заявлений'!C220, ".", ","))</f>
        <v>0.36307055824968798</v>
      </c>
      <c r="D226" s="4">
        <f>VALUE(SUBSTITUTE('1000_заявлений'!D220, ".", ","))</f>
        <v>0.41709964999999999</v>
      </c>
      <c r="E226" s="4">
        <f>VALUE(SUBSTITUTE('1000_заявлений'!E220, ".", ","))</f>
        <v>0.40160795999999999</v>
      </c>
      <c r="F226" s="5">
        <f>VALUE(SUBSTITUTE('1000_заявлений'!F220, ".", ","))</f>
        <v>-2946</v>
      </c>
      <c r="G226" s="5">
        <f>VALUE(SUBSTITUTE('1000_заявлений'!G220, ".", ","))</f>
        <v>-10580</v>
      </c>
      <c r="H226" s="5">
        <f>VALUE(SUBSTITUTE('1000_заявлений'!H220, ".", ","))</f>
        <v>-3269</v>
      </c>
      <c r="I226" s="4">
        <f>VALUE(SUBSTITUTE('1000_заявлений'!I220, ".", ","))</f>
        <v>0.11840000000000001</v>
      </c>
      <c r="J226" s="4">
        <f>VALUE(SUBSTITUTE('1000_заявлений'!J220, ".", ","))</f>
        <v>7.9620143797618903</v>
      </c>
      <c r="K226" s="5">
        <f>VALUE(SUBSTITUTE('1000_заявлений'!K220, ".", ","))</f>
        <v>-124</v>
      </c>
      <c r="L226" s="6">
        <f>VALUE(SUBSTITUTE('1000_заявлений'!L220, ".", ","))</f>
        <v>26640</v>
      </c>
      <c r="M226" s="2" t="str">
        <f>IF(Данные[[#This Row],[proba]]&gt;$C$6, "отказ", "одобрение")</f>
        <v>отказ</v>
      </c>
      <c r="N226" s="7">
        <f>IF(Данные[[#This Row],[proba]]&lt;$D$2,$C$2,IF(Данные[[#This Row],[proba]]&lt;$D$3,$C$3,IF(Данные[[#This Row],[proba]]&gt;$C$6,0,$C$4)))</f>
        <v>0</v>
      </c>
      <c r="O226" s="2">
        <f>IF(Данные[[#This Row],[weighted_ext_score]]&gt;$O$1,MIN(Данные[[#This Row],[Базовая сумма]]*$O$2,$C$2),IF(Данные[[#This Row],[weighted_ext_score]]&lt;$O$3,Данные[[#This Row],[Базовая сумма]]*$O$4,N226))</f>
        <v>0</v>
      </c>
      <c r="P2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6" s="2">
        <f>ABS(Данные[[#This Row],[days_birth]])/365.2425</f>
        <v>28.96705613393841</v>
      </c>
      <c r="S2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6" s="2">
        <f>IF(Данные[[#This Row],[ interest_rate]]&gt;$T$1,Данные[[#This Row],[days_birth4]]*$T$2,Данные[[#This Row],[days_birth4]])</f>
        <v>0</v>
      </c>
      <c r="U226" s="2">
        <f>IF(Данные[[#This Row],[Проверка отказа]]="отказ",0,MAX(Данные[[#This Row],[interest_rate]],$C$1))</f>
        <v>0</v>
      </c>
      <c r="V226" s="2">
        <f>MROUND(Данные[[#This Row],[Минимум 20000]], 100)</f>
        <v>0</v>
      </c>
    </row>
    <row r="227" spans="1:22" x14ac:dyDescent="0.25">
      <c r="A227" s="2">
        <f>'1000_заявлений'!A221</f>
        <v>219</v>
      </c>
      <c r="B227" s="4">
        <f>VALUE(SUBSTITUTE('1000_заявлений'!B221, ".", ","))</f>
        <v>0.32135432001657399</v>
      </c>
      <c r="C227" s="4">
        <f>VALUE(SUBSTITUTE('1000_заявлений'!C221, ".", ","))</f>
        <v>0.57622065662811905</v>
      </c>
      <c r="D227" s="4">
        <f>VALUE(SUBSTITUTE('1000_заявлений'!D221, ".", ","))</f>
        <v>0.48485148</v>
      </c>
      <c r="E227" s="4">
        <f>VALUE(SUBSTITUTE('1000_заявлений'!E221, ".", ","))</f>
        <v>0.63376999999999994</v>
      </c>
      <c r="F227" s="5">
        <f>VALUE(SUBSTITUTE('1000_заявлений'!F221, ".", ","))</f>
        <v>-2163</v>
      </c>
      <c r="G227" s="5">
        <f>VALUE(SUBSTITUTE('1000_заявлений'!G221, ".", ","))</f>
        <v>-15262</v>
      </c>
      <c r="H227" s="5">
        <f>VALUE(SUBSTITUTE('1000_заявлений'!H221, ".", ","))</f>
        <v>-5517</v>
      </c>
      <c r="I227" s="4">
        <f>VALUE(SUBSTITUTE('1000_заявлений'!I221, ".", ","))</f>
        <v>0.13469999999999999</v>
      </c>
      <c r="J227" s="4">
        <f>VALUE(SUBSTITUTE('1000_заявлений'!J221, ".", ","))</f>
        <v>1.9221929010054299</v>
      </c>
      <c r="K227" s="5">
        <f>VALUE(SUBSTITUTE('1000_заявлений'!K221, ".", ","))</f>
        <v>-365</v>
      </c>
      <c r="L227" s="6">
        <f>VALUE(SUBSTITUTE('1000_заявлений'!L221, ".", ","))</f>
        <v>24246</v>
      </c>
      <c r="M227" s="2" t="str">
        <f>IF(Данные[[#This Row],[proba]]&gt;$C$6, "отказ", "одобрение")</f>
        <v>отказ</v>
      </c>
      <c r="N227" s="7">
        <f>IF(Данные[[#This Row],[proba]]&lt;$D$2,$C$2,IF(Данные[[#This Row],[proba]]&lt;$D$3,$C$3,IF(Данные[[#This Row],[proba]]&gt;$C$6,0,$C$4)))</f>
        <v>0</v>
      </c>
      <c r="O227" s="2">
        <f>IF(Данные[[#This Row],[weighted_ext_score]]&gt;$O$1,MIN(Данные[[#This Row],[Базовая сумма]]*$O$2,$C$2),IF(Данные[[#This Row],[weighted_ext_score]]&lt;$O$3,Данные[[#This Row],[Базовая сумма]]*$O$4,N227))</f>
        <v>0</v>
      </c>
      <c r="P2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7" s="2">
        <f>ABS(Данные[[#This Row],[days_birth]])/365.2425</f>
        <v>41.785936740658606</v>
      </c>
      <c r="S2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7" s="2">
        <f>IF(Данные[[#This Row],[ interest_rate]]&gt;$T$1,Данные[[#This Row],[days_birth4]]*$T$2,Данные[[#This Row],[days_birth4]])</f>
        <v>0</v>
      </c>
      <c r="U227" s="2">
        <f>IF(Данные[[#This Row],[Проверка отказа]]="отказ",0,MAX(Данные[[#This Row],[interest_rate]],$C$1))</f>
        <v>0</v>
      </c>
      <c r="V227" s="2">
        <f>MROUND(Данные[[#This Row],[Минимум 20000]], 100)</f>
        <v>0</v>
      </c>
    </row>
    <row r="228" spans="1:22" x14ac:dyDescent="0.25">
      <c r="A228" s="2">
        <f>'1000_заявлений'!A222</f>
        <v>220</v>
      </c>
      <c r="B228" s="4">
        <f>VALUE(SUBSTITUTE('1000_заявлений'!B222, ".", ","))</f>
        <v>0.51383493928206003</v>
      </c>
      <c r="C228" s="4">
        <f>VALUE(SUBSTITUTE('1000_заявлений'!C222, ".", ","))</f>
        <v>0.35225511734786502</v>
      </c>
      <c r="D228" s="4">
        <f>VALUE(SUBSTITUTE('1000_заявлений'!D222, ".", ","))</f>
        <v>0.58323795</v>
      </c>
      <c r="E228" s="4">
        <f>VALUE(SUBSTITUTE('1000_заявлений'!E222, ".", ","))</f>
        <v>0.43565989999999999</v>
      </c>
      <c r="F228" s="5">
        <f>VALUE(SUBSTITUTE('1000_заявлений'!F222, ".", ","))</f>
        <v>-1084</v>
      </c>
      <c r="G228" s="5">
        <f>VALUE(SUBSTITUTE('1000_заявлений'!G222, ".", ","))</f>
        <v>-11330</v>
      </c>
      <c r="H228" s="5">
        <f>VALUE(SUBSTITUTE('1000_заявлений'!H222, ".", ","))</f>
        <v>-2729</v>
      </c>
      <c r="I228" s="4">
        <f>VALUE(SUBSTITUTE('1000_заявлений'!I222, ".", ","))</f>
        <v>0.192194444444444</v>
      </c>
      <c r="J228" s="4">
        <f>VALUE(SUBSTITUTE('1000_заявлений'!J222, ".", ","))</f>
        <v>2.6649247534693701</v>
      </c>
      <c r="K228" s="5">
        <f>VALUE(SUBSTITUTE('1000_заявлений'!K222, ".", ","))</f>
        <v>-2477</v>
      </c>
      <c r="L228" s="6">
        <f>VALUE(SUBSTITUTE('1000_заявлений'!L222, ".", ","))</f>
        <v>31135.5</v>
      </c>
      <c r="M228" s="2" t="str">
        <f>IF(Данные[[#This Row],[proba]]&gt;$C$6, "отказ", "одобрение")</f>
        <v>отказ</v>
      </c>
      <c r="N228" s="7">
        <f>IF(Данные[[#This Row],[proba]]&lt;$D$2,$C$2,IF(Данные[[#This Row],[proba]]&lt;$D$3,$C$3,IF(Данные[[#This Row],[proba]]&gt;$C$6,0,$C$4)))</f>
        <v>0</v>
      </c>
      <c r="O228" s="2">
        <f>IF(Данные[[#This Row],[weighted_ext_score]]&gt;$O$1,MIN(Данные[[#This Row],[Базовая сумма]]*$O$2,$C$2),IF(Данные[[#This Row],[weighted_ext_score]]&lt;$O$3,Данные[[#This Row],[Базовая сумма]]*$O$4,N228))</f>
        <v>0</v>
      </c>
      <c r="P2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8" s="2">
        <f>ABS(Данные[[#This Row],[days_birth]])/365.2425</f>
        <v>31.020486389179791</v>
      </c>
      <c r="S2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8" s="2">
        <f>IF(Данные[[#This Row],[ interest_rate]]&gt;$T$1,Данные[[#This Row],[days_birth4]]*$T$2,Данные[[#This Row],[days_birth4]])</f>
        <v>0</v>
      </c>
      <c r="U228" s="2">
        <f>IF(Данные[[#This Row],[Проверка отказа]]="отказ",0,MAX(Данные[[#This Row],[interest_rate]],$C$1))</f>
        <v>0</v>
      </c>
      <c r="V228" s="2">
        <f>MROUND(Данные[[#This Row],[Минимум 20000]], 100)</f>
        <v>0</v>
      </c>
    </row>
    <row r="229" spans="1:22" x14ac:dyDescent="0.25">
      <c r="A229" s="2">
        <f>'1000_заявлений'!A223</f>
        <v>221</v>
      </c>
      <c r="B229" s="4">
        <f>VALUE(SUBSTITUTE('1000_заявлений'!B223, ".", ","))</f>
        <v>0.52117283139730097</v>
      </c>
      <c r="C229" s="4">
        <f>VALUE(SUBSTITUTE('1000_заявлений'!C223, ".", ","))</f>
        <v>0.47412832797140098</v>
      </c>
      <c r="D229" s="4">
        <f>VALUE(SUBSTITUTE('1000_заявлений'!D223, ".", ","))</f>
        <v>0.29408309999999999</v>
      </c>
      <c r="E229" s="4">
        <f>VALUE(SUBSTITUTE('1000_заявлений'!E223, ".", ","))</f>
        <v>0.31112200000000001</v>
      </c>
      <c r="F229" s="5">
        <f>VALUE(SUBSTITUTE('1000_заявлений'!F223, ".", ","))</f>
        <v>-9847</v>
      </c>
      <c r="G229" s="5">
        <f>VALUE(SUBSTITUTE('1000_заявлений'!G223, ".", ","))</f>
        <v>-24117</v>
      </c>
      <c r="H229" s="5">
        <f>VALUE(SUBSTITUTE('1000_заявлений'!H223, ".", ","))</f>
        <v>-4718</v>
      </c>
      <c r="I229" s="4">
        <f>VALUE(SUBSTITUTE('1000_заявлений'!I223, ".", ","))</f>
        <v>8.6099999999999996E-2</v>
      </c>
      <c r="J229" s="4">
        <f>VALUE(SUBSTITUTE('1000_заявлений'!J223, ".", ","))</f>
        <v>4.8544084659133402</v>
      </c>
      <c r="K229" s="5">
        <f>VALUE(SUBSTITUTE('1000_заявлений'!K223, ".", ","))</f>
        <v>-2715</v>
      </c>
      <c r="L229" s="6">
        <f>VALUE(SUBSTITUTE('1000_заявлений'!L223, ".", ","))</f>
        <v>11623.5</v>
      </c>
      <c r="M229" s="2" t="str">
        <f>IF(Данные[[#This Row],[proba]]&gt;$C$6, "отказ", "одобрение")</f>
        <v>отказ</v>
      </c>
      <c r="N229" s="7">
        <f>IF(Данные[[#This Row],[proba]]&lt;$D$2,$C$2,IF(Данные[[#This Row],[proba]]&lt;$D$3,$C$3,IF(Данные[[#This Row],[proba]]&gt;$C$6,0,$C$4)))</f>
        <v>0</v>
      </c>
      <c r="O229" s="2">
        <f>IF(Данные[[#This Row],[weighted_ext_score]]&gt;$O$1,MIN(Данные[[#This Row],[Базовая сумма]]*$O$2,$C$2),IF(Данные[[#This Row],[weighted_ext_score]]&lt;$O$3,Данные[[#This Row],[Базовая сумма]]*$O$4,N229))</f>
        <v>0</v>
      </c>
      <c r="P2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29" s="2">
        <f>ABS(Данные[[#This Row],[days_birth]])/365.2425</f>
        <v>66.030103287541834</v>
      </c>
      <c r="S2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29" s="2">
        <f>IF(Данные[[#This Row],[ interest_rate]]&gt;$T$1,Данные[[#This Row],[days_birth4]]*$T$2,Данные[[#This Row],[days_birth4]])</f>
        <v>0</v>
      </c>
      <c r="U229" s="2">
        <f>IF(Данные[[#This Row],[Проверка отказа]]="отказ",0,MAX(Данные[[#This Row],[interest_rate]],$C$1))</f>
        <v>0</v>
      </c>
      <c r="V229" s="2">
        <f>MROUND(Данные[[#This Row],[Минимум 20000]], 100)</f>
        <v>0</v>
      </c>
    </row>
    <row r="230" spans="1:22" x14ac:dyDescent="0.25">
      <c r="A230" s="2">
        <f>'1000_заявлений'!A224</f>
        <v>222</v>
      </c>
      <c r="B230" s="4">
        <f>VALUE(SUBSTITUTE('1000_заявлений'!B224, ".", ","))</f>
        <v>0.35476079726298998</v>
      </c>
      <c r="C230" s="4">
        <f>VALUE(SUBSTITUTE('1000_заявлений'!C224, ".", ","))</f>
        <v>0.40780215618457399</v>
      </c>
      <c r="D230" s="4">
        <f>VALUE(SUBSTITUTE('1000_заявлений'!D224, ".", ","))</f>
        <v>0.63135450000000004</v>
      </c>
      <c r="E230" s="4">
        <f>VALUE(SUBSTITUTE('1000_заявлений'!E224, ".", ","))</f>
        <v>0.55325440000000004</v>
      </c>
      <c r="F230" s="5">
        <f>VALUE(SUBSTITUTE('1000_заявлений'!F224, ".", ","))</f>
        <v>-2634</v>
      </c>
      <c r="G230" s="5">
        <f>VALUE(SUBSTITUTE('1000_заявлений'!G224, ".", ","))</f>
        <v>-13715</v>
      </c>
      <c r="H230" s="5">
        <f>VALUE(SUBSTITUTE('1000_заявлений'!H224, ".", ","))</f>
        <v>-4809</v>
      </c>
      <c r="I230" s="4">
        <f>VALUE(SUBSTITUTE('1000_заявлений'!I224, ".", ","))</f>
        <v>0.13493333333333299</v>
      </c>
      <c r="J230" s="4">
        <f>VALUE(SUBSTITUTE('1000_заявлений'!J224, ".", ","))</f>
        <v>4.3425486746510904</v>
      </c>
      <c r="K230" s="5">
        <f>VALUE(SUBSTITUTE('1000_заявлений'!K224, ".", ","))</f>
        <v>-4174</v>
      </c>
      <c r="L230" s="6">
        <f>VALUE(SUBSTITUTE('1000_заявлений'!L224, ".", ","))</f>
        <v>27324</v>
      </c>
      <c r="M230" s="2" t="str">
        <f>IF(Данные[[#This Row],[proba]]&gt;$C$6, "отказ", "одобрение")</f>
        <v>отказ</v>
      </c>
      <c r="N230" s="7">
        <f>IF(Данные[[#This Row],[proba]]&lt;$D$2,$C$2,IF(Данные[[#This Row],[proba]]&lt;$D$3,$C$3,IF(Данные[[#This Row],[proba]]&gt;$C$6,0,$C$4)))</f>
        <v>0</v>
      </c>
      <c r="O230" s="2">
        <f>IF(Данные[[#This Row],[weighted_ext_score]]&gt;$O$1,MIN(Данные[[#This Row],[Базовая сумма]]*$O$2,$C$2),IF(Данные[[#This Row],[weighted_ext_score]]&lt;$O$3,Данные[[#This Row],[Базовая сумма]]*$O$4,N230))</f>
        <v>0</v>
      </c>
      <c r="P2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0" s="2">
        <f>ABS(Данные[[#This Row],[days_birth]])/365.2425</f>
        <v>37.550394600847383</v>
      </c>
      <c r="S2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0" s="2">
        <f>IF(Данные[[#This Row],[ interest_rate]]&gt;$T$1,Данные[[#This Row],[days_birth4]]*$T$2,Данные[[#This Row],[days_birth4]])</f>
        <v>0</v>
      </c>
      <c r="U230" s="2">
        <f>IF(Данные[[#This Row],[Проверка отказа]]="отказ",0,MAX(Данные[[#This Row],[interest_rate]],$C$1))</f>
        <v>0</v>
      </c>
      <c r="V230" s="2">
        <f>MROUND(Данные[[#This Row],[Минимум 20000]], 100)</f>
        <v>0</v>
      </c>
    </row>
    <row r="231" spans="1:22" x14ac:dyDescent="0.25">
      <c r="A231" s="2">
        <f>'1000_заявлений'!A225</f>
        <v>223</v>
      </c>
      <c r="B231" s="4">
        <f>VALUE(SUBSTITUTE('1000_заявлений'!B225, ".", ","))</f>
        <v>0.84516567155433997</v>
      </c>
      <c r="C231" s="4">
        <f>VALUE(SUBSTITUTE('1000_заявлений'!C225, ".", ","))</f>
        <v>0.27337863407733898</v>
      </c>
      <c r="D231" s="4">
        <f>VALUE(SUBSTITUTE('1000_заявлений'!D225, ".", ","))</f>
        <v>6.5993204999999999E-2</v>
      </c>
      <c r="E231" s="4">
        <f>VALUE(SUBSTITUTE('1000_заявлений'!E225, ".", ","))</f>
        <v>0.26314359999999998</v>
      </c>
      <c r="F231" s="5">
        <f>VALUE(SUBSTITUTE('1000_заявлений'!F225, ".", ","))</f>
        <v>-4504</v>
      </c>
      <c r="G231" s="5">
        <f>VALUE(SUBSTITUTE('1000_заявлений'!G225, ".", ","))</f>
        <v>-10649</v>
      </c>
      <c r="H231" s="5">
        <f>VALUE(SUBSTITUTE('1000_заявлений'!H225, ".", ","))</f>
        <v>-1002</v>
      </c>
      <c r="I231" s="4">
        <f>VALUE(SUBSTITUTE('1000_заявлений'!I225, ".", ","))</f>
        <v>0.29426666666666601</v>
      </c>
      <c r="J231" s="4">
        <f>VALUE(SUBSTITUTE('1000_заявлений'!J225, ".", ","))</f>
        <v>6.7100044535153698</v>
      </c>
      <c r="K231" s="5">
        <f>VALUE(SUBSTITUTE('1000_заявлений'!K225, ".", ","))</f>
        <v>-1044</v>
      </c>
      <c r="L231" s="6">
        <f>VALUE(SUBSTITUTE('1000_заявлений'!L225, ".", ","))</f>
        <v>39726</v>
      </c>
      <c r="M231" s="2" t="str">
        <f>IF(Данные[[#This Row],[proba]]&gt;$C$6, "отказ", "одобрение")</f>
        <v>отказ</v>
      </c>
      <c r="N231" s="7">
        <f>IF(Данные[[#This Row],[proba]]&lt;$D$2,$C$2,IF(Данные[[#This Row],[proba]]&lt;$D$3,$C$3,IF(Данные[[#This Row],[proba]]&gt;$C$6,0,$C$4)))</f>
        <v>0</v>
      </c>
      <c r="O231" s="2">
        <f>IF(Данные[[#This Row],[weighted_ext_score]]&gt;$O$1,MIN(Данные[[#This Row],[Базовая сумма]]*$O$2,$C$2),IF(Данные[[#This Row],[weighted_ext_score]]&lt;$O$3,Данные[[#This Row],[Базовая сумма]]*$O$4,N231))</f>
        <v>0</v>
      </c>
      <c r="P2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1" s="2">
        <f>ABS(Данные[[#This Row],[days_birth]])/365.2425</f>
        <v>29.155971717420616</v>
      </c>
      <c r="S2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1" s="2">
        <f>IF(Данные[[#This Row],[ interest_rate]]&gt;$T$1,Данные[[#This Row],[days_birth4]]*$T$2,Данные[[#This Row],[days_birth4]])</f>
        <v>0</v>
      </c>
      <c r="U231" s="2">
        <f>IF(Данные[[#This Row],[Проверка отказа]]="отказ",0,MAX(Данные[[#This Row],[interest_rate]],$C$1))</f>
        <v>0</v>
      </c>
      <c r="V231" s="2">
        <f>MROUND(Данные[[#This Row],[Минимум 20000]], 100)</f>
        <v>0</v>
      </c>
    </row>
    <row r="232" spans="1:22" x14ac:dyDescent="0.25">
      <c r="A232" s="2">
        <f>'1000_заявлений'!A226</f>
        <v>224</v>
      </c>
      <c r="B232" s="4">
        <f>VALUE(SUBSTITUTE('1000_заявлений'!B226, ".", ","))</f>
        <v>0.81254638279720404</v>
      </c>
      <c r="C232" s="4">
        <f>VALUE(SUBSTITUTE('1000_заявлений'!C226, ".", ","))</f>
        <v>0.18417853477625401</v>
      </c>
      <c r="D232" s="4">
        <f>VALUE(SUBSTITUTE('1000_заявлений'!D226, ".", ","))</f>
        <v>0.18629295000000001</v>
      </c>
      <c r="E232" s="4">
        <f>VALUE(SUBSTITUTE('1000_заявлений'!E226, ".", ","))</f>
        <v>0.26957880000000001</v>
      </c>
      <c r="F232" s="5">
        <f>VALUE(SUBSTITUTE('1000_заявлений'!F226, ".", ","))</f>
        <v>-10175</v>
      </c>
      <c r="G232" s="5">
        <f>VALUE(SUBSTITUTE('1000_заявлений'!G226, ".", ","))</f>
        <v>-10571</v>
      </c>
      <c r="H232" s="5">
        <f>VALUE(SUBSTITUTE('1000_заявлений'!H226, ".", ","))</f>
        <v>-3195</v>
      </c>
      <c r="I232" s="4">
        <f>VALUE(SUBSTITUTE('1000_заявлений'!I226, ".", ","))</f>
        <v>0.122133333333333</v>
      </c>
      <c r="J232" s="4">
        <f>VALUE(SUBSTITUTE('1000_заявлений'!J226, ".", ","))</f>
        <v>0.47317284767640599</v>
      </c>
      <c r="K232" s="5">
        <f>VALUE(SUBSTITUTE('1000_заявлений'!K226, ".", ","))</f>
        <v>-986</v>
      </c>
      <c r="L232" s="6">
        <f>VALUE(SUBSTITUTE('1000_заявлений'!L226, ".", ","))</f>
        <v>24732</v>
      </c>
      <c r="M232" s="2" t="str">
        <f>IF(Данные[[#This Row],[proba]]&gt;$C$6, "отказ", "одобрение")</f>
        <v>отказ</v>
      </c>
      <c r="N232" s="7">
        <f>IF(Данные[[#This Row],[proba]]&lt;$D$2,$C$2,IF(Данные[[#This Row],[proba]]&lt;$D$3,$C$3,IF(Данные[[#This Row],[proba]]&gt;$C$6,0,$C$4)))</f>
        <v>0</v>
      </c>
      <c r="O232" s="2">
        <f>IF(Данные[[#This Row],[weighted_ext_score]]&gt;$O$1,MIN(Данные[[#This Row],[Базовая сумма]]*$O$2,$C$2),IF(Данные[[#This Row],[weighted_ext_score]]&lt;$O$3,Данные[[#This Row],[Базовая сумма]]*$O$4,N232))</f>
        <v>0</v>
      </c>
      <c r="P2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2" s="2">
        <f>ABS(Данные[[#This Row],[days_birth]])/365.2425</f>
        <v>28.942414970875515</v>
      </c>
      <c r="S2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2" s="2">
        <f>IF(Данные[[#This Row],[ interest_rate]]&gt;$T$1,Данные[[#This Row],[days_birth4]]*$T$2,Данные[[#This Row],[days_birth4]])</f>
        <v>0</v>
      </c>
      <c r="U232" s="2">
        <f>IF(Данные[[#This Row],[Проверка отказа]]="отказ",0,MAX(Данные[[#This Row],[interest_rate]],$C$1))</f>
        <v>0</v>
      </c>
      <c r="V232" s="2">
        <f>MROUND(Данные[[#This Row],[Минимум 20000]], 100)</f>
        <v>0</v>
      </c>
    </row>
    <row r="233" spans="1:22" x14ac:dyDescent="0.25">
      <c r="A233" s="2">
        <f>'1000_заявлений'!A227</f>
        <v>225</v>
      </c>
      <c r="B233" s="4">
        <f>VALUE(SUBSTITUTE('1000_заявлений'!B227, ".", ","))</f>
        <v>0.65119097110492896</v>
      </c>
      <c r="C233" s="4">
        <f>VALUE(SUBSTITUTE('1000_заявлений'!C227, ".", ","))</f>
        <v>0.385964930769717</v>
      </c>
      <c r="D233" s="4">
        <f>VALUE(SUBSTITUTE('1000_заявлений'!D227, ".", ","))</f>
        <v>0.33125088000000003</v>
      </c>
      <c r="E233" s="4">
        <f>VALUE(SUBSTITUTE('1000_заявлений'!E227, ".", ","))</f>
        <v>0.32799420000000001</v>
      </c>
      <c r="F233" s="5">
        <f>VALUE(SUBSTITUTE('1000_заявлений'!F227, ".", ","))</f>
        <v>-5621</v>
      </c>
      <c r="G233" s="5">
        <f>VALUE(SUBSTITUTE('1000_заявлений'!G227, ".", ","))</f>
        <v>-11647</v>
      </c>
      <c r="H233" s="5">
        <f>VALUE(SUBSTITUTE('1000_заявлений'!H227, ".", ","))</f>
        <v>-2932</v>
      </c>
      <c r="I233" s="4">
        <f>VALUE(SUBSTITUTE('1000_заявлений'!I227, ".", ","))</f>
        <v>0.15427272727272701</v>
      </c>
      <c r="J233" s="4">
        <f>VALUE(SUBSTITUTE('1000_заявлений'!J227, ".", ","))</f>
        <v>5.1140567339106902</v>
      </c>
      <c r="K233" s="5">
        <f>VALUE(SUBSTITUTE('1000_заявлений'!K227, ".", ","))</f>
        <v>-391</v>
      </c>
      <c r="L233" s="6">
        <f>VALUE(SUBSTITUTE('1000_заявлений'!L227, ".", ","))</f>
        <v>15273</v>
      </c>
      <c r="M233" s="2" t="str">
        <f>IF(Данные[[#This Row],[proba]]&gt;$C$6, "отказ", "одобрение")</f>
        <v>отказ</v>
      </c>
      <c r="N233" s="7">
        <f>IF(Данные[[#This Row],[proba]]&lt;$D$2,$C$2,IF(Данные[[#This Row],[proba]]&lt;$D$3,$C$3,IF(Данные[[#This Row],[proba]]&gt;$C$6,0,$C$4)))</f>
        <v>0</v>
      </c>
      <c r="O233" s="2">
        <f>IF(Данные[[#This Row],[weighted_ext_score]]&gt;$O$1,MIN(Данные[[#This Row],[Базовая сумма]]*$O$2,$C$2),IF(Данные[[#This Row],[weighted_ext_score]]&lt;$O$3,Данные[[#This Row],[Базовая сумма]]*$O$4,N233))</f>
        <v>0</v>
      </c>
      <c r="P2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3" s="2">
        <f>ABS(Данные[[#This Row],[days_birth]])/365.2425</f>
        <v>31.888402910395147</v>
      </c>
      <c r="S2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3" s="2">
        <f>IF(Данные[[#This Row],[ interest_rate]]&gt;$T$1,Данные[[#This Row],[days_birth4]]*$T$2,Данные[[#This Row],[days_birth4]])</f>
        <v>0</v>
      </c>
      <c r="U233" s="2">
        <f>IF(Данные[[#This Row],[Проверка отказа]]="отказ",0,MAX(Данные[[#This Row],[interest_rate]],$C$1))</f>
        <v>0</v>
      </c>
      <c r="V233" s="2">
        <f>MROUND(Данные[[#This Row],[Минимум 20000]], 100)</f>
        <v>0</v>
      </c>
    </row>
    <row r="234" spans="1:22" x14ac:dyDescent="0.25">
      <c r="A234" s="2">
        <f>'1000_заявлений'!A228</f>
        <v>226</v>
      </c>
      <c r="B234" s="4">
        <f>VALUE(SUBSTITUTE('1000_заявлений'!B228, ".", ","))</f>
        <v>0.72981885460302898</v>
      </c>
      <c r="C234" s="4">
        <f>VALUE(SUBSTITUTE('1000_заявлений'!C228, ".", ","))</f>
        <v>0.22887311806132099</v>
      </c>
      <c r="D234" s="4">
        <f>VALUE(SUBSTITUTE('1000_заявлений'!D228, ".", ","))</f>
        <v>0.11175636999999999</v>
      </c>
      <c r="E234" s="4">
        <f>VALUE(SUBSTITUTE('1000_заявлений'!E228, ".", ","))</f>
        <v>0.58097445999999997</v>
      </c>
      <c r="F234" s="5">
        <f>VALUE(SUBSTITUTE('1000_заявлений'!F228, ".", ","))</f>
        <v>-399</v>
      </c>
      <c r="G234" s="5">
        <f>VALUE(SUBSTITUTE('1000_заявлений'!G228, ".", ","))</f>
        <v>-11082</v>
      </c>
      <c r="H234" s="5">
        <f>VALUE(SUBSTITUTE('1000_заявлений'!H228, ".", ","))</f>
        <v>-3435</v>
      </c>
      <c r="I234" s="4">
        <f>VALUE(SUBSTITUTE('1000_заявлений'!I228, ".", ","))</f>
        <v>0.104842105263157</v>
      </c>
      <c r="J234" s="4">
        <f>VALUE(SUBSTITUTE('1000_заявлений'!J228, ".", ","))</f>
        <v>4.2410016173807596</v>
      </c>
      <c r="K234" s="5">
        <f>VALUE(SUBSTITUTE('1000_заявлений'!K228, ".", ","))</f>
        <v>-3593</v>
      </c>
      <c r="L234" s="6">
        <f>VALUE(SUBSTITUTE('1000_заявлений'!L228, ".", ","))</f>
        <v>17928</v>
      </c>
      <c r="M234" s="2" t="str">
        <f>IF(Данные[[#This Row],[proba]]&gt;$C$6, "отказ", "одобрение")</f>
        <v>отказ</v>
      </c>
      <c r="N234" s="7">
        <f>IF(Данные[[#This Row],[proba]]&lt;$D$2,$C$2,IF(Данные[[#This Row],[proba]]&lt;$D$3,$C$3,IF(Данные[[#This Row],[proba]]&gt;$C$6,0,$C$4)))</f>
        <v>0</v>
      </c>
      <c r="O234" s="2">
        <f>IF(Данные[[#This Row],[weighted_ext_score]]&gt;$O$1,MIN(Данные[[#This Row],[Базовая сумма]]*$O$2,$C$2),IF(Данные[[#This Row],[weighted_ext_score]]&lt;$O$3,Данные[[#This Row],[Базовая сумма]]*$O$4,N234))</f>
        <v>0</v>
      </c>
      <c r="P2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4" s="2">
        <f>ABS(Данные[[#This Row],[days_birth]])/365.2425</f>
        <v>30.341485451446641</v>
      </c>
      <c r="S2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4" s="2">
        <f>IF(Данные[[#This Row],[ interest_rate]]&gt;$T$1,Данные[[#This Row],[days_birth4]]*$T$2,Данные[[#This Row],[days_birth4]])</f>
        <v>0</v>
      </c>
      <c r="U234" s="2">
        <f>IF(Данные[[#This Row],[Проверка отказа]]="отказ",0,MAX(Данные[[#This Row],[interest_rate]],$C$1))</f>
        <v>0</v>
      </c>
      <c r="V234" s="2">
        <f>MROUND(Данные[[#This Row],[Минимум 20000]], 100)</f>
        <v>0</v>
      </c>
    </row>
    <row r="235" spans="1:22" x14ac:dyDescent="0.25">
      <c r="A235" s="2">
        <f>'1000_заявлений'!A229</f>
        <v>227</v>
      </c>
      <c r="B235" s="4">
        <f>VALUE(SUBSTITUTE('1000_заявлений'!B229, ".", ","))</f>
        <v>0.542583852886657</v>
      </c>
      <c r="C235" s="4">
        <f>VALUE(SUBSTITUTE('1000_заявлений'!C229, ".", ","))</f>
        <v>0.369272130968195</v>
      </c>
      <c r="D235" s="4">
        <f>VALUE(SUBSTITUTE('1000_заявлений'!D229, ".", ","))</f>
        <v>0.30620229999999998</v>
      </c>
      <c r="E235" s="4">
        <f>VALUE(SUBSTITUTE('1000_заявлений'!E229, ".", ","))</f>
        <v>0.62828150000000005</v>
      </c>
      <c r="F235" s="5">
        <f>VALUE(SUBSTITUTE('1000_заявлений'!F229, ".", ","))</f>
        <v>-2247</v>
      </c>
      <c r="G235" s="5">
        <f>VALUE(SUBSTITUTE('1000_заявлений'!G229, ".", ","))</f>
        <v>-8649</v>
      </c>
      <c r="H235" s="5">
        <f>VALUE(SUBSTITUTE('1000_заявлений'!H229, ".", ","))</f>
        <v>-1156</v>
      </c>
      <c r="I235" s="4">
        <f>VALUE(SUBSTITUTE('1000_заявлений'!I229, ".", ","))</f>
        <v>6.6666666666666596E-2</v>
      </c>
      <c r="J235" s="4">
        <f>VALUE(SUBSTITUTE('1000_заявлений'!J229, ".", ","))</f>
        <v>10.6209759779781</v>
      </c>
      <c r="K235" s="5">
        <f>VALUE(SUBSTITUTE('1000_заявлений'!K229, ".", ","))</f>
        <v>-1119</v>
      </c>
      <c r="L235" s="6">
        <f>VALUE(SUBSTITUTE('1000_заявлений'!L229, ".", ","))</f>
        <v>9000</v>
      </c>
      <c r="M235" s="2" t="str">
        <f>IF(Данные[[#This Row],[proba]]&gt;$C$6, "отказ", "одобрение")</f>
        <v>отказ</v>
      </c>
      <c r="N235" s="7">
        <f>IF(Данные[[#This Row],[proba]]&lt;$D$2,$C$2,IF(Данные[[#This Row],[proba]]&lt;$D$3,$C$3,IF(Данные[[#This Row],[proba]]&gt;$C$6,0,$C$4)))</f>
        <v>0</v>
      </c>
      <c r="O235" s="2">
        <f>IF(Данные[[#This Row],[weighted_ext_score]]&gt;$O$1,MIN(Данные[[#This Row],[Базовая сумма]]*$O$2,$C$2),IF(Данные[[#This Row],[weighted_ext_score]]&lt;$O$3,Данные[[#This Row],[Базовая сумма]]*$O$4,N235))</f>
        <v>0</v>
      </c>
      <c r="P2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5" s="2">
        <f>ABS(Данные[[#This Row],[days_birth]])/365.2425</f>
        <v>23.680157703443601</v>
      </c>
      <c r="S2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5" s="2">
        <f>IF(Данные[[#This Row],[ interest_rate]]&gt;$T$1,Данные[[#This Row],[days_birth4]]*$T$2,Данные[[#This Row],[days_birth4]])</f>
        <v>0</v>
      </c>
      <c r="U235" s="2">
        <f>IF(Данные[[#This Row],[Проверка отказа]]="отказ",0,MAX(Данные[[#This Row],[interest_rate]],$C$1))</f>
        <v>0</v>
      </c>
      <c r="V235" s="2">
        <f>MROUND(Данные[[#This Row],[Минимум 20000]], 100)</f>
        <v>0</v>
      </c>
    </row>
    <row r="236" spans="1:22" x14ac:dyDescent="0.25">
      <c r="A236" s="2">
        <f>'1000_заявлений'!A230</f>
        <v>228</v>
      </c>
      <c r="B236" s="4">
        <f>VALUE(SUBSTITUTE('1000_заявлений'!B230, ".", ","))</f>
        <v>0.35978307165356699</v>
      </c>
      <c r="C236" s="4">
        <f>VALUE(SUBSTITUTE('1000_заявлений'!C230, ".", ","))</f>
        <v>0.36601372579192798</v>
      </c>
      <c r="D236" s="4">
        <f>VALUE(SUBSTITUTE('1000_заявлений'!D230, ".", ","))</f>
        <v>0.67383009999999999</v>
      </c>
      <c r="E236" s="4">
        <f>VALUE(SUBSTITUTE('1000_заявлений'!E230, ".", ","))</f>
        <v>0.37706922999999998</v>
      </c>
      <c r="F236" s="5">
        <f>VALUE(SUBSTITUTE('1000_заявлений'!F230, ".", ","))</f>
        <v>-5</v>
      </c>
      <c r="G236" s="5">
        <f>VALUE(SUBSTITUTE('1000_заявлений'!G230, ".", ","))</f>
        <v>-22626</v>
      </c>
      <c r="H236" s="5">
        <f>VALUE(SUBSTITUTE('1000_заявлений'!H230, ".", ","))</f>
        <v>-4207</v>
      </c>
      <c r="I236" s="4">
        <f>VALUE(SUBSTITUTE('1000_заявлений'!I230, ".", ","))</f>
        <v>0.14285714285714199</v>
      </c>
      <c r="J236" s="4">
        <f>VALUE(SUBSTITUTE('1000_заявлений'!J230, ".", ","))</f>
        <v>10.6209759779781</v>
      </c>
      <c r="K236" s="5">
        <f>VALUE(SUBSTITUTE('1000_заявлений'!K230, ".", ","))</f>
        <v>-217</v>
      </c>
      <c r="L236" s="6">
        <f>VALUE(SUBSTITUTE('1000_заявлений'!L230, ".", ","))</f>
        <v>11250</v>
      </c>
      <c r="M236" s="2" t="str">
        <f>IF(Данные[[#This Row],[proba]]&gt;$C$6, "отказ", "одобрение")</f>
        <v>отказ</v>
      </c>
      <c r="N236" s="7">
        <f>IF(Данные[[#This Row],[proba]]&lt;$D$2,$C$2,IF(Данные[[#This Row],[proba]]&lt;$D$3,$C$3,IF(Данные[[#This Row],[proba]]&gt;$C$6,0,$C$4)))</f>
        <v>0</v>
      </c>
      <c r="O236" s="2">
        <f>IF(Данные[[#This Row],[weighted_ext_score]]&gt;$O$1,MIN(Данные[[#This Row],[Базовая сумма]]*$O$2,$C$2),IF(Данные[[#This Row],[weighted_ext_score]]&lt;$O$3,Данные[[#This Row],[Базовая сумма]]*$O$4,N236))</f>
        <v>0</v>
      </c>
      <c r="P2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6" s="2">
        <f>ABS(Данные[[#This Row],[days_birth]])/365.2425</f>
        <v>61.947883940121976</v>
      </c>
      <c r="S2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6" s="2">
        <f>IF(Данные[[#This Row],[ interest_rate]]&gt;$T$1,Данные[[#This Row],[days_birth4]]*$T$2,Данные[[#This Row],[days_birth4]])</f>
        <v>0</v>
      </c>
      <c r="U236" s="2">
        <f>IF(Данные[[#This Row],[Проверка отказа]]="отказ",0,MAX(Данные[[#This Row],[interest_rate]],$C$1))</f>
        <v>0</v>
      </c>
      <c r="V236" s="2">
        <f>MROUND(Данные[[#This Row],[Минимум 20000]], 100)</f>
        <v>0</v>
      </c>
    </row>
    <row r="237" spans="1:22" x14ac:dyDescent="0.25">
      <c r="A237" s="2">
        <f>'1000_заявлений'!A231</f>
        <v>229</v>
      </c>
      <c r="B237" s="4">
        <f>VALUE(SUBSTITUTE('1000_заявлений'!B231, ".", ","))</f>
        <v>0.37065142825462</v>
      </c>
      <c r="C237" s="4">
        <f>VALUE(SUBSTITUTE('1000_заявлений'!C231, ".", ","))</f>
        <v>0.49926031957946398</v>
      </c>
      <c r="D237" s="4">
        <f>VALUE(SUBSTITUTE('1000_заявлений'!D231, ".", ","))</f>
        <v>0.53707000000000005</v>
      </c>
      <c r="E237" s="4">
        <f>VALUE(SUBSTITUTE('1000_заявлений'!E231, ".", ","))</f>
        <v>0.53039855000000002</v>
      </c>
      <c r="F237" s="5">
        <f>VALUE(SUBSTITUTE('1000_заявлений'!F231, ".", ","))</f>
        <v>-4685</v>
      </c>
      <c r="G237" s="5">
        <f>VALUE(SUBSTITUTE('1000_заявлений'!G231, ".", ","))</f>
        <v>-15767</v>
      </c>
      <c r="H237" s="5">
        <f>VALUE(SUBSTITUTE('1000_заявлений'!H231, ".", ","))</f>
        <v>-3576</v>
      </c>
      <c r="I237" s="4">
        <f>VALUE(SUBSTITUTE('1000_заявлений'!I231, ".", ","))</f>
        <v>0.16864000000000001</v>
      </c>
      <c r="J237" s="4">
        <f>VALUE(SUBSTITUTE('1000_заявлений'!J231, ".", ","))</f>
        <v>5.94847071743105</v>
      </c>
      <c r="K237" s="5">
        <f>VALUE(SUBSTITUTE('1000_заявлений'!K231, ".", ","))</f>
        <v>-5400</v>
      </c>
      <c r="L237" s="6">
        <f>VALUE(SUBSTITUTE('1000_заявлений'!L231, ".", ","))</f>
        <v>18972</v>
      </c>
      <c r="M237" s="2" t="str">
        <f>IF(Данные[[#This Row],[proba]]&gt;$C$6, "отказ", "одобрение")</f>
        <v>отказ</v>
      </c>
      <c r="N237" s="7">
        <f>IF(Данные[[#This Row],[proba]]&lt;$D$2,$C$2,IF(Данные[[#This Row],[proba]]&lt;$D$3,$C$3,IF(Данные[[#This Row],[proba]]&gt;$C$6,0,$C$4)))</f>
        <v>0</v>
      </c>
      <c r="O237" s="2">
        <f>IF(Данные[[#This Row],[weighted_ext_score]]&gt;$O$1,MIN(Данные[[#This Row],[Базовая сумма]]*$O$2,$C$2),IF(Данные[[#This Row],[weighted_ext_score]]&lt;$O$3,Данные[[#This Row],[Базовая сумма]]*$O$4,N237))</f>
        <v>0</v>
      </c>
      <c r="P2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7" s="2">
        <f>ABS(Данные[[#This Row],[days_birth]])/365.2425</f>
        <v>43.168579779187802</v>
      </c>
      <c r="S2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7" s="2">
        <f>IF(Данные[[#This Row],[ interest_rate]]&gt;$T$1,Данные[[#This Row],[days_birth4]]*$T$2,Данные[[#This Row],[days_birth4]])</f>
        <v>0</v>
      </c>
      <c r="U237" s="2">
        <f>IF(Данные[[#This Row],[Проверка отказа]]="отказ",0,MAX(Данные[[#This Row],[interest_rate]],$C$1))</f>
        <v>0</v>
      </c>
      <c r="V237" s="2">
        <f>MROUND(Данные[[#This Row],[Минимум 20000]], 100)</f>
        <v>0</v>
      </c>
    </row>
    <row r="238" spans="1:22" x14ac:dyDescent="0.25">
      <c r="A238" s="2">
        <f>'1000_заявлений'!A232</f>
        <v>230</v>
      </c>
      <c r="B238" s="4">
        <f>VALUE(SUBSTITUTE('1000_заявлений'!B232, ".", ","))</f>
        <v>0.134920645216004</v>
      </c>
      <c r="C238" s="4">
        <f>VALUE(SUBSTITUTE('1000_заявлений'!C232, ".", ","))</f>
        <v>0.71536334902145604</v>
      </c>
      <c r="D238" s="4">
        <f>VALUE(SUBSTITUTE('1000_заявлений'!D232, ".", ","))</f>
        <v>0.72814129999999999</v>
      </c>
      <c r="E238" s="4">
        <f>VALUE(SUBSTITUTE('1000_заявлений'!E232, ".", ","))</f>
        <v>0.70959740000000004</v>
      </c>
      <c r="F238" s="5">
        <f>VALUE(SUBSTITUTE('1000_заявлений'!F232, ".", ","))</f>
        <v>-8948</v>
      </c>
      <c r="G238" s="5">
        <f>VALUE(SUBSTITUTE('1000_заявлений'!G232, ".", ","))</f>
        <v>-14805</v>
      </c>
      <c r="H238" s="5">
        <f>VALUE(SUBSTITUTE('1000_заявлений'!H232, ".", ","))</f>
        <v>-5490</v>
      </c>
      <c r="I238" s="4">
        <f>VALUE(SUBSTITUTE('1000_заявлений'!I232, ".", ","))</f>
        <v>0.29534210526315702</v>
      </c>
      <c r="J238" s="4">
        <f>VALUE(SUBSTITUTE('1000_заявлений'!J232, ".", ","))</f>
        <v>11.973330598845701</v>
      </c>
      <c r="K238" s="5">
        <f>VALUE(SUBSTITUTE('1000_заявлений'!K232, ".", ","))</f>
        <v>-240</v>
      </c>
      <c r="L238" s="6">
        <f>VALUE(SUBSTITUTE('1000_заявлений'!L232, ".", ","))</f>
        <v>50503.5</v>
      </c>
      <c r="M238" s="2" t="str">
        <f>IF(Данные[[#This Row],[proba]]&gt;$C$6, "отказ", "одобрение")</f>
        <v>одобрение</v>
      </c>
      <c r="N238" s="7">
        <f>IF(Данные[[#This Row],[proba]]&lt;$D$2,$C$2,IF(Данные[[#This Row],[proba]]&lt;$D$3,$C$3,IF(Данные[[#This Row],[proba]]&gt;$C$6,0,$C$4)))</f>
        <v>300000</v>
      </c>
      <c r="O238" s="2">
        <f>IF(Данные[[#This Row],[weighted_ext_score]]&gt;$O$1,MIN(Данные[[#This Row],[Базовая сумма]]*$O$2,$C$2),IF(Данные[[#This Row],[weighted_ext_score]]&lt;$O$3,Данные[[#This Row],[Базовая сумма]]*$O$4,N238))</f>
        <v>360000</v>
      </c>
      <c r="P2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2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238" s="2">
        <f>ABS(Данные[[#This Row],[days_birth]])/365.2425</f>
        <v>40.534713238464853</v>
      </c>
      <c r="S2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360000</v>
      </c>
      <c r="T238" s="2">
        <f>IF(Данные[[#This Row],[ interest_rate]]&gt;$T$1,Данные[[#This Row],[days_birth4]]*$T$2,Данные[[#This Row],[days_birth4]])</f>
        <v>360000</v>
      </c>
      <c r="U238" s="2">
        <f>IF(Данные[[#This Row],[Проверка отказа]]="отказ",0,MAX(Данные[[#This Row],[interest_rate]],$C$1))</f>
        <v>360000</v>
      </c>
      <c r="V238" s="2">
        <f>MROUND(Данные[[#This Row],[Минимум 20000]], 100)</f>
        <v>360000</v>
      </c>
    </row>
    <row r="239" spans="1:22" x14ac:dyDescent="0.25">
      <c r="A239" s="2">
        <f>'1000_заявлений'!A233</f>
        <v>231</v>
      </c>
      <c r="B239" s="4">
        <f>VALUE(SUBSTITUTE('1000_заявлений'!B233, ".", ","))</f>
        <v>0.381061542141101</v>
      </c>
      <c r="C239" s="4">
        <f>VALUE(SUBSTITUTE('1000_заявлений'!C233, ".", ","))</f>
        <v>0.52804181017173502</v>
      </c>
      <c r="D239" s="4">
        <f>VALUE(SUBSTITUTE('1000_заявлений'!D233, ".", ","))</f>
        <v>0.45969044999999997</v>
      </c>
      <c r="E239" s="4">
        <f>VALUE(SUBSTITUTE('1000_заявлений'!E233, ".", ","))</f>
        <v>0.6071029</v>
      </c>
      <c r="F239" s="5">
        <f>VALUE(SUBSTITUTE('1000_заявлений'!F233, ".", ","))</f>
        <v>-11398</v>
      </c>
      <c r="G239" s="5">
        <f>VALUE(SUBSTITUTE('1000_заявлений'!G233, ".", ","))</f>
        <v>-19431</v>
      </c>
      <c r="H239" s="5">
        <f>VALUE(SUBSTITUTE('1000_заявлений'!H233, ".", ","))</f>
        <v>-2115</v>
      </c>
      <c r="I239" s="4">
        <f>VALUE(SUBSTITUTE('1000_заявлений'!I233, ".", ","))</f>
        <v>0.257275336718922</v>
      </c>
      <c r="J239" s="4">
        <f>VALUE(SUBSTITUTE('1000_заявлений'!J233, ".", ","))</f>
        <v>2.7268436150310298</v>
      </c>
      <c r="K239" s="5">
        <f>VALUE(SUBSTITUTE('1000_заявлений'!K233, ".", ","))</f>
        <v>-11824</v>
      </c>
      <c r="L239" s="6">
        <f>VALUE(SUBSTITUTE('1000_заявлений'!L233, ".", ","))</f>
        <v>26217</v>
      </c>
      <c r="M239" s="2" t="str">
        <f>IF(Данные[[#This Row],[proba]]&gt;$C$6, "отказ", "одобрение")</f>
        <v>отказ</v>
      </c>
      <c r="N239" s="7">
        <f>IF(Данные[[#This Row],[proba]]&lt;$D$2,$C$2,IF(Данные[[#This Row],[proba]]&lt;$D$3,$C$3,IF(Данные[[#This Row],[proba]]&gt;$C$6,0,$C$4)))</f>
        <v>0</v>
      </c>
      <c r="O239" s="2">
        <f>IF(Данные[[#This Row],[weighted_ext_score]]&gt;$O$1,MIN(Данные[[#This Row],[Базовая сумма]]*$O$2,$C$2),IF(Данные[[#This Row],[weighted_ext_score]]&lt;$O$3,Данные[[#This Row],[Базовая сумма]]*$O$4,N239))</f>
        <v>0</v>
      </c>
      <c r="P2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39" s="2">
        <f>ABS(Данные[[#This Row],[days_birth]])/365.2425</f>
        <v>53.200271052793688</v>
      </c>
      <c r="S2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39" s="2">
        <f>IF(Данные[[#This Row],[ interest_rate]]&gt;$T$1,Данные[[#This Row],[days_birth4]]*$T$2,Данные[[#This Row],[days_birth4]])</f>
        <v>0</v>
      </c>
      <c r="U239" s="2">
        <f>IF(Данные[[#This Row],[Проверка отказа]]="отказ",0,MAX(Данные[[#This Row],[interest_rate]],$C$1))</f>
        <v>0</v>
      </c>
      <c r="V239" s="2">
        <f>MROUND(Данные[[#This Row],[Минимум 20000]], 100)</f>
        <v>0</v>
      </c>
    </row>
    <row r="240" spans="1:22" x14ac:dyDescent="0.25">
      <c r="A240" s="2">
        <f>'1000_заявлений'!A234</f>
        <v>232</v>
      </c>
      <c r="B240" s="4">
        <f>VALUE(SUBSTITUTE('1000_заявлений'!B234, ".", ","))</f>
        <v>0.58262527627628002</v>
      </c>
      <c r="C240" s="4">
        <f>VALUE(SUBSTITUTE('1000_заявлений'!C234, ".", ","))</f>
        <v>0.29737672611144</v>
      </c>
      <c r="D240" s="4">
        <f>VALUE(SUBSTITUTE('1000_заявлений'!D234, ".", ","))</f>
        <v>0.4632753</v>
      </c>
      <c r="E240" s="4">
        <f>VALUE(SUBSTITUTE('1000_заявлений'!E234, ".", ","))</f>
        <v>0.40023189999999997</v>
      </c>
      <c r="F240" s="5">
        <f>VALUE(SUBSTITUTE('1000_заявлений'!F234, ".", ","))</f>
        <v>-3556</v>
      </c>
      <c r="G240" s="5">
        <f>VALUE(SUBSTITUTE('1000_заявлений'!G234, ".", ","))</f>
        <v>-15361</v>
      </c>
      <c r="H240" s="5">
        <f>VALUE(SUBSTITUTE('1000_заявлений'!H234, ".", ","))</f>
        <v>-4874</v>
      </c>
      <c r="I240" s="4">
        <f>VALUE(SUBSTITUTE('1000_заявлений'!I234, ".", ","))</f>
        <v>0.24079999999999999</v>
      </c>
      <c r="J240" s="4">
        <f>VALUE(SUBSTITUTE('1000_заявлений'!J234, ".", ","))</f>
        <v>4.6585883921962301</v>
      </c>
      <c r="K240" s="5">
        <f>VALUE(SUBSTITUTE('1000_заявлений'!K234, ".", ","))</f>
        <v>-3326</v>
      </c>
      <c r="L240" s="6">
        <f>VALUE(SUBSTITUTE('1000_заявлений'!L234, ".", ","))</f>
        <v>21672</v>
      </c>
      <c r="M240" s="2" t="str">
        <f>IF(Данные[[#This Row],[proba]]&gt;$C$6, "отказ", "одобрение")</f>
        <v>отказ</v>
      </c>
      <c r="N240" s="7">
        <f>IF(Данные[[#This Row],[proba]]&lt;$D$2,$C$2,IF(Данные[[#This Row],[proba]]&lt;$D$3,$C$3,IF(Данные[[#This Row],[proba]]&gt;$C$6,0,$C$4)))</f>
        <v>0</v>
      </c>
      <c r="O240" s="2">
        <f>IF(Данные[[#This Row],[weighted_ext_score]]&gt;$O$1,MIN(Данные[[#This Row],[Базовая сумма]]*$O$2,$C$2),IF(Данные[[#This Row],[weighted_ext_score]]&lt;$O$3,Данные[[#This Row],[Базовая сумма]]*$O$4,N240))</f>
        <v>0</v>
      </c>
      <c r="P2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0" s="2">
        <f>ABS(Данные[[#This Row],[days_birth]])/365.2425</f>
        <v>42.056989534350464</v>
      </c>
      <c r="S2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0" s="2">
        <f>IF(Данные[[#This Row],[ interest_rate]]&gt;$T$1,Данные[[#This Row],[days_birth4]]*$T$2,Данные[[#This Row],[days_birth4]])</f>
        <v>0</v>
      </c>
      <c r="U240" s="2">
        <f>IF(Данные[[#This Row],[Проверка отказа]]="отказ",0,MAX(Данные[[#This Row],[interest_rate]],$C$1))</f>
        <v>0</v>
      </c>
      <c r="V240" s="2">
        <f>MROUND(Данные[[#This Row],[Минимум 20000]], 100)</f>
        <v>0</v>
      </c>
    </row>
    <row r="241" spans="1:22" x14ac:dyDescent="0.25">
      <c r="A241" s="2">
        <f>'1000_заявлений'!A235</f>
        <v>233</v>
      </c>
      <c r="B241" s="4">
        <f>VALUE(SUBSTITUTE('1000_заявлений'!B235, ".", ","))</f>
        <v>0.55167286155030004</v>
      </c>
      <c r="C241" s="4">
        <f>VALUE(SUBSTITUTE('1000_заявлений'!C235, ".", ","))</f>
        <v>0.25866721847100599</v>
      </c>
      <c r="D241" s="4">
        <f>VALUE(SUBSTITUTE('1000_заявлений'!D235, ".", ","))</f>
        <v>0.21035023</v>
      </c>
      <c r="E241" s="4">
        <f>VALUE(SUBSTITUTE('1000_заявлений'!E235, ".", ","))</f>
        <v>0.56289699999999998</v>
      </c>
      <c r="F241" s="5">
        <f>VALUE(SUBSTITUTE('1000_заявлений'!F235, ".", ","))</f>
        <v>-1495</v>
      </c>
      <c r="G241" s="5">
        <f>VALUE(SUBSTITUTE('1000_заявлений'!G235, ".", ","))</f>
        <v>-22221</v>
      </c>
      <c r="H241" s="5">
        <f>VALUE(SUBSTITUTE('1000_заявлений'!H235, ".", ","))</f>
        <v>-4713</v>
      </c>
      <c r="I241" s="4">
        <f>VALUE(SUBSTITUTE('1000_заявлений'!I235, ".", ","))</f>
        <v>5.6666666666666601E-2</v>
      </c>
      <c r="J241" s="4">
        <f>VALUE(SUBSTITUTE('1000_заявлений'!J235, ".", ","))</f>
        <v>10.6209759779781</v>
      </c>
      <c r="K241" s="5">
        <f>VALUE(SUBSTITUTE('1000_заявлений'!K235, ".", ","))</f>
        <v>-1786</v>
      </c>
      <c r="L241" s="6">
        <f>VALUE(SUBSTITUTE('1000_заявлений'!L235, ".", ","))</f>
        <v>19125</v>
      </c>
      <c r="M241" s="2" t="str">
        <f>IF(Данные[[#This Row],[proba]]&gt;$C$6, "отказ", "одобрение")</f>
        <v>отказ</v>
      </c>
      <c r="N241" s="7">
        <f>IF(Данные[[#This Row],[proba]]&lt;$D$2,$C$2,IF(Данные[[#This Row],[proba]]&lt;$D$3,$C$3,IF(Данные[[#This Row],[proba]]&gt;$C$6,0,$C$4)))</f>
        <v>0</v>
      </c>
      <c r="O241" s="2">
        <f>IF(Данные[[#This Row],[weighted_ext_score]]&gt;$O$1,MIN(Данные[[#This Row],[Базовая сумма]]*$O$2,$C$2),IF(Данные[[#This Row],[weighted_ext_score]]&lt;$O$3,Данные[[#This Row],[Базовая сумма]]*$O$4,N241))</f>
        <v>0</v>
      </c>
      <c r="P2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1" s="2">
        <f>ABS(Данные[[#This Row],[days_birth]])/365.2425</f>
        <v>60.839031602291627</v>
      </c>
      <c r="S2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1" s="2">
        <f>IF(Данные[[#This Row],[ interest_rate]]&gt;$T$1,Данные[[#This Row],[days_birth4]]*$T$2,Данные[[#This Row],[days_birth4]])</f>
        <v>0</v>
      </c>
      <c r="U241" s="2">
        <f>IF(Данные[[#This Row],[Проверка отказа]]="отказ",0,MAX(Данные[[#This Row],[interest_rate]],$C$1))</f>
        <v>0</v>
      </c>
      <c r="V241" s="2">
        <f>MROUND(Данные[[#This Row],[Минимум 20000]], 100)</f>
        <v>0</v>
      </c>
    </row>
    <row r="242" spans="1:22" x14ac:dyDescent="0.25">
      <c r="A242" s="2">
        <f>'1000_заявлений'!A236</f>
        <v>234</v>
      </c>
      <c r="B242" s="4">
        <f>VALUE(SUBSTITUTE('1000_заявлений'!B236, ".", ","))</f>
        <v>0.55484629237902705</v>
      </c>
      <c r="C242" s="4">
        <f>VALUE(SUBSTITUTE('1000_заявлений'!C236, ".", ","))</f>
        <v>0.296405179518832</v>
      </c>
      <c r="D242" s="4">
        <f>VALUE(SUBSTITUTE('1000_заявлений'!D236, ".", ","))</f>
        <v>0.56383499999999998</v>
      </c>
      <c r="E242" s="4">
        <f>VALUE(SUBSTITUTE('1000_заявлений'!E236, ".", ","))</f>
        <v>0.28511723999999999</v>
      </c>
      <c r="F242" s="5">
        <f>VALUE(SUBSTITUTE('1000_заявлений'!F236, ".", ","))</f>
        <v>-2666</v>
      </c>
      <c r="G242" s="5">
        <f>VALUE(SUBSTITUTE('1000_заявлений'!G236, ".", ","))</f>
        <v>-13261</v>
      </c>
      <c r="H242" s="5">
        <f>VALUE(SUBSTITUTE('1000_заявлений'!H236, ".", ","))</f>
        <v>-2666</v>
      </c>
      <c r="I242" s="4">
        <f>VALUE(SUBSTITUTE('1000_заявлений'!I236, ".", ","))</f>
        <v>0.10100000000000001</v>
      </c>
      <c r="J242" s="4">
        <f>VALUE(SUBSTITUTE('1000_заявлений'!J236, ".", ","))</f>
        <v>9.6108451239791606</v>
      </c>
      <c r="K242" s="5">
        <f>VALUE(SUBSTITUTE('1000_заявлений'!K236, ".", ","))</f>
        <v>-659</v>
      </c>
      <c r="L242" s="6">
        <f>VALUE(SUBSTITUTE('1000_заявлений'!L236, ".", ","))</f>
        <v>6817.5</v>
      </c>
      <c r="M242" s="2" t="str">
        <f>IF(Данные[[#This Row],[proba]]&gt;$C$6, "отказ", "одобрение")</f>
        <v>отказ</v>
      </c>
      <c r="N242" s="7">
        <f>IF(Данные[[#This Row],[proba]]&lt;$D$2,$C$2,IF(Данные[[#This Row],[proba]]&lt;$D$3,$C$3,IF(Данные[[#This Row],[proba]]&gt;$C$6,0,$C$4)))</f>
        <v>0</v>
      </c>
      <c r="O242" s="2">
        <f>IF(Данные[[#This Row],[weighted_ext_score]]&gt;$O$1,MIN(Данные[[#This Row],[Базовая сумма]]*$O$2,$C$2),IF(Данные[[#This Row],[weighted_ext_score]]&lt;$O$3,Данные[[#This Row],[Базовая сумма]]*$O$4,N242))</f>
        <v>0</v>
      </c>
      <c r="P2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2" s="2">
        <f>ABS(Данные[[#This Row],[days_birth]])/365.2425</f>
        <v>36.307384819674596</v>
      </c>
      <c r="S2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2" s="2">
        <f>IF(Данные[[#This Row],[ interest_rate]]&gt;$T$1,Данные[[#This Row],[days_birth4]]*$T$2,Данные[[#This Row],[days_birth4]])</f>
        <v>0</v>
      </c>
      <c r="U242" s="2">
        <f>IF(Данные[[#This Row],[Проверка отказа]]="отказ",0,MAX(Данные[[#This Row],[interest_rate]],$C$1))</f>
        <v>0</v>
      </c>
      <c r="V242" s="2">
        <f>MROUND(Данные[[#This Row],[Минимум 20000]], 100)</f>
        <v>0</v>
      </c>
    </row>
    <row r="243" spans="1:22" x14ac:dyDescent="0.25">
      <c r="A243" s="2">
        <f>'1000_заявлений'!A237</f>
        <v>235</v>
      </c>
      <c r="B243" s="4">
        <f>VALUE(SUBSTITUTE('1000_заявлений'!B237, ".", ","))</f>
        <v>0.45180509594833002</v>
      </c>
      <c r="C243" s="4">
        <f>VALUE(SUBSTITUTE('1000_заявлений'!C237, ".", ","))</f>
        <v>0.28890434908498103</v>
      </c>
      <c r="D243" s="4">
        <f>VALUE(SUBSTITUTE('1000_заявлений'!D237, ".", ","))</f>
        <v>0.53527623000000002</v>
      </c>
      <c r="E243" s="4">
        <f>VALUE(SUBSTITUTE('1000_заявлений'!E237, ".", ","))</f>
        <v>0.67808179999999996</v>
      </c>
      <c r="F243" s="5">
        <f>VALUE(SUBSTITUTE('1000_заявлений'!F237, ".", ","))</f>
        <v>-10968</v>
      </c>
      <c r="G243" s="5">
        <f>VALUE(SUBSTITUTE('1000_заявлений'!G237, ".", ","))</f>
        <v>-11000</v>
      </c>
      <c r="H243" s="5">
        <f>VALUE(SUBSTITUTE('1000_заявлений'!H237, ".", ","))</f>
        <v>-2274</v>
      </c>
      <c r="I243" s="4">
        <f>VALUE(SUBSTITUTE('1000_заявлений'!I237, ".", ","))</f>
        <v>0.27788000000000002</v>
      </c>
      <c r="J243" s="4">
        <f>VALUE(SUBSTITUTE('1000_заявлений'!J237, ".", ","))</f>
        <v>7.8744259631260096</v>
      </c>
      <c r="K243" s="5">
        <f>VALUE(SUBSTITUTE('1000_заявлений'!K237, ".", ","))</f>
        <v>-968</v>
      </c>
      <c r="L243" s="6">
        <f>VALUE(SUBSTITUTE('1000_заявлений'!L237, ".", ","))</f>
        <v>31261.5</v>
      </c>
      <c r="M243" s="2" t="str">
        <f>IF(Данные[[#This Row],[proba]]&gt;$C$6, "отказ", "одобрение")</f>
        <v>отказ</v>
      </c>
      <c r="N243" s="7">
        <f>IF(Данные[[#This Row],[proba]]&lt;$D$2,$C$2,IF(Данные[[#This Row],[proba]]&lt;$D$3,$C$3,IF(Данные[[#This Row],[proba]]&gt;$C$6,0,$C$4)))</f>
        <v>0</v>
      </c>
      <c r="O243" s="2">
        <f>IF(Данные[[#This Row],[weighted_ext_score]]&gt;$O$1,MIN(Данные[[#This Row],[Базовая сумма]]*$O$2,$C$2),IF(Данные[[#This Row],[weighted_ext_score]]&lt;$O$3,Данные[[#This Row],[Базовая сумма]]*$O$4,N243))</f>
        <v>0</v>
      </c>
      <c r="P2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3" s="2">
        <f>ABS(Данные[[#This Row],[days_birth]])/365.2425</f>
        <v>30.116977076873585</v>
      </c>
      <c r="S2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3" s="2">
        <f>IF(Данные[[#This Row],[ interest_rate]]&gt;$T$1,Данные[[#This Row],[days_birth4]]*$T$2,Данные[[#This Row],[days_birth4]])</f>
        <v>0</v>
      </c>
      <c r="U243" s="2">
        <f>IF(Данные[[#This Row],[Проверка отказа]]="отказ",0,MAX(Данные[[#This Row],[interest_rate]],$C$1))</f>
        <v>0</v>
      </c>
      <c r="V243" s="2">
        <f>MROUND(Данные[[#This Row],[Минимум 20000]], 100)</f>
        <v>0</v>
      </c>
    </row>
    <row r="244" spans="1:22" x14ac:dyDescent="0.25">
      <c r="A244" s="2">
        <f>'1000_заявлений'!A238</f>
        <v>236</v>
      </c>
      <c r="B244" s="4">
        <f>VALUE(SUBSTITUTE('1000_заявлений'!B238, ".", ","))</f>
        <v>0.70772371003115897</v>
      </c>
      <c r="C244" s="4">
        <f>VALUE(SUBSTITUTE('1000_заявлений'!C238, ".", ","))</f>
        <v>0.22955709907324101</v>
      </c>
      <c r="D244" s="4">
        <f>VALUE(SUBSTITUTE('1000_заявлений'!D238, ".", ","))</f>
        <v>0.27788568000000002</v>
      </c>
      <c r="E244" s="4">
        <f>VALUE(SUBSTITUTE('1000_заявлений'!E238, ".", ","))</f>
        <v>0.39785635000000003</v>
      </c>
      <c r="F244" s="5">
        <f>VALUE(SUBSTITUTE('1000_заявлений'!F238, ".", ","))</f>
        <v>-6936</v>
      </c>
      <c r="G244" s="5">
        <f>VALUE(SUBSTITUTE('1000_заявлений'!G238, ".", ","))</f>
        <v>-15827</v>
      </c>
      <c r="H244" s="5">
        <f>VALUE(SUBSTITUTE('1000_заявлений'!H238, ".", ","))</f>
        <v>-1777</v>
      </c>
      <c r="I244" s="4">
        <f>VALUE(SUBSTITUTE('1000_заявлений'!I238, ".", ","))</f>
        <v>0.16800000000000001</v>
      </c>
      <c r="J244" s="4">
        <f>VALUE(SUBSTITUTE('1000_заявлений'!J238, ".", ","))</f>
        <v>1.7926354583625901</v>
      </c>
      <c r="K244" s="5">
        <f>VALUE(SUBSTITUTE('1000_заявлений'!K238, ".", ","))</f>
        <v>-3010</v>
      </c>
      <c r="L244" s="6">
        <f>VALUE(SUBSTITUTE('1000_заявлений'!L238, ".", ","))</f>
        <v>37800</v>
      </c>
      <c r="M244" s="2" t="str">
        <f>IF(Данные[[#This Row],[proba]]&gt;$C$6, "отказ", "одобрение")</f>
        <v>отказ</v>
      </c>
      <c r="N244" s="7">
        <f>IF(Данные[[#This Row],[proba]]&lt;$D$2,$C$2,IF(Данные[[#This Row],[proba]]&lt;$D$3,$C$3,IF(Данные[[#This Row],[proba]]&gt;$C$6,0,$C$4)))</f>
        <v>0</v>
      </c>
      <c r="O244" s="2">
        <f>IF(Данные[[#This Row],[weighted_ext_score]]&gt;$O$1,MIN(Данные[[#This Row],[Базовая сумма]]*$O$2,$C$2),IF(Данные[[#This Row],[weighted_ext_score]]&lt;$O$3,Данные[[#This Row],[Базовая сумма]]*$O$4,N244))</f>
        <v>0</v>
      </c>
      <c r="P2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4" s="2">
        <f>ABS(Данные[[#This Row],[days_birth]])/365.2425</f>
        <v>43.332854199607112</v>
      </c>
      <c r="S2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4" s="2">
        <f>IF(Данные[[#This Row],[ interest_rate]]&gt;$T$1,Данные[[#This Row],[days_birth4]]*$T$2,Данные[[#This Row],[days_birth4]])</f>
        <v>0</v>
      </c>
      <c r="U244" s="2">
        <f>IF(Данные[[#This Row],[Проверка отказа]]="отказ",0,MAX(Данные[[#This Row],[interest_rate]],$C$1))</f>
        <v>0</v>
      </c>
      <c r="V244" s="2">
        <f>MROUND(Данные[[#This Row],[Минимум 20000]], 100)</f>
        <v>0</v>
      </c>
    </row>
    <row r="245" spans="1:22" x14ac:dyDescent="0.25">
      <c r="A245" s="2">
        <f>'1000_заявлений'!A239</f>
        <v>237</v>
      </c>
      <c r="B245" s="4">
        <f>VALUE(SUBSTITUTE('1000_заявлений'!B239, ".", ","))</f>
        <v>0.28683321732174799</v>
      </c>
      <c r="C245" s="4">
        <f>VALUE(SUBSTITUTE('1000_заявлений'!C239, ".", ","))</f>
        <v>0.426498714023335</v>
      </c>
      <c r="D245" s="4">
        <f>VALUE(SUBSTITUTE('1000_заявлений'!D239, ".", ","))</f>
        <v>0.62630427</v>
      </c>
      <c r="E245" s="4">
        <f>VALUE(SUBSTITUTE('1000_заявлений'!E239, ".", ","))</f>
        <v>0.61652355999999997</v>
      </c>
      <c r="F245" s="5">
        <f>VALUE(SUBSTITUTE('1000_заявлений'!F239, ".", ","))</f>
        <v>-3087</v>
      </c>
      <c r="G245" s="5">
        <f>VALUE(SUBSTITUTE('1000_заявлений'!G239, ".", ","))</f>
        <v>-18773</v>
      </c>
      <c r="H245" s="5">
        <f>VALUE(SUBSTITUTE('1000_заявлений'!H239, ".", ","))</f>
        <v>-2314</v>
      </c>
      <c r="I245" s="4">
        <f>VALUE(SUBSTITUTE('1000_заявлений'!I239, ".", ","))</f>
        <v>0.14444444444444399</v>
      </c>
      <c r="J245" s="4">
        <f>VALUE(SUBSTITUTE('1000_заявлений'!J239, ".", ","))</f>
        <v>10.6209759779781</v>
      </c>
      <c r="K245" s="5">
        <f>VALUE(SUBSTITUTE('1000_заявлений'!K239, ".", ","))</f>
        <v>-251</v>
      </c>
      <c r="L245" s="6">
        <f>VALUE(SUBSTITUTE('1000_заявлений'!L239, ".", ","))</f>
        <v>29250</v>
      </c>
      <c r="M245" s="2" t="str">
        <f>IF(Данные[[#This Row],[proba]]&gt;$C$6, "отказ", "одобрение")</f>
        <v>одобрение</v>
      </c>
      <c r="N245" s="7">
        <f>IF(Данные[[#This Row],[proba]]&lt;$D$2,$C$2,IF(Данные[[#This Row],[proba]]&lt;$D$3,$C$3,IF(Данные[[#This Row],[proba]]&gt;$C$6,0,$C$4)))</f>
        <v>100000</v>
      </c>
      <c r="O245" s="2">
        <f>IF(Данные[[#This Row],[weighted_ext_score]]&gt;$O$1,MIN(Данные[[#This Row],[Базовая сумма]]*$O$2,$C$2),IF(Данные[[#This Row],[weighted_ext_score]]&lt;$O$3,Данные[[#This Row],[Базовая сумма]]*$O$4,N245))</f>
        <v>100000</v>
      </c>
      <c r="P2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45" s="2">
        <f>ABS(Данные[[#This Row],[days_birth]])/365.2425</f>
        <v>51.398728242195254</v>
      </c>
      <c r="S2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245" s="2">
        <f>IF(Данные[[#This Row],[ interest_rate]]&gt;$T$1,Данные[[#This Row],[days_birth4]]*$T$2,Данные[[#This Row],[days_birth4]])</f>
        <v>126000</v>
      </c>
      <c r="U245" s="2">
        <f>IF(Данные[[#This Row],[Проверка отказа]]="отказ",0,MAX(Данные[[#This Row],[interest_rate]],$C$1))</f>
        <v>126000</v>
      </c>
      <c r="V245" s="2">
        <f>MROUND(Данные[[#This Row],[Минимум 20000]], 100)</f>
        <v>126000</v>
      </c>
    </row>
    <row r="246" spans="1:22" x14ac:dyDescent="0.25">
      <c r="A246" s="2">
        <f>'1000_заявлений'!A240</f>
        <v>238</v>
      </c>
      <c r="B246" s="4">
        <f>VALUE(SUBSTITUTE('1000_заявлений'!B240, ".", ","))</f>
        <v>0.28818974808456999</v>
      </c>
      <c r="C246" s="4">
        <f>VALUE(SUBSTITUTE('1000_заявлений'!C240, ".", ","))</f>
        <v>0.42334786580456502</v>
      </c>
      <c r="D246" s="4">
        <f>VALUE(SUBSTITUTE('1000_заявлений'!D240, ".", ","))</f>
        <v>0.66263777000000001</v>
      </c>
      <c r="E246" s="4">
        <f>VALUE(SUBSTITUTE('1000_заявлений'!E240, ".", ","))</f>
        <v>0.56629980000000002</v>
      </c>
      <c r="F246" s="5">
        <f>VALUE(SUBSTITUTE('1000_заявлений'!F240, ".", ","))</f>
        <v>-9953</v>
      </c>
      <c r="G246" s="5">
        <f>VALUE(SUBSTITUTE('1000_заявлений'!G240, ".", ","))</f>
        <v>-20278</v>
      </c>
      <c r="H246" s="5">
        <f>VALUE(SUBSTITUTE('1000_заявлений'!H240, ".", ","))</f>
        <v>-2560</v>
      </c>
      <c r="I246" s="4">
        <f>VALUE(SUBSTITUTE('1000_заявлений'!I240, ".", ","))</f>
        <v>0.29522500000000002</v>
      </c>
      <c r="J246" s="4">
        <f>VALUE(SUBSTITUTE('1000_заявлений'!J240, ".", ","))</f>
        <v>1.8585352948174501</v>
      </c>
      <c r="K246" s="5">
        <f>VALUE(SUBSTITUTE('1000_заявлений'!K240, ".", ","))</f>
        <v>365243</v>
      </c>
      <c r="L246" s="6">
        <f>VALUE(SUBSTITUTE('1000_заявлений'!L240, ".", ","))</f>
        <v>53140.5</v>
      </c>
      <c r="M246" s="2" t="str">
        <f>IF(Данные[[#This Row],[proba]]&gt;$C$6, "отказ", "одобрение")</f>
        <v>одобрение</v>
      </c>
      <c r="N246" s="7">
        <f>IF(Данные[[#This Row],[proba]]&lt;$D$2,$C$2,IF(Данные[[#This Row],[proba]]&lt;$D$3,$C$3,IF(Данные[[#This Row],[proba]]&gt;$C$6,0,$C$4)))</f>
        <v>100000</v>
      </c>
      <c r="O246" s="2">
        <f>IF(Данные[[#This Row],[weighted_ext_score]]&gt;$O$1,MIN(Данные[[#This Row],[Базовая сумма]]*$O$2,$C$2),IF(Данные[[#This Row],[weighted_ext_score]]&lt;$O$3,Данные[[#This Row],[Базовая сумма]]*$O$4,N246))</f>
        <v>100000</v>
      </c>
      <c r="P2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246" s="2">
        <f>ABS(Данные[[#This Row],[days_birth]])/365.2425</f>
        <v>55.519278287712957</v>
      </c>
      <c r="S2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246" s="2">
        <f>IF(Данные[[#This Row],[ interest_rate]]&gt;$T$1,Данные[[#This Row],[days_birth4]]*$T$2,Данные[[#This Row],[days_birth4]])</f>
        <v>105000</v>
      </c>
      <c r="U246" s="2">
        <f>IF(Данные[[#This Row],[Проверка отказа]]="отказ",0,MAX(Данные[[#This Row],[interest_rate]],$C$1))</f>
        <v>105000</v>
      </c>
      <c r="V246" s="2">
        <f>MROUND(Данные[[#This Row],[Минимум 20000]], 100)</f>
        <v>105000</v>
      </c>
    </row>
    <row r="247" spans="1:22" x14ac:dyDescent="0.25">
      <c r="A247" s="2">
        <f>'1000_заявлений'!A241</f>
        <v>239</v>
      </c>
      <c r="B247" s="4">
        <f>VALUE(SUBSTITUTE('1000_заявлений'!B241, ".", ","))</f>
        <v>0.25292146892329698</v>
      </c>
      <c r="C247" s="4">
        <f>VALUE(SUBSTITUTE('1000_заявлений'!C241, ".", ","))</f>
        <v>0.45804064033122199</v>
      </c>
      <c r="D247" s="4">
        <f>VALUE(SUBSTITUTE('1000_заявлений'!D241, ".", ","))</f>
        <v>0.64632990000000001</v>
      </c>
      <c r="E247" s="4">
        <f>VALUE(SUBSTITUTE('1000_заявлений'!E241, ".", ","))</f>
        <v>0.6914344</v>
      </c>
      <c r="F247" s="5">
        <f>VALUE(SUBSTITUTE('1000_заявлений'!F241, ".", ","))</f>
        <v>-11753</v>
      </c>
      <c r="G247" s="5">
        <f>VALUE(SUBSTITUTE('1000_заявлений'!G241, ".", ","))</f>
        <v>-19303</v>
      </c>
      <c r="H247" s="5">
        <f>VALUE(SUBSTITUTE('1000_заявлений'!H241, ".", ","))</f>
        <v>-2855</v>
      </c>
      <c r="I247" s="4">
        <f>VALUE(SUBSTITUTE('1000_заявлений'!I241, ".", ","))</f>
        <v>0.25864999999999999</v>
      </c>
      <c r="J247" s="4">
        <f>VALUE(SUBSTITUTE('1000_заявлений'!J241, ".", ","))</f>
        <v>6.8067579836325702</v>
      </c>
      <c r="K247" s="5">
        <f>VALUE(SUBSTITUTE('1000_заявлений'!K241, ".", ","))</f>
        <v>-4266</v>
      </c>
      <c r="L247" s="6">
        <f>VALUE(SUBSTITUTE('1000_заявлений'!L241, ".", ","))</f>
        <v>46557</v>
      </c>
      <c r="M247" s="2" t="str">
        <f>IF(Данные[[#This Row],[proba]]&gt;$C$6, "отказ", "одобрение")</f>
        <v>одобрение</v>
      </c>
      <c r="N247" s="7">
        <f>IF(Данные[[#This Row],[proba]]&lt;$D$2,$C$2,IF(Данные[[#This Row],[proba]]&lt;$D$3,$C$3,IF(Данные[[#This Row],[proba]]&gt;$C$6,0,$C$4)))</f>
        <v>100000</v>
      </c>
      <c r="O247" s="2">
        <f>IF(Данные[[#This Row],[weighted_ext_score]]&gt;$O$1,MIN(Данные[[#This Row],[Базовая сумма]]*$O$2,$C$2),IF(Данные[[#This Row],[weighted_ext_score]]&lt;$O$3,Данные[[#This Row],[Базовая сумма]]*$O$4,N247))</f>
        <v>100000</v>
      </c>
      <c r="P2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47" s="2">
        <f>ABS(Данные[[#This Row],[days_birth]])/365.2425</f>
        <v>52.84981895589916</v>
      </c>
      <c r="S2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247" s="2">
        <f>IF(Данные[[#This Row],[ interest_rate]]&gt;$T$1,Данные[[#This Row],[days_birth4]]*$T$2,Данные[[#This Row],[days_birth4]])</f>
        <v>126000</v>
      </c>
      <c r="U247" s="2">
        <f>IF(Данные[[#This Row],[Проверка отказа]]="отказ",0,MAX(Данные[[#This Row],[interest_rate]],$C$1))</f>
        <v>126000</v>
      </c>
      <c r="V247" s="2">
        <f>MROUND(Данные[[#This Row],[Минимум 20000]], 100)</f>
        <v>126000</v>
      </c>
    </row>
    <row r="248" spans="1:22" x14ac:dyDescent="0.25">
      <c r="A248" s="2">
        <f>'1000_заявлений'!A242</f>
        <v>240</v>
      </c>
      <c r="B248" s="4">
        <f>VALUE(SUBSTITUTE('1000_заявлений'!B242, ".", ","))</f>
        <v>0.33426636089185902</v>
      </c>
      <c r="C248" s="4">
        <f>VALUE(SUBSTITUTE('1000_заявлений'!C242, ".", ","))</f>
        <v>0.52732873424563698</v>
      </c>
      <c r="D248" s="4">
        <f>VALUE(SUBSTITUTE('1000_заявлений'!D242, ".", ","))</f>
        <v>0.5797274</v>
      </c>
      <c r="E248" s="4">
        <f>VALUE(SUBSTITUTE('1000_заявлений'!E242, ".", ","))</f>
        <v>0.65174323000000001</v>
      </c>
      <c r="F248" s="5">
        <f>VALUE(SUBSTITUTE('1000_заявлений'!F242, ".", ","))</f>
        <v>-3383</v>
      </c>
      <c r="G248" s="5">
        <f>VALUE(SUBSTITUTE('1000_заявлений'!G242, ".", ","))</f>
        <v>-11629</v>
      </c>
      <c r="H248" s="5">
        <f>VALUE(SUBSTITUTE('1000_заявлений'!H242, ".", ","))</f>
        <v>-3485</v>
      </c>
      <c r="I248" s="4">
        <f>VALUE(SUBSTITUTE('1000_заявлений'!I242, ".", ","))</f>
        <v>0.19420000000000001</v>
      </c>
      <c r="J248" s="4">
        <f>VALUE(SUBSTITUTE('1000_заявлений'!J242, ".", ","))</f>
        <v>2.7268436150310298</v>
      </c>
      <c r="K248" s="5">
        <f>VALUE(SUBSTITUTE('1000_заявлений'!K242, ".", ","))</f>
        <v>-2567</v>
      </c>
      <c r="L248" s="6">
        <f>VALUE(SUBSTITUTE('1000_заявлений'!L242, ".", ","))</f>
        <v>26217</v>
      </c>
      <c r="M248" s="2" t="str">
        <f>IF(Данные[[#This Row],[proba]]&gt;$C$6, "отказ", "одобрение")</f>
        <v>отказ</v>
      </c>
      <c r="N248" s="7">
        <f>IF(Данные[[#This Row],[proba]]&lt;$D$2,$C$2,IF(Данные[[#This Row],[proba]]&lt;$D$3,$C$3,IF(Данные[[#This Row],[proba]]&gt;$C$6,0,$C$4)))</f>
        <v>0</v>
      </c>
      <c r="O248" s="2">
        <f>IF(Данные[[#This Row],[weighted_ext_score]]&gt;$O$1,MIN(Данные[[#This Row],[Базовая сумма]]*$O$2,$C$2),IF(Данные[[#This Row],[weighted_ext_score]]&lt;$O$3,Данные[[#This Row],[Базовая сумма]]*$O$4,N248))</f>
        <v>0</v>
      </c>
      <c r="P2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8" s="2">
        <f>ABS(Данные[[#This Row],[days_birth]])/365.2425</f>
        <v>31.839120584269356</v>
      </c>
      <c r="S2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8" s="2">
        <f>IF(Данные[[#This Row],[ interest_rate]]&gt;$T$1,Данные[[#This Row],[days_birth4]]*$T$2,Данные[[#This Row],[days_birth4]])</f>
        <v>0</v>
      </c>
      <c r="U248" s="2">
        <f>IF(Данные[[#This Row],[Проверка отказа]]="отказ",0,MAX(Данные[[#This Row],[interest_rate]],$C$1))</f>
        <v>0</v>
      </c>
      <c r="V248" s="2">
        <f>MROUND(Данные[[#This Row],[Минимум 20000]], 100)</f>
        <v>0</v>
      </c>
    </row>
    <row r="249" spans="1:22" x14ac:dyDescent="0.25">
      <c r="A249" s="2">
        <f>'1000_заявлений'!A243</f>
        <v>241</v>
      </c>
      <c r="B249" s="4">
        <f>VALUE(SUBSTITUTE('1000_заявлений'!B243, ".", ","))</f>
        <v>0.33974937248693199</v>
      </c>
      <c r="C249" s="4">
        <f>VALUE(SUBSTITUTE('1000_заявлений'!C243, ".", ","))</f>
        <v>0.41520326407976099</v>
      </c>
      <c r="D249" s="4">
        <f>VALUE(SUBSTITUTE('1000_заявлений'!D243, ".", ","))</f>
        <v>0.70769936</v>
      </c>
      <c r="E249" s="4">
        <f>VALUE(SUBSTITUTE('1000_заявлений'!E243, ".", ","))</f>
        <v>0.49094969999999999</v>
      </c>
      <c r="F249" s="5">
        <f>VALUE(SUBSTITUTE('1000_заявлений'!F243, ".", ","))</f>
        <v>-7791</v>
      </c>
      <c r="G249" s="5">
        <f>VALUE(SUBSTITUTE('1000_заявлений'!G243, ".", ","))</f>
        <v>-20697</v>
      </c>
      <c r="H249" s="5">
        <f>VALUE(SUBSTITUTE('1000_заявлений'!H243, ".", ","))</f>
        <v>-3892</v>
      </c>
      <c r="I249" s="4">
        <f>VALUE(SUBSTITUTE('1000_заявлений'!I243, ".", ","))</f>
        <v>0.26914285714285702</v>
      </c>
      <c r="J249" s="4">
        <f>VALUE(SUBSTITUTE('1000_заявлений'!J243, ".", ","))</f>
        <v>0.34912527522254999</v>
      </c>
      <c r="K249" s="5">
        <f>VALUE(SUBSTITUTE('1000_заявлений'!K243, ".", ","))</f>
        <v>-6821</v>
      </c>
      <c r="L249" s="6">
        <f>VALUE(SUBSTITUTE('1000_заявлений'!L243, ".", ","))</f>
        <v>42390</v>
      </c>
      <c r="M249" s="2" t="str">
        <f>IF(Данные[[#This Row],[proba]]&gt;$C$6, "отказ", "одобрение")</f>
        <v>отказ</v>
      </c>
      <c r="N249" s="7">
        <f>IF(Данные[[#This Row],[proba]]&lt;$D$2,$C$2,IF(Данные[[#This Row],[proba]]&lt;$D$3,$C$3,IF(Данные[[#This Row],[proba]]&gt;$C$6,0,$C$4)))</f>
        <v>0</v>
      </c>
      <c r="O249" s="2">
        <f>IF(Данные[[#This Row],[weighted_ext_score]]&gt;$O$1,MIN(Данные[[#This Row],[Базовая сумма]]*$O$2,$C$2),IF(Данные[[#This Row],[weighted_ext_score]]&lt;$O$3,Данные[[#This Row],[Базовая сумма]]*$O$4,N249))</f>
        <v>0</v>
      </c>
      <c r="P2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49" s="2">
        <f>ABS(Данные[[#This Row],[days_birth]])/365.2425</f>
        <v>56.666461323641144</v>
      </c>
      <c r="S2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49" s="2">
        <f>IF(Данные[[#This Row],[ interest_rate]]&gt;$T$1,Данные[[#This Row],[days_birth4]]*$T$2,Данные[[#This Row],[days_birth4]])</f>
        <v>0</v>
      </c>
      <c r="U249" s="2">
        <f>IF(Данные[[#This Row],[Проверка отказа]]="отказ",0,MAX(Данные[[#This Row],[interest_rate]],$C$1))</f>
        <v>0</v>
      </c>
      <c r="V249" s="2">
        <f>MROUND(Данные[[#This Row],[Минимум 20000]], 100)</f>
        <v>0</v>
      </c>
    </row>
    <row r="250" spans="1:22" x14ac:dyDescent="0.25">
      <c r="A250" s="2">
        <f>'1000_заявлений'!A244</f>
        <v>242</v>
      </c>
      <c r="B250" s="4">
        <f>VALUE(SUBSTITUTE('1000_заявлений'!B244, ".", ","))</f>
        <v>0.43249144989023403</v>
      </c>
      <c r="C250" s="4">
        <f>VALUE(SUBSTITUTE('1000_заявлений'!C244, ".", ","))</f>
        <v>0.35952539561678298</v>
      </c>
      <c r="D250" s="4">
        <f>VALUE(SUBSTITUTE('1000_заявлений'!D244, ".", ","))</f>
        <v>0.51909729999999998</v>
      </c>
      <c r="E250" s="4">
        <f>VALUE(SUBSTITUTE('1000_заявлений'!E244, ".", ","))</f>
        <v>0.52958689999999997</v>
      </c>
      <c r="F250" s="5">
        <f>VALUE(SUBSTITUTE('1000_заявлений'!F244, ".", ","))</f>
        <v>-372</v>
      </c>
      <c r="G250" s="5">
        <f>VALUE(SUBSTITUTE('1000_заявлений'!G244, ".", ","))</f>
        <v>-12840</v>
      </c>
      <c r="H250" s="5">
        <f>VALUE(SUBSTITUTE('1000_заявлений'!H244, ".", ","))</f>
        <v>-363</v>
      </c>
      <c r="I250" s="4">
        <f>VALUE(SUBSTITUTE('1000_заявлений'!I244, ".", ","))</f>
        <v>0.12257999999999999</v>
      </c>
      <c r="J250" s="4">
        <f>VALUE(SUBSTITUTE('1000_заявлений'!J244, ".", ","))</f>
        <v>15.1252623623545</v>
      </c>
      <c r="K250" s="5">
        <f>VALUE(SUBSTITUTE('1000_заявлений'!K244, ".", ","))</f>
        <v>-1201</v>
      </c>
      <c r="L250" s="6">
        <f>VALUE(SUBSTITUTE('1000_заявлений'!L244, ".", ","))</f>
        <v>27580.5</v>
      </c>
      <c r="M250" s="2" t="str">
        <f>IF(Данные[[#This Row],[proba]]&gt;$C$6, "отказ", "одобрение")</f>
        <v>отказ</v>
      </c>
      <c r="N250" s="7">
        <f>IF(Данные[[#This Row],[proba]]&lt;$D$2,$C$2,IF(Данные[[#This Row],[proba]]&lt;$D$3,$C$3,IF(Данные[[#This Row],[proba]]&gt;$C$6,0,$C$4)))</f>
        <v>0</v>
      </c>
      <c r="O250" s="2">
        <f>IF(Данные[[#This Row],[weighted_ext_score]]&gt;$O$1,MIN(Данные[[#This Row],[Базовая сумма]]*$O$2,$C$2),IF(Данные[[#This Row],[weighted_ext_score]]&lt;$O$3,Данные[[#This Row],[Базовая сумма]]*$O$4,N250))</f>
        <v>0</v>
      </c>
      <c r="P2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0" s="2">
        <f>ABS(Данные[[#This Row],[days_birth]])/365.2425</f>
        <v>35.154725969732439</v>
      </c>
      <c r="S2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0" s="2">
        <f>IF(Данные[[#This Row],[ interest_rate]]&gt;$T$1,Данные[[#This Row],[days_birth4]]*$T$2,Данные[[#This Row],[days_birth4]])</f>
        <v>0</v>
      </c>
      <c r="U250" s="2">
        <f>IF(Данные[[#This Row],[Проверка отказа]]="отказ",0,MAX(Данные[[#This Row],[interest_rate]],$C$1))</f>
        <v>0</v>
      </c>
      <c r="V250" s="2">
        <f>MROUND(Данные[[#This Row],[Минимум 20000]], 100)</f>
        <v>0</v>
      </c>
    </row>
    <row r="251" spans="1:22" x14ac:dyDescent="0.25">
      <c r="A251" s="2">
        <f>'1000_заявлений'!A245</f>
        <v>243</v>
      </c>
      <c r="B251" s="4">
        <f>VALUE(SUBSTITUTE('1000_заявлений'!B245, ".", ","))</f>
        <v>0.43864489540404</v>
      </c>
      <c r="C251" s="4">
        <f>VALUE(SUBSTITUTE('1000_заявлений'!C245, ".", ","))</f>
        <v>0.51335775270288597</v>
      </c>
      <c r="D251" s="4">
        <f>VALUE(SUBSTITUTE('1000_заявлений'!D245, ".", ","))</f>
        <v>9.2617169999999999E-2</v>
      </c>
      <c r="E251" s="4">
        <f>VALUE(SUBSTITUTE('1000_заявлений'!E245, ".", ","))</f>
        <v>0.66361709999999996</v>
      </c>
      <c r="F251" s="5">
        <f>VALUE(SUBSTITUTE('1000_заявлений'!F245, ".", ","))</f>
        <v>-3692</v>
      </c>
      <c r="G251" s="5">
        <f>VALUE(SUBSTITUTE('1000_заявлений'!G245, ".", ","))</f>
        <v>-21596</v>
      </c>
      <c r="H251" s="5">
        <f>VALUE(SUBSTITUTE('1000_заявлений'!H245, ".", ","))</f>
        <v>-5056</v>
      </c>
      <c r="I251" s="4">
        <f>VALUE(SUBSTITUTE('1000_заявлений'!I245, ".", ","))</f>
        <v>9.6788888888888799E-2</v>
      </c>
      <c r="J251" s="4">
        <f>VALUE(SUBSTITUTE('1000_заявлений'!J245, ".", ","))</f>
        <v>1.8851410580202801</v>
      </c>
      <c r="K251" s="5">
        <f>VALUE(SUBSTITUTE('1000_заявлений'!K245, ".", ","))</f>
        <v>365243</v>
      </c>
      <c r="L251" s="6">
        <f>VALUE(SUBSTITUTE('1000_заявлений'!L245, ".", ","))</f>
        <v>39199.5</v>
      </c>
      <c r="M251" s="2" t="str">
        <f>IF(Данные[[#This Row],[proba]]&gt;$C$6, "отказ", "одобрение")</f>
        <v>отказ</v>
      </c>
      <c r="N251" s="7">
        <f>IF(Данные[[#This Row],[proba]]&lt;$D$2,$C$2,IF(Данные[[#This Row],[proba]]&lt;$D$3,$C$3,IF(Данные[[#This Row],[proba]]&gt;$C$6,0,$C$4)))</f>
        <v>0</v>
      </c>
      <c r="O251" s="2">
        <f>IF(Данные[[#This Row],[weighted_ext_score]]&gt;$O$1,MIN(Данные[[#This Row],[Базовая сумма]]*$O$2,$C$2),IF(Данные[[#This Row],[weighted_ext_score]]&lt;$O$3,Данные[[#This Row],[Базовая сумма]]*$O$4,N251))</f>
        <v>0</v>
      </c>
      <c r="P2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1" s="2">
        <f>ABS(Данные[[#This Row],[days_birth]])/365.2425</f>
        <v>59.12783972292381</v>
      </c>
      <c r="S2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1" s="2">
        <f>IF(Данные[[#This Row],[ interest_rate]]&gt;$T$1,Данные[[#This Row],[days_birth4]]*$T$2,Данные[[#This Row],[days_birth4]])</f>
        <v>0</v>
      </c>
      <c r="U251" s="2">
        <f>IF(Данные[[#This Row],[Проверка отказа]]="отказ",0,MAX(Данные[[#This Row],[interest_rate]],$C$1))</f>
        <v>0</v>
      </c>
      <c r="V251" s="2">
        <f>MROUND(Данные[[#This Row],[Минимум 20000]], 100)</f>
        <v>0</v>
      </c>
    </row>
    <row r="252" spans="1:22" x14ac:dyDescent="0.25">
      <c r="A252" s="2">
        <f>'1000_заявлений'!A246</f>
        <v>244</v>
      </c>
      <c r="B252" s="4">
        <f>VALUE(SUBSTITUTE('1000_заявлений'!B246, ".", ","))</f>
        <v>0.29599513845009701</v>
      </c>
      <c r="C252" s="4">
        <f>VALUE(SUBSTITUTE('1000_заявлений'!C246, ".", ","))</f>
        <v>0.446313395494014</v>
      </c>
      <c r="D252" s="4">
        <f>VALUE(SUBSTITUTE('1000_заявлений'!D246, ".", ","))</f>
        <v>0.57444660000000003</v>
      </c>
      <c r="E252" s="4">
        <f>VALUE(SUBSTITUTE('1000_заявлений'!E246, ".", ","))</f>
        <v>0.73542790000000002</v>
      </c>
      <c r="F252" s="5">
        <f>VALUE(SUBSTITUTE('1000_заявлений'!F246, ".", ","))</f>
        <v>-5329</v>
      </c>
      <c r="G252" s="5">
        <f>VALUE(SUBSTITUTE('1000_заявлений'!G246, ".", ","))</f>
        <v>-16355</v>
      </c>
      <c r="H252" s="5">
        <f>VALUE(SUBSTITUTE('1000_заявлений'!H246, ".", ","))</f>
        <v>-4330</v>
      </c>
      <c r="I252" s="4">
        <f>VALUE(SUBSTITUTE('1000_заявлений'!I246, ".", ","))</f>
        <v>0.15422</v>
      </c>
      <c r="J252" s="4">
        <f>VALUE(SUBSTITUTE('1000_заявлений'!J246, ".", ","))</f>
        <v>1.6360935604026099</v>
      </c>
      <c r="K252" s="5">
        <f>VALUE(SUBSTITUTE('1000_заявлений'!K246, ".", ","))</f>
        <v>-7428</v>
      </c>
      <c r="L252" s="6">
        <f>VALUE(SUBSTITUTE('1000_заявлений'!L246, ".", ","))</f>
        <v>34699.5</v>
      </c>
      <c r="M252" s="2" t="str">
        <f>IF(Данные[[#This Row],[proba]]&gt;$C$6, "отказ", "одобрение")</f>
        <v>одобрение</v>
      </c>
      <c r="N252" s="7">
        <f>IF(Данные[[#This Row],[proba]]&lt;$D$2,$C$2,IF(Данные[[#This Row],[proba]]&lt;$D$3,$C$3,IF(Данные[[#This Row],[proba]]&gt;$C$6,0,$C$4)))</f>
        <v>100000</v>
      </c>
      <c r="O252" s="2">
        <f>IF(Данные[[#This Row],[weighted_ext_score]]&gt;$O$1,MIN(Данные[[#This Row],[Базовая сумма]]*$O$2,$C$2),IF(Данные[[#This Row],[weighted_ext_score]]&lt;$O$3,Данные[[#This Row],[Базовая сумма]]*$O$4,N252))</f>
        <v>100000</v>
      </c>
      <c r="P2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52" s="2">
        <f>ABS(Данные[[#This Row],[days_birth]])/365.2425</f>
        <v>44.778469099297041</v>
      </c>
      <c r="S2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252" s="2">
        <f>IF(Данные[[#This Row],[ interest_rate]]&gt;$T$1,Данные[[#This Row],[days_birth4]]*$T$2,Данные[[#This Row],[days_birth4]])</f>
        <v>144000</v>
      </c>
      <c r="U252" s="2">
        <f>IF(Данные[[#This Row],[Проверка отказа]]="отказ",0,MAX(Данные[[#This Row],[interest_rate]],$C$1))</f>
        <v>144000</v>
      </c>
      <c r="V252" s="2">
        <f>MROUND(Данные[[#This Row],[Минимум 20000]], 100)</f>
        <v>144000</v>
      </c>
    </row>
    <row r="253" spans="1:22" x14ac:dyDescent="0.25">
      <c r="A253" s="2">
        <f>'1000_заявлений'!A247</f>
        <v>245</v>
      </c>
      <c r="B253" s="4">
        <f>VALUE(SUBSTITUTE('1000_заявлений'!B247, ".", ","))</f>
        <v>0.27598942620085998</v>
      </c>
      <c r="C253" s="4">
        <f>VALUE(SUBSTITUTE('1000_заявлений'!C247, ".", ","))</f>
        <v>0.55889449865857799</v>
      </c>
      <c r="D253" s="4">
        <f>VALUE(SUBSTITUTE('1000_заявлений'!D247, ".", ","))</f>
        <v>0.54602320000000004</v>
      </c>
      <c r="E253" s="4">
        <f>VALUE(SUBSTITUTE('1000_заявлений'!E247, ".", ","))</f>
        <v>0.50439714999999996</v>
      </c>
      <c r="F253" s="5">
        <f>VALUE(SUBSTITUTE('1000_заявлений'!F247, ".", ","))</f>
        <v>-9661</v>
      </c>
      <c r="G253" s="5">
        <f>VALUE(SUBSTITUTE('1000_заявлений'!G247, ".", ","))</f>
        <v>-22435</v>
      </c>
      <c r="H253" s="5">
        <f>VALUE(SUBSTITUTE('1000_заявлений'!H247, ".", ","))</f>
        <v>-4914</v>
      </c>
      <c r="I253" s="4">
        <f>VALUE(SUBSTITUTE('1000_заявлений'!I247, ".", ","))</f>
        <v>8.6505050505050501E-2</v>
      </c>
      <c r="J253" s="4">
        <f>VALUE(SUBSTITUTE('1000_заявлений'!J247, ".", ","))</f>
        <v>5.3892565607281</v>
      </c>
      <c r="K253" s="5">
        <f>VALUE(SUBSTITUTE('1000_заявлений'!K247, ".", ","))</f>
        <v>-6054</v>
      </c>
      <c r="L253" s="6">
        <f>VALUE(SUBSTITUTE('1000_заявлений'!L247, ".", ","))</f>
        <v>19269</v>
      </c>
      <c r="M253" s="2" t="str">
        <f>IF(Данные[[#This Row],[proba]]&gt;$C$6, "отказ", "одобрение")</f>
        <v>одобрение</v>
      </c>
      <c r="N253" s="7">
        <f>IF(Данные[[#This Row],[proba]]&lt;$D$2,$C$2,IF(Данные[[#This Row],[proba]]&lt;$D$3,$C$3,IF(Данные[[#This Row],[proba]]&gt;$C$6,0,$C$4)))</f>
        <v>100000</v>
      </c>
      <c r="O253" s="2">
        <f>IF(Данные[[#This Row],[weighted_ext_score]]&gt;$O$1,MIN(Данные[[#This Row],[Базовая сумма]]*$O$2,$C$2),IF(Данные[[#This Row],[weighted_ext_score]]&lt;$O$3,Данные[[#This Row],[Базовая сумма]]*$O$4,N253))</f>
        <v>100000</v>
      </c>
      <c r="P2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53" s="2">
        <f>ABS(Данные[[#This Row],[days_birth]])/365.2425</f>
        <v>61.424943701787164</v>
      </c>
      <c r="S2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253" s="2">
        <f>IF(Данные[[#This Row],[ interest_rate]]&gt;$T$1,Данные[[#This Row],[days_birth4]]*$T$2,Данные[[#This Row],[days_birth4]])</f>
        <v>151200</v>
      </c>
      <c r="U253" s="2">
        <f>IF(Данные[[#This Row],[Проверка отказа]]="отказ",0,MAX(Данные[[#This Row],[interest_rate]],$C$1))</f>
        <v>151200</v>
      </c>
      <c r="V253" s="2">
        <f>MROUND(Данные[[#This Row],[Минимум 20000]], 100)</f>
        <v>151200</v>
      </c>
    </row>
    <row r="254" spans="1:22" x14ac:dyDescent="0.25">
      <c r="A254" s="2">
        <f>'1000_заявлений'!A248</f>
        <v>246</v>
      </c>
      <c r="B254" s="4">
        <f>VALUE(SUBSTITUTE('1000_заявлений'!B248, ".", ","))</f>
        <v>0.62627599836080805</v>
      </c>
      <c r="C254" s="4">
        <f>VALUE(SUBSTITUTE('1000_заявлений'!C248, ".", ","))</f>
        <v>0.27575755153875198</v>
      </c>
      <c r="D254" s="4">
        <f>VALUE(SUBSTITUTE('1000_заявлений'!D248, ".", ","))</f>
        <v>0.42413032000000001</v>
      </c>
      <c r="E254" s="4">
        <f>VALUE(SUBSTITUTE('1000_заявлений'!E248, ".", ","))</f>
        <v>0.37722846999999998</v>
      </c>
      <c r="F254" s="5">
        <f>VALUE(SUBSTITUTE('1000_заявлений'!F248, ".", ","))</f>
        <v>-6464</v>
      </c>
      <c r="G254" s="5">
        <f>VALUE(SUBSTITUTE('1000_заявлений'!G248, ".", ","))</f>
        <v>-12995</v>
      </c>
      <c r="H254" s="5">
        <f>VALUE(SUBSTITUTE('1000_заявлений'!H248, ".", ","))</f>
        <v>-4043</v>
      </c>
      <c r="I254" s="4">
        <f>VALUE(SUBSTITUTE('1000_заявлений'!I248, ".", ","))</f>
        <v>9.6921052631578894E-2</v>
      </c>
      <c r="J254" s="4">
        <f>VALUE(SUBSTITUTE('1000_заявлений'!J248, ".", ","))</f>
        <v>0.304490999829165</v>
      </c>
      <c r="K254" s="5">
        <f>VALUE(SUBSTITUTE('1000_заявлений'!K248, ".", ","))</f>
        <v>-3287</v>
      </c>
      <c r="L254" s="6">
        <f>VALUE(SUBSTITUTE('1000_заявлений'!L248, ".", ","))</f>
        <v>16573.5</v>
      </c>
      <c r="M254" s="2" t="str">
        <f>IF(Данные[[#This Row],[proba]]&gt;$C$6, "отказ", "одобрение")</f>
        <v>отказ</v>
      </c>
      <c r="N254" s="7">
        <f>IF(Данные[[#This Row],[proba]]&lt;$D$2,$C$2,IF(Данные[[#This Row],[proba]]&lt;$D$3,$C$3,IF(Данные[[#This Row],[proba]]&gt;$C$6,0,$C$4)))</f>
        <v>0</v>
      </c>
      <c r="O254" s="2">
        <f>IF(Данные[[#This Row],[weighted_ext_score]]&gt;$O$1,MIN(Данные[[#This Row],[Базовая сумма]]*$O$2,$C$2),IF(Данные[[#This Row],[weighted_ext_score]]&lt;$O$3,Данные[[#This Row],[Базовая сумма]]*$O$4,N254))</f>
        <v>0</v>
      </c>
      <c r="P2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4" s="2">
        <f>ABS(Данные[[#This Row],[days_birth]])/365.2425</f>
        <v>35.579101555815654</v>
      </c>
      <c r="S2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4" s="2">
        <f>IF(Данные[[#This Row],[ interest_rate]]&gt;$T$1,Данные[[#This Row],[days_birth4]]*$T$2,Данные[[#This Row],[days_birth4]])</f>
        <v>0</v>
      </c>
      <c r="U254" s="2">
        <f>IF(Данные[[#This Row],[Проверка отказа]]="отказ",0,MAX(Данные[[#This Row],[interest_rate]],$C$1))</f>
        <v>0</v>
      </c>
      <c r="V254" s="2">
        <f>MROUND(Данные[[#This Row],[Минимум 20000]], 100)</f>
        <v>0</v>
      </c>
    </row>
    <row r="255" spans="1:22" x14ac:dyDescent="0.25">
      <c r="A255" s="2">
        <f>'1000_заявлений'!A249</f>
        <v>247</v>
      </c>
      <c r="B255" s="4">
        <f>VALUE(SUBSTITUTE('1000_заявлений'!B249, ".", ","))</f>
        <v>0.606436954812545</v>
      </c>
      <c r="C255" s="4">
        <f>VALUE(SUBSTITUTE('1000_заявлений'!C249, ".", ","))</f>
        <v>0.383914421274343</v>
      </c>
      <c r="D255" s="4">
        <f>VALUE(SUBSTITUTE('1000_заявлений'!D249, ".", ","))</f>
        <v>0.21640296000000001</v>
      </c>
      <c r="E255" s="4">
        <f>VALUE(SUBSTITUTE('1000_заявлений'!E249, ".", ","))</f>
        <v>0.564446</v>
      </c>
      <c r="F255" s="5">
        <f>VALUE(SUBSTITUTE('1000_заявлений'!F249, ".", ","))</f>
        <v>-3856</v>
      </c>
      <c r="G255" s="5">
        <f>VALUE(SUBSTITUTE('1000_заявлений'!G249, ".", ","))</f>
        <v>-9005</v>
      </c>
      <c r="H255" s="5">
        <f>VALUE(SUBSTITUTE('1000_заявлений'!H249, ".", ","))</f>
        <v>-1620</v>
      </c>
      <c r="I255" s="4">
        <f>VALUE(SUBSTITUTE('1000_заявлений'!I249, ".", ","))</f>
        <v>0.1</v>
      </c>
      <c r="J255" s="4">
        <f>VALUE(SUBSTITUTE('1000_заявлений'!J249, ".", ","))</f>
        <v>10.6209759779781</v>
      </c>
      <c r="K255" s="5">
        <f>VALUE(SUBSTITUTE('1000_заявлений'!K249, ".", ","))</f>
        <v>-764</v>
      </c>
      <c r="L255" s="6">
        <f>VALUE(SUBSTITUTE('1000_заявлений'!L249, ".", ","))</f>
        <v>13500</v>
      </c>
      <c r="M255" s="2" t="str">
        <f>IF(Данные[[#This Row],[proba]]&gt;$C$6, "отказ", "одобрение")</f>
        <v>отказ</v>
      </c>
      <c r="N255" s="7">
        <f>IF(Данные[[#This Row],[proba]]&lt;$D$2,$C$2,IF(Данные[[#This Row],[proba]]&lt;$D$3,$C$3,IF(Данные[[#This Row],[proba]]&gt;$C$6,0,$C$4)))</f>
        <v>0</v>
      </c>
      <c r="O255" s="2">
        <f>IF(Данные[[#This Row],[weighted_ext_score]]&gt;$O$1,MIN(Данные[[#This Row],[Базовая сумма]]*$O$2,$C$2),IF(Данные[[#This Row],[weighted_ext_score]]&lt;$O$3,Данные[[#This Row],[Базовая сумма]]*$O$4,N255))</f>
        <v>0</v>
      </c>
      <c r="P2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5" s="2">
        <f>ABS(Данные[[#This Row],[days_birth]])/365.2425</f>
        <v>24.654852597931512</v>
      </c>
      <c r="S2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5" s="2">
        <f>IF(Данные[[#This Row],[ interest_rate]]&gt;$T$1,Данные[[#This Row],[days_birth4]]*$T$2,Данные[[#This Row],[days_birth4]])</f>
        <v>0</v>
      </c>
      <c r="U255" s="2">
        <f>IF(Данные[[#This Row],[Проверка отказа]]="отказ",0,MAX(Данные[[#This Row],[interest_rate]],$C$1))</f>
        <v>0</v>
      </c>
      <c r="V255" s="2">
        <f>MROUND(Данные[[#This Row],[Минимум 20000]], 100)</f>
        <v>0</v>
      </c>
    </row>
    <row r="256" spans="1:22" x14ac:dyDescent="0.25">
      <c r="A256" s="2">
        <f>'1000_заявлений'!A250</f>
        <v>248</v>
      </c>
      <c r="B256" s="4">
        <f>VALUE(SUBSTITUTE('1000_заявлений'!B250, ".", ","))</f>
        <v>0.37191980755021897</v>
      </c>
      <c r="C256" s="4">
        <f>VALUE(SUBSTITUTE('1000_заявлений'!C250, ".", ","))</f>
        <v>0.41389133430369501</v>
      </c>
      <c r="D256" s="4">
        <f>VALUE(SUBSTITUTE('1000_заявлений'!D250, ".", ","))</f>
        <v>0.53527623000000002</v>
      </c>
      <c r="E256" s="4">
        <f>VALUE(SUBSTITUTE('1000_заявлений'!E250, ".", ","))</f>
        <v>0.67041176999999996</v>
      </c>
      <c r="F256" s="5">
        <f>VALUE(SUBSTITUTE('1000_заявлений'!F250, ".", ","))</f>
        <v>-3551</v>
      </c>
      <c r="G256" s="5">
        <f>VALUE(SUBSTITUTE('1000_заявлений'!G250, ".", ","))</f>
        <v>-8729</v>
      </c>
      <c r="H256" s="5">
        <f>VALUE(SUBSTITUTE('1000_заявлений'!H250, ".", ","))</f>
        <v>-1410</v>
      </c>
      <c r="I256" s="4">
        <f>VALUE(SUBSTITUTE('1000_заявлений'!I250, ".", ","))</f>
        <v>6.4285714285714196E-2</v>
      </c>
      <c r="J256" s="4">
        <f>VALUE(SUBSTITUTE('1000_заявлений'!J250, ".", ","))</f>
        <v>10.6209759779781</v>
      </c>
      <c r="K256" s="5">
        <f>VALUE(SUBSTITUTE('1000_заявлений'!K250, ".", ","))</f>
        <v>-824</v>
      </c>
      <c r="L256" s="6">
        <f>VALUE(SUBSTITUTE('1000_заявлений'!L250, ".", ","))</f>
        <v>10125</v>
      </c>
      <c r="M256" s="2" t="str">
        <f>IF(Данные[[#This Row],[proba]]&gt;$C$6, "отказ", "одобрение")</f>
        <v>отказ</v>
      </c>
      <c r="N256" s="7">
        <f>IF(Данные[[#This Row],[proba]]&lt;$D$2,$C$2,IF(Данные[[#This Row],[proba]]&lt;$D$3,$C$3,IF(Данные[[#This Row],[proba]]&gt;$C$6,0,$C$4)))</f>
        <v>0</v>
      </c>
      <c r="O256" s="2">
        <f>IF(Данные[[#This Row],[weighted_ext_score]]&gt;$O$1,MIN(Данные[[#This Row],[Базовая сумма]]*$O$2,$C$2),IF(Данные[[#This Row],[weighted_ext_score]]&lt;$O$3,Данные[[#This Row],[Базовая сумма]]*$O$4,N256))</f>
        <v>0</v>
      </c>
      <c r="P2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6" s="2">
        <f>ABS(Данные[[#This Row],[days_birth]])/365.2425</f>
        <v>23.899190264002684</v>
      </c>
      <c r="S2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6" s="2">
        <f>IF(Данные[[#This Row],[ interest_rate]]&gt;$T$1,Данные[[#This Row],[days_birth4]]*$T$2,Данные[[#This Row],[days_birth4]])</f>
        <v>0</v>
      </c>
      <c r="U256" s="2">
        <f>IF(Данные[[#This Row],[Проверка отказа]]="отказ",0,MAX(Данные[[#This Row],[interest_rate]],$C$1))</f>
        <v>0</v>
      </c>
      <c r="V256" s="2">
        <f>MROUND(Данные[[#This Row],[Минимум 20000]], 100)</f>
        <v>0</v>
      </c>
    </row>
    <row r="257" spans="1:22" x14ac:dyDescent="0.25">
      <c r="A257" s="2">
        <f>'1000_заявлений'!A251</f>
        <v>249</v>
      </c>
      <c r="B257" s="4">
        <f>VALUE(SUBSTITUTE('1000_заявлений'!B251, ".", ","))</f>
        <v>0.18715889469083799</v>
      </c>
      <c r="C257" s="4">
        <f>VALUE(SUBSTITUTE('1000_заявлений'!C251, ".", ","))</f>
        <v>0.61937614558502396</v>
      </c>
      <c r="D257" s="4">
        <f>VALUE(SUBSTITUTE('1000_заявлений'!D251, ".", ","))</f>
        <v>0.62630427</v>
      </c>
      <c r="E257" s="4">
        <f>VALUE(SUBSTITUTE('1000_заявлений'!E251, ".", ","))</f>
        <v>0.70189124000000003</v>
      </c>
      <c r="F257" s="5">
        <f>VALUE(SUBSTITUTE('1000_заявлений'!F251, ".", ","))</f>
        <v>-1160</v>
      </c>
      <c r="G257" s="5">
        <f>VALUE(SUBSTITUTE('1000_заявлений'!G251, ".", ","))</f>
        <v>-11918</v>
      </c>
      <c r="H257" s="5">
        <f>VALUE(SUBSTITUTE('1000_заявлений'!H251, ".", ","))</f>
        <v>-4579</v>
      </c>
      <c r="I257" s="4">
        <f>VALUE(SUBSTITUTE('1000_заявлений'!I251, ".", ","))</f>
        <v>0.17258333333333301</v>
      </c>
      <c r="J257" s="4">
        <f>VALUE(SUBSTITUTE('1000_заявлений'!J251, ".", ","))</f>
        <v>15.6406787987139</v>
      </c>
      <c r="K257" s="5">
        <f>VALUE(SUBSTITUTE('1000_заявлений'!K251, ".", ","))</f>
        <v>-2756</v>
      </c>
      <c r="L257" s="6">
        <f>VALUE(SUBSTITUTE('1000_заявлений'!L251, ".", ","))</f>
        <v>46597.5</v>
      </c>
      <c r="M257" s="2" t="str">
        <f>IF(Данные[[#This Row],[proba]]&gt;$C$6, "отказ", "одобрение")</f>
        <v>одобрение</v>
      </c>
      <c r="N257" s="7">
        <f>IF(Данные[[#This Row],[proba]]&lt;$D$2,$C$2,IF(Данные[[#This Row],[proba]]&lt;$D$3,$C$3,IF(Данные[[#This Row],[proba]]&gt;$C$6,0,$C$4)))</f>
        <v>300000</v>
      </c>
      <c r="O257" s="2">
        <f>IF(Данные[[#This Row],[weighted_ext_score]]&gt;$O$1,MIN(Данные[[#This Row],[Базовая сумма]]*$O$2,$C$2),IF(Данные[[#This Row],[weighted_ext_score]]&lt;$O$3,Данные[[#This Row],[Базовая сумма]]*$O$4,N257))</f>
        <v>300000</v>
      </c>
      <c r="P2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2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257" s="2">
        <f>ABS(Данные[[#This Row],[days_birth]])/365.2425</f>
        <v>32.630375709289034</v>
      </c>
      <c r="S2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257" s="2">
        <f>IF(Данные[[#This Row],[ interest_rate]]&gt;$T$1,Данные[[#This Row],[days_birth4]]*$T$2,Данные[[#This Row],[days_birth4]])</f>
        <v>432000</v>
      </c>
      <c r="U257" s="2">
        <f>IF(Данные[[#This Row],[Проверка отказа]]="отказ",0,MAX(Данные[[#This Row],[interest_rate]],$C$1))</f>
        <v>432000</v>
      </c>
      <c r="V257" s="2">
        <f>MROUND(Данные[[#This Row],[Минимум 20000]], 100)</f>
        <v>432000</v>
      </c>
    </row>
    <row r="258" spans="1:22" x14ac:dyDescent="0.25">
      <c r="A258" s="2">
        <f>'1000_заявлений'!A252</f>
        <v>250</v>
      </c>
      <c r="B258" s="4">
        <f>VALUE(SUBSTITUTE('1000_заявлений'!B252, ".", ","))</f>
        <v>0.175577797812107</v>
      </c>
      <c r="C258" s="4">
        <f>VALUE(SUBSTITUTE('1000_заявлений'!C252, ".", ","))</f>
        <v>0.70418615616351199</v>
      </c>
      <c r="D258" s="4">
        <f>VALUE(SUBSTITUTE('1000_заявлений'!D252, ".", ","))</f>
        <v>0.55672739999999998</v>
      </c>
      <c r="E258" s="4">
        <f>VALUE(SUBSTITUTE('1000_заявлений'!E252, ".", ","))</f>
        <v>0.77460490000000004</v>
      </c>
      <c r="F258" s="5">
        <f>VALUE(SUBSTITUTE('1000_заявлений'!F252, ".", ","))</f>
        <v>-7662</v>
      </c>
      <c r="G258" s="5">
        <f>VALUE(SUBSTITUTE('1000_заявлений'!G252, ".", ","))</f>
        <v>-22881</v>
      </c>
      <c r="H258" s="5">
        <f>VALUE(SUBSTITUTE('1000_заявлений'!H252, ".", ","))</f>
        <v>-2601</v>
      </c>
      <c r="I258" s="4">
        <f>VALUE(SUBSTITUTE('1000_заявлений'!I252, ".", ","))</f>
        <v>0.39776</v>
      </c>
      <c r="J258" s="4">
        <f>VALUE(SUBSTITUTE('1000_заявлений'!J252, ".", ","))</f>
        <v>4.4204847528084699</v>
      </c>
      <c r="K258" s="5">
        <f>VALUE(SUBSTITUTE('1000_заявлений'!K252, ".", ","))</f>
        <v>365243</v>
      </c>
      <c r="L258" s="6">
        <f>VALUE(SUBSTITUTE('1000_заявлений'!L252, ".", ","))</f>
        <v>44748</v>
      </c>
      <c r="M258" s="2" t="str">
        <f>IF(Данные[[#This Row],[proba]]&gt;$C$6, "отказ", "одобрение")</f>
        <v>одобрение</v>
      </c>
      <c r="N258" s="7">
        <f>IF(Данные[[#This Row],[proba]]&lt;$D$2,$C$2,IF(Данные[[#This Row],[proba]]&lt;$D$3,$C$3,IF(Данные[[#This Row],[proba]]&gt;$C$6,0,$C$4)))</f>
        <v>300000</v>
      </c>
      <c r="O258" s="2">
        <f>IF(Данные[[#This Row],[weighted_ext_score]]&gt;$O$1,MIN(Данные[[#This Row],[Базовая сумма]]*$O$2,$C$2),IF(Данные[[#This Row],[weighted_ext_score]]&lt;$O$3,Данные[[#This Row],[Базовая сумма]]*$O$4,N258))</f>
        <v>360000</v>
      </c>
      <c r="P2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2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258" s="2">
        <f>ABS(Данные[[#This Row],[days_birth]])/365.2425</f>
        <v>62.646050226904045</v>
      </c>
      <c r="S2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258" s="2">
        <f>IF(Данные[[#This Row],[ interest_rate]]&gt;$T$1,Данные[[#This Row],[days_birth4]]*$T$2,Данные[[#This Row],[days_birth4]])</f>
        <v>378000</v>
      </c>
      <c r="U258" s="2">
        <f>IF(Данные[[#This Row],[Проверка отказа]]="отказ",0,MAX(Данные[[#This Row],[interest_rate]],$C$1))</f>
        <v>378000</v>
      </c>
      <c r="V258" s="2">
        <f>MROUND(Данные[[#This Row],[Минимум 20000]], 100)</f>
        <v>378000</v>
      </c>
    </row>
    <row r="259" spans="1:22" x14ac:dyDescent="0.25">
      <c r="A259" s="2">
        <f>'1000_заявлений'!A253</f>
        <v>251</v>
      </c>
      <c r="B259" s="4">
        <f>VALUE(SUBSTITUTE('1000_заявлений'!B253, ".", ","))</f>
        <v>0.35624573681659299</v>
      </c>
      <c r="C259" s="4">
        <f>VALUE(SUBSTITUTE('1000_заявлений'!C253, ".", ","))</f>
        <v>0.38074586213606898</v>
      </c>
      <c r="D259" s="4">
        <f>VALUE(SUBSTITUTE('1000_заявлений'!D253, ".", ","))</f>
        <v>0.56914880000000001</v>
      </c>
      <c r="E259" s="4">
        <f>VALUE(SUBSTITUTE('1000_заявлений'!E253, ".", ","))</f>
        <v>0.53920089999999998</v>
      </c>
      <c r="F259" s="5">
        <f>VALUE(SUBSTITUTE('1000_заявлений'!F253, ".", ","))</f>
        <v>-6613</v>
      </c>
      <c r="G259" s="5">
        <f>VALUE(SUBSTITUTE('1000_заявлений'!G253, ".", ","))</f>
        <v>-13352</v>
      </c>
      <c r="H259" s="5">
        <f>VALUE(SUBSTITUTE('1000_заявлений'!H253, ".", ","))</f>
        <v>-4500</v>
      </c>
      <c r="I259" s="4">
        <f>VALUE(SUBSTITUTE('1000_заявлений'!I253, ".", ","))</f>
        <v>3.125E-2</v>
      </c>
      <c r="J259" s="4">
        <f>VALUE(SUBSTITUTE('1000_заявлений'!J253, ".", ","))</f>
        <v>10.6209759779781</v>
      </c>
      <c r="K259" s="5">
        <f>VALUE(SUBSTITUTE('1000_заявлений'!K253, ".", ","))</f>
        <v>-6095</v>
      </c>
      <c r="L259" s="6">
        <f>VALUE(SUBSTITUTE('1000_заявлений'!L253, ".", ","))</f>
        <v>7875</v>
      </c>
      <c r="M259" s="2" t="str">
        <f>IF(Данные[[#This Row],[proba]]&gt;$C$6, "отказ", "одобрение")</f>
        <v>отказ</v>
      </c>
      <c r="N259" s="7">
        <f>IF(Данные[[#This Row],[proba]]&lt;$D$2,$C$2,IF(Данные[[#This Row],[proba]]&lt;$D$3,$C$3,IF(Данные[[#This Row],[proba]]&gt;$C$6,0,$C$4)))</f>
        <v>0</v>
      </c>
      <c r="O259" s="2">
        <f>IF(Данные[[#This Row],[weighted_ext_score]]&gt;$O$1,MIN(Данные[[#This Row],[Базовая сумма]]*$O$2,$C$2),IF(Данные[[#This Row],[weighted_ext_score]]&lt;$O$3,Данные[[#This Row],[Базовая сумма]]*$O$4,N259))</f>
        <v>0</v>
      </c>
      <c r="P2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59" s="2">
        <f>ABS(Данные[[#This Row],[days_birth]])/365.2425</f>
        <v>36.556534357310554</v>
      </c>
      <c r="S2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59" s="2">
        <f>IF(Данные[[#This Row],[ interest_rate]]&gt;$T$1,Данные[[#This Row],[days_birth4]]*$T$2,Данные[[#This Row],[days_birth4]])</f>
        <v>0</v>
      </c>
      <c r="U259" s="2">
        <f>IF(Данные[[#This Row],[Проверка отказа]]="отказ",0,MAX(Данные[[#This Row],[interest_rate]],$C$1))</f>
        <v>0</v>
      </c>
      <c r="V259" s="2">
        <f>MROUND(Данные[[#This Row],[Минимум 20000]], 100)</f>
        <v>0</v>
      </c>
    </row>
    <row r="260" spans="1:22" x14ac:dyDescent="0.25">
      <c r="A260" s="2">
        <f>'1000_заявлений'!A254</f>
        <v>252</v>
      </c>
      <c r="B260" s="4">
        <f>VALUE(SUBSTITUTE('1000_заявлений'!B254, ".", ","))</f>
        <v>0.86805683478915296</v>
      </c>
      <c r="C260" s="4">
        <f>VALUE(SUBSTITUTE('1000_заявлений'!C254, ".", ","))</f>
        <v>0.17121597938630101</v>
      </c>
      <c r="D260" s="4">
        <f>VALUE(SUBSTITUTE('1000_заявлений'!D254, ".", ","))</f>
        <v>5.7248769999999997E-2</v>
      </c>
      <c r="E260" s="4">
        <f>VALUE(SUBSTITUTE('1000_заявлений'!E254, ".", ","))</f>
        <v>0.34488782000000001</v>
      </c>
      <c r="F260" s="5">
        <f>VALUE(SUBSTITUTE('1000_заявлений'!F254, ".", ","))</f>
        <v>-3077</v>
      </c>
      <c r="G260" s="5">
        <f>VALUE(SUBSTITUTE('1000_заявлений'!G254, ".", ","))</f>
        <v>-8296</v>
      </c>
      <c r="H260" s="5">
        <f>VALUE(SUBSTITUTE('1000_заявлений'!H254, ".", ","))</f>
        <v>-556</v>
      </c>
      <c r="I260" s="4">
        <f>VALUE(SUBSTITUTE('1000_заявлений'!I254, ".", ","))</f>
        <v>0.20843999999999999</v>
      </c>
      <c r="J260" s="4">
        <f>VALUE(SUBSTITUTE('1000_заявлений'!J254, ".", ","))</f>
        <v>4.0233439542941696</v>
      </c>
      <c r="K260" s="5">
        <f>VALUE(SUBSTITUTE('1000_заявлений'!K254, ".", ","))</f>
        <v>-164</v>
      </c>
      <c r="L260" s="6">
        <f>VALUE(SUBSTITUTE('1000_заявлений'!L254, ".", ","))</f>
        <v>23449.5</v>
      </c>
      <c r="M260" s="2" t="str">
        <f>IF(Данные[[#This Row],[proba]]&gt;$C$6, "отказ", "одобрение")</f>
        <v>отказ</v>
      </c>
      <c r="N260" s="7">
        <f>IF(Данные[[#This Row],[proba]]&lt;$D$2,$C$2,IF(Данные[[#This Row],[proba]]&lt;$D$3,$C$3,IF(Данные[[#This Row],[proba]]&gt;$C$6,0,$C$4)))</f>
        <v>0</v>
      </c>
      <c r="O260" s="2">
        <f>IF(Данные[[#This Row],[weighted_ext_score]]&gt;$O$1,MIN(Данные[[#This Row],[Базовая сумма]]*$O$2,$C$2),IF(Данные[[#This Row],[weighted_ext_score]]&lt;$O$3,Данные[[#This Row],[Базовая сумма]]*$O$4,N260))</f>
        <v>0</v>
      </c>
      <c r="P2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0" s="2">
        <f>ABS(Данные[[#This Row],[days_birth]])/365.2425</f>
        <v>22.713676529976659</v>
      </c>
      <c r="S2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0" s="2">
        <f>IF(Данные[[#This Row],[ interest_rate]]&gt;$T$1,Данные[[#This Row],[days_birth4]]*$T$2,Данные[[#This Row],[days_birth4]])</f>
        <v>0</v>
      </c>
      <c r="U260" s="2">
        <f>IF(Данные[[#This Row],[Проверка отказа]]="отказ",0,MAX(Данные[[#This Row],[interest_rate]],$C$1))</f>
        <v>0</v>
      </c>
      <c r="V260" s="2">
        <f>MROUND(Данные[[#This Row],[Минимум 20000]], 100)</f>
        <v>0</v>
      </c>
    </row>
    <row r="261" spans="1:22" x14ac:dyDescent="0.25">
      <c r="A261" s="2">
        <f>'1000_заявлений'!A255</f>
        <v>253</v>
      </c>
      <c r="B261" s="4">
        <f>VALUE(SUBSTITUTE('1000_заявлений'!B255, ".", ","))</f>
        <v>0.53187765028625</v>
      </c>
      <c r="C261" s="4">
        <f>VALUE(SUBSTITUTE('1000_заявлений'!C255, ".", ","))</f>
        <v>0.48709801643746098</v>
      </c>
      <c r="D261" s="4">
        <f>VALUE(SUBSTITUTE('1000_заявлений'!D255, ".", ","))</f>
        <v>0.30314636</v>
      </c>
      <c r="E261" s="4">
        <f>VALUE(SUBSTITUTE('1000_заявлений'!E255, ".", ","))</f>
        <v>0.5426491</v>
      </c>
      <c r="F261" s="5">
        <f>VALUE(SUBSTITUTE('1000_заявлений'!F255, ".", ","))</f>
        <v>-5716</v>
      </c>
      <c r="G261" s="5">
        <f>VALUE(SUBSTITUTE('1000_заявлений'!G255, ".", ","))</f>
        <v>-17044</v>
      </c>
      <c r="H261" s="5">
        <f>VALUE(SUBSTITUTE('1000_заявлений'!H255, ".", ","))</f>
        <v>-576</v>
      </c>
      <c r="I261" s="4">
        <f>VALUE(SUBSTITUTE('1000_заявлений'!I255, ".", ","))</f>
        <v>0.20050000000000001</v>
      </c>
      <c r="J261" s="4">
        <f>VALUE(SUBSTITUTE('1000_заявлений'!J255, ".", ","))</f>
        <v>1.97520726385054</v>
      </c>
      <c r="K261" s="5">
        <f>VALUE(SUBSTITUTE('1000_заявлений'!K255, ".", ","))</f>
        <v>-2187</v>
      </c>
      <c r="L261" s="6">
        <f>VALUE(SUBSTITUTE('1000_заявлений'!L255, ".", ","))</f>
        <v>36090</v>
      </c>
      <c r="M261" s="2" t="str">
        <f>IF(Данные[[#This Row],[proba]]&gt;$C$6, "отказ", "одобрение")</f>
        <v>отказ</v>
      </c>
      <c r="N261" s="7">
        <f>IF(Данные[[#This Row],[proba]]&lt;$D$2,$C$2,IF(Данные[[#This Row],[proba]]&lt;$D$3,$C$3,IF(Данные[[#This Row],[proba]]&gt;$C$6,0,$C$4)))</f>
        <v>0</v>
      </c>
      <c r="O261" s="2">
        <f>IF(Данные[[#This Row],[weighted_ext_score]]&gt;$O$1,MIN(Данные[[#This Row],[Базовая сумма]]*$O$2,$C$2),IF(Данные[[#This Row],[weighted_ext_score]]&lt;$O$3,Данные[[#This Row],[Базовая сумма]]*$O$4,N261))</f>
        <v>0</v>
      </c>
      <c r="P2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1" s="2">
        <f>ABS(Данные[[#This Row],[days_birth]])/365.2425</f>
        <v>46.664887027112123</v>
      </c>
      <c r="S2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1" s="2">
        <f>IF(Данные[[#This Row],[ interest_rate]]&gt;$T$1,Данные[[#This Row],[days_birth4]]*$T$2,Данные[[#This Row],[days_birth4]])</f>
        <v>0</v>
      </c>
      <c r="U261" s="2">
        <f>IF(Данные[[#This Row],[Проверка отказа]]="отказ",0,MAX(Данные[[#This Row],[interest_rate]],$C$1))</f>
        <v>0</v>
      </c>
      <c r="V261" s="2">
        <f>MROUND(Данные[[#This Row],[Минимум 20000]], 100)</f>
        <v>0</v>
      </c>
    </row>
    <row r="262" spans="1:22" x14ac:dyDescent="0.25">
      <c r="A262" s="2">
        <f>'1000_заявлений'!A256</f>
        <v>254</v>
      </c>
      <c r="B262" s="4">
        <f>VALUE(SUBSTITUTE('1000_заявлений'!B256, ".", ","))</f>
        <v>0.61057789660901196</v>
      </c>
      <c r="C262" s="4">
        <f>VALUE(SUBSTITUTE('1000_заявлений'!C256, ".", ","))</f>
        <v>0.34280579232417502</v>
      </c>
      <c r="D262" s="4">
        <f>VALUE(SUBSTITUTE('1000_заявлений'!D256, ".", ","))</f>
        <v>0.46506920000000002</v>
      </c>
      <c r="E262" s="4">
        <f>VALUE(SUBSTITUTE('1000_заявлений'!E256, ".", ","))</f>
        <v>0.39996419999999999</v>
      </c>
      <c r="F262" s="5">
        <f>VALUE(SUBSTITUTE('1000_заявлений'!F256, ".", ","))</f>
        <v>-1437</v>
      </c>
      <c r="G262" s="5">
        <f>VALUE(SUBSTITUTE('1000_заявлений'!G256, ".", ","))</f>
        <v>-9073</v>
      </c>
      <c r="H262" s="5">
        <f>VALUE(SUBSTITUTE('1000_заявлений'!H256, ".", ","))</f>
        <v>-1751</v>
      </c>
      <c r="I262" s="4">
        <f>VALUE(SUBSTITUTE('1000_заявлений'!I256, ".", ","))</f>
        <v>7.434375E-2</v>
      </c>
      <c r="J262" s="4">
        <f>VALUE(SUBSTITUTE('1000_заявлений'!J256, ".", ","))</f>
        <v>1.0283256470433799</v>
      </c>
      <c r="K262" s="5">
        <f>VALUE(SUBSTITUTE('1000_заявлений'!K256, ".", ","))</f>
        <v>-1032</v>
      </c>
      <c r="L262" s="6">
        <f>VALUE(SUBSTITUTE('1000_заявлений'!L256, ".", ","))</f>
        <v>10705.5</v>
      </c>
      <c r="M262" s="2" t="str">
        <f>IF(Данные[[#This Row],[proba]]&gt;$C$6, "отказ", "одобрение")</f>
        <v>отказ</v>
      </c>
      <c r="N262" s="7">
        <f>IF(Данные[[#This Row],[proba]]&lt;$D$2,$C$2,IF(Данные[[#This Row],[proba]]&lt;$D$3,$C$3,IF(Данные[[#This Row],[proba]]&gt;$C$6,0,$C$4)))</f>
        <v>0</v>
      </c>
      <c r="O262" s="2">
        <f>IF(Данные[[#This Row],[weighted_ext_score]]&gt;$O$1,MIN(Данные[[#This Row],[Базовая сумма]]*$O$2,$C$2),IF(Данные[[#This Row],[weighted_ext_score]]&lt;$O$3,Данные[[#This Row],[Базовая сумма]]*$O$4,N262))</f>
        <v>0</v>
      </c>
      <c r="P2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2" s="2">
        <f>ABS(Данные[[#This Row],[days_birth]])/365.2425</f>
        <v>24.84103027440673</v>
      </c>
      <c r="S2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2" s="2">
        <f>IF(Данные[[#This Row],[ interest_rate]]&gt;$T$1,Данные[[#This Row],[days_birth4]]*$T$2,Данные[[#This Row],[days_birth4]])</f>
        <v>0</v>
      </c>
      <c r="U262" s="2">
        <f>IF(Данные[[#This Row],[Проверка отказа]]="отказ",0,MAX(Данные[[#This Row],[interest_rate]],$C$1))</f>
        <v>0</v>
      </c>
      <c r="V262" s="2">
        <f>MROUND(Данные[[#This Row],[Минимум 20000]], 100)</f>
        <v>0</v>
      </c>
    </row>
    <row r="263" spans="1:22" x14ac:dyDescent="0.25">
      <c r="A263" s="2">
        <f>'1000_заявлений'!A257</f>
        <v>255</v>
      </c>
      <c r="B263" s="4">
        <f>VALUE(SUBSTITUTE('1000_заявлений'!B257, ".", ","))</f>
        <v>0.73322722559378495</v>
      </c>
      <c r="C263" s="4">
        <f>VALUE(SUBSTITUTE('1000_заявлений'!C257, ".", ","))</f>
        <v>0.110176886382475</v>
      </c>
      <c r="D263" s="4">
        <f>VALUE(SUBSTITUTE('1000_заявлений'!D257, ".", ","))</f>
        <v>0.53527623000000002</v>
      </c>
      <c r="E263" s="4">
        <f>VALUE(SUBSTITUTE('1000_заявлений'!E257, ".", ","))</f>
        <v>0.1003587</v>
      </c>
      <c r="F263" s="5">
        <f>VALUE(SUBSTITUTE('1000_заявлений'!F257, ".", ","))</f>
        <v>-2795</v>
      </c>
      <c r="G263" s="5">
        <f>VALUE(SUBSTITUTE('1000_заявлений'!G257, ".", ","))</f>
        <v>-13136</v>
      </c>
      <c r="H263" s="5">
        <f>VALUE(SUBSTITUTE('1000_заявлений'!H257, ".", ","))</f>
        <v>-4088</v>
      </c>
      <c r="I263" s="4">
        <f>VALUE(SUBSTITUTE('1000_заявлений'!I257, ".", ","))</f>
        <v>0.136523076923076</v>
      </c>
      <c r="J263" s="4">
        <f>VALUE(SUBSTITUTE('1000_заявлений'!J257, ".", ","))</f>
        <v>2.7750950317010799</v>
      </c>
      <c r="K263" s="5">
        <f>VALUE(SUBSTITUTE('1000_заявлений'!K257, ".", ","))</f>
        <v>-5574</v>
      </c>
      <c r="L263" s="6">
        <f>VALUE(SUBSTITUTE('1000_заявлений'!L257, ".", ","))</f>
        <v>39933</v>
      </c>
      <c r="M263" s="2" t="str">
        <f>IF(Данные[[#This Row],[proba]]&gt;$C$6, "отказ", "одобрение")</f>
        <v>отказ</v>
      </c>
      <c r="N263" s="7">
        <f>IF(Данные[[#This Row],[proba]]&lt;$D$2,$C$2,IF(Данные[[#This Row],[proba]]&lt;$D$3,$C$3,IF(Данные[[#This Row],[proba]]&gt;$C$6,0,$C$4)))</f>
        <v>0</v>
      </c>
      <c r="O263" s="2">
        <f>IF(Данные[[#This Row],[weighted_ext_score]]&gt;$O$1,MIN(Данные[[#This Row],[Базовая сумма]]*$O$2,$C$2),IF(Данные[[#This Row],[weighted_ext_score]]&lt;$O$3,Данные[[#This Row],[Базовая сумма]]*$O$4,N263))</f>
        <v>0</v>
      </c>
      <c r="P2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3" s="2">
        <f>ABS(Данные[[#This Row],[days_birth]])/365.2425</f>
        <v>35.965146443801032</v>
      </c>
      <c r="S2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3" s="2">
        <f>IF(Данные[[#This Row],[ interest_rate]]&gt;$T$1,Данные[[#This Row],[days_birth4]]*$T$2,Данные[[#This Row],[days_birth4]])</f>
        <v>0</v>
      </c>
      <c r="U263" s="2">
        <f>IF(Данные[[#This Row],[Проверка отказа]]="отказ",0,MAX(Данные[[#This Row],[interest_rate]],$C$1))</f>
        <v>0</v>
      </c>
      <c r="V263" s="2">
        <f>MROUND(Данные[[#This Row],[Минимум 20000]], 100)</f>
        <v>0</v>
      </c>
    </row>
    <row r="264" spans="1:22" x14ac:dyDescent="0.25">
      <c r="A264" s="2">
        <f>'1000_заявлений'!A258</f>
        <v>256</v>
      </c>
      <c r="B264" s="4">
        <f>VALUE(SUBSTITUTE('1000_заявлений'!B258, ".", ","))</f>
        <v>0.52882755664301995</v>
      </c>
      <c r="C264" s="4">
        <f>VALUE(SUBSTITUTE('1000_заявлений'!C258, ".", ","))</f>
        <v>0.33069958303486602</v>
      </c>
      <c r="D264" s="4">
        <f>VALUE(SUBSTITUTE('1000_заявлений'!D258, ".", ","))</f>
        <v>0.58323795</v>
      </c>
      <c r="E264" s="4">
        <f>VALUE(SUBSTITUTE('1000_заявлений'!E258, ".", ","))</f>
        <v>0.36920776999999999</v>
      </c>
      <c r="F264" s="5">
        <f>VALUE(SUBSTITUTE('1000_заявлений'!F258, ".", ","))</f>
        <v>-1048</v>
      </c>
      <c r="G264" s="5">
        <f>VALUE(SUBSTITUTE('1000_заявлений'!G258, ".", ","))</f>
        <v>-14209</v>
      </c>
      <c r="H264" s="5">
        <f>VALUE(SUBSTITUTE('1000_заявлений'!H258, ".", ","))</f>
        <v>-605</v>
      </c>
      <c r="I264" s="4">
        <f>VALUE(SUBSTITUTE('1000_заявлений'!I258, ".", ","))</f>
        <v>0.105253333333333</v>
      </c>
      <c r="J264" s="4">
        <f>VALUE(SUBSTITUTE('1000_заявлений'!J258, ".", ","))</f>
        <v>1.9788160340687699</v>
      </c>
      <c r="K264" s="5">
        <f>VALUE(SUBSTITUTE('1000_заявлений'!K258, ".", ","))</f>
        <v>-2323</v>
      </c>
      <c r="L264" s="6">
        <f>VALUE(SUBSTITUTE('1000_заявлений'!L258, ".", ","))</f>
        <v>35523</v>
      </c>
      <c r="M264" s="2" t="str">
        <f>IF(Данные[[#This Row],[proba]]&gt;$C$6, "отказ", "одобрение")</f>
        <v>отказ</v>
      </c>
      <c r="N264" s="7">
        <f>IF(Данные[[#This Row],[proba]]&lt;$D$2,$C$2,IF(Данные[[#This Row],[proba]]&lt;$D$3,$C$3,IF(Данные[[#This Row],[proba]]&gt;$C$6,0,$C$4)))</f>
        <v>0</v>
      </c>
      <c r="O264" s="2">
        <f>IF(Данные[[#This Row],[weighted_ext_score]]&gt;$O$1,MIN(Данные[[#This Row],[Базовая сумма]]*$O$2,$C$2),IF(Данные[[#This Row],[weighted_ext_score]]&lt;$O$3,Данные[[#This Row],[Базовая сумма]]*$O$4,N264))</f>
        <v>0</v>
      </c>
      <c r="P2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4" s="2">
        <f>ABS(Данные[[#This Row],[days_birth]])/365.2425</f>
        <v>38.902920662299707</v>
      </c>
      <c r="S2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4" s="2">
        <f>IF(Данные[[#This Row],[ interest_rate]]&gt;$T$1,Данные[[#This Row],[days_birth4]]*$T$2,Данные[[#This Row],[days_birth4]])</f>
        <v>0</v>
      </c>
      <c r="U264" s="2">
        <f>IF(Данные[[#This Row],[Проверка отказа]]="отказ",0,MAX(Данные[[#This Row],[interest_rate]],$C$1))</f>
        <v>0</v>
      </c>
      <c r="V264" s="2">
        <f>MROUND(Данные[[#This Row],[Минимум 20000]], 100)</f>
        <v>0</v>
      </c>
    </row>
    <row r="265" spans="1:22" x14ac:dyDescent="0.25">
      <c r="A265" s="2">
        <f>'1000_заявлений'!A259</f>
        <v>257</v>
      </c>
      <c r="B265" s="4">
        <f>VALUE(SUBSTITUTE('1000_заявлений'!B259, ".", ","))</f>
        <v>0.34384003042292599</v>
      </c>
      <c r="C265" s="4">
        <f>VALUE(SUBSTITUTE('1000_заявлений'!C259, ".", ","))</f>
        <v>0.37416063113123599</v>
      </c>
      <c r="D265" s="4">
        <f>VALUE(SUBSTITUTE('1000_заявлений'!D259, ".", ","))</f>
        <v>0.51549535999999996</v>
      </c>
      <c r="E265" s="4">
        <f>VALUE(SUBSTITUTE('1000_заявлений'!E259, ".", ","))</f>
        <v>0.57872089999999998</v>
      </c>
      <c r="F265" s="5">
        <f>VALUE(SUBSTITUTE('1000_заявлений'!F259, ".", ","))</f>
        <v>-7129</v>
      </c>
      <c r="G265" s="5">
        <f>VALUE(SUBSTITUTE('1000_заявлений'!G259, ".", ","))</f>
        <v>-20739</v>
      </c>
      <c r="H265" s="5">
        <f>VALUE(SUBSTITUTE('1000_заявлений'!H259, ".", ","))</f>
        <v>-4215</v>
      </c>
      <c r="I265" s="4">
        <f>VALUE(SUBSTITUTE('1000_заявлений'!I259, ".", ","))</f>
        <v>0.1757</v>
      </c>
      <c r="J265" s="4">
        <f>VALUE(SUBSTITUTE('1000_заявлений'!J259, ".", ","))</f>
        <v>5.3380953232158701</v>
      </c>
      <c r="K265" s="5">
        <f>VALUE(SUBSTITUTE('1000_заявлений'!K259, ".", ","))</f>
        <v>365243</v>
      </c>
      <c r="L265" s="6">
        <f>VALUE(SUBSTITUTE('1000_заявлений'!L259, ".", ","))</f>
        <v>15813</v>
      </c>
      <c r="M265" s="2" t="str">
        <f>IF(Данные[[#This Row],[proba]]&gt;$C$6, "отказ", "одобрение")</f>
        <v>отказ</v>
      </c>
      <c r="N265" s="7">
        <f>IF(Данные[[#This Row],[proba]]&lt;$D$2,$C$2,IF(Данные[[#This Row],[proba]]&lt;$D$3,$C$3,IF(Данные[[#This Row],[proba]]&gt;$C$6,0,$C$4)))</f>
        <v>0</v>
      </c>
      <c r="O265" s="2">
        <f>IF(Данные[[#This Row],[weighted_ext_score]]&gt;$O$1,MIN(Данные[[#This Row],[Базовая сумма]]*$O$2,$C$2),IF(Данные[[#This Row],[weighted_ext_score]]&lt;$O$3,Данные[[#This Row],[Базовая сумма]]*$O$4,N265))</f>
        <v>0</v>
      </c>
      <c r="P2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5" s="2">
        <f>ABS(Данные[[#This Row],[days_birth]])/365.2425</f>
        <v>56.781453417934657</v>
      </c>
      <c r="S2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5" s="2">
        <f>IF(Данные[[#This Row],[ interest_rate]]&gt;$T$1,Данные[[#This Row],[days_birth4]]*$T$2,Данные[[#This Row],[days_birth4]])</f>
        <v>0</v>
      </c>
      <c r="U265" s="2">
        <f>IF(Данные[[#This Row],[Проверка отказа]]="отказ",0,MAX(Данные[[#This Row],[interest_rate]],$C$1))</f>
        <v>0</v>
      </c>
      <c r="V265" s="2">
        <f>MROUND(Данные[[#This Row],[Минимум 20000]], 100)</f>
        <v>0</v>
      </c>
    </row>
    <row r="266" spans="1:22" x14ac:dyDescent="0.25">
      <c r="A266" s="2">
        <f>'1000_заявлений'!A260</f>
        <v>258</v>
      </c>
      <c r="B266" s="4">
        <f>VALUE(SUBSTITUTE('1000_заявлений'!B260, ".", ","))</f>
        <v>0.52034564654802495</v>
      </c>
      <c r="C266" s="4">
        <f>VALUE(SUBSTITUTE('1000_заявлений'!C260, ".", ","))</f>
        <v>0.263826163636941</v>
      </c>
      <c r="D266" s="4">
        <f>VALUE(SUBSTITUTE('1000_заявлений'!D260, ".", ","))</f>
        <v>0.60755729999999997</v>
      </c>
      <c r="E266" s="4">
        <f>VALUE(SUBSTITUTE('1000_заявлений'!E260, ".", ","))</f>
        <v>0.13593315</v>
      </c>
      <c r="F266" s="5">
        <f>VALUE(SUBSTITUTE('1000_заявлений'!F260, ".", ","))</f>
        <v>-406</v>
      </c>
      <c r="G266" s="5">
        <f>VALUE(SUBSTITUTE('1000_заявлений'!G260, ".", ","))</f>
        <v>-23906</v>
      </c>
      <c r="H266" s="5">
        <f>VALUE(SUBSTITUTE('1000_заявлений'!H260, ".", ","))</f>
        <v>-4416</v>
      </c>
      <c r="I266" s="4">
        <f>VALUE(SUBSTITUTE('1000_заявлений'!I260, ".", ","))</f>
        <v>0.129761904761904</v>
      </c>
      <c r="J266" s="4">
        <f>VALUE(SUBSTITUTE('1000_заявлений'!J260, ".", ","))</f>
        <v>1.8595419896718199</v>
      </c>
      <c r="K266" s="5">
        <f>VALUE(SUBSTITUTE('1000_заявлений'!K260, ".", ","))</f>
        <v>365243</v>
      </c>
      <c r="L266" s="6">
        <f>VALUE(SUBSTITUTE('1000_заявлений'!L260, ".", ","))</f>
        <v>24525</v>
      </c>
      <c r="M266" s="2" t="str">
        <f>IF(Данные[[#This Row],[proba]]&gt;$C$6, "отказ", "одобрение")</f>
        <v>отказ</v>
      </c>
      <c r="N266" s="7">
        <f>IF(Данные[[#This Row],[proba]]&lt;$D$2,$C$2,IF(Данные[[#This Row],[proba]]&lt;$D$3,$C$3,IF(Данные[[#This Row],[proba]]&gt;$C$6,0,$C$4)))</f>
        <v>0</v>
      </c>
      <c r="O266" s="2">
        <f>IF(Данные[[#This Row],[weighted_ext_score]]&gt;$O$1,MIN(Данные[[#This Row],[Базовая сумма]]*$O$2,$C$2),IF(Данные[[#This Row],[weighted_ext_score]]&lt;$O$3,Данные[[#This Row],[Базовая сумма]]*$O$4,N266))</f>
        <v>0</v>
      </c>
      <c r="P2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6" s="2">
        <f>ABS(Данные[[#This Row],[days_birth]])/365.2425</f>
        <v>65.452404909067269</v>
      </c>
      <c r="S2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6" s="2">
        <f>IF(Данные[[#This Row],[ interest_rate]]&gt;$T$1,Данные[[#This Row],[days_birth4]]*$T$2,Данные[[#This Row],[days_birth4]])</f>
        <v>0</v>
      </c>
      <c r="U266" s="2">
        <f>IF(Данные[[#This Row],[Проверка отказа]]="отказ",0,MAX(Данные[[#This Row],[interest_rate]],$C$1))</f>
        <v>0</v>
      </c>
      <c r="V266" s="2">
        <f>MROUND(Данные[[#This Row],[Минимум 20000]], 100)</f>
        <v>0</v>
      </c>
    </row>
    <row r="267" spans="1:22" x14ac:dyDescent="0.25">
      <c r="A267" s="2">
        <f>'1000_заявлений'!A261</f>
        <v>259</v>
      </c>
      <c r="B267" s="4">
        <f>VALUE(SUBSTITUTE('1000_заявлений'!B261, ".", ","))</f>
        <v>0.23497722202427601</v>
      </c>
      <c r="C267" s="4">
        <f>VALUE(SUBSTITUTE('1000_заявлений'!C261, ".", ","))</f>
        <v>0.46210730507978898</v>
      </c>
      <c r="D267" s="4">
        <f>VALUE(SUBSTITUTE('1000_заявлений'!D261, ".", ","))</f>
        <v>0.832785</v>
      </c>
      <c r="E267" s="4">
        <f>VALUE(SUBSTITUTE('1000_заявлений'!E261, ".", ","))</f>
        <v>0.49608219999999997</v>
      </c>
      <c r="F267" s="5">
        <f>VALUE(SUBSTITUTE('1000_заявлений'!F261, ".", ","))</f>
        <v>-236</v>
      </c>
      <c r="G267" s="5">
        <f>VALUE(SUBSTITUTE('1000_заявлений'!G261, ".", ","))</f>
        <v>-17790</v>
      </c>
      <c r="H267" s="5">
        <f>VALUE(SUBSTITUTE('1000_заявлений'!H261, ".", ","))</f>
        <v>-1325</v>
      </c>
      <c r="I267" s="4">
        <f>VALUE(SUBSTITUTE('1000_заявлений'!I261, ".", ","))</f>
        <v>9.0425531914893595E-2</v>
      </c>
      <c r="J267" s="4">
        <f>VALUE(SUBSTITUTE('1000_заявлений'!J261, ".", ","))</f>
        <v>10.6209759779781</v>
      </c>
      <c r="K267" s="5">
        <f>VALUE(SUBSTITUTE('1000_заявлений'!K261, ".", ","))</f>
        <v>-4515</v>
      </c>
      <c r="L267" s="6">
        <f>VALUE(SUBSTITUTE('1000_заявлений'!L261, ".", ","))</f>
        <v>19125</v>
      </c>
      <c r="M267" s="2" t="str">
        <f>IF(Данные[[#This Row],[proba]]&gt;$C$6, "отказ", "одобрение")</f>
        <v>одобрение</v>
      </c>
      <c r="N267" s="7">
        <f>IF(Данные[[#This Row],[proba]]&lt;$D$2,$C$2,IF(Данные[[#This Row],[proba]]&lt;$D$3,$C$3,IF(Данные[[#This Row],[proba]]&gt;$C$6,0,$C$4)))</f>
        <v>100000</v>
      </c>
      <c r="O267" s="2">
        <f>IF(Данные[[#This Row],[weighted_ext_score]]&gt;$O$1,MIN(Данные[[#This Row],[Базовая сумма]]*$O$2,$C$2),IF(Данные[[#This Row],[weighted_ext_score]]&lt;$O$3,Данные[[#This Row],[Базовая сумма]]*$O$4,N267))</f>
        <v>100000</v>
      </c>
      <c r="P2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67" s="2">
        <f>ABS(Данные[[#This Row],[days_birth]])/365.2425</f>
        <v>48.70736565432555</v>
      </c>
      <c r="S2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267" s="2">
        <f>IF(Данные[[#This Row],[ interest_rate]]&gt;$T$1,Данные[[#This Row],[days_birth4]]*$T$2,Данные[[#This Row],[days_birth4]])</f>
        <v>144000</v>
      </c>
      <c r="U267" s="2">
        <f>IF(Данные[[#This Row],[Проверка отказа]]="отказ",0,MAX(Данные[[#This Row],[interest_rate]],$C$1))</f>
        <v>144000</v>
      </c>
      <c r="V267" s="2">
        <f>MROUND(Данные[[#This Row],[Минимум 20000]], 100)</f>
        <v>144000</v>
      </c>
    </row>
    <row r="268" spans="1:22" x14ac:dyDescent="0.25">
      <c r="A268" s="2">
        <f>'1000_заявлений'!A262</f>
        <v>260</v>
      </c>
      <c r="B268" s="4">
        <f>VALUE(SUBSTITUTE('1000_заявлений'!B262, ".", ","))</f>
        <v>0.71608091597151102</v>
      </c>
      <c r="C268" s="4">
        <f>VALUE(SUBSTITUTE('1000_заявлений'!C262, ".", ","))</f>
        <v>0.352680119660641</v>
      </c>
      <c r="D268" s="4">
        <f>VALUE(SUBSTITUTE('1000_заявлений'!D262, ".", ","))</f>
        <v>0.19977057000000001</v>
      </c>
      <c r="E268" s="4">
        <f>VALUE(SUBSTITUTE('1000_заявлений'!E262, ".", ","))</f>
        <v>0.41542960000000001</v>
      </c>
      <c r="F268" s="5">
        <f>VALUE(SUBSTITUTE('1000_заявлений'!F262, ".", ","))</f>
        <v>-1578</v>
      </c>
      <c r="G268" s="5">
        <f>VALUE(SUBSTITUTE('1000_заявлений'!G262, ".", ","))</f>
        <v>-13063</v>
      </c>
      <c r="H268" s="5">
        <f>VALUE(SUBSTITUTE('1000_заявлений'!H262, ".", ","))</f>
        <v>-4259</v>
      </c>
      <c r="I268" s="4">
        <f>VALUE(SUBSTITUTE('1000_заявлений'!I262, ".", ","))</f>
        <v>0.25127777777777699</v>
      </c>
      <c r="J268" s="4">
        <f>VALUE(SUBSTITUTE('1000_заявлений'!J262, ".", ","))</f>
        <v>3.1037740112282699</v>
      </c>
      <c r="K268" s="5">
        <f>VALUE(SUBSTITUTE('1000_заявлений'!K262, ".", ","))</f>
        <v>-1661</v>
      </c>
      <c r="L268" s="6">
        <f>VALUE(SUBSTITUTE('1000_заявлений'!L262, ".", ","))</f>
        <v>20353.5</v>
      </c>
      <c r="M268" s="2" t="str">
        <f>IF(Данные[[#This Row],[proba]]&gt;$C$6, "отказ", "одобрение")</f>
        <v>отказ</v>
      </c>
      <c r="N268" s="7">
        <f>IF(Данные[[#This Row],[proba]]&lt;$D$2,$C$2,IF(Данные[[#This Row],[proba]]&lt;$D$3,$C$3,IF(Данные[[#This Row],[proba]]&gt;$C$6,0,$C$4)))</f>
        <v>0</v>
      </c>
      <c r="O268" s="2">
        <f>IF(Данные[[#This Row],[weighted_ext_score]]&gt;$O$1,MIN(Данные[[#This Row],[Базовая сумма]]*$O$2,$C$2),IF(Данные[[#This Row],[weighted_ext_score]]&lt;$O$3,Данные[[#This Row],[Базовая сумма]]*$O$4,N268))</f>
        <v>0</v>
      </c>
      <c r="P2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8" s="2">
        <f>ABS(Данные[[#This Row],[days_birth]])/365.2425</f>
        <v>35.765279232290872</v>
      </c>
      <c r="S2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8" s="2">
        <f>IF(Данные[[#This Row],[ interest_rate]]&gt;$T$1,Данные[[#This Row],[days_birth4]]*$T$2,Данные[[#This Row],[days_birth4]])</f>
        <v>0</v>
      </c>
      <c r="U268" s="2">
        <f>IF(Данные[[#This Row],[Проверка отказа]]="отказ",0,MAX(Данные[[#This Row],[interest_rate]],$C$1))</f>
        <v>0</v>
      </c>
      <c r="V268" s="2">
        <f>MROUND(Данные[[#This Row],[Минимум 20000]], 100)</f>
        <v>0</v>
      </c>
    </row>
    <row r="269" spans="1:22" x14ac:dyDescent="0.25">
      <c r="A269" s="2">
        <f>'1000_заявлений'!A263</f>
        <v>261</v>
      </c>
      <c r="B269" s="4">
        <f>VALUE(SUBSTITUTE('1000_заявлений'!B263, ".", ","))</f>
        <v>0.74253451349478605</v>
      </c>
      <c r="C269" s="4">
        <f>VALUE(SUBSTITUTE('1000_заявлений'!C263, ".", ","))</f>
        <v>0.18677806942747199</v>
      </c>
      <c r="D269" s="4">
        <f>VALUE(SUBSTITUTE('1000_заявлений'!D263, ".", ","))</f>
        <v>0.28371188000000003</v>
      </c>
      <c r="E269" s="4">
        <f>VALUE(SUBSTITUTE('1000_заявлений'!E263, ".", ","))</f>
        <v>0.25947976</v>
      </c>
      <c r="F269" s="5">
        <f>VALUE(SUBSTITUTE('1000_заявлений'!F263, ".", ","))</f>
        <v>-7691</v>
      </c>
      <c r="G269" s="5">
        <f>VALUE(SUBSTITUTE('1000_заявлений'!G263, ".", ","))</f>
        <v>-14044</v>
      </c>
      <c r="H269" s="5">
        <f>VALUE(SUBSTITUTE('1000_заявлений'!H263, ".", ","))</f>
        <v>-4384</v>
      </c>
      <c r="I269" s="4">
        <f>VALUE(SUBSTITUTE('1000_заявлений'!I263, ".", ","))</f>
        <v>0.16054285714285699</v>
      </c>
      <c r="J269" s="4">
        <f>VALUE(SUBSTITUTE('1000_заявлений'!J263, ".", ","))</f>
        <v>3.0093898518013402</v>
      </c>
      <c r="K269" s="5">
        <f>VALUE(SUBSTITUTE('1000_заявлений'!K263, ".", ","))</f>
        <v>-2756</v>
      </c>
      <c r="L269" s="6">
        <f>VALUE(SUBSTITUTE('1000_заявлений'!L263, ".", ","))</f>
        <v>50571</v>
      </c>
      <c r="M269" s="2" t="str">
        <f>IF(Данные[[#This Row],[proba]]&gt;$C$6, "отказ", "одобрение")</f>
        <v>отказ</v>
      </c>
      <c r="N269" s="7">
        <f>IF(Данные[[#This Row],[proba]]&lt;$D$2,$C$2,IF(Данные[[#This Row],[proba]]&lt;$D$3,$C$3,IF(Данные[[#This Row],[proba]]&gt;$C$6,0,$C$4)))</f>
        <v>0</v>
      </c>
      <c r="O269" s="2">
        <f>IF(Данные[[#This Row],[weighted_ext_score]]&gt;$O$1,MIN(Данные[[#This Row],[Базовая сумма]]*$O$2,$C$2),IF(Данные[[#This Row],[weighted_ext_score]]&lt;$O$3,Данные[[#This Row],[Базовая сумма]]*$O$4,N269))</f>
        <v>0</v>
      </c>
      <c r="P2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69" s="2">
        <f>ABS(Данные[[#This Row],[days_birth]])/365.2425</f>
        <v>38.4511660061466</v>
      </c>
      <c r="S2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69" s="2">
        <f>IF(Данные[[#This Row],[ interest_rate]]&gt;$T$1,Данные[[#This Row],[days_birth4]]*$T$2,Данные[[#This Row],[days_birth4]])</f>
        <v>0</v>
      </c>
      <c r="U269" s="2">
        <f>IF(Данные[[#This Row],[Проверка отказа]]="отказ",0,MAX(Данные[[#This Row],[interest_rate]],$C$1))</f>
        <v>0</v>
      </c>
      <c r="V269" s="2">
        <f>MROUND(Данные[[#This Row],[Минимум 20000]], 100)</f>
        <v>0</v>
      </c>
    </row>
    <row r="270" spans="1:22" x14ac:dyDescent="0.25">
      <c r="A270" s="2">
        <f>'1000_заявлений'!A264</f>
        <v>262</v>
      </c>
      <c r="B270" s="4">
        <f>VALUE(SUBSTITUTE('1000_заявлений'!B264, ".", ","))</f>
        <v>0.80077690904065302</v>
      </c>
      <c r="C270" s="4">
        <f>VALUE(SUBSTITUTE('1000_заявлений'!C264, ".", ","))</f>
        <v>0.15773149024557001</v>
      </c>
      <c r="D270" s="4">
        <f>VALUE(SUBSTITUTE('1000_заявлений'!D264, ".", ","))</f>
        <v>6.6439174000000004E-2</v>
      </c>
      <c r="E270" s="4">
        <f>VALUE(SUBSTITUTE('1000_заявлений'!E264, ".", ","))</f>
        <v>0.41218327999999999</v>
      </c>
      <c r="F270" s="5">
        <f>VALUE(SUBSTITUTE('1000_заявлений'!F264, ".", ","))</f>
        <v>-1858</v>
      </c>
      <c r="G270" s="5">
        <f>VALUE(SUBSTITUTE('1000_заявлений'!G264, ".", ","))</f>
        <v>-12916</v>
      </c>
      <c r="H270" s="5">
        <f>VALUE(SUBSTITUTE('1000_заявлений'!H264, ".", ","))</f>
        <v>-5578</v>
      </c>
      <c r="I270" s="4">
        <f>VALUE(SUBSTITUTE('1000_заявлений'!I264, ".", ","))</f>
        <v>0.19672000000000001</v>
      </c>
      <c r="J270" s="4">
        <f>VALUE(SUBSTITUTE('1000_заявлений'!J264, ".", ","))</f>
        <v>8.0647584926503502</v>
      </c>
      <c r="K270" s="5">
        <f>VALUE(SUBSTITUTE('1000_заявлений'!K264, ".", ","))</f>
        <v>-692</v>
      </c>
      <c r="L270" s="6">
        <f>VALUE(SUBSTITUTE('1000_заявлений'!L264, ".", ","))</f>
        <v>22131</v>
      </c>
      <c r="M270" s="2" t="str">
        <f>IF(Данные[[#This Row],[proba]]&gt;$C$6, "отказ", "одобрение")</f>
        <v>отказ</v>
      </c>
      <c r="N270" s="7">
        <f>IF(Данные[[#This Row],[proba]]&lt;$D$2,$C$2,IF(Данные[[#This Row],[proba]]&lt;$D$3,$C$3,IF(Данные[[#This Row],[proba]]&gt;$C$6,0,$C$4)))</f>
        <v>0</v>
      </c>
      <c r="O270" s="2">
        <f>IF(Данные[[#This Row],[weighted_ext_score]]&gt;$O$1,MIN(Данные[[#This Row],[Базовая сумма]]*$O$2,$C$2),IF(Данные[[#This Row],[weighted_ext_score]]&lt;$O$3,Данные[[#This Row],[Базовая сумма]]*$O$4,N270))</f>
        <v>0</v>
      </c>
      <c r="P2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0" s="2">
        <f>ABS(Данные[[#This Row],[days_birth]])/365.2425</f>
        <v>35.362806902263564</v>
      </c>
      <c r="S2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0" s="2">
        <f>IF(Данные[[#This Row],[ interest_rate]]&gt;$T$1,Данные[[#This Row],[days_birth4]]*$T$2,Данные[[#This Row],[days_birth4]])</f>
        <v>0</v>
      </c>
      <c r="U270" s="2">
        <f>IF(Данные[[#This Row],[Проверка отказа]]="отказ",0,MAX(Данные[[#This Row],[interest_rate]],$C$1))</f>
        <v>0</v>
      </c>
      <c r="V270" s="2">
        <f>MROUND(Данные[[#This Row],[Минимум 20000]], 100)</f>
        <v>0</v>
      </c>
    </row>
    <row r="271" spans="1:22" x14ac:dyDescent="0.25">
      <c r="A271" s="2">
        <f>'1000_заявлений'!A265</f>
        <v>263</v>
      </c>
      <c r="B271" s="4">
        <f>VALUE(SUBSTITUTE('1000_заявлений'!B265, ".", ","))</f>
        <v>0.53239642846868296</v>
      </c>
      <c r="C271" s="4">
        <f>VALUE(SUBSTITUTE('1000_заявлений'!C265, ".", ","))</f>
        <v>0.26857304335926702</v>
      </c>
      <c r="D271" s="4">
        <f>VALUE(SUBSTITUTE('1000_заявлений'!D265, ".", ","))</f>
        <v>0.30314636</v>
      </c>
      <c r="E271" s="4">
        <f>VALUE(SUBSTITUTE('1000_заявлений'!E265, ".", ","))</f>
        <v>0.4899715</v>
      </c>
      <c r="F271" s="5">
        <f>VALUE(SUBSTITUTE('1000_заявлений'!F265, ".", ","))</f>
        <v>-6905</v>
      </c>
      <c r="G271" s="5">
        <f>VALUE(SUBSTITUTE('1000_заявлений'!G265, ".", ","))</f>
        <v>-23142</v>
      </c>
      <c r="H271" s="5">
        <f>VALUE(SUBSTITUTE('1000_заявлений'!H265, ".", ","))</f>
        <v>-2023</v>
      </c>
      <c r="I271" s="4">
        <f>VALUE(SUBSTITUTE('1000_заявлений'!I265, ".", ","))</f>
        <v>4.2468085106382898E-2</v>
      </c>
      <c r="J271" s="4">
        <f>VALUE(SUBSTITUTE('1000_заявлений'!J265, ".", ","))</f>
        <v>2.7786277482288102</v>
      </c>
      <c r="K271" s="5">
        <f>VALUE(SUBSTITUTE('1000_заявлений'!K265, ".", ","))</f>
        <v>365243</v>
      </c>
      <c r="L271" s="6">
        <f>VALUE(SUBSTITUTE('1000_заявлений'!L265, ".", ","))</f>
        <v>8982</v>
      </c>
      <c r="M271" s="2" t="str">
        <f>IF(Данные[[#This Row],[proba]]&gt;$C$6, "отказ", "одобрение")</f>
        <v>отказ</v>
      </c>
      <c r="N271" s="7">
        <f>IF(Данные[[#This Row],[proba]]&lt;$D$2,$C$2,IF(Данные[[#This Row],[proba]]&lt;$D$3,$C$3,IF(Данные[[#This Row],[proba]]&gt;$C$6,0,$C$4)))</f>
        <v>0</v>
      </c>
      <c r="O271" s="2">
        <f>IF(Данные[[#This Row],[weighted_ext_score]]&gt;$O$1,MIN(Данные[[#This Row],[Базовая сумма]]*$O$2,$C$2),IF(Данные[[#This Row],[weighted_ext_score]]&lt;$O$3,Данные[[#This Row],[Базовая сумма]]*$O$4,N271))</f>
        <v>0</v>
      </c>
      <c r="P2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1" s="2">
        <f>ABS(Данные[[#This Row],[days_birth]])/365.2425</f>
        <v>63.360643955728044</v>
      </c>
      <c r="S2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1" s="2">
        <f>IF(Данные[[#This Row],[ interest_rate]]&gt;$T$1,Данные[[#This Row],[days_birth4]]*$T$2,Данные[[#This Row],[days_birth4]])</f>
        <v>0</v>
      </c>
      <c r="U271" s="2">
        <f>IF(Данные[[#This Row],[Проверка отказа]]="отказ",0,MAX(Данные[[#This Row],[interest_rate]],$C$1))</f>
        <v>0</v>
      </c>
      <c r="V271" s="2">
        <f>MROUND(Данные[[#This Row],[Минимум 20000]], 100)</f>
        <v>0</v>
      </c>
    </row>
    <row r="272" spans="1:22" x14ac:dyDescent="0.25">
      <c r="A272" s="2">
        <f>'1000_заявлений'!A266</f>
        <v>264</v>
      </c>
      <c r="B272" s="4">
        <f>VALUE(SUBSTITUTE('1000_заявлений'!B266, ".", ","))</f>
        <v>0.38132262851161203</v>
      </c>
      <c r="C272" s="4">
        <f>VALUE(SUBSTITUTE('1000_заявлений'!C266, ".", ","))</f>
        <v>0.48409372513749299</v>
      </c>
      <c r="D272" s="4">
        <f>VALUE(SUBSTITUTE('1000_заявлений'!D266, ".", ","))</f>
        <v>0.53886270000000003</v>
      </c>
      <c r="E272" s="4">
        <f>VALUE(SUBSTITUTE('1000_заявлений'!E266, ".", ","))</f>
        <v>0.58434039999999998</v>
      </c>
      <c r="F272" s="5">
        <f>VALUE(SUBSTITUTE('1000_заявлений'!F266, ".", ","))</f>
        <v>-5375</v>
      </c>
      <c r="G272" s="5">
        <f>VALUE(SUBSTITUTE('1000_заявлений'!G266, ".", ","))</f>
        <v>-11258</v>
      </c>
      <c r="H272" s="5">
        <f>VALUE(SUBSTITUTE('1000_заявлений'!H266, ".", ","))</f>
        <v>-3675</v>
      </c>
      <c r="I272" s="4">
        <f>VALUE(SUBSTITUTE('1000_заявлений'!I266, ".", ","))</f>
        <v>0.107044444444444</v>
      </c>
      <c r="J272" s="4">
        <f>VALUE(SUBSTITUTE('1000_заявлений'!J266, ".", ","))</f>
        <v>2.0651442936309601</v>
      </c>
      <c r="K272" s="5">
        <f>VALUE(SUBSTITUTE('1000_заявлений'!K266, ".", ","))</f>
        <v>-790</v>
      </c>
      <c r="L272" s="6">
        <f>VALUE(SUBSTITUTE('1000_заявлений'!L266, ".", ","))</f>
        <v>21676.5</v>
      </c>
      <c r="M272" s="2" t="str">
        <f>IF(Данные[[#This Row],[proba]]&gt;$C$6, "отказ", "одобрение")</f>
        <v>отказ</v>
      </c>
      <c r="N272" s="7">
        <f>IF(Данные[[#This Row],[proba]]&lt;$D$2,$C$2,IF(Данные[[#This Row],[proba]]&lt;$D$3,$C$3,IF(Данные[[#This Row],[proba]]&gt;$C$6,0,$C$4)))</f>
        <v>0</v>
      </c>
      <c r="O272" s="2">
        <f>IF(Данные[[#This Row],[weighted_ext_score]]&gt;$O$1,MIN(Данные[[#This Row],[Базовая сумма]]*$O$2,$C$2),IF(Данные[[#This Row],[weighted_ext_score]]&lt;$O$3,Данные[[#This Row],[Базовая сумма]]*$O$4,N272))</f>
        <v>0</v>
      </c>
      <c r="P2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2" s="2">
        <f>ABS(Данные[[#This Row],[days_birth]])/365.2425</f>
        <v>30.823357084676619</v>
      </c>
      <c r="S2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2" s="2">
        <f>IF(Данные[[#This Row],[ interest_rate]]&gt;$T$1,Данные[[#This Row],[days_birth4]]*$T$2,Данные[[#This Row],[days_birth4]])</f>
        <v>0</v>
      </c>
      <c r="U272" s="2">
        <f>IF(Данные[[#This Row],[Проверка отказа]]="отказ",0,MAX(Данные[[#This Row],[interest_rate]],$C$1))</f>
        <v>0</v>
      </c>
      <c r="V272" s="2">
        <f>MROUND(Данные[[#This Row],[Минимум 20000]], 100)</f>
        <v>0</v>
      </c>
    </row>
    <row r="273" spans="1:22" x14ac:dyDescent="0.25">
      <c r="A273" s="2">
        <f>'1000_заявлений'!A267</f>
        <v>265</v>
      </c>
      <c r="B273" s="4">
        <f>VALUE(SUBSTITUTE('1000_заявлений'!B267, ".", ","))</f>
        <v>0.45520462924527599</v>
      </c>
      <c r="C273" s="4">
        <f>VALUE(SUBSTITUTE('1000_заявлений'!C267, ".", ","))</f>
        <v>0.30501229700617</v>
      </c>
      <c r="D273" s="4">
        <f>VALUE(SUBSTITUTE('1000_заявлений'!D267, ".", ","))</f>
        <v>0.54959650000000004</v>
      </c>
      <c r="E273" s="4">
        <f>VALUE(SUBSTITUTE('1000_заявлений'!E267, ".", ","))</f>
        <v>0.32752683999999999</v>
      </c>
      <c r="F273" s="5">
        <f>VALUE(SUBSTITUTE('1000_заявлений'!F267, ".", ","))</f>
        <v>-10219</v>
      </c>
      <c r="G273" s="5">
        <f>VALUE(SUBSTITUTE('1000_заявлений'!G267, ".", ","))</f>
        <v>-22676</v>
      </c>
      <c r="H273" s="5">
        <f>VALUE(SUBSTITUTE('1000_заявлений'!H267, ".", ","))</f>
        <v>-4377</v>
      </c>
      <c r="I273" s="4">
        <f>VALUE(SUBSTITUTE('1000_заявлений'!I267, ".", ","))</f>
        <v>0.26397777777777698</v>
      </c>
      <c r="J273" s="4">
        <f>VALUE(SUBSTITUTE('1000_заявлений'!J267, ".", ","))</f>
        <v>1.8568382236701</v>
      </c>
      <c r="K273" s="5">
        <f>VALUE(SUBSTITUTE('1000_заявлений'!K267, ".", ","))</f>
        <v>365243</v>
      </c>
      <c r="L273" s="6">
        <f>VALUE(SUBSTITUTE('1000_заявлений'!L267, ".", ","))</f>
        <v>53455.5</v>
      </c>
      <c r="M273" s="2" t="str">
        <f>IF(Данные[[#This Row],[proba]]&gt;$C$6, "отказ", "одобрение")</f>
        <v>отказ</v>
      </c>
      <c r="N273" s="7">
        <f>IF(Данные[[#This Row],[proba]]&lt;$D$2,$C$2,IF(Данные[[#This Row],[proba]]&lt;$D$3,$C$3,IF(Данные[[#This Row],[proba]]&gt;$C$6,0,$C$4)))</f>
        <v>0</v>
      </c>
      <c r="O273" s="2">
        <f>IF(Данные[[#This Row],[weighted_ext_score]]&gt;$O$1,MIN(Данные[[#This Row],[Базовая сумма]]*$O$2,$C$2),IF(Данные[[#This Row],[weighted_ext_score]]&lt;$O$3,Данные[[#This Row],[Базовая сумма]]*$O$4,N273))</f>
        <v>0</v>
      </c>
      <c r="P2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3" s="2">
        <f>ABS(Данные[[#This Row],[days_birth]])/365.2425</f>
        <v>62.084779290471396</v>
      </c>
      <c r="S2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3" s="2">
        <f>IF(Данные[[#This Row],[ interest_rate]]&gt;$T$1,Данные[[#This Row],[days_birth4]]*$T$2,Данные[[#This Row],[days_birth4]])</f>
        <v>0</v>
      </c>
      <c r="U273" s="2">
        <f>IF(Данные[[#This Row],[Проверка отказа]]="отказ",0,MAX(Данные[[#This Row],[interest_rate]],$C$1))</f>
        <v>0</v>
      </c>
      <c r="V273" s="2">
        <f>MROUND(Данные[[#This Row],[Минимум 20000]], 100)</f>
        <v>0</v>
      </c>
    </row>
    <row r="274" spans="1:22" x14ac:dyDescent="0.25">
      <c r="A274" s="2">
        <f>'1000_заявлений'!A268</f>
        <v>266</v>
      </c>
      <c r="B274" s="4">
        <f>VALUE(SUBSTITUTE('1000_заявлений'!B268, ".", ","))</f>
        <v>0.73486514201072195</v>
      </c>
      <c r="C274" s="4">
        <f>VALUE(SUBSTITUTE('1000_заявлений'!C268, ".", ","))</f>
        <v>0.310026508737339</v>
      </c>
      <c r="D274" s="4">
        <f>VALUE(SUBSTITUTE('1000_заявлений'!D268, ".", ","))</f>
        <v>0.15568936999999999</v>
      </c>
      <c r="E274" s="4">
        <f>VALUE(SUBSTITUTE('1000_заявлений'!E268, ".", ","))</f>
        <v>0.27794312999999998</v>
      </c>
      <c r="F274" s="5">
        <f>VALUE(SUBSTITUTE('1000_заявлений'!F268, ".", ","))</f>
        <v>-3656</v>
      </c>
      <c r="G274" s="5">
        <f>VALUE(SUBSTITUTE('1000_заявлений'!G268, ".", ","))</f>
        <v>-12716</v>
      </c>
      <c r="H274" s="5">
        <f>VALUE(SUBSTITUTE('1000_заявлений'!H268, ".", ","))</f>
        <v>-4202</v>
      </c>
      <c r="I274" s="4">
        <f>VALUE(SUBSTITUTE('1000_заявлений'!I268, ".", ","))</f>
        <v>0.12437037037037001</v>
      </c>
      <c r="J274" s="4">
        <f>VALUE(SUBSTITUTE('1000_заявлений'!J268, ".", ","))</f>
        <v>11.3195715047456</v>
      </c>
      <c r="K274" s="5">
        <f>VALUE(SUBSTITUTE('1000_заявлений'!K268, ".", ","))</f>
        <v>-393</v>
      </c>
      <c r="L274" s="6">
        <f>VALUE(SUBSTITUTE('1000_заявлений'!L268, ".", ","))</f>
        <v>15111</v>
      </c>
      <c r="M274" s="2" t="str">
        <f>IF(Данные[[#This Row],[proba]]&gt;$C$6, "отказ", "одобрение")</f>
        <v>отказ</v>
      </c>
      <c r="N274" s="7">
        <f>IF(Данные[[#This Row],[proba]]&lt;$D$2,$C$2,IF(Данные[[#This Row],[proba]]&lt;$D$3,$C$3,IF(Данные[[#This Row],[proba]]&gt;$C$6,0,$C$4)))</f>
        <v>0</v>
      </c>
      <c r="O274" s="2">
        <f>IF(Данные[[#This Row],[weighted_ext_score]]&gt;$O$1,MIN(Данные[[#This Row],[Базовая сумма]]*$O$2,$C$2),IF(Данные[[#This Row],[weighted_ext_score]]&lt;$O$3,Данные[[#This Row],[Базовая сумма]]*$O$4,N274))</f>
        <v>0</v>
      </c>
      <c r="P2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4" s="2">
        <f>ABS(Данные[[#This Row],[days_birth]])/365.2425</f>
        <v>34.815225500865864</v>
      </c>
      <c r="S2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4" s="2">
        <f>IF(Данные[[#This Row],[ interest_rate]]&gt;$T$1,Данные[[#This Row],[days_birth4]]*$T$2,Данные[[#This Row],[days_birth4]])</f>
        <v>0</v>
      </c>
      <c r="U274" s="2">
        <f>IF(Данные[[#This Row],[Проверка отказа]]="отказ",0,MAX(Данные[[#This Row],[interest_rate]],$C$1))</f>
        <v>0</v>
      </c>
      <c r="V274" s="2">
        <f>MROUND(Данные[[#This Row],[Минимум 20000]], 100)</f>
        <v>0</v>
      </c>
    </row>
    <row r="275" spans="1:22" x14ac:dyDescent="0.25">
      <c r="A275" s="2">
        <f>'1000_заявлений'!A269</f>
        <v>267</v>
      </c>
      <c r="B275" s="4">
        <f>VALUE(SUBSTITUTE('1000_заявлений'!B269, ".", ","))</f>
        <v>0.65850077755770398</v>
      </c>
      <c r="C275" s="4">
        <f>VALUE(SUBSTITUTE('1000_заявлений'!C269, ".", ","))</f>
        <v>0.25165968591465598</v>
      </c>
      <c r="D275" s="4">
        <f>VALUE(SUBSTITUTE('1000_заявлений'!D269, ".", ","))</f>
        <v>0.10479462</v>
      </c>
      <c r="E275" s="4">
        <f>VALUE(SUBSTITUTE('1000_заявлений'!E269, ".", ","))</f>
        <v>0.65898369999999995</v>
      </c>
      <c r="F275" s="5">
        <f>VALUE(SUBSTITUTE('1000_заявлений'!F269, ".", ","))</f>
        <v>-7989</v>
      </c>
      <c r="G275" s="5">
        <f>VALUE(SUBSTITUTE('1000_заявлений'!G269, ".", ","))</f>
        <v>-19253</v>
      </c>
      <c r="H275" s="5">
        <f>VALUE(SUBSTITUTE('1000_заявлений'!H269, ".", ","))</f>
        <v>-2807</v>
      </c>
      <c r="I275" s="4">
        <f>VALUE(SUBSTITUTE('1000_заявлений'!I269, ".", ","))</f>
        <v>0.141222222222222</v>
      </c>
      <c r="J275" s="4">
        <f>VALUE(SUBSTITUTE('1000_заявлений'!J269, ".", ","))</f>
        <v>1.6164343355108099</v>
      </c>
      <c r="K275" s="5">
        <f>VALUE(SUBSTITUTE('1000_заявлений'!K269, ".", ","))</f>
        <v>-8863</v>
      </c>
      <c r="L275" s="6">
        <f>VALUE(SUBSTITUTE('1000_заявлений'!L269, ".", ","))</f>
        <v>28597.5</v>
      </c>
      <c r="M275" s="2" t="str">
        <f>IF(Данные[[#This Row],[proba]]&gt;$C$6, "отказ", "одобрение")</f>
        <v>отказ</v>
      </c>
      <c r="N275" s="7">
        <f>IF(Данные[[#This Row],[proba]]&lt;$D$2,$C$2,IF(Данные[[#This Row],[proba]]&lt;$D$3,$C$3,IF(Данные[[#This Row],[proba]]&gt;$C$6,0,$C$4)))</f>
        <v>0</v>
      </c>
      <c r="O275" s="2">
        <f>IF(Данные[[#This Row],[weighted_ext_score]]&gt;$O$1,MIN(Данные[[#This Row],[Базовая сумма]]*$O$2,$C$2),IF(Данные[[#This Row],[weighted_ext_score]]&lt;$O$3,Данные[[#This Row],[Базовая сумма]]*$O$4,N275))</f>
        <v>0</v>
      </c>
      <c r="P2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5" s="2">
        <f>ABS(Данные[[#This Row],[days_birth]])/365.2425</f>
        <v>52.712923605549733</v>
      </c>
      <c r="S2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5" s="2">
        <f>IF(Данные[[#This Row],[ interest_rate]]&gt;$T$1,Данные[[#This Row],[days_birth4]]*$T$2,Данные[[#This Row],[days_birth4]])</f>
        <v>0</v>
      </c>
      <c r="U275" s="2">
        <f>IF(Данные[[#This Row],[Проверка отказа]]="отказ",0,MAX(Данные[[#This Row],[interest_rate]],$C$1))</f>
        <v>0</v>
      </c>
      <c r="V275" s="2">
        <f>MROUND(Данные[[#This Row],[Минимум 20000]], 100)</f>
        <v>0</v>
      </c>
    </row>
    <row r="276" spans="1:22" x14ac:dyDescent="0.25">
      <c r="A276" s="2">
        <f>'1000_заявлений'!A270</f>
        <v>268</v>
      </c>
      <c r="B276" s="4">
        <f>VALUE(SUBSTITUTE('1000_заявлений'!B270, ".", ","))</f>
        <v>0.51518763545824398</v>
      </c>
      <c r="C276" s="4">
        <f>VALUE(SUBSTITUTE('1000_заявлений'!C270, ".", ","))</f>
        <v>0.34908198694196801</v>
      </c>
      <c r="D276" s="4">
        <f>VALUE(SUBSTITUTE('1000_заявлений'!D270, ".", ","))</f>
        <v>0.49746889999999999</v>
      </c>
      <c r="E276" s="4">
        <f>VALUE(SUBSTITUTE('1000_заявлений'!E270, ".", ","))</f>
        <v>0.52150629999999998</v>
      </c>
      <c r="F276" s="5">
        <f>VALUE(SUBSTITUTE('1000_заявлений'!F270, ".", ","))</f>
        <v>-5050</v>
      </c>
      <c r="G276" s="5">
        <f>VALUE(SUBSTITUTE('1000_заявлений'!G270, ".", ","))</f>
        <v>-10880</v>
      </c>
      <c r="H276" s="5">
        <f>VALUE(SUBSTITUTE('1000_заявлений'!H270, ".", ","))</f>
        <v>-3482</v>
      </c>
      <c r="I276" s="4">
        <f>VALUE(SUBSTITUTE('1000_заявлений'!I270, ".", ","))</f>
        <v>0.1613</v>
      </c>
      <c r="J276" s="4">
        <f>VALUE(SUBSTITUTE('1000_заявлений'!J270, ".", ","))</f>
        <v>2.3522351798308501</v>
      </c>
      <c r="K276" s="5">
        <f>VALUE(SUBSTITUTE('1000_заявлений'!K270, ".", ","))</f>
        <v>-3237</v>
      </c>
      <c r="L276" s="6">
        <f>VALUE(SUBSTITUTE('1000_заявлений'!L270, ".", ","))</f>
        <v>21775.5</v>
      </c>
      <c r="M276" s="2" t="str">
        <f>IF(Данные[[#This Row],[proba]]&gt;$C$6, "отказ", "одобрение")</f>
        <v>отказ</v>
      </c>
      <c r="N276" s="7">
        <f>IF(Данные[[#This Row],[proba]]&lt;$D$2,$C$2,IF(Данные[[#This Row],[proba]]&lt;$D$3,$C$3,IF(Данные[[#This Row],[proba]]&gt;$C$6,0,$C$4)))</f>
        <v>0</v>
      </c>
      <c r="O276" s="2">
        <f>IF(Данные[[#This Row],[weighted_ext_score]]&gt;$O$1,MIN(Данные[[#This Row],[Базовая сумма]]*$O$2,$C$2),IF(Данные[[#This Row],[weighted_ext_score]]&lt;$O$3,Данные[[#This Row],[Базовая сумма]]*$O$4,N276))</f>
        <v>0</v>
      </c>
      <c r="P2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6" s="2">
        <f>ABS(Данные[[#This Row],[days_birth]])/365.2425</f>
        <v>29.788428236034964</v>
      </c>
      <c r="S2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6" s="2">
        <f>IF(Данные[[#This Row],[ interest_rate]]&gt;$T$1,Данные[[#This Row],[days_birth4]]*$T$2,Данные[[#This Row],[days_birth4]])</f>
        <v>0</v>
      </c>
      <c r="U276" s="2">
        <f>IF(Данные[[#This Row],[Проверка отказа]]="отказ",0,MAX(Данные[[#This Row],[interest_rate]],$C$1))</f>
        <v>0</v>
      </c>
      <c r="V276" s="2">
        <f>MROUND(Данные[[#This Row],[Минимум 20000]], 100)</f>
        <v>0</v>
      </c>
    </row>
    <row r="277" spans="1:22" x14ac:dyDescent="0.25">
      <c r="A277" s="2">
        <f>'1000_заявлений'!A271</f>
        <v>269</v>
      </c>
      <c r="B277" s="4">
        <f>VALUE(SUBSTITUTE('1000_заявлений'!B271, ".", ","))</f>
        <v>0.75167370591898997</v>
      </c>
      <c r="C277" s="4">
        <f>VALUE(SUBSTITUTE('1000_заявлений'!C271, ".", ","))</f>
        <v>1.7149893000006002E-2</v>
      </c>
      <c r="D277" s="4">
        <f>VALUE(SUBSTITUTE('1000_заявлений'!D271, ".", ","))</f>
        <v>0.53527623000000002</v>
      </c>
      <c r="E277" s="4">
        <f>VALUE(SUBSTITUTE('1000_заявлений'!E271, ".", ","))</f>
        <v>5.2870269999999997E-2</v>
      </c>
      <c r="F277" s="5">
        <f>VALUE(SUBSTITUTE('1000_заявлений'!F271, ".", ","))</f>
        <v>-5737</v>
      </c>
      <c r="G277" s="5">
        <f>VALUE(SUBSTITUTE('1000_заявлений'!G271, ".", ","))</f>
        <v>-16137</v>
      </c>
      <c r="H277" s="5">
        <f>VALUE(SUBSTITUTE('1000_заявлений'!H271, ".", ","))</f>
        <v>-3782</v>
      </c>
      <c r="I277" s="4">
        <f>VALUE(SUBSTITUTE('1000_заявлений'!I271, ".", ","))</f>
        <v>4.054E-2</v>
      </c>
      <c r="J277" s="4">
        <f>VALUE(SUBSTITUTE('1000_заявлений'!J271, ".", ","))</f>
        <v>5.8951712363725903</v>
      </c>
      <c r="K277" s="5">
        <f>VALUE(SUBSTITUTE('1000_заявлений'!K271, ".", ","))</f>
        <v>-6619</v>
      </c>
      <c r="L277" s="6">
        <f>VALUE(SUBSTITUTE('1000_заявлений'!L271, ".", ","))</f>
        <v>9121.5</v>
      </c>
      <c r="M277" s="2" t="str">
        <f>IF(Данные[[#This Row],[proba]]&gt;$C$6, "отказ", "одобрение")</f>
        <v>отказ</v>
      </c>
      <c r="N277" s="7">
        <f>IF(Данные[[#This Row],[proba]]&lt;$D$2,$C$2,IF(Данные[[#This Row],[proba]]&lt;$D$3,$C$3,IF(Данные[[#This Row],[proba]]&gt;$C$6,0,$C$4)))</f>
        <v>0</v>
      </c>
      <c r="O277" s="2">
        <f>IF(Данные[[#This Row],[weighted_ext_score]]&gt;$O$1,MIN(Данные[[#This Row],[Базовая сумма]]*$O$2,$C$2),IF(Данные[[#This Row],[weighted_ext_score]]&lt;$O$3,Данные[[#This Row],[Базовая сумма]]*$O$4,N277))</f>
        <v>0</v>
      </c>
      <c r="P2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7" s="2">
        <f>ABS(Данные[[#This Row],[days_birth]])/365.2425</f>
        <v>44.18160537177355</v>
      </c>
      <c r="S2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7" s="2">
        <f>IF(Данные[[#This Row],[ interest_rate]]&gt;$T$1,Данные[[#This Row],[days_birth4]]*$T$2,Данные[[#This Row],[days_birth4]])</f>
        <v>0</v>
      </c>
      <c r="U277" s="2">
        <f>IF(Данные[[#This Row],[Проверка отказа]]="отказ",0,MAX(Данные[[#This Row],[interest_rate]],$C$1))</f>
        <v>0</v>
      </c>
      <c r="V277" s="2">
        <f>MROUND(Данные[[#This Row],[Минимум 20000]], 100)</f>
        <v>0</v>
      </c>
    </row>
    <row r="278" spans="1:22" x14ac:dyDescent="0.25">
      <c r="A278" s="2">
        <f>'1000_заявлений'!A272</f>
        <v>270</v>
      </c>
      <c r="B278" s="4">
        <f>VALUE(SUBSTITUTE('1000_заявлений'!B272, ".", ","))</f>
        <v>0.26991444252171998</v>
      </c>
      <c r="C278" s="4">
        <f>VALUE(SUBSTITUTE('1000_заявлений'!C272, ".", ","))</f>
        <v>0.580724817851897</v>
      </c>
      <c r="D278" s="4">
        <f>VALUE(SUBSTITUTE('1000_заявлений'!D272, ".", ","))</f>
        <v>0.41184854999999998</v>
      </c>
      <c r="E278" s="4">
        <f>VALUE(SUBSTITUTE('1000_заявлений'!E272, ".", ","))</f>
        <v>0.71455144999999998</v>
      </c>
      <c r="F278" s="5">
        <f>VALUE(SUBSTITUTE('1000_заявлений'!F272, ".", ","))</f>
        <v>-3819</v>
      </c>
      <c r="G278" s="5">
        <f>VALUE(SUBSTITUTE('1000_заявлений'!G272, ".", ","))</f>
        <v>-19223</v>
      </c>
      <c r="H278" s="5">
        <f>VALUE(SUBSTITUTE('1000_заявлений'!H272, ".", ","))</f>
        <v>-2692</v>
      </c>
      <c r="I278" s="4">
        <f>VALUE(SUBSTITUTE('1000_заявлений'!I272, ".", ","))</f>
        <v>4.4999999999999998E-2</v>
      </c>
      <c r="J278" s="4">
        <f>VALUE(SUBSTITUTE('1000_заявлений'!J272, ".", ","))</f>
        <v>10.6209759779781</v>
      </c>
      <c r="K278" s="5">
        <f>VALUE(SUBSTITUTE('1000_заявлений'!K272, ".", ","))</f>
        <v>-3078</v>
      </c>
      <c r="L278" s="6">
        <f>VALUE(SUBSTITUTE('1000_заявлений'!L272, ".", ","))</f>
        <v>10125</v>
      </c>
      <c r="M278" s="2" t="str">
        <f>IF(Данные[[#This Row],[proba]]&gt;$C$6, "отказ", "одобрение")</f>
        <v>одобрение</v>
      </c>
      <c r="N278" s="7">
        <f>IF(Данные[[#This Row],[proba]]&lt;$D$2,$C$2,IF(Данные[[#This Row],[proba]]&lt;$D$3,$C$3,IF(Данные[[#This Row],[proba]]&gt;$C$6,0,$C$4)))</f>
        <v>100000</v>
      </c>
      <c r="O278" s="2">
        <f>IF(Данные[[#This Row],[weighted_ext_score]]&gt;$O$1,MIN(Данные[[#This Row],[Базовая сумма]]*$O$2,$C$2),IF(Данные[[#This Row],[weighted_ext_score]]&lt;$O$3,Данные[[#This Row],[Базовая сумма]]*$O$4,N278))</f>
        <v>100000</v>
      </c>
      <c r="P2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78" s="2">
        <f>ABS(Данные[[#This Row],[days_birth]])/365.2425</f>
        <v>52.630786395340081</v>
      </c>
      <c r="S2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278" s="2">
        <f>IF(Данные[[#This Row],[ interest_rate]]&gt;$T$1,Данные[[#This Row],[days_birth4]]*$T$2,Данные[[#This Row],[days_birth4]])</f>
        <v>151200</v>
      </c>
      <c r="U278" s="2">
        <f>IF(Данные[[#This Row],[Проверка отказа]]="отказ",0,MAX(Данные[[#This Row],[interest_rate]],$C$1))</f>
        <v>151200</v>
      </c>
      <c r="V278" s="2">
        <f>MROUND(Данные[[#This Row],[Минимум 20000]], 100)</f>
        <v>151200</v>
      </c>
    </row>
    <row r="279" spans="1:22" x14ac:dyDescent="0.25">
      <c r="A279" s="2">
        <f>'1000_заявлений'!A273</f>
        <v>271</v>
      </c>
      <c r="B279" s="4">
        <f>VALUE(SUBSTITUTE('1000_заявлений'!B273, ".", ","))</f>
        <v>0.34397693397940199</v>
      </c>
      <c r="C279" s="4">
        <f>VALUE(SUBSTITUTE('1000_заявлений'!C273, ".", ","))</f>
        <v>0.47292214017384399</v>
      </c>
      <c r="D279" s="4">
        <f>VALUE(SUBSTITUTE('1000_заявлений'!D273, ".", ","))</f>
        <v>0.47405130000000001</v>
      </c>
      <c r="E279" s="4">
        <f>VALUE(SUBSTITUTE('1000_заявлений'!E273, ".", ","))</f>
        <v>0.71391320000000003</v>
      </c>
      <c r="F279" s="5">
        <f>VALUE(SUBSTITUTE('1000_заявлений'!F273, ".", ","))</f>
        <v>-8436</v>
      </c>
      <c r="G279" s="5">
        <f>VALUE(SUBSTITUTE('1000_заявлений'!G273, ".", ","))</f>
        <v>-13216</v>
      </c>
      <c r="H279" s="5">
        <f>VALUE(SUBSTITUTE('1000_заявлений'!H273, ".", ","))</f>
        <v>-3498</v>
      </c>
      <c r="I279" s="4">
        <f>VALUE(SUBSTITUTE('1000_заявлений'!I273, ".", ","))</f>
        <v>7.2760000000000005E-2</v>
      </c>
      <c r="J279" s="4">
        <f>VALUE(SUBSTITUTE('1000_заявлений'!J273, ".", ","))</f>
        <v>3.0071994408637601</v>
      </c>
      <c r="K279" s="5">
        <f>VALUE(SUBSTITUTE('1000_заявлений'!K273, ".", ","))</f>
        <v>-4762</v>
      </c>
      <c r="L279" s="6">
        <f>VALUE(SUBSTITUTE('1000_заявлений'!L273, ".", ","))</f>
        <v>16371</v>
      </c>
      <c r="M279" s="2" t="str">
        <f>IF(Данные[[#This Row],[proba]]&gt;$C$6, "отказ", "одобрение")</f>
        <v>отказ</v>
      </c>
      <c r="N279" s="7">
        <f>IF(Данные[[#This Row],[proba]]&lt;$D$2,$C$2,IF(Данные[[#This Row],[proba]]&lt;$D$3,$C$3,IF(Данные[[#This Row],[proba]]&gt;$C$6,0,$C$4)))</f>
        <v>0</v>
      </c>
      <c r="O279" s="2">
        <f>IF(Данные[[#This Row],[weighted_ext_score]]&gt;$O$1,MIN(Данные[[#This Row],[Базовая сумма]]*$O$2,$C$2),IF(Данные[[#This Row],[weighted_ext_score]]&lt;$O$3,Данные[[#This Row],[Базовая сумма]]*$O$4,N279))</f>
        <v>0</v>
      </c>
      <c r="P2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79" s="2">
        <f>ABS(Данные[[#This Row],[days_birth]])/365.2425</f>
        <v>36.184179004360118</v>
      </c>
      <c r="S2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79" s="2">
        <f>IF(Данные[[#This Row],[ interest_rate]]&gt;$T$1,Данные[[#This Row],[days_birth4]]*$T$2,Данные[[#This Row],[days_birth4]])</f>
        <v>0</v>
      </c>
      <c r="U279" s="2">
        <f>IF(Данные[[#This Row],[Проверка отказа]]="отказ",0,MAX(Данные[[#This Row],[interest_rate]],$C$1))</f>
        <v>0</v>
      </c>
      <c r="V279" s="2">
        <f>MROUND(Данные[[#This Row],[Минимум 20000]], 100)</f>
        <v>0</v>
      </c>
    </row>
    <row r="280" spans="1:22" x14ac:dyDescent="0.25">
      <c r="A280" s="2">
        <f>'1000_заявлений'!A274</f>
        <v>272</v>
      </c>
      <c r="B280" s="4">
        <f>VALUE(SUBSTITUTE('1000_заявлений'!B274, ".", ","))</f>
        <v>0.23835272152814099</v>
      </c>
      <c r="C280" s="4">
        <f>VALUE(SUBSTITUTE('1000_заявлений'!C274, ".", ","))</f>
        <v>0.48884237208570502</v>
      </c>
      <c r="D280" s="4">
        <f>VALUE(SUBSTITUTE('1000_заявлений'!D274, ".", ","))</f>
        <v>0.6769925</v>
      </c>
      <c r="E280" s="4">
        <f>VALUE(SUBSTITUTE('1000_заявлений'!E274, ".", ","))</f>
        <v>0.75220359999999997</v>
      </c>
      <c r="F280" s="5">
        <f>VALUE(SUBSTITUTE('1000_заявлений'!F274, ".", ","))</f>
        <v>-7600</v>
      </c>
      <c r="G280" s="5">
        <f>VALUE(SUBSTITUTE('1000_заявлений'!G274, ".", ","))</f>
        <v>-17461</v>
      </c>
      <c r="H280" s="5">
        <f>VALUE(SUBSTITUTE('1000_заявлений'!H274, ".", ","))</f>
        <v>-999</v>
      </c>
      <c r="I280" s="4">
        <f>VALUE(SUBSTITUTE('1000_заявлений'!I274, ".", ","))</f>
        <v>0.11665</v>
      </c>
      <c r="J280" s="4">
        <f>VALUE(SUBSTITUTE('1000_заявлений'!J274, ".", ","))</f>
        <v>2.8111765647518001</v>
      </c>
      <c r="K280" s="5">
        <f>VALUE(SUBSTITUTE('1000_заявлений'!K274, ".", ","))</f>
        <v>-3372</v>
      </c>
      <c r="L280" s="6">
        <f>VALUE(SUBSTITUTE('1000_заявлений'!L274, ".", ","))</f>
        <v>20997</v>
      </c>
      <c r="M280" s="2" t="str">
        <f>IF(Данные[[#This Row],[proba]]&gt;$C$6, "отказ", "одобрение")</f>
        <v>одобрение</v>
      </c>
      <c r="N280" s="7">
        <f>IF(Данные[[#This Row],[proba]]&lt;$D$2,$C$2,IF(Данные[[#This Row],[proba]]&lt;$D$3,$C$3,IF(Данные[[#This Row],[proba]]&gt;$C$6,0,$C$4)))</f>
        <v>100000</v>
      </c>
      <c r="O280" s="2">
        <f>IF(Данные[[#This Row],[weighted_ext_score]]&gt;$O$1,MIN(Данные[[#This Row],[Базовая сумма]]*$O$2,$C$2),IF(Данные[[#This Row],[weighted_ext_score]]&lt;$O$3,Данные[[#This Row],[Базовая сумма]]*$O$4,N280))</f>
        <v>100000</v>
      </c>
      <c r="P2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280" s="2">
        <f>ABS(Данные[[#This Row],[days_birth]])/365.2425</f>
        <v>47.806594249026332</v>
      </c>
      <c r="S2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280" s="2">
        <f>IF(Данные[[#This Row],[ interest_rate]]&gt;$T$1,Данные[[#This Row],[days_birth4]]*$T$2,Данные[[#This Row],[days_birth4]])</f>
        <v>144000</v>
      </c>
      <c r="U280" s="2">
        <f>IF(Данные[[#This Row],[Проверка отказа]]="отказ",0,MAX(Данные[[#This Row],[interest_rate]],$C$1))</f>
        <v>144000</v>
      </c>
      <c r="V280" s="2">
        <f>MROUND(Данные[[#This Row],[Минимум 20000]], 100)</f>
        <v>144000</v>
      </c>
    </row>
    <row r="281" spans="1:22" x14ac:dyDescent="0.25">
      <c r="A281" s="2">
        <f>'1000_заявлений'!A275</f>
        <v>273</v>
      </c>
      <c r="B281" s="4">
        <f>VALUE(SUBSTITUTE('1000_заявлений'!B275, ".", ","))</f>
        <v>0.38450060081287502</v>
      </c>
      <c r="C281" s="4">
        <f>VALUE(SUBSTITUTE('1000_заявлений'!C275, ".", ","))</f>
        <v>0.32961692373541002</v>
      </c>
      <c r="D281" s="4">
        <f>VALUE(SUBSTITUTE('1000_заявлений'!D275, ".", ","))</f>
        <v>0.50828700000000004</v>
      </c>
      <c r="E281" s="4">
        <f>VALUE(SUBSTITUTE('1000_заявлений'!E275, ".", ","))</f>
        <v>0.44943705</v>
      </c>
      <c r="F281" s="5">
        <f>VALUE(SUBSTITUTE('1000_заявлений'!F275, ".", ","))</f>
        <v>-6075</v>
      </c>
      <c r="G281" s="5">
        <f>VALUE(SUBSTITUTE('1000_заявлений'!G275, ".", ","))</f>
        <v>-23955</v>
      </c>
      <c r="H281" s="5">
        <f>VALUE(SUBSTITUTE('1000_заявлений'!H275, ".", ","))</f>
        <v>-4931</v>
      </c>
      <c r="I281" s="4">
        <f>VALUE(SUBSTITUTE('1000_заявлений'!I275, ".", ","))</f>
        <v>0.369466666666666</v>
      </c>
      <c r="J281" s="4">
        <f>VALUE(SUBSTITUTE('1000_заявлений'!J275, ".", ","))</f>
        <v>16.188849297297001</v>
      </c>
      <c r="K281" s="5">
        <f>VALUE(SUBSTITUTE('1000_заявлений'!K275, ".", ","))</f>
        <v>365243</v>
      </c>
      <c r="L281" s="6">
        <f>VALUE(SUBSTITUTE('1000_заявлений'!L275, ".", ","))</f>
        <v>24939</v>
      </c>
      <c r="M281" s="2" t="str">
        <f>IF(Данные[[#This Row],[proba]]&gt;$C$6, "отказ", "одобрение")</f>
        <v>отказ</v>
      </c>
      <c r="N281" s="7">
        <f>IF(Данные[[#This Row],[proba]]&lt;$D$2,$C$2,IF(Данные[[#This Row],[proba]]&lt;$D$3,$C$3,IF(Данные[[#This Row],[proba]]&gt;$C$6,0,$C$4)))</f>
        <v>0</v>
      </c>
      <c r="O281" s="2">
        <f>IF(Данные[[#This Row],[weighted_ext_score]]&gt;$O$1,MIN(Данные[[#This Row],[Базовая сумма]]*$O$2,$C$2),IF(Данные[[#This Row],[weighted_ext_score]]&lt;$O$3,Данные[[#This Row],[Базовая сумма]]*$O$4,N281))</f>
        <v>0</v>
      </c>
      <c r="P2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1" s="2">
        <f>ABS(Данные[[#This Row],[days_birth]])/365.2425</f>
        <v>65.5865623524097</v>
      </c>
      <c r="S2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1" s="2">
        <f>IF(Данные[[#This Row],[ interest_rate]]&gt;$T$1,Данные[[#This Row],[days_birth4]]*$T$2,Данные[[#This Row],[days_birth4]])</f>
        <v>0</v>
      </c>
      <c r="U281" s="2">
        <f>IF(Данные[[#This Row],[Проверка отказа]]="отказ",0,MAX(Данные[[#This Row],[interest_rate]],$C$1))</f>
        <v>0</v>
      </c>
      <c r="V281" s="2">
        <f>MROUND(Данные[[#This Row],[Минимум 20000]], 100)</f>
        <v>0</v>
      </c>
    </row>
    <row r="282" spans="1:22" x14ac:dyDescent="0.25">
      <c r="A282" s="2">
        <f>'1000_заявлений'!A276</f>
        <v>274</v>
      </c>
      <c r="B282" s="4">
        <f>VALUE(SUBSTITUTE('1000_заявлений'!B276, ".", ","))</f>
        <v>0.44486414918952399</v>
      </c>
      <c r="C282" s="4">
        <f>VALUE(SUBSTITUTE('1000_заявлений'!C276, ".", ","))</f>
        <v>0.39326798497272403</v>
      </c>
      <c r="D282" s="4">
        <f>VALUE(SUBSTITUTE('1000_заявлений'!D276, ".", ","))</f>
        <v>0.49386287000000001</v>
      </c>
      <c r="E282" s="4">
        <f>VALUE(SUBSTITUTE('1000_заявлений'!E276, ".", ","))</f>
        <v>0.66174495</v>
      </c>
      <c r="F282" s="5">
        <f>VALUE(SUBSTITUTE('1000_заявлений'!F276, ".", ","))</f>
        <v>-2162</v>
      </c>
      <c r="G282" s="5">
        <f>VALUE(SUBSTITUTE('1000_заявлений'!G276, ".", ","))</f>
        <v>-10353</v>
      </c>
      <c r="H282" s="5">
        <f>VALUE(SUBSTITUTE('1000_заявлений'!H276, ".", ","))</f>
        <v>-2978</v>
      </c>
      <c r="I282" s="4">
        <f>VALUE(SUBSTITUTE('1000_заявлений'!I276, ".", ","))</f>
        <v>0.18163333333333301</v>
      </c>
      <c r="J282" s="4">
        <f>VALUE(SUBSTITUTE('1000_заявлений'!J276, ".", ","))</f>
        <v>0.37912732390679099</v>
      </c>
      <c r="K282" s="5">
        <f>VALUE(SUBSTITUTE('1000_заявлений'!K276, ".", ","))</f>
        <v>-1308</v>
      </c>
      <c r="L282" s="6">
        <f>VALUE(SUBSTITUTE('1000_заявлений'!L276, ".", ","))</f>
        <v>49041</v>
      </c>
      <c r="M282" s="2" t="str">
        <f>IF(Данные[[#This Row],[proba]]&gt;$C$6, "отказ", "одобрение")</f>
        <v>отказ</v>
      </c>
      <c r="N282" s="7">
        <f>IF(Данные[[#This Row],[proba]]&lt;$D$2,$C$2,IF(Данные[[#This Row],[proba]]&lt;$D$3,$C$3,IF(Данные[[#This Row],[proba]]&gt;$C$6,0,$C$4)))</f>
        <v>0</v>
      </c>
      <c r="O282" s="2">
        <f>IF(Данные[[#This Row],[weighted_ext_score]]&gt;$O$1,MIN(Данные[[#This Row],[Базовая сумма]]*$O$2,$C$2),IF(Данные[[#This Row],[weighted_ext_score]]&lt;$O$3,Данные[[#This Row],[Базовая сумма]]*$O$4,N282))</f>
        <v>0</v>
      </c>
      <c r="P2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2" s="2">
        <f>ABS(Данные[[#This Row],[days_birth]])/365.2425</f>
        <v>28.34555124335202</v>
      </c>
      <c r="S2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2" s="2">
        <f>IF(Данные[[#This Row],[ interest_rate]]&gt;$T$1,Данные[[#This Row],[days_birth4]]*$T$2,Данные[[#This Row],[days_birth4]])</f>
        <v>0</v>
      </c>
      <c r="U282" s="2">
        <f>IF(Данные[[#This Row],[Проверка отказа]]="отказ",0,MAX(Данные[[#This Row],[interest_rate]],$C$1))</f>
        <v>0</v>
      </c>
      <c r="V282" s="2">
        <f>MROUND(Данные[[#This Row],[Минимум 20000]], 100)</f>
        <v>0</v>
      </c>
    </row>
    <row r="283" spans="1:22" x14ac:dyDescent="0.25">
      <c r="A283" s="2">
        <f>'1000_заявлений'!A277</f>
        <v>275</v>
      </c>
      <c r="B283" s="4">
        <f>VALUE(SUBSTITUTE('1000_заявлений'!B277, ".", ","))</f>
        <v>0.57364740252129898</v>
      </c>
      <c r="C283" s="4">
        <f>VALUE(SUBSTITUTE('1000_заявлений'!C277, ".", ","))</f>
        <v>0.16799955226501101</v>
      </c>
      <c r="D283" s="4">
        <f>VALUE(SUBSTITUTE('1000_заявлений'!D277, ".", ","))</f>
        <v>0.53527623000000002</v>
      </c>
      <c r="E283" s="4">
        <f>VALUE(SUBSTITUTE('1000_заявлений'!E277, ".", ","))</f>
        <v>0.51791469999999995</v>
      </c>
      <c r="F283" s="5">
        <f>VALUE(SUBSTITUTE('1000_заявлений'!F277, ".", ","))</f>
        <v>-5160</v>
      </c>
      <c r="G283" s="5">
        <f>VALUE(SUBSTITUTE('1000_заявлений'!G277, ".", ","))</f>
        <v>-13333</v>
      </c>
      <c r="H283" s="5">
        <f>VALUE(SUBSTITUTE('1000_заявлений'!H277, ".", ","))</f>
        <v>-4411</v>
      </c>
      <c r="I283" s="4">
        <f>VALUE(SUBSTITUTE('1000_заявлений'!I277, ".", ","))</f>
        <v>0.18126666666666599</v>
      </c>
      <c r="J283" s="4">
        <f>VALUE(SUBSTITUTE('1000_заявлений'!J277, ".", ","))</f>
        <v>0.91956613009964705</v>
      </c>
      <c r="K283" s="5">
        <f>VALUE(SUBSTITUTE('1000_заявлений'!K277, ".", ","))</f>
        <v>-1366</v>
      </c>
      <c r="L283" s="6">
        <f>VALUE(SUBSTITUTE('1000_заявлений'!L277, ".", ","))</f>
        <v>24471</v>
      </c>
      <c r="M283" s="2" t="str">
        <f>IF(Данные[[#This Row],[proba]]&gt;$C$6, "отказ", "одобрение")</f>
        <v>отказ</v>
      </c>
      <c r="N283" s="7">
        <f>IF(Данные[[#This Row],[proba]]&lt;$D$2,$C$2,IF(Данные[[#This Row],[proba]]&lt;$D$3,$C$3,IF(Данные[[#This Row],[proba]]&gt;$C$6,0,$C$4)))</f>
        <v>0</v>
      </c>
      <c r="O283" s="2">
        <f>IF(Данные[[#This Row],[weighted_ext_score]]&gt;$O$1,MIN(Данные[[#This Row],[Базовая сумма]]*$O$2,$C$2),IF(Данные[[#This Row],[weighted_ext_score]]&lt;$O$3,Данные[[#This Row],[Базовая сумма]]*$O$4,N283))</f>
        <v>0</v>
      </c>
      <c r="P2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3" s="2">
        <f>ABS(Данные[[#This Row],[days_birth]])/365.2425</f>
        <v>36.504514124177774</v>
      </c>
      <c r="S2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3" s="2">
        <f>IF(Данные[[#This Row],[ interest_rate]]&gt;$T$1,Данные[[#This Row],[days_birth4]]*$T$2,Данные[[#This Row],[days_birth4]])</f>
        <v>0</v>
      </c>
      <c r="U283" s="2">
        <f>IF(Данные[[#This Row],[Проверка отказа]]="отказ",0,MAX(Данные[[#This Row],[interest_rate]],$C$1))</f>
        <v>0</v>
      </c>
      <c r="V283" s="2">
        <f>MROUND(Данные[[#This Row],[Минимум 20000]], 100)</f>
        <v>0</v>
      </c>
    </row>
    <row r="284" spans="1:22" x14ac:dyDescent="0.25">
      <c r="A284" s="2">
        <f>'1000_заявлений'!A278</f>
        <v>276</v>
      </c>
      <c r="B284" s="4">
        <f>VALUE(SUBSTITUTE('1000_заявлений'!B278, ".", ","))</f>
        <v>0.55859367933231596</v>
      </c>
      <c r="C284" s="4">
        <f>VALUE(SUBSTITUTE('1000_заявлений'!C278, ".", ","))</f>
        <v>0.36702133288359801</v>
      </c>
      <c r="D284" s="4">
        <f>VALUE(SUBSTITUTE('1000_заявлений'!D278, ".", ","))</f>
        <v>0.26364680000000001</v>
      </c>
      <c r="E284" s="4">
        <f>VALUE(SUBSTITUTE('1000_заявлений'!E278, ".", ","))</f>
        <v>0.68722439999999996</v>
      </c>
      <c r="F284" s="5">
        <f>VALUE(SUBSTITUTE('1000_заявлений'!F278, ".", ","))</f>
        <v>-4069</v>
      </c>
      <c r="G284" s="5">
        <f>VALUE(SUBSTITUTE('1000_заявлений'!G278, ".", ","))</f>
        <v>-9332</v>
      </c>
      <c r="H284" s="5">
        <f>VALUE(SUBSTITUTE('1000_заявлений'!H278, ".", ","))</f>
        <v>-1982</v>
      </c>
      <c r="I284" s="4">
        <f>VALUE(SUBSTITUTE('1000_заявлений'!I278, ".", ","))</f>
        <v>0.13993589743589699</v>
      </c>
      <c r="J284" s="4">
        <f>VALUE(SUBSTITUTE('1000_заявлений'!J278, ".", ","))</f>
        <v>3.0223822116023502</v>
      </c>
      <c r="K284" s="5">
        <f>VALUE(SUBSTITUTE('1000_заявлений'!K278, ".", ","))</f>
        <v>-873</v>
      </c>
      <c r="L284" s="6">
        <f>VALUE(SUBSTITUTE('1000_заявлений'!L278, ".", ","))</f>
        <v>49117.5</v>
      </c>
      <c r="M284" s="2" t="str">
        <f>IF(Данные[[#This Row],[proba]]&gt;$C$6, "отказ", "одобрение")</f>
        <v>отказ</v>
      </c>
      <c r="N284" s="7">
        <f>IF(Данные[[#This Row],[proba]]&lt;$D$2,$C$2,IF(Данные[[#This Row],[proba]]&lt;$D$3,$C$3,IF(Данные[[#This Row],[proba]]&gt;$C$6,0,$C$4)))</f>
        <v>0</v>
      </c>
      <c r="O284" s="2">
        <f>IF(Данные[[#This Row],[weighted_ext_score]]&gt;$O$1,MIN(Данные[[#This Row],[Базовая сумма]]*$O$2,$C$2),IF(Данные[[#This Row],[weighted_ext_score]]&lt;$O$3,Данные[[#This Row],[Базовая сумма]]*$O$4,N284))</f>
        <v>0</v>
      </c>
      <c r="P2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4" s="2">
        <f>ABS(Данные[[#This Row],[days_birth]])/365.2425</f>
        <v>25.550148189216753</v>
      </c>
      <c r="S2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4" s="2">
        <f>IF(Данные[[#This Row],[ interest_rate]]&gt;$T$1,Данные[[#This Row],[days_birth4]]*$T$2,Данные[[#This Row],[days_birth4]])</f>
        <v>0</v>
      </c>
      <c r="U284" s="2">
        <f>IF(Данные[[#This Row],[Проверка отказа]]="отказ",0,MAX(Данные[[#This Row],[interest_rate]],$C$1))</f>
        <v>0</v>
      </c>
      <c r="V284" s="2">
        <f>MROUND(Данные[[#This Row],[Минимум 20000]], 100)</f>
        <v>0</v>
      </c>
    </row>
    <row r="285" spans="1:22" x14ac:dyDescent="0.25">
      <c r="A285" s="2">
        <f>'1000_заявлений'!A279</f>
        <v>277</v>
      </c>
      <c r="B285" s="4">
        <f>VALUE(SUBSTITUTE('1000_заявлений'!B279, ".", ","))</f>
        <v>0.32447058846337801</v>
      </c>
      <c r="C285" s="4">
        <f>VALUE(SUBSTITUTE('1000_заявлений'!C279, ".", ","))</f>
        <v>0.49387864183031299</v>
      </c>
      <c r="D285" s="4">
        <f>VALUE(SUBSTITUTE('1000_заявлений'!D279, ".", ","))</f>
        <v>0.59023329999999996</v>
      </c>
      <c r="E285" s="4">
        <f>VALUE(SUBSTITUTE('1000_заявлений'!E279, ".", ","))</f>
        <v>0.51926315000000001</v>
      </c>
      <c r="F285" s="5">
        <f>VALUE(SUBSTITUTE('1000_заявлений'!F279, ".", ","))</f>
        <v>-12297</v>
      </c>
      <c r="G285" s="5">
        <f>VALUE(SUBSTITUTE('1000_заявлений'!G279, ".", ","))</f>
        <v>-18244</v>
      </c>
      <c r="H285" s="5">
        <f>VALUE(SUBSTITUTE('1000_заявлений'!H279, ".", ","))</f>
        <v>-1785</v>
      </c>
      <c r="I285" s="4">
        <f>VALUE(SUBSTITUTE('1000_заявлений'!I279, ".", ","))</f>
        <v>0.100244444444444</v>
      </c>
      <c r="J285" s="4">
        <f>VALUE(SUBSTITUTE('1000_заявлений'!J279, ".", ","))</f>
        <v>4.6841725127891403</v>
      </c>
      <c r="K285" s="5">
        <f>VALUE(SUBSTITUTE('1000_заявлений'!K279, ".", ","))</f>
        <v>-2419</v>
      </c>
      <c r="L285" s="6">
        <f>VALUE(SUBSTITUTE('1000_заявлений'!L279, ".", ","))</f>
        <v>20299.5</v>
      </c>
      <c r="M285" s="2" t="str">
        <f>IF(Данные[[#This Row],[proba]]&gt;$C$6, "отказ", "одобрение")</f>
        <v>отказ</v>
      </c>
      <c r="N285" s="7">
        <f>IF(Данные[[#This Row],[proba]]&lt;$D$2,$C$2,IF(Данные[[#This Row],[proba]]&lt;$D$3,$C$3,IF(Данные[[#This Row],[proba]]&gt;$C$6,0,$C$4)))</f>
        <v>0</v>
      </c>
      <c r="O285" s="2">
        <f>IF(Данные[[#This Row],[weighted_ext_score]]&gt;$O$1,MIN(Данные[[#This Row],[Базовая сумма]]*$O$2,$C$2),IF(Данные[[#This Row],[weighted_ext_score]]&lt;$O$3,Данные[[#This Row],[Базовая сумма]]*$O$4,N285))</f>
        <v>0</v>
      </c>
      <c r="P2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5" s="2">
        <f>ABS(Данные[[#This Row],[days_birth]])/365.2425</f>
        <v>49.95037543549833</v>
      </c>
      <c r="S2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5" s="2">
        <f>IF(Данные[[#This Row],[ interest_rate]]&gt;$T$1,Данные[[#This Row],[days_birth4]]*$T$2,Данные[[#This Row],[days_birth4]])</f>
        <v>0</v>
      </c>
      <c r="U285" s="2">
        <f>IF(Данные[[#This Row],[Проверка отказа]]="отказ",0,MAX(Данные[[#This Row],[interest_rate]],$C$1))</f>
        <v>0</v>
      </c>
      <c r="V285" s="2">
        <f>MROUND(Данные[[#This Row],[Минимум 20000]], 100)</f>
        <v>0</v>
      </c>
    </row>
    <row r="286" spans="1:22" x14ac:dyDescent="0.25">
      <c r="A286" s="2">
        <f>'1000_заявлений'!A280</f>
        <v>278</v>
      </c>
      <c r="B286" s="4">
        <f>VALUE(SUBSTITUTE('1000_заявлений'!B280, ".", ","))</f>
        <v>0.14944493382770099</v>
      </c>
      <c r="C286" s="4">
        <f>VALUE(SUBSTITUTE('1000_заявлений'!C280, ".", ","))</f>
        <v>0.51732531286018901</v>
      </c>
      <c r="D286" s="4">
        <f>VALUE(SUBSTITUTE('1000_заявлений'!D280, ".", ","))</f>
        <v>0.81391745999999998</v>
      </c>
      <c r="E286" s="4">
        <f>VALUE(SUBSTITUTE('1000_заявлений'!E280, ".", ","))</f>
        <v>0.68734660000000003</v>
      </c>
      <c r="F286" s="5">
        <f>VALUE(SUBSTITUTE('1000_заявлений'!F280, ".", ","))</f>
        <v>-15425</v>
      </c>
      <c r="G286" s="5">
        <f>VALUE(SUBSTITUTE('1000_заявлений'!G280, ".", ","))</f>
        <v>-23137</v>
      </c>
      <c r="H286" s="5">
        <f>VALUE(SUBSTITUTE('1000_заявлений'!H280, ".", ","))</f>
        <v>-4316</v>
      </c>
      <c r="I286" s="4">
        <f>VALUE(SUBSTITUTE('1000_заявлений'!I280, ".", ","))</f>
        <v>0.3528</v>
      </c>
      <c r="J286" s="4">
        <f>VALUE(SUBSTITUTE('1000_заявлений'!J280, ".", ","))</f>
        <v>5.8005838567080898</v>
      </c>
      <c r="K286" s="5">
        <f>VALUE(SUBSTITUTE('1000_заявлений'!K280, ".", ","))</f>
        <v>365243</v>
      </c>
      <c r="L286" s="6">
        <f>VALUE(SUBSTITUTE('1000_заявлений'!L280, ".", ","))</f>
        <v>23814</v>
      </c>
      <c r="M286" s="2" t="str">
        <f>IF(Данные[[#This Row],[proba]]&gt;$C$6, "отказ", "одобрение")</f>
        <v>одобрение</v>
      </c>
      <c r="N286" s="7">
        <f>IF(Данные[[#This Row],[proba]]&lt;$D$2,$C$2,IF(Данные[[#This Row],[proba]]&lt;$D$3,$C$3,IF(Данные[[#This Row],[proba]]&gt;$C$6,0,$C$4)))</f>
        <v>300000</v>
      </c>
      <c r="O286" s="2">
        <f>IF(Данные[[#This Row],[weighted_ext_score]]&gt;$O$1,MIN(Данные[[#This Row],[Базовая сумма]]*$O$2,$C$2),IF(Данные[[#This Row],[weighted_ext_score]]&lt;$O$3,Данные[[#This Row],[Базовая сумма]]*$O$4,N286))</f>
        <v>300000</v>
      </c>
      <c r="P2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2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286" s="2">
        <f>ABS(Данные[[#This Row],[days_birth]])/365.2425</f>
        <v>63.346954420693102</v>
      </c>
      <c r="S2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286" s="2">
        <f>IF(Данные[[#This Row],[ interest_rate]]&gt;$T$1,Данные[[#This Row],[days_birth4]]*$T$2,Данные[[#This Row],[days_birth4]])</f>
        <v>315000</v>
      </c>
      <c r="U286" s="2">
        <f>IF(Данные[[#This Row],[Проверка отказа]]="отказ",0,MAX(Данные[[#This Row],[interest_rate]],$C$1))</f>
        <v>315000</v>
      </c>
      <c r="V286" s="2">
        <f>MROUND(Данные[[#This Row],[Минимум 20000]], 100)</f>
        <v>315000</v>
      </c>
    </row>
    <row r="287" spans="1:22" x14ac:dyDescent="0.25">
      <c r="A287" s="2">
        <f>'1000_заявлений'!A281</f>
        <v>279</v>
      </c>
      <c r="B287" s="4">
        <f>VALUE(SUBSTITUTE('1000_заявлений'!B281, ".", ","))</f>
        <v>0.417468995064179</v>
      </c>
      <c r="C287" s="4">
        <f>VALUE(SUBSTITUTE('1000_заявлений'!C281, ".", ","))</f>
        <v>0.37527191672344801</v>
      </c>
      <c r="D287" s="4">
        <f>VALUE(SUBSTITUTE('1000_заявлений'!D281, ".", ","))</f>
        <v>0.77389569999999996</v>
      </c>
      <c r="E287" s="4">
        <f>VALUE(SUBSTITUTE('1000_заявлений'!E281, ".", ","))</f>
        <v>0.29404205</v>
      </c>
      <c r="F287" s="5">
        <f>VALUE(SUBSTITUTE('1000_заявлений'!F281, ".", ","))</f>
        <v>-10232</v>
      </c>
      <c r="G287" s="5">
        <f>VALUE(SUBSTITUTE('1000_заявлений'!G281, ".", ","))</f>
        <v>-18047</v>
      </c>
      <c r="H287" s="5">
        <f>VALUE(SUBSTITUTE('1000_заявлений'!H281, ".", ","))</f>
        <v>-1601</v>
      </c>
      <c r="I287" s="4">
        <f>VALUE(SUBSTITUTE('1000_заявлений'!I281, ".", ","))</f>
        <v>0.20353333333333301</v>
      </c>
      <c r="J287" s="4">
        <f>VALUE(SUBSTITUTE('1000_заявлений'!J281, ".", ","))</f>
        <v>3.7629321167623702</v>
      </c>
      <c r="K287" s="5">
        <f>VALUE(SUBSTITUTE('1000_заявлений'!K281, ".", ","))</f>
        <v>-2231</v>
      </c>
      <c r="L287" s="6">
        <f>VALUE(SUBSTITUTE('1000_заявлений'!L281, ".", ","))</f>
        <v>13738.5</v>
      </c>
      <c r="M287" s="2" t="str">
        <f>IF(Данные[[#This Row],[proba]]&gt;$C$6, "отказ", "одобрение")</f>
        <v>отказ</v>
      </c>
      <c r="N287" s="7">
        <f>IF(Данные[[#This Row],[proba]]&lt;$D$2,$C$2,IF(Данные[[#This Row],[proba]]&lt;$D$3,$C$3,IF(Данные[[#This Row],[proba]]&gt;$C$6,0,$C$4)))</f>
        <v>0</v>
      </c>
      <c r="O287" s="2">
        <f>IF(Данные[[#This Row],[weighted_ext_score]]&gt;$O$1,MIN(Данные[[#This Row],[Базовая сумма]]*$O$2,$C$2),IF(Данные[[#This Row],[weighted_ext_score]]&lt;$O$3,Данные[[#This Row],[Базовая сумма]]*$O$4,N287))</f>
        <v>0</v>
      </c>
      <c r="P2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7" s="2">
        <f>ABS(Данные[[#This Row],[days_birth]])/365.2425</f>
        <v>49.411007755121595</v>
      </c>
      <c r="S2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7" s="2">
        <f>IF(Данные[[#This Row],[ interest_rate]]&gt;$T$1,Данные[[#This Row],[days_birth4]]*$T$2,Данные[[#This Row],[days_birth4]])</f>
        <v>0</v>
      </c>
      <c r="U287" s="2">
        <f>IF(Данные[[#This Row],[Проверка отказа]]="отказ",0,MAX(Данные[[#This Row],[interest_rate]],$C$1))</f>
        <v>0</v>
      </c>
      <c r="V287" s="2">
        <f>MROUND(Данные[[#This Row],[Минимум 20000]], 100)</f>
        <v>0</v>
      </c>
    </row>
    <row r="288" spans="1:22" x14ac:dyDescent="0.25">
      <c r="A288" s="2">
        <f>'1000_заявлений'!A282</f>
        <v>280</v>
      </c>
      <c r="B288" s="4">
        <f>VALUE(SUBSTITUTE('1000_заявлений'!B282, ".", ","))</f>
        <v>0.83968405819665004</v>
      </c>
      <c r="C288" s="4">
        <f>VALUE(SUBSTITUTE('1000_заявлений'!C282, ".", ","))</f>
        <v>0.13183219706853799</v>
      </c>
      <c r="D288" s="4">
        <f>VALUE(SUBSTITUTE('1000_заявлений'!D282, ".", ","))</f>
        <v>0.30620229999999998</v>
      </c>
      <c r="E288" s="4">
        <f>VALUE(SUBSTITUTE('1000_заявлений'!E282, ".", ","))</f>
        <v>6.5014959999999997E-2</v>
      </c>
      <c r="F288" s="5">
        <f>VALUE(SUBSTITUTE('1000_заявлений'!F282, ".", ","))</f>
        <v>-810</v>
      </c>
      <c r="G288" s="5">
        <f>VALUE(SUBSTITUTE('1000_заявлений'!G282, ".", ","))</f>
        <v>-12285</v>
      </c>
      <c r="H288" s="5">
        <f>VALUE(SUBSTITUTE('1000_заявлений'!H282, ".", ","))</f>
        <v>-4646</v>
      </c>
      <c r="I288" s="4">
        <f>VALUE(SUBSTITUTE('1000_заявлений'!I282, ".", ","))</f>
        <v>0.231625</v>
      </c>
      <c r="J288" s="4">
        <f>VALUE(SUBSTITUTE('1000_заявлений'!J282, ".", ","))</f>
        <v>2.5880350924250002</v>
      </c>
      <c r="K288" s="5">
        <f>VALUE(SUBSTITUTE('1000_заявлений'!K282, ".", ","))</f>
        <v>-467</v>
      </c>
      <c r="L288" s="6">
        <f>VALUE(SUBSTITUTE('1000_заявлений'!L282, ".", ","))</f>
        <v>41692.5</v>
      </c>
      <c r="M288" s="2" t="str">
        <f>IF(Данные[[#This Row],[proba]]&gt;$C$6, "отказ", "одобрение")</f>
        <v>отказ</v>
      </c>
      <c r="N288" s="7">
        <f>IF(Данные[[#This Row],[proba]]&lt;$D$2,$C$2,IF(Данные[[#This Row],[proba]]&lt;$D$3,$C$3,IF(Данные[[#This Row],[proba]]&gt;$C$6,0,$C$4)))</f>
        <v>0</v>
      </c>
      <c r="O288" s="2">
        <f>IF(Данные[[#This Row],[weighted_ext_score]]&gt;$O$1,MIN(Данные[[#This Row],[Базовая сумма]]*$O$2,$C$2),IF(Данные[[#This Row],[weighted_ext_score]]&lt;$O$3,Данные[[#This Row],[Базовая сумма]]*$O$4,N288))</f>
        <v>0</v>
      </c>
      <c r="P2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8" s="2">
        <f>ABS(Данные[[#This Row],[days_birth]])/365.2425</f>
        <v>33.635187580853817</v>
      </c>
      <c r="S2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8" s="2">
        <f>IF(Данные[[#This Row],[ interest_rate]]&gt;$T$1,Данные[[#This Row],[days_birth4]]*$T$2,Данные[[#This Row],[days_birth4]])</f>
        <v>0</v>
      </c>
      <c r="U288" s="2">
        <f>IF(Данные[[#This Row],[Проверка отказа]]="отказ",0,MAX(Данные[[#This Row],[interest_rate]],$C$1))</f>
        <v>0</v>
      </c>
      <c r="V288" s="2">
        <f>MROUND(Данные[[#This Row],[Минимум 20000]], 100)</f>
        <v>0</v>
      </c>
    </row>
    <row r="289" spans="1:22" x14ac:dyDescent="0.25">
      <c r="A289" s="2">
        <f>'1000_заявлений'!A283</f>
        <v>281</v>
      </c>
      <c r="B289" s="4">
        <f>VALUE(SUBSTITUTE('1000_заявлений'!B283, ".", ","))</f>
        <v>0.56983138755842</v>
      </c>
      <c r="C289" s="4">
        <f>VALUE(SUBSTITUTE('1000_заявлений'!C283, ".", ","))</f>
        <v>0.32295998407134102</v>
      </c>
      <c r="D289" s="4">
        <f>VALUE(SUBSTITUTE('1000_заявлений'!D283, ".", ","))</f>
        <v>0.38079967999999997</v>
      </c>
      <c r="E289" s="4">
        <f>VALUE(SUBSTITUTE('1000_заявлений'!E283, ".", ","))</f>
        <v>0.57105744000000003</v>
      </c>
      <c r="F289" s="5">
        <f>VALUE(SUBSTITUTE('1000_заявлений'!F283, ".", ","))</f>
        <v>-3548</v>
      </c>
      <c r="G289" s="5">
        <f>VALUE(SUBSTITUTE('1000_заявлений'!G283, ".", ","))</f>
        <v>-16973</v>
      </c>
      <c r="H289" s="5">
        <f>VALUE(SUBSTITUTE('1000_заявлений'!H283, ".", ","))</f>
        <v>-505</v>
      </c>
      <c r="I289" s="4">
        <f>VALUE(SUBSTITUTE('1000_заявлений'!I283, ".", ","))</f>
        <v>0.18275</v>
      </c>
      <c r="J289" s="4">
        <f>VALUE(SUBSTITUTE('1000_заявлений'!J283, ".", ","))</f>
        <v>1.55972200073934</v>
      </c>
      <c r="K289" s="5">
        <f>VALUE(SUBSTITUTE('1000_заявлений'!K283, ".", ","))</f>
        <v>-4152</v>
      </c>
      <c r="L289" s="6">
        <f>VALUE(SUBSTITUTE('1000_заявлений'!L283, ".", ","))</f>
        <v>26316</v>
      </c>
      <c r="M289" s="2" t="str">
        <f>IF(Данные[[#This Row],[proba]]&gt;$C$6, "отказ", "одобрение")</f>
        <v>отказ</v>
      </c>
      <c r="N289" s="7">
        <f>IF(Данные[[#This Row],[proba]]&lt;$D$2,$C$2,IF(Данные[[#This Row],[proba]]&lt;$D$3,$C$3,IF(Данные[[#This Row],[proba]]&gt;$C$6,0,$C$4)))</f>
        <v>0</v>
      </c>
      <c r="O289" s="2">
        <f>IF(Данные[[#This Row],[weighted_ext_score]]&gt;$O$1,MIN(Данные[[#This Row],[Базовая сумма]]*$O$2,$C$2),IF(Данные[[#This Row],[weighted_ext_score]]&lt;$O$3,Данные[[#This Row],[Базовая сумма]]*$O$4,N289))</f>
        <v>0</v>
      </c>
      <c r="P2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89" s="2">
        <f>ABS(Данные[[#This Row],[days_birth]])/365.2425</f>
        <v>46.470495629615939</v>
      </c>
      <c r="S2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89" s="2">
        <f>IF(Данные[[#This Row],[ interest_rate]]&gt;$T$1,Данные[[#This Row],[days_birth4]]*$T$2,Данные[[#This Row],[days_birth4]])</f>
        <v>0</v>
      </c>
      <c r="U289" s="2">
        <f>IF(Данные[[#This Row],[Проверка отказа]]="отказ",0,MAX(Данные[[#This Row],[interest_rate]],$C$1))</f>
        <v>0</v>
      </c>
      <c r="V289" s="2">
        <f>MROUND(Данные[[#This Row],[Минимум 20000]], 100)</f>
        <v>0</v>
      </c>
    </row>
    <row r="290" spans="1:22" x14ac:dyDescent="0.25">
      <c r="A290" s="2">
        <f>'1000_заявлений'!A284</f>
        <v>282</v>
      </c>
      <c r="B290" s="4">
        <f>VALUE(SUBSTITUTE('1000_заявлений'!B284, ".", ","))</f>
        <v>0.27978635030445698</v>
      </c>
      <c r="C290" s="4">
        <f>VALUE(SUBSTITUTE('1000_заявлений'!C284, ".", ","))</f>
        <v>0.46982169465214102</v>
      </c>
      <c r="D290" s="4">
        <f>VALUE(SUBSTITUTE('1000_заявлений'!D284, ".", ","))</f>
        <v>0.73941179999999995</v>
      </c>
      <c r="E290" s="4">
        <f>VALUE(SUBSTITUTE('1000_заявлений'!E284, ".", ","))</f>
        <v>0.62397130000000001</v>
      </c>
      <c r="F290" s="5">
        <f>VALUE(SUBSTITUTE('1000_заявлений'!F284, ".", ","))</f>
        <v>-10024</v>
      </c>
      <c r="G290" s="5">
        <f>VALUE(SUBSTITUTE('1000_заявлений'!G284, ".", ","))</f>
        <v>-14769</v>
      </c>
      <c r="H290" s="5">
        <f>VALUE(SUBSTITUTE('1000_заявлений'!H284, ".", ","))</f>
        <v>-293</v>
      </c>
      <c r="I290" s="4">
        <f>VALUE(SUBSTITUTE('1000_заявлений'!I284, ".", ","))</f>
        <v>0.13493333333333299</v>
      </c>
      <c r="J290" s="4">
        <f>VALUE(SUBSTITUTE('1000_заявлений'!J284, ".", ","))</f>
        <v>2.88852803817811</v>
      </c>
      <c r="K290" s="5">
        <f>VALUE(SUBSTITUTE('1000_заявлений'!K284, ".", ","))</f>
        <v>-140</v>
      </c>
      <c r="L290" s="6">
        <f>VALUE(SUBSTITUTE('1000_заявлений'!L284, ".", ","))</f>
        <v>18216</v>
      </c>
      <c r="M290" s="2" t="str">
        <f>IF(Данные[[#This Row],[proba]]&gt;$C$6, "отказ", "одобрение")</f>
        <v>одобрение</v>
      </c>
      <c r="N290" s="7">
        <f>IF(Данные[[#This Row],[proba]]&lt;$D$2,$C$2,IF(Данные[[#This Row],[proba]]&lt;$D$3,$C$3,IF(Данные[[#This Row],[proba]]&gt;$C$6,0,$C$4)))</f>
        <v>100000</v>
      </c>
      <c r="O290" s="2">
        <f>IF(Данные[[#This Row],[weighted_ext_score]]&gt;$O$1,MIN(Данные[[#This Row],[Базовая сумма]]*$O$2,$C$2),IF(Данные[[#This Row],[weighted_ext_score]]&lt;$O$3,Данные[[#This Row],[Базовая сумма]]*$O$4,N290))</f>
        <v>100000</v>
      </c>
      <c r="P2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90" s="2">
        <f>ABS(Данные[[#This Row],[days_birth]])/365.2425</f>
        <v>40.436148586213271</v>
      </c>
      <c r="S2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290" s="2">
        <f>IF(Данные[[#This Row],[ interest_rate]]&gt;$T$1,Данные[[#This Row],[days_birth4]]*$T$2,Данные[[#This Row],[days_birth4]])</f>
        <v>120000</v>
      </c>
      <c r="U290" s="2">
        <f>IF(Данные[[#This Row],[Проверка отказа]]="отказ",0,MAX(Данные[[#This Row],[interest_rate]],$C$1))</f>
        <v>120000</v>
      </c>
      <c r="V290" s="2">
        <f>MROUND(Данные[[#This Row],[Минимум 20000]], 100)</f>
        <v>120000</v>
      </c>
    </row>
    <row r="291" spans="1:22" x14ac:dyDescent="0.25">
      <c r="A291" s="2">
        <f>'1000_заявлений'!A285</f>
        <v>283</v>
      </c>
      <c r="B291" s="4">
        <f>VALUE(SUBSTITUTE('1000_заявлений'!B285, ".", ","))</f>
        <v>0.65557438050751704</v>
      </c>
      <c r="C291" s="4">
        <f>VALUE(SUBSTITUTE('1000_заявлений'!C285, ".", ","))</f>
        <v>0.34926416963531398</v>
      </c>
      <c r="D291" s="4">
        <f>VALUE(SUBSTITUTE('1000_заявлений'!D285, ".", ","))</f>
        <v>0.40140742000000001</v>
      </c>
      <c r="E291" s="4">
        <f>VALUE(SUBSTITUTE('1000_заявлений'!E285, ".", ","))</f>
        <v>0.33067482999999998</v>
      </c>
      <c r="F291" s="5">
        <f>VALUE(SUBSTITUTE('1000_заявлений'!F285, ".", ","))</f>
        <v>-4832</v>
      </c>
      <c r="G291" s="5">
        <f>VALUE(SUBSTITUTE('1000_заявлений'!G285, ".", ","))</f>
        <v>-9974</v>
      </c>
      <c r="H291" s="5">
        <f>VALUE(SUBSTITUTE('1000_заявлений'!H285, ".", ","))</f>
        <v>-2643</v>
      </c>
      <c r="I291" s="4">
        <f>VALUE(SUBSTITUTE('1000_заявлений'!I285, ".", ","))</f>
        <v>0.17585000000000001</v>
      </c>
      <c r="J291" s="4">
        <f>VALUE(SUBSTITUTE('1000_заявлений'!J285, ".", ","))</f>
        <v>1.83324182632016</v>
      </c>
      <c r="K291" s="5">
        <f>VALUE(SUBSTITUTE('1000_заявлений'!K285, ".", ","))</f>
        <v>-116</v>
      </c>
      <c r="L291" s="6">
        <f>VALUE(SUBSTITUTE('1000_заявлений'!L285, ".", ","))</f>
        <v>31653</v>
      </c>
      <c r="M291" s="2" t="str">
        <f>IF(Данные[[#This Row],[proba]]&gt;$C$6, "отказ", "одобрение")</f>
        <v>отказ</v>
      </c>
      <c r="N291" s="7">
        <f>IF(Данные[[#This Row],[proba]]&lt;$D$2,$C$2,IF(Данные[[#This Row],[proba]]&lt;$D$3,$C$3,IF(Данные[[#This Row],[proba]]&gt;$C$6,0,$C$4)))</f>
        <v>0</v>
      </c>
      <c r="O291" s="2">
        <f>IF(Данные[[#This Row],[weighted_ext_score]]&gt;$O$1,MIN(Данные[[#This Row],[Базовая сумма]]*$O$2,$C$2),IF(Данные[[#This Row],[weighted_ext_score]]&lt;$O$3,Данные[[#This Row],[Базовая сумма]]*$O$4,N291))</f>
        <v>0</v>
      </c>
      <c r="P2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1" s="2">
        <f>ABS(Данные[[#This Row],[days_birth]])/365.2425</f>
        <v>27.307884487703376</v>
      </c>
      <c r="S2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1" s="2">
        <f>IF(Данные[[#This Row],[ interest_rate]]&gt;$T$1,Данные[[#This Row],[days_birth4]]*$T$2,Данные[[#This Row],[days_birth4]])</f>
        <v>0</v>
      </c>
      <c r="U291" s="2">
        <f>IF(Данные[[#This Row],[Проверка отказа]]="отказ",0,MAX(Данные[[#This Row],[interest_rate]],$C$1))</f>
        <v>0</v>
      </c>
      <c r="V291" s="2">
        <f>MROUND(Данные[[#This Row],[Минимум 20000]], 100)</f>
        <v>0</v>
      </c>
    </row>
    <row r="292" spans="1:22" x14ac:dyDescent="0.25">
      <c r="A292" s="2">
        <f>'1000_заявлений'!A286</f>
        <v>284</v>
      </c>
      <c r="B292" s="4">
        <f>VALUE(SUBSTITUTE('1000_заявлений'!B286, ".", ","))</f>
        <v>0.22413757429787201</v>
      </c>
      <c r="C292" s="4">
        <f>VALUE(SUBSTITUTE('1000_заявлений'!C286, ".", ","))</f>
        <v>0.62951044078179896</v>
      </c>
      <c r="D292" s="4">
        <f>VALUE(SUBSTITUTE('1000_заявлений'!D286, ".", ","))</f>
        <v>0.48665314999999998</v>
      </c>
      <c r="E292" s="4">
        <f>VALUE(SUBSTITUTE('1000_заявлений'!E286, ".", ","))</f>
        <v>0.70857340000000002</v>
      </c>
      <c r="F292" s="5">
        <f>VALUE(SUBSTITUTE('1000_заявлений'!F286, ".", ","))</f>
        <v>-5474</v>
      </c>
      <c r="G292" s="5">
        <f>VALUE(SUBSTITUTE('1000_заявлений'!G286, ".", ","))</f>
        <v>-19294</v>
      </c>
      <c r="H292" s="5">
        <f>VALUE(SUBSTITUTE('1000_заявлений'!H286, ".", ","))</f>
        <v>-2840</v>
      </c>
      <c r="I292" s="4">
        <f>VALUE(SUBSTITUTE('1000_заявлений'!I286, ".", ","))</f>
        <v>9.3560000000000004E-2</v>
      </c>
      <c r="J292" s="4">
        <f>VALUE(SUBSTITUTE('1000_заявлений'!J286, ".", ","))</f>
        <v>1.55389052272876</v>
      </c>
      <c r="K292" s="5">
        <f>VALUE(SUBSTITUTE('1000_заявлений'!K286, ".", ","))</f>
        <v>365243</v>
      </c>
      <c r="L292" s="6">
        <f>VALUE(SUBSTITUTE('1000_заявлений'!L286, ".", ","))</f>
        <v>21051</v>
      </c>
      <c r="M292" s="2" t="str">
        <f>IF(Данные[[#This Row],[proba]]&gt;$C$6, "отказ", "одобрение")</f>
        <v>одобрение</v>
      </c>
      <c r="N292" s="7">
        <f>IF(Данные[[#This Row],[proba]]&lt;$D$2,$C$2,IF(Данные[[#This Row],[proba]]&lt;$D$3,$C$3,IF(Данные[[#This Row],[proba]]&gt;$C$6,0,$C$4)))</f>
        <v>100000</v>
      </c>
      <c r="O292" s="2">
        <f>IF(Данные[[#This Row],[weighted_ext_score]]&gt;$O$1,MIN(Данные[[#This Row],[Базовая сумма]]*$O$2,$C$2),IF(Данные[[#This Row],[weighted_ext_score]]&lt;$O$3,Данные[[#This Row],[Базовая сумма]]*$O$4,N292))</f>
        <v>100000</v>
      </c>
      <c r="P2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2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292" s="2">
        <f>ABS(Данные[[#This Row],[days_birth]])/365.2425</f>
        <v>52.825177792836264</v>
      </c>
      <c r="S2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292" s="2">
        <f>IF(Данные[[#This Row],[ interest_rate]]&gt;$T$1,Данные[[#This Row],[days_birth4]]*$T$2,Данные[[#This Row],[days_birth4]])</f>
        <v>126000</v>
      </c>
      <c r="U292" s="2">
        <f>IF(Данные[[#This Row],[Проверка отказа]]="отказ",0,MAX(Данные[[#This Row],[interest_rate]],$C$1))</f>
        <v>126000</v>
      </c>
      <c r="V292" s="2">
        <f>MROUND(Данные[[#This Row],[Минимум 20000]], 100)</f>
        <v>126000</v>
      </c>
    </row>
    <row r="293" spans="1:22" x14ac:dyDescent="0.25">
      <c r="A293" s="2">
        <f>'1000_заявлений'!A287</f>
        <v>285</v>
      </c>
      <c r="B293" s="4">
        <f>VALUE(SUBSTITUTE('1000_заявлений'!B287, ".", ","))</f>
        <v>0.603966595087847</v>
      </c>
      <c r="C293" s="4">
        <f>VALUE(SUBSTITUTE('1000_заявлений'!C287, ".", ","))</f>
        <v>0.230599965808193</v>
      </c>
      <c r="D293" s="4">
        <f>VALUE(SUBSTITUTE('1000_заявлений'!D287, ".", ","))</f>
        <v>0.20559815000000001</v>
      </c>
      <c r="E293" s="4">
        <f>VALUE(SUBSTITUTE('1000_заявлений'!E287, ".", ","))</f>
        <v>0.48166868000000002</v>
      </c>
      <c r="F293" s="5">
        <f>VALUE(SUBSTITUTE('1000_заявлений'!F287, ".", ","))</f>
        <v>-14371</v>
      </c>
      <c r="G293" s="5">
        <f>VALUE(SUBSTITUTE('1000_заявлений'!G287, ".", ","))</f>
        <v>-22239</v>
      </c>
      <c r="H293" s="5">
        <f>VALUE(SUBSTITUTE('1000_заявлений'!H287, ".", ","))</f>
        <v>-4333</v>
      </c>
      <c r="I293" s="4">
        <f>VALUE(SUBSTITUTE('1000_заявлений'!I287, ".", ","))</f>
        <v>0.15063333333333301</v>
      </c>
      <c r="J293" s="4">
        <f>VALUE(SUBSTITUTE('1000_заявлений'!J287, ".", ","))</f>
        <v>1.96589975490382</v>
      </c>
      <c r="K293" s="5">
        <f>VALUE(SUBSTITUTE('1000_заявлений'!K287, ".", ","))</f>
        <v>365243</v>
      </c>
      <c r="L293" s="6">
        <f>VALUE(SUBSTITUTE('1000_заявлений'!L287, ".", ","))</f>
        <v>20335.5</v>
      </c>
      <c r="M293" s="2" t="str">
        <f>IF(Данные[[#This Row],[proba]]&gt;$C$6, "отказ", "одобрение")</f>
        <v>отказ</v>
      </c>
      <c r="N293" s="7">
        <f>IF(Данные[[#This Row],[proba]]&lt;$D$2,$C$2,IF(Данные[[#This Row],[proba]]&lt;$D$3,$C$3,IF(Данные[[#This Row],[proba]]&gt;$C$6,0,$C$4)))</f>
        <v>0</v>
      </c>
      <c r="O293" s="2">
        <f>IF(Данные[[#This Row],[weighted_ext_score]]&gt;$O$1,MIN(Данные[[#This Row],[Базовая сумма]]*$O$2,$C$2),IF(Данные[[#This Row],[weighted_ext_score]]&lt;$O$3,Данные[[#This Row],[Базовая сумма]]*$O$4,N293))</f>
        <v>0</v>
      </c>
      <c r="P2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3" s="2">
        <f>ABS(Данные[[#This Row],[days_birth]])/365.2425</f>
        <v>60.888313928417418</v>
      </c>
      <c r="S2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3" s="2">
        <f>IF(Данные[[#This Row],[ interest_rate]]&gt;$T$1,Данные[[#This Row],[days_birth4]]*$T$2,Данные[[#This Row],[days_birth4]])</f>
        <v>0</v>
      </c>
      <c r="U293" s="2">
        <f>IF(Данные[[#This Row],[Проверка отказа]]="отказ",0,MAX(Данные[[#This Row],[interest_rate]],$C$1))</f>
        <v>0</v>
      </c>
      <c r="V293" s="2">
        <f>MROUND(Данные[[#This Row],[Минимум 20000]], 100)</f>
        <v>0</v>
      </c>
    </row>
    <row r="294" spans="1:22" x14ac:dyDescent="0.25">
      <c r="A294" s="2">
        <f>'1000_заявлений'!A288</f>
        <v>286</v>
      </c>
      <c r="B294" s="4">
        <f>VALUE(SUBSTITUTE('1000_заявлений'!B288, ".", ","))</f>
        <v>0.65782254820183395</v>
      </c>
      <c r="C294" s="4">
        <f>VALUE(SUBSTITUTE('1000_заявлений'!C288, ".", ","))</f>
        <v>0.224240541442039</v>
      </c>
      <c r="D294" s="4">
        <f>VALUE(SUBSTITUTE('1000_заявлений'!D288, ".", ","))</f>
        <v>0.3457848</v>
      </c>
      <c r="E294" s="4">
        <f>VALUE(SUBSTITUTE('1000_заявлений'!E288, ".", ","))</f>
        <v>0.23444527000000001</v>
      </c>
      <c r="F294" s="5">
        <f>VALUE(SUBSTITUTE('1000_заявлений'!F288, ".", ","))</f>
        <v>-12883</v>
      </c>
      <c r="G294" s="5">
        <f>VALUE(SUBSTITUTE('1000_заявлений'!G288, ".", ","))</f>
        <v>-23672</v>
      </c>
      <c r="H294" s="5">
        <f>VALUE(SUBSTITUTE('1000_заявлений'!H288, ".", ","))</f>
        <v>-4197</v>
      </c>
      <c r="I294" s="4">
        <f>VALUE(SUBSTITUTE('1000_заявлений'!I288, ".", ","))</f>
        <v>0.31106666666666599</v>
      </c>
      <c r="J294" s="4">
        <f>VALUE(SUBSTITUTE('1000_заявлений'!J288, ".", ","))</f>
        <v>5.7208070145562804</v>
      </c>
      <c r="K294" s="5">
        <f>VALUE(SUBSTITUTE('1000_заявлений'!K288, ".", ","))</f>
        <v>365243</v>
      </c>
      <c r="L294" s="6">
        <f>VALUE(SUBSTITUTE('1000_заявлений'!L288, ".", ","))</f>
        <v>10498.5</v>
      </c>
      <c r="M294" s="2" t="str">
        <f>IF(Данные[[#This Row],[proba]]&gt;$C$6, "отказ", "одобрение")</f>
        <v>отказ</v>
      </c>
      <c r="N294" s="7">
        <f>IF(Данные[[#This Row],[proba]]&lt;$D$2,$C$2,IF(Данные[[#This Row],[proba]]&lt;$D$3,$C$3,IF(Данные[[#This Row],[proba]]&gt;$C$6,0,$C$4)))</f>
        <v>0</v>
      </c>
      <c r="O294" s="2">
        <f>IF(Данные[[#This Row],[weighted_ext_score]]&gt;$O$1,MIN(Данные[[#This Row],[Базовая сумма]]*$O$2,$C$2),IF(Данные[[#This Row],[weighted_ext_score]]&lt;$O$3,Данные[[#This Row],[Базовая сумма]]*$O$4,N294))</f>
        <v>0</v>
      </c>
      <c r="P2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4" s="2">
        <f>ABS(Данные[[#This Row],[days_birth]])/365.2425</f>
        <v>64.811734669431956</v>
      </c>
      <c r="S2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4" s="2">
        <f>IF(Данные[[#This Row],[ interest_rate]]&gt;$T$1,Данные[[#This Row],[days_birth4]]*$T$2,Данные[[#This Row],[days_birth4]])</f>
        <v>0</v>
      </c>
      <c r="U294" s="2">
        <f>IF(Данные[[#This Row],[Проверка отказа]]="отказ",0,MAX(Данные[[#This Row],[interest_rate]],$C$1))</f>
        <v>0</v>
      </c>
      <c r="V294" s="2">
        <f>MROUND(Данные[[#This Row],[Минимум 20000]], 100)</f>
        <v>0</v>
      </c>
    </row>
    <row r="295" spans="1:22" x14ac:dyDescent="0.25">
      <c r="A295" s="2">
        <f>'1000_заявлений'!A289</f>
        <v>287</v>
      </c>
      <c r="B295" s="4">
        <f>VALUE(SUBSTITUTE('1000_заявлений'!B289, ".", ","))</f>
        <v>0.32312776154568701</v>
      </c>
      <c r="C295" s="4">
        <f>VALUE(SUBSTITUTE('1000_заявлений'!C289, ".", ","))</f>
        <v>0.43601686123032901</v>
      </c>
      <c r="D295" s="4">
        <f>VALUE(SUBSTITUTE('1000_заявлений'!D289, ".", ","))</f>
        <v>0.68170589999999998</v>
      </c>
      <c r="E295" s="4">
        <f>VALUE(SUBSTITUTE('1000_заявлений'!E289, ".", ","))</f>
        <v>0.58409610000000001</v>
      </c>
      <c r="F295" s="5">
        <f>VALUE(SUBSTITUTE('1000_заявлений'!F289, ".", ","))</f>
        <v>-3777</v>
      </c>
      <c r="G295" s="5">
        <f>VALUE(SUBSTITUTE('1000_заявлений'!G289, ".", ","))</f>
        <v>-11171</v>
      </c>
      <c r="H295" s="5">
        <f>VALUE(SUBSTITUTE('1000_заявлений'!H289, ".", ","))</f>
        <v>-3776</v>
      </c>
      <c r="I295" s="4">
        <f>VALUE(SUBSTITUTE('1000_заявлений'!I289, ".", ","))</f>
        <v>0.16527659574468001</v>
      </c>
      <c r="J295" s="4">
        <f>VALUE(SUBSTITUTE('1000_заявлений'!J289, ".", ","))</f>
        <v>5.3890726732501903</v>
      </c>
      <c r="K295" s="5">
        <f>VALUE(SUBSTITUTE('1000_заявлений'!K289, ".", ","))</f>
        <v>-2857</v>
      </c>
      <c r="L295" s="6">
        <f>VALUE(SUBSTITUTE('1000_заявлений'!L289, ".", ","))</f>
        <v>34956</v>
      </c>
      <c r="M295" s="2" t="str">
        <f>IF(Данные[[#This Row],[proba]]&gt;$C$6, "отказ", "одобрение")</f>
        <v>отказ</v>
      </c>
      <c r="N295" s="7">
        <f>IF(Данные[[#This Row],[proba]]&lt;$D$2,$C$2,IF(Данные[[#This Row],[proba]]&lt;$D$3,$C$3,IF(Данные[[#This Row],[proba]]&gt;$C$6,0,$C$4)))</f>
        <v>0</v>
      </c>
      <c r="O295" s="2">
        <f>IF(Данные[[#This Row],[weighted_ext_score]]&gt;$O$1,MIN(Данные[[#This Row],[Базовая сумма]]*$O$2,$C$2),IF(Данные[[#This Row],[weighted_ext_score]]&lt;$O$3,Данные[[#This Row],[Базовая сумма]]*$O$4,N295))</f>
        <v>0</v>
      </c>
      <c r="P2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5" s="2">
        <f>ABS(Данные[[#This Row],[days_birth]])/365.2425</f>
        <v>30.585159175068618</v>
      </c>
      <c r="S2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5" s="2">
        <f>IF(Данные[[#This Row],[ interest_rate]]&gt;$T$1,Данные[[#This Row],[days_birth4]]*$T$2,Данные[[#This Row],[days_birth4]])</f>
        <v>0</v>
      </c>
      <c r="U295" s="2">
        <f>IF(Данные[[#This Row],[Проверка отказа]]="отказ",0,MAX(Данные[[#This Row],[interest_rate]],$C$1))</f>
        <v>0</v>
      </c>
      <c r="V295" s="2">
        <f>MROUND(Данные[[#This Row],[Минимум 20000]], 100)</f>
        <v>0</v>
      </c>
    </row>
    <row r="296" spans="1:22" x14ac:dyDescent="0.25">
      <c r="A296" s="2">
        <f>'1000_заявлений'!A290</f>
        <v>288</v>
      </c>
      <c r="B296" s="4">
        <f>VALUE(SUBSTITUTE('1000_заявлений'!B290, ".", ","))</f>
        <v>0.27145547123492503</v>
      </c>
      <c r="C296" s="4">
        <f>VALUE(SUBSTITUTE('1000_заявлений'!C290, ".", ","))</f>
        <v>0.432733213399636</v>
      </c>
      <c r="D296" s="4">
        <f>VALUE(SUBSTITUTE('1000_заявлений'!D290, ".", ","))</f>
        <v>0.74355930000000003</v>
      </c>
      <c r="E296" s="4">
        <f>VALUE(SUBSTITUTE('1000_заявлений'!E290, ".", ","))</f>
        <v>0.50500940000000005</v>
      </c>
      <c r="F296" s="5">
        <f>VALUE(SUBSTITUTE('1000_заявлений'!F290, ".", ","))</f>
        <v>-7693</v>
      </c>
      <c r="G296" s="5">
        <f>VALUE(SUBSTITUTE('1000_заявлений'!G290, ".", ","))</f>
        <v>-19534</v>
      </c>
      <c r="H296" s="5">
        <f>VALUE(SUBSTITUTE('1000_заявлений'!H290, ".", ","))</f>
        <v>-3072</v>
      </c>
      <c r="I296" s="4">
        <f>VALUE(SUBSTITUTE('1000_заявлений'!I290, ".", ","))</f>
        <v>0.25093333333333301</v>
      </c>
      <c r="J296" s="4">
        <f>VALUE(SUBSTITUTE('1000_заявлений'!J290, ".", ","))</f>
        <v>2.63623902892857</v>
      </c>
      <c r="K296" s="5">
        <f>VALUE(SUBSTITUTE('1000_заявлений'!K290, ".", ","))</f>
        <v>365243</v>
      </c>
      <c r="L296" s="6">
        <f>VALUE(SUBSTITUTE('1000_заявлений'!L290, ".", ","))</f>
        <v>33876</v>
      </c>
      <c r="M296" s="2" t="str">
        <f>IF(Данные[[#This Row],[proba]]&gt;$C$6, "отказ", "одобрение")</f>
        <v>одобрение</v>
      </c>
      <c r="N296" s="7">
        <f>IF(Данные[[#This Row],[proba]]&lt;$D$2,$C$2,IF(Данные[[#This Row],[proba]]&lt;$D$3,$C$3,IF(Данные[[#This Row],[proba]]&gt;$C$6,0,$C$4)))</f>
        <v>100000</v>
      </c>
      <c r="O296" s="2">
        <f>IF(Данные[[#This Row],[weighted_ext_score]]&gt;$O$1,MIN(Данные[[#This Row],[Базовая сумма]]*$O$2,$C$2),IF(Данные[[#This Row],[weighted_ext_score]]&lt;$O$3,Данные[[#This Row],[Базовая сумма]]*$O$4,N296))</f>
        <v>100000</v>
      </c>
      <c r="P2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2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296" s="2">
        <f>ABS(Данные[[#This Row],[days_birth]])/365.2425</f>
        <v>53.482275474513507</v>
      </c>
      <c r="S2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296" s="2">
        <f>IF(Данные[[#This Row],[ interest_rate]]&gt;$T$1,Данные[[#This Row],[days_birth4]]*$T$2,Данные[[#This Row],[days_birth4]])</f>
        <v>105000</v>
      </c>
      <c r="U296" s="2">
        <f>IF(Данные[[#This Row],[Проверка отказа]]="отказ",0,MAX(Данные[[#This Row],[interest_rate]],$C$1))</f>
        <v>105000</v>
      </c>
      <c r="V296" s="2">
        <f>MROUND(Данные[[#This Row],[Минимум 20000]], 100)</f>
        <v>105000</v>
      </c>
    </row>
    <row r="297" spans="1:22" x14ac:dyDescent="0.25">
      <c r="A297" s="2">
        <f>'1000_заявлений'!A291</f>
        <v>289</v>
      </c>
      <c r="B297" s="4">
        <f>VALUE(SUBSTITUTE('1000_заявлений'!B291, ".", ","))</f>
        <v>0.712753741869109</v>
      </c>
      <c r="C297" s="4">
        <f>VALUE(SUBSTITUTE('1000_заявлений'!C291, ".", ","))</f>
        <v>0.18693726200230401</v>
      </c>
      <c r="D297" s="4">
        <f>VALUE(SUBSTITUTE('1000_заявлений'!D291, ".", ","))</f>
        <v>0.24719094</v>
      </c>
      <c r="E297" s="4">
        <f>VALUE(SUBSTITUTE('1000_заявлений'!E291, ".", ","))</f>
        <v>0.30068972999999999</v>
      </c>
      <c r="F297" s="5">
        <f>VALUE(SUBSTITUTE('1000_заявлений'!F291, ".", ","))</f>
        <v>-1432</v>
      </c>
      <c r="G297" s="5">
        <f>VALUE(SUBSTITUTE('1000_заявлений'!G291, ".", ","))</f>
        <v>-19651</v>
      </c>
      <c r="H297" s="5">
        <f>VALUE(SUBSTITUTE('1000_заявлений'!H291, ".", ","))</f>
        <v>-2052</v>
      </c>
      <c r="I297" s="4">
        <f>VALUE(SUBSTITUTE('1000_заявлений'!I291, ".", ","))</f>
        <v>0.22212499999999999</v>
      </c>
      <c r="J297" s="4">
        <f>VALUE(SUBSTITUTE('1000_заявлений'!J291, ".", ","))</f>
        <v>8.0269031250602598</v>
      </c>
      <c r="K297" s="5">
        <f>VALUE(SUBSTITUTE('1000_заявлений'!K291, ".", ","))</f>
        <v>365243</v>
      </c>
      <c r="L297" s="6">
        <f>VALUE(SUBSTITUTE('1000_заявлений'!L291, ".", ","))</f>
        <v>23989.5</v>
      </c>
      <c r="M297" s="2" t="str">
        <f>IF(Данные[[#This Row],[proba]]&gt;$C$6, "отказ", "одобрение")</f>
        <v>отказ</v>
      </c>
      <c r="N297" s="7">
        <f>IF(Данные[[#This Row],[proba]]&lt;$D$2,$C$2,IF(Данные[[#This Row],[proba]]&lt;$D$3,$C$3,IF(Данные[[#This Row],[proba]]&gt;$C$6,0,$C$4)))</f>
        <v>0</v>
      </c>
      <c r="O297" s="2">
        <f>IF(Данные[[#This Row],[weighted_ext_score]]&gt;$O$1,MIN(Данные[[#This Row],[Базовая сумма]]*$O$2,$C$2),IF(Данные[[#This Row],[weighted_ext_score]]&lt;$O$3,Данные[[#This Row],[Базовая сумма]]*$O$4,N297))</f>
        <v>0</v>
      </c>
      <c r="P2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7" s="2">
        <f>ABS(Данные[[#This Row],[days_birth]])/365.2425</f>
        <v>53.802610594331163</v>
      </c>
      <c r="S2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7" s="2">
        <f>IF(Данные[[#This Row],[ interest_rate]]&gt;$T$1,Данные[[#This Row],[days_birth4]]*$T$2,Данные[[#This Row],[days_birth4]])</f>
        <v>0</v>
      </c>
      <c r="U297" s="2">
        <f>IF(Данные[[#This Row],[Проверка отказа]]="отказ",0,MAX(Данные[[#This Row],[interest_rate]],$C$1))</f>
        <v>0</v>
      </c>
      <c r="V297" s="2">
        <f>MROUND(Данные[[#This Row],[Минимум 20000]], 100)</f>
        <v>0</v>
      </c>
    </row>
    <row r="298" spans="1:22" x14ac:dyDescent="0.25">
      <c r="A298" s="2">
        <f>'1000_заявлений'!A292</f>
        <v>290</v>
      </c>
      <c r="B298" s="4">
        <f>VALUE(SUBSTITUTE('1000_заявлений'!B292, ".", ","))</f>
        <v>0.430961908216348</v>
      </c>
      <c r="C298" s="4">
        <f>VALUE(SUBSTITUTE('1000_заявлений'!C292, ".", ","))</f>
        <v>0.51876977954459702</v>
      </c>
      <c r="D298" s="4">
        <f>VALUE(SUBSTITUTE('1000_заявлений'!D292, ".", ","))</f>
        <v>0.18848952999999999</v>
      </c>
      <c r="E298" s="4">
        <f>VALUE(SUBSTITUTE('1000_заявлений'!E292, ".", ","))</f>
        <v>0.63730043000000003</v>
      </c>
      <c r="F298" s="5">
        <f>VALUE(SUBSTITUTE('1000_заявлений'!F292, ".", ","))</f>
        <v>-8059</v>
      </c>
      <c r="G298" s="5">
        <f>VALUE(SUBSTITUTE('1000_заявлений'!G292, ".", ","))</f>
        <v>-18126</v>
      </c>
      <c r="H298" s="5">
        <f>VALUE(SUBSTITUTE('1000_заявлений'!H292, ".", ","))</f>
        <v>-1640</v>
      </c>
      <c r="I298" s="4">
        <f>VALUE(SUBSTITUTE('1000_заявлений'!I292, ".", ","))</f>
        <v>0.26151111111111103</v>
      </c>
      <c r="J298" s="4">
        <f>VALUE(SUBSTITUTE('1000_заявлений'!J292, ".", ","))</f>
        <v>18.409388429764999</v>
      </c>
      <c r="K298" s="5">
        <f>VALUE(SUBSTITUTE('1000_заявлений'!K292, ".", ","))</f>
        <v>-1611</v>
      </c>
      <c r="L298" s="6">
        <f>VALUE(SUBSTITUTE('1000_заявлений'!L292, ".", ","))</f>
        <v>52956</v>
      </c>
      <c r="M298" s="2" t="str">
        <f>IF(Данные[[#This Row],[proba]]&gt;$C$6, "отказ", "одобрение")</f>
        <v>отказ</v>
      </c>
      <c r="N298" s="7">
        <f>IF(Данные[[#This Row],[proba]]&lt;$D$2,$C$2,IF(Данные[[#This Row],[proba]]&lt;$D$3,$C$3,IF(Данные[[#This Row],[proba]]&gt;$C$6,0,$C$4)))</f>
        <v>0</v>
      </c>
      <c r="O298" s="2">
        <f>IF(Данные[[#This Row],[weighted_ext_score]]&gt;$O$1,MIN(Данные[[#This Row],[Базовая сумма]]*$O$2,$C$2),IF(Данные[[#This Row],[weighted_ext_score]]&lt;$O$3,Данные[[#This Row],[Базовая сумма]]*$O$4,N298))</f>
        <v>0</v>
      </c>
      <c r="P2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8" s="2">
        <f>ABS(Данные[[#This Row],[days_birth]])/365.2425</f>
        <v>49.627302408673685</v>
      </c>
      <c r="S2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8" s="2">
        <f>IF(Данные[[#This Row],[ interest_rate]]&gt;$T$1,Данные[[#This Row],[days_birth4]]*$T$2,Данные[[#This Row],[days_birth4]])</f>
        <v>0</v>
      </c>
      <c r="U298" s="2">
        <f>IF(Данные[[#This Row],[Проверка отказа]]="отказ",0,MAX(Данные[[#This Row],[interest_rate]],$C$1))</f>
        <v>0</v>
      </c>
      <c r="V298" s="2">
        <f>MROUND(Данные[[#This Row],[Минимум 20000]], 100)</f>
        <v>0</v>
      </c>
    </row>
    <row r="299" spans="1:22" x14ac:dyDescent="0.25">
      <c r="A299" s="2">
        <f>'1000_заявлений'!A293</f>
        <v>291</v>
      </c>
      <c r="B299" s="4">
        <f>VALUE(SUBSTITUTE('1000_заявлений'!B293, ".", ","))</f>
        <v>0.43520281492540602</v>
      </c>
      <c r="C299" s="4">
        <f>VALUE(SUBSTITUTE('1000_заявлений'!C293, ".", ","))</f>
        <v>0.35734370592303399</v>
      </c>
      <c r="D299" s="4">
        <f>VALUE(SUBSTITUTE('1000_заявлений'!D293, ".", ","))</f>
        <v>0.30314636</v>
      </c>
      <c r="E299" s="4">
        <f>VALUE(SUBSTITUTE('1000_заявлений'!E293, ".", ","))</f>
        <v>0.76363669999999995</v>
      </c>
      <c r="F299" s="5">
        <f>VALUE(SUBSTITUTE('1000_заявлений'!F293, ".", ","))</f>
        <v>-4589</v>
      </c>
      <c r="G299" s="5">
        <f>VALUE(SUBSTITUTE('1000_заявлений'!G293, ".", ","))</f>
        <v>-18164</v>
      </c>
      <c r="H299" s="5">
        <f>VALUE(SUBSTITUTE('1000_заявлений'!H293, ".", ","))</f>
        <v>-1618</v>
      </c>
      <c r="I299" s="4">
        <f>VALUE(SUBSTITUTE('1000_заявлений'!I293, ".", ","))</f>
        <v>6.3236842105263105E-2</v>
      </c>
      <c r="J299" s="4">
        <f>VALUE(SUBSTITUTE('1000_заявлений'!J293, ".", ","))</f>
        <v>8.3400937896283391</v>
      </c>
      <c r="K299" s="5">
        <f>VALUE(SUBSTITUTE('1000_заявлений'!K293, ".", ","))</f>
        <v>-865</v>
      </c>
      <c r="L299" s="6">
        <f>VALUE(SUBSTITUTE('1000_заявлений'!L293, ".", ","))</f>
        <v>10813.5</v>
      </c>
      <c r="M299" s="2" t="str">
        <f>IF(Данные[[#This Row],[proba]]&gt;$C$6, "отказ", "одобрение")</f>
        <v>отказ</v>
      </c>
      <c r="N299" s="7">
        <f>IF(Данные[[#This Row],[proba]]&lt;$D$2,$C$2,IF(Данные[[#This Row],[proba]]&lt;$D$3,$C$3,IF(Данные[[#This Row],[proba]]&gt;$C$6,0,$C$4)))</f>
        <v>0</v>
      </c>
      <c r="O299" s="2">
        <f>IF(Данные[[#This Row],[weighted_ext_score]]&gt;$O$1,MIN(Данные[[#This Row],[Базовая сумма]]*$O$2,$C$2),IF(Данные[[#This Row],[weighted_ext_score]]&lt;$O$3,Данные[[#This Row],[Базовая сумма]]*$O$4,N299))</f>
        <v>0</v>
      </c>
      <c r="P2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2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299" s="2">
        <f>ABS(Данные[[#This Row],[days_birth]])/365.2425</f>
        <v>49.731342874939251</v>
      </c>
      <c r="S2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299" s="2">
        <f>IF(Данные[[#This Row],[ interest_rate]]&gt;$T$1,Данные[[#This Row],[days_birth4]]*$T$2,Данные[[#This Row],[days_birth4]])</f>
        <v>0</v>
      </c>
      <c r="U299" s="2">
        <f>IF(Данные[[#This Row],[Проверка отказа]]="отказ",0,MAX(Данные[[#This Row],[interest_rate]],$C$1))</f>
        <v>0</v>
      </c>
      <c r="V299" s="2">
        <f>MROUND(Данные[[#This Row],[Минимум 20000]], 100)</f>
        <v>0</v>
      </c>
    </row>
    <row r="300" spans="1:22" x14ac:dyDescent="0.25">
      <c r="A300" s="2">
        <f>'1000_заявлений'!A294</f>
        <v>292</v>
      </c>
      <c r="B300" s="4">
        <f>VALUE(SUBSTITUTE('1000_заявлений'!B294, ".", ","))</f>
        <v>0.195426047979229</v>
      </c>
      <c r="C300" s="4">
        <f>VALUE(SUBSTITUTE('1000_заявлений'!C294, ".", ","))</f>
        <v>0.55486418697623696</v>
      </c>
      <c r="D300" s="4">
        <f>VALUE(SUBSTITUTE('1000_заявлений'!D294, ".", ","))</f>
        <v>0.81061804000000004</v>
      </c>
      <c r="E300" s="4">
        <f>VALUE(SUBSTITUTE('1000_заявлений'!E294, ".", ","))</f>
        <v>0.59457450000000001</v>
      </c>
      <c r="F300" s="5">
        <f>VALUE(SUBSTITUTE('1000_заявлений'!F294, ".", ","))</f>
        <v>-5065</v>
      </c>
      <c r="G300" s="5">
        <f>VALUE(SUBSTITUTE('1000_заявлений'!G294, ".", ","))</f>
        <v>-14313</v>
      </c>
      <c r="H300" s="5">
        <f>VALUE(SUBSTITUTE('1000_заявлений'!H294, ".", ","))</f>
        <v>-4287</v>
      </c>
      <c r="I300" s="4">
        <f>VALUE(SUBSTITUTE('1000_заявлений'!I294, ".", ","))</f>
        <v>0.140866666666666</v>
      </c>
      <c r="J300" s="4">
        <f>VALUE(SUBSTITUTE('1000_заявлений'!J294, ".", ","))</f>
        <v>8.9433348392310599</v>
      </c>
      <c r="K300" s="5">
        <f>VALUE(SUBSTITUTE('1000_заявлений'!K294, ".", ","))</f>
        <v>-3781</v>
      </c>
      <c r="L300" s="6">
        <f>VALUE(SUBSTITUTE('1000_заявлений'!L294, ".", ","))</f>
        <v>9508.5</v>
      </c>
      <c r="M300" s="2" t="str">
        <f>IF(Данные[[#This Row],[proba]]&gt;$C$6, "отказ", "одобрение")</f>
        <v>одобрение</v>
      </c>
      <c r="N300" s="7">
        <f>IF(Данные[[#This Row],[proba]]&lt;$D$2,$C$2,IF(Данные[[#This Row],[proba]]&lt;$D$3,$C$3,IF(Данные[[#This Row],[proba]]&gt;$C$6,0,$C$4)))</f>
        <v>300000</v>
      </c>
      <c r="O300" s="2">
        <f>IF(Данные[[#This Row],[weighted_ext_score]]&gt;$O$1,MIN(Данные[[#This Row],[Базовая сумма]]*$O$2,$C$2),IF(Данные[[#This Row],[weighted_ext_score]]&lt;$O$3,Данные[[#This Row],[Базовая сумма]]*$O$4,N300))</f>
        <v>300000</v>
      </c>
      <c r="P3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3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300" s="2">
        <f>ABS(Данные[[#This Row],[days_birth]])/365.2425</f>
        <v>39.187662991026507</v>
      </c>
      <c r="S3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300" s="2">
        <f>IF(Данные[[#This Row],[ interest_rate]]&gt;$T$1,Данные[[#This Row],[days_birth4]]*$T$2,Данные[[#This Row],[days_birth4]])</f>
        <v>432000</v>
      </c>
      <c r="U300" s="2">
        <f>IF(Данные[[#This Row],[Проверка отказа]]="отказ",0,MAX(Данные[[#This Row],[interest_rate]],$C$1))</f>
        <v>432000</v>
      </c>
      <c r="V300" s="2">
        <f>MROUND(Данные[[#This Row],[Минимум 20000]], 100)</f>
        <v>432000</v>
      </c>
    </row>
    <row r="301" spans="1:22" x14ac:dyDescent="0.25">
      <c r="A301" s="2">
        <f>'1000_заявлений'!A295</f>
        <v>293</v>
      </c>
      <c r="B301" s="4">
        <f>VALUE(SUBSTITUTE('1000_заявлений'!B295, ".", ","))</f>
        <v>0.76726938693246705</v>
      </c>
      <c r="C301" s="4">
        <f>VALUE(SUBSTITUTE('1000_заявлений'!C295, ".", ","))</f>
        <v>3.6080266018085901E-2</v>
      </c>
      <c r="D301" s="4">
        <f>VALUE(SUBSTITUTE('1000_заявлений'!D295, ".", ","))</f>
        <v>0.53527623000000002</v>
      </c>
      <c r="E301" s="4">
        <f>VALUE(SUBSTITUTE('1000_заявлений'!E295, ".", ","))</f>
        <v>0.111229464</v>
      </c>
      <c r="F301" s="5">
        <f>VALUE(SUBSTITUTE('1000_заявлений'!F295, ".", ","))</f>
        <v>-3784</v>
      </c>
      <c r="G301" s="5">
        <f>VALUE(SUBSTITUTE('1000_заявлений'!G295, ".", ","))</f>
        <v>-9326</v>
      </c>
      <c r="H301" s="5">
        <f>VALUE(SUBSTITUTE('1000_заявлений'!H295, ".", ","))</f>
        <v>-2013</v>
      </c>
      <c r="I301" s="4">
        <f>VALUE(SUBSTITUTE('1000_заявлений'!I295, ".", ","))</f>
        <v>0.1125</v>
      </c>
      <c r="J301" s="4">
        <f>VALUE(SUBSTITUTE('1000_заявлений'!J295, ".", ","))</f>
        <v>10.6209759779781</v>
      </c>
      <c r="K301" s="5">
        <f>VALUE(SUBSTITUTE('1000_заявлений'!K295, ".", ","))</f>
        <v>-379</v>
      </c>
      <c r="L301" s="6">
        <f>VALUE(SUBSTITUTE('1000_заявлений'!L295, ".", ","))</f>
        <v>10125</v>
      </c>
      <c r="M301" s="2" t="str">
        <f>IF(Данные[[#This Row],[proba]]&gt;$C$6, "отказ", "одобрение")</f>
        <v>отказ</v>
      </c>
      <c r="N301" s="7">
        <f>IF(Данные[[#This Row],[proba]]&lt;$D$2,$C$2,IF(Данные[[#This Row],[proba]]&lt;$D$3,$C$3,IF(Данные[[#This Row],[proba]]&gt;$C$6,0,$C$4)))</f>
        <v>0</v>
      </c>
      <c r="O301" s="2">
        <f>IF(Данные[[#This Row],[weighted_ext_score]]&gt;$O$1,MIN(Данные[[#This Row],[Базовая сумма]]*$O$2,$C$2),IF(Данные[[#This Row],[weighted_ext_score]]&lt;$O$3,Данные[[#This Row],[Базовая сумма]]*$O$4,N301))</f>
        <v>0</v>
      </c>
      <c r="P3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1" s="2">
        <f>ABS(Данные[[#This Row],[days_birth]])/365.2425</f>
        <v>25.533720747174822</v>
      </c>
      <c r="S3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1" s="2">
        <f>IF(Данные[[#This Row],[ interest_rate]]&gt;$T$1,Данные[[#This Row],[days_birth4]]*$T$2,Данные[[#This Row],[days_birth4]])</f>
        <v>0</v>
      </c>
      <c r="U301" s="2">
        <f>IF(Данные[[#This Row],[Проверка отказа]]="отказ",0,MAX(Данные[[#This Row],[interest_rate]],$C$1))</f>
        <v>0</v>
      </c>
      <c r="V301" s="2">
        <f>MROUND(Данные[[#This Row],[Минимум 20000]], 100)</f>
        <v>0</v>
      </c>
    </row>
    <row r="302" spans="1:22" x14ac:dyDescent="0.25">
      <c r="A302" s="2">
        <f>'1000_заявлений'!A296</f>
        <v>294</v>
      </c>
      <c r="B302" s="4">
        <f>VALUE(SUBSTITUTE('1000_заявлений'!B296, ".", ","))</f>
        <v>0.34147794630126499</v>
      </c>
      <c r="C302" s="4">
        <f>VALUE(SUBSTITUTE('1000_заявлений'!C296, ".", ","))</f>
        <v>0.38705239868492203</v>
      </c>
      <c r="D302" s="4">
        <f>VALUE(SUBSTITUTE('1000_заявлений'!D296, ".", ","))</f>
        <v>0.79813725000000002</v>
      </c>
      <c r="E302" s="4">
        <f>VALUE(SUBSTITUTE('1000_заявлений'!E296, ".", ","))</f>
        <v>0.30333107999999998</v>
      </c>
      <c r="F302" s="5">
        <f>VALUE(SUBSTITUTE('1000_заявлений'!F296, ".", ","))</f>
        <v>-6818</v>
      </c>
      <c r="G302" s="5">
        <f>VALUE(SUBSTITUTE('1000_заявлений'!G296, ".", ","))</f>
        <v>-18636</v>
      </c>
      <c r="H302" s="5">
        <f>VALUE(SUBSTITUTE('1000_заявлений'!H296, ".", ","))</f>
        <v>-2196</v>
      </c>
      <c r="I302" s="4">
        <f>VALUE(SUBSTITUTE('1000_заявлений'!I296, ".", ","))</f>
        <v>0.15232000000000001</v>
      </c>
      <c r="J302" s="4">
        <f>VALUE(SUBSTITUTE('1000_заявлений'!J296, ".", ","))</f>
        <v>8.1123976873015398</v>
      </c>
      <c r="K302" s="5">
        <f>VALUE(SUBSTITUTE('1000_заявлений'!K296, ".", ","))</f>
        <v>-1505</v>
      </c>
      <c r="L302" s="6">
        <f>VALUE(SUBSTITUTE('1000_заявлений'!L296, ".", ","))</f>
        <v>34272</v>
      </c>
      <c r="M302" s="2" t="str">
        <f>IF(Данные[[#This Row],[proba]]&gt;$C$6, "отказ", "одобрение")</f>
        <v>отказ</v>
      </c>
      <c r="N302" s="7">
        <f>IF(Данные[[#This Row],[proba]]&lt;$D$2,$C$2,IF(Данные[[#This Row],[proba]]&lt;$D$3,$C$3,IF(Данные[[#This Row],[proba]]&gt;$C$6,0,$C$4)))</f>
        <v>0</v>
      </c>
      <c r="O302" s="2">
        <f>IF(Данные[[#This Row],[weighted_ext_score]]&gt;$O$1,MIN(Данные[[#This Row],[Базовая сумма]]*$O$2,$C$2),IF(Данные[[#This Row],[weighted_ext_score]]&lt;$O$3,Данные[[#This Row],[Базовая сумма]]*$O$4,N302))</f>
        <v>0</v>
      </c>
      <c r="P3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2" s="2">
        <f>ABS(Данные[[#This Row],[days_birth]])/365.2425</f>
        <v>51.02363498223783</v>
      </c>
      <c r="S3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2" s="2">
        <f>IF(Данные[[#This Row],[ interest_rate]]&gt;$T$1,Данные[[#This Row],[days_birth4]]*$T$2,Данные[[#This Row],[days_birth4]])</f>
        <v>0</v>
      </c>
      <c r="U302" s="2">
        <f>IF(Данные[[#This Row],[Проверка отказа]]="отказ",0,MAX(Данные[[#This Row],[interest_rate]],$C$1))</f>
        <v>0</v>
      </c>
      <c r="V302" s="2">
        <f>MROUND(Данные[[#This Row],[Минимум 20000]], 100)</f>
        <v>0</v>
      </c>
    </row>
    <row r="303" spans="1:22" x14ac:dyDescent="0.25">
      <c r="A303" s="2">
        <f>'1000_заявлений'!A297</f>
        <v>295</v>
      </c>
      <c r="B303" s="4">
        <f>VALUE(SUBSTITUTE('1000_заявлений'!B297, ".", ","))</f>
        <v>0.31164967736433602</v>
      </c>
      <c r="C303" s="4">
        <f>VALUE(SUBSTITUTE('1000_заявлений'!C297, ".", ","))</f>
        <v>0.49509588221515</v>
      </c>
      <c r="D303" s="4">
        <f>VALUE(SUBSTITUTE('1000_заявлений'!D297, ".", ","))</f>
        <v>0.53527623000000002</v>
      </c>
      <c r="E303" s="4">
        <f>VALUE(SUBSTITUTE('1000_заявлений'!E297, ".", ","))</f>
        <v>0.62524290000000005</v>
      </c>
      <c r="F303" s="5">
        <f>VALUE(SUBSTITUTE('1000_заявлений'!F297, ".", ","))</f>
        <v>-2202</v>
      </c>
      <c r="G303" s="5">
        <f>VALUE(SUBSTITUTE('1000_заявлений'!G297, ".", ","))</f>
        <v>-16895</v>
      </c>
      <c r="H303" s="5">
        <f>VALUE(SUBSTITUTE('1000_заявлений'!H297, ".", ","))</f>
        <v>-449</v>
      </c>
      <c r="I303" s="4">
        <f>VALUE(SUBSTITUTE('1000_заявлений'!I297, ".", ","))</f>
        <v>0.14124999999999999</v>
      </c>
      <c r="J303" s="4">
        <f>VALUE(SUBSTITUTE('1000_заявлений'!J297, ".", ","))</f>
        <v>9.7012444324693305</v>
      </c>
      <c r="K303" s="5">
        <f>VALUE(SUBSTITUTE('1000_заявлений'!K297, ".", ","))</f>
        <v>-679</v>
      </c>
      <c r="L303" s="6">
        <f>VALUE(SUBSTITUTE('1000_заявлений'!L297, ".", ","))</f>
        <v>50850</v>
      </c>
      <c r="M303" s="2" t="str">
        <f>IF(Данные[[#This Row],[proba]]&gt;$C$6, "отказ", "одобрение")</f>
        <v>отказ</v>
      </c>
      <c r="N303" s="7">
        <f>IF(Данные[[#This Row],[proba]]&lt;$D$2,$C$2,IF(Данные[[#This Row],[proba]]&lt;$D$3,$C$3,IF(Данные[[#This Row],[proba]]&gt;$C$6,0,$C$4)))</f>
        <v>0</v>
      </c>
      <c r="O303" s="2">
        <f>IF(Данные[[#This Row],[weighted_ext_score]]&gt;$O$1,MIN(Данные[[#This Row],[Базовая сумма]]*$O$2,$C$2),IF(Данные[[#This Row],[weighted_ext_score]]&lt;$O$3,Данные[[#This Row],[Базовая сумма]]*$O$4,N303))</f>
        <v>0</v>
      </c>
      <c r="P3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3" s="2">
        <f>ABS(Данные[[#This Row],[days_birth]])/365.2425</f>
        <v>46.256938883070838</v>
      </c>
      <c r="S3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3" s="2">
        <f>IF(Данные[[#This Row],[ interest_rate]]&gt;$T$1,Данные[[#This Row],[days_birth4]]*$T$2,Данные[[#This Row],[days_birth4]])</f>
        <v>0</v>
      </c>
      <c r="U303" s="2">
        <f>IF(Данные[[#This Row],[Проверка отказа]]="отказ",0,MAX(Данные[[#This Row],[interest_rate]],$C$1))</f>
        <v>0</v>
      </c>
      <c r="V303" s="2">
        <f>MROUND(Данные[[#This Row],[Минимум 20000]], 100)</f>
        <v>0</v>
      </c>
    </row>
    <row r="304" spans="1:22" x14ac:dyDescent="0.25">
      <c r="A304" s="2">
        <f>'1000_заявлений'!A298</f>
        <v>296</v>
      </c>
      <c r="B304" s="4">
        <f>VALUE(SUBSTITUTE('1000_заявлений'!B298, ".", ","))</f>
        <v>0.21233986792039999</v>
      </c>
      <c r="C304" s="4">
        <f>VALUE(SUBSTITUTE('1000_заявлений'!C298, ".", ","))</f>
        <v>0.47747945549591803</v>
      </c>
      <c r="D304" s="4">
        <f>VALUE(SUBSTITUTE('1000_заявлений'!D298, ".", ","))</f>
        <v>0.63804349999999999</v>
      </c>
      <c r="E304" s="4">
        <f>VALUE(SUBSTITUTE('1000_заявлений'!E298, ".", ","))</f>
        <v>0.76060000000000005</v>
      </c>
      <c r="F304" s="5">
        <f>VALUE(SUBSTITUTE('1000_заявлений'!F298, ".", ","))</f>
        <v>-6436</v>
      </c>
      <c r="G304" s="5">
        <f>VALUE(SUBSTITUTE('1000_заявлений'!G298, ".", ","))</f>
        <v>-19504</v>
      </c>
      <c r="H304" s="5">
        <f>VALUE(SUBSTITUTE('1000_заявлений'!H298, ".", ","))</f>
        <v>-2759</v>
      </c>
      <c r="I304" s="4">
        <f>VALUE(SUBSTITUTE('1000_заявлений'!I298, ".", ","))</f>
        <v>0.26105</v>
      </c>
      <c r="J304" s="4">
        <f>VALUE(SUBSTITUTE('1000_заявлений'!J298, ".", ","))</f>
        <v>16.285286095096101</v>
      </c>
      <c r="K304" s="5">
        <f>VALUE(SUBSTITUTE('1000_заявлений'!K298, ".", ","))</f>
        <v>-12233</v>
      </c>
      <c r="L304" s="6">
        <f>VALUE(SUBSTITUTE('1000_заявлений'!L298, ".", ","))</f>
        <v>23494.5</v>
      </c>
      <c r="M304" s="2" t="str">
        <f>IF(Данные[[#This Row],[proba]]&gt;$C$6, "отказ", "одобрение")</f>
        <v>одобрение</v>
      </c>
      <c r="N304" s="7">
        <f>IF(Данные[[#This Row],[proba]]&lt;$D$2,$C$2,IF(Данные[[#This Row],[proba]]&lt;$D$3,$C$3,IF(Данные[[#This Row],[proba]]&gt;$C$6,0,$C$4)))</f>
        <v>100000</v>
      </c>
      <c r="O304" s="2">
        <f>IF(Данные[[#This Row],[weighted_ext_score]]&gt;$O$1,MIN(Данные[[#This Row],[Базовая сумма]]*$O$2,$C$2),IF(Данные[[#This Row],[weighted_ext_score]]&lt;$O$3,Данные[[#This Row],[Базовая сумма]]*$O$4,N304))</f>
        <v>100000</v>
      </c>
      <c r="P3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04" s="2">
        <f>ABS(Данные[[#This Row],[days_birth]])/365.2425</f>
        <v>53.400138264303855</v>
      </c>
      <c r="S3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04" s="2">
        <f>IF(Данные[[#This Row],[ interest_rate]]&gt;$T$1,Данные[[#This Row],[days_birth4]]*$T$2,Данные[[#This Row],[days_birth4]])</f>
        <v>126000</v>
      </c>
      <c r="U304" s="2">
        <f>IF(Данные[[#This Row],[Проверка отказа]]="отказ",0,MAX(Данные[[#This Row],[interest_rate]],$C$1))</f>
        <v>126000</v>
      </c>
      <c r="V304" s="2">
        <f>MROUND(Данные[[#This Row],[Минимум 20000]], 100)</f>
        <v>126000</v>
      </c>
    </row>
    <row r="305" spans="1:22" x14ac:dyDescent="0.25">
      <c r="A305" s="2">
        <f>'1000_заявлений'!A299</f>
        <v>297</v>
      </c>
      <c r="B305" s="4">
        <f>VALUE(SUBSTITUTE('1000_заявлений'!B299, ".", ","))</f>
        <v>0.39903093849242999</v>
      </c>
      <c r="C305" s="4">
        <f>VALUE(SUBSTITUTE('1000_заявлений'!C299, ".", ","))</f>
        <v>0.36519385267400301</v>
      </c>
      <c r="D305" s="4">
        <f>VALUE(SUBSTITUTE('1000_заявлений'!D299, ".", ","))</f>
        <v>0.52809273999999995</v>
      </c>
      <c r="E305" s="4">
        <f>VALUE(SUBSTITUTE('1000_заявлений'!E299, ".", ","))</f>
        <v>0.53703230000000002</v>
      </c>
      <c r="F305" s="5">
        <f>VALUE(SUBSTITUTE('1000_заявлений'!F299, ".", ","))</f>
        <v>-8172</v>
      </c>
      <c r="G305" s="5">
        <f>VALUE(SUBSTITUTE('1000_заявлений'!G299, ".", ","))</f>
        <v>-14432</v>
      </c>
      <c r="H305" s="5">
        <f>VALUE(SUBSTITUTE('1000_заявлений'!H299, ".", ","))</f>
        <v>-4112</v>
      </c>
      <c r="I305" s="4">
        <f>VALUE(SUBSTITUTE('1000_заявлений'!I299, ".", ","))</f>
        <v>0.12</v>
      </c>
      <c r="J305" s="4">
        <f>VALUE(SUBSTITUTE('1000_заявлений'!J299, ".", ","))</f>
        <v>10.6209759779781</v>
      </c>
      <c r="K305" s="5">
        <f>VALUE(SUBSTITUTE('1000_заявлений'!K299, ".", ","))</f>
        <v>-2728</v>
      </c>
      <c r="L305" s="6">
        <f>VALUE(SUBSTITUTE('1000_заявлений'!L299, ".", ","))</f>
        <v>13500</v>
      </c>
      <c r="M305" s="2" t="str">
        <f>IF(Данные[[#This Row],[proba]]&gt;$C$6, "отказ", "одобрение")</f>
        <v>отказ</v>
      </c>
      <c r="N305" s="7">
        <f>IF(Данные[[#This Row],[proba]]&lt;$D$2,$C$2,IF(Данные[[#This Row],[proba]]&lt;$D$3,$C$3,IF(Данные[[#This Row],[proba]]&gt;$C$6,0,$C$4)))</f>
        <v>0</v>
      </c>
      <c r="O305" s="2">
        <f>IF(Данные[[#This Row],[weighted_ext_score]]&gt;$O$1,MIN(Данные[[#This Row],[Базовая сумма]]*$O$2,$C$2),IF(Данные[[#This Row],[weighted_ext_score]]&lt;$O$3,Данные[[#This Row],[Базовая сумма]]*$O$4,N305))</f>
        <v>0</v>
      </c>
      <c r="P3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5" s="2">
        <f>ABS(Данные[[#This Row],[days_birth]])/365.2425</f>
        <v>39.51347392485814</v>
      </c>
      <c r="S3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5" s="2">
        <f>IF(Данные[[#This Row],[ interest_rate]]&gt;$T$1,Данные[[#This Row],[days_birth4]]*$T$2,Данные[[#This Row],[days_birth4]])</f>
        <v>0</v>
      </c>
      <c r="U305" s="2">
        <f>IF(Данные[[#This Row],[Проверка отказа]]="отказ",0,MAX(Данные[[#This Row],[interest_rate]],$C$1))</f>
        <v>0</v>
      </c>
      <c r="V305" s="2">
        <f>MROUND(Данные[[#This Row],[Минимум 20000]], 100)</f>
        <v>0</v>
      </c>
    </row>
    <row r="306" spans="1:22" x14ac:dyDescent="0.25">
      <c r="A306" s="2">
        <f>'1000_заявлений'!A300</f>
        <v>298</v>
      </c>
      <c r="B306" s="4">
        <f>VALUE(SUBSTITUTE('1000_заявлений'!B300, ".", ","))</f>
        <v>0.58557374641529203</v>
      </c>
      <c r="C306" s="4">
        <f>VALUE(SUBSTITUTE('1000_заявлений'!C300, ".", ","))</f>
        <v>0.40930563145879001</v>
      </c>
      <c r="D306" s="4">
        <f>VALUE(SUBSTITUTE('1000_заявлений'!D300, ".", ","))</f>
        <v>0.2091547</v>
      </c>
      <c r="E306" s="4">
        <f>VALUE(SUBSTITUTE('1000_заявлений'!E300, ".", ","))</f>
        <v>0.65324070000000001</v>
      </c>
      <c r="F306" s="5">
        <f>VALUE(SUBSTITUTE('1000_заявлений'!F300, ".", ","))</f>
        <v>-11042</v>
      </c>
      <c r="G306" s="5">
        <f>VALUE(SUBSTITUTE('1000_заявлений'!G300, ".", ","))</f>
        <v>-11050</v>
      </c>
      <c r="H306" s="5">
        <f>VALUE(SUBSTITUTE('1000_заявлений'!H300, ".", ","))</f>
        <v>-1845</v>
      </c>
      <c r="I306" s="4">
        <f>VALUE(SUBSTITUTE('1000_заявлений'!I300, ".", ","))</f>
        <v>0.15834999999999999</v>
      </c>
      <c r="J306" s="4">
        <f>VALUE(SUBSTITUTE('1000_заявлений'!J300, ".", ","))</f>
        <v>1.8700185498822901</v>
      </c>
      <c r="K306" s="5">
        <f>VALUE(SUBSTITUTE('1000_заявлений'!K300, ".", ","))</f>
        <v>-650</v>
      </c>
      <c r="L306" s="6">
        <f>VALUE(SUBSTITUTE('1000_заявлений'!L300, ".", ","))</f>
        <v>28503</v>
      </c>
      <c r="M306" s="2" t="str">
        <f>IF(Данные[[#This Row],[proba]]&gt;$C$6, "отказ", "одобрение")</f>
        <v>отказ</v>
      </c>
      <c r="N306" s="7">
        <f>IF(Данные[[#This Row],[proba]]&lt;$D$2,$C$2,IF(Данные[[#This Row],[proba]]&lt;$D$3,$C$3,IF(Данные[[#This Row],[proba]]&gt;$C$6,0,$C$4)))</f>
        <v>0</v>
      </c>
      <c r="O306" s="2">
        <f>IF(Данные[[#This Row],[weighted_ext_score]]&gt;$O$1,MIN(Данные[[#This Row],[Базовая сумма]]*$O$2,$C$2),IF(Данные[[#This Row],[weighted_ext_score]]&lt;$O$3,Данные[[#This Row],[Базовая сумма]]*$O$4,N306))</f>
        <v>0</v>
      </c>
      <c r="P3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6" s="2">
        <f>ABS(Данные[[#This Row],[days_birth]])/365.2425</f>
        <v>30.253872427223008</v>
      </c>
      <c r="S3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6" s="2">
        <f>IF(Данные[[#This Row],[ interest_rate]]&gt;$T$1,Данные[[#This Row],[days_birth4]]*$T$2,Данные[[#This Row],[days_birth4]])</f>
        <v>0</v>
      </c>
      <c r="U306" s="2">
        <f>IF(Данные[[#This Row],[Проверка отказа]]="отказ",0,MAX(Данные[[#This Row],[interest_rate]],$C$1))</f>
        <v>0</v>
      </c>
      <c r="V306" s="2">
        <f>MROUND(Данные[[#This Row],[Минимум 20000]], 100)</f>
        <v>0</v>
      </c>
    </row>
    <row r="307" spans="1:22" x14ac:dyDescent="0.25">
      <c r="A307" s="2">
        <f>'1000_заявлений'!A301</f>
        <v>299</v>
      </c>
      <c r="B307" s="4">
        <f>VALUE(SUBSTITUTE('1000_заявлений'!B301, ".", ","))</f>
        <v>0.221424694729736</v>
      </c>
      <c r="C307" s="4">
        <f>VALUE(SUBSTITUTE('1000_заявлений'!C301, ".", ","))</f>
        <v>0.50363771004749303</v>
      </c>
      <c r="D307" s="4">
        <f>VALUE(SUBSTITUTE('1000_заявлений'!D301, ".", ","))</f>
        <v>0.77263110000000002</v>
      </c>
      <c r="E307" s="4">
        <f>VALUE(SUBSTITUTE('1000_заявлений'!E301, ".", ","))</f>
        <v>0.69118243000000001</v>
      </c>
      <c r="F307" s="5">
        <f>VALUE(SUBSTITUTE('1000_заявлений'!F301, ".", ","))</f>
        <v>-712</v>
      </c>
      <c r="G307" s="5">
        <f>VALUE(SUBSTITUTE('1000_заявлений'!G301, ".", ","))</f>
        <v>-17735</v>
      </c>
      <c r="H307" s="5">
        <f>VALUE(SUBSTITUTE('1000_заявлений'!H301, ".", ","))</f>
        <v>-1289</v>
      </c>
      <c r="I307" s="4">
        <f>VALUE(SUBSTITUTE('1000_заявлений'!I301, ".", ","))</f>
        <v>0.19070000000000001</v>
      </c>
      <c r="J307" s="4">
        <f>VALUE(SUBSTITUTE('1000_заявлений'!J301, ".", ","))</f>
        <v>4.4877030995023697</v>
      </c>
      <c r="K307" s="5">
        <f>VALUE(SUBSTITUTE('1000_заявлений'!K301, ".", ","))</f>
        <v>-1739</v>
      </c>
      <c r="L307" s="6">
        <f>VALUE(SUBSTITUTE('1000_заявлений'!L301, ".", ","))</f>
        <v>34326</v>
      </c>
      <c r="M307" s="2" t="str">
        <f>IF(Данные[[#This Row],[proba]]&gt;$C$6, "отказ", "одобрение")</f>
        <v>одобрение</v>
      </c>
      <c r="N307" s="7">
        <f>IF(Данные[[#This Row],[proba]]&lt;$D$2,$C$2,IF(Данные[[#This Row],[proba]]&lt;$D$3,$C$3,IF(Данные[[#This Row],[proba]]&gt;$C$6,0,$C$4)))</f>
        <v>100000</v>
      </c>
      <c r="O307" s="2">
        <f>IF(Данные[[#This Row],[weighted_ext_score]]&gt;$O$1,MIN(Данные[[#This Row],[Базовая сумма]]*$O$2,$C$2),IF(Данные[[#This Row],[weighted_ext_score]]&lt;$O$3,Данные[[#This Row],[Базовая сумма]]*$O$4,N307))</f>
        <v>100000</v>
      </c>
      <c r="P3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307" s="2">
        <f>ABS(Данные[[#This Row],[days_birth]])/365.2425</f>
        <v>48.556780768941181</v>
      </c>
      <c r="S3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307" s="2">
        <f>IF(Данные[[#This Row],[ interest_rate]]&gt;$T$1,Данные[[#This Row],[days_birth4]]*$T$2,Данные[[#This Row],[days_birth4]])</f>
        <v>84000</v>
      </c>
      <c r="U307" s="2">
        <f>IF(Данные[[#This Row],[Проверка отказа]]="отказ",0,MAX(Данные[[#This Row],[interest_rate]],$C$1))</f>
        <v>84000</v>
      </c>
      <c r="V307" s="2">
        <f>MROUND(Данные[[#This Row],[Минимум 20000]], 100)</f>
        <v>84000</v>
      </c>
    </row>
    <row r="308" spans="1:22" x14ac:dyDescent="0.25">
      <c r="A308" s="2">
        <f>'1000_заявлений'!A302</f>
        <v>300</v>
      </c>
      <c r="B308" s="4">
        <f>VALUE(SUBSTITUTE('1000_заявлений'!B302, ".", ","))</f>
        <v>9.0727238286946205E-2</v>
      </c>
      <c r="C308" s="4">
        <f>VALUE(SUBSTITUTE('1000_заявлений'!C302, ".", ","))</f>
        <v>0.74067939964783103</v>
      </c>
      <c r="D308" s="4">
        <f>VALUE(SUBSTITUTE('1000_заявлений'!D302, ".", ","))</f>
        <v>0.83478414999999995</v>
      </c>
      <c r="E308" s="4">
        <f>VALUE(SUBSTITUTE('1000_заявлений'!E302, ".", ","))</f>
        <v>0.64656866000000002</v>
      </c>
      <c r="F308" s="5">
        <f>VALUE(SUBSTITUTE('1000_заявлений'!F302, ".", ","))</f>
        <v>-8248</v>
      </c>
      <c r="G308" s="5">
        <f>VALUE(SUBSTITUTE('1000_заявлений'!G302, ".", ","))</f>
        <v>-21517</v>
      </c>
      <c r="H308" s="5">
        <f>VALUE(SUBSTITUTE('1000_заявлений'!H302, ".", ","))</f>
        <v>-4830</v>
      </c>
      <c r="I308" s="4">
        <f>VALUE(SUBSTITUTE('1000_заявлений'!I302, ".", ","))</f>
        <v>0.21392307692307599</v>
      </c>
      <c r="J308" s="4">
        <f>VALUE(SUBSTITUTE('1000_заявлений'!J302, ".", ","))</f>
        <v>2.9654155270490001</v>
      </c>
      <c r="K308" s="5">
        <f>VALUE(SUBSTITUTE('1000_заявлений'!K302, ".", ","))</f>
        <v>365243</v>
      </c>
      <c r="L308" s="6">
        <f>VALUE(SUBSTITUTE('1000_заявлений'!L302, ".", ","))</f>
        <v>62572.5</v>
      </c>
      <c r="M308" s="2" t="str">
        <f>IF(Данные[[#This Row],[proba]]&gt;$C$6, "отказ", "одобрение")</f>
        <v>одобрение</v>
      </c>
      <c r="N308" s="7">
        <f>IF(Данные[[#This Row],[proba]]&lt;$D$2,$C$2,IF(Данные[[#This Row],[proba]]&lt;$D$3,$C$3,IF(Данные[[#This Row],[proba]]&gt;$C$6,0,$C$4)))</f>
        <v>500000</v>
      </c>
      <c r="O308" s="2">
        <f>IF(Данные[[#This Row],[weighted_ext_score]]&gt;$O$1,MIN(Данные[[#This Row],[Базовая сумма]]*$O$2,$C$2),IF(Данные[[#This Row],[weighted_ext_score]]&lt;$O$3,Данные[[#This Row],[Базовая сумма]]*$O$4,N308))</f>
        <v>500000</v>
      </c>
      <c r="P3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500000</v>
      </c>
      <c r="Q3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308" s="2">
        <f>ABS(Данные[[#This Row],[days_birth]])/365.2425</f>
        <v>58.911545069371719</v>
      </c>
      <c r="S3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308" s="2">
        <f>IF(Данные[[#This Row],[ interest_rate]]&gt;$T$1,Данные[[#This Row],[days_birth4]]*$T$2,Данные[[#This Row],[days_birth4]])</f>
        <v>500000</v>
      </c>
      <c r="U308" s="2">
        <f>IF(Данные[[#This Row],[Проверка отказа]]="отказ",0,MAX(Данные[[#This Row],[interest_rate]],$C$1))</f>
        <v>500000</v>
      </c>
      <c r="V308" s="2">
        <f>MROUND(Данные[[#This Row],[Минимум 20000]], 100)</f>
        <v>500000</v>
      </c>
    </row>
    <row r="309" spans="1:22" x14ac:dyDescent="0.25">
      <c r="A309" s="2">
        <f>'1000_заявлений'!A303</f>
        <v>301</v>
      </c>
      <c r="B309" s="4">
        <f>VALUE(SUBSTITUTE('1000_заявлений'!B303, ".", ","))</f>
        <v>0.67407006895999</v>
      </c>
      <c r="C309" s="4">
        <f>VALUE(SUBSTITUTE('1000_заявлений'!C303, ".", ","))</f>
        <v>0.27108286540114401</v>
      </c>
      <c r="D309" s="4">
        <f>VALUE(SUBSTITUTE('1000_заявлений'!D303, ".", ","))</f>
        <v>0.24054141000000001</v>
      </c>
      <c r="E309" s="4">
        <f>VALUE(SUBSTITUTE('1000_заявлений'!E303, ".", ","))</f>
        <v>0.39526084</v>
      </c>
      <c r="F309" s="5">
        <f>VALUE(SUBSTITUTE('1000_заявлений'!F303, ".", ","))</f>
        <v>-7538</v>
      </c>
      <c r="G309" s="5">
        <f>VALUE(SUBSTITUTE('1000_заявлений'!G303, ".", ","))</f>
        <v>-14134</v>
      </c>
      <c r="H309" s="5">
        <f>VALUE(SUBSTITUTE('1000_заявлений'!H303, ".", ","))</f>
        <v>-4392</v>
      </c>
      <c r="I309" s="4">
        <f>VALUE(SUBSTITUTE('1000_заявлений'!I303, ".", ","))</f>
        <v>0.126944444444444</v>
      </c>
      <c r="J309" s="4">
        <f>VALUE(SUBSTITUTE('1000_заявлений'!J303, ".", ","))</f>
        <v>2.4324082973854901</v>
      </c>
      <c r="K309" s="5">
        <f>VALUE(SUBSTITUTE('1000_заявлений'!K303, ".", ","))</f>
        <v>-2327</v>
      </c>
      <c r="L309" s="6">
        <f>VALUE(SUBSTITUTE('1000_заявлений'!L303, ".", ","))</f>
        <v>51412.5</v>
      </c>
      <c r="M309" s="2" t="str">
        <f>IF(Данные[[#This Row],[proba]]&gt;$C$6, "отказ", "одобрение")</f>
        <v>отказ</v>
      </c>
      <c r="N309" s="7">
        <f>IF(Данные[[#This Row],[proba]]&lt;$D$2,$C$2,IF(Данные[[#This Row],[proba]]&lt;$D$3,$C$3,IF(Данные[[#This Row],[proba]]&gt;$C$6,0,$C$4)))</f>
        <v>0</v>
      </c>
      <c r="O309" s="2">
        <f>IF(Данные[[#This Row],[weighted_ext_score]]&gt;$O$1,MIN(Данные[[#This Row],[Базовая сумма]]*$O$2,$C$2),IF(Данные[[#This Row],[weighted_ext_score]]&lt;$O$3,Данные[[#This Row],[Базовая сумма]]*$O$4,N309))</f>
        <v>0</v>
      </c>
      <c r="P3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09" s="2">
        <f>ABS(Данные[[#This Row],[days_birth]])/365.2425</f>
        <v>38.697577636775563</v>
      </c>
      <c r="S3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09" s="2">
        <f>IF(Данные[[#This Row],[ interest_rate]]&gt;$T$1,Данные[[#This Row],[days_birth4]]*$T$2,Данные[[#This Row],[days_birth4]])</f>
        <v>0</v>
      </c>
      <c r="U309" s="2">
        <f>IF(Данные[[#This Row],[Проверка отказа]]="отказ",0,MAX(Данные[[#This Row],[interest_rate]],$C$1))</f>
        <v>0</v>
      </c>
      <c r="V309" s="2">
        <f>MROUND(Данные[[#This Row],[Минимум 20000]], 100)</f>
        <v>0</v>
      </c>
    </row>
    <row r="310" spans="1:22" x14ac:dyDescent="0.25">
      <c r="A310" s="2">
        <f>'1000_заявлений'!A304</f>
        <v>302</v>
      </c>
      <c r="B310" s="4">
        <f>VALUE(SUBSTITUTE('1000_заявлений'!B304, ".", ","))</f>
        <v>0.44506518567798498</v>
      </c>
      <c r="C310" s="4">
        <f>VALUE(SUBSTITUTE('1000_заявлений'!C304, ".", ","))</f>
        <v>0.45701798180880698</v>
      </c>
      <c r="D310" s="4">
        <f>VALUE(SUBSTITUTE('1000_заявлений'!D304, ".", ","))</f>
        <v>0.54244510000000001</v>
      </c>
      <c r="E310" s="4">
        <f>VALUE(SUBSTITUTE('1000_заявлений'!E304, ".", ","))</f>
        <v>0.51672982999999995</v>
      </c>
      <c r="F310" s="5">
        <f>VALUE(SUBSTITUTE('1000_заявлений'!F304, ".", ","))</f>
        <v>-1603</v>
      </c>
      <c r="G310" s="5">
        <f>VALUE(SUBSTITUTE('1000_заявлений'!G304, ".", ","))</f>
        <v>-10398</v>
      </c>
      <c r="H310" s="5">
        <f>VALUE(SUBSTITUTE('1000_заявлений'!H304, ".", ","))</f>
        <v>-2955</v>
      </c>
      <c r="I310" s="4">
        <f>VALUE(SUBSTITUTE('1000_заявлений'!I304, ".", ","))</f>
        <v>0.16214285714285701</v>
      </c>
      <c r="J310" s="4">
        <f>VALUE(SUBSTITUTE('1000_заявлений'!J304, ".", ","))</f>
        <v>3.2308359537540801</v>
      </c>
      <c r="K310" s="5">
        <f>VALUE(SUBSTITUTE('1000_заявлений'!K304, ".", ","))</f>
        <v>-872</v>
      </c>
      <c r="L310" s="6">
        <f>VALUE(SUBSTITUTE('1000_заявлений'!L304, ".", ","))</f>
        <v>25537.5</v>
      </c>
      <c r="M310" s="2" t="str">
        <f>IF(Данные[[#This Row],[proba]]&gt;$C$6, "отказ", "одобрение")</f>
        <v>отказ</v>
      </c>
      <c r="N310" s="7">
        <f>IF(Данные[[#This Row],[proba]]&lt;$D$2,$C$2,IF(Данные[[#This Row],[proba]]&lt;$D$3,$C$3,IF(Данные[[#This Row],[proba]]&gt;$C$6,0,$C$4)))</f>
        <v>0</v>
      </c>
      <c r="O310" s="2">
        <f>IF(Данные[[#This Row],[weighted_ext_score]]&gt;$O$1,MIN(Данные[[#This Row],[Базовая сумма]]*$O$2,$C$2),IF(Данные[[#This Row],[weighted_ext_score]]&lt;$O$3,Данные[[#This Row],[Базовая сумма]]*$O$4,N310))</f>
        <v>0</v>
      </c>
      <c r="P3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0" s="2">
        <f>ABS(Данные[[#This Row],[days_birth]])/365.2425</f>
        <v>28.468757058666501</v>
      </c>
      <c r="S3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0" s="2">
        <f>IF(Данные[[#This Row],[ interest_rate]]&gt;$T$1,Данные[[#This Row],[days_birth4]]*$T$2,Данные[[#This Row],[days_birth4]])</f>
        <v>0</v>
      </c>
      <c r="U310" s="2">
        <f>IF(Данные[[#This Row],[Проверка отказа]]="отказ",0,MAX(Данные[[#This Row],[interest_rate]],$C$1))</f>
        <v>0</v>
      </c>
      <c r="V310" s="2">
        <f>MROUND(Данные[[#This Row],[Минимум 20000]], 100)</f>
        <v>0</v>
      </c>
    </row>
    <row r="311" spans="1:22" x14ac:dyDescent="0.25">
      <c r="A311" s="2">
        <f>'1000_заявлений'!A305</f>
        <v>303</v>
      </c>
      <c r="B311" s="4">
        <f>VALUE(SUBSTITUTE('1000_заявлений'!B305, ".", ","))</f>
        <v>0.28948008221621702</v>
      </c>
      <c r="C311" s="4">
        <f>VALUE(SUBSTITUTE('1000_заявлений'!C305, ".", ","))</f>
        <v>0.54096370119338499</v>
      </c>
      <c r="D311" s="4">
        <f>VALUE(SUBSTITUTE('1000_заявлений'!D305, ".", ","))</f>
        <v>0.65126019999999996</v>
      </c>
      <c r="E311" s="4">
        <f>VALUE(SUBSTITUTE('1000_заявлений'!E305, ".", ","))</f>
        <v>0.61571670000000001</v>
      </c>
      <c r="F311" s="5">
        <f>VALUE(SUBSTITUTE('1000_заявлений'!F305, ".", ","))</f>
        <v>-4366</v>
      </c>
      <c r="G311" s="5">
        <f>VALUE(SUBSTITUTE('1000_заявлений'!G305, ".", ","))</f>
        <v>-12147</v>
      </c>
      <c r="H311" s="5">
        <f>VALUE(SUBSTITUTE('1000_заявлений'!H305, ".", ","))</f>
        <v>-3548</v>
      </c>
      <c r="I311" s="4">
        <f>VALUE(SUBSTITUTE('1000_заявлений'!I305, ".", ","))</f>
        <v>0.206383333333333</v>
      </c>
      <c r="J311" s="4">
        <f>VALUE(SUBSTITUTE('1000_заявлений'!J305, ".", ","))</f>
        <v>1.85247295055912</v>
      </c>
      <c r="K311" s="5">
        <f>VALUE(SUBSTITUTE('1000_заявлений'!K305, ".", ","))</f>
        <v>-1289</v>
      </c>
      <c r="L311" s="6">
        <f>VALUE(SUBSTITUTE('1000_заявлений'!L305, ".", ","))</f>
        <v>55723.5</v>
      </c>
      <c r="M311" s="2" t="str">
        <f>IF(Данные[[#This Row],[proba]]&gt;$C$6, "отказ", "одобрение")</f>
        <v>одобрение</v>
      </c>
      <c r="N311" s="7">
        <f>IF(Данные[[#This Row],[proba]]&lt;$D$2,$C$2,IF(Данные[[#This Row],[proba]]&lt;$D$3,$C$3,IF(Данные[[#This Row],[proba]]&gt;$C$6,0,$C$4)))</f>
        <v>100000</v>
      </c>
      <c r="O311" s="2">
        <f>IF(Данные[[#This Row],[weighted_ext_score]]&gt;$O$1,MIN(Данные[[#This Row],[Базовая сумма]]*$O$2,$C$2),IF(Данные[[#This Row],[weighted_ext_score]]&lt;$O$3,Данные[[#This Row],[Базовая сумма]]*$O$4,N311))</f>
        <v>100000</v>
      </c>
      <c r="P3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311" s="2">
        <f>ABS(Данные[[#This Row],[days_birth]])/365.2425</f>
        <v>33.257356413889404</v>
      </c>
      <c r="S3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311" s="2">
        <f>IF(Данные[[#This Row],[ interest_rate]]&gt;$T$1,Данные[[#This Row],[days_birth4]]*$T$2,Данные[[#This Row],[days_birth4]])</f>
        <v>70000</v>
      </c>
      <c r="U311" s="2">
        <f>IF(Данные[[#This Row],[Проверка отказа]]="отказ",0,MAX(Данные[[#This Row],[interest_rate]],$C$1))</f>
        <v>70000</v>
      </c>
      <c r="V311" s="2">
        <f>MROUND(Данные[[#This Row],[Минимум 20000]], 100)</f>
        <v>70000</v>
      </c>
    </row>
    <row r="312" spans="1:22" x14ac:dyDescent="0.25">
      <c r="A312" s="2">
        <f>'1000_заявлений'!A306</f>
        <v>304</v>
      </c>
      <c r="B312" s="4">
        <f>VALUE(SUBSTITUTE('1000_заявлений'!B306, ".", ","))</f>
        <v>0.34467703194432397</v>
      </c>
      <c r="C312" s="4">
        <f>VALUE(SUBSTITUTE('1000_заявлений'!C306, ".", ","))</f>
        <v>0.40697940223128898</v>
      </c>
      <c r="D312" s="4">
        <f>VALUE(SUBSTITUTE('1000_заявлений'!D306, ".", ","))</f>
        <v>0.82770264000000005</v>
      </c>
      <c r="E312" s="4">
        <f>VALUE(SUBSTITUTE('1000_заявлений'!E306, ".", ","))</f>
        <v>0.33179863999999998</v>
      </c>
      <c r="F312" s="5">
        <f>VALUE(SUBSTITUTE('1000_заявлений'!F306, ".", ","))</f>
        <v>-4041</v>
      </c>
      <c r="G312" s="5">
        <f>VALUE(SUBSTITUTE('1000_заявлений'!G306, ".", ","))</f>
        <v>-12327</v>
      </c>
      <c r="H312" s="5">
        <f>VALUE(SUBSTITUTE('1000_заявлений'!H306, ".", ","))</f>
        <v>-4067</v>
      </c>
      <c r="I312" s="4">
        <f>VALUE(SUBSTITUTE('1000_заявлений'!I306, ".", ","))</f>
        <v>8.6107142857142799E-2</v>
      </c>
      <c r="J312" s="4">
        <f>VALUE(SUBSTITUTE('1000_заявлений'!J306, ".", ","))</f>
        <v>5.6691271542646398</v>
      </c>
      <c r="K312" s="5">
        <f>VALUE(SUBSTITUTE('1000_заявлений'!K306, ".", ","))</f>
        <v>-1374</v>
      </c>
      <c r="L312" s="6">
        <f>VALUE(SUBSTITUTE('1000_заявлений'!L306, ".", ","))</f>
        <v>10849.5</v>
      </c>
      <c r="M312" s="2" t="str">
        <f>IF(Данные[[#This Row],[proba]]&gt;$C$6, "отказ", "одобрение")</f>
        <v>отказ</v>
      </c>
      <c r="N312" s="7">
        <f>IF(Данные[[#This Row],[proba]]&lt;$D$2,$C$2,IF(Данные[[#This Row],[proba]]&lt;$D$3,$C$3,IF(Данные[[#This Row],[proba]]&gt;$C$6,0,$C$4)))</f>
        <v>0</v>
      </c>
      <c r="O312" s="2">
        <f>IF(Данные[[#This Row],[weighted_ext_score]]&gt;$O$1,MIN(Данные[[#This Row],[Базовая сумма]]*$O$2,$C$2),IF(Данные[[#This Row],[weighted_ext_score]]&lt;$O$3,Данные[[#This Row],[Базовая сумма]]*$O$4,N312))</f>
        <v>0</v>
      </c>
      <c r="P3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2" s="2">
        <f>ABS(Данные[[#This Row],[days_birth]])/365.2425</f>
        <v>33.750179675147336</v>
      </c>
      <c r="S3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2" s="2">
        <f>IF(Данные[[#This Row],[ interest_rate]]&gt;$T$1,Данные[[#This Row],[days_birth4]]*$T$2,Данные[[#This Row],[days_birth4]])</f>
        <v>0</v>
      </c>
      <c r="U312" s="2">
        <f>IF(Данные[[#This Row],[Проверка отказа]]="отказ",0,MAX(Данные[[#This Row],[interest_rate]],$C$1))</f>
        <v>0</v>
      </c>
      <c r="V312" s="2">
        <f>MROUND(Данные[[#This Row],[Минимум 20000]], 100)</f>
        <v>0</v>
      </c>
    </row>
    <row r="313" spans="1:22" x14ac:dyDescent="0.25">
      <c r="A313" s="2">
        <f>'1000_заявлений'!A307</f>
        <v>305</v>
      </c>
      <c r="B313" s="4">
        <f>VALUE(SUBSTITUTE('1000_заявлений'!B307, ".", ","))</f>
        <v>0.582485561975429</v>
      </c>
      <c r="C313" s="4">
        <f>VALUE(SUBSTITUTE('1000_заявлений'!C307, ".", ","))</f>
        <v>0.26017495151809</v>
      </c>
      <c r="D313" s="4">
        <f>VALUE(SUBSTITUTE('1000_заявлений'!D307, ".", ","))</f>
        <v>0.48665314999999998</v>
      </c>
      <c r="E313" s="4">
        <f>VALUE(SUBSTITUTE('1000_заявлений'!E307, ".", ","))</f>
        <v>0.25947976</v>
      </c>
      <c r="F313" s="5">
        <f>VALUE(SUBSTITUTE('1000_заявлений'!F307, ".", ","))</f>
        <v>-567</v>
      </c>
      <c r="G313" s="5">
        <f>VALUE(SUBSTITUTE('1000_заявлений'!G307, ".", ","))</f>
        <v>-22104</v>
      </c>
      <c r="H313" s="5">
        <f>VALUE(SUBSTITUTE('1000_заявлений'!H307, ".", ","))</f>
        <v>-4155</v>
      </c>
      <c r="I313" s="4">
        <f>VALUE(SUBSTITUTE('1000_заявлений'!I307, ".", ","))</f>
        <v>0.18281818181818099</v>
      </c>
      <c r="J313" s="4">
        <f>VALUE(SUBSTITUTE('1000_заявлений'!J307, ".", ","))</f>
        <v>0.91630205959452005</v>
      </c>
      <c r="K313" s="5">
        <f>VALUE(SUBSTITUTE('1000_заявлений'!K307, ".", ","))</f>
        <v>365243</v>
      </c>
      <c r="L313" s="6">
        <f>VALUE(SUBSTITUTE('1000_заявлений'!L307, ".", ","))</f>
        <v>9049.5</v>
      </c>
      <c r="M313" s="2" t="str">
        <f>IF(Данные[[#This Row],[proba]]&gt;$C$6, "отказ", "одобрение")</f>
        <v>отказ</v>
      </c>
      <c r="N313" s="7">
        <f>IF(Данные[[#This Row],[proba]]&lt;$D$2,$C$2,IF(Данные[[#This Row],[proba]]&lt;$D$3,$C$3,IF(Данные[[#This Row],[proba]]&gt;$C$6,0,$C$4)))</f>
        <v>0</v>
      </c>
      <c r="O313" s="2">
        <f>IF(Данные[[#This Row],[weighted_ext_score]]&gt;$O$1,MIN(Данные[[#This Row],[Базовая сумма]]*$O$2,$C$2),IF(Данные[[#This Row],[weighted_ext_score]]&lt;$O$3,Данные[[#This Row],[Базовая сумма]]*$O$4,N313))</f>
        <v>0</v>
      </c>
      <c r="P3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3" s="2">
        <f>ABS(Данные[[#This Row],[days_birth]])/365.2425</f>
        <v>60.51869648247397</v>
      </c>
      <c r="S3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3" s="2">
        <f>IF(Данные[[#This Row],[ interest_rate]]&gt;$T$1,Данные[[#This Row],[days_birth4]]*$T$2,Данные[[#This Row],[days_birth4]])</f>
        <v>0</v>
      </c>
      <c r="U313" s="2">
        <f>IF(Данные[[#This Row],[Проверка отказа]]="отказ",0,MAX(Данные[[#This Row],[interest_rate]],$C$1))</f>
        <v>0</v>
      </c>
      <c r="V313" s="2">
        <f>MROUND(Данные[[#This Row],[Минимум 20000]], 100)</f>
        <v>0</v>
      </c>
    </row>
    <row r="314" spans="1:22" x14ac:dyDescent="0.25">
      <c r="A314" s="2">
        <f>'1000_заявлений'!A308</f>
        <v>306</v>
      </c>
      <c r="B314" s="4">
        <f>VALUE(SUBSTITUTE('1000_заявлений'!B308, ".", ","))</f>
        <v>0.21788543851784001</v>
      </c>
      <c r="C314" s="4">
        <f>VALUE(SUBSTITUTE('1000_заявлений'!C308, ".", ","))</f>
        <v>0.65202037880499197</v>
      </c>
      <c r="D314" s="4">
        <f>VALUE(SUBSTITUTE('1000_заявлений'!D308, ".", ","))</f>
        <v>0.64136826999999996</v>
      </c>
      <c r="E314" s="4">
        <f>VALUE(SUBSTITUTE('1000_заявлений'!E308, ".", ","))</f>
        <v>0.55128080000000002</v>
      </c>
      <c r="F314" s="5">
        <f>VALUE(SUBSTITUTE('1000_заявлений'!F308, ".", ","))</f>
        <v>-161</v>
      </c>
      <c r="G314" s="5">
        <f>VALUE(SUBSTITUTE('1000_заявлений'!G308, ".", ","))</f>
        <v>-19652</v>
      </c>
      <c r="H314" s="5">
        <f>VALUE(SUBSTITUTE('1000_заявлений'!H308, ".", ","))</f>
        <v>-3185</v>
      </c>
      <c r="I314" s="4">
        <f>VALUE(SUBSTITUTE('1000_заявлений'!I308, ".", ","))</f>
        <v>0.24664</v>
      </c>
      <c r="J314" s="4">
        <f>VALUE(SUBSTITUTE('1000_заявлений'!J308, ".", ","))</f>
        <v>6.6904785087607603</v>
      </c>
      <c r="K314" s="5">
        <f>VALUE(SUBSTITUTE('1000_заявлений'!K308, ".", ","))</f>
        <v>-10469</v>
      </c>
      <c r="L314" s="6">
        <f>VALUE(SUBSTITUTE('1000_заявлений'!L308, ".", ","))</f>
        <v>83241</v>
      </c>
      <c r="M314" s="2" t="str">
        <f>IF(Данные[[#This Row],[proba]]&gt;$C$6, "отказ", "одобрение")</f>
        <v>одобрение</v>
      </c>
      <c r="N314" s="7">
        <f>IF(Данные[[#This Row],[proba]]&lt;$D$2,$C$2,IF(Данные[[#This Row],[proba]]&lt;$D$3,$C$3,IF(Данные[[#This Row],[proba]]&gt;$C$6,0,$C$4)))</f>
        <v>100000</v>
      </c>
      <c r="O314" s="2">
        <f>IF(Данные[[#This Row],[weighted_ext_score]]&gt;$O$1,MIN(Данные[[#This Row],[Базовая сумма]]*$O$2,$C$2),IF(Данные[[#This Row],[weighted_ext_score]]&lt;$O$3,Данные[[#This Row],[Базовая сумма]]*$O$4,N314))</f>
        <v>100000</v>
      </c>
      <c r="P3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14" s="2">
        <f>ABS(Данные[[#This Row],[days_birth]])/365.2425</f>
        <v>53.805348501338152</v>
      </c>
      <c r="S3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14" s="2">
        <f>IF(Данные[[#This Row],[ interest_rate]]&gt;$T$1,Данные[[#This Row],[days_birth4]]*$T$2,Данные[[#This Row],[days_birth4]])</f>
        <v>126000</v>
      </c>
      <c r="U314" s="2">
        <f>IF(Данные[[#This Row],[Проверка отказа]]="отказ",0,MAX(Данные[[#This Row],[interest_rate]],$C$1))</f>
        <v>126000</v>
      </c>
      <c r="V314" s="2">
        <f>MROUND(Данные[[#This Row],[Минимум 20000]], 100)</f>
        <v>126000</v>
      </c>
    </row>
    <row r="315" spans="1:22" x14ac:dyDescent="0.25">
      <c r="A315" s="2">
        <f>'1000_заявлений'!A309</f>
        <v>307</v>
      </c>
      <c r="B315" s="4">
        <f>VALUE(SUBSTITUTE('1000_заявлений'!B309, ".", ","))</f>
        <v>0.51907740954732895</v>
      </c>
      <c r="C315" s="4">
        <f>VALUE(SUBSTITUTE('1000_заявлений'!C309, ".", ","))</f>
        <v>0.42282426667572398</v>
      </c>
      <c r="D315" s="4">
        <f>VALUE(SUBSTITUTE('1000_заявлений'!D309, ".", ","))</f>
        <v>0.63135450000000004</v>
      </c>
      <c r="E315" s="4">
        <f>VALUE(SUBSTITUTE('1000_заявлений'!E309, ".", ","))</f>
        <v>0.19008079999999999</v>
      </c>
      <c r="F315" s="5">
        <f>VALUE(SUBSTITUTE('1000_заявлений'!F309, ".", ","))</f>
        <v>-245</v>
      </c>
      <c r="G315" s="5">
        <f>VALUE(SUBSTITUTE('1000_заявлений'!G309, ".", ","))</f>
        <v>-15278</v>
      </c>
      <c r="H315" s="5">
        <f>VALUE(SUBSTITUTE('1000_заявлений'!H309, ".", ","))</f>
        <v>-4170</v>
      </c>
      <c r="I315" s="4">
        <f>VALUE(SUBSTITUTE('1000_заявлений'!I309, ".", ","))</f>
        <v>0.17147999999999999</v>
      </c>
      <c r="J315" s="4">
        <f>VALUE(SUBSTITUTE('1000_заявлений'!J309, ".", ","))</f>
        <v>3.2195561160111899</v>
      </c>
      <c r="K315" s="5">
        <f>VALUE(SUBSTITUTE('1000_заявлений'!K309, ".", ","))</f>
        <v>-1081</v>
      </c>
      <c r="L315" s="6">
        <f>VALUE(SUBSTITUTE('1000_заявлений'!L309, ".", ","))</f>
        <v>19291.5</v>
      </c>
      <c r="M315" s="2" t="str">
        <f>IF(Данные[[#This Row],[proba]]&gt;$C$6, "отказ", "одобрение")</f>
        <v>отказ</v>
      </c>
      <c r="N315" s="7">
        <f>IF(Данные[[#This Row],[proba]]&lt;$D$2,$C$2,IF(Данные[[#This Row],[proba]]&lt;$D$3,$C$3,IF(Данные[[#This Row],[proba]]&gt;$C$6,0,$C$4)))</f>
        <v>0</v>
      </c>
      <c r="O315" s="2">
        <f>IF(Данные[[#This Row],[weighted_ext_score]]&gt;$O$1,MIN(Данные[[#This Row],[Базовая сумма]]*$O$2,$C$2),IF(Данные[[#This Row],[weighted_ext_score]]&lt;$O$3,Данные[[#This Row],[Базовая сумма]]*$O$4,N315))</f>
        <v>0</v>
      </c>
      <c r="P3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5" s="2">
        <f>ABS(Данные[[#This Row],[days_birth]])/365.2425</f>
        <v>41.82974325277042</v>
      </c>
      <c r="S3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5" s="2">
        <f>IF(Данные[[#This Row],[ interest_rate]]&gt;$T$1,Данные[[#This Row],[days_birth4]]*$T$2,Данные[[#This Row],[days_birth4]])</f>
        <v>0</v>
      </c>
      <c r="U315" s="2">
        <f>IF(Данные[[#This Row],[Проверка отказа]]="отказ",0,MAX(Данные[[#This Row],[interest_rate]],$C$1))</f>
        <v>0</v>
      </c>
      <c r="V315" s="2">
        <f>MROUND(Данные[[#This Row],[Минимум 20000]], 100)</f>
        <v>0</v>
      </c>
    </row>
    <row r="316" spans="1:22" x14ac:dyDescent="0.25">
      <c r="A316" s="2">
        <f>'1000_заявлений'!A310</f>
        <v>308</v>
      </c>
      <c r="B316" s="4">
        <f>VALUE(SUBSTITUTE('1000_заявлений'!B310, ".", ","))</f>
        <v>0.209867151077057</v>
      </c>
      <c r="C316" s="4">
        <f>VALUE(SUBSTITUTE('1000_заявлений'!C310, ".", ","))</f>
        <v>0.62727572363483297</v>
      </c>
      <c r="D316" s="4">
        <f>VALUE(SUBSTITUTE('1000_заявлений'!D310, ".", ","))</f>
        <v>0.65615840000000003</v>
      </c>
      <c r="E316" s="4">
        <f>VALUE(SUBSTITUTE('1000_заявлений'!E310, ".", ","))</f>
        <v>0.53114470000000003</v>
      </c>
      <c r="F316" s="5">
        <f>VALUE(SUBSTITUTE('1000_заявлений'!F310, ".", ","))</f>
        <v>-10411</v>
      </c>
      <c r="G316" s="5">
        <f>VALUE(SUBSTITUTE('1000_заявлений'!G310, ".", ","))</f>
        <v>-21582</v>
      </c>
      <c r="H316" s="5">
        <f>VALUE(SUBSTITUTE('1000_заявлений'!H310, ".", ","))</f>
        <v>-3915</v>
      </c>
      <c r="I316" s="4">
        <f>VALUE(SUBSTITUTE('1000_заявлений'!I310, ".", ","))</f>
        <v>0.14044444444444401</v>
      </c>
      <c r="J316" s="4">
        <f>VALUE(SUBSTITUTE('1000_заявлений'!J310, ".", ","))</f>
        <v>0.62575228315271403</v>
      </c>
      <c r="K316" s="5">
        <f>VALUE(SUBSTITUTE('1000_заявлений'!K310, ".", ","))</f>
        <v>365243</v>
      </c>
      <c r="L316" s="6">
        <f>VALUE(SUBSTITUTE('1000_заявлений'!L310, ".", ","))</f>
        <v>5688</v>
      </c>
      <c r="M316" s="2" t="str">
        <f>IF(Данные[[#This Row],[proba]]&gt;$C$6, "отказ", "одобрение")</f>
        <v>одобрение</v>
      </c>
      <c r="N316" s="7">
        <f>IF(Данные[[#This Row],[proba]]&lt;$D$2,$C$2,IF(Данные[[#This Row],[proba]]&lt;$D$3,$C$3,IF(Данные[[#This Row],[proba]]&gt;$C$6,0,$C$4)))</f>
        <v>100000</v>
      </c>
      <c r="O316" s="2">
        <f>IF(Данные[[#This Row],[weighted_ext_score]]&gt;$O$1,MIN(Данные[[#This Row],[Базовая сумма]]*$O$2,$C$2),IF(Данные[[#This Row],[weighted_ext_score]]&lt;$O$3,Данные[[#This Row],[Базовая сумма]]*$O$4,N316))</f>
        <v>100000</v>
      </c>
      <c r="P3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16" s="2">
        <f>ABS(Данные[[#This Row],[days_birth]])/365.2425</f>
        <v>59.089509024825972</v>
      </c>
      <c r="S3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16" s="2">
        <f>IF(Данные[[#This Row],[ interest_rate]]&gt;$T$1,Данные[[#This Row],[days_birth4]]*$T$2,Данные[[#This Row],[days_birth4]])</f>
        <v>126000</v>
      </c>
      <c r="U316" s="2">
        <f>IF(Данные[[#This Row],[Проверка отказа]]="отказ",0,MAX(Данные[[#This Row],[interest_rate]],$C$1))</f>
        <v>126000</v>
      </c>
      <c r="V316" s="2">
        <f>MROUND(Данные[[#This Row],[Минимум 20000]], 100)</f>
        <v>126000</v>
      </c>
    </row>
    <row r="317" spans="1:22" x14ac:dyDescent="0.25">
      <c r="A317" s="2">
        <f>'1000_заявлений'!A311</f>
        <v>309</v>
      </c>
      <c r="B317" s="4">
        <f>VALUE(SUBSTITUTE('1000_заявлений'!B311, ".", ","))</f>
        <v>0.56201480627158495</v>
      </c>
      <c r="C317" s="4">
        <f>VALUE(SUBSTITUTE('1000_заявлений'!C311, ".", ","))</f>
        <v>0.410108315864055</v>
      </c>
      <c r="D317" s="4">
        <f>VALUE(SUBSTITUTE('1000_заявлений'!D311, ".", ","))</f>
        <v>0.19519839999999999</v>
      </c>
      <c r="E317" s="4">
        <f>VALUE(SUBSTITUTE('1000_заявлений'!E311, ".", ","))</f>
        <v>0.64016150000000005</v>
      </c>
      <c r="F317" s="5">
        <f>VALUE(SUBSTITUTE('1000_заявлений'!F311, ".", ","))</f>
        <v>-2045</v>
      </c>
      <c r="G317" s="5">
        <f>VALUE(SUBSTITUTE('1000_заявлений'!G311, ".", ","))</f>
        <v>-13806</v>
      </c>
      <c r="H317" s="5">
        <f>VALUE(SUBSTITUTE('1000_заявлений'!H311, ".", ","))</f>
        <v>-2079</v>
      </c>
      <c r="I317" s="4">
        <f>VALUE(SUBSTITUTE('1000_заявлений'!I311, ".", ","))</f>
        <v>0.14730909090909</v>
      </c>
      <c r="J317" s="4">
        <f>VALUE(SUBSTITUTE('1000_заявлений'!J311, ".", ","))</f>
        <v>6.5526323213506297</v>
      </c>
      <c r="K317" s="5">
        <f>VALUE(SUBSTITUTE('1000_заявлений'!K311, ".", ","))</f>
        <v>-1941</v>
      </c>
      <c r="L317" s="6">
        <f>VALUE(SUBSTITUTE('1000_заявлений'!L311, ".", ","))</f>
        <v>36459</v>
      </c>
      <c r="M317" s="2" t="str">
        <f>IF(Данные[[#This Row],[proba]]&gt;$C$6, "отказ", "одобрение")</f>
        <v>отказ</v>
      </c>
      <c r="N317" s="7">
        <f>IF(Данные[[#This Row],[proba]]&lt;$D$2,$C$2,IF(Данные[[#This Row],[proba]]&lt;$D$3,$C$3,IF(Данные[[#This Row],[proba]]&gt;$C$6,0,$C$4)))</f>
        <v>0</v>
      </c>
      <c r="O317" s="2">
        <f>IF(Данные[[#This Row],[weighted_ext_score]]&gt;$O$1,MIN(Данные[[#This Row],[Базовая сумма]]*$O$2,$C$2),IF(Данные[[#This Row],[weighted_ext_score]]&lt;$O$3,Данные[[#This Row],[Базовая сумма]]*$O$4,N317))</f>
        <v>0</v>
      </c>
      <c r="P3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7" s="2">
        <f>ABS(Данные[[#This Row],[days_birth]])/365.2425</f>
        <v>37.799544138483334</v>
      </c>
      <c r="S3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7" s="2">
        <f>IF(Данные[[#This Row],[ interest_rate]]&gt;$T$1,Данные[[#This Row],[days_birth4]]*$T$2,Данные[[#This Row],[days_birth4]])</f>
        <v>0</v>
      </c>
      <c r="U317" s="2">
        <f>IF(Данные[[#This Row],[Проверка отказа]]="отказ",0,MAX(Данные[[#This Row],[interest_rate]],$C$1))</f>
        <v>0</v>
      </c>
      <c r="V317" s="2">
        <f>MROUND(Данные[[#This Row],[Минимум 20000]], 100)</f>
        <v>0</v>
      </c>
    </row>
    <row r="318" spans="1:22" x14ac:dyDescent="0.25">
      <c r="A318" s="2">
        <f>'1000_заявлений'!A312</f>
        <v>310</v>
      </c>
      <c r="B318" s="4">
        <f>VALUE(SUBSTITUTE('1000_заявлений'!B312, ".", ","))</f>
        <v>0.527960558437647</v>
      </c>
      <c r="C318" s="4">
        <f>VALUE(SUBSTITUTE('1000_заявлений'!C312, ".", ","))</f>
        <v>0.28332096757069702</v>
      </c>
      <c r="D318" s="4">
        <f>VALUE(SUBSTITUTE('1000_заявлений'!D312, ".", ","))</f>
        <v>0.53527623000000002</v>
      </c>
      <c r="E318" s="4">
        <f>VALUE(SUBSTITUTE('1000_заявлений'!E312, ".", ","))</f>
        <v>0.63298803999999997</v>
      </c>
      <c r="F318" s="5">
        <f>VALUE(SUBSTITUTE('1000_заявлений'!F312, ".", ","))</f>
        <v>-3590</v>
      </c>
      <c r="G318" s="5">
        <f>VALUE(SUBSTITUTE('1000_заявлений'!G312, ".", ","))</f>
        <v>-9253</v>
      </c>
      <c r="H318" s="5">
        <f>VALUE(SUBSTITUTE('1000_заявлений'!H312, ".", ","))</f>
        <v>-1912</v>
      </c>
      <c r="I318" s="4">
        <f>VALUE(SUBSTITUTE('1000_заявлений'!I312, ".", ","))</f>
        <v>0.25145454545454499</v>
      </c>
      <c r="J318" s="4">
        <f>VALUE(SUBSTITUTE('1000_заявлений'!J312, ".", ","))</f>
        <v>2.86586703715958</v>
      </c>
      <c r="K318" s="5">
        <f>VALUE(SUBSTITUTE('1000_заявлений'!K312, ".", ","))</f>
        <v>-436</v>
      </c>
      <c r="L318" s="6">
        <f>VALUE(SUBSTITUTE('1000_заявлений'!L312, ".", ","))</f>
        <v>24894</v>
      </c>
      <c r="M318" s="2" t="str">
        <f>IF(Данные[[#This Row],[proba]]&gt;$C$6, "отказ", "одобрение")</f>
        <v>отказ</v>
      </c>
      <c r="N318" s="7">
        <f>IF(Данные[[#This Row],[proba]]&lt;$D$2,$C$2,IF(Данные[[#This Row],[proba]]&lt;$D$3,$C$3,IF(Данные[[#This Row],[proba]]&gt;$C$6,0,$C$4)))</f>
        <v>0</v>
      </c>
      <c r="O318" s="2">
        <f>IF(Данные[[#This Row],[weighted_ext_score]]&gt;$O$1,MIN(Данные[[#This Row],[Базовая сумма]]*$O$2,$C$2),IF(Данные[[#This Row],[weighted_ext_score]]&lt;$O$3,Данные[[#This Row],[Базовая сумма]]*$O$4,N318))</f>
        <v>0</v>
      </c>
      <c r="P3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8" s="2">
        <f>ABS(Данные[[#This Row],[days_birth]])/365.2425</f>
        <v>25.333853535664662</v>
      </c>
      <c r="S3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8" s="2">
        <f>IF(Данные[[#This Row],[ interest_rate]]&gt;$T$1,Данные[[#This Row],[days_birth4]]*$T$2,Данные[[#This Row],[days_birth4]])</f>
        <v>0</v>
      </c>
      <c r="U318" s="2">
        <f>IF(Данные[[#This Row],[Проверка отказа]]="отказ",0,MAX(Данные[[#This Row],[interest_rate]],$C$1))</f>
        <v>0</v>
      </c>
      <c r="V318" s="2">
        <f>MROUND(Данные[[#This Row],[Минимум 20000]], 100)</f>
        <v>0</v>
      </c>
    </row>
    <row r="319" spans="1:22" x14ac:dyDescent="0.25">
      <c r="A319" s="2">
        <f>'1000_заявлений'!A313</f>
        <v>311</v>
      </c>
      <c r="B319" s="4">
        <f>VALUE(SUBSTITUTE('1000_заявлений'!B313, ".", ","))</f>
        <v>0.337045892413602</v>
      </c>
      <c r="C319" s="4">
        <f>VALUE(SUBSTITUTE('1000_заявлений'!C313, ".", ","))</f>
        <v>0.386519585617142</v>
      </c>
      <c r="D319" s="4">
        <f>VALUE(SUBSTITUTE('1000_заявлений'!D313, ".", ","))</f>
        <v>0.50828700000000004</v>
      </c>
      <c r="E319" s="4">
        <f>VALUE(SUBSTITUTE('1000_заявлений'!E313, ".", ","))</f>
        <v>0.62485849999999998</v>
      </c>
      <c r="F319" s="5">
        <f>VALUE(SUBSTITUTE('1000_заявлений'!F313, ".", ","))</f>
        <v>-56</v>
      </c>
      <c r="G319" s="5">
        <f>VALUE(SUBSTITUTE('1000_заявлений'!G313, ".", ","))</f>
        <v>-23653</v>
      </c>
      <c r="H319" s="5">
        <f>VALUE(SUBSTITUTE('1000_заявлений'!H313, ".", ","))</f>
        <v>-2476</v>
      </c>
      <c r="I319" s="4">
        <f>VALUE(SUBSTITUTE('1000_заявлений'!I313, ".", ","))</f>
        <v>0.16508888888888801</v>
      </c>
      <c r="J319" s="4">
        <f>VALUE(SUBSTITUTE('1000_заявлений'!J313, ".", ","))</f>
        <v>1.82402464022644</v>
      </c>
      <c r="K319" s="5">
        <f>VALUE(SUBSTITUTE('1000_заявлений'!K313, ".", ","))</f>
        <v>365243</v>
      </c>
      <c r="L319" s="6">
        <f>VALUE(SUBSTITUTE('1000_заявлений'!L313, ".", ","))</f>
        <v>33430.5</v>
      </c>
      <c r="M319" s="2" t="str">
        <f>IF(Данные[[#This Row],[proba]]&gt;$C$6, "отказ", "одобрение")</f>
        <v>отказ</v>
      </c>
      <c r="N319" s="7">
        <f>IF(Данные[[#This Row],[proba]]&lt;$D$2,$C$2,IF(Данные[[#This Row],[proba]]&lt;$D$3,$C$3,IF(Данные[[#This Row],[proba]]&gt;$C$6,0,$C$4)))</f>
        <v>0</v>
      </c>
      <c r="O319" s="2">
        <f>IF(Данные[[#This Row],[weighted_ext_score]]&gt;$O$1,MIN(Данные[[#This Row],[Базовая сумма]]*$O$2,$C$2),IF(Данные[[#This Row],[weighted_ext_score]]&lt;$O$3,Данные[[#This Row],[Базовая сумма]]*$O$4,N319))</f>
        <v>0</v>
      </c>
      <c r="P3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19" s="2">
        <f>ABS(Данные[[#This Row],[days_birth]])/365.2425</f>
        <v>64.759714436299163</v>
      </c>
      <c r="S3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19" s="2">
        <f>IF(Данные[[#This Row],[ interest_rate]]&gt;$T$1,Данные[[#This Row],[days_birth4]]*$T$2,Данные[[#This Row],[days_birth4]])</f>
        <v>0</v>
      </c>
      <c r="U319" s="2">
        <f>IF(Данные[[#This Row],[Проверка отказа]]="отказ",0,MAX(Данные[[#This Row],[interest_rate]],$C$1))</f>
        <v>0</v>
      </c>
      <c r="V319" s="2">
        <f>MROUND(Данные[[#This Row],[Минимум 20000]], 100)</f>
        <v>0</v>
      </c>
    </row>
    <row r="320" spans="1:22" x14ac:dyDescent="0.25">
      <c r="A320" s="2">
        <f>'1000_заявлений'!A314</f>
        <v>312</v>
      </c>
      <c r="B320" s="4">
        <f>VALUE(SUBSTITUTE('1000_заявлений'!B314, ".", ","))</f>
        <v>0.49962674562610399</v>
      </c>
      <c r="C320" s="4">
        <f>VALUE(SUBSTITUTE('1000_заявлений'!C314, ".", ","))</f>
        <v>0.35991052189879102</v>
      </c>
      <c r="D320" s="4">
        <f>VALUE(SUBSTITUTE('1000_заявлений'!D314, ".", ","))</f>
        <v>0.4632753</v>
      </c>
      <c r="E320" s="4">
        <f>VALUE(SUBSTITUTE('1000_заявлений'!E314, ".", ","))</f>
        <v>0.59301320000000002</v>
      </c>
      <c r="F320" s="5">
        <f>VALUE(SUBSTITUTE('1000_заявлений'!F314, ".", ","))</f>
        <v>-1502</v>
      </c>
      <c r="G320" s="5">
        <f>VALUE(SUBSTITUTE('1000_заявлений'!G314, ".", ","))</f>
        <v>-12830</v>
      </c>
      <c r="H320" s="5">
        <f>VALUE(SUBSTITUTE('1000_заявлений'!H314, ".", ","))</f>
        <v>-4340</v>
      </c>
      <c r="I320" s="4">
        <f>VALUE(SUBSTITUTE('1000_заявлений'!I314, ".", ","))</f>
        <v>0.21560000000000001</v>
      </c>
      <c r="J320" s="4">
        <f>VALUE(SUBSTITUTE('1000_заявлений'!J314, ".", ","))</f>
        <v>3.6460353161845198</v>
      </c>
      <c r="K320" s="5">
        <f>VALUE(SUBSTITUTE('1000_заявлений'!K314, ".", ","))</f>
        <v>-1593</v>
      </c>
      <c r="L320" s="6">
        <f>VALUE(SUBSTITUTE('1000_заявлений'!L314, ".", ","))</f>
        <v>14553</v>
      </c>
      <c r="M320" s="2" t="str">
        <f>IF(Данные[[#This Row],[proba]]&gt;$C$6, "отказ", "одобрение")</f>
        <v>отказ</v>
      </c>
      <c r="N320" s="7">
        <f>IF(Данные[[#This Row],[proba]]&lt;$D$2,$C$2,IF(Данные[[#This Row],[proba]]&lt;$D$3,$C$3,IF(Данные[[#This Row],[proba]]&gt;$C$6,0,$C$4)))</f>
        <v>0</v>
      </c>
      <c r="O320" s="2">
        <f>IF(Данные[[#This Row],[weighted_ext_score]]&gt;$O$1,MIN(Данные[[#This Row],[Базовая сумма]]*$O$2,$C$2),IF(Данные[[#This Row],[weighted_ext_score]]&lt;$O$3,Данные[[#This Row],[Базовая сумма]]*$O$4,N320))</f>
        <v>0</v>
      </c>
      <c r="P3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0" s="2">
        <f>ABS(Данные[[#This Row],[days_birth]])/365.2425</f>
        <v>35.127346899662555</v>
      </c>
      <c r="S3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0" s="2">
        <f>IF(Данные[[#This Row],[ interest_rate]]&gt;$T$1,Данные[[#This Row],[days_birth4]]*$T$2,Данные[[#This Row],[days_birth4]])</f>
        <v>0</v>
      </c>
      <c r="U320" s="2">
        <f>IF(Данные[[#This Row],[Проверка отказа]]="отказ",0,MAX(Данные[[#This Row],[interest_rate]],$C$1))</f>
        <v>0</v>
      </c>
      <c r="V320" s="2">
        <f>MROUND(Данные[[#This Row],[Минимум 20000]], 100)</f>
        <v>0</v>
      </c>
    </row>
    <row r="321" spans="1:22" x14ac:dyDescent="0.25">
      <c r="A321" s="2">
        <f>'1000_заявлений'!A315</f>
        <v>313</v>
      </c>
      <c r="B321" s="4">
        <f>VALUE(SUBSTITUTE('1000_заявлений'!B315, ".", ","))</f>
        <v>0.29912741031516199</v>
      </c>
      <c r="C321" s="4">
        <f>VALUE(SUBSTITUTE('1000_заявлений'!C315, ".", ","))</f>
        <v>0.66577622766465105</v>
      </c>
      <c r="D321" s="4">
        <f>VALUE(SUBSTITUTE('1000_заявлений'!D315, ".", ","))</f>
        <v>0.60238636000000001</v>
      </c>
      <c r="E321" s="4">
        <f>VALUE(SUBSTITUTE('1000_заявлений'!E315, ".", ","))</f>
        <v>0.68085359999999995</v>
      </c>
      <c r="F321" s="5">
        <f>VALUE(SUBSTITUTE('1000_заявлений'!F315, ".", ","))</f>
        <v>-7341</v>
      </c>
      <c r="G321" s="5">
        <f>VALUE(SUBSTITUTE('1000_заявлений'!G315, ".", ","))</f>
        <v>-18255</v>
      </c>
      <c r="H321" s="5">
        <f>VALUE(SUBSTITUTE('1000_заявлений'!H315, ".", ","))</f>
        <v>-1789</v>
      </c>
      <c r="I321" s="4">
        <f>VALUE(SUBSTITUTE('1000_заявлений'!I315, ".", ","))</f>
        <v>0.480866666666666</v>
      </c>
      <c r="J321" s="4">
        <f>VALUE(SUBSTITUTE('1000_заявлений'!J315, ".", ","))</f>
        <v>0.813244341448493</v>
      </c>
      <c r="K321" s="5">
        <f>VALUE(SUBSTITUTE('1000_заявлений'!K315, ".", ","))</f>
        <v>-2922</v>
      </c>
      <c r="L321" s="6">
        <f>VALUE(SUBSTITUTE('1000_заявлений'!L315, ".", ","))</f>
        <v>32458.5</v>
      </c>
      <c r="M321" s="2" t="str">
        <f>IF(Данные[[#This Row],[proba]]&gt;$C$6, "отказ", "одобрение")</f>
        <v>одобрение</v>
      </c>
      <c r="N321" s="7">
        <f>IF(Данные[[#This Row],[proba]]&lt;$D$2,$C$2,IF(Данные[[#This Row],[proba]]&lt;$D$3,$C$3,IF(Данные[[#This Row],[proba]]&gt;$C$6,0,$C$4)))</f>
        <v>100000</v>
      </c>
      <c r="O321" s="2">
        <f>IF(Данные[[#This Row],[weighted_ext_score]]&gt;$O$1,MIN(Данные[[#This Row],[Базовая сумма]]*$O$2,$C$2),IF(Данные[[#This Row],[weighted_ext_score]]&lt;$O$3,Данные[[#This Row],[Базовая сумма]]*$O$4,N321))</f>
        <v>100000</v>
      </c>
      <c r="P3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21" s="2">
        <f>ABS(Данные[[#This Row],[days_birth]])/365.2425</f>
        <v>49.980492412575209</v>
      </c>
      <c r="S3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321" s="2">
        <f>IF(Данные[[#This Row],[ interest_rate]]&gt;$T$1,Данные[[#This Row],[days_birth4]]*$T$2,Данные[[#This Row],[days_birth4]])</f>
        <v>120000</v>
      </c>
      <c r="U321" s="2">
        <f>IF(Данные[[#This Row],[Проверка отказа]]="отказ",0,MAX(Данные[[#This Row],[interest_rate]],$C$1))</f>
        <v>120000</v>
      </c>
      <c r="V321" s="2">
        <f>MROUND(Данные[[#This Row],[Минимум 20000]], 100)</f>
        <v>120000</v>
      </c>
    </row>
    <row r="322" spans="1:22" x14ac:dyDescent="0.25">
      <c r="A322" s="2">
        <f>'1000_заявлений'!A316</f>
        <v>314</v>
      </c>
      <c r="B322" s="4">
        <f>VALUE(SUBSTITUTE('1000_заявлений'!B316, ".", ","))</f>
        <v>0.76584819114345704</v>
      </c>
      <c r="C322" s="4">
        <f>VALUE(SUBSTITUTE('1000_заявлений'!C316, ".", ","))</f>
        <v>0.118377798389429</v>
      </c>
      <c r="D322" s="4">
        <f>VALUE(SUBSTITUTE('1000_заявлений'!D316, ".", ","))</f>
        <v>0.53527623000000002</v>
      </c>
      <c r="E322" s="4">
        <f>VALUE(SUBSTITUTE('1000_заявлений'!E316, ".", ","))</f>
        <v>0.14198947000000001</v>
      </c>
      <c r="F322" s="5">
        <f>VALUE(SUBSTITUTE('1000_заявлений'!F316, ".", ","))</f>
        <v>-1197</v>
      </c>
      <c r="G322" s="5">
        <f>VALUE(SUBSTITUTE('1000_заявлений'!G316, ".", ","))</f>
        <v>-9610</v>
      </c>
      <c r="H322" s="5">
        <f>VALUE(SUBSTITUTE('1000_заявлений'!H316, ".", ","))</f>
        <v>-777</v>
      </c>
      <c r="I322" s="4">
        <f>VALUE(SUBSTITUTE('1000_заявлений'!I316, ".", ","))</f>
        <v>0.15937777777777701</v>
      </c>
      <c r="J322" s="4">
        <f>VALUE(SUBSTITUTE('1000_заявлений'!J316, ".", ","))</f>
        <v>3.14221324253776</v>
      </c>
      <c r="K322" s="5">
        <f>VALUE(SUBSTITUTE('1000_заявлений'!K316, ".", ","))</f>
        <v>-801</v>
      </c>
      <c r="L322" s="6">
        <f>VALUE(SUBSTITUTE('1000_заявлений'!L316, ".", ","))</f>
        <v>32274</v>
      </c>
      <c r="M322" s="2" t="str">
        <f>IF(Данные[[#This Row],[proba]]&gt;$C$6, "отказ", "одобрение")</f>
        <v>отказ</v>
      </c>
      <c r="N322" s="7">
        <f>IF(Данные[[#This Row],[proba]]&lt;$D$2,$C$2,IF(Данные[[#This Row],[proba]]&lt;$D$3,$C$3,IF(Данные[[#This Row],[proba]]&gt;$C$6,0,$C$4)))</f>
        <v>0</v>
      </c>
      <c r="O322" s="2">
        <f>IF(Данные[[#This Row],[weighted_ext_score]]&gt;$O$1,MIN(Данные[[#This Row],[Базовая сумма]]*$O$2,$C$2),IF(Данные[[#This Row],[weighted_ext_score]]&lt;$O$3,Данные[[#This Row],[Базовая сумма]]*$O$4,N322))</f>
        <v>0</v>
      </c>
      <c r="P3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2" s="2">
        <f>ABS(Данные[[#This Row],[days_birth]])/365.2425</f>
        <v>26.311286337159558</v>
      </c>
      <c r="S3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2" s="2">
        <f>IF(Данные[[#This Row],[ interest_rate]]&gt;$T$1,Данные[[#This Row],[days_birth4]]*$T$2,Данные[[#This Row],[days_birth4]])</f>
        <v>0</v>
      </c>
      <c r="U322" s="2">
        <f>IF(Данные[[#This Row],[Проверка отказа]]="отказ",0,MAX(Данные[[#This Row],[interest_rate]],$C$1))</f>
        <v>0</v>
      </c>
      <c r="V322" s="2">
        <f>MROUND(Данные[[#This Row],[Минимум 20000]], 100)</f>
        <v>0</v>
      </c>
    </row>
    <row r="323" spans="1:22" x14ac:dyDescent="0.25">
      <c r="A323" s="2">
        <f>'1000_заявлений'!A317</f>
        <v>315</v>
      </c>
      <c r="B323" s="4">
        <f>VALUE(SUBSTITUTE('1000_заявлений'!B317, ".", ","))</f>
        <v>0.48983341860163998</v>
      </c>
      <c r="C323" s="4">
        <f>VALUE(SUBSTITUTE('1000_заявлений'!C317, ".", ","))</f>
        <v>0.31332960879969601</v>
      </c>
      <c r="D323" s="4">
        <f>VALUE(SUBSTITUTE('1000_заявлений'!D317, ".", ","))</f>
        <v>0.53527623000000002</v>
      </c>
      <c r="E323" s="4">
        <f>VALUE(SUBSTITUTE('1000_заявлений'!E317, ".", ","))</f>
        <v>0.50564900000000002</v>
      </c>
      <c r="F323" s="5">
        <f>VALUE(SUBSTITUTE('1000_заявлений'!F317, ".", ","))</f>
        <v>-2298</v>
      </c>
      <c r="G323" s="5">
        <f>VALUE(SUBSTITUTE('1000_заявлений'!G317, ".", ","))</f>
        <v>-13023</v>
      </c>
      <c r="H323" s="5">
        <f>VALUE(SUBSTITUTE('1000_заявлений'!H317, ".", ","))</f>
        <v>-3905</v>
      </c>
      <c r="I323" s="4">
        <f>VALUE(SUBSTITUTE('1000_заявлений'!I317, ".", ","))</f>
        <v>0.13177777777777699</v>
      </c>
      <c r="J323" s="4">
        <f>VALUE(SUBSTITUTE('1000_заявлений'!J317, ".", ","))</f>
        <v>3.2036939523734098</v>
      </c>
      <c r="K323" s="5">
        <f>VALUE(SUBSTITUTE('1000_заявлений'!K317, ".", ","))</f>
        <v>-1853</v>
      </c>
      <c r="L323" s="6">
        <f>VALUE(SUBSTITUTE('1000_заявлений'!L317, ".", ","))</f>
        <v>26685</v>
      </c>
      <c r="M323" s="2" t="str">
        <f>IF(Данные[[#This Row],[proba]]&gt;$C$6, "отказ", "одобрение")</f>
        <v>отказ</v>
      </c>
      <c r="N323" s="7">
        <f>IF(Данные[[#This Row],[proba]]&lt;$D$2,$C$2,IF(Данные[[#This Row],[proba]]&lt;$D$3,$C$3,IF(Данные[[#This Row],[proba]]&gt;$C$6,0,$C$4)))</f>
        <v>0</v>
      </c>
      <c r="O323" s="2">
        <f>IF(Данные[[#This Row],[weighted_ext_score]]&gt;$O$1,MIN(Данные[[#This Row],[Базовая сумма]]*$O$2,$C$2),IF(Данные[[#This Row],[weighted_ext_score]]&lt;$O$3,Данные[[#This Row],[Базовая сумма]]*$O$4,N323))</f>
        <v>0</v>
      </c>
      <c r="P3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3" s="2">
        <f>ABS(Данные[[#This Row],[days_birth]])/365.2425</f>
        <v>35.655762952011337</v>
      </c>
      <c r="S3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3" s="2">
        <f>IF(Данные[[#This Row],[ interest_rate]]&gt;$T$1,Данные[[#This Row],[days_birth4]]*$T$2,Данные[[#This Row],[days_birth4]])</f>
        <v>0</v>
      </c>
      <c r="U323" s="2">
        <f>IF(Данные[[#This Row],[Проверка отказа]]="отказ",0,MAX(Данные[[#This Row],[interest_rate]],$C$1))</f>
        <v>0</v>
      </c>
      <c r="V323" s="2">
        <f>MROUND(Данные[[#This Row],[Минимум 20000]], 100)</f>
        <v>0</v>
      </c>
    </row>
    <row r="324" spans="1:22" x14ac:dyDescent="0.25">
      <c r="A324" s="2">
        <f>'1000_заявлений'!A318</f>
        <v>316</v>
      </c>
      <c r="B324" s="4">
        <f>VALUE(SUBSTITUTE('1000_заявлений'!B318, ".", ","))</f>
        <v>0.70202602843897399</v>
      </c>
      <c r="C324" s="4">
        <f>VALUE(SUBSTITUTE('1000_заявлений'!C318, ".", ","))</f>
        <v>0.22014192260885199</v>
      </c>
      <c r="D324" s="4">
        <f>VALUE(SUBSTITUTE('1000_заявлений'!D318, ".", ","))</f>
        <v>0.47764915000000002</v>
      </c>
      <c r="E324" s="4">
        <f>VALUE(SUBSTITUTE('1000_заявлений'!E318, ".", ","))</f>
        <v>0.14610364000000001</v>
      </c>
      <c r="F324" s="5">
        <f>VALUE(SUBSTITUTE('1000_заявлений'!F318, ".", ","))</f>
        <v>-5395</v>
      </c>
      <c r="G324" s="5">
        <f>VALUE(SUBSTITUTE('1000_заявлений'!G318, ".", ","))</f>
        <v>-17489</v>
      </c>
      <c r="H324" s="5">
        <f>VALUE(SUBSTITUTE('1000_заявлений'!H318, ".", ","))</f>
        <v>-1027</v>
      </c>
      <c r="I324" s="4">
        <f>VALUE(SUBSTITUTE('1000_заявлений'!I318, ".", ","))</f>
        <v>5.9799999999999999E-2</v>
      </c>
      <c r="J324" s="4">
        <f>VALUE(SUBSTITUTE('1000_заявлений'!J318, ".", ","))</f>
        <v>1.7420083037559699</v>
      </c>
      <c r="K324" s="5">
        <f>VALUE(SUBSTITUTE('1000_заявлений'!K318, ".", ","))</f>
        <v>-827</v>
      </c>
      <c r="L324" s="6">
        <f>VALUE(SUBSTITUTE('1000_заявлений'!L318, ".", ","))</f>
        <v>6727.5</v>
      </c>
      <c r="M324" s="2" t="str">
        <f>IF(Данные[[#This Row],[proba]]&gt;$C$6, "отказ", "одобрение")</f>
        <v>отказ</v>
      </c>
      <c r="N324" s="7">
        <f>IF(Данные[[#This Row],[proba]]&lt;$D$2,$C$2,IF(Данные[[#This Row],[proba]]&lt;$D$3,$C$3,IF(Данные[[#This Row],[proba]]&gt;$C$6,0,$C$4)))</f>
        <v>0</v>
      </c>
      <c r="O324" s="2">
        <f>IF(Данные[[#This Row],[weighted_ext_score]]&gt;$O$1,MIN(Данные[[#This Row],[Базовая сумма]]*$O$2,$C$2),IF(Данные[[#This Row],[weighted_ext_score]]&lt;$O$3,Данные[[#This Row],[Базовая сумма]]*$O$4,N324))</f>
        <v>0</v>
      </c>
      <c r="P3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4" s="2">
        <f>ABS(Данные[[#This Row],[days_birth]])/365.2425</f>
        <v>47.883255645222008</v>
      </c>
      <c r="S3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4" s="2">
        <f>IF(Данные[[#This Row],[ interest_rate]]&gt;$T$1,Данные[[#This Row],[days_birth4]]*$T$2,Данные[[#This Row],[days_birth4]])</f>
        <v>0</v>
      </c>
      <c r="U324" s="2">
        <f>IF(Данные[[#This Row],[Проверка отказа]]="отказ",0,MAX(Данные[[#This Row],[interest_rate]],$C$1))</f>
        <v>0</v>
      </c>
      <c r="V324" s="2">
        <f>MROUND(Данные[[#This Row],[Минимум 20000]], 100)</f>
        <v>0</v>
      </c>
    </row>
    <row r="325" spans="1:22" x14ac:dyDescent="0.25">
      <c r="A325" s="2">
        <f>'1000_заявлений'!A319</f>
        <v>317</v>
      </c>
      <c r="B325" s="4">
        <f>VALUE(SUBSTITUTE('1000_заявлений'!B319, ".", ","))</f>
        <v>0.855163335767129</v>
      </c>
      <c r="C325" s="4">
        <f>VALUE(SUBSTITUTE('1000_заявлений'!C319, ".", ","))</f>
        <v>0.195263902498019</v>
      </c>
      <c r="D325" s="4">
        <f>VALUE(SUBSTITUTE('1000_заявлений'!D319, ".", ","))</f>
        <v>0.29109737000000002</v>
      </c>
      <c r="E325" s="4">
        <f>VALUE(SUBSTITUTE('1000_заявлений'!E319, ".", ","))</f>
        <v>4.206741E-2</v>
      </c>
      <c r="F325" s="5">
        <f>VALUE(SUBSTITUTE('1000_заявлений'!F319, ".", ","))</f>
        <v>-1954</v>
      </c>
      <c r="G325" s="5">
        <f>VALUE(SUBSTITUTE('1000_заявлений'!G319, ".", ","))</f>
        <v>-8787</v>
      </c>
      <c r="H325" s="5">
        <f>VALUE(SUBSTITUTE('1000_заявлений'!H319, ".", ","))</f>
        <v>-1469</v>
      </c>
      <c r="I325" s="4">
        <f>VALUE(SUBSTITUTE('1000_заявлений'!I319, ".", ","))</f>
        <v>0.19803999999999999</v>
      </c>
      <c r="J325" s="4">
        <f>VALUE(SUBSTITUTE('1000_заявлений'!J319, ".", ","))</f>
        <v>4.4431335941533101</v>
      </c>
      <c r="K325" s="5">
        <f>VALUE(SUBSTITUTE('1000_заявлений'!K319, ".", ","))</f>
        <v>-2169</v>
      </c>
      <c r="L325" s="6">
        <f>VALUE(SUBSTITUTE('1000_заявлений'!L319, ".", ","))</f>
        <v>22279.5</v>
      </c>
      <c r="M325" s="2" t="str">
        <f>IF(Данные[[#This Row],[proba]]&gt;$C$6, "отказ", "одобрение")</f>
        <v>отказ</v>
      </c>
      <c r="N325" s="7">
        <f>IF(Данные[[#This Row],[proba]]&lt;$D$2,$C$2,IF(Данные[[#This Row],[proba]]&lt;$D$3,$C$3,IF(Данные[[#This Row],[proba]]&gt;$C$6,0,$C$4)))</f>
        <v>0</v>
      </c>
      <c r="O325" s="2">
        <f>IF(Данные[[#This Row],[weighted_ext_score]]&gt;$O$1,MIN(Данные[[#This Row],[Базовая сумма]]*$O$2,$C$2),IF(Данные[[#This Row],[weighted_ext_score]]&lt;$O$3,Данные[[#This Row],[Базовая сумма]]*$O$4,N325))</f>
        <v>0</v>
      </c>
      <c r="P3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5" s="2">
        <f>ABS(Данные[[#This Row],[days_birth]])/365.2425</f>
        <v>24.057988870408018</v>
      </c>
      <c r="S3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5" s="2">
        <f>IF(Данные[[#This Row],[ interest_rate]]&gt;$T$1,Данные[[#This Row],[days_birth4]]*$T$2,Данные[[#This Row],[days_birth4]])</f>
        <v>0</v>
      </c>
      <c r="U325" s="2">
        <f>IF(Данные[[#This Row],[Проверка отказа]]="отказ",0,MAX(Данные[[#This Row],[interest_rate]],$C$1))</f>
        <v>0</v>
      </c>
      <c r="V325" s="2">
        <f>MROUND(Данные[[#This Row],[Минимум 20000]], 100)</f>
        <v>0</v>
      </c>
    </row>
    <row r="326" spans="1:22" x14ac:dyDescent="0.25">
      <c r="A326" s="2">
        <f>'1000_заявлений'!A320</f>
        <v>318</v>
      </c>
      <c r="B326" s="4">
        <f>VALUE(SUBSTITUTE('1000_заявлений'!B320, ".", ","))</f>
        <v>0.40602019643922899</v>
      </c>
      <c r="C326" s="4">
        <f>VALUE(SUBSTITUTE('1000_заявлений'!C320, ".", ","))</f>
        <v>0.20107590546555801</v>
      </c>
      <c r="D326" s="4">
        <f>VALUE(SUBSTITUTE('1000_заявлений'!D320, ".", ","))</f>
        <v>0.53527623000000002</v>
      </c>
      <c r="E326" s="4">
        <f>VALUE(SUBSTITUTE('1000_заявлений'!E320, ".", ","))</f>
        <v>0.61988359999999998</v>
      </c>
      <c r="F326" s="5">
        <f>VALUE(SUBSTITUTE('1000_заявлений'!F320, ".", ","))</f>
        <v>-797</v>
      </c>
      <c r="G326" s="5">
        <f>VALUE(SUBSTITUTE('1000_заявлений'!G320, ".", ","))</f>
        <v>-20609</v>
      </c>
      <c r="H326" s="5">
        <f>VALUE(SUBSTITUTE('1000_заявлений'!H320, ".", ","))</f>
        <v>-3870</v>
      </c>
      <c r="I326" s="4">
        <f>VALUE(SUBSTITUTE('1000_заявлений'!I320, ".", ","))</f>
        <v>0.21636666666666601</v>
      </c>
      <c r="J326" s="4">
        <f>VALUE(SUBSTITUTE('1000_заявлений'!J320, ".", ","))</f>
        <v>16.0317223255695</v>
      </c>
      <c r="K326" s="5">
        <f>VALUE(SUBSTITUTE('1000_заявлений'!K320, ".", ","))</f>
        <v>-6948</v>
      </c>
      <c r="L326" s="6">
        <f>VALUE(SUBSTITUTE('1000_заявлений'!L320, ".", ","))</f>
        <v>29209.5</v>
      </c>
      <c r="M326" s="2" t="str">
        <f>IF(Данные[[#This Row],[proba]]&gt;$C$6, "отказ", "одобрение")</f>
        <v>отказ</v>
      </c>
      <c r="N326" s="7">
        <f>IF(Данные[[#This Row],[proba]]&lt;$D$2,$C$2,IF(Данные[[#This Row],[proba]]&lt;$D$3,$C$3,IF(Данные[[#This Row],[proba]]&gt;$C$6,0,$C$4)))</f>
        <v>0</v>
      </c>
      <c r="O326" s="2">
        <f>IF(Данные[[#This Row],[weighted_ext_score]]&gt;$O$1,MIN(Данные[[#This Row],[Базовая сумма]]*$O$2,$C$2),IF(Данные[[#This Row],[weighted_ext_score]]&lt;$O$3,Данные[[#This Row],[Базовая сумма]]*$O$4,N326))</f>
        <v>0</v>
      </c>
      <c r="P3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6" s="2">
        <f>ABS(Данные[[#This Row],[days_birth]])/365.2425</f>
        <v>56.425525507026151</v>
      </c>
      <c r="S3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6" s="2">
        <f>IF(Данные[[#This Row],[ interest_rate]]&gt;$T$1,Данные[[#This Row],[days_birth4]]*$T$2,Данные[[#This Row],[days_birth4]])</f>
        <v>0</v>
      </c>
      <c r="U326" s="2">
        <f>IF(Данные[[#This Row],[Проверка отказа]]="отказ",0,MAX(Данные[[#This Row],[interest_rate]],$C$1))</f>
        <v>0</v>
      </c>
      <c r="V326" s="2">
        <f>MROUND(Данные[[#This Row],[Минимум 20000]], 100)</f>
        <v>0</v>
      </c>
    </row>
    <row r="327" spans="1:22" x14ac:dyDescent="0.25">
      <c r="A327" s="2">
        <f>'1000_заявлений'!A321</f>
        <v>319</v>
      </c>
      <c r="B327" s="4">
        <f>VALUE(SUBSTITUTE('1000_заявлений'!B321, ".", ","))</f>
        <v>0.55546423727523497</v>
      </c>
      <c r="C327" s="4">
        <f>VALUE(SUBSTITUTE('1000_заявлений'!C321, ".", ","))</f>
        <v>0.41662327588562897</v>
      </c>
      <c r="D327" s="4">
        <f>VALUE(SUBSTITUTE('1000_заявлений'!D321, ".", ","))</f>
        <v>0.36896873000000002</v>
      </c>
      <c r="E327" s="4">
        <f>VALUE(SUBSTITUTE('1000_заявлений'!E321, ".", ","))</f>
        <v>0.46074306999999998</v>
      </c>
      <c r="F327" s="5">
        <f>VALUE(SUBSTITUTE('1000_заявлений'!F321, ".", ","))</f>
        <v>-3770</v>
      </c>
      <c r="G327" s="5">
        <f>VALUE(SUBSTITUTE('1000_заявлений'!G321, ".", ","))</f>
        <v>-13988</v>
      </c>
      <c r="H327" s="5">
        <f>VALUE(SUBSTITUTE('1000_заявлений'!H321, ".", ","))</f>
        <v>-5674</v>
      </c>
      <c r="I327" s="4">
        <f>VALUE(SUBSTITUTE('1000_заявлений'!I321, ".", ","))</f>
        <v>0.22131428571428499</v>
      </c>
      <c r="J327" s="4">
        <f>VALUE(SUBSTITUTE('1000_заявлений'!J321, ".", ","))</f>
        <v>0.93236490479977596</v>
      </c>
      <c r="K327" s="5">
        <f>VALUE(SUBSTITUTE('1000_заявлений'!K321, ".", ","))</f>
        <v>-1582</v>
      </c>
      <c r="L327" s="6">
        <f>VALUE(SUBSTITUTE('1000_заявлений'!L321, ".", ","))</f>
        <v>34857</v>
      </c>
      <c r="M327" s="2" t="str">
        <f>IF(Данные[[#This Row],[proba]]&gt;$C$6, "отказ", "одобрение")</f>
        <v>отказ</v>
      </c>
      <c r="N327" s="7">
        <f>IF(Данные[[#This Row],[proba]]&lt;$D$2,$C$2,IF(Данные[[#This Row],[proba]]&lt;$D$3,$C$3,IF(Данные[[#This Row],[proba]]&gt;$C$6,0,$C$4)))</f>
        <v>0</v>
      </c>
      <c r="O327" s="2">
        <f>IF(Данные[[#This Row],[weighted_ext_score]]&gt;$O$1,MIN(Данные[[#This Row],[Базовая сумма]]*$O$2,$C$2),IF(Данные[[#This Row],[weighted_ext_score]]&lt;$O$3,Данные[[#This Row],[Базовая сумма]]*$O$4,N327))</f>
        <v>0</v>
      </c>
      <c r="P3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7" s="2">
        <f>ABS(Данные[[#This Row],[days_birth]])/365.2425</f>
        <v>38.297843213755243</v>
      </c>
      <c r="S3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7" s="2">
        <f>IF(Данные[[#This Row],[ interest_rate]]&gt;$T$1,Данные[[#This Row],[days_birth4]]*$T$2,Данные[[#This Row],[days_birth4]])</f>
        <v>0</v>
      </c>
      <c r="U327" s="2">
        <f>IF(Данные[[#This Row],[Проверка отказа]]="отказ",0,MAX(Данные[[#This Row],[interest_rate]],$C$1))</f>
        <v>0</v>
      </c>
      <c r="V327" s="2">
        <f>MROUND(Данные[[#This Row],[Минимум 20000]], 100)</f>
        <v>0</v>
      </c>
    </row>
    <row r="328" spans="1:22" x14ac:dyDescent="0.25">
      <c r="A328" s="2">
        <f>'1000_заявлений'!A322</f>
        <v>320</v>
      </c>
      <c r="B328" s="4">
        <f>VALUE(SUBSTITUTE('1000_заявлений'!B322, ".", ","))</f>
        <v>0.647619218144731</v>
      </c>
      <c r="C328" s="4">
        <f>VALUE(SUBSTITUTE('1000_заявлений'!C322, ".", ","))</f>
        <v>0.41780579822362302</v>
      </c>
      <c r="D328" s="4">
        <f>VALUE(SUBSTITUTE('1000_заявлений'!D322, ".", ","))</f>
        <v>0.13765447</v>
      </c>
      <c r="E328" s="4">
        <f>VALUE(SUBSTITUTE('1000_заявлений'!E322, ".", ","))</f>
        <v>0.41182834000000001</v>
      </c>
      <c r="F328" s="5">
        <f>VALUE(SUBSTITUTE('1000_заявлений'!F322, ".", ","))</f>
        <v>-9049</v>
      </c>
      <c r="G328" s="5">
        <f>VALUE(SUBSTITUTE('1000_заявлений'!G322, ".", ","))</f>
        <v>-19946</v>
      </c>
      <c r="H328" s="5">
        <f>VALUE(SUBSTITUTE('1000_заявлений'!H322, ".", ","))</f>
        <v>-3461</v>
      </c>
      <c r="I328" s="4">
        <f>VALUE(SUBSTITUTE('1000_заявлений'!I322, ".", ","))</f>
        <v>0.14654166666666599</v>
      </c>
      <c r="J328" s="4">
        <f>VALUE(SUBSTITUTE('1000_заявлений'!J322, ".", ","))</f>
        <v>1.83324182632016</v>
      </c>
      <c r="K328" s="5">
        <f>VALUE(SUBSTITUTE('1000_заявлений'!K322, ".", ","))</f>
        <v>-10317</v>
      </c>
      <c r="L328" s="6">
        <f>VALUE(SUBSTITUTE('1000_заявлений'!L322, ".", ","))</f>
        <v>31653</v>
      </c>
      <c r="M328" s="2" t="str">
        <f>IF(Данные[[#This Row],[proba]]&gt;$C$6, "отказ", "одобрение")</f>
        <v>отказ</v>
      </c>
      <c r="N328" s="7">
        <f>IF(Данные[[#This Row],[proba]]&lt;$D$2,$C$2,IF(Данные[[#This Row],[proba]]&lt;$D$3,$C$3,IF(Данные[[#This Row],[proba]]&gt;$C$6,0,$C$4)))</f>
        <v>0</v>
      </c>
      <c r="O328" s="2">
        <f>IF(Данные[[#This Row],[weighted_ext_score]]&gt;$O$1,MIN(Данные[[#This Row],[Базовая сумма]]*$O$2,$C$2),IF(Данные[[#This Row],[weighted_ext_score]]&lt;$O$3,Данные[[#This Row],[Базовая сумма]]*$O$4,N328))</f>
        <v>0</v>
      </c>
      <c r="P3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8" s="2">
        <f>ABS(Данные[[#This Row],[days_birth]])/365.2425</f>
        <v>54.610293161392775</v>
      </c>
      <c r="S3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8" s="2">
        <f>IF(Данные[[#This Row],[ interest_rate]]&gt;$T$1,Данные[[#This Row],[days_birth4]]*$T$2,Данные[[#This Row],[days_birth4]])</f>
        <v>0</v>
      </c>
      <c r="U328" s="2">
        <f>IF(Данные[[#This Row],[Проверка отказа]]="отказ",0,MAX(Данные[[#This Row],[interest_rate]],$C$1))</f>
        <v>0</v>
      </c>
      <c r="V328" s="2">
        <f>MROUND(Данные[[#This Row],[Минимум 20000]], 100)</f>
        <v>0</v>
      </c>
    </row>
    <row r="329" spans="1:22" x14ac:dyDescent="0.25">
      <c r="A329" s="2">
        <f>'1000_заявлений'!A323</f>
        <v>321</v>
      </c>
      <c r="B329" s="4">
        <f>VALUE(SUBSTITUTE('1000_заявлений'!B323, ".", ","))</f>
        <v>0.43234784537385001</v>
      </c>
      <c r="C329" s="4">
        <f>VALUE(SUBSTITUTE('1000_заявлений'!C323, ".", ","))</f>
        <v>0.576318186472905</v>
      </c>
      <c r="D329" s="4">
        <f>VALUE(SUBSTITUTE('1000_заявлений'!D323, ".", ","))</f>
        <v>0.47764915000000002</v>
      </c>
      <c r="E329" s="4">
        <f>VALUE(SUBSTITUTE('1000_заявлений'!E323, ".", ","))</f>
        <v>0.43326890000000001</v>
      </c>
      <c r="F329" s="5">
        <f>VALUE(SUBSTITUTE('1000_заявлений'!F323, ".", ","))</f>
        <v>-2855</v>
      </c>
      <c r="G329" s="5">
        <f>VALUE(SUBSTITUTE('1000_заявлений'!G323, ".", ","))</f>
        <v>-18520</v>
      </c>
      <c r="H329" s="5">
        <f>VALUE(SUBSTITUTE('1000_заявлений'!H323, ".", ","))</f>
        <v>-2065</v>
      </c>
      <c r="I329" s="4">
        <f>VALUE(SUBSTITUTE('1000_заявлений'!I323, ".", ","))</f>
        <v>0.2228</v>
      </c>
      <c r="J329" s="4">
        <f>VALUE(SUBSTITUTE('1000_заявлений'!J323, ".", ","))</f>
        <v>0.34658692792419699</v>
      </c>
      <c r="K329" s="5">
        <f>VALUE(SUBSTITUTE('1000_заявлений'!K323, ".", ","))</f>
        <v>-493</v>
      </c>
      <c r="L329" s="6">
        <f>VALUE(SUBSTITUTE('1000_заявлений'!L323, ".", ","))</f>
        <v>40104</v>
      </c>
      <c r="M329" s="2" t="str">
        <f>IF(Данные[[#This Row],[proba]]&gt;$C$6, "отказ", "одобрение")</f>
        <v>отказ</v>
      </c>
      <c r="N329" s="7">
        <f>IF(Данные[[#This Row],[proba]]&lt;$D$2,$C$2,IF(Данные[[#This Row],[proba]]&lt;$D$3,$C$3,IF(Данные[[#This Row],[proba]]&gt;$C$6,0,$C$4)))</f>
        <v>0</v>
      </c>
      <c r="O329" s="2">
        <f>IF(Данные[[#This Row],[weighted_ext_score]]&gt;$O$1,MIN(Данные[[#This Row],[Базовая сумма]]*$O$2,$C$2),IF(Данные[[#This Row],[weighted_ext_score]]&lt;$O$3,Данные[[#This Row],[Базовая сумма]]*$O$4,N329))</f>
        <v>0</v>
      </c>
      <c r="P3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29" s="2">
        <f>ABS(Данные[[#This Row],[days_birth]])/365.2425</f>
        <v>50.706037769427162</v>
      </c>
      <c r="S3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29" s="2">
        <f>IF(Данные[[#This Row],[ interest_rate]]&gt;$T$1,Данные[[#This Row],[days_birth4]]*$T$2,Данные[[#This Row],[days_birth4]])</f>
        <v>0</v>
      </c>
      <c r="U329" s="2">
        <f>IF(Данные[[#This Row],[Проверка отказа]]="отказ",0,MAX(Данные[[#This Row],[interest_rate]],$C$1))</f>
        <v>0</v>
      </c>
      <c r="V329" s="2">
        <f>MROUND(Данные[[#This Row],[Минимум 20000]], 100)</f>
        <v>0</v>
      </c>
    </row>
    <row r="330" spans="1:22" x14ac:dyDescent="0.25">
      <c r="A330" s="2">
        <f>'1000_заявлений'!A324</f>
        <v>322</v>
      </c>
      <c r="B330" s="4">
        <f>VALUE(SUBSTITUTE('1000_заявлений'!B324, ".", ","))</f>
        <v>0.641344271001418</v>
      </c>
      <c r="C330" s="4">
        <f>VALUE(SUBSTITUTE('1000_заявлений'!C324, ".", ","))</f>
        <v>0.28441888302642898</v>
      </c>
      <c r="D330" s="4">
        <f>VALUE(SUBSTITUTE('1000_заявлений'!D324, ".", ","))</f>
        <v>0.52089759999999996</v>
      </c>
      <c r="E330" s="4">
        <f>VALUE(SUBSTITUTE('1000_заявлений'!E324, ".", ","))</f>
        <v>0.29603875000000002</v>
      </c>
      <c r="F330" s="5">
        <f>VALUE(SUBSTITUTE('1000_заявлений'!F324, ".", ","))</f>
        <v>-9357</v>
      </c>
      <c r="G330" s="5">
        <f>VALUE(SUBSTITUTE('1000_заявлений'!G324, ".", ","))</f>
        <v>-9357</v>
      </c>
      <c r="H330" s="5">
        <f>VALUE(SUBSTITUTE('1000_заявлений'!H324, ".", ","))</f>
        <v>-1608</v>
      </c>
      <c r="I330" s="4">
        <f>VALUE(SUBSTITUTE('1000_заявлений'!I324, ".", ","))</f>
        <v>0.23899999999999999</v>
      </c>
      <c r="J330" s="4">
        <f>VALUE(SUBSTITUTE('1000_заявлений'!J324, ".", ","))</f>
        <v>5.9377454884518199</v>
      </c>
      <c r="K330" s="5">
        <f>VALUE(SUBSTITUTE('1000_заявлений'!K324, ".", ","))</f>
        <v>-1533</v>
      </c>
      <c r="L330" s="6">
        <f>VALUE(SUBSTITUTE('1000_заявлений'!L324, ".", ","))</f>
        <v>26887.5</v>
      </c>
      <c r="M330" s="2" t="str">
        <f>IF(Данные[[#This Row],[proba]]&gt;$C$6, "отказ", "одобрение")</f>
        <v>отказ</v>
      </c>
      <c r="N330" s="7">
        <f>IF(Данные[[#This Row],[proba]]&lt;$D$2,$C$2,IF(Данные[[#This Row],[proba]]&lt;$D$3,$C$3,IF(Данные[[#This Row],[proba]]&gt;$C$6,0,$C$4)))</f>
        <v>0</v>
      </c>
      <c r="O330" s="2">
        <f>IF(Данные[[#This Row],[weighted_ext_score]]&gt;$O$1,MIN(Данные[[#This Row],[Базовая сумма]]*$O$2,$C$2),IF(Данные[[#This Row],[weighted_ext_score]]&lt;$O$3,Данные[[#This Row],[Базовая сумма]]*$O$4,N330))</f>
        <v>0</v>
      </c>
      <c r="P3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0" s="2">
        <f>ABS(Данные[[#This Row],[days_birth]])/365.2425</f>
        <v>25.618595864391466</v>
      </c>
      <c r="S3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0" s="2">
        <f>IF(Данные[[#This Row],[ interest_rate]]&gt;$T$1,Данные[[#This Row],[days_birth4]]*$T$2,Данные[[#This Row],[days_birth4]])</f>
        <v>0</v>
      </c>
      <c r="U330" s="2">
        <f>IF(Данные[[#This Row],[Проверка отказа]]="отказ",0,MAX(Данные[[#This Row],[interest_rate]],$C$1))</f>
        <v>0</v>
      </c>
      <c r="V330" s="2">
        <f>MROUND(Данные[[#This Row],[Минимум 20000]], 100)</f>
        <v>0</v>
      </c>
    </row>
    <row r="331" spans="1:22" x14ac:dyDescent="0.25">
      <c r="A331" s="2">
        <f>'1000_заявлений'!A325</f>
        <v>323</v>
      </c>
      <c r="B331" s="4">
        <f>VALUE(SUBSTITUTE('1000_заявлений'!B325, ".", ","))</f>
        <v>0.54944908439930096</v>
      </c>
      <c r="C331" s="4">
        <f>VALUE(SUBSTITUTE('1000_заявлений'!C325, ".", ","))</f>
        <v>0.253457052339984</v>
      </c>
      <c r="D331" s="4">
        <f>VALUE(SUBSTITUTE('1000_заявлений'!D325, ".", ","))</f>
        <v>0.47944896999999997</v>
      </c>
      <c r="E331" s="4">
        <f>VALUE(SUBSTITUTE('1000_заявлений'!E325, ".", ","))</f>
        <v>0.24680193</v>
      </c>
      <c r="F331" s="5">
        <f>VALUE(SUBSTITUTE('1000_заявлений'!F325, ".", ","))</f>
        <v>-6936</v>
      </c>
      <c r="G331" s="5">
        <f>VALUE(SUBSTITUTE('1000_заявлений'!G325, ".", ","))</f>
        <v>-21135</v>
      </c>
      <c r="H331" s="5">
        <f>VALUE(SUBSTITUTE('1000_заявлений'!H325, ".", ","))</f>
        <v>-958</v>
      </c>
      <c r="I331" s="4">
        <f>VALUE(SUBSTITUTE('1000_заявлений'!I325, ".", ","))</f>
        <v>9.1966666666666599E-2</v>
      </c>
      <c r="J331" s="4">
        <f>VALUE(SUBSTITUTE('1000_заявлений'!J325, ".", ","))</f>
        <v>7.9578463776431096</v>
      </c>
      <c r="K331" s="5">
        <f>VALUE(SUBSTITUTE('1000_заявлений'!K325, ".", ","))</f>
        <v>365243</v>
      </c>
      <c r="L331" s="6">
        <f>VALUE(SUBSTITUTE('1000_заявлений'!L325, ".", ","))</f>
        <v>12415.5</v>
      </c>
      <c r="M331" s="2" t="str">
        <f>IF(Данные[[#This Row],[proba]]&gt;$C$6, "отказ", "одобрение")</f>
        <v>отказ</v>
      </c>
      <c r="N331" s="7">
        <f>IF(Данные[[#This Row],[proba]]&lt;$D$2,$C$2,IF(Данные[[#This Row],[proba]]&lt;$D$3,$C$3,IF(Данные[[#This Row],[proba]]&gt;$C$6,0,$C$4)))</f>
        <v>0</v>
      </c>
      <c r="O331" s="2">
        <f>IF(Данные[[#This Row],[weighted_ext_score]]&gt;$O$1,MIN(Данные[[#This Row],[Базовая сумма]]*$O$2,$C$2),IF(Данные[[#This Row],[weighted_ext_score]]&lt;$O$3,Данные[[#This Row],[Базовая сумма]]*$O$4,N331))</f>
        <v>0</v>
      </c>
      <c r="P3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1" s="2">
        <f>ABS(Данные[[#This Row],[days_birth]])/365.2425</f>
        <v>57.86566459270211</v>
      </c>
      <c r="S3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1" s="2">
        <f>IF(Данные[[#This Row],[ interest_rate]]&gt;$T$1,Данные[[#This Row],[days_birth4]]*$T$2,Данные[[#This Row],[days_birth4]])</f>
        <v>0</v>
      </c>
      <c r="U331" s="2">
        <f>IF(Данные[[#This Row],[Проверка отказа]]="отказ",0,MAX(Данные[[#This Row],[interest_rate]],$C$1))</f>
        <v>0</v>
      </c>
      <c r="V331" s="2">
        <f>MROUND(Данные[[#This Row],[Минимум 20000]], 100)</f>
        <v>0</v>
      </c>
    </row>
    <row r="332" spans="1:22" x14ac:dyDescent="0.25">
      <c r="A332" s="2">
        <f>'1000_заявлений'!A326</f>
        <v>324</v>
      </c>
      <c r="B332" s="4">
        <f>VALUE(SUBSTITUTE('1000_заявлений'!B326, ".", ","))</f>
        <v>0.56174398979787399</v>
      </c>
      <c r="C332" s="4">
        <f>VALUE(SUBSTITUTE('1000_заявлений'!C326, ".", ","))</f>
        <v>0.29875539878232099</v>
      </c>
      <c r="D332" s="4">
        <f>VALUE(SUBSTITUTE('1000_заявлений'!D326, ".", ","))</f>
        <v>0.61782616000000001</v>
      </c>
      <c r="E332" s="4">
        <f>VALUE(SUBSTITUTE('1000_заявлений'!E326, ".", ","))</f>
        <v>0.23216486</v>
      </c>
      <c r="F332" s="5">
        <f>VALUE(SUBSTITUTE('1000_заявлений'!F326, ".", ","))</f>
        <v>-1447</v>
      </c>
      <c r="G332" s="5">
        <f>VALUE(SUBSTITUTE('1000_заявлений'!G326, ".", ","))</f>
        <v>-10405</v>
      </c>
      <c r="H332" s="5">
        <f>VALUE(SUBSTITUTE('1000_заявлений'!H326, ".", ","))</f>
        <v>-1355</v>
      </c>
      <c r="I332" s="4">
        <f>VALUE(SUBSTITUTE('1000_заявлений'!I326, ".", ","))</f>
        <v>0.111925</v>
      </c>
      <c r="J332" s="4">
        <f>VALUE(SUBSTITUTE('1000_заявлений'!J326, ".", ","))</f>
        <v>11.3012447611905</v>
      </c>
      <c r="K332" s="5">
        <f>VALUE(SUBSTITUTE('1000_заявлений'!K326, ".", ","))</f>
        <v>-3653</v>
      </c>
      <c r="L332" s="6">
        <f>VALUE(SUBSTITUTE('1000_заявлений'!L326, ".", ","))</f>
        <v>20146.5</v>
      </c>
      <c r="M332" s="2" t="str">
        <f>IF(Данные[[#This Row],[proba]]&gt;$C$6, "отказ", "одобрение")</f>
        <v>отказ</v>
      </c>
      <c r="N332" s="7">
        <f>IF(Данные[[#This Row],[proba]]&lt;$D$2,$C$2,IF(Данные[[#This Row],[proba]]&lt;$D$3,$C$3,IF(Данные[[#This Row],[proba]]&gt;$C$6,0,$C$4)))</f>
        <v>0</v>
      </c>
      <c r="O332" s="2">
        <f>IF(Данные[[#This Row],[weighted_ext_score]]&gt;$O$1,MIN(Данные[[#This Row],[Базовая сумма]]*$O$2,$C$2),IF(Данные[[#This Row],[weighted_ext_score]]&lt;$O$3,Данные[[#This Row],[Базовая сумма]]*$O$4,N332))</f>
        <v>0</v>
      </c>
      <c r="P3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2" s="2">
        <f>ABS(Данные[[#This Row],[days_birth]])/365.2425</f>
        <v>28.48792240771542</v>
      </c>
      <c r="S3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2" s="2">
        <f>IF(Данные[[#This Row],[ interest_rate]]&gt;$T$1,Данные[[#This Row],[days_birth4]]*$T$2,Данные[[#This Row],[days_birth4]])</f>
        <v>0</v>
      </c>
      <c r="U332" s="2">
        <f>IF(Данные[[#This Row],[Проверка отказа]]="отказ",0,MAX(Данные[[#This Row],[interest_rate]],$C$1))</f>
        <v>0</v>
      </c>
      <c r="V332" s="2">
        <f>MROUND(Данные[[#This Row],[Минимум 20000]], 100)</f>
        <v>0</v>
      </c>
    </row>
    <row r="333" spans="1:22" x14ac:dyDescent="0.25">
      <c r="A333" s="2">
        <f>'1000_заявлений'!A327</f>
        <v>325</v>
      </c>
      <c r="B333" s="4">
        <f>VALUE(SUBSTITUTE('1000_заявлений'!B327, ".", ","))</f>
        <v>0.25428414631907997</v>
      </c>
      <c r="C333" s="4">
        <f>VALUE(SUBSTITUTE('1000_заявлений'!C327, ".", ","))</f>
        <v>0.45600806877023797</v>
      </c>
      <c r="D333" s="4">
        <f>VALUE(SUBSTITUTE('1000_заявлений'!D327, ".", ","))</f>
        <v>0.58848780000000001</v>
      </c>
      <c r="E333" s="4">
        <f>VALUE(SUBSTITUTE('1000_заявлений'!E327, ".", ","))</f>
        <v>0.74965965999999995</v>
      </c>
      <c r="F333" s="5">
        <f>VALUE(SUBSTITUTE('1000_заявлений'!F327, ".", ","))</f>
        <v>-752</v>
      </c>
      <c r="G333" s="5">
        <f>VALUE(SUBSTITUTE('1000_заявлений'!G327, ".", ","))</f>
        <v>-21472</v>
      </c>
      <c r="H333" s="5">
        <f>VALUE(SUBSTITUTE('1000_заявлений'!H327, ".", ","))</f>
        <v>-4986</v>
      </c>
      <c r="I333" s="4">
        <f>VALUE(SUBSTITUTE('1000_заявлений'!I327, ".", ","))</f>
        <v>0.168367346938775</v>
      </c>
      <c r="J333" s="4">
        <f>VALUE(SUBSTITUTE('1000_заявлений'!J327, ".", ","))</f>
        <v>2.7653963316522399</v>
      </c>
      <c r="K333" s="5">
        <f>VALUE(SUBSTITUTE('1000_заявлений'!K327, ".", ","))</f>
        <v>-2751</v>
      </c>
      <c r="L333" s="6">
        <f>VALUE(SUBSTITUTE('1000_заявлений'!L327, ".", ","))</f>
        <v>37125</v>
      </c>
      <c r="M333" s="2" t="str">
        <f>IF(Данные[[#This Row],[proba]]&gt;$C$6, "отказ", "одобрение")</f>
        <v>одобрение</v>
      </c>
      <c r="N333" s="7">
        <f>IF(Данные[[#This Row],[proba]]&lt;$D$2,$C$2,IF(Данные[[#This Row],[proba]]&lt;$D$3,$C$3,IF(Данные[[#This Row],[proba]]&gt;$C$6,0,$C$4)))</f>
        <v>100000</v>
      </c>
      <c r="O333" s="2">
        <f>IF(Данные[[#This Row],[weighted_ext_score]]&gt;$O$1,MIN(Данные[[#This Row],[Базовая сумма]]*$O$2,$C$2),IF(Данные[[#This Row],[weighted_ext_score]]&lt;$O$3,Данные[[#This Row],[Базовая сумма]]*$O$4,N333))</f>
        <v>100000</v>
      </c>
      <c r="P3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333" s="2">
        <f>ABS(Данные[[#This Row],[days_birth]])/365.2425</f>
        <v>58.788339254057234</v>
      </c>
      <c r="S3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333" s="2">
        <f>IF(Данные[[#This Row],[ interest_rate]]&gt;$T$1,Данные[[#This Row],[days_birth4]]*$T$2,Данные[[#This Row],[days_birth4]])</f>
        <v>151200</v>
      </c>
      <c r="U333" s="2">
        <f>IF(Данные[[#This Row],[Проверка отказа]]="отказ",0,MAX(Данные[[#This Row],[interest_rate]],$C$1))</f>
        <v>151200</v>
      </c>
      <c r="V333" s="2">
        <f>MROUND(Данные[[#This Row],[Минимум 20000]], 100)</f>
        <v>151200</v>
      </c>
    </row>
    <row r="334" spans="1:22" x14ac:dyDescent="0.25">
      <c r="A334" s="2">
        <f>'1000_заявлений'!A328</f>
        <v>326</v>
      </c>
      <c r="B334" s="4">
        <f>VALUE(SUBSTITUTE('1000_заявлений'!B328, ".", ","))</f>
        <v>0.20174117396049801</v>
      </c>
      <c r="C334" s="4">
        <f>VALUE(SUBSTITUTE('1000_заявлений'!C328, ".", ","))</f>
        <v>0.453495878515285</v>
      </c>
      <c r="D334" s="4">
        <f>VALUE(SUBSTITUTE('1000_заявлений'!D328, ".", ","))</f>
        <v>0.60755729999999997</v>
      </c>
      <c r="E334" s="4">
        <f>VALUE(SUBSTITUTE('1000_заявлений'!E328, ".", ","))</f>
        <v>0.72065336000000002</v>
      </c>
      <c r="F334" s="5">
        <f>VALUE(SUBSTITUTE('1000_заявлений'!F328, ".", ","))</f>
        <v>-10150</v>
      </c>
      <c r="G334" s="5">
        <f>VALUE(SUBSTITUTE('1000_заявлений'!G328, ".", ","))</f>
        <v>-21511</v>
      </c>
      <c r="H334" s="5">
        <f>VALUE(SUBSTITUTE('1000_заявлений'!H328, ".", ","))</f>
        <v>-4631</v>
      </c>
      <c r="I334" s="4">
        <f>VALUE(SUBSTITUTE('1000_заявлений'!I328, ".", ","))</f>
        <v>0.13675000000000001</v>
      </c>
      <c r="J334" s="4">
        <f>VALUE(SUBSTITUTE('1000_заявлений'!J328, ".", ","))</f>
        <v>6.9063189863112804</v>
      </c>
      <c r="K334" s="5">
        <f>VALUE(SUBSTITUTE('1000_заявлений'!K328, ".", ","))</f>
        <v>365243</v>
      </c>
      <c r="L334" s="6">
        <f>VALUE(SUBSTITUTE('1000_заявлений'!L328, ".", ","))</f>
        <v>12307.5</v>
      </c>
      <c r="M334" s="2" t="str">
        <f>IF(Данные[[#This Row],[proba]]&gt;$C$6, "отказ", "одобрение")</f>
        <v>одобрение</v>
      </c>
      <c r="N334" s="7">
        <f>IF(Данные[[#This Row],[proba]]&lt;$D$2,$C$2,IF(Данные[[#This Row],[proba]]&lt;$D$3,$C$3,IF(Данные[[#This Row],[proba]]&gt;$C$6,0,$C$4)))</f>
        <v>100000</v>
      </c>
      <c r="O334" s="2">
        <f>IF(Данные[[#This Row],[weighted_ext_score]]&gt;$O$1,MIN(Данные[[#This Row],[Базовая сумма]]*$O$2,$C$2),IF(Данные[[#This Row],[weighted_ext_score]]&lt;$O$3,Данные[[#This Row],[Базовая сумма]]*$O$4,N334))</f>
        <v>100000</v>
      </c>
      <c r="P3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34" s="2">
        <f>ABS(Данные[[#This Row],[days_birth]])/365.2425</f>
        <v>58.895117627329789</v>
      </c>
      <c r="S3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34" s="2">
        <f>IF(Данные[[#This Row],[ interest_rate]]&gt;$T$1,Данные[[#This Row],[days_birth4]]*$T$2,Данные[[#This Row],[days_birth4]])</f>
        <v>126000</v>
      </c>
      <c r="U334" s="2">
        <f>IF(Данные[[#This Row],[Проверка отказа]]="отказ",0,MAX(Данные[[#This Row],[interest_rate]],$C$1))</f>
        <v>126000</v>
      </c>
      <c r="V334" s="2">
        <f>MROUND(Данные[[#This Row],[Минимум 20000]], 100)</f>
        <v>126000</v>
      </c>
    </row>
    <row r="335" spans="1:22" x14ac:dyDescent="0.25">
      <c r="A335" s="2">
        <f>'1000_заявлений'!A329</f>
        <v>327</v>
      </c>
      <c r="B335" s="4">
        <f>VALUE(SUBSTITUTE('1000_заявлений'!B329, ".", ","))</f>
        <v>0.51487411106249603</v>
      </c>
      <c r="C335" s="4">
        <f>VALUE(SUBSTITUTE('1000_заявлений'!C329, ".", ","))</f>
        <v>0.47399950632523102</v>
      </c>
      <c r="D335" s="4">
        <f>VALUE(SUBSTITUTE('1000_заявлений'!D329, ".", ","))</f>
        <v>0.25259870000000001</v>
      </c>
      <c r="E335" s="4">
        <f>VALUE(SUBSTITUTE('1000_заявлений'!E329, ".", ","))</f>
        <v>0.57099849999999996</v>
      </c>
      <c r="F335" s="5">
        <f>VALUE(SUBSTITUTE('1000_заявлений'!F329, ".", ","))</f>
        <v>-8851</v>
      </c>
      <c r="G335" s="5">
        <f>VALUE(SUBSTITUTE('1000_заявлений'!G329, ".", ","))</f>
        <v>-14841</v>
      </c>
      <c r="H335" s="5">
        <f>VALUE(SUBSTITUTE('1000_заявлений'!H329, ".", ","))</f>
        <v>-2658</v>
      </c>
      <c r="I335" s="4">
        <f>VALUE(SUBSTITUTE('1000_заявлений'!I329, ".", ","))</f>
        <v>0.12374</v>
      </c>
      <c r="J335" s="4">
        <f>VALUE(SUBSTITUTE('1000_заявлений'!J329, ".", ","))</f>
        <v>4.29799542904418</v>
      </c>
      <c r="K335" s="5">
        <f>VALUE(SUBSTITUTE('1000_заявлений'!K329, ".", ","))</f>
        <v>-2169</v>
      </c>
      <c r="L335" s="6">
        <f>VALUE(SUBSTITUTE('1000_заявлений'!L329, ".", ","))</f>
        <v>27841.5</v>
      </c>
      <c r="M335" s="2" t="str">
        <f>IF(Данные[[#This Row],[proba]]&gt;$C$6, "отказ", "одобрение")</f>
        <v>отказ</v>
      </c>
      <c r="N335" s="7">
        <f>IF(Данные[[#This Row],[proba]]&lt;$D$2,$C$2,IF(Данные[[#This Row],[proba]]&lt;$D$3,$C$3,IF(Данные[[#This Row],[proba]]&gt;$C$6,0,$C$4)))</f>
        <v>0</v>
      </c>
      <c r="O335" s="2">
        <f>IF(Данные[[#This Row],[weighted_ext_score]]&gt;$O$1,MIN(Данные[[#This Row],[Базовая сумма]]*$O$2,$C$2),IF(Данные[[#This Row],[weighted_ext_score]]&lt;$O$3,Данные[[#This Row],[Базовая сумма]]*$O$4,N335))</f>
        <v>0</v>
      </c>
      <c r="P3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5" s="2">
        <f>ABS(Данные[[#This Row],[days_birth]])/365.2425</f>
        <v>40.633277890716442</v>
      </c>
      <c r="S3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5" s="2">
        <f>IF(Данные[[#This Row],[ interest_rate]]&gt;$T$1,Данные[[#This Row],[days_birth4]]*$T$2,Данные[[#This Row],[days_birth4]])</f>
        <v>0</v>
      </c>
      <c r="U335" s="2">
        <f>IF(Данные[[#This Row],[Проверка отказа]]="отказ",0,MAX(Данные[[#This Row],[interest_rate]],$C$1))</f>
        <v>0</v>
      </c>
      <c r="V335" s="2">
        <f>MROUND(Данные[[#This Row],[Минимум 20000]], 100)</f>
        <v>0</v>
      </c>
    </row>
    <row r="336" spans="1:22" x14ac:dyDescent="0.25">
      <c r="A336" s="2">
        <f>'1000_заявлений'!A330</f>
        <v>328</v>
      </c>
      <c r="B336" s="4">
        <f>VALUE(SUBSTITUTE('1000_заявлений'!B330, ".", ","))</f>
        <v>0.22241357476425</v>
      </c>
      <c r="C336" s="4">
        <f>VALUE(SUBSTITUTE('1000_заявлений'!C330, ".", ","))</f>
        <v>0.65886253871734501</v>
      </c>
      <c r="D336" s="4">
        <f>VALUE(SUBSTITUTE('1000_заявлений'!D330, ".", ","))</f>
        <v>0.61270420000000003</v>
      </c>
      <c r="E336" s="4">
        <f>VALUE(SUBSTITUTE('1000_заявлений'!E330, ".", ","))</f>
        <v>0.72731274000000001</v>
      </c>
      <c r="F336" s="5">
        <f>VALUE(SUBSTITUTE('1000_заявлений'!F330, ".", ","))</f>
        <v>-904</v>
      </c>
      <c r="G336" s="5">
        <f>VALUE(SUBSTITUTE('1000_заявлений'!G330, ".", ","))</f>
        <v>-11153</v>
      </c>
      <c r="H336" s="5">
        <f>VALUE(SUBSTITUTE('1000_заявлений'!H330, ".", ","))</f>
        <v>-2972</v>
      </c>
      <c r="I336" s="4">
        <f>VALUE(SUBSTITUTE('1000_заявлений'!I330, ".", ","))</f>
        <v>0.16914285714285701</v>
      </c>
      <c r="J336" s="4">
        <f>VALUE(SUBSTITUTE('1000_заявлений'!J330, ".", ","))</f>
        <v>7.9620143797618903</v>
      </c>
      <c r="K336" s="5">
        <f>VALUE(SUBSTITUTE('1000_заявлений'!K330, ".", ","))</f>
        <v>-213</v>
      </c>
      <c r="L336" s="6">
        <f>VALUE(SUBSTITUTE('1000_заявлений'!L330, ".", ","))</f>
        <v>26640</v>
      </c>
      <c r="M336" s="2" t="str">
        <f>IF(Данные[[#This Row],[proba]]&gt;$C$6, "отказ", "одобрение")</f>
        <v>одобрение</v>
      </c>
      <c r="N336" s="7">
        <f>IF(Данные[[#This Row],[proba]]&lt;$D$2,$C$2,IF(Данные[[#This Row],[proba]]&lt;$D$3,$C$3,IF(Данные[[#This Row],[proba]]&gt;$C$6,0,$C$4)))</f>
        <v>100000</v>
      </c>
      <c r="O336" s="2">
        <f>IF(Данные[[#This Row],[weighted_ext_score]]&gt;$O$1,MIN(Данные[[#This Row],[Базовая сумма]]*$O$2,$C$2),IF(Данные[[#This Row],[weighted_ext_score]]&lt;$O$3,Данные[[#This Row],[Базовая сумма]]*$O$4,N336))</f>
        <v>100000</v>
      </c>
      <c r="P3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36" s="2">
        <f>ABS(Данные[[#This Row],[days_birth]])/365.2425</f>
        <v>30.535876848942824</v>
      </c>
      <c r="S3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336" s="2">
        <f>IF(Данные[[#This Row],[ interest_rate]]&gt;$T$1,Данные[[#This Row],[days_birth4]]*$T$2,Данные[[#This Row],[days_birth4]])</f>
        <v>120000</v>
      </c>
      <c r="U336" s="2">
        <f>IF(Данные[[#This Row],[Проверка отказа]]="отказ",0,MAX(Данные[[#This Row],[interest_rate]],$C$1))</f>
        <v>120000</v>
      </c>
      <c r="V336" s="2">
        <f>MROUND(Данные[[#This Row],[Минимум 20000]], 100)</f>
        <v>120000</v>
      </c>
    </row>
    <row r="337" spans="1:22" x14ac:dyDescent="0.25">
      <c r="A337" s="2">
        <f>'1000_заявлений'!A331</f>
        <v>329</v>
      </c>
      <c r="B337" s="4">
        <f>VALUE(SUBSTITUTE('1000_заявлений'!B331, ".", ","))</f>
        <v>0.53101222493398903</v>
      </c>
      <c r="C337" s="4">
        <f>VALUE(SUBSTITUTE('1000_заявлений'!C331, ".", ","))</f>
        <v>0.32150108461669502</v>
      </c>
      <c r="D337" s="4">
        <f>VALUE(SUBSTITUTE('1000_заявлений'!D331, ".", ","))</f>
        <v>0.53527623000000002</v>
      </c>
      <c r="E337" s="4">
        <f>VALUE(SUBSTITUTE('1000_заявлений'!E331, ".", ","))</f>
        <v>0.47777175999999999</v>
      </c>
      <c r="F337" s="5">
        <f>VALUE(SUBSTITUTE('1000_заявлений'!F331, ".", ","))</f>
        <v>-2141</v>
      </c>
      <c r="G337" s="5">
        <f>VALUE(SUBSTITUTE('1000_заявлений'!G331, ".", ","))</f>
        <v>-12391</v>
      </c>
      <c r="H337" s="5">
        <f>VALUE(SUBSTITUTE('1000_заявлений'!H331, ".", ","))</f>
        <v>-3416</v>
      </c>
      <c r="I337" s="4">
        <f>VALUE(SUBSTITUTE('1000_заявлений'!I331, ".", ","))</f>
        <v>0.24288000000000001</v>
      </c>
      <c r="J337" s="4">
        <f>VALUE(SUBSTITUTE('1000_заявлений'!J331, ".", ","))</f>
        <v>4.3425486746510904</v>
      </c>
      <c r="K337" s="5">
        <f>VALUE(SUBSTITUTE('1000_заявлений'!K331, ".", ","))</f>
        <v>-484</v>
      </c>
      <c r="L337" s="6">
        <f>VALUE(SUBSTITUTE('1000_заявлений'!L331, ".", ","))</f>
        <v>27324</v>
      </c>
      <c r="M337" s="2" t="str">
        <f>IF(Данные[[#This Row],[proba]]&gt;$C$6, "отказ", "одобрение")</f>
        <v>отказ</v>
      </c>
      <c r="N337" s="7">
        <f>IF(Данные[[#This Row],[proba]]&lt;$D$2,$C$2,IF(Данные[[#This Row],[proba]]&lt;$D$3,$C$3,IF(Данные[[#This Row],[proba]]&gt;$C$6,0,$C$4)))</f>
        <v>0</v>
      </c>
      <c r="O337" s="2">
        <f>IF(Данные[[#This Row],[weighted_ext_score]]&gt;$O$1,MIN(Данные[[#This Row],[Базовая сумма]]*$O$2,$C$2),IF(Данные[[#This Row],[weighted_ext_score]]&lt;$O$3,Данные[[#This Row],[Базовая сумма]]*$O$4,N337))</f>
        <v>0</v>
      </c>
      <c r="P3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7" s="2">
        <f>ABS(Данные[[#This Row],[days_birth]])/365.2425</f>
        <v>33.925405723594601</v>
      </c>
      <c r="S3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7" s="2">
        <f>IF(Данные[[#This Row],[ interest_rate]]&gt;$T$1,Данные[[#This Row],[days_birth4]]*$T$2,Данные[[#This Row],[days_birth4]])</f>
        <v>0</v>
      </c>
      <c r="U337" s="2">
        <f>IF(Данные[[#This Row],[Проверка отказа]]="отказ",0,MAX(Данные[[#This Row],[interest_rate]],$C$1))</f>
        <v>0</v>
      </c>
      <c r="V337" s="2">
        <f>MROUND(Данные[[#This Row],[Минимум 20000]], 100)</f>
        <v>0</v>
      </c>
    </row>
    <row r="338" spans="1:22" x14ac:dyDescent="0.25">
      <c r="A338" s="2">
        <f>'1000_заявлений'!A332</f>
        <v>330</v>
      </c>
      <c r="B338" s="4">
        <f>VALUE(SUBSTITUTE('1000_заявлений'!B332, ".", ","))</f>
        <v>0.324068934833318</v>
      </c>
      <c r="C338" s="4">
        <f>VALUE(SUBSTITUTE('1000_заявлений'!C332, ".", ","))</f>
        <v>0.63778409357797505</v>
      </c>
      <c r="D338" s="4">
        <f>VALUE(SUBSTITUTE('1000_заявлений'!D332, ".", ","))</f>
        <v>0.54959650000000004</v>
      </c>
      <c r="E338" s="4">
        <f>VALUE(SUBSTITUTE('1000_заявлений'!E332, ".", ","))</f>
        <v>0.57700859999999998</v>
      </c>
      <c r="F338" s="5">
        <f>VALUE(SUBSTITUTE('1000_заявлений'!F332, ".", ","))</f>
        <v>-1288</v>
      </c>
      <c r="G338" s="5">
        <f>VALUE(SUBSTITUTE('1000_заявлений'!G332, ".", ","))</f>
        <v>-12566</v>
      </c>
      <c r="H338" s="5">
        <f>VALUE(SUBSTITUTE('1000_заявлений'!H332, ".", ","))</f>
        <v>-2658</v>
      </c>
      <c r="I338" s="4">
        <f>VALUE(SUBSTITUTE('1000_заявлений'!I332, ".", ","))</f>
        <v>0.203755555555555</v>
      </c>
      <c r="J338" s="4">
        <f>VALUE(SUBSTITUTE('1000_заявлений'!J332, ".", ","))</f>
        <v>2.80648280873134</v>
      </c>
      <c r="K338" s="5">
        <f>VALUE(SUBSTITUTE('1000_заявлений'!K332, ".", ","))</f>
        <v>-1310</v>
      </c>
      <c r="L338" s="6">
        <f>VALUE(SUBSTITUTE('1000_заявлений'!L332, ".", ","))</f>
        <v>41260.5</v>
      </c>
      <c r="M338" s="2" t="str">
        <f>IF(Данные[[#This Row],[proba]]&gt;$C$6, "отказ", "одобрение")</f>
        <v>отказ</v>
      </c>
      <c r="N338" s="7">
        <f>IF(Данные[[#This Row],[proba]]&lt;$D$2,$C$2,IF(Данные[[#This Row],[proba]]&lt;$D$3,$C$3,IF(Данные[[#This Row],[proba]]&gt;$C$6,0,$C$4)))</f>
        <v>0</v>
      </c>
      <c r="O338" s="2">
        <f>IF(Данные[[#This Row],[weighted_ext_score]]&gt;$O$1,MIN(Данные[[#This Row],[Базовая сумма]]*$O$2,$C$2),IF(Данные[[#This Row],[weighted_ext_score]]&lt;$O$3,Данные[[#This Row],[Базовая сумма]]*$O$4,N338))</f>
        <v>0</v>
      </c>
      <c r="P3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8" s="2">
        <f>ABS(Данные[[#This Row],[days_birth]])/365.2425</f>
        <v>34.404539449817584</v>
      </c>
      <c r="S3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8" s="2">
        <f>IF(Данные[[#This Row],[ interest_rate]]&gt;$T$1,Данные[[#This Row],[days_birth4]]*$T$2,Данные[[#This Row],[days_birth4]])</f>
        <v>0</v>
      </c>
      <c r="U338" s="2">
        <f>IF(Данные[[#This Row],[Проверка отказа]]="отказ",0,MAX(Данные[[#This Row],[interest_rate]],$C$1))</f>
        <v>0</v>
      </c>
      <c r="V338" s="2">
        <f>MROUND(Данные[[#This Row],[Минимум 20000]], 100)</f>
        <v>0</v>
      </c>
    </row>
    <row r="339" spans="1:22" x14ac:dyDescent="0.25">
      <c r="A339" s="2">
        <f>'1000_заявлений'!A333</f>
        <v>331</v>
      </c>
      <c r="B339" s="4">
        <f>VALUE(SUBSTITUTE('1000_заявлений'!B333, ".", ","))</f>
        <v>0.78701112732754697</v>
      </c>
      <c r="C339" s="4">
        <f>VALUE(SUBSTITUTE('1000_заявлений'!C333, ".", ","))</f>
        <v>0.22412819063260001</v>
      </c>
      <c r="D339" s="4">
        <f>VALUE(SUBSTITUTE('1000_заявлений'!D333, ".", ","))</f>
        <v>0.40835884</v>
      </c>
      <c r="E339" s="4">
        <f>VALUE(SUBSTITUTE('1000_заявлений'!E333, ".", ","))</f>
        <v>0.115176156</v>
      </c>
      <c r="F339" s="5">
        <f>VALUE(SUBSTITUTE('1000_заявлений'!F333, ".", ","))</f>
        <v>-3230</v>
      </c>
      <c r="G339" s="5">
        <f>VALUE(SUBSTITUTE('1000_заявлений'!G333, ".", ","))</f>
        <v>-9171</v>
      </c>
      <c r="H339" s="5">
        <f>VALUE(SUBSTITUTE('1000_заявлений'!H333, ".", ","))</f>
        <v>-1793</v>
      </c>
      <c r="I339" s="4">
        <f>VALUE(SUBSTITUTE('1000_заявлений'!I333, ".", ","))</f>
        <v>8.9200000000000002E-2</v>
      </c>
      <c r="J339" s="4">
        <f>VALUE(SUBSTITUTE('1000_заявлений'!J333, ".", ","))</f>
        <v>0.120066022004938</v>
      </c>
      <c r="K339" s="5">
        <f>VALUE(SUBSTITUTE('1000_заявлений'!K333, ".", ","))</f>
        <v>-216</v>
      </c>
      <c r="L339" s="6">
        <f>VALUE(SUBSTITUTE('1000_заявлений'!L333, ".", ","))</f>
        <v>12042</v>
      </c>
      <c r="M339" s="2" t="str">
        <f>IF(Данные[[#This Row],[proba]]&gt;$C$6, "отказ", "одобрение")</f>
        <v>отказ</v>
      </c>
      <c r="N339" s="7">
        <f>IF(Данные[[#This Row],[proba]]&lt;$D$2,$C$2,IF(Данные[[#This Row],[proba]]&lt;$D$3,$C$3,IF(Данные[[#This Row],[proba]]&gt;$C$6,0,$C$4)))</f>
        <v>0</v>
      </c>
      <c r="O339" s="2">
        <f>IF(Данные[[#This Row],[weighted_ext_score]]&gt;$O$1,MIN(Данные[[#This Row],[Базовая сумма]]*$O$2,$C$2),IF(Данные[[#This Row],[weighted_ext_score]]&lt;$O$3,Данные[[#This Row],[Базовая сумма]]*$O$4,N339))</f>
        <v>0</v>
      </c>
      <c r="P3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39" s="2">
        <f>ABS(Данные[[#This Row],[days_birth]])/365.2425</f>
        <v>25.109345161091603</v>
      </c>
      <c r="S3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39" s="2">
        <f>IF(Данные[[#This Row],[ interest_rate]]&gt;$T$1,Данные[[#This Row],[days_birth4]]*$T$2,Данные[[#This Row],[days_birth4]])</f>
        <v>0</v>
      </c>
      <c r="U339" s="2">
        <f>IF(Данные[[#This Row],[Проверка отказа]]="отказ",0,MAX(Данные[[#This Row],[interest_rate]],$C$1))</f>
        <v>0</v>
      </c>
      <c r="V339" s="2">
        <f>MROUND(Данные[[#This Row],[Минимум 20000]], 100)</f>
        <v>0</v>
      </c>
    </row>
    <row r="340" spans="1:22" x14ac:dyDescent="0.25">
      <c r="A340" s="2">
        <f>'1000_заявлений'!A334</f>
        <v>332</v>
      </c>
      <c r="B340" s="4">
        <f>VALUE(SUBSTITUTE('1000_заявлений'!B334, ".", ","))</f>
        <v>0.19392139939362699</v>
      </c>
      <c r="C340" s="4">
        <f>VALUE(SUBSTITUTE('1000_заявлений'!C334, ".", ","))</f>
        <v>0.49761962067802201</v>
      </c>
      <c r="D340" s="4">
        <f>VALUE(SUBSTITUTE('1000_заявлений'!D334, ".", ","))</f>
        <v>0.72956670000000001</v>
      </c>
      <c r="E340" s="4">
        <f>VALUE(SUBSTITUTE('1000_заявлений'!E334, ".", ","))</f>
        <v>0.72064452999999995</v>
      </c>
      <c r="F340" s="5">
        <f>VALUE(SUBSTITUTE('1000_заявлений'!F334, ".", ","))</f>
        <v>-6600</v>
      </c>
      <c r="G340" s="5">
        <f>VALUE(SUBSTITUTE('1000_заявлений'!G334, ".", ","))</f>
        <v>-13011</v>
      </c>
      <c r="H340" s="5">
        <f>VALUE(SUBSTITUTE('1000_заявлений'!H334, ".", ","))</f>
        <v>-3912</v>
      </c>
      <c r="I340" s="4">
        <f>VALUE(SUBSTITUTE('1000_заявлений'!I334, ".", ","))</f>
        <v>0.19331999999999999</v>
      </c>
      <c r="J340" s="4">
        <f>VALUE(SUBSTITUTE('1000_заявлений'!J334, ".", ","))</f>
        <v>15.4322274227241</v>
      </c>
      <c r="K340" s="5">
        <f>VALUE(SUBSTITUTE('1000_заявлений'!K334, ".", ","))</f>
        <v>-416</v>
      </c>
      <c r="L340" s="6">
        <f>VALUE(SUBSTITUTE('1000_заявлений'!L334, ".", ","))</f>
        <v>21748.5</v>
      </c>
      <c r="M340" s="2" t="str">
        <f>IF(Данные[[#This Row],[proba]]&gt;$C$6, "отказ", "одобрение")</f>
        <v>одобрение</v>
      </c>
      <c r="N340" s="7">
        <f>IF(Данные[[#This Row],[proba]]&lt;$D$2,$C$2,IF(Данные[[#This Row],[proba]]&lt;$D$3,$C$3,IF(Данные[[#This Row],[proba]]&gt;$C$6,0,$C$4)))</f>
        <v>300000</v>
      </c>
      <c r="O340" s="2">
        <f>IF(Данные[[#This Row],[weighted_ext_score]]&gt;$O$1,MIN(Данные[[#This Row],[Базовая сумма]]*$O$2,$C$2),IF(Данные[[#This Row],[weighted_ext_score]]&lt;$O$3,Данные[[#This Row],[Базовая сумма]]*$O$4,N340))</f>
        <v>300000</v>
      </c>
      <c r="P3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3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340" s="2">
        <f>ABS(Данные[[#This Row],[days_birth]])/365.2425</f>
        <v>35.622908067927469</v>
      </c>
      <c r="S3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340" s="2">
        <f>IF(Данные[[#This Row],[ interest_rate]]&gt;$T$1,Данные[[#This Row],[days_birth4]]*$T$2,Данные[[#This Row],[days_birth4]])</f>
        <v>251999.99999999997</v>
      </c>
      <c r="U340" s="2">
        <f>IF(Данные[[#This Row],[Проверка отказа]]="отказ",0,MAX(Данные[[#This Row],[interest_rate]],$C$1))</f>
        <v>251999.99999999997</v>
      </c>
      <c r="V340" s="2">
        <f>MROUND(Данные[[#This Row],[Минимум 20000]], 100)</f>
        <v>252000</v>
      </c>
    </row>
    <row r="341" spans="1:22" x14ac:dyDescent="0.25">
      <c r="A341" s="2">
        <f>'1000_заявлений'!A335</f>
        <v>333</v>
      </c>
      <c r="B341" s="4">
        <f>VALUE(SUBSTITUTE('1000_заявлений'!B335, ".", ","))</f>
        <v>0.34956961261627401</v>
      </c>
      <c r="C341" s="4">
        <f>VALUE(SUBSTITUTE('1000_заявлений'!C335, ".", ","))</f>
        <v>0.43309721410848401</v>
      </c>
      <c r="D341" s="4">
        <f>VALUE(SUBSTITUTE('1000_заявлений'!D335, ".", ","))</f>
        <v>0.65452929999999998</v>
      </c>
      <c r="E341" s="4">
        <f>VALUE(SUBSTITUTE('1000_заявлений'!E335, ".", ","))</f>
        <v>0.60539600000000005</v>
      </c>
      <c r="F341" s="5">
        <f>VALUE(SUBSTITUTE('1000_заявлений'!F335, ".", ","))</f>
        <v>-3493</v>
      </c>
      <c r="G341" s="5">
        <f>VALUE(SUBSTITUTE('1000_заявлений'!G335, ".", ","))</f>
        <v>-13489</v>
      </c>
      <c r="H341" s="5">
        <f>VALUE(SUBSTITUTE('1000_заявлений'!H335, ".", ","))</f>
        <v>-4648</v>
      </c>
      <c r="I341" s="4">
        <f>VALUE(SUBSTITUTE('1000_заявлений'!I335, ".", ","))</f>
        <v>0.24463333333333301</v>
      </c>
      <c r="J341" s="4">
        <f>VALUE(SUBSTITUTE('1000_заявлений'!J335, ".", ","))</f>
        <v>1.8302979515786899</v>
      </c>
      <c r="K341" s="5">
        <f>VALUE(SUBSTITUTE('1000_заявлений'!K335, ".", ","))</f>
        <v>-459</v>
      </c>
      <c r="L341" s="6">
        <f>VALUE(SUBSTITUTE('1000_заявлений'!L335, ".", ","))</f>
        <v>33025.5</v>
      </c>
      <c r="M341" s="2" t="str">
        <f>IF(Данные[[#This Row],[proba]]&gt;$C$6, "отказ", "одобрение")</f>
        <v>отказ</v>
      </c>
      <c r="N341" s="7">
        <f>IF(Данные[[#This Row],[proba]]&lt;$D$2,$C$2,IF(Данные[[#This Row],[proba]]&lt;$D$3,$C$3,IF(Данные[[#This Row],[proba]]&gt;$C$6,0,$C$4)))</f>
        <v>0</v>
      </c>
      <c r="O341" s="2">
        <f>IF(Данные[[#This Row],[weighted_ext_score]]&gt;$O$1,MIN(Данные[[#This Row],[Базовая сумма]]*$O$2,$C$2),IF(Данные[[#This Row],[weighted_ext_score]]&lt;$O$3,Данные[[#This Row],[Базовая сумма]]*$O$4,N341))</f>
        <v>0</v>
      </c>
      <c r="P3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1" s="2">
        <f>ABS(Данные[[#This Row],[days_birth]])/365.2425</f>
        <v>36.931627617267978</v>
      </c>
      <c r="S3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1" s="2">
        <f>IF(Данные[[#This Row],[ interest_rate]]&gt;$T$1,Данные[[#This Row],[days_birth4]]*$T$2,Данные[[#This Row],[days_birth4]])</f>
        <v>0</v>
      </c>
      <c r="U341" s="2">
        <f>IF(Данные[[#This Row],[Проверка отказа]]="отказ",0,MAX(Данные[[#This Row],[interest_rate]],$C$1))</f>
        <v>0</v>
      </c>
      <c r="V341" s="2">
        <f>MROUND(Данные[[#This Row],[Минимум 20000]], 100)</f>
        <v>0</v>
      </c>
    </row>
    <row r="342" spans="1:22" x14ac:dyDescent="0.25">
      <c r="A342" s="2">
        <f>'1000_заявлений'!A336</f>
        <v>334</v>
      </c>
      <c r="B342" s="4">
        <f>VALUE(SUBSTITUTE('1000_заявлений'!B336, ".", ","))</f>
        <v>0.44681006763458098</v>
      </c>
      <c r="C342" s="4">
        <f>VALUE(SUBSTITUTE('1000_заявлений'!C336, ".", ","))</f>
        <v>0.40383243877965902</v>
      </c>
      <c r="D342" s="4">
        <f>VALUE(SUBSTITUTE('1000_заявлений'!D336, ".", ","))</f>
        <v>0.48485148</v>
      </c>
      <c r="E342" s="4">
        <f>VALUE(SUBSTITUTE('1000_заявлений'!E336, ".", ","))</f>
        <v>0.70436069999999995</v>
      </c>
      <c r="F342" s="5">
        <f>VALUE(SUBSTITUTE('1000_заявлений'!F336, ".", ","))</f>
        <v>-3331</v>
      </c>
      <c r="G342" s="5">
        <f>VALUE(SUBSTITUTE('1000_заявлений'!G336, ".", ","))</f>
        <v>-18700</v>
      </c>
      <c r="H342" s="5">
        <f>VALUE(SUBSTITUTE('1000_заявлений'!H336, ".", ","))</f>
        <v>-2242</v>
      </c>
      <c r="I342" s="4">
        <f>VALUE(SUBSTITUTE('1000_заявлений'!I336, ".", ","))</f>
        <v>0.40815000000000001</v>
      </c>
      <c r="J342" s="4">
        <f>VALUE(SUBSTITUTE('1000_заявлений'!J336, ".", ","))</f>
        <v>1.5529715214878099</v>
      </c>
      <c r="K342" s="5">
        <f>VALUE(SUBSTITUTE('1000_заявлений'!K336, ".", ","))</f>
        <v>-3210</v>
      </c>
      <c r="L342" s="6">
        <f>VALUE(SUBSTITUTE('1000_заявлений'!L336, ".", ","))</f>
        <v>36733.5</v>
      </c>
      <c r="M342" s="2" t="str">
        <f>IF(Данные[[#This Row],[proba]]&gt;$C$6, "отказ", "одобрение")</f>
        <v>отказ</v>
      </c>
      <c r="N342" s="7">
        <f>IF(Данные[[#This Row],[proba]]&lt;$D$2,$C$2,IF(Данные[[#This Row],[proba]]&lt;$D$3,$C$3,IF(Данные[[#This Row],[proba]]&gt;$C$6,0,$C$4)))</f>
        <v>0</v>
      </c>
      <c r="O342" s="2">
        <f>IF(Данные[[#This Row],[weighted_ext_score]]&gt;$O$1,MIN(Данные[[#This Row],[Базовая сумма]]*$O$2,$C$2),IF(Данные[[#This Row],[weighted_ext_score]]&lt;$O$3,Данные[[#This Row],[Базовая сумма]]*$O$4,N342))</f>
        <v>0</v>
      </c>
      <c r="P3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2" s="2">
        <f>ABS(Данные[[#This Row],[days_birth]])/365.2425</f>
        <v>51.198861030685094</v>
      </c>
      <c r="S3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2" s="2">
        <f>IF(Данные[[#This Row],[ interest_rate]]&gt;$T$1,Данные[[#This Row],[days_birth4]]*$T$2,Данные[[#This Row],[days_birth4]])</f>
        <v>0</v>
      </c>
      <c r="U342" s="2">
        <f>IF(Данные[[#This Row],[Проверка отказа]]="отказ",0,MAX(Данные[[#This Row],[interest_rate]],$C$1))</f>
        <v>0</v>
      </c>
      <c r="V342" s="2">
        <f>MROUND(Данные[[#This Row],[Минимум 20000]], 100)</f>
        <v>0</v>
      </c>
    </row>
    <row r="343" spans="1:22" x14ac:dyDescent="0.25">
      <c r="A343" s="2">
        <f>'1000_заявлений'!A337</f>
        <v>335</v>
      </c>
      <c r="B343" s="4">
        <f>VALUE(SUBSTITUTE('1000_заявлений'!B337, ".", ","))</f>
        <v>0.56698278500686905</v>
      </c>
      <c r="C343" s="4">
        <f>VALUE(SUBSTITUTE('1000_заявлений'!C337, ".", ","))</f>
        <v>0.296674361442754</v>
      </c>
      <c r="D343" s="4">
        <f>VALUE(SUBSTITUTE('1000_заявлений'!D337, ".", ","))</f>
        <v>0.25533178000000001</v>
      </c>
      <c r="E343" s="4">
        <f>VALUE(SUBSTITUTE('1000_заявлений'!E337, ".", ","))</f>
        <v>0.62991430000000004</v>
      </c>
      <c r="F343" s="5">
        <f>VALUE(SUBSTITUTE('1000_заявлений'!F337, ".", ","))</f>
        <v>-1896</v>
      </c>
      <c r="G343" s="5">
        <f>VALUE(SUBSTITUTE('1000_заявлений'!G337, ".", ","))</f>
        <v>-10690</v>
      </c>
      <c r="H343" s="5">
        <f>VALUE(SUBSTITUTE('1000_заявлений'!H337, ".", ","))</f>
        <v>-3334</v>
      </c>
      <c r="I343" s="4">
        <f>VALUE(SUBSTITUTE('1000_заявлений'!I337, ".", ","))</f>
        <v>0.04</v>
      </c>
      <c r="J343" s="4">
        <f>VALUE(SUBSTITUTE('1000_заявлений'!J337, ".", ","))</f>
        <v>10.6209759779781</v>
      </c>
      <c r="K343" s="5">
        <f>VALUE(SUBSTITUTE('1000_заявлений'!K337, ".", ","))</f>
        <v>-2397</v>
      </c>
      <c r="L343" s="6">
        <f>VALUE(SUBSTITUTE('1000_заявлений'!L337, ".", ","))</f>
        <v>9000</v>
      </c>
      <c r="M343" s="2" t="str">
        <f>IF(Данные[[#This Row],[proba]]&gt;$C$6, "отказ", "одобрение")</f>
        <v>отказ</v>
      </c>
      <c r="N343" s="7">
        <f>IF(Данные[[#This Row],[proba]]&lt;$D$2,$C$2,IF(Данные[[#This Row],[proba]]&lt;$D$3,$C$3,IF(Данные[[#This Row],[proba]]&gt;$C$6,0,$C$4)))</f>
        <v>0</v>
      </c>
      <c r="O343" s="2">
        <f>IF(Данные[[#This Row],[weighted_ext_score]]&gt;$O$1,MIN(Данные[[#This Row],[Базовая сумма]]*$O$2,$C$2),IF(Данные[[#This Row],[weighted_ext_score]]&lt;$O$3,Данные[[#This Row],[Базовая сумма]]*$O$4,N343))</f>
        <v>0</v>
      </c>
      <c r="P3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3" s="2">
        <f>ABS(Данные[[#This Row],[days_birth]])/365.2425</f>
        <v>29.268225904707148</v>
      </c>
      <c r="S3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3" s="2">
        <f>IF(Данные[[#This Row],[ interest_rate]]&gt;$T$1,Данные[[#This Row],[days_birth4]]*$T$2,Данные[[#This Row],[days_birth4]])</f>
        <v>0</v>
      </c>
      <c r="U343" s="2">
        <f>IF(Данные[[#This Row],[Проверка отказа]]="отказ",0,MAX(Данные[[#This Row],[interest_rate]],$C$1))</f>
        <v>0</v>
      </c>
      <c r="V343" s="2">
        <f>MROUND(Данные[[#This Row],[Минимум 20000]], 100)</f>
        <v>0</v>
      </c>
    </row>
    <row r="344" spans="1:22" x14ac:dyDescent="0.25">
      <c r="A344" s="2">
        <f>'1000_заявлений'!A338</f>
        <v>336</v>
      </c>
      <c r="B344" s="4">
        <f>VALUE(SUBSTITUTE('1000_заявлений'!B338, ".", ","))</f>
        <v>0.24380029264060499</v>
      </c>
      <c r="C344" s="4">
        <f>VALUE(SUBSTITUTE('1000_заявлений'!C338, ".", ","))</f>
        <v>0.43233901280985398</v>
      </c>
      <c r="D344" s="4">
        <f>VALUE(SUBSTITUTE('1000_заявлений'!D338, ".", ","))</f>
        <v>0.59023329999999996</v>
      </c>
      <c r="E344" s="4">
        <f>VALUE(SUBSTITUTE('1000_заявлений'!E338, ".", ","))</f>
        <v>0.67474573999999998</v>
      </c>
      <c r="F344" s="5">
        <f>VALUE(SUBSTITUTE('1000_заявлений'!F338, ".", ","))</f>
        <v>-5247</v>
      </c>
      <c r="G344" s="5">
        <f>VALUE(SUBSTITUTE('1000_заявлений'!G338, ".", ","))</f>
        <v>-16262</v>
      </c>
      <c r="H344" s="5">
        <f>VALUE(SUBSTITUTE('1000_заявлений'!H338, ".", ","))</f>
        <v>-4308</v>
      </c>
      <c r="I344" s="4">
        <f>VALUE(SUBSTITUTE('1000_заявлений'!I338, ".", ","))</f>
        <v>8.9359999999999995E-2</v>
      </c>
      <c r="J344" s="4">
        <f>VALUE(SUBSTITUTE('1000_заявлений'!J338, ".", ","))</f>
        <v>18.039750759074899</v>
      </c>
      <c r="K344" s="5">
        <f>VALUE(SUBSTITUTE('1000_заявлений'!K338, ".", ","))</f>
        <v>-5637</v>
      </c>
      <c r="L344" s="6">
        <f>VALUE(SUBSTITUTE('1000_заявлений'!L338, ".", ","))</f>
        <v>10053</v>
      </c>
      <c r="M344" s="2" t="str">
        <f>IF(Данные[[#This Row],[proba]]&gt;$C$6, "отказ", "одобрение")</f>
        <v>одобрение</v>
      </c>
      <c r="N344" s="7">
        <f>IF(Данные[[#This Row],[proba]]&lt;$D$2,$C$2,IF(Данные[[#This Row],[proba]]&lt;$D$3,$C$3,IF(Данные[[#This Row],[proba]]&gt;$C$6,0,$C$4)))</f>
        <v>100000</v>
      </c>
      <c r="O344" s="2">
        <f>IF(Данные[[#This Row],[weighted_ext_score]]&gt;$O$1,MIN(Данные[[#This Row],[Базовая сумма]]*$O$2,$C$2),IF(Данные[[#This Row],[weighted_ext_score]]&lt;$O$3,Данные[[#This Row],[Базовая сумма]]*$O$4,N344))</f>
        <v>100000</v>
      </c>
      <c r="P3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344" s="2">
        <f>ABS(Данные[[#This Row],[days_birth]])/365.2425</f>
        <v>44.523843747647113</v>
      </c>
      <c r="S3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344" s="2">
        <f>IF(Данные[[#This Row],[ interest_rate]]&gt;$T$1,Данные[[#This Row],[days_birth4]]*$T$2,Данные[[#This Row],[days_birth4]])</f>
        <v>144000</v>
      </c>
      <c r="U344" s="2">
        <f>IF(Данные[[#This Row],[Проверка отказа]]="отказ",0,MAX(Данные[[#This Row],[interest_rate]],$C$1))</f>
        <v>144000</v>
      </c>
      <c r="V344" s="2">
        <f>MROUND(Данные[[#This Row],[Минимум 20000]], 100)</f>
        <v>144000</v>
      </c>
    </row>
    <row r="345" spans="1:22" x14ac:dyDescent="0.25">
      <c r="A345" s="2">
        <f>'1000_заявлений'!A339</f>
        <v>337</v>
      </c>
      <c r="B345" s="4">
        <f>VALUE(SUBSTITUTE('1000_заявлений'!B339, ".", ","))</f>
        <v>0.48746748208136398</v>
      </c>
      <c r="C345" s="4">
        <f>VALUE(SUBSTITUTE('1000_заявлений'!C339, ".", ","))</f>
        <v>0.28160340859439698</v>
      </c>
      <c r="D345" s="4">
        <f>VALUE(SUBSTITUTE('1000_заявлений'!D339, ".", ","))</f>
        <v>0.60927564000000001</v>
      </c>
      <c r="E345" s="4">
        <f>VALUE(SUBSTITUTE('1000_заявлений'!E339, ".", ","))</f>
        <v>0.18882156999999999</v>
      </c>
      <c r="F345" s="5">
        <f>VALUE(SUBSTITUTE('1000_заявлений'!F339, ".", ","))</f>
        <v>-5889</v>
      </c>
      <c r="G345" s="5">
        <f>VALUE(SUBSTITUTE('1000_заявлений'!G339, ".", ","))</f>
        <v>-21697</v>
      </c>
      <c r="H345" s="5">
        <f>VALUE(SUBSTITUTE('1000_заявлений'!H339, ".", ","))</f>
        <v>-4019</v>
      </c>
      <c r="I345" s="4">
        <f>VALUE(SUBSTITUTE('1000_заявлений'!I339, ".", ","))</f>
        <v>0.15622</v>
      </c>
      <c r="J345" s="4">
        <f>VALUE(SUBSTITUTE('1000_заявлений'!J339, ".", ","))</f>
        <v>3.00025667799741</v>
      </c>
      <c r="K345" s="5">
        <f>VALUE(SUBSTITUTE('1000_заявлений'!K339, ".", ","))</f>
        <v>365243</v>
      </c>
      <c r="L345" s="6">
        <f>VALUE(SUBSTITUTE('1000_заявлений'!L339, ".", ","))</f>
        <v>35149.5</v>
      </c>
      <c r="M345" s="2" t="str">
        <f>IF(Данные[[#This Row],[proba]]&gt;$C$6, "отказ", "одобрение")</f>
        <v>отказ</v>
      </c>
      <c r="N345" s="7">
        <f>IF(Данные[[#This Row],[proba]]&lt;$D$2,$C$2,IF(Данные[[#This Row],[proba]]&lt;$D$3,$C$3,IF(Данные[[#This Row],[proba]]&gt;$C$6,0,$C$4)))</f>
        <v>0</v>
      </c>
      <c r="O345" s="2">
        <f>IF(Данные[[#This Row],[weighted_ext_score]]&gt;$O$1,MIN(Данные[[#This Row],[Базовая сумма]]*$O$2,$C$2),IF(Данные[[#This Row],[weighted_ext_score]]&lt;$O$3,Данные[[#This Row],[Базовая сумма]]*$O$4,N345))</f>
        <v>0</v>
      </c>
      <c r="P3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5" s="2">
        <f>ABS(Данные[[#This Row],[days_birth]])/365.2425</f>
        <v>59.404368330629651</v>
      </c>
      <c r="S3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5" s="2">
        <f>IF(Данные[[#This Row],[ interest_rate]]&gt;$T$1,Данные[[#This Row],[days_birth4]]*$T$2,Данные[[#This Row],[days_birth4]])</f>
        <v>0</v>
      </c>
      <c r="U345" s="2">
        <f>IF(Данные[[#This Row],[Проверка отказа]]="отказ",0,MAX(Данные[[#This Row],[interest_rate]],$C$1))</f>
        <v>0</v>
      </c>
      <c r="V345" s="2">
        <f>MROUND(Данные[[#This Row],[Минимум 20000]], 100)</f>
        <v>0</v>
      </c>
    </row>
    <row r="346" spans="1:22" x14ac:dyDescent="0.25">
      <c r="A346" s="2">
        <f>'1000_заявлений'!A340</f>
        <v>338</v>
      </c>
      <c r="B346" s="4">
        <f>VALUE(SUBSTITUTE('1000_заявлений'!B340, ".", ","))</f>
        <v>0.29409007540575</v>
      </c>
      <c r="C346" s="4">
        <f>VALUE(SUBSTITUTE('1000_заявлений'!C340, ".", ","))</f>
        <v>0.39861232093689403</v>
      </c>
      <c r="D346" s="4">
        <f>VALUE(SUBSTITUTE('1000_заявлений'!D340, ".", ","))</f>
        <v>0.5797274</v>
      </c>
      <c r="E346" s="4">
        <f>VALUE(SUBSTITUTE('1000_заявлений'!E340, ".", ","))</f>
        <v>0.58248555999999996</v>
      </c>
      <c r="F346" s="5">
        <f>VALUE(SUBSTITUTE('1000_заявлений'!F340, ".", ","))</f>
        <v>-9638</v>
      </c>
      <c r="G346" s="5">
        <f>VALUE(SUBSTITUTE('1000_заявлений'!G340, ".", ","))</f>
        <v>-22062</v>
      </c>
      <c r="H346" s="5">
        <f>VALUE(SUBSTITUTE('1000_заявлений'!H340, ".", ","))</f>
        <v>-5087</v>
      </c>
      <c r="I346" s="4">
        <f>VALUE(SUBSTITUTE('1000_заявлений'!I340, ".", ","))</f>
        <v>0.18456666666666599</v>
      </c>
      <c r="J346" s="4">
        <f>VALUE(SUBSTITUTE('1000_заявлений'!J340, ".", ","))</f>
        <v>2.1390440360010001</v>
      </c>
      <c r="K346" s="5">
        <f>VALUE(SUBSTITUTE('1000_заявлений'!K340, ".", ","))</f>
        <v>365243</v>
      </c>
      <c r="L346" s="6">
        <f>VALUE(SUBSTITUTE('1000_заявлений'!L340, ".", ","))</f>
        <v>24916.5</v>
      </c>
      <c r="M346" s="2" t="str">
        <f>IF(Данные[[#This Row],[proba]]&gt;$C$6, "отказ", "одобрение")</f>
        <v>одобрение</v>
      </c>
      <c r="N346" s="7">
        <f>IF(Данные[[#This Row],[proba]]&lt;$D$2,$C$2,IF(Данные[[#This Row],[proba]]&lt;$D$3,$C$3,IF(Данные[[#This Row],[proba]]&gt;$C$6,0,$C$4)))</f>
        <v>100000</v>
      </c>
      <c r="O346" s="2">
        <f>IF(Данные[[#This Row],[weighted_ext_score]]&gt;$O$1,MIN(Данные[[#This Row],[Базовая сумма]]*$O$2,$C$2),IF(Данные[[#This Row],[weighted_ext_score]]&lt;$O$3,Данные[[#This Row],[Базовая сумма]]*$O$4,N346))</f>
        <v>100000</v>
      </c>
      <c r="P3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46" s="2">
        <f>ABS(Данные[[#This Row],[days_birth]])/365.2425</f>
        <v>60.403704388180458</v>
      </c>
      <c r="S3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46" s="2">
        <f>IF(Данные[[#This Row],[ interest_rate]]&gt;$T$1,Данные[[#This Row],[days_birth4]]*$T$2,Данные[[#This Row],[days_birth4]])</f>
        <v>126000</v>
      </c>
      <c r="U346" s="2">
        <f>IF(Данные[[#This Row],[Проверка отказа]]="отказ",0,MAX(Данные[[#This Row],[interest_rate]],$C$1))</f>
        <v>126000</v>
      </c>
      <c r="V346" s="2">
        <f>MROUND(Данные[[#This Row],[Минимум 20000]], 100)</f>
        <v>126000</v>
      </c>
    </row>
    <row r="347" spans="1:22" x14ac:dyDescent="0.25">
      <c r="A347" s="2">
        <f>'1000_заявлений'!A341</f>
        <v>339</v>
      </c>
      <c r="B347" s="4">
        <f>VALUE(SUBSTITUTE('1000_заявлений'!B341, ".", ","))</f>
        <v>0.65312975778498095</v>
      </c>
      <c r="C347" s="4">
        <f>VALUE(SUBSTITUTE('1000_заявлений'!C341, ".", ","))</f>
        <v>0.37440926864526602</v>
      </c>
      <c r="D347" s="4">
        <f>VALUE(SUBSTITUTE('1000_заявлений'!D341, ".", ","))</f>
        <v>0.31236538000000003</v>
      </c>
      <c r="E347" s="4">
        <f>VALUE(SUBSTITUTE('1000_заявлений'!E341, ".", ","))</f>
        <v>0.34494215</v>
      </c>
      <c r="F347" s="5">
        <f>VALUE(SUBSTITUTE('1000_заявлений'!F341, ".", ","))</f>
        <v>-3060</v>
      </c>
      <c r="G347" s="5">
        <f>VALUE(SUBSTITUTE('1000_заявлений'!G341, ".", ","))</f>
        <v>-8227</v>
      </c>
      <c r="H347" s="5">
        <f>VALUE(SUBSTITUTE('1000_заявлений'!H341, ".", ","))</f>
        <v>-862</v>
      </c>
      <c r="I347" s="4">
        <f>VALUE(SUBSTITUTE('1000_заявлений'!I341, ".", ","))</f>
        <v>7.4999999999999997E-2</v>
      </c>
      <c r="J347" s="4">
        <f>VALUE(SUBSTITUTE('1000_заявлений'!J341, ".", ","))</f>
        <v>10.6209759779781</v>
      </c>
      <c r="K347" s="5">
        <f>VALUE(SUBSTITUTE('1000_заявлений'!K341, ".", ","))</f>
        <v>-130</v>
      </c>
      <c r="L347" s="6">
        <f>VALUE(SUBSTITUTE('1000_заявлений'!L341, ".", ","))</f>
        <v>13500</v>
      </c>
      <c r="M347" s="2" t="str">
        <f>IF(Данные[[#This Row],[proba]]&gt;$C$6, "отказ", "одобрение")</f>
        <v>отказ</v>
      </c>
      <c r="N347" s="7">
        <f>IF(Данные[[#This Row],[proba]]&lt;$D$2,$C$2,IF(Данные[[#This Row],[proba]]&lt;$D$3,$C$3,IF(Данные[[#This Row],[proba]]&gt;$C$6,0,$C$4)))</f>
        <v>0</v>
      </c>
      <c r="O347" s="2">
        <f>IF(Данные[[#This Row],[weighted_ext_score]]&gt;$O$1,MIN(Данные[[#This Row],[Базовая сумма]]*$O$2,$C$2),IF(Данные[[#This Row],[weighted_ext_score]]&lt;$O$3,Данные[[#This Row],[Базовая сумма]]*$O$4,N347))</f>
        <v>0</v>
      </c>
      <c r="P3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7" s="2">
        <f>ABS(Данные[[#This Row],[days_birth]])/365.2425</f>
        <v>22.524760946494453</v>
      </c>
      <c r="S3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7" s="2">
        <f>IF(Данные[[#This Row],[ interest_rate]]&gt;$T$1,Данные[[#This Row],[days_birth4]]*$T$2,Данные[[#This Row],[days_birth4]])</f>
        <v>0</v>
      </c>
      <c r="U347" s="2">
        <f>IF(Данные[[#This Row],[Проверка отказа]]="отказ",0,MAX(Данные[[#This Row],[interest_rate]],$C$1))</f>
        <v>0</v>
      </c>
      <c r="V347" s="2">
        <f>MROUND(Данные[[#This Row],[Минимум 20000]], 100)</f>
        <v>0</v>
      </c>
    </row>
    <row r="348" spans="1:22" x14ac:dyDescent="0.25">
      <c r="A348" s="2">
        <f>'1000_заявлений'!A342</f>
        <v>340</v>
      </c>
      <c r="B348" s="4">
        <f>VALUE(SUBSTITUTE('1000_заявлений'!B342, ".", ","))</f>
        <v>0.66738260889594003</v>
      </c>
      <c r="C348" s="4">
        <f>VALUE(SUBSTITUTE('1000_заявлений'!C342, ".", ","))</f>
        <v>0.21298464937025399</v>
      </c>
      <c r="D348" s="4">
        <f>VALUE(SUBSTITUTE('1000_заявлений'!D342, ".", ","))</f>
        <v>0.33285058000000001</v>
      </c>
      <c r="E348" s="4">
        <f>VALUE(SUBSTITUTE('1000_заявлений'!E342, ".", ","))</f>
        <v>0.28548285000000001</v>
      </c>
      <c r="F348" s="5">
        <f>VALUE(SUBSTITUTE('1000_заявлений'!F342, ".", ","))</f>
        <v>-1756</v>
      </c>
      <c r="G348" s="5">
        <f>VALUE(SUBSTITUTE('1000_заявлений'!G342, ".", ","))</f>
        <v>-11027</v>
      </c>
      <c r="H348" s="5">
        <f>VALUE(SUBSTITUTE('1000_заявлений'!H342, ".", ","))</f>
        <v>-3351</v>
      </c>
      <c r="I348" s="4">
        <f>VALUE(SUBSTITUTE('1000_заявлений'!I342, ".", ","))</f>
        <v>7.1800000000000003E-2</v>
      </c>
      <c r="J348" s="4">
        <f>VALUE(SUBSTITUTE('1000_заявлений'!J342, ".", ","))</f>
        <v>17.764514855092202</v>
      </c>
      <c r="K348" s="5">
        <f>VALUE(SUBSTITUTE('1000_заявлений'!K342, ".", ","))</f>
        <v>-1187</v>
      </c>
      <c r="L348" s="6">
        <f>VALUE(SUBSTITUTE('1000_заявлений'!L342, ".", ","))</f>
        <v>14539.5</v>
      </c>
      <c r="M348" s="2" t="str">
        <f>IF(Данные[[#This Row],[proba]]&gt;$C$6, "отказ", "одобрение")</f>
        <v>отказ</v>
      </c>
      <c r="N348" s="7">
        <f>IF(Данные[[#This Row],[proba]]&lt;$D$2,$C$2,IF(Данные[[#This Row],[proba]]&lt;$D$3,$C$3,IF(Данные[[#This Row],[proba]]&gt;$C$6,0,$C$4)))</f>
        <v>0</v>
      </c>
      <c r="O348" s="2">
        <f>IF(Данные[[#This Row],[weighted_ext_score]]&gt;$O$1,MIN(Данные[[#This Row],[Базовая сумма]]*$O$2,$C$2),IF(Данные[[#This Row],[weighted_ext_score]]&lt;$O$3,Данные[[#This Row],[Базовая сумма]]*$O$4,N348))</f>
        <v>0</v>
      </c>
      <c r="P3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8" s="2">
        <f>ABS(Данные[[#This Row],[days_birth]])/365.2425</f>
        <v>30.190900566062272</v>
      </c>
      <c r="S3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8" s="2">
        <f>IF(Данные[[#This Row],[ interest_rate]]&gt;$T$1,Данные[[#This Row],[days_birth4]]*$T$2,Данные[[#This Row],[days_birth4]])</f>
        <v>0</v>
      </c>
      <c r="U348" s="2">
        <f>IF(Данные[[#This Row],[Проверка отказа]]="отказ",0,MAX(Данные[[#This Row],[interest_rate]],$C$1))</f>
        <v>0</v>
      </c>
      <c r="V348" s="2">
        <f>MROUND(Данные[[#This Row],[Минимум 20000]], 100)</f>
        <v>0</v>
      </c>
    </row>
    <row r="349" spans="1:22" x14ac:dyDescent="0.25">
      <c r="A349" s="2">
        <f>'1000_заявлений'!A343</f>
        <v>341</v>
      </c>
      <c r="B349" s="4">
        <f>VALUE(SUBSTITUTE('1000_заявлений'!B343, ".", ","))</f>
        <v>0.48728700539653003</v>
      </c>
      <c r="C349" s="4">
        <f>VALUE(SUBSTITUTE('1000_заявлений'!C343, ".", ","))</f>
        <v>0.34757901497722199</v>
      </c>
      <c r="D349" s="4">
        <f>VALUE(SUBSTITUTE('1000_заявлений'!D343, ".", ","))</f>
        <v>0.47584989999999999</v>
      </c>
      <c r="E349" s="4">
        <f>VALUE(SUBSTITUTE('1000_заявлений'!E343, ".", ","))</f>
        <v>0.54097709999999999</v>
      </c>
      <c r="F349" s="5">
        <f>VALUE(SUBSTITUTE('1000_заявлений'!F343, ".", ","))</f>
        <v>-6236</v>
      </c>
      <c r="G349" s="5">
        <f>VALUE(SUBSTITUTE('1000_заявлений'!G343, ".", ","))</f>
        <v>-13565</v>
      </c>
      <c r="H349" s="5">
        <f>VALUE(SUBSTITUTE('1000_заявлений'!H343, ".", ","))</f>
        <v>-4648</v>
      </c>
      <c r="I349" s="4">
        <f>VALUE(SUBSTITUTE('1000_заявлений'!I343, ".", ","))</f>
        <v>0.13108</v>
      </c>
      <c r="J349" s="4">
        <f>VALUE(SUBSTITUTE('1000_заявлений'!J343, ".", ","))</f>
        <v>2.2179541803807701</v>
      </c>
      <c r="K349" s="5">
        <f>VALUE(SUBSTITUTE('1000_заявлений'!K343, ".", ","))</f>
        <v>-1251</v>
      </c>
      <c r="L349" s="6">
        <f>VALUE(SUBSTITUTE('1000_заявлений'!L343, ".", ","))</f>
        <v>14746.5</v>
      </c>
      <c r="M349" s="2" t="str">
        <f>IF(Данные[[#This Row],[proba]]&gt;$C$6, "отказ", "одобрение")</f>
        <v>отказ</v>
      </c>
      <c r="N349" s="7">
        <f>IF(Данные[[#This Row],[proba]]&lt;$D$2,$C$2,IF(Данные[[#This Row],[proba]]&lt;$D$3,$C$3,IF(Данные[[#This Row],[proba]]&gt;$C$6,0,$C$4)))</f>
        <v>0</v>
      </c>
      <c r="O349" s="2">
        <f>IF(Данные[[#This Row],[weighted_ext_score]]&gt;$O$1,MIN(Данные[[#This Row],[Базовая сумма]]*$O$2,$C$2),IF(Данные[[#This Row],[weighted_ext_score]]&lt;$O$3,Данные[[#This Row],[Базовая сумма]]*$O$4,N349))</f>
        <v>0</v>
      </c>
      <c r="P3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49" s="2">
        <f>ABS(Данные[[#This Row],[days_birth]])/365.2425</f>
        <v>37.139708549799103</v>
      </c>
      <c r="S3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49" s="2">
        <f>IF(Данные[[#This Row],[ interest_rate]]&gt;$T$1,Данные[[#This Row],[days_birth4]]*$T$2,Данные[[#This Row],[days_birth4]])</f>
        <v>0</v>
      </c>
      <c r="U349" s="2">
        <f>IF(Данные[[#This Row],[Проверка отказа]]="отказ",0,MAX(Данные[[#This Row],[interest_rate]],$C$1))</f>
        <v>0</v>
      </c>
      <c r="V349" s="2">
        <f>MROUND(Данные[[#This Row],[Минимум 20000]], 100)</f>
        <v>0</v>
      </c>
    </row>
    <row r="350" spans="1:22" x14ac:dyDescent="0.25">
      <c r="A350" s="2">
        <f>'1000_заявлений'!A344</f>
        <v>342</v>
      </c>
      <c r="B350" s="4">
        <f>VALUE(SUBSTITUTE('1000_заявлений'!B344, ".", ","))</f>
        <v>0.31357169043229499</v>
      </c>
      <c r="C350" s="4">
        <f>VALUE(SUBSTITUTE('1000_заявлений'!C344, ".", ","))</f>
        <v>0.44670412434706502</v>
      </c>
      <c r="D350" s="4">
        <f>VALUE(SUBSTITUTE('1000_заявлений'!D344, ".", ","))</f>
        <v>0.63637613999999998</v>
      </c>
      <c r="E350" s="4">
        <f>VALUE(SUBSTITUTE('1000_заявлений'!E344, ".", ","))</f>
        <v>0.66758379999999995</v>
      </c>
      <c r="F350" s="5">
        <f>VALUE(SUBSTITUTE('1000_заявлений'!F344, ".", ","))</f>
        <v>-2536</v>
      </c>
      <c r="G350" s="5">
        <f>VALUE(SUBSTITUTE('1000_заявлений'!G344, ".", ","))</f>
        <v>-9959</v>
      </c>
      <c r="H350" s="5">
        <f>VALUE(SUBSTITUTE('1000_заявлений'!H344, ".", ","))</f>
        <v>-2536</v>
      </c>
      <c r="I350" s="4">
        <f>VALUE(SUBSTITUTE('1000_заявлений'!I344, ".", ","))</f>
        <v>0.15</v>
      </c>
      <c r="J350" s="4">
        <f>VALUE(SUBSTITUTE('1000_заявлений'!J344, ".", ","))</f>
        <v>10.6209759779781</v>
      </c>
      <c r="K350" s="5">
        <f>VALUE(SUBSTITUTE('1000_заявлений'!K344, ".", ","))</f>
        <v>-1437</v>
      </c>
      <c r="L350" s="6">
        <f>VALUE(SUBSTITUTE('1000_заявлений'!L344, ".", ","))</f>
        <v>13500</v>
      </c>
      <c r="M350" s="2" t="str">
        <f>IF(Данные[[#This Row],[proba]]&gt;$C$6, "отказ", "одобрение")</f>
        <v>отказ</v>
      </c>
      <c r="N350" s="7">
        <f>IF(Данные[[#This Row],[proba]]&lt;$D$2,$C$2,IF(Данные[[#This Row],[proba]]&lt;$D$3,$C$3,IF(Данные[[#This Row],[proba]]&gt;$C$6,0,$C$4)))</f>
        <v>0</v>
      </c>
      <c r="O350" s="2">
        <f>IF(Данные[[#This Row],[weighted_ext_score]]&gt;$O$1,MIN(Данные[[#This Row],[Базовая сумма]]*$O$2,$C$2),IF(Данные[[#This Row],[weighted_ext_score]]&lt;$O$3,Данные[[#This Row],[Базовая сумма]]*$O$4,N350))</f>
        <v>0</v>
      </c>
      <c r="P3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0" s="2">
        <f>ABS(Данные[[#This Row],[days_birth]])/365.2425</f>
        <v>27.266815882598546</v>
      </c>
      <c r="S3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0" s="2">
        <f>IF(Данные[[#This Row],[ interest_rate]]&gt;$T$1,Данные[[#This Row],[days_birth4]]*$T$2,Данные[[#This Row],[days_birth4]])</f>
        <v>0</v>
      </c>
      <c r="U350" s="2">
        <f>IF(Данные[[#This Row],[Проверка отказа]]="отказ",0,MAX(Данные[[#This Row],[interest_rate]],$C$1))</f>
        <v>0</v>
      </c>
      <c r="V350" s="2">
        <f>MROUND(Данные[[#This Row],[Минимум 20000]], 100)</f>
        <v>0</v>
      </c>
    </row>
    <row r="351" spans="1:22" x14ac:dyDescent="0.25">
      <c r="A351" s="2">
        <f>'1000_заявлений'!A345</f>
        <v>343</v>
      </c>
      <c r="B351" s="4">
        <f>VALUE(SUBSTITUTE('1000_заявлений'!B345, ".", ","))</f>
        <v>0.30243635484744602</v>
      </c>
      <c r="C351" s="4">
        <f>VALUE(SUBSTITUTE('1000_заявлений'!C345, ".", ","))</f>
        <v>0.49371656708118</v>
      </c>
      <c r="D351" s="4">
        <f>VALUE(SUBSTITUTE('1000_заявлений'!D345, ".", ","))</f>
        <v>0.84543794000000005</v>
      </c>
      <c r="E351" s="4">
        <f>VALUE(SUBSTITUTE('1000_заявлений'!E345, ".", ","))</f>
        <v>0.27172849999999998</v>
      </c>
      <c r="F351" s="5">
        <f>VALUE(SUBSTITUTE('1000_заявлений'!F345, ".", ","))</f>
        <v>-5711</v>
      </c>
      <c r="G351" s="5">
        <f>VALUE(SUBSTITUTE('1000_заявлений'!G345, ".", ","))</f>
        <v>-16283</v>
      </c>
      <c r="H351" s="5">
        <f>VALUE(SUBSTITUTE('1000_заявлений'!H345, ".", ","))</f>
        <v>-4141</v>
      </c>
      <c r="I351" s="4">
        <f>VALUE(SUBSTITUTE('1000_заявлений'!I345, ".", ","))</f>
        <v>5.41554410120548E-2</v>
      </c>
      <c r="J351" s="4">
        <f>VALUE(SUBSTITUTE('1000_заявлений'!J345, ".", ","))</f>
        <v>1.8135854052051501</v>
      </c>
      <c r="K351" s="5">
        <f>VALUE(SUBSTITUTE('1000_заявлений'!K345, ".", ","))</f>
        <v>-716</v>
      </c>
      <c r="L351" s="6">
        <f>VALUE(SUBSTITUTE('1000_заявлений'!L345, ".", ","))</f>
        <v>15214.5</v>
      </c>
      <c r="M351" s="2" t="str">
        <f>IF(Данные[[#This Row],[proba]]&gt;$C$6, "отказ", "одобрение")</f>
        <v>отказ</v>
      </c>
      <c r="N351" s="7">
        <f>IF(Данные[[#This Row],[proba]]&lt;$D$2,$C$2,IF(Данные[[#This Row],[proba]]&lt;$D$3,$C$3,IF(Данные[[#This Row],[proba]]&gt;$C$6,0,$C$4)))</f>
        <v>0</v>
      </c>
      <c r="O351" s="2">
        <f>IF(Данные[[#This Row],[weighted_ext_score]]&gt;$O$1,MIN(Данные[[#This Row],[Базовая сумма]]*$O$2,$C$2),IF(Данные[[#This Row],[weighted_ext_score]]&lt;$O$3,Данные[[#This Row],[Базовая сумма]]*$O$4,N351))</f>
        <v>0</v>
      </c>
      <c r="P3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1" s="2">
        <f>ABS(Данные[[#This Row],[days_birth]])/365.2425</f>
        <v>44.58133979479387</v>
      </c>
      <c r="S3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1" s="2">
        <f>IF(Данные[[#This Row],[ interest_rate]]&gt;$T$1,Данные[[#This Row],[days_birth4]]*$T$2,Данные[[#This Row],[days_birth4]])</f>
        <v>0</v>
      </c>
      <c r="U351" s="2">
        <f>IF(Данные[[#This Row],[Проверка отказа]]="отказ",0,MAX(Данные[[#This Row],[interest_rate]],$C$1))</f>
        <v>0</v>
      </c>
      <c r="V351" s="2">
        <f>MROUND(Данные[[#This Row],[Минимум 20000]], 100)</f>
        <v>0</v>
      </c>
    </row>
    <row r="352" spans="1:22" x14ac:dyDescent="0.25">
      <c r="A352" s="2">
        <f>'1000_заявлений'!A346</f>
        <v>344</v>
      </c>
      <c r="B352" s="4">
        <f>VALUE(SUBSTITUTE('1000_заявлений'!B346, ".", ","))</f>
        <v>0.39031417906696703</v>
      </c>
      <c r="C352" s="4">
        <f>VALUE(SUBSTITUTE('1000_заявлений'!C346, ".", ","))</f>
        <v>0.31698705827279799</v>
      </c>
      <c r="D352" s="4">
        <f>VALUE(SUBSTITUTE('1000_заявлений'!D346, ".", ","))</f>
        <v>0.64962030000000004</v>
      </c>
      <c r="E352" s="4">
        <f>VALUE(SUBSTITUTE('1000_заявлений'!E346, ".", ","))</f>
        <v>0.25292100000000001</v>
      </c>
      <c r="F352" s="5">
        <f>VALUE(SUBSTITUTE('1000_заявлений'!F346, ".", ","))</f>
        <v>-5283</v>
      </c>
      <c r="G352" s="5">
        <f>VALUE(SUBSTITUTE('1000_заявлений'!G346, ".", ","))</f>
        <v>-21930</v>
      </c>
      <c r="H352" s="5">
        <f>VALUE(SUBSTITUTE('1000_заявлений'!H346, ".", ","))</f>
        <v>-4286</v>
      </c>
      <c r="I352" s="4">
        <f>VALUE(SUBSTITUTE('1000_заявлений'!I346, ".", ","))</f>
        <v>0.10638095238095201</v>
      </c>
      <c r="J352" s="4">
        <f>VALUE(SUBSTITUTE('1000_заявлений'!J346, ".", ","))</f>
        <v>18.039750759074899</v>
      </c>
      <c r="K352" s="5">
        <f>VALUE(SUBSTITUTE('1000_заявлений'!K346, ".", ","))</f>
        <v>-3143</v>
      </c>
      <c r="L352" s="6">
        <f>VALUE(SUBSTITUTE('1000_заявлений'!L346, ".", ","))</f>
        <v>10053</v>
      </c>
      <c r="M352" s="2" t="str">
        <f>IF(Данные[[#This Row],[proba]]&gt;$C$6, "отказ", "одобрение")</f>
        <v>отказ</v>
      </c>
      <c r="N352" s="7">
        <f>IF(Данные[[#This Row],[proba]]&lt;$D$2,$C$2,IF(Данные[[#This Row],[proba]]&lt;$D$3,$C$3,IF(Данные[[#This Row],[proba]]&gt;$C$6,0,$C$4)))</f>
        <v>0</v>
      </c>
      <c r="O352" s="2">
        <f>IF(Данные[[#This Row],[weighted_ext_score]]&gt;$O$1,MIN(Данные[[#This Row],[Базовая сумма]]*$O$2,$C$2),IF(Данные[[#This Row],[weighted_ext_score]]&lt;$O$3,Данные[[#This Row],[Базовая сумма]]*$O$4,N352))</f>
        <v>0</v>
      </c>
      <c r="P3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2" s="2">
        <f>ABS(Данные[[#This Row],[days_birth]])/365.2425</f>
        <v>60.042300663257969</v>
      </c>
      <c r="S3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2" s="2">
        <f>IF(Данные[[#This Row],[ interest_rate]]&gt;$T$1,Данные[[#This Row],[days_birth4]]*$T$2,Данные[[#This Row],[days_birth4]])</f>
        <v>0</v>
      </c>
      <c r="U352" s="2">
        <f>IF(Данные[[#This Row],[Проверка отказа]]="отказ",0,MAX(Данные[[#This Row],[interest_rate]],$C$1))</f>
        <v>0</v>
      </c>
      <c r="V352" s="2">
        <f>MROUND(Данные[[#This Row],[Минимум 20000]], 100)</f>
        <v>0</v>
      </c>
    </row>
    <row r="353" spans="1:22" x14ac:dyDescent="0.25">
      <c r="A353" s="2">
        <f>'1000_заявлений'!A347</f>
        <v>345</v>
      </c>
      <c r="B353" s="4">
        <f>VALUE(SUBSTITUTE('1000_заявлений'!B347, ".", ","))</f>
        <v>0.40596055603333903</v>
      </c>
      <c r="C353" s="4">
        <f>VALUE(SUBSTITUTE('1000_заявлений'!C347, ".", ","))</f>
        <v>0.35207105447222298</v>
      </c>
      <c r="D353" s="4">
        <f>VALUE(SUBSTITUTE('1000_заявлений'!D347, ".", ","))</f>
        <v>0.53527623000000002</v>
      </c>
      <c r="E353" s="4">
        <f>VALUE(SUBSTITUTE('1000_заявлений'!E347, ".", ","))</f>
        <v>0.52499209999999996</v>
      </c>
      <c r="F353" s="5">
        <f>VALUE(SUBSTITUTE('1000_заявлений'!F347, ".", ","))</f>
        <v>-4250</v>
      </c>
      <c r="G353" s="5">
        <f>VALUE(SUBSTITUTE('1000_заявлений'!G347, ".", ","))</f>
        <v>-16008</v>
      </c>
      <c r="H353" s="5">
        <f>VALUE(SUBSTITUTE('1000_заявлений'!H347, ".", ","))</f>
        <v>-4242</v>
      </c>
      <c r="I353" s="4">
        <f>VALUE(SUBSTITUTE('1000_заявлений'!I347, ".", ","))</f>
        <v>0.16975555555555499</v>
      </c>
      <c r="J353" s="4">
        <f>VALUE(SUBSTITUTE('1000_заявлений'!J347, ".", ","))</f>
        <v>0.93488290171779198</v>
      </c>
      <c r="K353" s="5">
        <f>VALUE(SUBSTITUTE('1000_заявлений'!K347, ".", ","))</f>
        <v>365243</v>
      </c>
      <c r="L353" s="6">
        <f>VALUE(SUBSTITUTE('1000_заявлений'!L347, ".", ","))</f>
        <v>34375.5</v>
      </c>
      <c r="M353" s="2" t="str">
        <f>IF(Данные[[#This Row],[proba]]&gt;$C$6, "отказ", "одобрение")</f>
        <v>отказ</v>
      </c>
      <c r="N353" s="7">
        <f>IF(Данные[[#This Row],[proba]]&lt;$D$2,$C$2,IF(Данные[[#This Row],[proba]]&lt;$D$3,$C$3,IF(Данные[[#This Row],[proba]]&gt;$C$6,0,$C$4)))</f>
        <v>0</v>
      </c>
      <c r="O353" s="2">
        <f>IF(Данные[[#This Row],[weighted_ext_score]]&gt;$O$1,MIN(Данные[[#This Row],[Базовая сумма]]*$O$2,$C$2),IF(Данные[[#This Row],[weighted_ext_score]]&lt;$O$3,Данные[[#This Row],[Базовая сумма]]*$O$4,N353))</f>
        <v>0</v>
      </c>
      <c r="P3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3" s="2">
        <f>ABS(Данные[[#This Row],[days_birth]])/365.2425</f>
        <v>43.828415367872026</v>
      </c>
      <c r="S3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3" s="2">
        <f>IF(Данные[[#This Row],[ interest_rate]]&gt;$T$1,Данные[[#This Row],[days_birth4]]*$T$2,Данные[[#This Row],[days_birth4]])</f>
        <v>0</v>
      </c>
      <c r="U353" s="2">
        <f>IF(Данные[[#This Row],[Проверка отказа]]="отказ",0,MAX(Данные[[#This Row],[interest_rate]],$C$1))</f>
        <v>0</v>
      </c>
      <c r="V353" s="2">
        <f>MROUND(Данные[[#This Row],[Минимум 20000]], 100)</f>
        <v>0</v>
      </c>
    </row>
    <row r="354" spans="1:22" x14ac:dyDescent="0.25">
      <c r="A354" s="2">
        <f>'1000_заявлений'!A348</f>
        <v>346</v>
      </c>
      <c r="B354" s="4">
        <f>VALUE(SUBSTITUTE('1000_заявлений'!B348, ".", ","))</f>
        <v>0.60666231952082195</v>
      </c>
      <c r="C354" s="4">
        <f>VALUE(SUBSTITUTE('1000_заявлений'!C348, ".", ","))</f>
        <v>0.24662199911378099</v>
      </c>
      <c r="D354" s="4">
        <f>VALUE(SUBSTITUTE('1000_заявлений'!D348, ".", ","))</f>
        <v>0.56737923999999995</v>
      </c>
      <c r="E354" s="4">
        <f>VALUE(SUBSTITUTE('1000_заявлений'!E348, ".", ","))</f>
        <v>0.12769230000000001</v>
      </c>
      <c r="F354" s="5">
        <f>VALUE(SUBSTITUTE('1000_заявлений'!F348, ".", ","))</f>
        <v>-408</v>
      </c>
      <c r="G354" s="5">
        <f>VALUE(SUBSTITUTE('1000_заявлений'!G348, ".", ","))</f>
        <v>-23644</v>
      </c>
      <c r="H354" s="5">
        <f>VALUE(SUBSTITUTE('1000_заявлений'!H348, ".", ","))</f>
        <v>-3351</v>
      </c>
      <c r="I354" s="4">
        <f>VALUE(SUBSTITUTE('1000_заявлений'!I348, ".", ","))</f>
        <v>0.23148571428571399</v>
      </c>
      <c r="J354" s="4">
        <f>VALUE(SUBSTITUTE('1000_заявлений'!J348, ".", ","))</f>
        <v>6.5526323213506297</v>
      </c>
      <c r="K354" s="5">
        <f>VALUE(SUBSTITUTE('1000_заявлений'!K348, ".", ","))</f>
        <v>-522</v>
      </c>
      <c r="L354" s="6">
        <f>VALUE(SUBSTITUTE('1000_заявлений'!L348, ".", ","))</f>
        <v>36459</v>
      </c>
      <c r="M354" s="2" t="str">
        <f>IF(Данные[[#This Row],[proba]]&gt;$C$6, "отказ", "одобрение")</f>
        <v>отказ</v>
      </c>
      <c r="N354" s="7">
        <f>IF(Данные[[#This Row],[proba]]&lt;$D$2,$C$2,IF(Данные[[#This Row],[proba]]&lt;$D$3,$C$3,IF(Данные[[#This Row],[proba]]&gt;$C$6,0,$C$4)))</f>
        <v>0</v>
      </c>
      <c r="O354" s="2">
        <f>IF(Данные[[#This Row],[weighted_ext_score]]&gt;$O$1,MIN(Данные[[#This Row],[Базовая сумма]]*$O$2,$C$2),IF(Данные[[#This Row],[weighted_ext_score]]&lt;$O$3,Данные[[#This Row],[Базовая сумма]]*$O$4,N354))</f>
        <v>0</v>
      </c>
      <c r="P3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4" s="2">
        <f>ABS(Данные[[#This Row],[days_birth]])/365.2425</f>
        <v>64.735073273236267</v>
      </c>
      <c r="S3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4" s="2">
        <f>IF(Данные[[#This Row],[ interest_rate]]&gt;$T$1,Данные[[#This Row],[days_birth4]]*$T$2,Данные[[#This Row],[days_birth4]])</f>
        <v>0</v>
      </c>
      <c r="U354" s="2">
        <f>IF(Данные[[#This Row],[Проверка отказа]]="отказ",0,MAX(Данные[[#This Row],[interest_rate]],$C$1))</f>
        <v>0</v>
      </c>
      <c r="V354" s="2">
        <f>MROUND(Данные[[#This Row],[Минимум 20000]], 100)</f>
        <v>0</v>
      </c>
    </row>
    <row r="355" spans="1:22" x14ac:dyDescent="0.25">
      <c r="A355" s="2">
        <f>'1000_заявлений'!A349</f>
        <v>347</v>
      </c>
      <c r="B355" s="4">
        <f>VALUE(SUBSTITUTE('1000_заявлений'!B349, ".", ","))</f>
        <v>0.79895193837725997</v>
      </c>
      <c r="C355" s="4">
        <f>VALUE(SUBSTITUTE('1000_заявлений'!C349, ".", ","))</f>
        <v>4.6504939538456497E-2</v>
      </c>
      <c r="D355" s="4">
        <f>VALUE(SUBSTITUTE('1000_заявлений'!D349, ".", ","))</f>
        <v>0.53527623000000002</v>
      </c>
      <c r="E355" s="4">
        <f>VALUE(SUBSTITUTE('1000_заявлений'!E349, ".", ","))</f>
        <v>0.14336699999999999</v>
      </c>
      <c r="F355" s="5">
        <f>VALUE(SUBSTITUTE('1000_заявлений'!F349, ".", ","))</f>
        <v>-430</v>
      </c>
      <c r="G355" s="5">
        <f>VALUE(SUBSTITUTE('1000_заявлений'!G349, ".", ","))</f>
        <v>-12372</v>
      </c>
      <c r="H355" s="5">
        <f>VALUE(SUBSTITUTE('1000_заявлений'!H349, ".", ","))</f>
        <v>-273</v>
      </c>
      <c r="I355" s="4">
        <f>VALUE(SUBSTITUTE('1000_заявлений'!I349, ".", ","))</f>
        <v>0.23785714285714199</v>
      </c>
      <c r="J355" s="4">
        <f>VALUE(SUBSTITUTE('1000_заявлений'!J349, ".", ","))</f>
        <v>3.1563858036098398</v>
      </c>
      <c r="K355" s="5">
        <f>VALUE(SUBSTITUTE('1000_заявлений'!K349, ".", ","))</f>
        <v>-2045</v>
      </c>
      <c r="L355" s="6">
        <f>VALUE(SUBSTITUTE('1000_заявлений'!L349, ".", ","))</f>
        <v>29970</v>
      </c>
      <c r="M355" s="2" t="str">
        <f>IF(Данные[[#This Row],[proba]]&gt;$C$6, "отказ", "одобрение")</f>
        <v>отказ</v>
      </c>
      <c r="N355" s="7">
        <f>IF(Данные[[#This Row],[proba]]&lt;$D$2,$C$2,IF(Данные[[#This Row],[proba]]&lt;$D$3,$C$3,IF(Данные[[#This Row],[proba]]&gt;$C$6,0,$C$4)))</f>
        <v>0</v>
      </c>
      <c r="O355" s="2">
        <f>IF(Данные[[#This Row],[weighted_ext_score]]&gt;$O$1,MIN(Данные[[#This Row],[Базовая сумма]]*$O$2,$C$2),IF(Данные[[#This Row],[weighted_ext_score]]&lt;$O$3,Данные[[#This Row],[Базовая сумма]]*$O$4,N355))</f>
        <v>0</v>
      </c>
      <c r="P3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5" s="2">
        <f>ABS(Данные[[#This Row],[days_birth]])/365.2425</f>
        <v>33.873385490461814</v>
      </c>
      <c r="S3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5" s="2">
        <f>IF(Данные[[#This Row],[ interest_rate]]&gt;$T$1,Данные[[#This Row],[days_birth4]]*$T$2,Данные[[#This Row],[days_birth4]])</f>
        <v>0</v>
      </c>
      <c r="U355" s="2">
        <f>IF(Данные[[#This Row],[Проверка отказа]]="отказ",0,MAX(Данные[[#This Row],[interest_rate]],$C$1))</f>
        <v>0</v>
      </c>
      <c r="V355" s="2">
        <f>MROUND(Данные[[#This Row],[Минимум 20000]], 100)</f>
        <v>0</v>
      </c>
    </row>
    <row r="356" spans="1:22" x14ac:dyDescent="0.25">
      <c r="A356" s="2">
        <f>'1000_заявлений'!A350</f>
        <v>348</v>
      </c>
      <c r="B356" s="4">
        <f>VALUE(SUBSTITUTE('1000_заявлений'!B350, ".", ","))</f>
        <v>0.38932227925887403</v>
      </c>
      <c r="C356" s="4">
        <f>VALUE(SUBSTITUTE('1000_заявлений'!C350, ".", ","))</f>
        <v>0.38963288611249303</v>
      </c>
      <c r="D356" s="4">
        <f>VALUE(SUBSTITUTE('1000_заявлений'!D350, ".", ","))</f>
        <v>0.45789953999999999</v>
      </c>
      <c r="E356" s="4">
        <f>VALUE(SUBSTITUTE('1000_заявлений'!E350, ".", ","))</f>
        <v>0.69063604000000001</v>
      </c>
      <c r="F356" s="5">
        <f>VALUE(SUBSTITUTE('1000_заявлений'!F350, ".", ","))</f>
        <v>-8161</v>
      </c>
      <c r="G356" s="5">
        <f>VALUE(SUBSTITUTE('1000_заявлений'!G350, ".", ","))</f>
        <v>-14402</v>
      </c>
      <c r="H356" s="5">
        <f>VALUE(SUBSTITUTE('1000_заявлений'!H350, ".", ","))</f>
        <v>-4023</v>
      </c>
      <c r="I356" s="4">
        <f>VALUE(SUBSTITUTE('1000_заявлений'!I350, ".", ","))</f>
        <v>9.1374999999999998E-2</v>
      </c>
      <c r="J356" s="4">
        <f>VALUE(SUBSTITUTE('1000_заявлений'!J350, ".", ","))</f>
        <v>1.55972200073934</v>
      </c>
      <c r="K356" s="5">
        <f>VALUE(SUBSTITUTE('1000_заявлений'!K350, ".", ","))</f>
        <v>-1745</v>
      </c>
      <c r="L356" s="6">
        <f>VALUE(SUBSTITUTE('1000_заявлений'!L350, ".", ","))</f>
        <v>32895</v>
      </c>
      <c r="M356" s="2" t="str">
        <f>IF(Данные[[#This Row],[proba]]&gt;$C$6, "отказ", "одобрение")</f>
        <v>отказ</v>
      </c>
      <c r="N356" s="7">
        <f>IF(Данные[[#This Row],[proba]]&lt;$D$2,$C$2,IF(Данные[[#This Row],[proba]]&lt;$D$3,$C$3,IF(Данные[[#This Row],[proba]]&gt;$C$6,0,$C$4)))</f>
        <v>0</v>
      </c>
      <c r="O356" s="2">
        <f>IF(Данные[[#This Row],[weighted_ext_score]]&gt;$O$1,MIN(Данные[[#This Row],[Базовая сумма]]*$O$2,$C$2),IF(Данные[[#This Row],[weighted_ext_score]]&lt;$O$3,Данные[[#This Row],[Базовая сумма]]*$O$4,N356))</f>
        <v>0</v>
      </c>
      <c r="P3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6" s="2">
        <f>ABS(Данные[[#This Row],[days_birth]])/365.2425</f>
        <v>39.431336714648488</v>
      </c>
      <c r="S3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6" s="2">
        <f>IF(Данные[[#This Row],[ interest_rate]]&gt;$T$1,Данные[[#This Row],[days_birth4]]*$T$2,Данные[[#This Row],[days_birth4]])</f>
        <v>0</v>
      </c>
      <c r="U356" s="2">
        <f>IF(Данные[[#This Row],[Проверка отказа]]="отказ",0,MAX(Данные[[#This Row],[interest_rate]],$C$1))</f>
        <v>0</v>
      </c>
      <c r="V356" s="2">
        <f>MROUND(Данные[[#This Row],[Минимум 20000]], 100)</f>
        <v>0</v>
      </c>
    </row>
    <row r="357" spans="1:22" x14ac:dyDescent="0.25">
      <c r="A357" s="2">
        <f>'1000_заявлений'!A351</f>
        <v>349</v>
      </c>
      <c r="B357" s="4">
        <f>VALUE(SUBSTITUTE('1000_заявлений'!B351, ".", ","))</f>
        <v>0.27460625431735802</v>
      </c>
      <c r="C357" s="4">
        <f>VALUE(SUBSTITUTE('1000_заявлений'!C351, ".", ","))</f>
        <v>0.41298202784584098</v>
      </c>
      <c r="D357" s="4">
        <f>VALUE(SUBSTITUTE('1000_заявлений'!D351, ".", ","))</f>
        <v>0.71363140000000003</v>
      </c>
      <c r="E357" s="4">
        <f>VALUE(SUBSTITUTE('1000_заявлений'!E351, ".", ","))</f>
        <v>0.47748804</v>
      </c>
      <c r="F357" s="5">
        <f>VALUE(SUBSTITUTE('1000_заявлений'!F351, ".", ","))</f>
        <v>-9709</v>
      </c>
      <c r="G357" s="5">
        <f>VALUE(SUBSTITUTE('1000_заявлений'!G351, ".", ","))</f>
        <v>-22159</v>
      </c>
      <c r="H357" s="5">
        <f>VALUE(SUBSTITUTE('1000_заявлений'!H351, ".", ","))</f>
        <v>-4765</v>
      </c>
      <c r="I357" s="4">
        <f>VALUE(SUBSTITUTE('1000_заявлений'!I351, ".", ","))</f>
        <v>0.175695652173913</v>
      </c>
      <c r="J357" s="4">
        <f>VALUE(SUBSTITUTE('1000_заявлений'!J351, ".", ","))</f>
        <v>0.68327355953672297</v>
      </c>
      <c r="K357" s="5">
        <f>VALUE(SUBSTITUTE('1000_заявлений'!K351, ".", ","))</f>
        <v>365243</v>
      </c>
      <c r="L357" s="6">
        <f>VALUE(SUBSTITUTE('1000_заявлений'!L351, ".", ","))</f>
        <v>18184.5</v>
      </c>
      <c r="M357" s="2" t="str">
        <f>IF(Данные[[#This Row],[proba]]&gt;$C$6, "отказ", "одобрение")</f>
        <v>одобрение</v>
      </c>
      <c r="N357" s="7">
        <f>IF(Данные[[#This Row],[proba]]&lt;$D$2,$C$2,IF(Данные[[#This Row],[proba]]&lt;$D$3,$C$3,IF(Данные[[#This Row],[proba]]&gt;$C$6,0,$C$4)))</f>
        <v>100000</v>
      </c>
      <c r="O357" s="2">
        <f>IF(Данные[[#This Row],[weighted_ext_score]]&gt;$O$1,MIN(Данные[[#This Row],[Базовая сумма]]*$O$2,$C$2),IF(Данные[[#This Row],[weighted_ext_score]]&lt;$O$3,Данные[[#This Row],[Базовая сумма]]*$O$4,N357))</f>
        <v>100000</v>
      </c>
      <c r="P3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357" s="2">
        <f>ABS(Данные[[#This Row],[days_birth]])/365.2425</f>
        <v>60.669281367858339</v>
      </c>
      <c r="S3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357" s="2">
        <f>IF(Данные[[#This Row],[ interest_rate]]&gt;$T$1,Данные[[#This Row],[days_birth4]]*$T$2,Данные[[#This Row],[days_birth4]])</f>
        <v>126000</v>
      </c>
      <c r="U357" s="2">
        <f>IF(Данные[[#This Row],[Проверка отказа]]="отказ",0,MAX(Данные[[#This Row],[interest_rate]],$C$1))</f>
        <v>126000</v>
      </c>
      <c r="V357" s="2">
        <f>MROUND(Данные[[#This Row],[Минимум 20000]], 100)</f>
        <v>126000</v>
      </c>
    </row>
    <row r="358" spans="1:22" x14ac:dyDescent="0.25">
      <c r="A358" s="2">
        <f>'1000_заявлений'!A352</f>
        <v>350</v>
      </c>
      <c r="B358" s="4">
        <f>VALUE(SUBSTITUTE('1000_заявлений'!B352, ".", ","))</f>
        <v>0.314505239753545</v>
      </c>
      <c r="C358" s="4">
        <f>VALUE(SUBSTITUTE('1000_заявлений'!C352, ".", ","))</f>
        <v>0.56830576986203796</v>
      </c>
      <c r="D358" s="4">
        <f>VALUE(SUBSTITUTE('1000_заявлений'!D352, ".", ","))</f>
        <v>0.61270420000000003</v>
      </c>
      <c r="E358" s="4">
        <f>VALUE(SUBSTITUTE('1000_заявлений'!E352, ".", ","))</f>
        <v>0.64520323000000002</v>
      </c>
      <c r="F358" s="5">
        <f>VALUE(SUBSTITUTE('1000_заявлений'!F352, ".", ","))</f>
        <v>-6215</v>
      </c>
      <c r="G358" s="5">
        <f>VALUE(SUBSTITUTE('1000_заявлений'!G352, ".", ","))</f>
        <v>-12363</v>
      </c>
      <c r="H358" s="5">
        <f>VALUE(SUBSTITUTE('1000_заявлений'!H352, ".", ","))</f>
        <v>-4080</v>
      </c>
      <c r="I358" s="4">
        <f>VALUE(SUBSTITUTE('1000_заявлений'!I352, ".", ","))</f>
        <v>0.33223999999999998</v>
      </c>
      <c r="J358" s="4">
        <f>VALUE(SUBSTITUTE('1000_заявлений'!J352, ".", ","))</f>
        <v>2.9862130726806901</v>
      </c>
      <c r="K358" s="5">
        <f>VALUE(SUBSTITUTE('1000_заявлений'!K352, ".", ","))</f>
        <v>-836</v>
      </c>
      <c r="L358" s="6">
        <f>VALUE(SUBSTITUTE('1000_заявлений'!L352, ".", ","))</f>
        <v>37377</v>
      </c>
      <c r="M358" s="2" t="str">
        <f>IF(Данные[[#This Row],[proba]]&gt;$C$6, "отказ", "одобрение")</f>
        <v>отказ</v>
      </c>
      <c r="N358" s="7">
        <f>IF(Данные[[#This Row],[proba]]&lt;$D$2,$C$2,IF(Данные[[#This Row],[proba]]&lt;$D$3,$C$3,IF(Данные[[#This Row],[proba]]&gt;$C$6,0,$C$4)))</f>
        <v>0</v>
      </c>
      <c r="O358" s="2">
        <f>IF(Данные[[#This Row],[weighted_ext_score]]&gt;$O$1,MIN(Данные[[#This Row],[Базовая сумма]]*$O$2,$C$2),IF(Данные[[#This Row],[weighted_ext_score]]&lt;$O$3,Данные[[#This Row],[Базовая сумма]]*$O$4,N358))</f>
        <v>0</v>
      </c>
      <c r="P3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8" s="2">
        <f>ABS(Данные[[#This Row],[days_birth]])/365.2425</f>
        <v>33.848744327398919</v>
      </c>
      <c r="S3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8" s="2">
        <f>IF(Данные[[#This Row],[ interest_rate]]&gt;$T$1,Данные[[#This Row],[days_birth4]]*$T$2,Данные[[#This Row],[days_birth4]])</f>
        <v>0</v>
      </c>
      <c r="U358" s="2">
        <f>IF(Данные[[#This Row],[Проверка отказа]]="отказ",0,MAX(Данные[[#This Row],[interest_rate]],$C$1))</f>
        <v>0</v>
      </c>
      <c r="V358" s="2">
        <f>MROUND(Данные[[#This Row],[Минимум 20000]], 100)</f>
        <v>0</v>
      </c>
    </row>
    <row r="359" spans="1:22" x14ac:dyDescent="0.25">
      <c r="A359" s="2">
        <f>'1000_заявлений'!A353</f>
        <v>351</v>
      </c>
      <c r="B359" s="4">
        <f>VALUE(SUBSTITUTE('1000_заявлений'!B353, ".", ","))</f>
        <v>0.49163323802945902</v>
      </c>
      <c r="C359" s="4">
        <f>VALUE(SUBSTITUTE('1000_заявлений'!C353, ".", ","))</f>
        <v>0.22911667421673601</v>
      </c>
      <c r="D359" s="4">
        <f>VALUE(SUBSTITUTE('1000_заявлений'!D353, ".", ","))</f>
        <v>0.53527623000000002</v>
      </c>
      <c r="E359" s="4">
        <f>VALUE(SUBSTITUTE('1000_заявлений'!E353, ".", ","))</f>
        <v>0.70632863000000001</v>
      </c>
      <c r="F359" s="5">
        <f>VALUE(SUBSTITUTE('1000_заявлений'!F353, ".", ","))</f>
        <v>-6864</v>
      </c>
      <c r="G359" s="5">
        <f>VALUE(SUBSTITUTE('1000_заявлений'!G353, ".", ","))</f>
        <v>-8625</v>
      </c>
      <c r="H359" s="5">
        <f>VALUE(SUBSTITUTE('1000_заявлений'!H353, ".", ","))</f>
        <v>-1315</v>
      </c>
      <c r="I359" s="4">
        <f>VALUE(SUBSTITUTE('1000_заявлений'!I353, ".", ","))</f>
        <v>0.10775999999999999</v>
      </c>
      <c r="J359" s="4">
        <f>VALUE(SUBSTITUTE('1000_заявлений'!J353, ".", ","))</f>
        <v>1.9221929010054299</v>
      </c>
      <c r="K359" s="5">
        <f>VALUE(SUBSTITUTE('1000_заявлений'!K353, ".", ","))</f>
        <v>-1145</v>
      </c>
      <c r="L359" s="6">
        <f>VALUE(SUBSTITUTE('1000_заявлений'!L353, ".", ","))</f>
        <v>24246</v>
      </c>
      <c r="M359" s="2" t="str">
        <f>IF(Данные[[#This Row],[proba]]&gt;$C$6, "отказ", "одобрение")</f>
        <v>отказ</v>
      </c>
      <c r="N359" s="7">
        <f>IF(Данные[[#This Row],[proba]]&lt;$D$2,$C$2,IF(Данные[[#This Row],[proba]]&lt;$D$3,$C$3,IF(Данные[[#This Row],[proba]]&gt;$C$6,0,$C$4)))</f>
        <v>0</v>
      </c>
      <c r="O359" s="2">
        <f>IF(Данные[[#This Row],[weighted_ext_score]]&gt;$O$1,MIN(Данные[[#This Row],[Базовая сумма]]*$O$2,$C$2),IF(Данные[[#This Row],[weighted_ext_score]]&lt;$O$3,Данные[[#This Row],[Базовая сумма]]*$O$4,N359))</f>
        <v>0</v>
      </c>
      <c r="P3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59" s="2">
        <f>ABS(Данные[[#This Row],[days_birth]])/365.2425</f>
        <v>23.614447935275876</v>
      </c>
      <c r="S3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59" s="2">
        <f>IF(Данные[[#This Row],[ interest_rate]]&gt;$T$1,Данные[[#This Row],[days_birth4]]*$T$2,Данные[[#This Row],[days_birth4]])</f>
        <v>0</v>
      </c>
      <c r="U359" s="2">
        <f>IF(Данные[[#This Row],[Проверка отказа]]="отказ",0,MAX(Данные[[#This Row],[interest_rate]],$C$1))</f>
        <v>0</v>
      </c>
      <c r="V359" s="2">
        <f>MROUND(Данные[[#This Row],[Минимум 20000]], 100)</f>
        <v>0</v>
      </c>
    </row>
    <row r="360" spans="1:22" x14ac:dyDescent="0.25">
      <c r="A360" s="2">
        <f>'1000_заявлений'!A354</f>
        <v>352</v>
      </c>
      <c r="B360" s="4">
        <f>VALUE(SUBSTITUTE('1000_заявлений'!B354, ".", ","))</f>
        <v>0.63058377695897105</v>
      </c>
      <c r="C360" s="4">
        <f>VALUE(SUBSTITUTE('1000_заявлений'!C354, ".", ","))</f>
        <v>0.36591774840709801</v>
      </c>
      <c r="D360" s="4">
        <f>VALUE(SUBSTITUTE('1000_заявлений'!D354, ".", ","))</f>
        <v>0.22258075999999999</v>
      </c>
      <c r="E360" s="4">
        <f>VALUE(SUBSTITUTE('1000_заявлений'!E354, ".", ","))</f>
        <v>0.57727545000000002</v>
      </c>
      <c r="F360" s="5">
        <f>VALUE(SUBSTITUTE('1000_заявлений'!F354, ".", ","))</f>
        <v>-6012</v>
      </c>
      <c r="G360" s="5">
        <f>VALUE(SUBSTITUTE('1000_заявлений'!G354, ".", ","))</f>
        <v>-10238</v>
      </c>
      <c r="H360" s="5">
        <f>VALUE(SUBSTITUTE('1000_заявлений'!H354, ".", ","))</f>
        <v>-422</v>
      </c>
      <c r="I360" s="4">
        <f>VALUE(SUBSTITUTE('1000_заявлений'!I354, ".", ","))</f>
        <v>0.157</v>
      </c>
      <c r="J360" s="4">
        <f>VALUE(SUBSTITUTE('1000_заявлений'!J354, ".", ","))</f>
        <v>6.6678802249720004</v>
      </c>
      <c r="K360" s="5">
        <f>VALUE(SUBSTITUTE('1000_заявлений'!K354, ".", ","))</f>
        <v>-292</v>
      </c>
      <c r="L360" s="6">
        <f>VALUE(SUBSTITUTE('1000_заявлений'!L354, ".", ","))</f>
        <v>28260</v>
      </c>
      <c r="M360" s="2" t="str">
        <f>IF(Данные[[#This Row],[proba]]&gt;$C$6, "отказ", "одобрение")</f>
        <v>отказ</v>
      </c>
      <c r="N360" s="7">
        <f>IF(Данные[[#This Row],[proba]]&lt;$D$2,$C$2,IF(Данные[[#This Row],[proba]]&lt;$D$3,$C$3,IF(Данные[[#This Row],[proba]]&gt;$C$6,0,$C$4)))</f>
        <v>0</v>
      </c>
      <c r="O360" s="2">
        <f>IF(Данные[[#This Row],[weighted_ext_score]]&gt;$O$1,MIN(Данные[[#This Row],[Базовая сумма]]*$O$2,$C$2),IF(Данные[[#This Row],[weighted_ext_score]]&lt;$O$3,Данные[[#This Row],[Базовая сумма]]*$O$4,N360))</f>
        <v>0</v>
      </c>
      <c r="P3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0" s="2">
        <f>ABS(Данные[[#This Row],[days_birth]])/365.2425</f>
        <v>28.03069193754834</v>
      </c>
      <c r="S3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0" s="2">
        <f>IF(Данные[[#This Row],[ interest_rate]]&gt;$T$1,Данные[[#This Row],[days_birth4]]*$T$2,Данные[[#This Row],[days_birth4]])</f>
        <v>0</v>
      </c>
      <c r="U360" s="2">
        <f>IF(Данные[[#This Row],[Проверка отказа]]="отказ",0,MAX(Данные[[#This Row],[interest_rate]],$C$1))</f>
        <v>0</v>
      </c>
      <c r="V360" s="2">
        <f>MROUND(Данные[[#This Row],[Минимум 20000]], 100)</f>
        <v>0</v>
      </c>
    </row>
    <row r="361" spans="1:22" x14ac:dyDescent="0.25">
      <c r="A361" s="2">
        <f>'1000_заявлений'!A355</f>
        <v>353</v>
      </c>
      <c r="B361" s="4">
        <f>VALUE(SUBSTITUTE('1000_заявлений'!B355, ".", ","))</f>
        <v>0.606414632354211</v>
      </c>
      <c r="C361" s="4">
        <f>VALUE(SUBSTITUTE('1000_заявлений'!C355, ".", ","))</f>
        <v>0.25957668583989002</v>
      </c>
      <c r="D361" s="4">
        <f>VALUE(SUBSTITUTE('1000_заявлений'!D355, ".", ","))</f>
        <v>0.52269730000000003</v>
      </c>
      <c r="E361" s="4">
        <f>VALUE(SUBSTITUTE('1000_заявлений'!E355, ".", ","))</f>
        <v>0.2174478</v>
      </c>
      <c r="F361" s="5">
        <f>VALUE(SUBSTITUTE('1000_заявлений'!F355, ".", ","))</f>
        <v>-1486</v>
      </c>
      <c r="G361" s="5">
        <f>VALUE(SUBSTITUTE('1000_заявлений'!G355, ".", ","))</f>
        <v>-21905</v>
      </c>
      <c r="H361" s="5">
        <f>VALUE(SUBSTITUTE('1000_заявлений'!H355, ".", ","))</f>
        <v>-5245</v>
      </c>
      <c r="I361" s="4">
        <f>VALUE(SUBSTITUTE('1000_заявлений'!I355, ".", ","))</f>
        <v>0.39276923076922998</v>
      </c>
      <c r="J361" s="4">
        <f>VALUE(SUBSTITUTE('1000_заявлений'!J355, ".", ","))</f>
        <v>3.1058245681402799</v>
      </c>
      <c r="K361" s="5">
        <f>VALUE(SUBSTITUTE('1000_заявлений'!K355, ".", ","))</f>
        <v>365243</v>
      </c>
      <c r="L361" s="6">
        <f>VALUE(SUBSTITUTE('1000_заявлений'!L355, ".", ","))</f>
        <v>22977</v>
      </c>
      <c r="M361" s="2" t="str">
        <f>IF(Данные[[#This Row],[proba]]&gt;$C$6, "отказ", "одобрение")</f>
        <v>отказ</v>
      </c>
      <c r="N361" s="7">
        <f>IF(Данные[[#This Row],[proba]]&lt;$D$2,$C$2,IF(Данные[[#This Row],[proba]]&lt;$D$3,$C$3,IF(Данные[[#This Row],[proba]]&gt;$C$6,0,$C$4)))</f>
        <v>0</v>
      </c>
      <c r="O361" s="2">
        <f>IF(Данные[[#This Row],[weighted_ext_score]]&gt;$O$1,MIN(Данные[[#This Row],[Базовая сумма]]*$O$2,$C$2),IF(Данные[[#This Row],[weighted_ext_score]]&lt;$O$3,Данные[[#This Row],[Базовая сумма]]*$O$4,N361))</f>
        <v>0</v>
      </c>
      <c r="P3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1" s="2">
        <f>ABS(Данные[[#This Row],[days_birth]])/365.2425</f>
        <v>59.973852988083259</v>
      </c>
      <c r="S3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1" s="2">
        <f>IF(Данные[[#This Row],[ interest_rate]]&gt;$T$1,Данные[[#This Row],[days_birth4]]*$T$2,Данные[[#This Row],[days_birth4]])</f>
        <v>0</v>
      </c>
      <c r="U361" s="2">
        <f>IF(Данные[[#This Row],[Проверка отказа]]="отказ",0,MAX(Данные[[#This Row],[interest_rate]],$C$1))</f>
        <v>0</v>
      </c>
      <c r="V361" s="2">
        <f>MROUND(Данные[[#This Row],[Минимум 20000]], 100)</f>
        <v>0</v>
      </c>
    </row>
    <row r="362" spans="1:22" x14ac:dyDescent="0.25">
      <c r="A362" s="2">
        <f>'1000_заявлений'!A356</f>
        <v>354</v>
      </c>
      <c r="B362" s="4">
        <f>VALUE(SUBSTITUTE('1000_заявлений'!B356, ".", ","))</f>
        <v>0.17172260265085401</v>
      </c>
      <c r="C362" s="4">
        <f>VALUE(SUBSTITUTE('1000_заявлений'!C356, ".", ","))</f>
        <v>0.49536330710402798</v>
      </c>
      <c r="D362" s="4">
        <f>VALUE(SUBSTITUTE('1000_заявлений'!D356, ".", ","))</f>
        <v>0.73522100000000001</v>
      </c>
      <c r="E362" s="4">
        <f>VALUE(SUBSTITUTE('1000_заявлений'!E356, ".", ","))</f>
        <v>0.70738440000000002</v>
      </c>
      <c r="F362" s="5">
        <f>VALUE(SUBSTITUTE('1000_заявлений'!F356, ".", ","))</f>
        <v>-6216</v>
      </c>
      <c r="G362" s="5">
        <f>VALUE(SUBSTITUTE('1000_заявлений'!G356, ".", ","))</f>
        <v>-23282</v>
      </c>
      <c r="H362" s="5">
        <f>VALUE(SUBSTITUTE('1000_заявлений'!H356, ".", ","))</f>
        <v>-4940</v>
      </c>
      <c r="I362" s="4">
        <f>VALUE(SUBSTITUTE('1000_заявлений'!I356, ".", ","))</f>
        <v>0.15191250000000001</v>
      </c>
      <c r="J362" s="4">
        <f>VALUE(SUBSTITUTE('1000_заявлений'!J356, ".", ","))</f>
        <v>2.8600186144335198</v>
      </c>
      <c r="K362" s="5">
        <f>VALUE(SUBSTITUTE('1000_заявлений'!K356, ".", ","))</f>
        <v>-1979</v>
      </c>
      <c r="L362" s="6">
        <f>VALUE(SUBSTITUTE('1000_заявлений'!L356, ".", ","))</f>
        <v>54688.5</v>
      </c>
      <c r="M362" s="2" t="str">
        <f>IF(Данные[[#This Row],[proba]]&gt;$C$6, "отказ", "одобрение")</f>
        <v>одобрение</v>
      </c>
      <c r="N362" s="7">
        <f>IF(Данные[[#This Row],[proba]]&lt;$D$2,$C$2,IF(Данные[[#This Row],[proba]]&lt;$D$3,$C$3,IF(Данные[[#This Row],[proba]]&gt;$C$6,0,$C$4)))</f>
        <v>300000</v>
      </c>
      <c r="O362" s="2">
        <f>IF(Данные[[#This Row],[weighted_ext_score]]&gt;$O$1,MIN(Данные[[#This Row],[Базовая сумма]]*$O$2,$C$2),IF(Данные[[#This Row],[weighted_ext_score]]&lt;$O$3,Данные[[#This Row],[Базовая сумма]]*$O$4,N362))</f>
        <v>300000</v>
      </c>
      <c r="P3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3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362" s="2">
        <f>ABS(Данные[[#This Row],[days_birth]])/365.2425</f>
        <v>63.743950936706433</v>
      </c>
      <c r="S3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264600</v>
      </c>
      <c r="T362" s="2">
        <f>IF(Данные[[#This Row],[ interest_rate]]&gt;$T$1,Данные[[#This Row],[days_birth4]]*$T$2,Данные[[#This Row],[days_birth4]])</f>
        <v>264600</v>
      </c>
      <c r="U362" s="2">
        <f>IF(Данные[[#This Row],[Проверка отказа]]="отказ",0,MAX(Данные[[#This Row],[interest_rate]],$C$1))</f>
        <v>264600</v>
      </c>
      <c r="V362" s="2">
        <f>MROUND(Данные[[#This Row],[Минимум 20000]], 100)</f>
        <v>264600</v>
      </c>
    </row>
    <row r="363" spans="1:22" x14ac:dyDescent="0.25">
      <c r="A363" s="2">
        <f>'1000_заявлений'!A357</f>
        <v>355</v>
      </c>
      <c r="B363" s="4">
        <f>VALUE(SUBSTITUTE('1000_заявлений'!B357, ".", ","))</f>
        <v>0.37794018738660601</v>
      </c>
      <c r="C363" s="4">
        <f>VALUE(SUBSTITUTE('1000_заявлений'!C357, ".", ","))</f>
        <v>0.43948877546972798</v>
      </c>
      <c r="D363" s="4">
        <f>VALUE(SUBSTITUTE('1000_заявлений'!D357, ".", ","))</f>
        <v>0.52809273999999995</v>
      </c>
      <c r="E363" s="4">
        <f>VALUE(SUBSTITUTE('1000_заявлений'!E357, ".", ","))</f>
        <v>0.76607119999999995</v>
      </c>
      <c r="F363" s="5">
        <f>VALUE(SUBSTITUTE('1000_заявлений'!F357, ".", ","))</f>
        <v>-5592</v>
      </c>
      <c r="G363" s="5">
        <f>VALUE(SUBSTITUTE('1000_заявлений'!G357, ".", ","))</f>
        <v>-16534</v>
      </c>
      <c r="H363" s="5">
        <f>VALUE(SUBSTITUTE('1000_заявлений'!H357, ".", ","))</f>
        <v>-84</v>
      </c>
      <c r="I363" s="4">
        <f>VALUE(SUBSTITUTE('1000_заявлений'!I357, ".", ","))</f>
        <v>0.25205</v>
      </c>
      <c r="J363" s="4">
        <f>VALUE(SUBSTITUTE('1000_заявлений'!J357, ".", ","))</f>
        <v>1.23399848580827</v>
      </c>
      <c r="K363" s="5">
        <f>VALUE(SUBSTITUTE('1000_заявлений'!K357, ".", ","))</f>
        <v>-4014</v>
      </c>
      <c r="L363" s="6">
        <f>VALUE(SUBSTITUTE('1000_заявлений'!L357, ".", ","))</f>
        <v>22684.5</v>
      </c>
      <c r="M363" s="2" t="str">
        <f>IF(Данные[[#This Row],[proba]]&gt;$C$6, "отказ", "одобрение")</f>
        <v>отказ</v>
      </c>
      <c r="N363" s="7">
        <f>IF(Данные[[#This Row],[proba]]&lt;$D$2,$C$2,IF(Данные[[#This Row],[proba]]&lt;$D$3,$C$3,IF(Данные[[#This Row],[proba]]&gt;$C$6,0,$C$4)))</f>
        <v>0</v>
      </c>
      <c r="O363" s="2">
        <f>IF(Данные[[#This Row],[weighted_ext_score]]&gt;$O$1,MIN(Данные[[#This Row],[Базовая сумма]]*$O$2,$C$2),IF(Данные[[#This Row],[weighted_ext_score]]&lt;$O$3,Данные[[#This Row],[Базовая сумма]]*$O$4,N363))</f>
        <v>0</v>
      </c>
      <c r="P3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3" s="2">
        <f>ABS(Данные[[#This Row],[days_birth]])/365.2425</f>
        <v>45.268554453547985</v>
      </c>
      <c r="S3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3" s="2">
        <f>IF(Данные[[#This Row],[ interest_rate]]&gt;$T$1,Данные[[#This Row],[days_birth4]]*$T$2,Данные[[#This Row],[days_birth4]])</f>
        <v>0</v>
      </c>
      <c r="U363" s="2">
        <f>IF(Данные[[#This Row],[Проверка отказа]]="отказ",0,MAX(Данные[[#This Row],[interest_rate]],$C$1))</f>
        <v>0</v>
      </c>
      <c r="V363" s="2">
        <f>MROUND(Данные[[#This Row],[Минимум 20000]], 100)</f>
        <v>0</v>
      </c>
    </row>
    <row r="364" spans="1:22" x14ac:dyDescent="0.25">
      <c r="A364" s="2">
        <f>'1000_заявлений'!A358</f>
        <v>356</v>
      </c>
      <c r="B364" s="4">
        <f>VALUE(SUBSTITUTE('1000_заявлений'!B358, ".", ","))</f>
        <v>0.31153599864092602</v>
      </c>
      <c r="C364" s="4">
        <f>VALUE(SUBSTITUTE('1000_заявлений'!C358, ".", ","))</f>
        <v>0.22075296356007301</v>
      </c>
      <c r="D364" s="4">
        <f>VALUE(SUBSTITUTE('1000_заявлений'!D358, ".", ","))</f>
        <v>0.53527623000000002</v>
      </c>
      <c r="E364" s="4">
        <f>VALUE(SUBSTITUTE('1000_заявлений'!E358, ".", ","))</f>
        <v>0.6805447</v>
      </c>
      <c r="F364" s="5">
        <f>VALUE(SUBSTITUTE('1000_заявлений'!F358, ".", ","))</f>
        <v>-3232</v>
      </c>
      <c r="G364" s="5">
        <f>VALUE(SUBSTITUTE('1000_заявлений'!G358, ".", ","))</f>
        <v>-23586</v>
      </c>
      <c r="H364" s="5">
        <f>VALUE(SUBSTITUTE('1000_заявлений'!H358, ".", ","))</f>
        <v>-4878</v>
      </c>
      <c r="I364" s="4">
        <f>VALUE(SUBSTITUTE('1000_заявлений'!I358, ".", ","))</f>
        <v>3.6068749999999997E-2</v>
      </c>
      <c r="J364" s="4">
        <f>VALUE(SUBSTITUTE('1000_заявлений'!J358, ".", ","))</f>
        <v>4.5741332740013299</v>
      </c>
      <c r="K364" s="5">
        <f>VALUE(SUBSTITUTE('1000_заявлений'!K358, ".", ","))</f>
        <v>365243</v>
      </c>
      <c r="L364" s="6">
        <f>VALUE(SUBSTITUTE('1000_заявлений'!L358, ".", ","))</f>
        <v>25969.5</v>
      </c>
      <c r="M364" s="2" t="str">
        <f>IF(Данные[[#This Row],[proba]]&gt;$C$6, "отказ", "одобрение")</f>
        <v>отказ</v>
      </c>
      <c r="N364" s="7">
        <f>IF(Данные[[#This Row],[proba]]&lt;$D$2,$C$2,IF(Данные[[#This Row],[proba]]&lt;$D$3,$C$3,IF(Данные[[#This Row],[proba]]&gt;$C$6,0,$C$4)))</f>
        <v>0</v>
      </c>
      <c r="O364" s="2">
        <f>IF(Данные[[#This Row],[weighted_ext_score]]&gt;$O$1,MIN(Данные[[#This Row],[Базовая сумма]]*$O$2,$C$2),IF(Данные[[#This Row],[weighted_ext_score]]&lt;$O$3,Данные[[#This Row],[Базовая сумма]]*$O$4,N364))</f>
        <v>0</v>
      </c>
      <c r="P3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4" s="2">
        <f>ABS(Данные[[#This Row],[days_birth]])/365.2425</f>
        <v>64.57627466683094</v>
      </c>
      <c r="S3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4" s="2">
        <f>IF(Данные[[#This Row],[ interest_rate]]&gt;$T$1,Данные[[#This Row],[days_birth4]]*$T$2,Данные[[#This Row],[days_birth4]])</f>
        <v>0</v>
      </c>
      <c r="U364" s="2">
        <f>IF(Данные[[#This Row],[Проверка отказа]]="отказ",0,MAX(Данные[[#This Row],[interest_rate]],$C$1))</f>
        <v>0</v>
      </c>
      <c r="V364" s="2">
        <f>MROUND(Данные[[#This Row],[Минимум 20000]], 100)</f>
        <v>0</v>
      </c>
    </row>
    <row r="365" spans="1:22" x14ac:dyDescent="0.25">
      <c r="A365" s="2">
        <f>'1000_заявлений'!A359</f>
        <v>357</v>
      </c>
      <c r="B365" s="4">
        <f>VALUE(SUBSTITUTE('1000_заявлений'!B359, ".", ","))</f>
        <v>0.38601615146701701</v>
      </c>
      <c r="C365" s="4">
        <f>VALUE(SUBSTITUTE('1000_заявлений'!C359, ".", ","))</f>
        <v>0.35089445704232403</v>
      </c>
      <c r="D365" s="4">
        <f>VALUE(SUBSTITUTE('1000_заявлений'!D359, ".", ","))</f>
        <v>0.48485148</v>
      </c>
      <c r="E365" s="4">
        <f>VALUE(SUBSTITUTE('1000_заявлений'!E359, ".", ","))</f>
        <v>0.54116169999999997</v>
      </c>
      <c r="F365" s="5">
        <f>VALUE(SUBSTITUTE('1000_заявлений'!F359, ".", ","))</f>
        <v>-17596</v>
      </c>
      <c r="G365" s="5">
        <f>VALUE(SUBSTITUTE('1000_заявлений'!G359, ".", ","))</f>
        <v>-24094</v>
      </c>
      <c r="H365" s="5">
        <f>VALUE(SUBSTITUTE('1000_заявлений'!H359, ".", ","))</f>
        <v>-4125</v>
      </c>
      <c r="I365" s="4">
        <f>VALUE(SUBSTITUTE('1000_заявлений'!I359, ".", ","))</f>
        <v>7.5899999999999995E-2</v>
      </c>
      <c r="J365" s="4">
        <f>VALUE(SUBSTITUTE('1000_заявлений'!J359, ".", ","))</f>
        <v>1.8085691636156001</v>
      </c>
      <c r="K365" s="5">
        <f>VALUE(SUBSTITUTE('1000_заявлений'!K359, ".", ","))</f>
        <v>-7326</v>
      </c>
      <c r="L365" s="6">
        <f>VALUE(SUBSTITUTE('1000_заявлений'!L359, ".", ","))</f>
        <v>13662</v>
      </c>
      <c r="M365" s="2" t="str">
        <f>IF(Данные[[#This Row],[proba]]&gt;$C$6, "отказ", "одобрение")</f>
        <v>отказ</v>
      </c>
      <c r="N365" s="7">
        <f>IF(Данные[[#This Row],[proba]]&lt;$D$2,$C$2,IF(Данные[[#This Row],[proba]]&lt;$D$3,$C$3,IF(Данные[[#This Row],[proba]]&gt;$C$6,0,$C$4)))</f>
        <v>0</v>
      </c>
      <c r="O365" s="2">
        <f>IF(Данные[[#This Row],[weighted_ext_score]]&gt;$O$1,MIN(Данные[[#This Row],[Базовая сумма]]*$O$2,$C$2),IF(Данные[[#This Row],[weighted_ext_score]]&lt;$O$3,Данные[[#This Row],[Базовая сумма]]*$O$4,N365))</f>
        <v>0</v>
      </c>
      <c r="P3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5" s="2">
        <f>ABS(Данные[[#This Row],[days_birth]])/365.2425</f>
        <v>65.967131426381101</v>
      </c>
      <c r="S3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5" s="2">
        <f>IF(Данные[[#This Row],[ interest_rate]]&gt;$T$1,Данные[[#This Row],[days_birth4]]*$T$2,Данные[[#This Row],[days_birth4]])</f>
        <v>0</v>
      </c>
      <c r="U365" s="2">
        <f>IF(Данные[[#This Row],[Проверка отказа]]="отказ",0,MAX(Данные[[#This Row],[interest_rate]],$C$1))</f>
        <v>0</v>
      </c>
      <c r="V365" s="2">
        <f>MROUND(Данные[[#This Row],[Минимум 20000]], 100)</f>
        <v>0</v>
      </c>
    </row>
    <row r="366" spans="1:22" x14ac:dyDescent="0.25">
      <c r="A366" s="2">
        <f>'1000_заявлений'!A360</f>
        <v>358</v>
      </c>
      <c r="B366" s="4">
        <f>VALUE(SUBSTITUTE('1000_заявлений'!B360, ".", ","))</f>
        <v>0.51701189727600105</v>
      </c>
      <c r="C366" s="4">
        <f>VALUE(SUBSTITUTE('1000_заявлений'!C360, ".", ","))</f>
        <v>0.43497862858179298</v>
      </c>
      <c r="D366" s="4">
        <f>VALUE(SUBSTITUTE('1000_заявлений'!D360, ".", ","))</f>
        <v>0.48665314999999998</v>
      </c>
      <c r="E366" s="4">
        <f>VALUE(SUBSTITUTE('1000_заявлений'!E360, ".", ","))</f>
        <v>0.30603190000000002</v>
      </c>
      <c r="F366" s="5">
        <f>VALUE(SUBSTITUTE('1000_заявлений'!F360, ".", ","))</f>
        <v>-3369</v>
      </c>
      <c r="G366" s="5">
        <f>VALUE(SUBSTITUTE('1000_заявлений'!G360, ".", ","))</f>
        <v>-15779</v>
      </c>
      <c r="H366" s="5">
        <f>VALUE(SUBSTITUTE('1000_заявлений'!H360, ".", ","))</f>
        <v>-4229</v>
      </c>
      <c r="I366" s="4">
        <f>VALUE(SUBSTITUTE('1000_заявлений'!I360, ".", ","))</f>
        <v>0.15043999999999999</v>
      </c>
      <c r="J366" s="4">
        <f>VALUE(SUBSTITUTE('1000_заявлений'!J360, ".", ","))</f>
        <v>5.5134563885832897</v>
      </c>
      <c r="K366" s="5">
        <f>VALUE(SUBSTITUTE('1000_заявлений'!K360, ".", ","))</f>
        <v>-293</v>
      </c>
      <c r="L366" s="6">
        <f>VALUE(SUBSTITUTE('1000_заявлений'!L360, ".", ","))</f>
        <v>16924.5</v>
      </c>
      <c r="M366" s="2" t="str">
        <f>IF(Данные[[#This Row],[proba]]&gt;$C$6, "отказ", "одобрение")</f>
        <v>отказ</v>
      </c>
      <c r="N366" s="7">
        <f>IF(Данные[[#This Row],[proba]]&lt;$D$2,$C$2,IF(Данные[[#This Row],[proba]]&lt;$D$3,$C$3,IF(Данные[[#This Row],[proba]]&gt;$C$6,0,$C$4)))</f>
        <v>0</v>
      </c>
      <c r="O366" s="2">
        <f>IF(Данные[[#This Row],[weighted_ext_score]]&gt;$O$1,MIN(Данные[[#This Row],[Базовая сумма]]*$O$2,$C$2),IF(Данные[[#This Row],[weighted_ext_score]]&lt;$O$3,Данные[[#This Row],[Базовая сумма]]*$O$4,N366))</f>
        <v>0</v>
      </c>
      <c r="P3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66" s="2">
        <f>ABS(Данные[[#This Row],[days_birth]])/365.2425</f>
        <v>43.201434663271662</v>
      </c>
      <c r="S3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66" s="2">
        <f>IF(Данные[[#This Row],[ interest_rate]]&gt;$T$1,Данные[[#This Row],[days_birth4]]*$T$2,Данные[[#This Row],[days_birth4]])</f>
        <v>0</v>
      </c>
      <c r="U366" s="2">
        <f>IF(Данные[[#This Row],[Проверка отказа]]="отказ",0,MAX(Данные[[#This Row],[interest_rate]],$C$1))</f>
        <v>0</v>
      </c>
      <c r="V366" s="2">
        <f>MROUND(Данные[[#This Row],[Минимум 20000]], 100)</f>
        <v>0</v>
      </c>
    </row>
    <row r="367" spans="1:22" x14ac:dyDescent="0.25">
      <c r="A367" s="2">
        <f>'1000_заявлений'!A361</f>
        <v>359</v>
      </c>
      <c r="B367" s="4">
        <f>VALUE(SUBSTITUTE('1000_заявлений'!B361, ".", ","))</f>
        <v>0.150703703536332</v>
      </c>
      <c r="C367" s="4">
        <f>VALUE(SUBSTITUTE('1000_заявлений'!C361, ".", ","))</f>
        <v>0.50621670103153604</v>
      </c>
      <c r="D367" s="4">
        <f>VALUE(SUBSTITUTE('1000_заявлений'!D361, ".", ","))</f>
        <v>0.74630019999999997</v>
      </c>
      <c r="E367" s="4">
        <f>VALUE(SUBSTITUTE('1000_заявлений'!E361, ".", ","))</f>
        <v>0.72849079999999999</v>
      </c>
      <c r="F367" s="5">
        <f>VALUE(SUBSTITUTE('1000_заявлений'!F361, ".", ","))</f>
        <v>-9099</v>
      </c>
      <c r="G367" s="5">
        <f>VALUE(SUBSTITUTE('1000_заявлений'!G361, ".", ","))</f>
        <v>-19077</v>
      </c>
      <c r="H367" s="5">
        <f>VALUE(SUBSTITUTE('1000_заявлений'!H361, ".", ","))</f>
        <v>-2628</v>
      </c>
      <c r="I367" s="4">
        <f>VALUE(SUBSTITUTE('1000_заявлений'!I361, ".", ","))</f>
        <v>0.19413333333333299</v>
      </c>
      <c r="J367" s="4">
        <f>VALUE(SUBSTITUTE('1000_заявлений'!J361, ".", ","))</f>
        <v>19.8012916674347</v>
      </c>
      <c r="K367" s="5">
        <f>VALUE(SUBSTITUTE('1000_заявлений'!K361, ".", ","))</f>
        <v>-3089</v>
      </c>
      <c r="L367" s="6">
        <f>VALUE(SUBSTITUTE('1000_заявлений'!L361, ".", ","))</f>
        <v>26208</v>
      </c>
      <c r="M367" s="2" t="str">
        <f>IF(Данные[[#This Row],[proba]]&gt;$C$6, "отказ", "одобрение")</f>
        <v>одобрение</v>
      </c>
      <c r="N367" s="7">
        <f>IF(Данные[[#This Row],[proba]]&lt;$D$2,$C$2,IF(Данные[[#This Row],[proba]]&lt;$D$3,$C$3,IF(Данные[[#This Row],[proba]]&gt;$C$6,0,$C$4)))</f>
        <v>300000</v>
      </c>
      <c r="O367" s="2">
        <f>IF(Данные[[#This Row],[weighted_ext_score]]&gt;$O$1,MIN(Данные[[#This Row],[Базовая сумма]]*$O$2,$C$2),IF(Данные[[#This Row],[weighted_ext_score]]&lt;$O$3,Данные[[#This Row],[Базовая сумма]]*$O$4,N367))</f>
        <v>300000</v>
      </c>
      <c r="P3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3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367" s="2">
        <f>ABS(Данные[[#This Row],[days_birth]])/365.2425</f>
        <v>52.231051972319761</v>
      </c>
      <c r="S3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367" s="2">
        <f>IF(Данные[[#This Row],[ interest_rate]]&gt;$T$1,Данные[[#This Row],[days_birth4]]*$T$2,Данные[[#This Row],[days_birth4]])</f>
        <v>453600</v>
      </c>
      <c r="U367" s="2">
        <f>IF(Данные[[#This Row],[Проверка отказа]]="отказ",0,MAX(Данные[[#This Row],[interest_rate]],$C$1))</f>
        <v>453600</v>
      </c>
      <c r="V367" s="2">
        <f>MROUND(Данные[[#This Row],[Минимум 20000]], 100)</f>
        <v>453600</v>
      </c>
    </row>
    <row r="368" spans="1:22" x14ac:dyDescent="0.25">
      <c r="A368" s="2">
        <f>'1000_заявлений'!A362</f>
        <v>360</v>
      </c>
      <c r="B368" s="4">
        <f>VALUE(SUBSTITUTE('1000_заявлений'!B362, ".", ","))</f>
        <v>0.26831871157424297</v>
      </c>
      <c r="C368" s="4">
        <f>VALUE(SUBSTITUTE('1000_заявлений'!C362, ".", ","))</f>
        <v>0.563082610718732</v>
      </c>
      <c r="D368" s="4">
        <f>VALUE(SUBSTITUTE('1000_заявлений'!D362, ".", ","))</f>
        <v>0.74355930000000003</v>
      </c>
      <c r="E368" s="4">
        <f>VALUE(SUBSTITUTE('1000_заявлений'!E362, ".", ","))</f>
        <v>0.29869332999999998</v>
      </c>
      <c r="F368" s="5">
        <f>VALUE(SUBSTITUTE('1000_заявлений'!F362, ".", ","))</f>
        <v>-2518</v>
      </c>
      <c r="G368" s="5">
        <f>VALUE(SUBSTITUTE('1000_заявлений'!G362, ".", ","))</f>
        <v>-14637</v>
      </c>
      <c r="H368" s="5">
        <f>VALUE(SUBSTITUTE('1000_заявлений'!H362, ".", ","))</f>
        <v>-4977</v>
      </c>
      <c r="I368" s="4">
        <f>VALUE(SUBSTITUTE('1000_заявлений'!I362, ".", ","))</f>
        <v>0.21129999999999999</v>
      </c>
      <c r="J368" s="4">
        <f>VALUE(SUBSTITUTE('1000_заявлений'!J362, ".", ","))</f>
        <v>18.93650311319</v>
      </c>
      <c r="K368" s="5">
        <f>VALUE(SUBSTITUTE('1000_заявлений'!K362, ".", ","))</f>
        <v>-245</v>
      </c>
      <c r="L368" s="6">
        <f>VALUE(SUBSTITUTE('1000_заявлений'!L362, ".", ","))</f>
        <v>28525.5</v>
      </c>
      <c r="M368" s="2" t="str">
        <f>IF(Данные[[#This Row],[proba]]&gt;$C$6, "отказ", "одобрение")</f>
        <v>одобрение</v>
      </c>
      <c r="N368" s="7">
        <f>IF(Данные[[#This Row],[proba]]&lt;$D$2,$C$2,IF(Данные[[#This Row],[proba]]&lt;$D$3,$C$3,IF(Данные[[#This Row],[proba]]&gt;$C$6,0,$C$4)))</f>
        <v>100000</v>
      </c>
      <c r="O368" s="2">
        <f>IF(Данные[[#This Row],[weighted_ext_score]]&gt;$O$1,MIN(Данные[[#This Row],[Базовая сумма]]*$O$2,$C$2),IF(Данные[[#This Row],[weighted_ext_score]]&lt;$O$3,Данные[[#This Row],[Базовая сумма]]*$O$4,N368))</f>
        <v>100000</v>
      </c>
      <c r="P3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368" s="2">
        <f>ABS(Данные[[#This Row],[days_birth]])/365.2425</f>
        <v>40.074744861290789</v>
      </c>
      <c r="S3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100000</v>
      </c>
      <c r="T368" s="2">
        <f>IF(Данные[[#This Row],[ interest_rate]]&gt;$T$1,Данные[[#This Row],[days_birth4]]*$T$2,Данные[[#This Row],[days_birth4]])</f>
        <v>100000</v>
      </c>
      <c r="U368" s="2">
        <f>IF(Данные[[#This Row],[Проверка отказа]]="отказ",0,MAX(Данные[[#This Row],[interest_rate]],$C$1))</f>
        <v>100000</v>
      </c>
      <c r="V368" s="2">
        <f>MROUND(Данные[[#This Row],[Минимум 20000]], 100)</f>
        <v>100000</v>
      </c>
    </row>
    <row r="369" spans="1:22" x14ac:dyDescent="0.25">
      <c r="A369" s="2">
        <f>'1000_заявлений'!A363</f>
        <v>361</v>
      </c>
      <c r="B369" s="4">
        <f>VALUE(SUBSTITUTE('1000_заявлений'!B363, ".", ","))</f>
        <v>0.20128699600310099</v>
      </c>
      <c r="C369" s="4">
        <f>VALUE(SUBSTITUTE('1000_заявлений'!C363, ".", ","))</f>
        <v>0.61749942517502299</v>
      </c>
      <c r="D369" s="4">
        <f>VALUE(SUBSTITUTE('1000_заявлений'!D363, ".", ","))</f>
        <v>0.70769936</v>
      </c>
      <c r="E369" s="4">
        <f>VALUE(SUBSTITUTE('1000_заявлений'!E363, ".", ","))</f>
        <v>0.68411379999999999</v>
      </c>
      <c r="F369" s="5">
        <f>VALUE(SUBSTITUTE('1000_заявлений'!F363, ".", ","))</f>
        <v>-6457</v>
      </c>
      <c r="G369" s="5">
        <f>VALUE(SUBSTITUTE('1000_заявлений'!G363, ".", ","))</f>
        <v>-16110</v>
      </c>
      <c r="H369" s="5">
        <f>VALUE(SUBSTITUTE('1000_заявлений'!H363, ".", ","))</f>
        <v>-4311</v>
      </c>
      <c r="I369" s="4">
        <f>VALUE(SUBSTITUTE('1000_заявлений'!I363, ".", ","))</f>
        <v>0.1744</v>
      </c>
      <c r="J369" s="4">
        <f>VALUE(SUBSTITUTE('1000_заявлений'!J363, ".", ","))</f>
        <v>3.2988185230846199</v>
      </c>
      <c r="K369" s="5">
        <f>VALUE(SUBSTITUTE('1000_заявлений'!K363, ".", ","))</f>
        <v>-367</v>
      </c>
      <c r="L369" s="6">
        <f>VALUE(SUBSTITUTE('1000_заявлений'!L363, ".", ","))</f>
        <v>15696</v>
      </c>
      <c r="M369" s="2" t="str">
        <f>IF(Данные[[#This Row],[proba]]&gt;$C$6, "отказ", "одобрение")</f>
        <v>одобрение</v>
      </c>
      <c r="N369" s="7">
        <f>IF(Данные[[#This Row],[proba]]&lt;$D$2,$C$2,IF(Данные[[#This Row],[proba]]&lt;$D$3,$C$3,IF(Данные[[#This Row],[proba]]&gt;$C$6,0,$C$4)))</f>
        <v>100000</v>
      </c>
      <c r="O369" s="2">
        <f>IF(Данные[[#This Row],[weighted_ext_score]]&gt;$O$1,MIN(Данные[[#This Row],[Базовая сумма]]*$O$2,$C$2),IF(Данные[[#This Row],[weighted_ext_score]]&lt;$O$3,Данные[[#This Row],[Базовая сумма]]*$O$4,N369))</f>
        <v>100000</v>
      </c>
      <c r="P3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369" s="2">
        <f>ABS(Данные[[#This Row],[days_birth]])/365.2425</f>
        <v>44.107681882584856</v>
      </c>
      <c r="S3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369" s="2">
        <f>IF(Данные[[#This Row],[ interest_rate]]&gt;$T$1,Данные[[#This Row],[days_birth4]]*$T$2,Данные[[#This Row],[days_birth4]])</f>
        <v>84000</v>
      </c>
      <c r="U369" s="2">
        <f>IF(Данные[[#This Row],[Проверка отказа]]="отказ",0,MAX(Данные[[#This Row],[interest_rate]],$C$1))</f>
        <v>84000</v>
      </c>
      <c r="V369" s="2">
        <f>MROUND(Данные[[#This Row],[Минимум 20000]], 100)</f>
        <v>84000</v>
      </c>
    </row>
    <row r="370" spans="1:22" x14ac:dyDescent="0.25">
      <c r="A370" s="2">
        <f>'1000_заявлений'!A364</f>
        <v>362</v>
      </c>
      <c r="B370" s="4">
        <f>VALUE(SUBSTITUTE('1000_заявлений'!B364, ".", ","))</f>
        <v>0.61733306007442901</v>
      </c>
      <c r="C370" s="4">
        <f>VALUE(SUBSTITUTE('1000_заявлений'!C364, ".", ","))</f>
        <v>0.25976300757294901</v>
      </c>
      <c r="D370" s="4">
        <f>VALUE(SUBSTITUTE('1000_заявлений'!D364, ".", ","))</f>
        <v>0.54244510000000001</v>
      </c>
      <c r="E370" s="4">
        <f>VALUE(SUBSTITUTE('1000_заявлений'!E364, ".", ","))</f>
        <v>0.19600429</v>
      </c>
      <c r="F370" s="5">
        <f>VALUE(SUBSTITUTE('1000_заявлений'!F364, ".", ","))</f>
        <v>-6050</v>
      </c>
      <c r="G370" s="5">
        <f>VALUE(SUBSTITUTE('1000_заявлений'!G364, ".", ","))</f>
        <v>-13659</v>
      </c>
      <c r="H370" s="5">
        <f>VALUE(SUBSTITUTE('1000_заявлений'!H364, ".", ","))</f>
        <v>-4403</v>
      </c>
      <c r="I370" s="4">
        <f>VALUE(SUBSTITUTE('1000_заявлений'!I364, ".", ","))</f>
        <v>0.14058000000000001</v>
      </c>
      <c r="J370" s="4">
        <f>VALUE(SUBSTITUTE('1000_заявлений'!J364, ".", ","))</f>
        <v>4.2466283018955204</v>
      </c>
      <c r="K370" s="5">
        <f>VALUE(SUBSTITUTE('1000_заявлений'!K364, ".", ","))</f>
        <v>-522</v>
      </c>
      <c r="L370" s="6">
        <f>VALUE(SUBSTITUTE('1000_заявлений'!L364, ".", ","))</f>
        <v>31630.5</v>
      </c>
      <c r="M370" s="2" t="str">
        <f>IF(Данные[[#This Row],[proba]]&gt;$C$6, "отказ", "одобрение")</f>
        <v>отказ</v>
      </c>
      <c r="N370" s="7">
        <f>IF(Данные[[#This Row],[proba]]&lt;$D$2,$C$2,IF(Данные[[#This Row],[proba]]&lt;$D$3,$C$3,IF(Данные[[#This Row],[proba]]&gt;$C$6,0,$C$4)))</f>
        <v>0</v>
      </c>
      <c r="O370" s="2">
        <f>IF(Данные[[#This Row],[weighted_ext_score]]&gt;$O$1,MIN(Данные[[#This Row],[Базовая сумма]]*$O$2,$C$2),IF(Данные[[#This Row],[weighted_ext_score]]&lt;$O$3,Данные[[#This Row],[Базовая сумма]]*$O$4,N370))</f>
        <v>0</v>
      </c>
      <c r="P3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0" s="2">
        <f>ABS(Данные[[#This Row],[days_birth]])/365.2425</f>
        <v>37.397071808456026</v>
      </c>
      <c r="S3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0" s="2">
        <f>IF(Данные[[#This Row],[ interest_rate]]&gt;$T$1,Данные[[#This Row],[days_birth4]]*$T$2,Данные[[#This Row],[days_birth4]])</f>
        <v>0</v>
      </c>
      <c r="U370" s="2">
        <f>IF(Данные[[#This Row],[Проверка отказа]]="отказ",0,MAX(Данные[[#This Row],[interest_rate]],$C$1))</f>
        <v>0</v>
      </c>
      <c r="V370" s="2">
        <f>MROUND(Данные[[#This Row],[Минимум 20000]], 100)</f>
        <v>0</v>
      </c>
    </row>
    <row r="371" spans="1:22" x14ac:dyDescent="0.25">
      <c r="A371" s="2">
        <f>'1000_заявлений'!A365</f>
        <v>363</v>
      </c>
      <c r="B371" s="4">
        <f>VALUE(SUBSTITUTE('1000_заявлений'!B365, ".", ","))</f>
        <v>0.207544014254397</v>
      </c>
      <c r="C371" s="4">
        <f>VALUE(SUBSTITUTE('1000_заявлений'!C365, ".", ","))</f>
        <v>0.45240198392290099</v>
      </c>
      <c r="D371" s="4">
        <f>VALUE(SUBSTITUTE('1000_заявлений'!D365, ".", ","))</f>
        <v>0.59197664000000005</v>
      </c>
      <c r="E371" s="4">
        <f>VALUE(SUBSTITUTE('1000_заявлений'!E365, ".", ","))</f>
        <v>0.73465279999999999</v>
      </c>
      <c r="F371" s="5">
        <f>VALUE(SUBSTITUTE('1000_заявлений'!F365, ".", ","))</f>
        <v>-7020</v>
      </c>
      <c r="G371" s="5">
        <f>VALUE(SUBSTITUTE('1000_заявлений'!G365, ".", ","))</f>
        <v>-23721</v>
      </c>
      <c r="H371" s="5">
        <f>VALUE(SUBSTITUTE('1000_заявлений'!H365, ".", ","))</f>
        <v>-4339</v>
      </c>
      <c r="I371" s="4">
        <f>VALUE(SUBSTITUTE('1000_заявлений'!I365, ".", ","))</f>
        <v>0.28510000000000002</v>
      </c>
      <c r="J371" s="4">
        <f>VALUE(SUBSTITUTE('1000_заявлений'!J365, ".", ","))</f>
        <v>5.27077595625145</v>
      </c>
      <c r="K371" s="5">
        <f>VALUE(SUBSTITUTE('1000_заявлений'!K365, ".", ","))</f>
        <v>365243</v>
      </c>
      <c r="L371" s="6">
        <f>VALUE(SUBSTITUTE('1000_заявлений'!L365, ".", ","))</f>
        <v>64147.5</v>
      </c>
      <c r="M371" s="2" t="str">
        <f>IF(Данные[[#This Row],[proba]]&gt;$C$6, "отказ", "одобрение")</f>
        <v>одобрение</v>
      </c>
      <c r="N371" s="7">
        <f>IF(Данные[[#This Row],[proba]]&lt;$D$2,$C$2,IF(Данные[[#This Row],[proba]]&lt;$D$3,$C$3,IF(Данные[[#This Row],[proba]]&gt;$C$6,0,$C$4)))</f>
        <v>100000</v>
      </c>
      <c r="O371" s="2">
        <f>IF(Данные[[#This Row],[weighted_ext_score]]&gt;$O$1,MIN(Данные[[#This Row],[Базовая сумма]]*$O$2,$C$2),IF(Данные[[#This Row],[weighted_ext_score]]&lt;$O$3,Данные[[#This Row],[Базовая сумма]]*$O$4,N371))</f>
        <v>100000</v>
      </c>
      <c r="P3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371" s="2">
        <f>ABS(Данные[[#This Row],[days_birth]])/365.2425</f>
        <v>64.945892112774388</v>
      </c>
      <c r="S3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371" s="2">
        <f>IF(Данные[[#This Row],[ interest_rate]]&gt;$T$1,Данные[[#This Row],[days_birth4]]*$T$2,Данные[[#This Row],[days_birth4]])</f>
        <v>105000</v>
      </c>
      <c r="U371" s="2">
        <f>IF(Данные[[#This Row],[Проверка отказа]]="отказ",0,MAX(Данные[[#This Row],[interest_rate]],$C$1))</f>
        <v>105000</v>
      </c>
      <c r="V371" s="2">
        <f>MROUND(Данные[[#This Row],[Минимум 20000]], 100)</f>
        <v>105000</v>
      </c>
    </row>
    <row r="372" spans="1:22" x14ac:dyDescent="0.25">
      <c r="A372" s="2">
        <f>'1000_заявлений'!A366</f>
        <v>364</v>
      </c>
      <c r="B372" s="4">
        <f>VALUE(SUBSTITUTE('1000_заявлений'!B366, ".", ","))</f>
        <v>0.291839110046274</v>
      </c>
      <c r="C372" s="4">
        <f>VALUE(SUBSTITUTE('1000_заявлений'!C366, ".", ","))</f>
        <v>0.46055175021959699</v>
      </c>
      <c r="D372" s="4">
        <f>VALUE(SUBSTITUTE('1000_заявлений'!D366, ".", ","))</f>
        <v>0.69255906</v>
      </c>
      <c r="E372" s="4">
        <f>VALUE(SUBSTITUTE('1000_заявлений'!E366, ".", ","))</f>
        <v>0.64763230000000005</v>
      </c>
      <c r="F372" s="5">
        <f>VALUE(SUBSTITUTE('1000_заявлений'!F366, ".", ","))</f>
        <v>-1160</v>
      </c>
      <c r="G372" s="5">
        <f>VALUE(SUBSTITUTE('1000_заявлений'!G366, ".", ","))</f>
        <v>-12099</v>
      </c>
      <c r="H372" s="5">
        <f>VALUE(SUBSTITUTE('1000_заявлений'!H366, ".", ","))</f>
        <v>-1180</v>
      </c>
      <c r="I372" s="4">
        <f>VALUE(SUBSTITUTE('1000_заявлений'!I366, ".", ","))</f>
        <v>7.46705882352941E-2</v>
      </c>
      <c r="J372" s="4">
        <f>VALUE(SUBSTITUTE('1000_заявлений'!J366, ".", ","))</f>
        <v>4.2509400269249804</v>
      </c>
      <c r="K372" s="5">
        <f>VALUE(SUBSTITUTE('1000_заявлений'!K366, ".", ","))</f>
        <v>-4613</v>
      </c>
      <c r="L372" s="6">
        <f>VALUE(SUBSTITUTE('1000_заявлений'!L366, ".", ","))</f>
        <v>28561.5</v>
      </c>
      <c r="M372" s="2" t="str">
        <f>IF(Данные[[#This Row],[proba]]&gt;$C$6, "отказ", "одобрение")</f>
        <v>одобрение</v>
      </c>
      <c r="N372" s="7">
        <f>IF(Данные[[#This Row],[proba]]&lt;$D$2,$C$2,IF(Данные[[#This Row],[proba]]&lt;$D$3,$C$3,IF(Данные[[#This Row],[proba]]&gt;$C$6,0,$C$4)))</f>
        <v>100000</v>
      </c>
      <c r="O372" s="2">
        <f>IF(Данные[[#This Row],[weighted_ext_score]]&gt;$O$1,MIN(Данные[[#This Row],[Базовая сумма]]*$O$2,$C$2),IF(Данные[[#This Row],[weighted_ext_score]]&lt;$O$3,Данные[[#This Row],[Базовая сумма]]*$O$4,N372))</f>
        <v>100000</v>
      </c>
      <c r="P3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372" s="2">
        <f>ABS(Данные[[#This Row],[days_birth]])/365.2425</f>
        <v>33.125936877553954</v>
      </c>
      <c r="S3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372" s="2">
        <f>IF(Данные[[#This Row],[ interest_rate]]&gt;$T$1,Данные[[#This Row],[days_birth4]]*$T$2,Данные[[#This Row],[days_birth4]])</f>
        <v>144000</v>
      </c>
      <c r="U372" s="2">
        <f>IF(Данные[[#This Row],[Проверка отказа]]="отказ",0,MAX(Данные[[#This Row],[interest_rate]],$C$1))</f>
        <v>144000</v>
      </c>
      <c r="V372" s="2">
        <f>MROUND(Данные[[#This Row],[Минимум 20000]], 100)</f>
        <v>144000</v>
      </c>
    </row>
    <row r="373" spans="1:22" x14ac:dyDescent="0.25">
      <c r="A373" s="2">
        <f>'1000_заявлений'!A367</f>
        <v>365</v>
      </c>
      <c r="B373" s="4">
        <f>VALUE(SUBSTITUTE('1000_заявлений'!B367, ".", ","))</f>
        <v>0.38516831388988199</v>
      </c>
      <c r="C373" s="4">
        <f>VALUE(SUBSTITUTE('1000_заявлений'!C367, ".", ","))</f>
        <v>0.601660458421583</v>
      </c>
      <c r="D373" s="4">
        <f>VALUE(SUBSTITUTE('1000_заявлений'!D367, ".", ","))</f>
        <v>0.45610972999999999</v>
      </c>
      <c r="E373" s="4">
        <f>VALUE(SUBSTITUTE('1000_заявлений'!E367, ".", ","))</f>
        <v>0.56019425</v>
      </c>
      <c r="F373" s="5">
        <f>VALUE(SUBSTITUTE('1000_заявлений'!F367, ".", ","))</f>
        <v>-1847</v>
      </c>
      <c r="G373" s="5">
        <f>VALUE(SUBSTITUTE('1000_заявлений'!G367, ".", ","))</f>
        <v>-16624</v>
      </c>
      <c r="H373" s="5">
        <f>VALUE(SUBSTITUTE('1000_заявлений'!H367, ".", ","))</f>
        <v>-168</v>
      </c>
      <c r="I373" s="4">
        <f>VALUE(SUBSTITUTE('1000_заявлений'!I367, ".", ","))</f>
        <v>0.23050000000000001</v>
      </c>
      <c r="J373" s="4">
        <f>VALUE(SUBSTITUTE('1000_заявлений'!J367, ".", ","))</f>
        <v>0.78686338583926396</v>
      </c>
      <c r="K373" s="5">
        <f>VALUE(SUBSTITUTE('1000_заявлений'!K367, ".", ","))</f>
        <v>-3848</v>
      </c>
      <c r="L373" s="6">
        <f>VALUE(SUBSTITUTE('1000_заявлений'!L367, ".", ","))</f>
        <v>72607.5</v>
      </c>
      <c r="M373" s="2" t="str">
        <f>IF(Данные[[#This Row],[proba]]&gt;$C$6, "отказ", "одобрение")</f>
        <v>отказ</v>
      </c>
      <c r="N373" s="7">
        <f>IF(Данные[[#This Row],[proba]]&lt;$D$2,$C$2,IF(Данные[[#This Row],[proba]]&lt;$D$3,$C$3,IF(Данные[[#This Row],[proba]]&gt;$C$6,0,$C$4)))</f>
        <v>0</v>
      </c>
      <c r="O373" s="2">
        <f>IF(Данные[[#This Row],[weighted_ext_score]]&gt;$O$1,MIN(Данные[[#This Row],[Базовая сумма]]*$O$2,$C$2),IF(Данные[[#This Row],[weighted_ext_score]]&lt;$O$3,Данные[[#This Row],[Базовая сумма]]*$O$4,N373))</f>
        <v>0</v>
      </c>
      <c r="P3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3" s="2">
        <f>ABS(Данные[[#This Row],[days_birth]])/365.2425</f>
        <v>45.514966084176947</v>
      </c>
      <c r="S3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3" s="2">
        <f>IF(Данные[[#This Row],[ interest_rate]]&gt;$T$1,Данные[[#This Row],[days_birth4]]*$T$2,Данные[[#This Row],[days_birth4]])</f>
        <v>0</v>
      </c>
      <c r="U373" s="2">
        <f>IF(Данные[[#This Row],[Проверка отказа]]="отказ",0,MAX(Данные[[#This Row],[interest_rate]],$C$1))</f>
        <v>0</v>
      </c>
      <c r="V373" s="2">
        <f>MROUND(Данные[[#This Row],[Минимум 20000]], 100)</f>
        <v>0</v>
      </c>
    </row>
    <row r="374" spans="1:22" x14ac:dyDescent="0.25">
      <c r="A374" s="2">
        <f>'1000_заявлений'!A368</f>
        <v>366</v>
      </c>
      <c r="B374" s="4">
        <f>VALUE(SUBSTITUTE('1000_заявлений'!B368, ".", ","))</f>
        <v>0.31593906723082399</v>
      </c>
      <c r="C374" s="4">
        <f>VALUE(SUBSTITUTE('1000_заявлений'!C368, ".", ","))</f>
        <v>0.57019832872155496</v>
      </c>
      <c r="D374" s="4">
        <f>VALUE(SUBSTITUTE('1000_заявлений'!D368, ".", ","))</f>
        <v>0.56028429999999996</v>
      </c>
      <c r="E374" s="4">
        <f>VALUE(SUBSTITUTE('1000_заявлений'!E368, ".", ","))</f>
        <v>0.66939145</v>
      </c>
      <c r="F374" s="5">
        <f>VALUE(SUBSTITUTE('1000_заявлений'!F368, ".", ","))</f>
        <v>-5726</v>
      </c>
      <c r="G374" s="5">
        <f>VALUE(SUBSTITUTE('1000_заявлений'!G368, ".", ","))</f>
        <v>-15205</v>
      </c>
      <c r="H374" s="5">
        <f>VALUE(SUBSTITUTE('1000_заявлений'!H368, ".", ","))</f>
        <v>-4291</v>
      </c>
      <c r="I374" s="4">
        <f>VALUE(SUBSTITUTE('1000_заявлений'!I368, ".", ","))</f>
        <v>0.26245000000000002</v>
      </c>
      <c r="J374" s="4">
        <f>VALUE(SUBSTITUTE('1000_заявлений'!J368, ".", ","))</f>
        <v>0.927702820584275</v>
      </c>
      <c r="K374" s="5">
        <f>VALUE(SUBSTITUTE('1000_заявлений'!K368, ".", ","))</f>
        <v>-3171</v>
      </c>
      <c r="L374" s="6">
        <f>VALUE(SUBSTITUTE('1000_заявлений'!L368, ".", ","))</f>
        <v>23620.5</v>
      </c>
      <c r="M374" s="2" t="str">
        <f>IF(Данные[[#This Row],[proba]]&gt;$C$6, "отказ", "одобрение")</f>
        <v>отказ</v>
      </c>
      <c r="N374" s="7">
        <f>IF(Данные[[#This Row],[proba]]&lt;$D$2,$C$2,IF(Данные[[#This Row],[proba]]&lt;$D$3,$C$3,IF(Данные[[#This Row],[proba]]&gt;$C$6,0,$C$4)))</f>
        <v>0</v>
      </c>
      <c r="O374" s="2">
        <f>IF(Данные[[#This Row],[weighted_ext_score]]&gt;$O$1,MIN(Данные[[#This Row],[Базовая сумма]]*$O$2,$C$2),IF(Данные[[#This Row],[weighted_ext_score]]&lt;$O$3,Данные[[#This Row],[Базовая сумма]]*$O$4,N374))</f>
        <v>0</v>
      </c>
      <c r="P3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4" s="2">
        <f>ABS(Данные[[#This Row],[days_birth]])/365.2425</f>
        <v>41.62987604126026</v>
      </c>
      <c r="S3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4" s="2">
        <f>IF(Данные[[#This Row],[ interest_rate]]&gt;$T$1,Данные[[#This Row],[days_birth4]]*$T$2,Данные[[#This Row],[days_birth4]])</f>
        <v>0</v>
      </c>
      <c r="U374" s="2">
        <f>IF(Данные[[#This Row],[Проверка отказа]]="отказ",0,MAX(Данные[[#This Row],[interest_rate]],$C$1))</f>
        <v>0</v>
      </c>
      <c r="V374" s="2">
        <f>MROUND(Данные[[#This Row],[Минимум 20000]], 100)</f>
        <v>0</v>
      </c>
    </row>
    <row r="375" spans="1:22" x14ac:dyDescent="0.25">
      <c r="A375" s="2">
        <f>'1000_заявлений'!A369</f>
        <v>367</v>
      </c>
      <c r="B375" s="4">
        <f>VALUE(SUBSTITUTE('1000_заявлений'!B369, ".", ","))</f>
        <v>0.47856382043795898</v>
      </c>
      <c r="C375" s="4">
        <f>VALUE(SUBSTITUTE('1000_заявлений'!C369, ".", ","))</f>
        <v>0.353544586721037</v>
      </c>
      <c r="D375" s="4">
        <f>VALUE(SUBSTITUTE('1000_заявлений'!D369, ".", ","))</f>
        <v>0.42765736999999998</v>
      </c>
      <c r="E375" s="4">
        <f>VALUE(SUBSTITUTE('1000_заявлений'!E369, ".", ","))</f>
        <v>0.61310047000000001</v>
      </c>
      <c r="F375" s="5">
        <f>VALUE(SUBSTITUTE('1000_заявлений'!F369, ".", ","))</f>
        <v>-5948</v>
      </c>
      <c r="G375" s="5">
        <f>VALUE(SUBSTITUTE('1000_заявлений'!G369, ".", ","))</f>
        <v>-12362</v>
      </c>
      <c r="H375" s="5">
        <f>VALUE(SUBSTITUTE('1000_заявлений'!H369, ".", ","))</f>
        <v>-3765</v>
      </c>
      <c r="I375" s="4">
        <f>VALUE(SUBSTITUTE('1000_заявлений'!I369, ".", ","))</f>
        <v>0.11517142857142799</v>
      </c>
      <c r="J375" s="4">
        <f>VALUE(SUBSTITUTE('1000_заявлений'!J369, ".", ","))</f>
        <v>4.22022866204692</v>
      </c>
      <c r="K375" s="5">
        <f>VALUE(SUBSTITUTE('1000_заявлений'!K369, ".", ","))</f>
        <v>-4076</v>
      </c>
      <c r="L375" s="6">
        <f>VALUE(SUBSTITUTE('1000_заявлений'!L369, ".", ","))</f>
        <v>18139.5</v>
      </c>
      <c r="M375" s="2" t="str">
        <f>IF(Данные[[#This Row],[proba]]&gt;$C$6, "отказ", "одобрение")</f>
        <v>отказ</v>
      </c>
      <c r="N375" s="7">
        <f>IF(Данные[[#This Row],[proba]]&lt;$D$2,$C$2,IF(Данные[[#This Row],[proba]]&lt;$D$3,$C$3,IF(Данные[[#This Row],[proba]]&gt;$C$6,0,$C$4)))</f>
        <v>0</v>
      </c>
      <c r="O375" s="2">
        <f>IF(Данные[[#This Row],[weighted_ext_score]]&gt;$O$1,MIN(Данные[[#This Row],[Базовая сумма]]*$O$2,$C$2),IF(Данные[[#This Row],[weighted_ext_score]]&lt;$O$3,Данные[[#This Row],[Базовая сумма]]*$O$4,N375))</f>
        <v>0</v>
      </c>
      <c r="P3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5" s="2">
        <f>ABS(Данные[[#This Row],[days_birth]])/365.2425</f>
        <v>33.84600642039193</v>
      </c>
      <c r="S3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5" s="2">
        <f>IF(Данные[[#This Row],[ interest_rate]]&gt;$T$1,Данные[[#This Row],[days_birth4]]*$T$2,Данные[[#This Row],[days_birth4]])</f>
        <v>0</v>
      </c>
      <c r="U375" s="2">
        <f>IF(Данные[[#This Row],[Проверка отказа]]="отказ",0,MAX(Данные[[#This Row],[interest_rate]],$C$1))</f>
        <v>0</v>
      </c>
      <c r="V375" s="2">
        <f>MROUND(Данные[[#This Row],[Минимум 20000]], 100)</f>
        <v>0</v>
      </c>
    </row>
    <row r="376" spans="1:22" x14ac:dyDescent="0.25">
      <c r="A376" s="2">
        <f>'1000_заявлений'!A370</f>
        <v>368</v>
      </c>
      <c r="B376" s="4">
        <f>VALUE(SUBSTITUTE('1000_заявлений'!B370, ".", ","))</f>
        <v>0.31603511597652501</v>
      </c>
      <c r="C376" s="4">
        <f>VALUE(SUBSTITUTE('1000_заявлений'!C370, ".", ","))</f>
        <v>0.61311444818578298</v>
      </c>
      <c r="D376" s="4">
        <f>VALUE(SUBSTITUTE('1000_заявлений'!D370, ".", ","))</f>
        <v>0.6986675</v>
      </c>
      <c r="E376" s="4">
        <f>VALUE(SUBSTITUTE('1000_заявлений'!E370, ".", ","))</f>
        <v>0.51814400000000005</v>
      </c>
      <c r="F376" s="5">
        <f>VALUE(SUBSTITUTE('1000_заявлений'!F370, ".", ","))</f>
        <v>-226</v>
      </c>
      <c r="G376" s="5">
        <f>VALUE(SUBSTITUTE('1000_заявлений'!G370, ".", ","))</f>
        <v>-15685</v>
      </c>
      <c r="H376" s="5">
        <f>VALUE(SUBSTITUTE('1000_заявлений'!H370, ".", ","))</f>
        <v>-4530</v>
      </c>
      <c r="I376" s="4">
        <f>VALUE(SUBSTITUTE('1000_заявлений'!I370, ".", ","))</f>
        <v>0.34793333333333298</v>
      </c>
      <c r="J376" s="4">
        <f>VALUE(SUBSTITUTE('1000_заявлений'!J370, ".", ","))</f>
        <v>0.19084088600462801</v>
      </c>
      <c r="K376" s="5">
        <f>VALUE(SUBSTITUTE('1000_заявлений'!K370, ".", ","))</f>
        <v>-1263</v>
      </c>
      <c r="L376" s="6">
        <f>VALUE(SUBSTITUTE('1000_заявлений'!L370, ".", ","))</f>
        <v>23485.5</v>
      </c>
      <c r="M376" s="2" t="str">
        <f>IF(Данные[[#This Row],[proba]]&gt;$C$6, "отказ", "одобрение")</f>
        <v>отказ</v>
      </c>
      <c r="N376" s="7">
        <f>IF(Данные[[#This Row],[proba]]&lt;$D$2,$C$2,IF(Данные[[#This Row],[proba]]&lt;$D$3,$C$3,IF(Данные[[#This Row],[proba]]&gt;$C$6,0,$C$4)))</f>
        <v>0</v>
      </c>
      <c r="O376" s="2">
        <f>IF(Данные[[#This Row],[weighted_ext_score]]&gt;$O$1,MIN(Данные[[#This Row],[Базовая сумма]]*$O$2,$C$2),IF(Данные[[#This Row],[weighted_ext_score]]&lt;$O$3,Данные[[#This Row],[Базовая сумма]]*$O$4,N376))</f>
        <v>0</v>
      </c>
      <c r="P3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6" s="2">
        <f>ABS(Данные[[#This Row],[days_birth]])/365.2425</f>
        <v>42.944071404614739</v>
      </c>
      <c r="S3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6" s="2">
        <f>IF(Данные[[#This Row],[ interest_rate]]&gt;$T$1,Данные[[#This Row],[days_birth4]]*$T$2,Данные[[#This Row],[days_birth4]])</f>
        <v>0</v>
      </c>
      <c r="U376" s="2">
        <f>IF(Данные[[#This Row],[Проверка отказа]]="отказ",0,MAX(Данные[[#This Row],[interest_rate]],$C$1))</f>
        <v>0</v>
      </c>
      <c r="V376" s="2">
        <f>MROUND(Данные[[#This Row],[Минимум 20000]], 100)</f>
        <v>0</v>
      </c>
    </row>
    <row r="377" spans="1:22" x14ac:dyDescent="0.25">
      <c r="A377" s="2">
        <f>'1000_заявлений'!A371</f>
        <v>369</v>
      </c>
      <c r="B377" s="4">
        <f>VALUE(SUBSTITUTE('1000_заявлений'!B371, ".", ","))</f>
        <v>0.52455812158894699</v>
      </c>
      <c r="C377" s="4">
        <f>VALUE(SUBSTITUTE('1000_заявлений'!C371, ".", ","))</f>
        <v>0.32634633137091801</v>
      </c>
      <c r="D377" s="4">
        <f>VALUE(SUBSTITUTE('1000_заявлений'!D371, ".", ","))</f>
        <v>0.832785</v>
      </c>
      <c r="E377" s="4">
        <f>VALUE(SUBSTITUTE('1000_заявлений'!E371, ".", ","))</f>
        <v>7.755368E-2</v>
      </c>
      <c r="F377" s="5">
        <f>VALUE(SUBSTITUTE('1000_заявлений'!F371, ".", ","))</f>
        <v>-1132</v>
      </c>
      <c r="G377" s="5">
        <f>VALUE(SUBSTITUTE('1000_заявлений'!G371, ".", ","))</f>
        <v>-17241</v>
      </c>
      <c r="H377" s="5">
        <f>VALUE(SUBSTITUTE('1000_заявлений'!H371, ".", ","))</f>
        <v>-723</v>
      </c>
      <c r="I377" s="4">
        <f>VALUE(SUBSTITUTE('1000_заявлений'!I371, ".", ","))</f>
        <v>0.1961</v>
      </c>
      <c r="J377" s="4">
        <f>VALUE(SUBSTITUTE('1000_заявлений'!J371, ".", ","))</f>
        <v>2.7177373291227198</v>
      </c>
      <c r="K377" s="5">
        <f>VALUE(SUBSTITUTE('1000_заявлений'!K371, ".", ","))</f>
        <v>-1235</v>
      </c>
      <c r="L377" s="6">
        <f>VALUE(SUBSTITUTE('1000_заявлений'!L371, ".", ","))</f>
        <v>26473.5</v>
      </c>
      <c r="M377" s="2" t="str">
        <f>IF(Данные[[#This Row],[proba]]&gt;$C$6, "отказ", "одобрение")</f>
        <v>отказ</v>
      </c>
      <c r="N377" s="7">
        <f>IF(Данные[[#This Row],[proba]]&lt;$D$2,$C$2,IF(Данные[[#This Row],[proba]]&lt;$D$3,$C$3,IF(Данные[[#This Row],[proba]]&gt;$C$6,0,$C$4)))</f>
        <v>0</v>
      </c>
      <c r="O377" s="2">
        <f>IF(Данные[[#This Row],[weighted_ext_score]]&gt;$O$1,MIN(Данные[[#This Row],[Базовая сумма]]*$O$2,$C$2),IF(Данные[[#This Row],[weighted_ext_score]]&lt;$O$3,Данные[[#This Row],[Базовая сумма]]*$O$4,N377))</f>
        <v>0</v>
      </c>
      <c r="P3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7" s="2">
        <f>ABS(Данные[[#This Row],[days_birth]])/365.2425</f>
        <v>47.204254707488857</v>
      </c>
      <c r="S3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7" s="2">
        <f>IF(Данные[[#This Row],[ interest_rate]]&gt;$T$1,Данные[[#This Row],[days_birth4]]*$T$2,Данные[[#This Row],[days_birth4]])</f>
        <v>0</v>
      </c>
      <c r="U377" s="2">
        <f>IF(Данные[[#This Row],[Проверка отказа]]="отказ",0,MAX(Данные[[#This Row],[interest_rate]],$C$1))</f>
        <v>0</v>
      </c>
      <c r="V377" s="2">
        <f>MROUND(Данные[[#This Row],[Минимум 20000]], 100)</f>
        <v>0</v>
      </c>
    </row>
    <row r="378" spans="1:22" x14ac:dyDescent="0.25">
      <c r="A378" s="2">
        <f>'1000_заявлений'!A372</f>
        <v>370</v>
      </c>
      <c r="B378" s="4">
        <f>VALUE(SUBSTITUTE('1000_заявлений'!B372, ".", ","))</f>
        <v>0.509866684848304</v>
      </c>
      <c r="C378" s="4">
        <f>VALUE(SUBSTITUTE('1000_заявлений'!C372, ".", ","))</f>
        <v>0.327266622409426</v>
      </c>
      <c r="D378" s="4">
        <f>VALUE(SUBSTITUTE('1000_заявлений'!D372, ".", ","))</f>
        <v>0.30314636</v>
      </c>
      <c r="E378" s="4">
        <f>VALUE(SUBSTITUTE('1000_заявлений'!E372, ".", ","))</f>
        <v>0.67091405000000004</v>
      </c>
      <c r="F378" s="5">
        <f>VALUE(SUBSTITUTE('1000_заявлений'!F372, ".", ","))</f>
        <v>-8965</v>
      </c>
      <c r="G378" s="5">
        <f>VALUE(SUBSTITUTE('1000_заявлений'!G372, ".", ","))</f>
        <v>-20837</v>
      </c>
      <c r="H378" s="5">
        <f>VALUE(SUBSTITUTE('1000_заявлений'!H372, ".", ","))</f>
        <v>-4108</v>
      </c>
      <c r="I378" s="4">
        <f>VALUE(SUBSTITUTE('1000_заявлений'!I372, ".", ","))</f>
        <v>0.21412</v>
      </c>
      <c r="J378" s="4">
        <f>VALUE(SUBSTITUTE('1000_заявлений'!J372, ".", ","))</f>
        <v>1.9249556558857699</v>
      </c>
      <c r="K378" s="5">
        <f>VALUE(SUBSTITUTE('1000_заявлений'!K372, ".", ","))</f>
        <v>-1840</v>
      </c>
      <c r="L378" s="6">
        <f>VALUE(SUBSTITUTE('1000_заявлений'!L372, ".", ","))</f>
        <v>24088.5</v>
      </c>
      <c r="M378" s="2" t="str">
        <f>IF(Данные[[#This Row],[proba]]&gt;$C$6, "отказ", "одобрение")</f>
        <v>отказ</v>
      </c>
      <c r="N378" s="7">
        <f>IF(Данные[[#This Row],[proba]]&lt;$D$2,$C$2,IF(Данные[[#This Row],[proba]]&lt;$D$3,$C$3,IF(Данные[[#This Row],[proba]]&gt;$C$6,0,$C$4)))</f>
        <v>0</v>
      </c>
      <c r="O378" s="2">
        <f>IF(Данные[[#This Row],[weighted_ext_score]]&gt;$O$1,MIN(Данные[[#This Row],[Базовая сумма]]*$O$2,$C$2),IF(Данные[[#This Row],[weighted_ext_score]]&lt;$O$3,Данные[[#This Row],[Базовая сумма]]*$O$4,N378))</f>
        <v>0</v>
      </c>
      <c r="P3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8" s="2">
        <f>ABS(Данные[[#This Row],[days_birth]])/365.2425</f>
        <v>57.049768304619533</v>
      </c>
      <c r="S3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8" s="2">
        <f>IF(Данные[[#This Row],[ interest_rate]]&gt;$T$1,Данные[[#This Row],[days_birth4]]*$T$2,Данные[[#This Row],[days_birth4]])</f>
        <v>0</v>
      </c>
      <c r="U378" s="2">
        <f>IF(Данные[[#This Row],[Проверка отказа]]="отказ",0,MAX(Данные[[#This Row],[interest_rate]],$C$1))</f>
        <v>0</v>
      </c>
      <c r="V378" s="2">
        <f>MROUND(Данные[[#This Row],[Минимум 20000]], 100)</f>
        <v>0</v>
      </c>
    </row>
    <row r="379" spans="1:22" x14ac:dyDescent="0.25">
      <c r="A379" s="2">
        <f>'1000_заявлений'!A373</f>
        <v>371</v>
      </c>
      <c r="B379" s="4">
        <f>VALUE(SUBSTITUTE('1000_заявлений'!B373, ".", ","))</f>
        <v>0.48457701572502698</v>
      </c>
      <c r="C379" s="4">
        <f>VALUE(SUBSTITUTE('1000_заявлений'!C373, ".", ","))</f>
        <v>0.33987698958880502</v>
      </c>
      <c r="D379" s="4">
        <f>VALUE(SUBSTITUTE('1000_заявлений'!D373, ".", ","))</f>
        <v>0.41534715999999999</v>
      </c>
      <c r="E379" s="4">
        <f>VALUE(SUBSTITUTE('1000_заявлений'!E373, ".", ","))</f>
        <v>0.58469086999999997</v>
      </c>
      <c r="F379" s="5">
        <f>VALUE(SUBSTITUTE('1000_заявлений'!F373, ".", ","))</f>
        <v>-3880</v>
      </c>
      <c r="G379" s="5">
        <f>VALUE(SUBSTITUTE('1000_заявлений'!G373, ".", ","))</f>
        <v>-17470</v>
      </c>
      <c r="H379" s="5">
        <f>VALUE(SUBSTITUTE('1000_заявлений'!H373, ".", ","))</f>
        <v>-1003</v>
      </c>
      <c r="I379" s="4">
        <f>VALUE(SUBSTITUTE('1000_заявлений'!I373, ".", ","))</f>
        <v>9.0399999999999994E-2</v>
      </c>
      <c r="J379" s="4">
        <f>VALUE(SUBSTITUTE('1000_заявлений'!J373, ".", ","))</f>
        <v>6.6680277189273296</v>
      </c>
      <c r="K379" s="5">
        <f>VALUE(SUBSTITUTE('1000_заявлений'!K373, ".", ","))</f>
        <v>-2904</v>
      </c>
      <c r="L379" s="6">
        <f>VALUE(SUBSTITUTE('1000_заявлений'!L373, ".", ","))</f>
        <v>12204</v>
      </c>
      <c r="M379" s="2" t="str">
        <f>IF(Данные[[#This Row],[proba]]&gt;$C$6, "отказ", "одобрение")</f>
        <v>отказ</v>
      </c>
      <c r="N379" s="7">
        <f>IF(Данные[[#This Row],[proba]]&lt;$D$2,$C$2,IF(Данные[[#This Row],[proba]]&lt;$D$3,$C$3,IF(Данные[[#This Row],[proba]]&gt;$C$6,0,$C$4)))</f>
        <v>0</v>
      </c>
      <c r="O379" s="2">
        <f>IF(Данные[[#This Row],[weighted_ext_score]]&gt;$O$1,MIN(Данные[[#This Row],[Базовая сумма]]*$O$2,$C$2),IF(Данные[[#This Row],[weighted_ext_score]]&lt;$O$3,Данные[[#This Row],[Базовая сумма]]*$O$4,N379))</f>
        <v>0</v>
      </c>
      <c r="P3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79" s="2">
        <f>ABS(Данные[[#This Row],[days_birth]])/365.2425</f>
        <v>47.831235412089228</v>
      </c>
      <c r="S3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79" s="2">
        <f>IF(Данные[[#This Row],[ interest_rate]]&gt;$T$1,Данные[[#This Row],[days_birth4]]*$T$2,Данные[[#This Row],[days_birth4]])</f>
        <v>0</v>
      </c>
      <c r="U379" s="2">
        <f>IF(Данные[[#This Row],[Проверка отказа]]="отказ",0,MAX(Данные[[#This Row],[interest_rate]],$C$1))</f>
        <v>0</v>
      </c>
      <c r="V379" s="2">
        <f>MROUND(Данные[[#This Row],[Минимум 20000]], 100)</f>
        <v>0</v>
      </c>
    </row>
    <row r="380" spans="1:22" x14ac:dyDescent="0.25">
      <c r="A380" s="2">
        <f>'1000_заявлений'!A374</f>
        <v>372</v>
      </c>
      <c r="B380" s="4">
        <f>VALUE(SUBSTITUTE('1000_заявлений'!B374, ".", ","))</f>
        <v>0.38660616138953002</v>
      </c>
      <c r="C380" s="4">
        <f>VALUE(SUBSTITUTE('1000_заявлений'!C374, ".", ","))</f>
        <v>0.51712376722170195</v>
      </c>
      <c r="D380" s="4">
        <f>VALUE(SUBSTITUTE('1000_заявлений'!D374, ".", ","))</f>
        <v>0.52269730000000003</v>
      </c>
      <c r="E380" s="4">
        <f>VALUE(SUBSTITUTE('1000_заявлений'!E374, ".", ","))</f>
        <v>0.52909110000000004</v>
      </c>
      <c r="F380" s="5">
        <f>VALUE(SUBSTITUTE('1000_заявлений'!F374, ".", ","))</f>
        <v>-6615</v>
      </c>
      <c r="G380" s="5">
        <f>VALUE(SUBSTITUTE('1000_заявлений'!G374, ".", ","))</f>
        <v>-12565</v>
      </c>
      <c r="H380" s="5">
        <f>VALUE(SUBSTITUTE('1000_заявлений'!H374, ".", ","))</f>
        <v>-4008</v>
      </c>
      <c r="I380" s="4">
        <f>VALUE(SUBSTITUTE('1000_заявлений'!I374, ".", ","))</f>
        <v>0.17501818181818099</v>
      </c>
      <c r="J380" s="4">
        <f>VALUE(SUBSTITUTE('1000_заявлений'!J374, ".", ","))</f>
        <v>1.91781906476158</v>
      </c>
      <c r="K380" s="5">
        <f>VALUE(SUBSTITUTE('1000_заявлений'!K374, ".", ","))</f>
        <v>-4986</v>
      </c>
      <c r="L380" s="6">
        <f>VALUE(SUBSTITUTE('1000_заявлений'!L374, ".", ","))</f>
        <v>43317</v>
      </c>
      <c r="M380" s="2" t="str">
        <f>IF(Данные[[#This Row],[proba]]&gt;$C$6, "отказ", "одобрение")</f>
        <v>отказ</v>
      </c>
      <c r="N380" s="7">
        <f>IF(Данные[[#This Row],[proba]]&lt;$D$2,$C$2,IF(Данные[[#This Row],[proba]]&lt;$D$3,$C$3,IF(Данные[[#This Row],[proba]]&gt;$C$6,0,$C$4)))</f>
        <v>0</v>
      </c>
      <c r="O380" s="2">
        <f>IF(Данные[[#This Row],[weighted_ext_score]]&gt;$O$1,MIN(Данные[[#This Row],[Базовая сумма]]*$O$2,$C$2),IF(Данные[[#This Row],[weighted_ext_score]]&lt;$O$3,Данные[[#This Row],[Базовая сумма]]*$O$4,N380))</f>
        <v>0</v>
      </c>
      <c r="P3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0" s="2">
        <f>ABS(Данные[[#This Row],[days_birth]])/365.2425</f>
        <v>34.401801542810595</v>
      </c>
      <c r="S3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0" s="2">
        <f>IF(Данные[[#This Row],[ interest_rate]]&gt;$T$1,Данные[[#This Row],[days_birth4]]*$T$2,Данные[[#This Row],[days_birth4]])</f>
        <v>0</v>
      </c>
      <c r="U380" s="2">
        <f>IF(Данные[[#This Row],[Проверка отказа]]="отказ",0,MAX(Данные[[#This Row],[interest_rate]],$C$1))</f>
        <v>0</v>
      </c>
      <c r="V380" s="2">
        <f>MROUND(Данные[[#This Row],[Минимум 20000]], 100)</f>
        <v>0</v>
      </c>
    </row>
    <row r="381" spans="1:22" x14ac:dyDescent="0.25">
      <c r="A381" s="2">
        <f>'1000_заявлений'!A375</f>
        <v>373</v>
      </c>
      <c r="B381" s="4">
        <f>VALUE(SUBSTITUTE('1000_заявлений'!B375, ".", ","))</f>
        <v>0.60360840827263296</v>
      </c>
      <c r="C381" s="4">
        <f>VALUE(SUBSTITUTE('1000_заявлений'!C375, ".", ","))</f>
        <v>0.32849199431036902</v>
      </c>
      <c r="D381" s="4">
        <f>VALUE(SUBSTITUTE('1000_заявлений'!D375, ".", ","))</f>
        <v>0.44539624</v>
      </c>
      <c r="E381" s="4">
        <f>VALUE(SUBSTITUTE('1000_заявлений'!E375, ".", ","))</f>
        <v>0.41517470000000001</v>
      </c>
      <c r="F381" s="5">
        <f>VALUE(SUBSTITUTE('1000_заявлений'!F375, ".", ","))</f>
        <v>-4542</v>
      </c>
      <c r="G381" s="5">
        <f>VALUE(SUBSTITUTE('1000_заявлений'!G375, ".", ","))</f>
        <v>-12495</v>
      </c>
      <c r="H381" s="5">
        <f>VALUE(SUBSTITUTE('1000_заявлений'!H375, ".", ","))</f>
        <v>-328</v>
      </c>
      <c r="I381" s="4">
        <f>VALUE(SUBSTITUTE('1000_заявлений'!I375, ".", ","))</f>
        <v>0.18057142857142799</v>
      </c>
      <c r="J381" s="4">
        <f>VALUE(SUBSTITUTE('1000_заявлений'!J375, ".", ","))</f>
        <v>4.6914263326068797</v>
      </c>
      <c r="K381" s="5">
        <f>VALUE(SUBSTITUTE('1000_заявлений'!K375, ".", ","))</f>
        <v>-2214</v>
      </c>
      <c r="L381" s="6">
        <f>VALUE(SUBSTITUTE('1000_заявлений'!L375, ".", ","))</f>
        <v>28440</v>
      </c>
      <c r="M381" s="2" t="str">
        <f>IF(Данные[[#This Row],[proba]]&gt;$C$6, "отказ", "одобрение")</f>
        <v>отказ</v>
      </c>
      <c r="N381" s="7">
        <f>IF(Данные[[#This Row],[proba]]&lt;$D$2,$C$2,IF(Данные[[#This Row],[proba]]&lt;$D$3,$C$3,IF(Данные[[#This Row],[proba]]&gt;$C$6,0,$C$4)))</f>
        <v>0</v>
      </c>
      <c r="O381" s="2">
        <f>IF(Данные[[#This Row],[weighted_ext_score]]&gt;$O$1,MIN(Данные[[#This Row],[Базовая сумма]]*$O$2,$C$2),IF(Данные[[#This Row],[weighted_ext_score]]&lt;$O$3,Данные[[#This Row],[Базовая сумма]]*$O$4,N381))</f>
        <v>0</v>
      </c>
      <c r="P3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1" s="2">
        <f>ABS(Данные[[#This Row],[days_birth]])/365.2425</f>
        <v>34.210148052321401</v>
      </c>
      <c r="S3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1" s="2">
        <f>IF(Данные[[#This Row],[ interest_rate]]&gt;$T$1,Данные[[#This Row],[days_birth4]]*$T$2,Данные[[#This Row],[days_birth4]])</f>
        <v>0</v>
      </c>
      <c r="U381" s="2">
        <f>IF(Данные[[#This Row],[Проверка отказа]]="отказ",0,MAX(Данные[[#This Row],[interest_rate]],$C$1))</f>
        <v>0</v>
      </c>
      <c r="V381" s="2">
        <f>MROUND(Данные[[#This Row],[Минимум 20000]], 100)</f>
        <v>0</v>
      </c>
    </row>
    <row r="382" spans="1:22" x14ac:dyDescent="0.25">
      <c r="A382" s="2">
        <f>'1000_заявлений'!A376</f>
        <v>374</v>
      </c>
      <c r="B382" s="4">
        <f>VALUE(SUBSTITUTE('1000_заявлений'!B376, ".", ","))</f>
        <v>0.49943299077064301</v>
      </c>
      <c r="C382" s="4">
        <f>VALUE(SUBSTITUTE('1000_заявлений'!C376, ".", ","))</f>
        <v>0.37104018630956498</v>
      </c>
      <c r="D382" s="4">
        <f>VALUE(SUBSTITUTE('1000_заявлений'!D376, ".", ","))</f>
        <v>0.56028429999999996</v>
      </c>
      <c r="E382" s="4">
        <f>VALUE(SUBSTITUTE('1000_заявлений'!E376, ".", ","))</f>
        <v>0.32617486000000001</v>
      </c>
      <c r="F382" s="5">
        <f>VALUE(SUBSTITUTE('1000_заявлений'!F376, ".", ","))</f>
        <v>-1534</v>
      </c>
      <c r="G382" s="5">
        <f>VALUE(SUBSTITUTE('1000_заявлений'!G376, ".", ","))</f>
        <v>-13931</v>
      </c>
      <c r="H382" s="5">
        <f>VALUE(SUBSTITUTE('1000_заявлений'!H376, ".", ","))</f>
        <v>-4679</v>
      </c>
      <c r="I382" s="4">
        <f>VALUE(SUBSTITUTE('1000_заявлений'!I376, ".", ","))</f>
        <v>0.12081</v>
      </c>
      <c r="J382" s="4">
        <f>VALUE(SUBSTITUTE('1000_заявлений'!J376, ".", ","))</f>
        <v>0.94889546316623197</v>
      </c>
      <c r="K382" s="5">
        <f>VALUE(SUBSTITUTE('1000_заявлений'!K376, ".", ","))</f>
        <v>-6336</v>
      </c>
      <c r="L382" s="6">
        <f>VALUE(SUBSTITUTE('1000_заявлений'!L376, ".", ","))</f>
        <v>54364.5</v>
      </c>
      <c r="M382" s="2" t="str">
        <f>IF(Данные[[#This Row],[proba]]&gt;$C$6, "отказ", "одобрение")</f>
        <v>отказ</v>
      </c>
      <c r="N382" s="7">
        <f>IF(Данные[[#This Row],[proba]]&lt;$D$2,$C$2,IF(Данные[[#This Row],[proba]]&lt;$D$3,$C$3,IF(Данные[[#This Row],[proba]]&gt;$C$6,0,$C$4)))</f>
        <v>0</v>
      </c>
      <c r="O382" s="2">
        <f>IF(Данные[[#This Row],[weighted_ext_score]]&gt;$O$1,MIN(Данные[[#This Row],[Базовая сумма]]*$O$2,$C$2),IF(Данные[[#This Row],[weighted_ext_score]]&lt;$O$3,Данные[[#This Row],[Базовая сумма]]*$O$4,N382))</f>
        <v>0</v>
      </c>
      <c r="P3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2" s="2">
        <f>ABS(Данные[[#This Row],[days_birth]])/365.2425</f>
        <v>38.141782514356898</v>
      </c>
      <c r="S3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2" s="2">
        <f>IF(Данные[[#This Row],[ interest_rate]]&gt;$T$1,Данные[[#This Row],[days_birth4]]*$T$2,Данные[[#This Row],[days_birth4]])</f>
        <v>0</v>
      </c>
      <c r="U382" s="2">
        <f>IF(Данные[[#This Row],[Проверка отказа]]="отказ",0,MAX(Данные[[#This Row],[interest_rate]],$C$1))</f>
        <v>0</v>
      </c>
      <c r="V382" s="2">
        <f>MROUND(Данные[[#This Row],[Минимум 20000]], 100)</f>
        <v>0</v>
      </c>
    </row>
    <row r="383" spans="1:22" x14ac:dyDescent="0.25">
      <c r="A383" s="2">
        <f>'1000_заявлений'!A377</f>
        <v>375</v>
      </c>
      <c r="B383" s="4">
        <f>VALUE(SUBSTITUTE('1000_заявлений'!B377, ".", ","))</f>
        <v>0.179379542942845</v>
      </c>
      <c r="C383" s="4">
        <f>VALUE(SUBSTITUTE('1000_заявлений'!C377, ".", ","))</f>
        <v>0.69661167358531295</v>
      </c>
      <c r="D383" s="4">
        <f>VALUE(SUBSTITUTE('1000_заявлений'!D377, ".", ","))</f>
        <v>0.6910212</v>
      </c>
      <c r="E383" s="4">
        <f>VALUE(SUBSTITUTE('1000_заявлений'!E377, ".", ","))</f>
        <v>0.74757326000000002</v>
      </c>
      <c r="F383" s="5">
        <f>VALUE(SUBSTITUTE('1000_заявлений'!F377, ".", ","))</f>
        <v>-10435</v>
      </c>
      <c r="G383" s="5">
        <f>VALUE(SUBSTITUTE('1000_заявлений'!G377, ".", ","))</f>
        <v>-17857</v>
      </c>
      <c r="H383" s="5">
        <f>VALUE(SUBSTITUTE('1000_заявлений'!H377, ".", ","))</f>
        <v>-1392</v>
      </c>
      <c r="I383" s="4">
        <f>VALUE(SUBSTITUTE('1000_заявлений'!I377, ".", ","))</f>
        <v>0.27168571428571398</v>
      </c>
      <c r="J383" s="4">
        <f>VALUE(SUBSTITUTE('1000_заявлений'!J377, ".", ","))</f>
        <v>1.91687481425315</v>
      </c>
      <c r="K383" s="5">
        <f>VALUE(SUBSTITUTE('1000_заявлений'!K377, ".", ","))</f>
        <v>-2959</v>
      </c>
      <c r="L383" s="6">
        <f>VALUE(SUBSTITUTE('1000_заявлений'!L377, ".", ","))</f>
        <v>42790.5</v>
      </c>
      <c r="M383" s="2" t="str">
        <f>IF(Данные[[#This Row],[proba]]&gt;$C$6, "отказ", "одобрение")</f>
        <v>одобрение</v>
      </c>
      <c r="N383" s="7">
        <f>IF(Данные[[#This Row],[proba]]&lt;$D$2,$C$2,IF(Данные[[#This Row],[proba]]&lt;$D$3,$C$3,IF(Данные[[#This Row],[proba]]&gt;$C$6,0,$C$4)))</f>
        <v>300000</v>
      </c>
      <c r="O383" s="2">
        <f>IF(Данные[[#This Row],[weighted_ext_score]]&gt;$O$1,MIN(Данные[[#This Row],[Базовая сумма]]*$O$2,$C$2),IF(Данные[[#This Row],[weighted_ext_score]]&lt;$O$3,Данные[[#This Row],[Базовая сумма]]*$O$4,N383))</f>
        <v>300000</v>
      </c>
      <c r="P3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3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383" s="2">
        <f>ABS(Данные[[#This Row],[days_birth]])/365.2425</f>
        <v>48.890805423793779</v>
      </c>
      <c r="S3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360000</v>
      </c>
      <c r="T383" s="2">
        <f>IF(Данные[[#This Row],[ interest_rate]]&gt;$T$1,Данные[[#This Row],[days_birth4]]*$T$2,Данные[[#This Row],[days_birth4]])</f>
        <v>360000</v>
      </c>
      <c r="U383" s="2">
        <f>IF(Данные[[#This Row],[Проверка отказа]]="отказ",0,MAX(Данные[[#This Row],[interest_rate]],$C$1))</f>
        <v>360000</v>
      </c>
      <c r="V383" s="2">
        <f>MROUND(Данные[[#This Row],[Минимум 20000]], 100)</f>
        <v>360000</v>
      </c>
    </row>
    <row r="384" spans="1:22" x14ac:dyDescent="0.25">
      <c r="A384" s="2">
        <f>'1000_заявлений'!A378</f>
        <v>376</v>
      </c>
      <c r="B384" s="4">
        <f>VALUE(SUBSTITUTE('1000_заявлений'!B378, ".", ","))</f>
        <v>0.25347911336970402</v>
      </c>
      <c r="C384" s="4">
        <f>VALUE(SUBSTITUTE('1000_заявлений'!C378, ".", ","))</f>
        <v>0.57684760552865399</v>
      </c>
      <c r="D384" s="4">
        <f>VALUE(SUBSTITUTE('1000_заявлений'!D378, ".", ","))</f>
        <v>0.64302559999999997</v>
      </c>
      <c r="E384" s="4">
        <f>VALUE(SUBSTITUTE('1000_заявлений'!E378, ".", ","))</f>
        <v>0.74720580000000003</v>
      </c>
      <c r="F384" s="5">
        <f>VALUE(SUBSTITUTE('1000_заявлений'!F378, ".", ","))</f>
        <v>-405</v>
      </c>
      <c r="G384" s="5">
        <f>VALUE(SUBSTITUTE('1000_заявлений'!G378, ".", ","))</f>
        <v>-10508</v>
      </c>
      <c r="H384" s="5">
        <f>VALUE(SUBSTITUTE('1000_заявлений'!H378, ".", ","))</f>
        <v>-3163</v>
      </c>
      <c r="I384" s="4">
        <f>VALUE(SUBSTITUTE('1000_заявлений'!I378, ".", ","))</f>
        <v>0.16977999999999999</v>
      </c>
      <c r="J384" s="4">
        <f>VALUE(SUBSTITUTE('1000_заявлений'!J378, ".", ","))</f>
        <v>2.20077561204408</v>
      </c>
      <c r="K384" s="5">
        <f>VALUE(SUBSTITUTE('1000_заявлений'!K378, ".", ","))</f>
        <v>-1354</v>
      </c>
      <c r="L384" s="6">
        <f>VALUE(SUBSTITUTE('1000_заявлений'!L378, ".", ","))</f>
        <v>38200.5</v>
      </c>
      <c r="M384" s="2" t="str">
        <f>IF(Данные[[#This Row],[proba]]&gt;$C$6, "отказ", "одобрение")</f>
        <v>одобрение</v>
      </c>
      <c r="N384" s="7">
        <f>IF(Данные[[#This Row],[proba]]&lt;$D$2,$C$2,IF(Данные[[#This Row],[proba]]&lt;$D$3,$C$3,IF(Данные[[#This Row],[proba]]&gt;$C$6,0,$C$4)))</f>
        <v>100000</v>
      </c>
      <c r="O384" s="2">
        <f>IF(Данные[[#This Row],[weighted_ext_score]]&gt;$O$1,MIN(Данные[[#This Row],[Базовая сумма]]*$O$2,$C$2),IF(Данные[[#This Row],[weighted_ext_score]]&lt;$O$3,Данные[[#This Row],[Базовая сумма]]*$O$4,N384))</f>
        <v>100000</v>
      </c>
      <c r="P3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384" s="2">
        <f>ABS(Данные[[#This Row],[days_birth]])/365.2425</f>
        <v>28.769926829435239</v>
      </c>
      <c r="S3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384" s="2">
        <f>IF(Данные[[#This Row],[ interest_rate]]&gt;$T$1,Данные[[#This Row],[days_birth4]]*$T$2,Данные[[#This Row],[days_birth4]])</f>
        <v>84000</v>
      </c>
      <c r="U384" s="2">
        <f>IF(Данные[[#This Row],[Проверка отказа]]="отказ",0,MAX(Данные[[#This Row],[interest_rate]],$C$1))</f>
        <v>84000</v>
      </c>
      <c r="V384" s="2">
        <f>MROUND(Данные[[#This Row],[Минимум 20000]], 100)</f>
        <v>84000</v>
      </c>
    </row>
    <row r="385" spans="1:22" x14ac:dyDescent="0.25">
      <c r="A385" s="2">
        <f>'1000_заявлений'!A379</f>
        <v>377</v>
      </c>
      <c r="B385" s="4">
        <f>VALUE(SUBSTITUTE('1000_заявлений'!B379, ".", ","))</f>
        <v>0.65153503118762801</v>
      </c>
      <c r="C385" s="4">
        <f>VALUE(SUBSTITUTE('1000_заявлений'!C379, ".", ","))</f>
        <v>0.10017281141511</v>
      </c>
      <c r="D385" s="4">
        <f>VALUE(SUBSTITUTE('1000_заявлений'!D379, ".", ","))</f>
        <v>0.53527623000000002</v>
      </c>
      <c r="E385" s="4">
        <f>VALUE(SUBSTITUTE('1000_заявлений'!E379, ".", ","))</f>
        <v>0.30881613000000002</v>
      </c>
      <c r="F385" s="5">
        <f>VALUE(SUBSTITUTE('1000_заявлений'!F379, ".", ","))</f>
        <v>-1773</v>
      </c>
      <c r="G385" s="5">
        <f>VALUE(SUBSTITUTE('1000_заявлений'!G379, ".", ","))</f>
        <v>-17739</v>
      </c>
      <c r="H385" s="5">
        <f>VALUE(SUBSTITUTE('1000_заявлений'!H379, ".", ","))</f>
        <v>-1081</v>
      </c>
      <c r="I385" s="4">
        <f>VALUE(SUBSTITUTE('1000_заявлений'!I379, ".", ","))</f>
        <v>6.6657142857142804E-2</v>
      </c>
      <c r="J385" s="4">
        <f>VALUE(SUBSTITUTE('1000_заявлений'!J379, ".", ","))</f>
        <v>5.7208070145562804</v>
      </c>
      <c r="K385" s="5">
        <f>VALUE(SUBSTITUTE('1000_заявлений'!K379, ".", ","))</f>
        <v>-2428</v>
      </c>
      <c r="L385" s="6">
        <f>VALUE(SUBSTITUTE('1000_заявлений'!L379, ".", ","))</f>
        <v>10498.5</v>
      </c>
      <c r="M385" s="2" t="str">
        <f>IF(Данные[[#This Row],[proba]]&gt;$C$6, "отказ", "одобрение")</f>
        <v>отказ</v>
      </c>
      <c r="N385" s="7">
        <f>IF(Данные[[#This Row],[proba]]&lt;$D$2,$C$2,IF(Данные[[#This Row],[proba]]&lt;$D$3,$C$3,IF(Данные[[#This Row],[proba]]&gt;$C$6,0,$C$4)))</f>
        <v>0</v>
      </c>
      <c r="O385" s="2">
        <f>IF(Данные[[#This Row],[weighted_ext_score]]&gt;$O$1,MIN(Данные[[#This Row],[Базовая сумма]]*$O$2,$C$2),IF(Данные[[#This Row],[weighted_ext_score]]&lt;$O$3,Данные[[#This Row],[Базовая сумма]]*$O$4,N385))</f>
        <v>0</v>
      </c>
      <c r="P3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5" s="2">
        <f>ABS(Данные[[#This Row],[days_birth]])/365.2425</f>
        <v>48.567732396969134</v>
      </c>
      <c r="S3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5" s="2">
        <f>IF(Данные[[#This Row],[ interest_rate]]&gt;$T$1,Данные[[#This Row],[days_birth4]]*$T$2,Данные[[#This Row],[days_birth4]])</f>
        <v>0</v>
      </c>
      <c r="U385" s="2">
        <f>IF(Данные[[#This Row],[Проверка отказа]]="отказ",0,MAX(Данные[[#This Row],[interest_rate]],$C$1))</f>
        <v>0</v>
      </c>
      <c r="V385" s="2">
        <f>MROUND(Данные[[#This Row],[Минимум 20000]], 100)</f>
        <v>0</v>
      </c>
    </row>
    <row r="386" spans="1:22" x14ac:dyDescent="0.25">
      <c r="A386" s="2">
        <f>'1000_заявлений'!A380</f>
        <v>378</v>
      </c>
      <c r="B386" s="4">
        <f>VALUE(SUBSTITUTE('1000_заявлений'!B380, ".", ","))</f>
        <v>0.63185120689386498</v>
      </c>
      <c r="C386" s="4">
        <f>VALUE(SUBSTITUTE('1000_заявлений'!C380, ".", ","))</f>
        <v>0.26964239794690698</v>
      </c>
      <c r="D386" s="4">
        <f>VALUE(SUBSTITUTE('1000_заявлений'!D380, ".", ","))</f>
        <v>0.47405130000000001</v>
      </c>
      <c r="E386" s="4">
        <f>VALUE(SUBSTITUTE('1000_заявлений'!E380, ".", ","))</f>
        <v>0.30271682</v>
      </c>
      <c r="F386" s="5">
        <f>VALUE(SUBSTITUTE('1000_заявлений'!F380, ".", ","))</f>
        <v>-1807</v>
      </c>
      <c r="G386" s="5">
        <f>VALUE(SUBSTITUTE('1000_заявлений'!G380, ".", ","))</f>
        <v>-15715</v>
      </c>
      <c r="H386" s="5">
        <f>VALUE(SUBSTITUTE('1000_заявлений'!H380, ".", ","))</f>
        <v>-1800</v>
      </c>
      <c r="I386" s="4">
        <f>VALUE(SUBSTITUTE('1000_заявлений'!I380, ".", ","))</f>
        <v>0.110185185185185</v>
      </c>
      <c r="J386" s="4">
        <f>VALUE(SUBSTITUTE('1000_заявлений'!J380, ".", ","))</f>
        <v>3.7381308798208601</v>
      </c>
      <c r="K386" s="5">
        <f>VALUE(SUBSTITUTE('1000_заявлений'!K380, ".", ","))</f>
        <v>-932</v>
      </c>
      <c r="L386" s="6">
        <f>VALUE(SUBSTITUTE('1000_заявлений'!L380, ".", ","))</f>
        <v>13387.5</v>
      </c>
      <c r="M386" s="2" t="str">
        <f>IF(Данные[[#This Row],[proba]]&gt;$C$6, "отказ", "одобрение")</f>
        <v>отказ</v>
      </c>
      <c r="N386" s="7">
        <f>IF(Данные[[#This Row],[proba]]&lt;$D$2,$C$2,IF(Данные[[#This Row],[proba]]&lt;$D$3,$C$3,IF(Данные[[#This Row],[proba]]&gt;$C$6,0,$C$4)))</f>
        <v>0</v>
      </c>
      <c r="O386" s="2">
        <f>IF(Данные[[#This Row],[weighted_ext_score]]&gt;$O$1,MIN(Данные[[#This Row],[Базовая сумма]]*$O$2,$C$2),IF(Данные[[#This Row],[weighted_ext_score]]&lt;$O$3,Данные[[#This Row],[Базовая сумма]]*$O$4,N386))</f>
        <v>0</v>
      </c>
      <c r="P3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6" s="2">
        <f>ABS(Данные[[#This Row],[days_birth]])/365.2425</f>
        <v>43.026208614824398</v>
      </c>
      <c r="S3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6" s="2">
        <f>IF(Данные[[#This Row],[ interest_rate]]&gt;$T$1,Данные[[#This Row],[days_birth4]]*$T$2,Данные[[#This Row],[days_birth4]])</f>
        <v>0</v>
      </c>
      <c r="U386" s="2">
        <f>IF(Данные[[#This Row],[Проверка отказа]]="отказ",0,MAX(Данные[[#This Row],[interest_rate]],$C$1))</f>
        <v>0</v>
      </c>
      <c r="V386" s="2">
        <f>MROUND(Данные[[#This Row],[Минимум 20000]], 100)</f>
        <v>0</v>
      </c>
    </row>
    <row r="387" spans="1:22" x14ac:dyDescent="0.25">
      <c r="A387" s="2">
        <f>'1000_заявлений'!A381</f>
        <v>379</v>
      </c>
      <c r="B387" s="4">
        <f>VALUE(SUBSTITUTE('1000_заявлений'!B381, ".", ","))</f>
        <v>0.26806357934060898</v>
      </c>
      <c r="C387" s="4">
        <f>VALUE(SUBSTITUTE('1000_заявлений'!C381, ".", ","))</f>
        <v>0.438698368020636</v>
      </c>
      <c r="D387" s="4">
        <f>VALUE(SUBSTITUTE('1000_заявлений'!D381, ".", ","))</f>
        <v>0.74902170000000001</v>
      </c>
      <c r="E387" s="4">
        <f>VALUE(SUBSTITUTE('1000_заявлений'!E381, ".", ","))</f>
        <v>0.51730865000000004</v>
      </c>
      <c r="F387" s="5">
        <f>VALUE(SUBSTITUTE('1000_заявлений'!F381, ".", ","))</f>
        <v>-10418</v>
      </c>
      <c r="G387" s="5">
        <f>VALUE(SUBSTITUTE('1000_заявлений'!G381, ".", ","))</f>
        <v>-17181</v>
      </c>
      <c r="H387" s="5">
        <f>VALUE(SUBSTITUTE('1000_заявлений'!H381, ".", ","))</f>
        <v>-710</v>
      </c>
      <c r="I387" s="4">
        <f>VALUE(SUBSTITUTE('1000_заявлений'!I381, ".", ","))</f>
        <v>0.15</v>
      </c>
      <c r="J387" s="4">
        <f>VALUE(SUBSTITUTE('1000_заявлений'!J381, ".", ","))</f>
        <v>10.6209759779781</v>
      </c>
      <c r="K387" s="5">
        <f>VALUE(SUBSTITUTE('1000_заявлений'!K381, ".", ","))</f>
        <v>-8494</v>
      </c>
      <c r="L387" s="6">
        <f>VALUE(SUBSTITUTE('1000_заявлений'!L381, ".", ","))</f>
        <v>33750</v>
      </c>
      <c r="M387" s="2" t="str">
        <f>IF(Данные[[#This Row],[proba]]&gt;$C$6, "отказ", "одобрение")</f>
        <v>одобрение</v>
      </c>
      <c r="N387" s="7">
        <f>IF(Данные[[#This Row],[proba]]&lt;$D$2,$C$2,IF(Данные[[#This Row],[proba]]&lt;$D$3,$C$3,IF(Данные[[#This Row],[proba]]&gt;$C$6,0,$C$4)))</f>
        <v>100000</v>
      </c>
      <c r="O387" s="2">
        <f>IF(Данные[[#This Row],[weighted_ext_score]]&gt;$O$1,MIN(Данные[[#This Row],[Базовая сумма]]*$O$2,$C$2),IF(Данные[[#This Row],[weighted_ext_score]]&lt;$O$3,Данные[[#This Row],[Базовая сумма]]*$O$4,N387))</f>
        <v>100000</v>
      </c>
      <c r="P3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387" s="2">
        <f>ABS(Данные[[#This Row],[days_birth]])/365.2425</f>
        <v>47.039980287069547</v>
      </c>
      <c r="S3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387" s="2">
        <f>IF(Данные[[#This Row],[ interest_rate]]&gt;$T$1,Данные[[#This Row],[days_birth4]]*$T$2,Данные[[#This Row],[days_birth4]])</f>
        <v>144000</v>
      </c>
      <c r="U387" s="2">
        <f>IF(Данные[[#This Row],[Проверка отказа]]="отказ",0,MAX(Данные[[#This Row],[interest_rate]],$C$1))</f>
        <v>144000</v>
      </c>
      <c r="V387" s="2">
        <f>MROUND(Данные[[#This Row],[Минимум 20000]], 100)</f>
        <v>144000</v>
      </c>
    </row>
    <row r="388" spans="1:22" x14ac:dyDescent="0.25">
      <c r="A388" s="2">
        <f>'1000_заявлений'!A382</f>
        <v>380</v>
      </c>
      <c r="B388" s="4">
        <f>VALUE(SUBSTITUTE('1000_заявлений'!B382, ".", ","))</f>
        <v>0.77980079959774895</v>
      </c>
      <c r="C388" s="4">
        <f>VALUE(SUBSTITUTE('1000_заявлений'!C382, ".", ","))</f>
        <v>0.24394657087423</v>
      </c>
      <c r="D388" s="4">
        <f>VALUE(SUBSTITUTE('1000_заявлений'!D382, ".", ","))</f>
        <v>0.13177013000000001</v>
      </c>
      <c r="E388" s="4">
        <f>VALUE(SUBSTITUTE('1000_заявлений'!E382, ".", ","))</f>
        <v>0.3446013</v>
      </c>
      <c r="F388" s="5">
        <f>VALUE(SUBSTITUTE('1000_заявлений'!F382, ".", ","))</f>
        <v>-786</v>
      </c>
      <c r="G388" s="5">
        <f>VALUE(SUBSTITUTE('1000_заявлений'!G382, ".", ","))</f>
        <v>-12337</v>
      </c>
      <c r="H388" s="5">
        <f>VALUE(SUBSTITUTE('1000_заявлений'!H382, ".", ","))</f>
        <v>-2759</v>
      </c>
      <c r="I388" s="4">
        <f>VALUE(SUBSTITUTE('1000_заявлений'!I382, ".", ","))</f>
        <v>2.8849206349206302E-2</v>
      </c>
      <c r="J388" s="4">
        <f>VALUE(SUBSTITUTE('1000_заявлений'!J382, ".", ","))</f>
        <v>2.4256444821580501</v>
      </c>
      <c r="K388" s="5">
        <f>VALUE(SUBSTITUTE('1000_заявлений'!K382, ".", ","))</f>
        <v>-3858</v>
      </c>
      <c r="L388" s="6">
        <f>VALUE(SUBSTITUTE('1000_заявлений'!L382, ".", ","))</f>
        <v>16357.5</v>
      </c>
      <c r="M388" s="2" t="str">
        <f>IF(Данные[[#This Row],[proba]]&gt;$C$6, "отказ", "одобрение")</f>
        <v>отказ</v>
      </c>
      <c r="N388" s="7">
        <f>IF(Данные[[#This Row],[proba]]&lt;$D$2,$C$2,IF(Данные[[#This Row],[proba]]&lt;$D$3,$C$3,IF(Данные[[#This Row],[proba]]&gt;$C$6,0,$C$4)))</f>
        <v>0</v>
      </c>
      <c r="O388" s="2">
        <f>IF(Данные[[#This Row],[weighted_ext_score]]&gt;$O$1,MIN(Данные[[#This Row],[Базовая сумма]]*$O$2,$C$2),IF(Данные[[#This Row],[weighted_ext_score]]&lt;$O$3,Данные[[#This Row],[Базовая сумма]]*$O$4,N388))</f>
        <v>0</v>
      </c>
      <c r="P3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8" s="2">
        <f>ABS(Данные[[#This Row],[days_birth]])/365.2425</f>
        <v>33.77755874521722</v>
      </c>
      <c r="S3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8" s="2">
        <f>IF(Данные[[#This Row],[ interest_rate]]&gt;$T$1,Данные[[#This Row],[days_birth4]]*$T$2,Данные[[#This Row],[days_birth4]])</f>
        <v>0</v>
      </c>
      <c r="U388" s="2">
        <f>IF(Данные[[#This Row],[Проверка отказа]]="отказ",0,MAX(Данные[[#This Row],[interest_rate]],$C$1))</f>
        <v>0</v>
      </c>
      <c r="V388" s="2">
        <f>MROUND(Данные[[#This Row],[Минимум 20000]], 100)</f>
        <v>0</v>
      </c>
    </row>
    <row r="389" spans="1:22" x14ac:dyDescent="0.25">
      <c r="A389" s="2">
        <f>'1000_заявлений'!A383</f>
        <v>381</v>
      </c>
      <c r="B389" s="4">
        <f>VALUE(SUBSTITUTE('1000_заявлений'!B383, ".", ","))</f>
        <v>0.53085906269569105</v>
      </c>
      <c r="C389" s="4">
        <f>VALUE(SUBSTITUTE('1000_заявлений'!C383, ".", ","))</f>
        <v>0.337112701977135</v>
      </c>
      <c r="D389" s="4">
        <f>VALUE(SUBSTITUTE('1000_заявлений'!D383, ".", ","))</f>
        <v>0.44717857</v>
      </c>
      <c r="E389" s="4">
        <f>VALUE(SUBSTITUTE('1000_заявлений'!E383, ".", ","))</f>
        <v>0.54067843999999998</v>
      </c>
      <c r="F389" s="5">
        <f>VALUE(SUBSTITUTE('1000_заявлений'!F383, ".", ","))</f>
        <v>-1947</v>
      </c>
      <c r="G389" s="5">
        <f>VALUE(SUBSTITUTE('1000_заявлений'!G383, ".", ","))</f>
        <v>-13768</v>
      </c>
      <c r="H389" s="5">
        <f>VALUE(SUBSTITUTE('1000_заявлений'!H383, ".", ","))</f>
        <v>-1957</v>
      </c>
      <c r="I389" s="4">
        <f>VALUE(SUBSTITUTE('1000_заявлений'!I383, ".", ","))</f>
        <v>8.8999999999999996E-2</v>
      </c>
      <c r="J389" s="4">
        <f>VALUE(SUBSTITUTE('1000_заявлений'!J383, ".", ","))</f>
        <v>0.120066022004938</v>
      </c>
      <c r="K389" s="5">
        <f>VALUE(SUBSTITUTE('1000_заявлений'!K383, ".", ","))</f>
        <v>-3124</v>
      </c>
      <c r="L389" s="6">
        <f>VALUE(SUBSTITUTE('1000_заявлений'!L383, ".", ","))</f>
        <v>26032.5</v>
      </c>
      <c r="M389" s="2" t="str">
        <f>IF(Данные[[#This Row],[proba]]&gt;$C$6, "отказ", "одобрение")</f>
        <v>отказ</v>
      </c>
      <c r="N389" s="7">
        <f>IF(Данные[[#This Row],[proba]]&lt;$D$2,$C$2,IF(Данные[[#This Row],[proba]]&lt;$D$3,$C$3,IF(Данные[[#This Row],[proba]]&gt;$C$6,0,$C$4)))</f>
        <v>0</v>
      </c>
      <c r="O389" s="2">
        <f>IF(Данные[[#This Row],[weighted_ext_score]]&gt;$O$1,MIN(Данные[[#This Row],[Базовая сумма]]*$O$2,$C$2),IF(Данные[[#This Row],[weighted_ext_score]]&lt;$O$3,Данные[[#This Row],[Базовая сумма]]*$O$4,N389))</f>
        <v>0</v>
      </c>
      <c r="P3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89" s="2">
        <f>ABS(Данные[[#This Row],[days_birth]])/365.2425</f>
        <v>37.695503672217775</v>
      </c>
      <c r="S3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89" s="2">
        <f>IF(Данные[[#This Row],[ interest_rate]]&gt;$T$1,Данные[[#This Row],[days_birth4]]*$T$2,Данные[[#This Row],[days_birth4]])</f>
        <v>0</v>
      </c>
      <c r="U389" s="2">
        <f>IF(Данные[[#This Row],[Проверка отказа]]="отказ",0,MAX(Данные[[#This Row],[interest_rate]],$C$1))</f>
        <v>0</v>
      </c>
      <c r="V389" s="2">
        <f>MROUND(Данные[[#This Row],[Минимум 20000]], 100)</f>
        <v>0</v>
      </c>
    </row>
    <row r="390" spans="1:22" x14ac:dyDescent="0.25">
      <c r="A390" s="2">
        <f>'1000_заявлений'!A384</f>
        <v>382</v>
      </c>
      <c r="B390" s="4">
        <f>VALUE(SUBSTITUTE('1000_заявлений'!B384, ".", ","))</f>
        <v>0.25988802799102201</v>
      </c>
      <c r="C390" s="4">
        <f>VALUE(SUBSTITUTE('1000_заявлений'!C384, ".", ","))</f>
        <v>0.67389852117388105</v>
      </c>
      <c r="D390" s="4">
        <f>VALUE(SUBSTITUTE('1000_заявлений'!D384, ".", ","))</f>
        <v>0.47045611999999998</v>
      </c>
      <c r="E390" s="4">
        <f>VALUE(SUBSTITUTE('1000_заявлений'!E384, ".", ","))</f>
        <v>0.74937640000000005</v>
      </c>
      <c r="F390" s="5">
        <f>VALUE(SUBSTITUTE('1000_заявлений'!F384, ".", ","))</f>
        <v>-6739</v>
      </c>
      <c r="G390" s="5">
        <f>VALUE(SUBSTITUTE('1000_заявлений'!G384, ".", ","))</f>
        <v>-14943</v>
      </c>
      <c r="H390" s="5">
        <f>VALUE(SUBSTITUTE('1000_заявлений'!H384, ".", ","))</f>
        <v>-1179</v>
      </c>
      <c r="I390" s="4">
        <f>VALUE(SUBSTITUTE('1000_заявлений'!I384, ".", ","))</f>
        <v>0.11521428571428501</v>
      </c>
      <c r="J390" s="4">
        <f>VALUE(SUBSTITUTE('1000_заявлений'!J384, ".", ","))</f>
        <v>2.3522351798308501</v>
      </c>
      <c r="K390" s="5">
        <f>VALUE(SUBSTITUTE('1000_заявлений'!K384, ".", ","))</f>
        <v>-7406</v>
      </c>
      <c r="L390" s="6">
        <f>VALUE(SUBSTITUTE('1000_заявлений'!L384, ".", ","))</f>
        <v>36292.5</v>
      </c>
      <c r="M390" s="2" t="str">
        <f>IF(Данные[[#This Row],[proba]]&gt;$C$6, "отказ", "одобрение")</f>
        <v>одобрение</v>
      </c>
      <c r="N390" s="7">
        <f>IF(Данные[[#This Row],[proba]]&lt;$D$2,$C$2,IF(Данные[[#This Row],[proba]]&lt;$D$3,$C$3,IF(Данные[[#This Row],[proba]]&gt;$C$6,0,$C$4)))</f>
        <v>100000</v>
      </c>
      <c r="O390" s="2">
        <f>IF(Данные[[#This Row],[weighted_ext_score]]&gt;$O$1,MIN(Данные[[#This Row],[Базовая сумма]]*$O$2,$C$2),IF(Данные[[#This Row],[weighted_ext_score]]&lt;$O$3,Данные[[#This Row],[Базовая сумма]]*$O$4,N390))</f>
        <v>100000</v>
      </c>
      <c r="P3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3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390" s="2">
        <f>ABS(Данные[[#This Row],[days_birth]])/365.2425</f>
        <v>40.912544405429266</v>
      </c>
      <c r="S3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390" s="2">
        <f>IF(Данные[[#This Row],[ interest_rate]]&gt;$T$1,Данные[[#This Row],[days_birth4]]*$T$2,Данные[[#This Row],[days_birth4]])</f>
        <v>144000</v>
      </c>
      <c r="U390" s="2">
        <f>IF(Данные[[#This Row],[Проверка отказа]]="отказ",0,MAX(Данные[[#This Row],[interest_rate]],$C$1))</f>
        <v>144000</v>
      </c>
      <c r="V390" s="2">
        <f>MROUND(Данные[[#This Row],[Минимум 20000]], 100)</f>
        <v>144000</v>
      </c>
    </row>
    <row r="391" spans="1:22" x14ac:dyDescent="0.25">
      <c r="A391" s="2">
        <f>'1000_заявлений'!A385</f>
        <v>383</v>
      </c>
      <c r="B391" s="4">
        <f>VALUE(SUBSTITUTE('1000_заявлений'!B385, ".", ","))</f>
        <v>0.585928932154272</v>
      </c>
      <c r="C391" s="4">
        <f>VALUE(SUBSTITUTE('1000_заявлений'!C385, ".", ","))</f>
        <v>0.41038697527420998</v>
      </c>
      <c r="D391" s="4">
        <f>VALUE(SUBSTITUTE('1000_заявлений'!D385, ".", ","))</f>
        <v>0.46506920000000002</v>
      </c>
      <c r="E391" s="4">
        <f>VALUE(SUBSTITUTE('1000_заявлений'!E385, ".", ","))</f>
        <v>0.3655891</v>
      </c>
      <c r="F391" s="5">
        <f>VALUE(SUBSTITUTE('1000_заявлений'!F385, ".", ","))</f>
        <v>-722</v>
      </c>
      <c r="G391" s="5">
        <f>VALUE(SUBSTITUTE('1000_заявлений'!G385, ".", ","))</f>
        <v>-15936</v>
      </c>
      <c r="H391" s="5">
        <f>VALUE(SUBSTITUTE('1000_заявлений'!H385, ".", ","))</f>
        <v>-637</v>
      </c>
      <c r="I391" s="4">
        <f>VALUE(SUBSTITUTE('1000_заявлений'!I385, ".", ","))</f>
        <v>0.22364999999999999</v>
      </c>
      <c r="J391" s="4">
        <f>VALUE(SUBSTITUTE('1000_заявлений'!J385, ".", ","))</f>
        <v>2.8351517859499902</v>
      </c>
      <c r="K391" s="5">
        <f>VALUE(SUBSTITUTE('1000_заявлений'!K385, ".", ","))</f>
        <v>-3890</v>
      </c>
      <c r="L391" s="6">
        <f>VALUE(SUBSTITUTE('1000_заявлений'!L385, ".", ","))</f>
        <v>20128.5</v>
      </c>
      <c r="M391" s="2" t="str">
        <f>IF(Данные[[#This Row],[proba]]&gt;$C$6, "отказ", "одобрение")</f>
        <v>отказ</v>
      </c>
      <c r="N391" s="7">
        <f>IF(Данные[[#This Row],[proba]]&lt;$D$2,$C$2,IF(Данные[[#This Row],[proba]]&lt;$D$3,$C$3,IF(Данные[[#This Row],[proba]]&gt;$C$6,0,$C$4)))</f>
        <v>0</v>
      </c>
      <c r="O391" s="2">
        <f>IF(Данные[[#This Row],[weighted_ext_score]]&gt;$O$1,MIN(Данные[[#This Row],[Базовая сумма]]*$O$2,$C$2),IF(Данные[[#This Row],[weighted_ext_score]]&lt;$O$3,Данные[[#This Row],[Базовая сумма]]*$O$4,N391))</f>
        <v>0</v>
      </c>
      <c r="P3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1" s="2">
        <f>ABS(Данные[[#This Row],[days_birth]])/365.2425</f>
        <v>43.631286063368854</v>
      </c>
      <c r="S3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1" s="2">
        <f>IF(Данные[[#This Row],[ interest_rate]]&gt;$T$1,Данные[[#This Row],[days_birth4]]*$T$2,Данные[[#This Row],[days_birth4]])</f>
        <v>0</v>
      </c>
      <c r="U391" s="2">
        <f>IF(Данные[[#This Row],[Проверка отказа]]="отказ",0,MAX(Данные[[#This Row],[interest_rate]],$C$1))</f>
        <v>0</v>
      </c>
      <c r="V391" s="2">
        <f>MROUND(Данные[[#This Row],[Минимум 20000]], 100)</f>
        <v>0</v>
      </c>
    </row>
    <row r="392" spans="1:22" x14ac:dyDescent="0.25">
      <c r="A392" s="2">
        <f>'1000_заявлений'!A386</f>
        <v>384</v>
      </c>
      <c r="B392" s="4">
        <f>VALUE(SUBSTITUTE('1000_заявлений'!B386, ".", ","))</f>
        <v>0.43730850818397898</v>
      </c>
      <c r="C392" s="4">
        <f>VALUE(SUBSTITUTE('1000_заявлений'!C386, ".", ","))</f>
        <v>0.54513253512246596</v>
      </c>
      <c r="D392" s="4">
        <f>VALUE(SUBSTITUTE('1000_заявлений'!D386, ".", ","))</f>
        <v>0.36394525</v>
      </c>
      <c r="E392" s="4">
        <f>VALUE(SUBSTITUTE('1000_заявлений'!E386, ".", ","))</f>
        <v>0.54058609999999996</v>
      </c>
      <c r="F392" s="5">
        <f>VALUE(SUBSTITUTE('1000_заявлений'!F386, ".", ","))</f>
        <v>-1877</v>
      </c>
      <c r="G392" s="5">
        <f>VALUE(SUBSTITUTE('1000_заявлений'!G386, ".", ","))</f>
        <v>-13059</v>
      </c>
      <c r="H392" s="5">
        <f>VALUE(SUBSTITUTE('1000_заявлений'!H386, ".", ","))</f>
        <v>-5515</v>
      </c>
      <c r="I392" s="4">
        <f>VALUE(SUBSTITUTE('1000_заявлений'!I386, ".", ","))</f>
        <v>0.16969999999999999</v>
      </c>
      <c r="J392" s="4">
        <f>VALUE(SUBSTITUTE('1000_заявлений'!J386, ".", ","))</f>
        <v>1.8568382236701</v>
      </c>
      <c r="K392" s="5">
        <f>VALUE(SUBSTITUTE('1000_заявлений'!K386, ".", ","))</f>
        <v>-4466</v>
      </c>
      <c r="L392" s="6">
        <f>VALUE(SUBSTITUTE('1000_заявлений'!L386, ".", ","))</f>
        <v>53455.5</v>
      </c>
      <c r="M392" s="2" t="str">
        <f>IF(Данные[[#This Row],[proba]]&gt;$C$6, "отказ", "одобрение")</f>
        <v>отказ</v>
      </c>
      <c r="N392" s="7">
        <f>IF(Данные[[#This Row],[proba]]&lt;$D$2,$C$2,IF(Данные[[#This Row],[proba]]&lt;$D$3,$C$3,IF(Данные[[#This Row],[proba]]&gt;$C$6,0,$C$4)))</f>
        <v>0</v>
      </c>
      <c r="O392" s="2">
        <f>IF(Данные[[#This Row],[weighted_ext_score]]&gt;$O$1,MIN(Данные[[#This Row],[Базовая сумма]]*$O$2,$C$2),IF(Данные[[#This Row],[weighted_ext_score]]&lt;$O$3,Данные[[#This Row],[Базовая сумма]]*$O$4,N392))</f>
        <v>0</v>
      </c>
      <c r="P3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2" s="2">
        <f>ABS(Данные[[#This Row],[days_birth]])/365.2425</f>
        <v>35.754327604262919</v>
      </c>
      <c r="S3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2" s="2">
        <f>IF(Данные[[#This Row],[ interest_rate]]&gt;$T$1,Данные[[#This Row],[days_birth4]]*$T$2,Данные[[#This Row],[days_birth4]])</f>
        <v>0</v>
      </c>
      <c r="U392" s="2">
        <f>IF(Данные[[#This Row],[Проверка отказа]]="отказ",0,MAX(Данные[[#This Row],[interest_rate]],$C$1))</f>
        <v>0</v>
      </c>
      <c r="V392" s="2">
        <f>MROUND(Данные[[#This Row],[Минимум 20000]], 100)</f>
        <v>0</v>
      </c>
    </row>
    <row r="393" spans="1:22" x14ac:dyDescent="0.25">
      <c r="A393" s="2">
        <f>'1000_заявлений'!A387</f>
        <v>385</v>
      </c>
      <c r="B393" s="4">
        <f>VALUE(SUBSTITUTE('1000_заявлений'!B387, ".", ","))</f>
        <v>0.41696553229965799</v>
      </c>
      <c r="C393" s="4">
        <f>VALUE(SUBSTITUTE('1000_заявлений'!C387, ".", ","))</f>
        <v>0.44431846776142703</v>
      </c>
      <c r="D393" s="4">
        <f>VALUE(SUBSTITUTE('1000_заявлений'!D387, ".", ","))</f>
        <v>0.41885430000000001</v>
      </c>
      <c r="E393" s="4">
        <f>VALUE(SUBSTITUTE('1000_заявлений'!E387, ".", ","))</f>
        <v>0.5671214</v>
      </c>
      <c r="F393" s="5">
        <f>VALUE(SUBSTITUTE('1000_заявлений'!F387, ".", ","))</f>
        <v>-3111</v>
      </c>
      <c r="G393" s="5">
        <f>VALUE(SUBSTITUTE('1000_заявлений'!G387, ".", ","))</f>
        <v>-20731</v>
      </c>
      <c r="H393" s="5">
        <f>VALUE(SUBSTITUTE('1000_заявлений'!H387, ".", ","))</f>
        <v>-4277</v>
      </c>
      <c r="I393" s="4">
        <f>VALUE(SUBSTITUTE('1000_заявлений'!I387, ".", ","))</f>
        <v>0.116613636363636</v>
      </c>
      <c r="J393" s="4">
        <f>VALUE(SUBSTITUTE('1000_заявлений'!J387, ".", ","))</f>
        <v>1.88126997763014</v>
      </c>
      <c r="K393" s="5">
        <f>VALUE(SUBSTITUTE('1000_заявлений'!K387, ".", ","))</f>
        <v>-12917</v>
      </c>
      <c r="L393" s="6">
        <f>VALUE(SUBSTITUTE('1000_заявлений'!L387, ".", ","))</f>
        <v>23089.5</v>
      </c>
      <c r="M393" s="2" t="str">
        <f>IF(Данные[[#This Row],[proba]]&gt;$C$6, "отказ", "одобрение")</f>
        <v>отказ</v>
      </c>
      <c r="N393" s="7">
        <f>IF(Данные[[#This Row],[proba]]&lt;$D$2,$C$2,IF(Данные[[#This Row],[proba]]&lt;$D$3,$C$3,IF(Данные[[#This Row],[proba]]&gt;$C$6,0,$C$4)))</f>
        <v>0</v>
      </c>
      <c r="O393" s="2">
        <f>IF(Данные[[#This Row],[weighted_ext_score]]&gt;$O$1,MIN(Данные[[#This Row],[Базовая сумма]]*$O$2,$C$2),IF(Данные[[#This Row],[weighted_ext_score]]&lt;$O$3,Данные[[#This Row],[Базовая сумма]]*$O$4,N393))</f>
        <v>0</v>
      </c>
      <c r="P3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3" s="2">
        <f>ABS(Данные[[#This Row],[days_birth]])/365.2425</f>
        <v>56.759550161878749</v>
      </c>
      <c r="S3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3" s="2">
        <f>IF(Данные[[#This Row],[ interest_rate]]&gt;$T$1,Данные[[#This Row],[days_birth4]]*$T$2,Данные[[#This Row],[days_birth4]])</f>
        <v>0</v>
      </c>
      <c r="U393" s="2">
        <f>IF(Данные[[#This Row],[Проверка отказа]]="отказ",0,MAX(Данные[[#This Row],[interest_rate]],$C$1))</f>
        <v>0</v>
      </c>
      <c r="V393" s="2">
        <f>MROUND(Данные[[#This Row],[Минимум 20000]], 100)</f>
        <v>0</v>
      </c>
    </row>
    <row r="394" spans="1:22" x14ac:dyDescent="0.25">
      <c r="A394" s="2">
        <f>'1000_заявлений'!A388</f>
        <v>386</v>
      </c>
      <c r="B394" s="4">
        <f>VALUE(SUBSTITUTE('1000_заявлений'!B388, ".", ","))</f>
        <v>0.24945482422124601</v>
      </c>
      <c r="C394" s="4">
        <f>VALUE(SUBSTITUTE('1000_заявлений'!C388, ".", ","))</f>
        <v>0.66979200709081899</v>
      </c>
      <c r="D394" s="4">
        <f>VALUE(SUBSTITUTE('1000_заявлений'!D388, ".", ","))</f>
        <v>0.46148240000000001</v>
      </c>
      <c r="E394" s="4">
        <f>VALUE(SUBSTITUTE('1000_заявлений'!E388, ".", ","))</f>
        <v>0.79677719999999996</v>
      </c>
      <c r="F394" s="5">
        <f>VALUE(SUBSTITUTE('1000_заявлений'!F388, ".", ","))</f>
        <v>-2509</v>
      </c>
      <c r="G394" s="5">
        <f>VALUE(SUBSTITUTE('1000_заявлений'!G388, ".", ","))</f>
        <v>-15038</v>
      </c>
      <c r="H394" s="5">
        <f>VALUE(SUBSTITUTE('1000_заявлений'!H388, ".", ","))</f>
        <v>-4976</v>
      </c>
      <c r="I394" s="4">
        <f>VALUE(SUBSTITUTE('1000_заявлений'!I388, ".", ","))</f>
        <v>0.25935000000000002</v>
      </c>
      <c r="J394" s="4">
        <f>VALUE(SUBSTITUTE('1000_заявлений'!J388, ".", ","))</f>
        <v>3.6112935264621799</v>
      </c>
      <c r="K394" s="5">
        <f>VALUE(SUBSTITUTE('1000_заявлений'!K388, ".", ","))</f>
        <v>-533</v>
      </c>
      <c r="L394" s="6">
        <f>VALUE(SUBSTITUTE('1000_заявлений'!L388, ".", ","))</f>
        <v>46683</v>
      </c>
      <c r="M394" s="2" t="str">
        <f>IF(Данные[[#This Row],[proba]]&gt;$C$6, "отказ", "одобрение")</f>
        <v>одобрение</v>
      </c>
      <c r="N394" s="7">
        <f>IF(Данные[[#This Row],[proba]]&lt;$D$2,$C$2,IF(Данные[[#This Row],[proba]]&lt;$D$3,$C$3,IF(Данные[[#This Row],[proba]]&gt;$C$6,0,$C$4)))</f>
        <v>100000</v>
      </c>
      <c r="O394" s="2">
        <f>IF(Данные[[#This Row],[weighted_ext_score]]&gt;$O$1,MIN(Данные[[#This Row],[Базовая сумма]]*$O$2,$C$2),IF(Данные[[#This Row],[weighted_ext_score]]&lt;$O$3,Данные[[#This Row],[Базовая сумма]]*$O$4,N394))</f>
        <v>100000</v>
      </c>
      <c r="P3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3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394" s="2">
        <f>ABS(Данные[[#This Row],[days_birth]])/365.2425</f>
        <v>41.172645571093177</v>
      </c>
      <c r="S3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394" s="2">
        <f>IF(Данные[[#This Row],[ interest_rate]]&gt;$T$1,Данные[[#This Row],[days_birth4]]*$T$2,Данные[[#This Row],[days_birth4]])</f>
        <v>70000</v>
      </c>
      <c r="U394" s="2">
        <f>IF(Данные[[#This Row],[Проверка отказа]]="отказ",0,MAX(Данные[[#This Row],[interest_rate]],$C$1))</f>
        <v>70000</v>
      </c>
      <c r="V394" s="2">
        <f>MROUND(Данные[[#This Row],[Минимум 20000]], 100)</f>
        <v>70000</v>
      </c>
    </row>
    <row r="395" spans="1:22" x14ac:dyDescent="0.25">
      <c r="A395" s="2">
        <f>'1000_заявлений'!A389</f>
        <v>387</v>
      </c>
      <c r="B395" s="4">
        <f>VALUE(SUBSTITUTE('1000_заявлений'!B389, ".", ","))</f>
        <v>0.53324514889291197</v>
      </c>
      <c r="C395" s="4">
        <f>VALUE(SUBSTITUTE('1000_заявлений'!C389, ".", ","))</f>
        <v>0.44589926326663998</v>
      </c>
      <c r="D395" s="4">
        <f>VALUE(SUBSTITUTE('1000_заявлений'!D389, ".", ","))</f>
        <v>0.30010775000000001</v>
      </c>
      <c r="E395" s="4">
        <f>VALUE(SUBSTITUTE('1000_заявлений'!E389, ".", ","))</f>
        <v>0.59933069999999999</v>
      </c>
      <c r="F395" s="5">
        <f>VALUE(SUBSTITUTE('1000_заявлений'!F389, ".", ","))</f>
        <v>-2366</v>
      </c>
      <c r="G395" s="5">
        <f>VALUE(SUBSTITUTE('1000_заявлений'!G389, ".", ","))</f>
        <v>-17289</v>
      </c>
      <c r="H395" s="5">
        <f>VALUE(SUBSTITUTE('1000_заявлений'!H389, ".", ","))</f>
        <v>-840</v>
      </c>
      <c r="I395" s="4">
        <f>VALUE(SUBSTITUTE('1000_заявлений'!I389, ".", ","))</f>
        <v>0.193266666666666</v>
      </c>
      <c r="J395" s="4">
        <f>VALUE(SUBSTITUTE('1000_заявлений'!J389, ".", ","))</f>
        <v>3.0112008114564199</v>
      </c>
      <c r="K395" s="5">
        <f>VALUE(SUBSTITUTE('1000_заявлений'!K389, ".", ","))</f>
        <v>-1577</v>
      </c>
      <c r="L395" s="6">
        <f>VALUE(SUBSTITUTE('1000_заявлений'!L389, ".", ","))</f>
        <v>26091</v>
      </c>
      <c r="M395" s="2" t="str">
        <f>IF(Данные[[#This Row],[proba]]&gt;$C$6, "отказ", "одобрение")</f>
        <v>отказ</v>
      </c>
      <c r="N395" s="7">
        <f>IF(Данные[[#This Row],[proba]]&lt;$D$2,$C$2,IF(Данные[[#This Row],[proba]]&lt;$D$3,$C$3,IF(Данные[[#This Row],[proba]]&gt;$C$6,0,$C$4)))</f>
        <v>0</v>
      </c>
      <c r="O395" s="2">
        <f>IF(Данные[[#This Row],[weighted_ext_score]]&gt;$O$1,MIN(Данные[[#This Row],[Базовая сумма]]*$O$2,$C$2),IF(Данные[[#This Row],[weighted_ext_score]]&lt;$O$3,Данные[[#This Row],[Базовая сумма]]*$O$4,N395))</f>
        <v>0</v>
      </c>
      <c r="P3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5" s="2">
        <f>ABS(Данные[[#This Row],[days_birth]])/365.2425</f>
        <v>47.335674243824307</v>
      </c>
      <c r="S3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5" s="2">
        <f>IF(Данные[[#This Row],[ interest_rate]]&gt;$T$1,Данные[[#This Row],[days_birth4]]*$T$2,Данные[[#This Row],[days_birth4]])</f>
        <v>0</v>
      </c>
      <c r="U395" s="2">
        <f>IF(Данные[[#This Row],[Проверка отказа]]="отказ",0,MAX(Данные[[#This Row],[interest_rate]],$C$1))</f>
        <v>0</v>
      </c>
      <c r="V395" s="2">
        <f>MROUND(Данные[[#This Row],[Минимум 20000]], 100)</f>
        <v>0</v>
      </c>
    </row>
    <row r="396" spans="1:22" x14ac:dyDescent="0.25">
      <c r="A396" s="2">
        <f>'1000_заявлений'!A390</f>
        <v>388</v>
      </c>
      <c r="B396" s="4">
        <f>VALUE(SUBSTITUTE('1000_заявлений'!B390, ".", ","))</f>
        <v>0.148321455626828</v>
      </c>
      <c r="C396" s="4">
        <f>VALUE(SUBSTITUTE('1000_заявлений'!C390, ".", ","))</f>
        <v>0.52249666603150602</v>
      </c>
      <c r="D396" s="4">
        <f>VALUE(SUBSTITUTE('1000_заявлений'!D390, ".", ","))</f>
        <v>0.80274546000000002</v>
      </c>
      <c r="E396" s="4">
        <f>VALUE(SUBSTITUTE('1000_заявлений'!E390, ".", ","))</f>
        <v>0.71574530000000003</v>
      </c>
      <c r="F396" s="5">
        <f>VALUE(SUBSTITUTE('1000_заявлений'!F390, ".", ","))</f>
        <v>-13759</v>
      </c>
      <c r="G396" s="5">
        <f>VALUE(SUBSTITUTE('1000_заявлений'!G390, ".", ","))</f>
        <v>-21142</v>
      </c>
      <c r="H396" s="5">
        <f>VALUE(SUBSTITUTE('1000_заявлений'!H390, ".", ","))</f>
        <v>-4330</v>
      </c>
      <c r="I396" s="4">
        <f>VALUE(SUBSTITUTE('1000_заявлений'!I390, ".", ","))</f>
        <v>0.31586666666666602</v>
      </c>
      <c r="J396" s="4">
        <f>VALUE(SUBSTITUTE('1000_заявлений'!J390, ".", ","))</f>
        <v>2.9561453970468698</v>
      </c>
      <c r="K396" s="5">
        <f>VALUE(SUBSTITUTE('1000_заявлений'!K390, ".", ","))</f>
        <v>365243</v>
      </c>
      <c r="L396" s="6">
        <f>VALUE(SUBSTITUTE('1000_заявлений'!L390, ".", ","))</f>
        <v>42642</v>
      </c>
      <c r="M396" s="2" t="str">
        <f>IF(Данные[[#This Row],[proba]]&gt;$C$6, "отказ", "одобрение")</f>
        <v>одобрение</v>
      </c>
      <c r="N396" s="7">
        <f>IF(Данные[[#This Row],[proba]]&lt;$D$2,$C$2,IF(Данные[[#This Row],[proba]]&lt;$D$3,$C$3,IF(Данные[[#This Row],[proba]]&gt;$C$6,0,$C$4)))</f>
        <v>300000</v>
      </c>
      <c r="O396" s="2">
        <f>IF(Данные[[#This Row],[weighted_ext_score]]&gt;$O$1,MIN(Данные[[#This Row],[Базовая сумма]]*$O$2,$C$2),IF(Данные[[#This Row],[weighted_ext_score]]&lt;$O$3,Данные[[#This Row],[Базовая сумма]]*$O$4,N396))</f>
        <v>300000</v>
      </c>
      <c r="P3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3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396" s="2">
        <f>ABS(Данные[[#This Row],[days_birth]])/365.2425</f>
        <v>57.884829941751029</v>
      </c>
      <c r="S3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396" s="2">
        <f>IF(Данные[[#This Row],[ interest_rate]]&gt;$T$1,Данные[[#This Row],[days_birth4]]*$T$2,Данные[[#This Row],[days_birth4]])</f>
        <v>315000</v>
      </c>
      <c r="U396" s="2">
        <f>IF(Данные[[#This Row],[Проверка отказа]]="отказ",0,MAX(Данные[[#This Row],[interest_rate]],$C$1))</f>
        <v>315000</v>
      </c>
      <c r="V396" s="2">
        <f>MROUND(Данные[[#This Row],[Минимум 20000]], 100)</f>
        <v>315000</v>
      </c>
    </row>
    <row r="397" spans="1:22" x14ac:dyDescent="0.25">
      <c r="A397" s="2">
        <f>'1000_заявлений'!A391</f>
        <v>389</v>
      </c>
      <c r="B397" s="4">
        <f>VALUE(SUBSTITUTE('1000_заявлений'!B391, ".", ","))</f>
        <v>0.36014995888313101</v>
      </c>
      <c r="C397" s="4">
        <f>VALUE(SUBSTITUTE('1000_заявлений'!C391, ".", ","))</f>
        <v>0.38788882327399399</v>
      </c>
      <c r="D397" s="4">
        <f>VALUE(SUBSTITUTE('1000_заявлений'!D391, ".", ","))</f>
        <v>0.45969044999999997</v>
      </c>
      <c r="E397" s="4">
        <f>VALUE(SUBSTITUTE('1000_заявлений'!E391, ".", ","))</f>
        <v>0.68326260000000005</v>
      </c>
      <c r="F397" s="5">
        <f>VALUE(SUBSTITUTE('1000_заявлений'!F391, ".", ","))</f>
        <v>-3013</v>
      </c>
      <c r="G397" s="5">
        <f>VALUE(SUBSTITUTE('1000_заявлений'!G391, ".", ","))</f>
        <v>-20371</v>
      </c>
      <c r="H397" s="5">
        <f>VALUE(SUBSTITUTE('1000_заявлений'!H391, ".", ","))</f>
        <v>-3869</v>
      </c>
      <c r="I397" s="4">
        <f>VALUE(SUBSTITUTE('1000_заявлений'!I391, ".", ","))</f>
        <v>9.0524999999999994E-2</v>
      </c>
      <c r="J397" s="4">
        <f>VALUE(SUBSTITUTE('1000_заявлений'!J391, ".", ","))</f>
        <v>5.3103420962429704</v>
      </c>
      <c r="K397" s="5">
        <f>VALUE(SUBSTITUTE('1000_заявлений'!K391, ".", ","))</f>
        <v>-540</v>
      </c>
      <c r="L397" s="6">
        <f>VALUE(SUBSTITUTE('1000_заявлений'!L391, ".", ","))</f>
        <v>16294.5</v>
      </c>
      <c r="M397" s="2" t="str">
        <f>IF(Данные[[#This Row],[proba]]&gt;$C$6, "отказ", "одобрение")</f>
        <v>отказ</v>
      </c>
      <c r="N397" s="7">
        <f>IF(Данные[[#This Row],[proba]]&lt;$D$2,$C$2,IF(Данные[[#This Row],[proba]]&lt;$D$3,$C$3,IF(Данные[[#This Row],[proba]]&gt;$C$6,0,$C$4)))</f>
        <v>0</v>
      </c>
      <c r="O397" s="2">
        <f>IF(Данные[[#This Row],[weighted_ext_score]]&gt;$O$1,MIN(Данные[[#This Row],[Базовая сумма]]*$O$2,$C$2),IF(Данные[[#This Row],[weighted_ext_score]]&lt;$O$3,Данные[[#This Row],[Базовая сумма]]*$O$4,N397))</f>
        <v>0</v>
      </c>
      <c r="P3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7" s="2">
        <f>ABS(Данные[[#This Row],[days_birth]])/365.2425</f>
        <v>55.773903639362885</v>
      </c>
      <c r="S3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7" s="2">
        <f>IF(Данные[[#This Row],[ interest_rate]]&gt;$T$1,Данные[[#This Row],[days_birth4]]*$T$2,Данные[[#This Row],[days_birth4]])</f>
        <v>0</v>
      </c>
      <c r="U397" s="2">
        <f>IF(Данные[[#This Row],[Проверка отказа]]="отказ",0,MAX(Данные[[#This Row],[interest_rate]],$C$1))</f>
        <v>0</v>
      </c>
      <c r="V397" s="2">
        <f>MROUND(Данные[[#This Row],[Минимум 20000]], 100)</f>
        <v>0</v>
      </c>
    </row>
    <row r="398" spans="1:22" x14ac:dyDescent="0.25">
      <c r="A398" s="2">
        <f>'1000_заявлений'!A392</f>
        <v>390</v>
      </c>
      <c r="B398" s="4">
        <f>VALUE(SUBSTITUTE('1000_заявлений'!B392, ".", ","))</f>
        <v>0.72999180940900898</v>
      </c>
      <c r="C398" s="4">
        <f>VALUE(SUBSTITUTE('1000_заявлений'!C392, ".", ","))</f>
        <v>0.22826788406284501</v>
      </c>
      <c r="D398" s="4">
        <f>VALUE(SUBSTITUTE('1000_заявлений'!D392, ".", ","))</f>
        <v>0.3217353</v>
      </c>
      <c r="E398" s="4">
        <f>VALUE(SUBSTITUTE('1000_заявлений'!E392, ".", ","))</f>
        <v>0.34499155999999997</v>
      </c>
      <c r="F398" s="5">
        <f>VALUE(SUBSTITUTE('1000_заявлений'!F392, ".", ","))</f>
        <v>-5440</v>
      </c>
      <c r="G398" s="5">
        <f>VALUE(SUBSTITUTE('1000_заявлений'!G392, ".", ","))</f>
        <v>-10644</v>
      </c>
      <c r="H398" s="5">
        <f>VALUE(SUBSTITUTE('1000_заявлений'!H392, ".", ","))</f>
        <v>-2888</v>
      </c>
      <c r="I398" s="4">
        <f>VALUE(SUBSTITUTE('1000_заявлений'!I392, ".", ","))</f>
        <v>0.15256666666666599</v>
      </c>
      <c r="J398" s="4">
        <f>VALUE(SUBSTITUTE('1000_заявлений'!J392, ".", ","))</f>
        <v>2.8229305639809699</v>
      </c>
      <c r="K398" s="5">
        <f>VALUE(SUBSTITUTE('1000_заявлений'!K392, ".", ","))</f>
        <v>-469</v>
      </c>
      <c r="L398" s="6">
        <f>VALUE(SUBSTITUTE('1000_заявлений'!L392, ".", ","))</f>
        <v>20596.5</v>
      </c>
      <c r="M398" s="2" t="str">
        <f>IF(Данные[[#This Row],[proba]]&gt;$C$6, "отказ", "одобрение")</f>
        <v>отказ</v>
      </c>
      <c r="N398" s="7">
        <f>IF(Данные[[#This Row],[proba]]&lt;$D$2,$C$2,IF(Данные[[#This Row],[proba]]&lt;$D$3,$C$3,IF(Данные[[#This Row],[proba]]&gt;$C$6,0,$C$4)))</f>
        <v>0</v>
      </c>
      <c r="O398" s="2">
        <f>IF(Данные[[#This Row],[weighted_ext_score]]&gt;$O$1,MIN(Данные[[#This Row],[Базовая сумма]]*$O$2,$C$2),IF(Данные[[#This Row],[weighted_ext_score]]&lt;$O$3,Данные[[#This Row],[Базовая сумма]]*$O$4,N398))</f>
        <v>0</v>
      </c>
      <c r="P3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8" s="2">
        <f>ABS(Данные[[#This Row],[days_birth]])/365.2425</f>
        <v>29.142282182385674</v>
      </c>
      <c r="S3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8" s="2">
        <f>IF(Данные[[#This Row],[ interest_rate]]&gt;$T$1,Данные[[#This Row],[days_birth4]]*$T$2,Данные[[#This Row],[days_birth4]])</f>
        <v>0</v>
      </c>
      <c r="U398" s="2">
        <f>IF(Данные[[#This Row],[Проверка отказа]]="отказ",0,MAX(Данные[[#This Row],[interest_rate]],$C$1))</f>
        <v>0</v>
      </c>
      <c r="V398" s="2">
        <f>MROUND(Данные[[#This Row],[Минимум 20000]], 100)</f>
        <v>0</v>
      </c>
    </row>
    <row r="399" spans="1:22" x14ac:dyDescent="0.25">
      <c r="A399" s="2">
        <f>'1000_заявлений'!A393</f>
        <v>391</v>
      </c>
      <c r="B399" s="4">
        <f>VALUE(SUBSTITUTE('1000_заявлений'!B393, ".", ","))</f>
        <v>0.68538027098047605</v>
      </c>
      <c r="C399" s="4">
        <f>VALUE(SUBSTITUTE('1000_заявлений'!C393, ".", ","))</f>
        <v>0.23395290292007201</v>
      </c>
      <c r="D399" s="4">
        <f>VALUE(SUBSTITUTE('1000_заявлений'!D393, ".", ","))</f>
        <v>0.1276988</v>
      </c>
      <c r="E399" s="4">
        <f>VALUE(SUBSTITUTE('1000_заявлений'!E393, ".", ","))</f>
        <v>0.57885949999999997</v>
      </c>
      <c r="F399" s="5">
        <f>VALUE(SUBSTITUTE('1000_заявлений'!F393, ".", ","))</f>
        <v>-7897</v>
      </c>
      <c r="G399" s="5">
        <f>VALUE(SUBSTITUTE('1000_заявлений'!G393, ".", ","))</f>
        <v>-14106</v>
      </c>
      <c r="H399" s="5">
        <f>VALUE(SUBSTITUTE('1000_заявлений'!H393, ".", ","))</f>
        <v>-4413</v>
      </c>
      <c r="I399" s="4">
        <f>VALUE(SUBSTITUTE('1000_заявлений'!I393, ".", ","))</f>
        <v>0.112533333333333</v>
      </c>
      <c r="J399" s="4">
        <f>VALUE(SUBSTITUTE('1000_заявлений'!J393, ".", ","))</f>
        <v>2.9327842885667299</v>
      </c>
      <c r="K399" s="5">
        <f>VALUE(SUBSTITUTE('1000_заявлений'!K393, ".", ","))</f>
        <v>-3764</v>
      </c>
      <c r="L399" s="6">
        <f>VALUE(SUBSTITUTE('1000_заявлений'!L393, ".", ","))</f>
        <v>30384</v>
      </c>
      <c r="M399" s="2" t="str">
        <f>IF(Данные[[#This Row],[proba]]&gt;$C$6, "отказ", "одобрение")</f>
        <v>отказ</v>
      </c>
      <c r="N399" s="7">
        <f>IF(Данные[[#This Row],[proba]]&lt;$D$2,$C$2,IF(Данные[[#This Row],[proba]]&lt;$D$3,$C$3,IF(Данные[[#This Row],[proba]]&gt;$C$6,0,$C$4)))</f>
        <v>0</v>
      </c>
      <c r="O399" s="2">
        <f>IF(Данные[[#This Row],[weighted_ext_score]]&gt;$O$1,MIN(Данные[[#This Row],[Базовая сумма]]*$O$2,$C$2),IF(Данные[[#This Row],[weighted_ext_score]]&lt;$O$3,Данные[[#This Row],[Базовая сумма]]*$O$4,N399))</f>
        <v>0</v>
      </c>
      <c r="P3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3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399" s="2">
        <f>ABS(Данные[[#This Row],[days_birth]])/365.2425</f>
        <v>38.620916240579888</v>
      </c>
      <c r="S3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399" s="2">
        <f>IF(Данные[[#This Row],[ interest_rate]]&gt;$T$1,Данные[[#This Row],[days_birth4]]*$T$2,Данные[[#This Row],[days_birth4]])</f>
        <v>0</v>
      </c>
      <c r="U399" s="2">
        <f>IF(Данные[[#This Row],[Проверка отказа]]="отказ",0,MAX(Данные[[#This Row],[interest_rate]],$C$1))</f>
        <v>0</v>
      </c>
      <c r="V399" s="2">
        <f>MROUND(Данные[[#This Row],[Минимум 20000]], 100)</f>
        <v>0</v>
      </c>
    </row>
    <row r="400" spans="1:22" x14ac:dyDescent="0.25">
      <c r="A400" s="2">
        <f>'1000_заявлений'!A394</f>
        <v>392</v>
      </c>
      <c r="B400" s="4">
        <f>VALUE(SUBSTITUTE('1000_заявлений'!B394, ".", ","))</f>
        <v>0.29403833523832401</v>
      </c>
      <c r="C400" s="4">
        <f>VALUE(SUBSTITUTE('1000_заявлений'!C394, ".", ","))</f>
        <v>0.54509153532932897</v>
      </c>
      <c r="D400" s="4">
        <f>VALUE(SUBSTITUTE('1000_заявлений'!D394, ".", ","))</f>
        <v>0.67541329999999999</v>
      </c>
      <c r="E400" s="4">
        <f>VALUE(SUBSTITUTE('1000_заявлений'!E394, ".", ","))</f>
        <v>0.50272983000000004</v>
      </c>
      <c r="F400" s="5">
        <f>VALUE(SUBSTITUTE('1000_заявлений'!F394, ".", ","))</f>
        <v>-3783</v>
      </c>
      <c r="G400" s="5">
        <f>VALUE(SUBSTITUTE('1000_заявлений'!G394, ".", ","))</f>
        <v>-14339</v>
      </c>
      <c r="H400" s="5">
        <f>VALUE(SUBSTITUTE('1000_заявлений'!H394, ".", ","))</f>
        <v>-4599</v>
      </c>
      <c r="I400" s="4">
        <f>VALUE(SUBSTITUTE('1000_заявлений'!I394, ".", ","))</f>
        <v>0.142416666666666</v>
      </c>
      <c r="J400" s="4">
        <f>VALUE(SUBSTITUTE('1000_заявлений'!J394, ".", ","))</f>
        <v>1.9539688663243899</v>
      </c>
      <c r="K400" s="5">
        <f>VALUE(SUBSTITUTE('1000_заявлений'!K394, ".", ","))</f>
        <v>-6892</v>
      </c>
      <c r="L400" s="6">
        <f>VALUE(SUBSTITUTE('1000_заявлений'!L394, ".", ","))</f>
        <v>38452.5</v>
      </c>
      <c r="M400" s="2" t="str">
        <f>IF(Данные[[#This Row],[proba]]&gt;$C$6, "отказ", "одобрение")</f>
        <v>одобрение</v>
      </c>
      <c r="N400" s="7">
        <f>IF(Данные[[#This Row],[proba]]&lt;$D$2,$C$2,IF(Данные[[#This Row],[proba]]&lt;$D$3,$C$3,IF(Данные[[#This Row],[proba]]&gt;$C$6,0,$C$4)))</f>
        <v>100000</v>
      </c>
      <c r="O400" s="2">
        <f>IF(Данные[[#This Row],[weighted_ext_score]]&gt;$O$1,MIN(Данные[[#This Row],[Базовая сумма]]*$O$2,$C$2),IF(Данные[[#This Row],[weighted_ext_score]]&lt;$O$3,Данные[[#This Row],[Базовая сумма]]*$O$4,N400))</f>
        <v>100000</v>
      </c>
      <c r="P4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00" s="2">
        <f>ABS(Данные[[#This Row],[days_birth]])/365.2425</f>
        <v>39.258848573208212</v>
      </c>
      <c r="S4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00" s="2">
        <f>IF(Данные[[#This Row],[ interest_rate]]&gt;$T$1,Данные[[#This Row],[days_birth4]]*$T$2,Данные[[#This Row],[days_birth4]])</f>
        <v>144000</v>
      </c>
      <c r="U400" s="2">
        <f>IF(Данные[[#This Row],[Проверка отказа]]="отказ",0,MAX(Данные[[#This Row],[interest_rate]],$C$1))</f>
        <v>144000</v>
      </c>
      <c r="V400" s="2">
        <f>MROUND(Данные[[#This Row],[Минимум 20000]], 100)</f>
        <v>144000</v>
      </c>
    </row>
    <row r="401" spans="1:22" x14ac:dyDescent="0.25">
      <c r="A401" s="2">
        <f>'1000_заявлений'!A395</f>
        <v>393</v>
      </c>
      <c r="B401" s="4">
        <f>VALUE(SUBSTITUTE('1000_заявлений'!B395, ".", ","))</f>
        <v>0.25874976950619399</v>
      </c>
      <c r="C401" s="4">
        <f>VALUE(SUBSTITUTE('1000_заявлений'!C395, ".", ","))</f>
        <v>0.55087851581599301</v>
      </c>
      <c r="D401" s="4">
        <f>VALUE(SUBSTITUTE('1000_заявлений'!D395, ".", ","))</f>
        <v>0.54959650000000004</v>
      </c>
      <c r="E401" s="4">
        <f>VALUE(SUBSTITUTE('1000_заявлений'!E395, ".", ","))</f>
        <v>0.66808350000000005</v>
      </c>
      <c r="F401" s="5">
        <f>VALUE(SUBSTITUTE('1000_заявлений'!F395, ".", ","))</f>
        <v>-7076</v>
      </c>
      <c r="G401" s="5">
        <f>VALUE(SUBSTITUTE('1000_заявлений'!G395, ".", ","))</f>
        <v>-14119</v>
      </c>
      <c r="H401" s="5">
        <f>VALUE(SUBSTITUTE('1000_заявлений'!H395, ".", ","))</f>
        <v>-4378</v>
      </c>
      <c r="I401" s="4">
        <f>VALUE(SUBSTITUTE('1000_заявлений'!I395, ".", ","))</f>
        <v>0.1</v>
      </c>
      <c r="J401" s="4">
        <f>VALUE(SUBSTITUTE('1000_заявлений'!J395, ".", ","))</f>
        <v>10.6209759779781</v>
      </c>
      <c r="K401" s="5">
        <f>VALUE(SUBSTITUTE('1000_заявлений'!K395, ".", ","))</f>
        <v>-2401</v>
      </c>
      <c r="L401" s="6">
        <f>VALUE(SUBSTITUTE('1000_заявлений'!L395, ".", ","))</f>
        <v>9000</v>
      </c>
      <c r="M401" s="2" t="str">
        <f>IF(Данные[[#This Row],[proba]]&gt;$C$6, "отказ", "одобрение")</f>
        <v>одобрение</v>
      </c>
      <c r="N401" s="7">
        <f>IF(Данные[[#This Row],[proba]]&lt;$D$2,$C$2,IF(Данные[[#This Row],[proba]]&lt;$D$3,$C$3,IF(Данные[[#This Row],[proba]]&gt;$C$6,0,$C$4)))</f>
        <v>100000</v>
      </c>
      <c r="O401" s="2">
        <f>IF(Данные[[#This Row],[weighted_ext_score]]&gt;$O$1,MIN(Данные[[#This Row],[Базовая сумма]]*$O$2,$C$2),IF(Данные[[#This Row],[weighted_ext_score]]&lt;$O$3,Данные[[#This Row],[Базовая сумма]]*$O$4,N401))</f>
        <v>100000</v>
      </c>
      <c r="P4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01" s="2">
        <f>ABS(Данные[[#This Row],[days_birth]])/365.2425</f>
        <v>38.656509031670737</v>
      </c>
      <c r="S4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01" s="2">
        <f>IF(Данные[[#This Row],[ interest_rate]]&gt;$T$1,Данные[[#This Row],[days_birth4]]*$T$2,Данные[[#This Row],[days_birth4]])</f>
        <v>144000</v>
      </c>
      <c r="U401" s="2">
        <f>IF(Данные[[#This Row],[Проверка отказа]]="отказ",0,MAX(Данные[[#This Row],[interest_rate]],$C$1))</f>
        <v>144000</v>
      </c>
      <c r="V401" s="2">
        <f>MROUND(Данные[[#This Row],[Минимум 20000]], 100)</f>
        <v>144000</v>
      </c>
    </row>
    <row r="402" spans="1:22" x14ac:dyDescent="0.25">
      <c r="A402" s="2">
        <f>'1000_заявлений'!A396</f>
        <v>394</v>
      </c>
      <c r="B402" s="4">
        <f>VALUE(SUBSTITUTE('1000_заявлений'!B396, ".", ","))</f>
        <v>0.15228479362110001</v>
      </c>
      <c r="C402" s="4">
        <f>VALUE(SUBSTITUTE('1000_заявлений'!C396, ".", ","))</f>
        <v>0.48026770859322998</v>
      </c>
      <c r="D402" s="4">
        <f>VALUE(SUBSTITUTE('1000_заявлений'!D396, ".", ","))</f>
        <v>0.85100869999999995</v>
      </c>
      <c r="E402" s="4">
        <f>VALUE(SUBSTITUTE('1000_заявлений'!E396, ".", ","))</f>
        <v>0.53174909999999997</v>
      </c>
      <c r="F402" s="5">
        <f>VALUE(SUBSTITUTE('1000_заявлений'!F396, ".", ","))</f>
        <v>-1473</v>
      </c>
      <c r="G402" s="5">
        <f>VALUE(SUBSTITUTE('1000_заявлений'!G396, ".", ","))</f>
        <v>-23265</v>
      </c>
      <c r="H402" s="5">
        <f>VALUE(SUBSTITUTE('1000_заявлений'!H396, ".", ","))</f>
        <v>-4709</v>
      </c>
      <c r="I402" s="4">
        <f>VALUE(SUBSTITUTE('1000_заявлений'!I396, ".", ","))</f>
        <v>0.14000000000000001</v>
      </c>
      <c r="J402" s="4">
        <f>VALUE(SUBSTITUTE('1000_заявлений'!J396, ".", ","))</f>
        <v>10.6209759779781</v>
      </c>
      <c r="K402" s="5">
        <f>VALUE(SUBSTITUTE('1000_заявлений'!K396, ".", ","))</f>
        <v>365243</v>
      </c>
      <c r="L402" s="6">
        <f>VALUE(SUBSTITUTE('1000_заявлений'!L396, ".", ","))</f>
        <v>15750</v>
      </c>
      <c r="M402" s="2" t="str">
        <f>IF(Данные[[#This Row],[proba]]&gt;$C$6, "отказ", "одобрение")</f>
        <v>одобрение</v>
      </c>
      <c r="N402" s="7">
        <f>IF(Данные[[#This Row],[proba]]&lt;$D$2,$C$2,IF(Данные[[#This Row],[proba]]&lt;$D$3,$C$3,IF(Данные[[#This Row],[proba]]&gt;$C$6,0,$C$4)))</f>
        <v>300000</v>
      </c>
      <c r="O402" s="2">
        <f>IF(Данные[[#This Row],[weighted_ext_score]]&gt;$O$1,MIN(Данные[[#This Row],[Базовая сумма]]*$O$2,$C$2),IF(Данные[[#This Row],[weighted_ext_score]]&lt;$O$3,Данные[[#This Row],[Базовая сумма]]*$O$4,N402))</f>
        <v>300000</v>
      </c>
      <c r="P4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402" s="2">
        <f>ABS(Данные[[#This Row],[days_birth]])/365.2425</f>
        <v>63.697406517587631</v>
      </c>
      <c r="S4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402" s="2">
        <f>IF(Данные[[#This Row],[ interest_rate]]&gt;$T$1,Данные[[#This Row],[days_birth4]]*$T$2,Данные[[#This Row],[days_birth4]])</f>
        <v>378000</v>
      </c>
      <c r="U402" s="2">
        <f>IF(Данные[[#This Row],[Проверка отказа]]="отказ",0,MAX(Данные[[#This Row],[interest_rate]],$C$1))</f>
        <v>378000</v>
      </c>
      <c r="V402" s="2">
        <f>MROUND(Данные[[#This Row],[Минимум 20000]], 100)</f>
        <v>378000</v>
      </c>
    </row>
    <row r="403" spans="1:22" x14ac:dyDescent="0.25">
      <c r="A403" s="2">
        <f>'1000_заявлений'!A397</f>
        <v>395</v>
      </c>
      <c r="B403" s="4">
        <f>VALUE(SUBSTITUTE('1000_заявлений'!B397, ".", ","))</f>
        <v>0.26463136975158302</v>
      </c>
      <c r="C403" s="4">
        <f>VALUE(SUBSTITUTE('1000_заявлений'!C397, ".", ","))</f>
        <v>0.46470265078653</v>
      </c>
      <c r="D403" s="4">
        <f>VALUE(SUBSTITUTE('1000_заявлений'!D397, ".", ","))</f>
        <v>0.75971215999999997</v>
      </c>
      <c r="E403" s="4">
        <f>VALUE(SUBSTITUTE('1000_заявлений'!E397, ".", ","))</f>
        <v>0.58555615000000005</v>
      </c>
      <c r="F403" s="5">
        <f>VALUE(SUBSTITUTE('1000_заявлений'!F397, ".", ","))</f>
        <v>-44</v>
      </c>
      <c r="G403" s="5">
        <f>VALUE(SUBSTITUTE('1000_заявлений'!G397, ".", ","))</f>
        <v>-13291</v>
      </c>
      <c r="H403" s="5">
        <f>VALUE(SUBSTITUTE('1000_заявлений'!H397, ".", ","))</f>
        <v>-3907</v>
      </c>
      <c r="I403" s="4">
        <f>VALUE(SUBSTITUTE('1000_заявлений'!I397, ".", ","))</f>
        <v>0.11675000000000001</v>
      </c>
      <c r="J403" s="4">
        <f>VALUE(SUBSTITUTE('1000_заявлений'!J397, ".", ","))</f>
        <v>4.3026370187179799</v>
      </c>
      <c r="K403" s="5">
        <f>VALUE(SUBSTITUTE('1000_заявлений'!K397, ".", ","))</f>
        <v>-248</v>
      </c>
      <c r="L403" s="6">
        <f>VALUE(SUBSTITUTE('1000_заявлений'!L397, ".", ","))</f>
        <v>31522.5</v>
      </c>
      <c r="M403" s="2" t="str">
        <f>IF(Данные[[#This Row],[proba]]&gt;$C$6, "отказ", "одобрение")</f>
        <v>одобрение</v>
      </c>
      <c r="N403" s="7">
        <f>IF(Данные[[#This Row],[proba]]&lt;$D$2,$C$2,IF(Данные[[#This Row],[proba]]&lt;$D$3,$C$3,IF(Данные[[#This Row],[proba]]&gt;$C$6,0,$C$4)))</f>
        <v>100000</v>
      </c>
      <c r="O403" s="2">
        <f>IF(Данные[[#This Row],[weighted_ext_score]]&gt;$O$1,MIN(Данные[[#This Row],[Базовая сумма]]*$O$2,$C$2),IF(Данные[[#This Row],[weighted_ext_score]]&lt;$O$3,Данные[[#This Row],[Базовая сумма]]*$O$4,N403))</f>
        <v>100000</v>
      </c>
      <c r="P4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03" s="2">
        <f>ABS(Данные[[#This Row],[days_birth]])/365.2425</f>
        <v>36.389522029884255</v>
      </c>
      <c r="S4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403" s="2">
        <f>IF(Данные[[#This Row],[ interest_rate]]&gt;$T$1,Данные[[#This Row],[days_birth4]]*$T$2,Данные[[#This Row],[days_birth4]])</f>
        <v>120000</v>
      </c>
      <c r="U403" s="2">
        <f>IF(Данные[[#This Row],[Проверка отказа]]="отказ",0,MAX(Данные[[#This Row],[interest_rate]],$C$1))</f>
        <v>120000</v>
      </c>
      <c r="V403" s="2">
        <f>MROUND(Данные[[#This Row],[Минимум 20000]], 100)</f>
        <v>120000</v>
      </c>
    </row>
    <row r="404" spans="1:22" x14ac:dyDescent="0.25">
      <c r="A404" s="2">
        <f>'1000_заявлений'!A398</f>
        <v>396</v>
      </c>
      <c r="B404" s="4">
        <f>VALUE(SUBSTITUTE('1000_заявлений'!B398, ".", ","))</f>
        <v>0.22704649384471001</v>
      </c>
      <c r="C404" s="4">
        <f>VALUE(SUBSTITUTE('1000_заявлений'!C398, ".", ","))</f>
        <v>0.63255597141874598</v>
      </c>
      <c r="D404" s="4">
        <f>VALUE(SUBSTITUTE('1000_заявлений'!D398, ".", ","))</f>
        <v>0.61441440000000003</v>
      </c>
      <c r="E404" s="4">
        <f>VALUE(SUBSTITUTE('1000_заявлений'!E398, ".", ","))</f>
        <v>0.73412390000000005</v>
      </c>
      <c r="F404" s="5">
        <f>VALUE(SUBSTITUTE('1000_заявлений'!F398, ".", ","))</f>
        <v>-9462</v>
      </c>
      <c r="G404" s="5">
        <f>VALUE(SUBSTITUTE('1000_заявлений'!G398, ".", ","))</f>
        <v>-15409</v>
      </c>
      <c r="H404" s="5">
        <f>VALUE(SUBSTITUTE('1000_заявлений'!H398, ".", ","))</f>
        <v>-3899</v>
      </c>
      <c r="I404" s="4">
        <f>VALUE(SUBSTITUTE('1000_заявлений'!I398, ".", ","))</f>
        <v>0.23226666666666601</v>
      </c>
      <c r="J404" s="4">
        <f>VALUE(SUBSTITUTE('1000_заявлений'!J398, ".", ","))</f>
        <v>1.8424271783653501</v>
      </c>
      <c r="K404" s="5">
        <f>VALUE(SUBSTITUTE('1000_заявлений'!K398, ".", ","))</f>
        <v>-7518</v>
      </c>
      <c r="L404" s="6">
        <f>VALUE(SUBSTITUTE('1000_заявлений'!L398, ".", ","))</f>
        <v>31356</v>
      </c>
      <c r="M404" s="2" t="str">
        <f>IF(Данные[[#This Row],[proba]]&gt;$C$6, "отказ", "одобрение")</f>
        <v>одобрение</v>
      </c>
      <c r="N404" s="7">
        <f>IF(Данные[[#This Row],[proba]]&lt;$D$2,$C$2,IF(Данные[[#This Row],[proba]]&lt;$D$3,$C$3,IF(Данные[[#This Row],[proba]]&gt;$C$6,0,$C$4)))</f>
        <v>100000</v>
      </c>
      <c r="O404" s="2">
        <f>IF(Данные[[#This Row],[weighted_ext_score]]&gt;$O$1,MIN(Данные[[#This Row],[Базовая сумма]]*$O$2,$C$2),IF(Данные[[#This Row],[weighted_ext_score]]&lt;$O$3,Данные[[#This Row],[Базовая сумма]]*$O$4,N404))</f>
        <v>100000</v>
      </c>
      <c r="P4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04" s="2">
        <f>ABS(Данные[[#This Row],[days_birth]])/365.2425</f>
        <v>42.188409070685914</v>
      </c>
      <c r="S4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404" s="2">
        <f>IF(Данные[[#This Row],[ interest_rate]]&gt;$T$1,Данные[[#This Row],[days_birth4]]*$T$2,Данные[[#This Row],[days_birth4]])</f>
        <v>120000</v>
      </c>
      <c r="U404" s="2">
        <f>IF(Данные[[#This Row],[Проверка отказа]]="отказ",0,MAX(Данные[[#This Row],[interest_rate]],$C$1))</f>
        <v>120000</v>
      </c>
      <c r="V404" s="2">
        <f>MROUND(Данные[[#This Row],[Минимум 20000]], 100)</f>
        <v>120000</v>
      </c>
    </row>
    <row r="405" spans="1:22" x14ac:dyDescent="0.25">
      <c r="A405" s="2">
        <f>'1000_заявлений'!A399</f>
        <v>397</v>
      </c>
      <c r="B405" s="4">
        <f>VALUE(SUBSTITUTE('1000_заявлений'!B399, ".", ","))</f>
        <v>0.747111853763752</v>
      </c>
      <c r="C405" s="4">
        <f>VALUE(SUBSTITUTE('1000_заявлений'!C399, ".", ","))</f>
        <v>5.3581409220436103E-2</v>
      </c>
      <c r="D405" s="4">
        <f>VALUE(SUBSTITUTE('1000_заявлений'!D399, ".", ","))</f>
        <v>0.53527623000000002</v>
      </c>
      <c r="E405" s="4">
        <f>VALUE(SUBSTITUTE('1000_заявлений'!E399, ".", ","))</f>
        <v>0.16518258</v>
      </c>
      <c r="F405" s="5">
        <f>VALUE(SUBSTITUTE('1000_заявлений'!F399, ".", ","))</f>
        <v>-2685</v>
      </c>
      <c r="G405" s="5">
        <f>VALUE(SUBSTITUTE('1000_заявлений'!G399, ".", ","))</f>
        <v>-14202</v>
      </c>
      <c r="H405" s="5">
        <f>VALUE(SUBSTITUTE('1000_заявлений'!H399, ".", ","))</f>
        <v>-214</v>
      </c>
      <c r="I405" s="4">
        <f>VALUE(SUBSTITUTE('1000_заявлений'!I399, ".", ","))</f>
        <v>0.16666666666666599</v>
      </c>
      <c r="J405" s="4">
        <f>VALUE(SUBSTITUTE('1000_заявлений'!J399, ".", ","))</f>
        <v>10.6209759779781</v>
      </c>
      <c r="K405" s="5">
        <f>VALUE(SUBSTITUTE('1000_заявлений'!K399, ".", ","))</f>
        <v>-502</v>
      </c>
      <c r="L405" s="6">
        <f>VALUE(SUBSTITUTE('1000_заявлений'!L399, ".", ","))</f>
        <v>9000</v>
      </c>
      <c r="M405" s="2" t="str">
        <f>IF(Данные[[#This Row],[proba]]&gt;$C$6, "отказ", "одобрение")</f>
        <v>отказ</v>
      </c>
      <c r="N405" s="7">
        <f>IF(Данные[[#This Row],[proba]]&lt;$D$2,$C$2,IF(Данные[[#This Row],[proba]]&lt;$D$3,$C$3,IF(Данные[[#This Row],[proba]]&gt;$C$6,0,$C$4)))</f>
        <v>0</v>
      </c>
      <c r="O405" s="2">
        <f>IF(Данные[[#This Row],[weighted_ext_score]]&gt;$O$1,MIN(Данные[[#This Row],[Базовая сумма]]*$O$2,$C$2),IF(Данные[[#This Row],[weighted_ext_score]]&lt;$O$3,Данные[[#This Row],[Базовая сумма]]*$O$4,N405))</f>
        <v>0</v>
      </c>
      <c r="P4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5" s="2">
        <f>ABS(Данные[[#This Row],[days_birth]])/365.2425</f>
        <v>38.883755313250788</v>
      </c>
      <c r="S4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5" s="2">
        <f>IF(Данные[[#This Row],[ interest_rate]]&gt;$T$1,Данные[[#This Row],[days_birth4]]*$T$2,Данные[[#This Row],[days_birth4]])</f>
        <v>0</v>
      </c>
      <c r="U405" s="2">
        <f>IF(Данные[[#This Row],[Проверка отказа]]="отказ",0,MAX(Данные[[#This Row],[interest_rate]],$C$1))</f>
        <v>0</v>
      </c>
      <c r="V405" s="2">
        <f>MROUND(Данные[[#This Row],[Минимум 20000]], 100)</f>
        <v>0</v>
      </c>
    </row>
    <row r="406" spans="1:22" x14ac:dyDescent="0.25">
      <c r="A406" s="2">
        <f>'1000_заявлений'!A400</f>
        <v>398</v>
      </c>
      <c r="B406" s="4">
        <f>VALUE(SUBSTITUTE('1000_заявлений'!B400, ".", ","))</f>
        <v>0.88345808680091198</v>
      </c>
      <c r="C406" s="4">
        <f>VALUE(SUBSTITUTE('1000_заявлений'!C400, ".", ","))</f>
        <v>0.125595874074935</v>
      </c>
      <c r="D406" s="4">
        <f>VALUE(SUBSTITUTE('1000_заявлений'!D400, ".", ","))</f>
        <v>0.11175636999999999</v>
      </c>
      <c r="E406" s="4">
        <f>VALUE(SUBSTITUTE('1000_заявлений'!E400, ".", ","))</f>
        <v>5.4692947000000002E-3</v>
      </c>
      <c r="F406" s="5">
        <f>VALUE(SUBSTITUTE('1000_заявлений'!F400, ".", ","))</f>
        <v>-3470</v>
      </c>
      <c r="G406" s="5">
        <f>VALUE(SUBSTITUTE('1000_заявлений'!G400, ".", ","))</f>
        <v>-13203</v>
      </c>
      <c r="H406" s="5">
        <f>VALUE(SUBSTITUTE('1000_заявлений'!H400, ".", ","))</f>
        <v>-3988</v>
      </c>
      <c r="I406" s="4">
        <f>VALUE(SUBSTITUTE('1000_заявлений'!I400, ".", ","))</f>
        <v>7.2440000000000004E-2</v>
      </c>
      <c r="J406" s="4">
        <f>VALUE(SUBSTITUTE('1000_заявлений'!J400, ".", ","))</f>
        <v>2.5248311151312999</v>
      </c>
      <c r="K406" s="5">
        <f>VALUE(SUBSTITUTE('1000_заявлений'!K400, ".", ","))</f>
        <v>-3230</v>
      </c>
      <c r="L406" s="6">
        <f>VALUE(SUBSTITUTE('1000_заявлений'!L400, ".", ","))</f>
        <v>32598</v>
      </c>
      <c r="M406" s="2" t="str">
        <f>IF(Данные[[#This Row],[proba]]&gt;$C$6, "отказ", "одобрение")</f>
        <v>отказ</v>
      </c>
      <c r="N406" s="7">
        <f>IF(Данные[[#This Row],[proba]]&lt;$D$2,$C$2,IF(Данные[[#This Row],[proba]]&lt;$D$3,$C$3,IF(Данные[[#This Row],[proba]]&gt;$C$6,0,$C$4)))</f>
        <v>0</v>
      </c>
      <c r="O406" s="2">
        <f>IF(Данные[[#This Row],[weighted_ext_score]]&gt;$O$1,MIN(Данные[[#This Row],[Базовая сумма]]*$O$2,$C$2),IF(Данные[[#This Row],[weighted_ext_score]]&lt;$O$3,Данные[[#This Row],[Базовая сумма]]*$O$4,N406))</f>
        <v>0</v>
      </c>
      <c r="P4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6" s="2">
        <f>ABS(Данные[[#This Row],[days_birth]])/365.2425</f>
        <v>36.148586213269269</v>
      </c>
      <c r="S4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6" s="2">
        <f>IF(Данные[[#This Row],[ interest_rate]]&gt;$T$1,Данные[[#This Row],[days_birth4]]*$T$2,Данные[[#This Row],[days_birth4]])</f>
        <v>0</v>
      </c>
      <c r="U406" s="2">
        <f>IF(Данные[[#This Row],[Проверка отказа]]="отказ",0,MAX(Данные[[#This Row],[interest_rate]],$C$1))</f>
        <v>0</v>
      </c>
      <c r="V406" s="2">
        <f>MROUND(Данные[[#This Row],[Минимум 20000]], 100)</f>
        <v>0</v>
      </c>
    </row>
    <row r="407" spans="1:22" x14ac:dyDescent="0.25">
      <c r="A407" s="2">
        <f>'1000_заявлений'!A401</f>
        <v>399</v>
      </c>
      <c r="B407" s="4">
        <f>VALUE(SUBSTITUTE('1000_заявлений'!B401, ".", ","))</f>
        <v>0.399057724406499</v>
      </c>
      <c r="C407" s="4">
        <f>VALUE(SUBSTITUTE('1000_заявлений'!C401, ".", ","))</f>
        <v>0.40817413026132099</v>
      </c>
      <c r="D407" s="4">
        <f>VALUE(SUBSTITUTE('1000_заявлений'!D401, ".", ","))</f>
        <v>0.50468135000000003</v>
      </c>
      <c r="E407" s="4">
        <f>VALUE(SUBSTITUTE('1000_заявлений'!E401, ".", ","))</f>
        <v>0.69563600000000003</v>
      </c>
      <c r="F407" s="5">
        <f>VALUE(SUBSTITUTE('1000_заявлений'!F401, ".", ","))</f>
        <v>-3293</v>
      </c>
      <c r="G407" s="5">
        <f>VALUE(SUBSTITUTE('1000_заявлений'!G401, ".", ","))</f>
        <v>-14516</v>
      </c>
      <c r="H407" s="5">
        <f>VALUE(SUBSTITUTE('1000_заявлений'!H401, ".", ","))</f>
        <v>-2370</v>
      </c>
      <c r="I407" s="4">
        <f>VALUE(SUBSTITUTE('1000_заявлений'!I401, ".", ","))</f>
        <v>0.23044444444444401</v>
      </c>
      <c r="J407" s="4">
        <f>VALUE(SUBSTITUTE('1000_заявлений'!J401, ".", ","))</f>
        <v>2.5571778237261</v>
      </c>
      <c r="K407" s="5">
        <f>VALUE(SUBSTITUTE('1000_заявлений'!K401, ".", ","))</f>
        <v>-2007</v>
      </c>
      <c r="L407" s="6">
        <f>VALUE(SUBSTITUTE('1000_заявлений'!L401, ".", ","))</f>
        <v>46665</v>
      </c>
      <c r="M407" s="2" t="str">
        <f>IF(Данные[[#This Row],[proba]]&gt;$C$6, "отказ", "одобрение")</f>
        <v>отказ</v>
      </c>
      <c r="N407" s="7">
        <f>IF(Данные[[#This Row],[proba]]&lt;$D$2,$C$2,IF(Данные[[#This Row],[proba]]&lt;$D$3,$C$3,IF(Данные[[#This Row],[proba]]&gt;$C$6,0,$C$4)))</f>
        <v>0</v>
      </c>
      <c r="O407" s="2">
        <f>IF(Данные[[#This Row],[weighted_ext_score]]&gt;$O$1,MIN(Данные[[#This Row],[Базовая сумма]]*$O$2,$C$2),IF(Данные[[#This Row],[weighted_ext_score]]&lt;$O$3,Данные[[#This Row],[Базовая сумма]]*$O$4,N407))</f>
        <v>0</v>
      </c>
      <c r="P4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7" s="2">
        <f>ABS(Данные[[#This Row],[days_birth]])/365.2425</f>
        <v>39.743458113445179</v>
      </c>
      <c r="S4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7" s="2">
        <f>IF(Данные[[#This Row],[ interest_rate]]&gt;$T$1,Данные[[#This Row],[days_birth4]]*$T$2,Данные[[#This Row],[days_birth4]])</f>
        <v>0</v>
      </c>
      <c r="U407" s="2">
        <f>IF(Данные[[#This Row],[Проверка отказа]]="отказ",0,MAX(Данные[[#This Row],[interest_rate]],$C$1))</f>
        <v>0</v>
      </c>
      <c r="V407" s="2">
        <f>MROUND(Данные[[#This Row],[Минимум 20000]], 100)</f>
        <v>0</v>
      </c>
    </row>
    <row r="408" spans="1:22" x14ac:dyDescent="0.25">
      <c r="A408" s="2">
        <f>'1000_заявлений'!A402</f>
        <v>400</v>
      </c>
      <c r="B408" s="4">
        <f>VALUE(SUBSTITUTE('1000_заявлений'!B402, ".", ","))</f>
        <v>0.57397274525766695</v>
      </c>
      <c r="C408" s="4">
        <f>VALUE(SUBSTITUTE('1000_заявлений'!C402, ".", ","))</f>
        <v>0.30377894038162401</v>
      </c>
      <c r="D408" s="4">
        <f>VALUE(SUBSTITUTE('1000_заявлений'!D402, ".", ","))</f>
        <v>0.41885430000000001</v>
      </c>
      <c r="E408" s="4">
        <f>VALUE(SUBSTITUTE('1000_заявлений'!E402, ".", ","))</f>
        <v>0.46949627999999999</v>
      </c>
      <c r="F408" s="5">
        <f>VALUE(SUBSTITUTE('1000_заявлений'!F402, ".", ","))</f>
        <v>-3715</v>
      </c>
      <c r="G408" s="5">
        <f>VALUE(SUBSTITUTE('1000_заявлений'!G402, ".", ","))</f>
        <v>-13055</v>
      </c>
      <c r="H408" s="5">
        <f>VALUE(SUBSTITUTE('1000_заявлений'!H402, ".", ","))</f>
        <v>-3373</v>
      </c>
      <c r="I408" s="4">
        <f>VALUE(SUBSTITUTE('1000_заявлений'!I402, ".", ","))</f>
        <v>0.21925925925925899</v>
      </c>
      <c r="J408" s="4">
        <f>VALUE(SUBSTITUTE('1000_заявлений'!J402, ".", ","))</f>
        <v>7.9620143797618903</v>
      </c>
      <c r="K408" s="5">
        <f>VALUE(SUBSTITUTE('1000_заявлений'!K402, ".", ","))</f>
        <v>-2574</v>
      </c>
      <c r="L408" s="6">
        <f>VALUE(SUBSTITUTE('1000_заявлений'!L402, ".", ","))</f>
        <v>26640</v>
      </c>
      <c r="M408" s="2" t="str">
        <f>IF(Данные[[#This Row],[proba]]&gt;$C$6, "отказ", "одобрение")</f>
        <v>отказ</v>
      </c>
      <c r="N408" s="7">
        <f>IF(Данные[[#This Row],[proba]]&lt;$D$2,$C$2,IF(Данные[[#This Row],[proba]]&lt;$D$3,$C$3,IF(Данные[[#This Row],[proba]]&gt;$C$6,0,$C$4)))</f>
        <v>0</v>
      </c>
      <c r="O408" s="2">
        <f>IF(Данные[[#This Row],[weighted_ext_score]]&gt;$O$1,MIN(Данные[[#This Row],[Базовая сумма]]*$O$2,$C$2),IF(Данные[[#This Row],[weighted_ext_score]]&lt;$O$3,Данные[[#This Row],[Базовая сумма]]*$O$4,N408))</f>
        <v>0</v>
      </c>
      <c r="P4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8" s="2">
        <f>ABS(Данные[[#This Row],[days_birth]])/365.2425</f>
        <v>35.743375976234965</v>
      </c>
      <c r="S4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8" s="2">
        <f>IF(Данные[[#This Row],[ interest_rate]]&gt;$T$1,Данные[[#This Row],[days_birth4]]*$T$2,Данные[[#This Row],[days_birth4]])</f>
        <v>0</v>
      </c>
      <c r="U408" s="2">
        <f>IF(Данные[[#This Row],[Проверка отказа]]="отказ",0,MAX(Данные[[#This Row],[interest_rate]],$C$1))</f>
        <v>0</v>
      </c>
      <c r="V408" s="2">
        <f>MROUND(Данные[[#This Row],[Минимум 20000]], 100)</f>
        <v>0</v>
      </c>
    </row>
    <row r="409" spans="1:22" x14ac:dyDescent="0.25">
      <c r="A409" s="2">
        <f>'1000_заявлений'!A403</f>
        <v>401</v>
      </c>
      <c r="B409" s="4">
        <f>VALUE(SUBSTITUTE('1000_заявлений'!B403, ".", ","))</f>
        <v>0.33206936950092503</v>
      </c>
      <c r="C409" s="4">
        <f>VALUE(SUBSTITUTE('1000_заявлений'!C403, ".", ","))</f>
        <v>0.528594348837789</v>
      </c>
      <c r="D409" s="4">
        <f>VALUE(SUBSTITUTE('1000_заявлений'!D403, ".", ","))</f>
        <v>0.52449643999999995</v>
      </c>
      <c r="E409" s="4">
        <f>VALUE(SUBSTITUTE('1000_заявлений'!E403, ".", ","))</f>
        <v>0.65867399999999998</v>
      </c>
      <c r="F409" s="5">
        <f>VALUE(SUBSTITUTE('1000_заявлений'!F403, ".", ","))</f>
        <v>-2638</v>
      </c>
      <c r="G409" s="5">
        <f>VALUE(SUBSTITUTE('1000_заявлений'!G403, ".", ","))</f>
        <v>-13868</v>
      </c>
      <c r="H409" s="5">
        <f>VALUE(SUBSTITUTE('1000_заявлений'!H403, ".", ","))</f>
        <v>-5396</v>
      </c>
      <c r="I409" s="4">
        <f>VALUE(SUBSTITUTE('1000_заявлений'!I403, ".", ","))</f>
        <v>0.148733333333333</v>
      </c>
      <c r="J409" s="4">
        <f>VALUE(SUBSTITUTE('1000_заявлений'!J403, ".", ","))</f>
        <v>2.6366193776769098</v>
      </c>
      <c r="K409" s="5">
        <f>VALUE(SUBSTITUTE('1000_заявлений'!K403, ".", ","))</f>
        <v>-3008</v>
      </c>
      <c r="L409" s="6">
        <f>VALUE(SUBSTITUTE('1000_заявлений'!L403, ".", ","))</f>
        <v>10039.5</v>
      </c>
      <c r="M409" s="2" t="str">
        <f>IF(Данные[[#This Row],[proba]]&gt;$C$6, "отказ", "одобрение")</f>
        <v>отказ</v>
      </c>
      <c r="N409" s="7">
        <f>IF(Данные[[#This Row],[proba]]&lt;$D$2,$C$2,IF(Данные[[#This Row],[proba]]&lt;$D$3,$C$3,IF(Данные[[#This Row],[proba]]&gt;$C$6,0,$C$4)))</f>
        <v>0</v>
      </c>
      <c r="O409" s="2">
        <f>IF(Данные[[#This Row],[weighted_ext_score]]&gt;$O$1,MIN(Данные[[#This Row],[Базовая сумма]]*$O$2,$C$2),IF(Данные[[#This Row],[weighted_ext_score]]&lt;$O$3,Данные[[#This Row],[Базовая сумма]]*$O$4,N409))</f>
        <v>0</v>
      </c>
      <c r="P4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09" s="2">
        <f>ABS(Данные[[#This Row],[days_birth]])/365.2425</f>
        <v>37.969294372916622</v>
      </c>
      <c r="S4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09" s="2">
        <f>IF(Данные[[#This Row],[ interest_rate]]&gt;$T$1,Данные[[#This Row],[days_birth4]]*$T$2,Данные[[#This Row],[days_birth4]])</f>
        <v>0</v>
      </c>
      <c r="U409" s="2">
        <f>IF(Данные[[#This Row],[Проверка отказа]]="отказ",0,MAX(Данные[[#This Row],[interest_rate]],$C$1))</f>
        <v>0</v>
      </c>
      <c r="V409" s="2">
        <f>MROUND(Данные[[#This Row],[Минимум 20000]], 100)</f>
        <v>0</v>
      </c>
    </row>
    <row r="410" spans="1:22" x14ac:dyDescent="0.25">
      <c r="A410" s="2">
        <f>'1000_заявлений'!A404</f>
        <v>402</v>
      </c>
      <c r="B410" s="4">
        <f>VALUE(SUBSTITUTE('1000_заявлений'!B404, ".", ","))</f>
        <v>0.27360988431913302</v>
      </c>
      <c r="C410" s="4">
        <f>VALUE(SUBSTITUTE('1000_заявлений'!C404, ".", ","))</f>
        <v>0.54648101397551097</v>
      </c>
      <c r="D410" s="4">
        <f>VALUE(SUBSTITUTE('1000_заявлений'!D404, ".", ","))</f>
        <v>0.79813725000000002</v>
      </c>
      <c r="E410" s="4">
        <f>VALUE(SUBSTITUTE('1000_заявлений'!E404, ".", ","))</f>
        <v>0.41419276999999999</v>
      </c>
      <c r="F410" s="5">
        <f>VALUE(SUBSTITUTE('1000_заявлений'!F404, ".", ","))</f>
        <v>-7620</v>
      </c>
      <c r="G410" s="5">
        <f>VALUE(SUBSTITUTE('1000_заявлений'!G404, ".", ","))</f>
        <v>-13546</v>
      </c>
      <c r="H410" s="5">
        <f>VALUE(SUBSTITUTE('1000_заявлений'!H404, ".", ","))</f>
        <v>-4329</v>
      </c>
      <c r="I410" s="4">
        <f>VALUE(SUBSTITUTE('1000_заявлений'!I404, ".", ","))</f>
        <v>0.20482</v>
      </c>
      <c r="J410" s="4">
        <f>VALUE(SUBSTITUTE('1000_заявлений'!J404, ".", ","))</f>
        <v>2.7691108986026101</v>
      </c>
      <c r="K410" s="5">
        <f>VALUE(SUBSTITUTE('1000_заявлений'!K404, ".", ","))</f>
        <v>-47</v>
      </c>
      <c r="L410" s="6">
        <f>VALUE(SUBSTITUTE('1000_заявлений'!L404, ".", ","))</f>
        <v>46084.5</v>
      </c>
      <c r="M410" s="2" t="str">
        <f>IF(Данные[[#This Row],[proba]]&gt;$C$6, "отказ", "одобрение")</f>
        <v>одобрение</v>
      </c>
      <c r="N410" s="7">
        <f>IF(Данные[[#This Row],[proba]]&lt;$D$2,$C$2,IF(Данные[[#This Row],[proba]]&lt;$D$3,$C$3,IF(Данные[[#This Row],[proba]]&gt;$C$6,0,$C$4)))</f>
        <v>100000</v>
      </c>
      <c r="O410" s="2">
        <f>IF(Данные[[#This Row],[weighted_ext_score]]&gt;$O$1,MIN(Данные[[#This Row],[Базовая сумма]]*$O$2,$C$2),IF(Данные[[#This Row],[weighted_ext_score]]&lt;$O$3,Данные[[#This Row],[Базовая сумма]]*$O$4,N410))</f>
        <v>100000</v>
      </c>
      <c r="P4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10" s="2">
        <f>ABS(Данные[[#This Row],[days_birth]])/365.2425</f>
        <v>37.087688316666323</v>
      </c>
      <c r="S4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100000</v>
      </c>
      <c r="T410" s="2">
        <f>IF(Данные[[#This Row],[ interest_rate]]&gt;$T$1,Данные[[#This Row],[days_birth4]]*$T$2,Данные[[#This Row],[days_birth4]])</f>
        <v>100000</v>
      </c>
      <c r="U410" s="2">
        <f>IF(Данные[[#This Row],[Проверка отказа]]="отказ",0,MAX(Данные[[#This Row],[interest_rate]],$C$1))</f>
        <v>100000</v>
      </c>
      <c r="V410" s="2">
        <f>MROUND(Данные[[#This Row],[Минимум 20000]], 100)</f>
        <v>100000</v>
      </c>
    </row>
    <row r="411" spans="1:22" x14ac:dyDescent="0.25">
      <c r="A411" s="2">
        <f>'1000_заявлений'!A405</f>
        <v>403</v>
      </c>
      <c r="B411" s="4">
        <f>VALUE(SUBSTITUTE('1000_заявлений'!B405, ".", ","))</f>
        <v>0.76655121895891298</v>
      </c>
      <c r="C411" s="4">
        <f>VALUE(SUBSTITUTE('1000_заявлений'!C405, ".", ","))</f>
        <v>0.14079585123749799</v>
      </c>
      <c r="D411" s="4">
        <f>VALUE(SUBSTITUTE('1000_заявлений'!D405, ".", ","))</f>
        <v>0.33928770000000003</v>
      </c>
      <c r="E411" s="4">
        <f>VALUE(SUBSTITUTE('1000_заявлений'!E405, ".", ","))</f>
        <v>5.5759682999999997E-2</v>
      </c>
      <c r="F411" s="5">
        <f>VALUE(SUBSTITUTE('1000_заявлений'!F405, ".", ","))</f>
        <v>-4395</v>
      </c>
      <c r="G411" s="5">
        <f>VALUE(SUBSTITUTE('1000_заявлений'!G405, ".", ","))</f>
        <v>-13782</v>
      </c>
      <c r="H411" s="5">
        <f>VALUE(SUBSTITUTE('1000_заявлений'!H405, ".", ","))</f>
        <v>-4395</v>
      </c>
      <c r="I411" s="4">
        <f>VALUE(SUBSTITUTE('1000_заявлений'!I405, ".", ","))</f>
        <v>0.22853333333333301</v>
      </c>
      <c r="J411" s="4">
        <f>VALUE(SUBSTITUTE('1000_заявлений'!J405, ".", ","))</f>
        <v>18.869943275810499</v>
      </c>
      <c r="K411" s="5">
        <f>VALUE(SUBSTITUTE('1000_заявлений'!K405, ".", ","))</f>
        <v>-455</v>
      </c>
      <c r="L411" s="6">
        <f>VALUE(SUBSTITUTE('1000_заявлений'!L405, ".", ","))</f>
        <v>30852</v>
      </c>
      <c r="M411" s="2" t="str">
        <f>IF(Данные[[#This Row],[proba]]&gt;$C$6, "отказ", "одобрение")</f>
        <v>отказ</v>
      </c>
      <c r="N411" s="7">
        <f>IF(Данные[[#This Row],[proba]]&lt;$D$2,$C$2,IF(Данные[[#This Row],[proba]]&lt;$D$3,$C$3,IF(Данные[[#This Row],[proba]]&gt;$C$6,0,$C$4)))</f>
        <v>0</v>
      </c>
      <c r="O411" s="2">
        <f>IF(Данные[[#This Row],[weighted_ext_score]]&gt;$O$1,MIN(Данные[[#This Row],[Базовая сумма]]*$O$2,$C$2),IF(Данные[[#This Row],[weighted_ext_score]]&lt;$O$3,Данные[[#This Row],[Базовая сумма]]*$O$4,N411))</f>
        <v>0</v>
      </c>
      <c r="P4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1" s="2">
        <f>ABS(Данные[[#This Row],[days_birth]])/365.2425</f>
        <v>37.733834370315613</v>
      </c>
      <c r="S4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1" s="2">
        <f>IF(Данные[[#This Row],[ interest_rate]]&gt;$T$1,Данные[[#This Row],[days_birth4]]*$T$2,Данные[[#This Row],[days_birth4]])</f>
        <v>0</v>
      </c>
      <c r="U411" s="2">
        <f>IF(Данные[[#This Row],[Проверка отказа]]="отказ",0,MAX(Данные[[#This Row],[interest_rate]],$C$1))</f>
        <v>0</v>
      </c>
      <c r="V411" s="2">
        <f>MROUND(Данные[[#This Row],[Минимум 20000]], 100)</f>
        <v>0</v>
      </c>
    </row>
    <row r="412" spans="1:22" x14ac:dyDescent="0.25">
      <c r="A412" s="2">
        <f>'1000_заявлений'!A406</f>
        <v>404</v>
      </c>
      <c r="B412" s="4">
        <f>VALUE(SUBSTITUTE('1000_заявлений'!B406, ".", ","))</f>
        <v>0.87380364037157499</v>
      </c>
      <c r="C412" s="4">
        <f>VALUE(SUBSTITUTE('1000_заявлений'!C406, ".", ","))</f>
        <v>8.56723539316189E-2</v>
      </c>
      <c r="D412" s="4">
        <f>VALUE(SUBSTITUTE('1000_заявлений'!D406, ".", ","))</f>
        <v>0.15474362999999999</v>
      </c>
      <c r="E412" s="4">
        <f>VALUE(SUBSTITUTE('1000_заявлений'!E406, ".", ","))</f>
        <v>2.2719457999999999E-3</v>
      </c>
      <c r="F412" s="5">
        <f>VALUE(SUBSTITUTE('1000_заявлений'!F406, ".", ","))</f>
        <v>-1685</v>
      </c>
      <c r="G412" s="5">
        <f>VALUE(SUBSTITUTE('1000_заявлений'!G406, ".", ","))</f>
        <v>-13120</v>
      </c>
      <c r="H412" s="5">
        <f>VALUE(SUBSTITUTE('1000_заявлений'!H406, ".", ","))</f>
        <v>-4340</v>
      </c>
      <c r="I412" s="4">
        <f>VALUE(SUBSTITUTE('1000_заявлений'!I406, ".", ","))</f>
        <v>0.15207894736842101</v>
      </c>
      <c r="J412" s="4">
        <f>VALUE(SUBSTITUTE('1000_заявлений'!J406, ".", ","))</f>
        <v>11.308194093132901</v>
      </c>
      <c r="K412" s="5">
        <f>VALUE(SUBSTITUTE('1000_заявлений'!K406, ".", ","))</f>
        <v>-1148</v>
      </c>
      <c r="L412" s="6">
        <f>VALUE(SUBSTITUTE('1000_заявлений'!L406, ".", ","))</f>
        <v>26005.5</v>
      </c>
      <c r="M412" s="2" t="str">
        <f>IF(Данные[[#This Row],[proba]]&gt;$C$6, "отказ", "одобрение")</f>
        <v>отказ</v>
      </c>
      <c r="N412" s="7">
        <f>IF(Данные[[#This Row],[proba]]&lt;$D$2,$C$2,IF(Данные[[#This Row],[proba]]&lt;$D$3,$C$3,IF(Данные[[#This Row],[proba]]&gt;$C$6,0,$C$4)))</f>
        <v>0</v>
      </c>
      <c r="O412" s="2">
        <f>IF(Данные[[#This Row],[weighted_ext_score]]&gt;$O$1,MIN(Данные[[#This Row],[Базовая сумма]]*$O$2,$C$2),IF(Данные[[#This Row],[weighted_ext_score]]&lt;$O$3,Данные[[#This Row],[Базовая сумма]]*$O$4,N412))</f>
        <v>0</v>
      </c>
      <c r="P4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2" s="2">
        <f>ABS(Данные[[#This Row],[days_birth]])/365.2425</f>
        <v>35.921339931689218</v>
      </c>
      <c r="S4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2" s="2">
        <f>IF(Данные[[#This Row],[ interest_rate]]&gt;$T$1,Данные[[#This Row],[days_birth4]]*$T$2,Данные[[#This Row],[days_birth4]])</f>
        <v>0</v>
      </c>
      <c r="U412" s="2">
        <f>IF(Данные[[#This Row],[Проверка отказа]]="отказ",0,MAX(Данные[[#This Row],[interest_rate]],$C$1))</f>
        <v>0</v>
      </c>
      <c r="V412" s="2">
        <f>MROUND(Данные[[#This Row],[Минимум 20000]], 100)</f>
        <v>0</v>
      </c>
    </row>
    <row r="413" spans="1:22" x14ac:dyDescent="0.25">
      <c r="A413" s="2">
        <f>'1000_заявлений'!A407</f>
        <v>405</v>
      </c>
      <c r="B413" s="4">
        <f>VALUE(SUBSTITUTE('1000_заявлений'!B407, ".", ","))</f>
        <v>0.48502142674002402</v>
      </c>
      <c r="C413" s="4">
        <f>VALUE(SUBSTITUTE('1000_заявлений'!C407, ".", ","))</f>
        <v>0.36363800181024197</v>
      </c>
      <c r="D413" s="4">
        <f>VALUE(SUBSTITUTE('1000_заявлений'!D407, ".", ","))</f>
        <v>0.64302559999999997</v>
      </c>
      <c r="E413" s="4">
        <f>VALUE(SUBSTITUTE('1000_заявлений'!E407, ".", ","))</f>
        <v>0.40409089999999998</v>
      </c>
      <c r="F413" s="5">
        <f>VALUE(SUBSTITUTE('1000_заявлений'!F407, ".", ","))</f>
        <v>-1792</v>
      </c>
      <c r="G413" s="5">
        <f>VALUE(SUBSTITUTE('1000_заявлений'!G407, ".", ","))</f>
        <v>-10698</v>
      </c>
      <c r="H413" s="5">
        <f>VALUE(SUBSTITUTE('1000_заявлений'!H407, ".", ","))</f>
        <v>-2860</v>
      </c>
      <c r="I413" s="4">
        <f>VALUE(SUBSTITUTE('1000_заявлений'!I407, ".", ","))</f>
        <v>0.16184999999999999</v>
      </c>
      <c r="J413" s="4">
        <f>VALUE(SUBSTITUTE('1000_заявлений'!J407, ".", ","))</f>
        <v>4.2512291398005999</v>
      </c>
      <c r="K413" s="5">
        <f>VALUE(SUBSTITUTE('1000_заявлений'!K407, ".", ","))</f>
        <v>-269</v>
      </c>
      <c r="L413" s="6">
        <f>VALUE(SUBSTITUTE('1000_заявлений'!L407, ".", ","))</f>
        <v>14566.5</v>
      </c>
      <c r="M413" s="2" t="str">
        <f>IF(Данные[[#This Row],[proba]]&gt;$C$6, "отказ", "одобрение")</f>
        <v>отказ</v>
      </c>
      <c r="N413" s="7">
        <f>IF(Данные[[#This Row],[proba]]&lt;$D$2,$C$2,IF(Данные[[#This Row],[proba]]&lt;$D$3,$C$3,IF(Данные[[#This Row],[proba]]&gt;$C$6,0,$C$4)))</f>
        <v>0</v>
      </c>
      <c r="O413" s="2">
        <f>IF(Данные[[#This Row],[weighted_ext_score]]&gt;$O$1,MIN(Данные[[#This Row],[Базовая сумма]]*$O$2,$C$2),IF(Данные[[#This Row],[weighted_ext_score]]&lt;$O$3,Данные[[#This Row],[Базовая сумма]]*$O$4,N413))</f>
        <v>0</v>
      </c>
      <c r="P4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3" s="2">
        <f>ABS(Данные[[#This Row],[days_birth]])/365.2425</f>
        <v>29.290129160763055</v>
      </c>
      <c r="S4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3" s="2">
        <f>IF(Данные[[#This Row],[ interest_rate]]&gt;$T$1,Данные[[#This Row],[days_birth4]]*$T$2,Данные[[#This Row],[days_birth4]])</f>
        <v>0</v>
      </c>
      <c r="U413" s="2">
        <f>IF(Данные[[#This Row],[Проверка отказа]]="отказ",0,MAX(Данные[[#This Row],[interest_rate]],$C$1))</f>
        <v>0</v>
      </c>
      <c r="V413" s="2">
        <f>MROUND(Данные[[#This Row],[Минимум 20000]], 100)</f>
        <v>0</v>
      </c>
    </row>
    <row r="414" spans="1:22" x14ac:dyDescent="0.25">
      <c r="A414" s="2">
        <f>'1000_заявлений'!A408</f>
        <v>406</v>
      </c>
      <c r="B414" s="4">
        <f>VALUE(SUBSTITUTE('1000_заявлений'!B408, ".", ","))</f>
        <v>0.47425260639522598</v>
      </c>
      <c r="C414" s="4">
        <f>VALUE(SUBSTITUTE('1000_заявлений'!C408, ".", ","))</f>
        <v>0.349191573004833</v>
      </c>
      <c r="D414" s="4">
        <f>VALUE(SUBSTITUTE('1000_заявлений'!D408, ".", ","))</f>
        <v>0.36729099999999998</v>
      </c>
      <c r="E414" s="4">
        <f>VALUE(SUBSTITUTE('1000_заявлений'!E408, ".", ","))</f>
        <v>0.66698663999999996</v>
      </c>
      <c r="F414" s="5">
        <f>VALUE(SUBSTITUTE('1000_заявлений'!F408, ".", ","))</f>
        <v>-2941</v>
      </c>
      <c r="G414" s="5">
        <f>VALUE(SUBSTITUTE('1000_заявлений'!G408, ".", ","))</f>
        <v>-15988</v>
      </c>
      <c r="H414" s="5">
        <f>VALUE(SUBSTITUTE('1000_заявлений'!H408, ".", ","))</f>
        <v>-4986</v>
      </c>
      <c r="I414" s="4">
        <f>VALUE(SUBSTITUTE('1000_заявлений'!I408, ".", ","))</f>
        <v>0.111383333333333</v>
      </c>
      <c r="J414" s="4">
        <f>VALUE(SUBSTITUTE('1000_заявлений'!J408, ".", ","))</f>
        <v>0.36785656125719601</v>
      </c>
      <c r="K414" s="5">
        <f>VALUE(SUBSTITUTE('1000_заявлений'!K408, ".", ","))</f>
        <v>-990</v>
      </c>
      <c r="L414" s="6">
        <f>VALUE(SUBSTITUTE('1000_заявлений'!L408, ".", ","))</f>
        <v>30073.5</v>
      </c>
      <c r="M414" s="2" t="str">
        <f>IF(Данные[[#This Row],[proba]]&gt;$C$6, "отказ", "одобрение")</f>
        <v>отказ</v>
      </c>
      <c r="N414" s="7">
        <f>IF(Данные[[#This Row],[proba]]&lt;$D$2,$C$2,IF(Данные[[#This Row],[proba]]&lt;$D$3,$C$3,IF(Данные[[#This Row],[proba]]&gt;$C$6,0,$C$4)))</f>
        <v>0</v>
      </c>
      <c r="O414" s="2">
        <f>IF(Данные[[#This Row],[weighted_ext_score]]&gt;$O$1,MIN(Данные[[#This Row],[Базовая сумма]]*$O$2,$C$2),IF(Данные[[#This Row],[weighted_ext_score]]&lt;$O$3,Данные[[#This Row],[Базовая сумма]]*$O$4,N414))</f>
        <v>0</v>
      </c>
      <c r="P4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4" s="2">
        <f>ABS(Данные[[#This Row],[days_birth]])/365.2425</f>
        <v>43.773657227732258</v>
      </c>
      <c r="S4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4" s="2">
        <f>IF(Данные[[#This Row],[ interest_rate]]&gt;$T$1,Данные[[#This Row],[days_birth4]]*$T$2,Данные[[#This Row],[days_birth4]])</f>
        <v>0</v>
      </c>
      <c r="U414" s="2">
        <f>IF(Данные[[#This Row],[Проверка отказа]]="отказ",0,MAX(Данные[[#This Row],[interest_rate]],$C$1))</f>
        <v>0</v>
      </c>
      <c r="V414" s="2">
        <f>MROUND(Данные[[#This Row],[Минимум 20000]], 100)</f>
        <v>0</v>
      </c>
    </row>
    <row r="415" spans="1:22" x14ac:dyDescent="0.25">
      <c r="A415" s="2">
        <f>'1000_заявлений'!A409</f>
        <v>407</v>
      </c>
      <c r="B415" s="4">
        <f>VALUE(SUBSTITUTE('1000_заявлений'!B409, ".", ","))</f>
        <v>0.20929930334777599</v>
      </c>
      <c r="C415" s="4">
        <f>VALUE(SUBSTITUTE('1000_заявлений'!C409, ".", ","))</f>
        <v>0.46273827610825502</v>
      </c>
      <c r="D415" s="4">
        <f>VALUE(SUBSTITUTE('1000_заявлений'!D409, ".", ","))</f>
        <v>0.66585492999999996</v>
      </c>
      <c r="E415" s="4">
        <f>VALUE(SUBSTITUTE('1000_заявлений'!E409, ".", ","))</f>
        <v>0.6841469</v>
      </c>
      <c r="F415" s="5">
        <f>VALUE(SUBSTITUTE('1000_заявлений'!F409, ".", ","))</f>
        <v>-1499</v>
      </c>
      <c r="G415" s="5">
        <f>VALUE(SUBSTITUTE('1000_заявлений'!G409, ".", ","))</f>
        <v>-12972</v>
      </c>
      <c r="H415" s="5">
        <f>VALUE(SUBSTITUTE('1000_заявлений'!H409, ".", ","))</f>
        <v>-4075</v>
      </c>
      <c r="I415" s="4">
        <f>VALUE(SUBSTITUTE('1000_заявлений'!I409, ".", ","))</f>
        <v>7.8640000000000002E-2</v>
      </c>
      <c r="J415" s="4">
        <f>VALUE(SUBSTITUTE('1000_заявлений'!J409, ".", ","))</f>
        <v>19.691649916928299</v>
      </c>
      <c r="K415" s="5">
        <f>VALUE(SUBSTITUTE('1000_заявлений'!K409, ".", ","))</f>
        <v>-3336</v>
      </c>
      <c r="L415" s="6">
        <f>VALUE(SUBSTITUTE('1000_заявлений'!L409, ".", ","))</f>
        <v>17694</v>
      </c>
      <c r="M415" s="2" t="str">
        <f>IF(Данные[[#This Row],[proba]]&gt;$C$6, "отказ", "одобрение")</f>
        <v>одобрение</v>
      </c>
      <c r="N415" s="7">
        <f>IF(Данные[[#This Row],[proba]]&lt;$D$2,$C$2,IF(Данные[[#This Row],[proba]]&lt;$D$3,$C$3,IF(Данные[[#This Row],[proba]]&gt;$C$6,0,$C$4)))</f>
        <v>100000</v>
      </c>
      <c r="O415" s="2">
        <f>IF(Данные[[#This Row],[weighted_ext_score]]&gt;$O$1,MIN(Данные[[#This Row],[Базовая сумма]]*$O$2,$C$2),IF(Данные[[#This Row],[weighted_ext_score]]&lt;$O$3,Данные[[#This Row],[Базовая сумма]]*$O$4,N415))</f>
        <v>100000</v>
      </c>
      <c r="P4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15" s="2">
        <f>ABS(Данные[[#This Row],[days_birth]])/365.2425</f>
        <v>35.516129694654921</v>
      </c>
      <c r="S4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15" s="2">
        <f>IF(Данные[[#This Row],[ interest_rate]]&gt;$T$1,Данные[[#This Row],[days_birth4]]*$T$2,Данные[[#This Row],[days_birth4]])</f>
        <v>144000</v>
      </c>
      <c r="U415" s="2">
        <f>IF(Данные[[#This Row],[Проверка отказа]]="отказ",0,MAX(Данные[[#This Row],[interest_rate]],$C$1))</f>
        <v>144000</v>
      </c>
      <c r="V415" s="2">
        <f>MROUND(Данные[[#This Row],[Минимум 20000]], 100)</f>
        <v>144000</v>
      </c>
    </row>
    <row r="416" spans="1:22" x14ac:dyDescent="0.25">
      <c r="A416" s="2">
        <f>'1000_заявлений'!A410</f>
        <v>408</v>
      </c>
      <c r="B416" s="4">
        <f>VALUE(SUBSTITUTE('1000_заявлений'!B410, ".", ","))</f>
        <v>0.339248177514683</v>
      </c>
      <c r="C416" s="4">
        <f>VALUE(SUBSTITUTE('1000_заявлений'!C410, ".", ","))</f>
        <v>0.37185852589802298</v>
      </c>
      <c r="D416" s="4">
        <f>VALUE(SUBSTITUTE('1000_заявлений'!D410, ".", ","))</f>
        <v>0.65289649999999999</v>
      </c>
      <c r="E416" s="4">
        <f>VALUE(SUBSTITUTE('1000_заявлений'!E410, ".", ","))</f>
        <v>0.41842780000000002</v>
      </c>
      <c r="F416" s="5">
        <f>VALUE(SUBSTITUTE('1000_заявлений'!F410, ".", ","))</f>
        <v>-2</v>
      </c>
      <c r="G416" s="5">
        <f>VALUE(SUBSTITUTE('1000_заявлений'!G410, ".", ","))</f>
        <v>-21470</v>
      </c>
      <c r="H416" s="5">
        <f>VALUE(SUBSTITUTE('1000_заявлений'!H410, ".", ","))</f>
        <v>-4556</v>
      </c>
      <c r="I416" s="4">
        <f>VALUE(SUBSTITUTE('1000_заявлений'!I410, ".", ","))</f>
        <v>9.7466666666666604E-2</v>
      </c>
      <c r="J416" s="4">
        <f>VALUE(SUBSTITUTE('1000_заявлений'!J410, ".", ","))</f>
        <v>1.55972200073934</v>
      </c>
      <c r="K416" s="5">
        <f>VALUE(SUBSTITUTE('1000_заявлений'!K410, ".", ","))</f>
        <v>365243</v>
      </c>
      <c r="L416" s="6">
        <f>VALUE(SUBSTITUTE('1000_заявлений'!L410, ".", ","))</f>
        <v>19737</v>
      </c>
      <c r="M416" s="2" t="str">
        <f>IF(Данные[[#This Row],[proba]]&gt;$C$6, "отказ", "одобрение")</f>
        <v>отказ</v>
      </c>
      <c r="N416" s="7">
        <f>IF(Данные[[#This Row],[proba]]&lt;$D$2,$C$2,IF(Данные[[#This Row],[proba]]&lt;$D$3,$C$3,IF(Данные[[#This Row],[proba]]&gt;$C$6,0,$C$4)))</f>
        <v>0</v>
      </c>
      <c r="O416" s="2">
        <f>IF(Данные[[#This Row],[weighted_ext_score]]&gt;$O$1,MIN(Данные[[#This Row],[Базовая сумма]]*$O$2,$C$2),IF(Данные[[#This Row],[weighted_ext_score]]&lt;$O$3,Данные[[#This Row],[Базовая сумма]]*$O$4,N416))</f>
        <v>0</v>
      </c>
      <c r="P4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6" s="2">
        <f>ABS(Данные[[#This Row],[days_birth]])/365.2425</f>
        <v>58.782863440043258</v>
      </c>
      <c r="S4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6" s="2">
        <f>IF(Данные[[#This Row],[ interest_rate]]&gt;$T$1,Данные[[#This Row],[days_birth4]]*$T$2,Данные[[#This Row],[days_birth4]])</f>
        <v>0</v>
      </c>
      <c r="U416" s="2">
        <f>IF(Данные[[#This Row],[Проверка отказа]]="отказ",0,MAX(Данные[[#This Row],[interest_rate]],$C$1))</f>
        <v>0</v>
      </c>
      <c r="V416" s="2">
        <f>MROUND(Данные[[#This Row],[Минимум 20000]], 100)</f>
        <v>0</v>
      </c>
    </row>
    <row r="417" spans="1:22" x14ac:dyDescent="0.25">
      <c r="A417" s="2">
        <f>'1000_заявлений'!A411</f>
        <v>409</v>
      </c>
      <c r="B417" s="4">
        <f>VALUE(SUBSTITUTE('1000_заявлений'!B411, ".", ","))</f>
        <v>0.488405711427776</v>
      </c>
      <c r="C417" s="4">
        <f>VALUE(SUBSTITUTE('1000_заявлений'!C411, ".", ","))</f>
        <v>0.35637007028749501</v>
      </c>
      <c r="D417" s="4">
        <f>VALUE(SUBSTITUTE('1000_заявлений'!D411, ".", ","))</f>
        <v>0.3457848</v>
      </c>
      <c r="E417" s="4">
        <f>VALUE(SUBSTITUTE('1000_заявлений'!E411, ".", ","))</f>
        <v>0.71309520000000004</v>
      </c>
      <c r="F417" s="5">
        <f>VALUE(SUBSTITUTE('1000_заявлений'!F411, ".", ","))</f>
        <v>-2682</v>
      </c>
      <c r="G417" s="5">
        <f>VALUE(SUBSTITUTE('1000_заявлений'!G411, ".", ","))</f>
        <v>-17655</v>
      </c>
      <c r="H417" s="5">
        <f>VALUE(SUBSTITUTE('1000_заявлений'!H411, ".", ","))</f>
        <v>-1203</v>
      </c>
      <c r="I417" s="4">
        <f>VALUE(SUBSTITUTE('1000_заявлений'!I411, ".", ","))</f>
        <v>0.1462</v>
      </c>
      <c r="J417" s="4">
        <f>VALUE(SUBSTITUTE('1000_заявлений'!J411, ".", ","))</f>
        <v>1.55972200073934</v>
      </c>
      <c r="K417" s="5">
        <f>VALUE(SUBSTITUTE('1000_заявлений'!K411, ".", ","))</f>
        <v>-3129</v>
      </c>
      <c r="L417" s="6">
        <f>VALUE(SUBSTITUTE('1000_заявлений'!L411, ".", ","))</f>
        <v>32895</v>
      </c>
      <c r="M417" s="2" t="str">
        <f>IF(Данные[[#This Row],[proba]]&gt;$C$6, "отказ", "одобрение")</f>
        <v>отказ</v>
      </c>
      <c r="N417" s="7">
        <f>IF(Данные[[#This Row],[proba]]&lt;$D$2,$C$2,IF(Данные[[#This Row],[proba]]&lt;$D$3,$C$3,IF(Данные[[#This Row],[proba]]&gt;$C$6,0,$C$4)))</f>
        <v>0</v>
      </c>
      <c r="O417" s="2">
        <f>IF(Данные[[#This Row],[weighted_ext_score]]&gt;$O$1,MIN(Данные[[#This Row],[Базовая сумма]]*$O$2,$C$2),IF(Данные[[#This Row],[weighted_ext_score]]&lt;$O$3,Данные[[#This Row],[Базовая сумма]]*$O$4,N417))</f>
        <v>0</v>
      </c>
      <c r="P4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7" s="2">
        <f>ABS(Данные[[#This Row],[days_birth]])/365.2425</f>
        <v>48.337748208382102</v>
      </c>
      <c r="S4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7" s="2">
        <f>IF(Данные[[#This Row],[ interest_rate]]&gt;$T$1,Данные[[#This Row],[days_birth4]]*$T$2,Данные[[#This Row],[days_birth4]])</f>
        <v>0</v>
      </c>
      <c r="U417" s="2">
        <f>IF(Данные[[#This Row],[Проверка отказа]]="отказ",0,MAX(Данные[[#This Row],[interest_rate]],$C$1))</f>
        <v>0</v>
      </c>
      <c r="V417" s="2">
        <f>MROUND(Данные[[#This Row],[Минимум 20000]], 100)</f>
        <v>0</v>
      </c>
    </row>
    <row r="418" spans="1:22" x14ac:dyDescent="0.25">
      <c r="A418" s="2">
        <f>'1000_заявлений'!A412</f>
        <v>410</v>
      </c>
      <c r="B418" s="4">
        <f>VALUE(SUBSTITUTE('1000_заявлений'!B412, ".", ","))</f>
        <v>0.11908739197417099</v>
      </c>
      <c r="C418" s="4">
        <f>VALUE(SUBSTITUTE('1000_заявлений'!C412, ".", ","))</f>
        <v>0.73962752726491399</v>
      </c>
      <c r="D418" s="4">
        <f>VALUE(SUBSTITUTE('1000_заявлений'!D412, ".", ","))</f>
        <v>0.73662269999999996</v>
      </c>
      <c r="E418" s="4">
        <f>VALUE(SUBSTITUTE('1000_заявлений'!E412, ".", ","))</f>
        <v>0.73475086999999994</v>
      </c>
      <c r="F418" s="5">
        <f>VALUE(SUBSTITUTE('1000_заявлений'!F412, ".", ","))</f>
        <v>-1360</v>
      </c>
      <c r="G418" s="5">
        <f>VALUE(SUBSTITUTE('1000_заявлений'!G412, ".", ","))</f>
        <v>-21524</v>
      </c>
      <c r="H418" s="5">
        <f>VALUE(SUBSTITUTE('1000_заявлений'!H412, ".", ","))</f>
        <v>-4950</v>
      </c>
      <c r="I418" s="4">
        <f>VALUE(SUBSTITUTE('1000_заявлений'!I412, ".", ","))</f>
        <v>0.22245000000000001</v>
      </c>
      <c r="J418" s="4">
        <f>VALUE(SUBSTITUTE('1000_заявлений'!J412, ".", ","))</f>
        <v>1.31650923911827</v>
      </c>
      <c r="K418" s="5">
        <f>VALUE(SUBSTITUTE('1000_заявлений'!K412, ".", ","))</f>
        <v>365243</v>
      </c>
      <c r="L418" s="6">
        <f>VALUE(SUBSTITUTE('1000_заявлений'!L412, ".", ","))</f>
        <v>20020.5</v>
      </c>
      <c r="M418" s="2" t="str">
        <f>IF(Данные[[#This Row],[proba]]&gt;$C$6, "отказ", "одобрение")</f>
        <v>одобрение</v>
      </c>
      <c r="N418" s="7">
        <f>IF(Данные[[#This Row],[proba]]&lt;$D$2,$C$2,IF(Данные[[#This Row],[proba]]&lt;$D$3,$C$3,IF(Данные[[#This Row],[proba]]&gt;$C$6,0,$C$4)))</f>
        <v>300000</v>
      </c>
      <c r="O418" s="2">
        <f>IF(Данные[[#This Row],[weighted_ext_score]]&gt;$O$1,MIN(Данные[[#This Row],[Базовая сумма]]*$O$2,$C$2),IF(Данные[[#This Row],[weighted_ext_score]]&lt;$O$3,Данные[[#This Row],[Базовая сумма]]*$O$4,N418))</f>
        <v>360000</v>
      </c>
      <c r="P4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418" s="2">
        <f>ABS(Данные[[#This Row],[days_birth]])/365.2425</f>
        <v>58.930710418420638</v>
      </c>
      <c r="S4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418" s="2">
        <f>IF(Данные[[#This Row],[ interest_rate]]&gt;$T$1,Данные[[#This Row],[days_birth4]]*$T$2,Данные[[#This Row],[days_birth4]])</f>
        <v>378000</v>
      </c>
      <c r="U418" s="2">
        <f>IF(Данные[[#This Row],[Проверка отказа]]="отказ",0,MAX(Данные[[#This Row],[interest_rate]],$C$1))</f>
        <v>378000</v>
      </c>
      <c r="V418" s="2">
        <f>MROUND(Данные[[#This Row],[Минимум 20000]], 100)</f>
        <v>378000</v>
      </c>
    </row>
    <row r="419" spans="1:22" x14ac:dyDescent="0.25">
      <c r="A419" s="2">
        <f>'1000_заявлений'!A413</f>
        <v>411</v>
      </c>
      <c r="B419" s="4">
        <f>VALUE(SUBSTITUTE('1000_заявлений'!B413, ".", ","))</f>
        <v>0.54775233570139303</v>
      </c>
      <c r="C419" s="4">
        <f>VALUE(SUBSTITUTE('1000_заявлений'!C413, ".", ","))</f>
        <v>0.32628251596061397</v>
      </c>
      <c r="D419" s="4">
        <f>VALUE(SUBSTITUTE('1000_заявлений'!D413, ".", ","))</f>
        <v>0.37402079999999999</v>
      </c>
      <c r="E419" s="4">
        <f>VALUE(SUBSTITUTE('1000_заявлений'!E413, ".", ","))</f>
        <v>0.5888584</v>
      </c>
      <c r="F419" s="5">
        <f>VALUE(SUBSTITUTE('1000_заявлений'!F413, ".", ","))</f>
        <v>-6014</v>
      </c>
      <c r="G419" s="5">
        <f>VALUE(SUBSTITUTE('1000_заявлений'!G413, ".", ","))</f>
        <v>-13315</v>
      </c>
      <c r="H419" s="5">
        <f>VALUE(SUBSTITUTE('1000_заявлений'!H413, ".", ","))</f>
        <v>-4174</v>
      </c>
      <c r="I419" s="4">
        <f>VALUE(SUBSTITUTE('1000_заявлений'!I413, ".", ","))</f>
        <v>0.149555555555555</v>
      </c>
      <c r="J419" s="4">
        <f>VALUE(SUBSTITUTE('1000_заявлений'!J413, ".", ","))</f>
        <v>1.4303680980906499</v>
      </c>
      <c r="K419" s="5">
        <f>VALUE(SUBSTITUTE('1000_заявлений'!K413, ".", ","))</f>
        <v>-5204</v>
      </c>
      <c r="L419" s="6">
        <f>VALUE(SUBSTITUTE('1000_заявлений'!L413, ".", ","))</f>
        <v>18171</v>
      </c>
      <c r="M419" s="2" t="str">
        <f>IF(Данные[[#This Row],[proba]]&gt;$C$6, "отказ", "одобрение")</f>
        <v>отказ</v>
      </c>
      <c r="N419" s="7">
        <f>IF(Данные[[#This Row],[proba]]&lt;$D$2,$C$2,IF(Данные[[#This Row],[proba]]&lt;$D$3,$C$3,IF(Данные[[#This Row],[proba]]&gt;$C$6,0,$C$4)))</f>
        <v>0</v>
      </c>
      <c r="O419" s="2">
        <f>IF(Данные[[#This Row],[weighted_ext_score]]&gt;$O$1,MIN(Данные[[#This Row],[Базовая сумма]]*$O$2,$C$2),IF(Данные[[#This Row],[weighted_ext_score]]&lt;$O$3,Данные[[#This Row],[Базовая сумма]]*$O$4,N419))</f>
        <v>0</v>
      </c>
      <c r="P4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19" s="2">
        <f>ABS(Данные[[#This Row],[days_birth]])/365.2425</f>
        <v>36.455231798051976</v>
      </c>
      <c r="S4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19" s="2">
        <f>IF(Данные[[#This Row],[ interest_rate]]&gt;$T$1,Данные[[#This Row],[days_birth4]]*$T$2,Данные[[#This Row],[days_birth4]])</f>
        <v>0</v>
      </c>
      <c r="U419" s="2">
        <f>IF(Данные[[#This Row],[Проверка отказа]]="отказ",0,MAX(Данные[[#This Row],[interest_rate]],$C$1))</f>
        <v>0</v>
      </c>
      <c r="V419" s="2">
        <f>MROUND(Данные[[#This Row],[Минимум 20000]], 100)</f>
        <v>0</v>
      </c>
    </row>
    <row r="420" spans="1:22" x14ac:dyDescent="0.25">
      <c r="A420" s="2">
        <f>'1000_заявлений'!A414</f>
        <v>412</v>
      </c>
      <c r="B420" s="4">
        <f>VALUE(SUBSTITUTE('1000_заявлений'!B414, ".", ","))</f>
        <v>0.15548080436638601</v>
      </c>
      <c r="C420" s="4">
        <f>VALUE(SUBSTITUTE('1000_заявлений'!C414, ".", ","))</f>
        <v>0.74114861876579297</v>
      </c>
      <c r="D420" s="4">
        <f>VALUE(SUBSTITUTE('1000_заявлений'!D414, ".", ","))</f>
        <v>0.71067440000000004</v>
      </c>
      <c r="E420" s="4">
        <f>VALUE(SUBSTITUTE('1000_заявлений'!E414, ".", ","))</f>
        <v>0.72039354</v>
      </c>
      <c r="F420" s="5">
        <f>VALUE(SUBSTITUTE('1000_заявлений'!F414, ".", ","))</f>
        <v>-6922</v>
      </c>
      <c r="G420" s="5">
        <f>VALUE(SUBSTITUTE('1000_заявлений'!G414, ".", ","))</f>
        <v>-12841</v>
      </c>
      <c r="H420" s="5">
        <f>VALUE(SUBSTITUTE('1000_заявлений'!H414, ".", ","))</f>
        <v>-4489</v>
      </c>
      <c r="I420" s="4">
        <f>VALUE(SUBSTITUTE('1000_заявлений'!I414, ".", ","))</f>
        <v>0.13600000000000001</v>
      </c>
      <c r="J420" s="4">
        <f>VALUE(SUBSTITUTE('1000_заявлений'!J414, ".", ","))</f>
        <v>2.3491507247920702</v>
      </c>
      <c r="K420" s="5">
        <f>VALUE(SUBSTITUTE('1000_заявлений'!K414, ".", ","))</f>
        <v>-642</v>
      </c>
      <c r="L420" s="6">
        <f>VALUE(SUBSTITUTE('1000_заявлений'!L414, ".", ","))</f>
        <v>30600</v>
      </c>
      <c r="M420" s="2" t="str">
        <f>IF(Данные[[#This Row],[proba]]&gt;$C$6, "отказ", "одобрение")</f>
        <v>одобрение</v>
      </c>
      <c r="N420" s="7">
        <f>IF(Данные[[#This Row],[proba]]&lt;$D$2,$C$2,IF(Данные[[#This Row],[proba]]&lt;$D$3,$C$3,IF(Данные[[#This Row],[proba]]&gt;$C$6,0,$C$4)))</f>
        <v>300000</v>
      </c>
      <c r="O420" s="2">
        <f>IF(Данные[[#This Row],[weighted_ext_score]]&gt;$O$1,MIN(Данные[[#This Row],[Базовая сумма]]*$O$2,$C$2),IF(Данные[[#This Row],[weighted_ext_score]]&lt;$O$3,Данные[[#This Row],[Базовая сумма]]*$O$4,N420))</f>
        <v>360000</v>
      </c>
      <c r="P4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4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302400</v>
      </c>
      <c r="R420" s="2">
        <f>ABS(Данные[[#This Row],[days_birth]])/365.2425</f>
        <v>35.157463876739428</v>
      </c>
      <c r="S4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302400</v>
      </c>
      <c r="T420" s="2">
        <f>IF(Данные[[#This Row],[ interest_rate]]&gt;$T$1,Данные[[#This Row],[days_birth4]]*$T$2,Данные[[#This Row],[days_birth4]])</f>
        <v>302400</v>
      </c>
      <c r="U420" s="2">
        <f>IF(Данные[[#This Row],[Проверка отказа]]="отказ",0,MAX(Данные[[#This Row],[interest_rate]],$C$1))</f>
        <v>302400</v>
      </c>
      <c r="V420" s="2">
        <f>MROUND(Данные[[#This Row],[Минимум 20000]], 100)</f>
        <v>302400</v>
      </c>
    </row>
    <row r="421" spans="1:22" x14ac:dyDescent="0.25">
      <c r="A421" s="2">
        <f>'1000_заявлений'!A415</f>
        <v>413</v>
      </c>
      <c r="B421" s="4">
        <f>VALUE(SUBSTITUTE('1000_заявлений'!B415, ".", ","))</f>
        <v>0.42777057819715503</v>
      </c>
      <c r="C421" s="4">
        <f>VALUE(SUBSTITUTE('1000_заявлений'!C415, ".", ","))</f>
        <v>0.605303337283151</v>
      </c>
      <c r="D421" s="4">
        <f>VALUE(SUBSTITUTE('1000_заявлений'!D415, ".", ","))</f>
        <v>0.3944954</v>
      </c>
      <c r="E421" s="4">
        <f>VALUE(SUBSTITUTE('1000_заявлений'!E415, ".", ","))</f>
        <v>0.61052454</v>
      </c>
      <c r="F421" s="5">
        <f>VALUE(SUBSTITUTE('1000_заявлений'!F415, ".", ","))</f>
        <v>-2113</v>
      </c>
      <c r="G421" s="5">
        <f>VALUE(SUBSTITUTE('1000_заявлений'!G415, ".", ","))</f>
        <v>-18606</v>
      </c>
      <c r="H421" s="5">
        <f>VALUE(SUBSTITUTE('1000_заявлений'!H415, ".", ","))</f>
        <v>-2146</v>
      </c>
      <c r="I421" s="4">
        <f>VALUE(SUBSTITUTE('1000_заявлений'!I415, ".", ","))</f>
        <v>0.37495000000000001</v>
      </c>
      <c r="J421" s="4">
        <f>VALUE(SUBSTITUTE('1000_заявлений'!J415, ".", ","))</f>
        <v>2.3454601274720499</v>
      </c>
      <c r="K421" s="5">
        <f>VALUE(SUBSTITUTE('1000_заявлений'!K415, ".", ","))</f>
        <v>-5204</v>
      </c>
      <c r="L421" s="6">
        <f>VALUE(SUBSTITUTE('1000_заявлений'!L415, ".", ","))</f>
        <v>33745.5</v>
      </c>
      <c r="M421" s="2" t="str">
        <f>IF(Данные[[#This Row],[proba]]&gt;$C$6, "отказ", "одобрение")</f>
        <v>отказ</v>
      </c>
      <c r="N421" s="7">
        <f>IF(Данные[[#This Row],[proba]]&lt;$D$2,$C$2,IF(Данные[[#This Row],[proba]]&lt;$D$3,$C$3,IF(Данные[[#This Row],[proba]]&gt;$C$6,0,$C$4)))</f>
        <v>0</v>
      </c>
      <c r="O421" s="2">
        <f>IF(Данные[[#This Row],[weighted_ext_score]]&gt;$O$1,MIN(Данные[[#This Row],[Базовая сумма]]*$O$2,$C$2),IF(Данные[[#This Row],[weighted_ext_score]]&lt;$O$3,Данные[[#This Row],[Базовая сумма]]*$O$4,N421))</f>
        <v>0</v>
      </c>
      <c r="P4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1" s="2">
        <f>ABS(Данные[[#This Row],[days_birth]])/365.2425</f>
        <v>50.941497772028171</v>
      </c>
      <c r="S4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1" s="2">
        <f>IF(Данные[[#This Row],[ interest_rate]]&gt;$T$1,Данные[[#This Row],[days_birth4]]*$T$2,Данные[[#This Row],[days_birth4]])</f>
        <v>0</v>
      </c>
      <c r="U421" s="2">
        <f>IF(Данные[[#This Row],[Проверка отказа]]="отказ",0,MAX(Данные[[#This Row],[interest_rate]],$C$1))</f>
        <v>0</v>
      </c>
      <c r="V421" s="2">
        <f>MROUND(Данные[[#This Row],[Минимум 20000]], 100)</f>
        <v>0</v>
      </c>
    </row>
    <row r="422" spans="1:22" x14ac:dyDescent="0.25">
      <c r="A422" s="2">
        <f>'1000_заявлений'!A416</f>
        <v>414</v>
      </c>
      <c r="B422" s="4">
        <f>VALUE(SUBSTITUTE('1000_заявлений'!B416, ".", ","))</f>
        <v>0.19066201055569101</v>
      </c>
      <c r="C422" s="4">
        <f>VALUE(SUBSTITUTE('1000_заявлений'!C416, ".", ","))</f>
        <v>0.44416652126484701</v>
      </c>
      <c r="D422" s="4">
        <f>VALUE(SUBSTITUTE('1000_заявлений'!D416, ".", ","))</f>
        <v>0.63804349999999999</v>
      </c>
      <c r="E422" s="4">
        <f>VALUE(SUBSTITUTE('1000_заявлений'!E416, ".", ","))</f>
        <v>0.65790176</v>
      </c>
      <c r="F422" s="5">
        <f>VALUE(SUBSTITUTE('1000_заявлений'!F416, ".", ","))</f>
        <v>-9773</v>
      </c>
      <c r="G422" s="5">
        <f>VALUE(SUBSTITUTE('1000_заявлений'!G416, ".", ","))</f>
        <v>-22002</v>
      </c>
      <c r="H422" s="5">
        <f>VALUE(SUBSTITUTE('1000_заявлений'!H416, ".", ","))</f>
        <v>-3809</v>
      </c>
      <c r="I422" s="4">
        <f>VALUE(SUBSTITUTE('1000_заявлений'!I416, ".", ","))</f>
        <v>7.4999999999999997E-2</v>
      </c>
      <c r="J422" s="4">
        <f>VALUE(SUBSTITUTE('1000_заявлений'!J416, ".", ","))</f>
        <v>10.6209759779781</v>
      </c>
      <c r="K422" s="5">
        <f>VALUE(SUBSTITUTE('1000_заявлений'!K416, ".", ","))</f>
        <v>365243</v>
      </c>
      <c r="L422" s="6">
        <f>VALUE(SUBSTITUTE('1000_заявлений'!L416, ".", ","))</f>
        <v>10125</v>
      </c>
      <c r="M422" s="2" t="str">
        <f>IF(Данные[[#This Row],[proba]]&gt;$C$6, "отказ", "одобрение")</f>
        <v>одобрение</v>
      </c>
      <c r="N422" s="7">
        <f>IF(Данные[[#This Row],[proba]]&lt;$D$2,$C$2,IF(Данные[[#This Row],[proba]]&lt;$D$3,$C$3,IF(Данные[[#This Row],[proba]]&gt;$C$6,0,$C$4)))</f>
        <v>300000</v>
      </c>
      <c r="O422" s="2">
        <f>IF(Данные[[#This Row],[weighted_ext_score]]&gt;$O$1,MIN(Данные[[#This Row],[Базовая сумма]]*$O$2,$C$2),IF(Данные[[#This Row],[weighted_ext_score]]&lt;$O$3,Данные[[#This Row],[Базовая сумма]]*$O$4,N422))</f>
        <v>300000</v>
      </c>
      <c r="P4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422" s="2">
        <f>ABS(Данные[[#This Row],[days_birth]])/365.2425</f>
        <v>60.239429967761147</v>
      </c>
      <c r="S4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422" s="2">
        <f>IF(Данные[[#This Row],[ interest_rate]]&gt;$T$1,Данные[[#This Row],[days_birth4]]*$T$2,Данные[[#This Row],[days_birth4]])</f>
        <v>378000</v>
      </c>
      <c r="U422" s="2">
        <f>IF(Данные[[#This Row],[Проверка отказа]]="отказ",0,MAX(Данные[[#This Row],[interest_rate]],$C$1))</f>
        <v>378000</v>
      </c>
      <c r="V422" s="2">
        <f>MROUND(Данные[[#This Row],[Минимум 20000]], 100)</f>
        <v>378000</v>
      </c>
    </row>
    <row r="423" spans="1:22" x14ac:dyDescent="0.25">
      <c r="A423" s="2">
        <f>'1000_заявлений'!A417</f>
        <v>415</v>
      </c>
      <c r="B423" s="4">
        <f>VALUE(SUBSTITUTE('1000_заявлений'!B417, ".", ","))</f>
        <v>0.86132938688594896</v>
      </c>
      <c r="C423" s="4">
        <f>VALUE(SUBSTITUTE('1000_заявлений'!C417, ".", ","))</f>
        <v>8.4260049180518104E-2</v>
      </c>
      <c r="D423" s="4">
        <f>VALUE(SUBSTITUTE('1000_заявлений'!D417, ".", ","))</f>
        <v>0.10211879</v>
      </c>
      <c r="E423" s="4">
        <f>VALUE(SUBSTITUTE('1000_заявлений'!E417, ".", ","))</f>
        <v>0.14590186999999999</v>
      </c>
      <c r="F423" s="5">
        <f>VALUE(SUBSTITUTE('1000_заявлений'!F417, ".", ","))</f>
        <v>-10694</v>
      </c>
      <c r="G423" s="5">
        <f>VALUE(SUBSTITUTE('1000_заявлений'!G417, ".", ","))</f>
        <v>-19864</v>
      </c>
      <c r="H423" s="5">
        <f>VALUE(SUBSTITUTE('1000_заявлений'!H417, ".", ","))</f>
        <v>-3406</v>
      </c>
      <c r="I423" s="4">
        <f>VALUE(SUBSTITUTE('1000_заявлений'!I417, ".", ","))</f>
        <v>0.133066666666666</v>
      </c>
      <c r="J423" s="4">
        <f>VALUE(SUBSTITUTE('1000_заявлений'!J417, ".", ","))</f>
        <v>2.7786277482288102</v>
      </c>
      <c r="K423" s="5">
        <f>VALUE(SUBSTITUTE('1000_заявлений'!K417, ".", ","))</f>
        <v>-1349</v>
      </c>
      <c r="L423" s="6">
        <f>VALUE(SUBSTITUTE('1000_заявлений'!L417, ".", ","))</f>
        <v>8982</v>
      </c>
      <c r="M423" s="2" t="str">
        <f>IF(Данные[[#This Row],[proba]]&gt;$C$6, "отказ", "одобрение")</f>
        <v>отказ</v>
      </c>
      <c r="N423" s="7">
        <f>IF(Данные[[#This Row],[proba]]&lt;$D$2,$C$2,IF(Данные[[#This Row],[proba]]&lt;$D$3,$C$3,IF(Данные[[#This Row],[proba]]&gt;$C$6,0,$C$4)))</f>
        <v>0</v>
      </c>
      <c r="O423" s="2">
        <f>IF(Данные[[#This Row],[weighted_ext_score]]&gt;$O$1,MIN(Данные[[#This Row],[Базовая сумма]]*$O$2,$C$2),IF(Данные[[#This Row],[weighted_ext_score]]&lt;$O$3,Данные[[#This Row],[Базовая сумма]]*$O$4,N423))</f>
        <v>0</v>
      </c>
      <c r="P4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3" s="2">
        <f>ABS(Данные[[#This Row],[days_birth]])/365.2425</f>
        <v>54.385784786819713</v>
      </c>
      <c r="S4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3" s="2">
        <f>IF(Данные[[#This Row],[ interest_rate]]&gt;$T$1,Данные[[#This Row],[days_birth4]]*$T$2,Данные[[#This Row],[days_birth4]])</f>
        <v>0</v>
      </c>
      <c r="U423" s="2">
        <f>IF(Данные[[#This Row],[Проверка отказа]]="отказ",0,MAX(Данные[[#This Row],[interest_rate]],$C$1))</f>
        <v>0</v>
      </c>
      <c r="V423" s="2">
        <f>MROUND(Данные[[#This Row],[Минимум 20000]], 100)</f>
        <v>0</v>
      </c>
    </row>
    <row r="424" spans="1:22" x14ac:dyDescent="0.25">
      <c r="A424" s="2">
        <f>'1000_заявлений'!A418</f>
        <v>416</v>
      </c>
      <c r="B424" s="4">
        <f>VALUE(SUBSTITUTE('1000_заявлений'!B418, ".", ","))</f>
        <v>0.279895879209969</v>
      </c>
      <c r="C424" s="4">
        <f>VALUE(SUBSTITUTE('1000_заявлений'!C418, ".", ","))</f>
        <v>0.47162554651292898</v>
      </c>
      <c r="D424" s="4">
        <f>VALUE(SUBSTITUTE('1000_заявлений'!D418, ".", ","))</f>
        <v>0.68326885000000004</v>
      </c>
      <c r="E424" s="4">
        <f>VALUE(SUBSTITUTE('1000_заявлений'!E418, ".", ","))</f>
        <v>0.69212914000000003</v>
      </c>
      <c r="F424" s="5">
        <f>VALUE(SUBSTITUTE('1000_заявлений'!F418, ".", ","))</f>
        <v>-3479</v>
      </c>
      <c r="G424" s="5">
        <f>VALUE(SUBSTITUTE('1000_заявлений'!G418, ".", ","))</f>
        <v>-19268</v>
      </c>
      <c r="H424" s="5">
        <f>VALUE(SUBSTITUTE('1000_заявлений'!H418, ".", ","))</f>
        <v>-2761</v>
      </c>
      <c r="I424" s="4">
        <f>VALUE(SUBSTITUTE('1000_заявлений'!I418, ".", ","))</f>
        <v>0.25573333333333298</v>
      </c>
      <c r="J424" s="4">
        <f>VALUE(SUBSTITUTE('1000_заявлений'!J418, ".", ","))</f>
        <v>0.38223084452879602</v>
      </c>
      <c r="K424" s="5">
        <f>VALUE(SUBSTITUTE('1000_заявлений'!K418, ".", ","))</f>
        <v>-1413</v>
      </c>
      <c r="L424" s="6">
        <f>VALUE(SUBSTITUTE('1000_заявлений'!L418, ".", ","))</f>
        <v>34524</v>
      </c>
      <c r="M424" s="2" t="str">
        <f>IF(Данные[[#This Row],[proba]]&gt;$C$6, "отказ", "одобрение")</f>
        <v>одобрение</v>
      </c>
      <c r="N424" s="7">
        <f>IF(Данные[[#This Row],[proba]]&lt;$D$2,$C$2,IF(Данные[[#This Row],[proba]]&lt;$D$3,$C$3,IF(Данные[[#This Row],[proba]]&gt;$C$6,0,$C$4)))</f>
        <v>100000</v>
      </c>
      <c r="O424" s="2">
        <f>IF(Данные[[#This Row],[weighted_ext_score]]&gt;$O$1,MIN(Данные[[#This Row],[Базовая сумма]]*$O$2,$C$2),IF(Данные[[#This Row],[weighted_ext_score]]&lt;$O$3,Данные[[#This Row],[Базовая сумма]]*$O$4,N424))</f>
        <v>100000</v>
      </c>
      <c r="P4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424" s="2">
        <f>ABS(Данные[[#This Row],[days_birth]])/365.2425</f>
        <v>52.753992210654566</v>
      </c>
      <c r="S4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73500</v>
      </c>
      <c r="T424" s="2">
        <f>IF(Данные[[#This Row],[ interest_rate]]&gt;$T$1,Данные[[#This Row],[days_birth4]]*$T$2,Данные[[#This Row],[days_birth4]])</f>
        <v>73500</v>
      </c>
      <c r="U424" s="2">
        <f>IF(Данные[[#This Row],[Проверка отказа]]="отказ",0,MAX(Данные[[#This Row],[interest_rate]],$C$1))</f>
        <v>73500</v>
      </c>
      <c r="V424" s="2">
        <f>MROUND(Данные[[#This Row],[Минимум 20000]], 100)</f>
        <v>73500</v>
      </c>
    </row>
    <row r="425" spans="1:22" x14ac:dyDescent="0.25">
      <c r="A425" s="2">
        <f>'1000_заявлений'!A419</f>
        <v>417</v>
      </c>
      <c r="B425" s="4">
        <f>VALUE(SUBSTITUTE('1000_заявлений'!B419, ".", ","))</f>
        <v>0.34615100614666999</v>
      </c>
      <c r="C425" s="4">
        <f>VALUE(SUBSTITUTE('1000_заявлений'!C419, ".", ","))</f>
        <v>0.23276463926723701</v>
      </c>
      <c r="D425" s="4">
        <f>VALUE(SUBSTITUTE('1000_заявлений'!D419, ".", ","))</f>
        <v>0.53527623000000002</v>
      </c>
      <c r="E425" s="4">
        <f>VALUE(SUBSTITUTE('1000_заявлений'!E419, ".", ","))</f>
        <v>0.71757470000000001</v>
      </c>
      <c r="F425" s="5">
        <f>VALUE(SUBSTITUTE('1000_заявлений'!F419, ".", ","))</f>
        <v>-12259</v>
      </c>
      <c r="G425" s="5">
        <f>VALUE(SUBSTITUTE('1000_заявлений'!G419, ".", ","))</f>
        <v>-22296</v>
      </c>
      <c r="H425" s="5">
        <f>VALUE(SUBSTITUTE('1000_заявлений'!H419, ".", ","))</f>
        <v>-4825</v>
      </c>
      <c r="I425" s="4">
        <f>VALUE(SUBSTITUTE('1000_заявлений'!I419, ".", ","))</f>
        <v>0.23976666666666599</v>
      </c>
      <c r="J425" s="4">
        <f>VALUE(SUBSTITUTE('1000_заявлений'!J419, ".", ","))</f>
        <v>1.5593427177521499</v>
      </c>
      <c r="K425" s="5">
        <f>VALUE(SUBSTITUTE('1000_заявлений'!K419, ".", ","))</f>
        <v>365243</v>
      </c>
      <c r="L425" s="6">
        <f>VALUE(SUBSTITUTE('1000_заявлений'!L419, ".", ","))</f>
        <v>32368.5</v>
      </c>
      <c r="M425" s="2" t="str">
        <f>IF(Данные[[#This Row],[proba]]&gt;$C$6, "отказ", "одобрение")</f>
        <v>отказ</v>
      </c>
      <c r="N425" s="7">
        <f>IF(Данные[[#This Row],[proba]]&lt;$D$2,$C$2,IF(Данные[[#This Row],[proba]]&lt;$D$3,$C$3,IF(Данные[[#This Row],[proba]]&gt;$C$6,0,$C$4)))</f>
        <v>0</v>
      </c>
      <c r="O425" s="2">
        <f>IF(Данные[[#This Row],[weighted_ext_score]]&gt;$O$1,MIN(Данные[[#This Row],[Базовая сумма]]*$O$2,$C$2),IF(Данные[[#This Row],[weighted_ext_score]]&lt;$O$3,Данные[[#This Row],[Базовая сумма]]*$O$4,N425))</f>
        <v>0</v>
      </c>
      <c r="P4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5" s="2">
        <f>ABS(Данные[[#This Row],[days_birth]])/365.2425</f>
        <v>61.044374627815763</v>
      </c>
      <c r="S4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5" s="2">
        <f>IF(Данные[[#This Row],[ interest_rate]]&gt;$T$1,Данные[[#This Row],[days_birth4]]*$T$2,Данные[[#This Row],[days_birth4]])</f>
        <v>0</v>
      </c>
      <c r="U425" s="2">
        <f>IF(Данные[[#This Row],[Проверка отказа]]="отказ",0,MAX(Данные[[#This Row],[interest_rate]],$C$1))</f>
        <v>0</v>
      </c>
      <c r="V425" s="2">
        <f>MROUND(Данные[[#This Row],[Минимум 20000]], 100)</f>
        <v>0</v>
      </c>
    </row>
    <row r="426" spans="1:22" x14ac:dyDescent="0.25">
      <c r="A426" s="2">
        <f>'1000_заявлений'!A420</f>
        <v>418</v>
      </c>
      <c r="B426" s="4">
        <f>VALUE(SUBSTITUTE('1000_заявлений'!B420, ".", ","))</f>
        <v>0.216674963447088</v>
      </c>
      <c r="C426" s="4">
        <f>VALUE(SUBSTITUTE('1000_заявлений'!C420, ".", ","))</f>
        <v>0.60914990763761501</v>
      </c>
      <c r="D426" s="4">
        <f>VALUE(SUBSTITUTE('1000_заявлений'!D420, ".", ","))</f>
        <v>0.45253357</v>
      </c>
      <c r="E426" s="4">
        <f>VALUE(SUBSTITUTE('1000_заявлений'!E420, ".", ","))</f>
        <v>0.66744789999999998</v>
      </c>
      <c r="F426" s="5">
        <f>VALUE(SUBSTITUTE('1000_заявлений'!F420, ".", ","))</f>
        <v>-3631</v>
      </c>
      <c r="G426" s="5">
        <f>VALUE(SUBSTITUTE('1000_заявлений'!G420, ".", ","))</f>
        <v>-20263</v>
      </c>
      <c r="H426" s="5">
        <f>VALUE(SUBSTITUTE('1000_заявлений'!H420, ".", ","))</f>
        <v>-3772</v>
      </c>
      <c r="I426" s="4">
        <f>VALUE(SUBSTITUTE('1000_заявлений'!I420, ".", ","))</f>
        <v>0.1</v>
      </c>
      <c r="J426" s="4">
        <f>VALUE(SUBSTITUTE('1000_заявлений'!J420, ".", ","))</f>
        <v>10.6209759779781</v>
      </c>
      <c r="K426" s="5">
        <f>VALUE(SUBSTITUTE('1000_заявлений'!K420, ".", ","))</f>
        <v>365243</v>
      </c>
      <c r="L426" s="6">
        <f>VALUE(SUBSTITUTE('1000_заявлений'!L420, ".", ","))</f>
        <v>18000</v>
      </c>
      <c r="M426" s="2" t="str">
        <f>IF(Данные[[#This Row],[proba]]&gt;$C$6, "отказ", "одобрение")</f>
        <v>одобрение</v>
      </c>
      <c r="N426" s="7">
        <f>IF(Данные[[#This Row],[proba]]&lt;$D$2,$C$2,IF(Данные[[#This Row],[proba]]&lt;$D$3,$C$3,IF(Данные[[#This Row],[proba]]&gt;$C$6,0,$C$4)))</f>
        <v>100000</v>
      </c>
      <c r="O426" s="2">
        <f>IF(Данные[[#This Row],[weighted_ext_score]]&gt;$O$1,MIN(Данные[[#This Row],[Базовая сумма]]*$O$2,$C$2),IF(Данные[[#This Row],[weighted_ext_score]]&lt;$O$3,Данные[[#This Row],[Базовая сумма]]*$O$4,N426))</f>
        <v>100000</v>
      </c>
      <c r="P4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26" s="2">
        <f>ABS(Данные[[#This Row],[days_birth]])/365.2425</f>
        <v>55.478209682608131</v>
      </c>
      <c r="S4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426" s="2">
        <f>IF(Данные[[#This Row],[ interest_rate]]&gt;$T$1,Данные[[#This Row],[days_birth4]]*$T$2,Данные[[#This Row],[days_birth4]])</f>
        <v>126000</v>
      </c>
      <c r="U426" s="2">
        <f>IF(Данные[[#This Row],[Проверка отказа]]="отказ",0,MAX(Данные[[#This Row],[interest_rate]],$C$1))</f>
        <v>126000</v>
      </c>
      <c r="V426" s="2">
        <f>MROUND(Данные[[#This Row],[Минимум 20000]], 100)</f>
        <v>126000</v>
      </c>
    </row>
    <row r="427" spans="1:22" x14ac:dyDescent="0.25">
      <c r="A427" s="2">
        <f>'1000_заявлений'!A421</f>
        <v>419</v>
      </c>
      <c r="B427" s="4">
        <f>VALUE(SUBSTITUTE('1000_заявлений'!B421, ".", ","))</f>
        <v>0.72796689705116702</v>
      </c>
      <c r="C427" s="4">
        <f>VALUE(SUBSTITUTE('1000_заявлений'!C421, ".", ","))</f>
        <v>7.7583251204136998E-3</v>
      </c>
      <c r="D427" s="4">
        <f>VALUE(SUBSTITUTE('1000_заявлений'!D421, ".", ","))</f>
        <v>0.53527623000000002</v>
      </c>
      <c r="E427" s="4">
        <f>VALUE(SUBSTITUTE('1000_заявлений'!E421, ".", ","))</f>
        <v>2.3917627E-2</v>
      </c>
      <c r="F427" s="5">
        <f>VALUE(SUBSTITUTE('1000_заявлений'!F421, ".", ","))</f>
        <v>-9301</v>
      </c>
      <c r="G427" s="5">
        <f>VALUE(SUBSTITUTE('1000_заявлений'!G421, ".", ","))</f>
        <v>-21494</v>
      </c>
      <c r="H427" s="5">
        <f>VALUE(SUBSTITUTE('1000_заявлений'!H421, ".", ","))</f>
        <v>-4527</v>
      </c>
      <c r="I427" s="4">
        <f>VALUE(SUBSTITUTE('1000_заявлений'!I421, ".", ","))</f>
        <v>0.23544000000000001</v>
      </c>
      <c r="J427" s="4">
        <f>VALUE(SUBSTITUTE('1000_заявлений'!J421, ".", ","))</f>
        <v>4.5686877659159597</v>
      </c>
      <c r="K427" s="5">
        <f>VALUE(SUBSTITUTE('1000_заявлений'!K421, ".", ","))</f>
        <v>365243</v>
      </c>
      <c r="L427" s="6">
        <f>VALUE(SUBSTITUTE('1000_заявлений'!L421, ".", ","))</f>
        <v>26487</v>
      </c>
      <c r="M427" s="2" t="str">
        <f>IF(Данные[[#This Row],[proba]]&gt;$C$6, "отказ", "одобрение")</f>
        <v>отказ</v>
      </c>
      <c r="N427" s="7">
        <f>IF(Данные[[#This Row],[proba]]&lt;$D$2,$C$2,IF(Данные[[#This Row],[proba]]&lt;$D$3,$C$3,IF(Данные[[#This Row],[proba]]&gt;$C$6,0,$C$4)))</f>
        <v>0</v>
      </c>
      <c r="O427" s="2">
        <f>IF(Данные[[#This Row],[weighted_ext_score]]&gt;$O$1,MIN(Данные[[#This Row],[Базовая сумма]]*$O$2,$C$2),IF(Данные[[#This Row],[weighted_ext_score]]&lt;$O$3,Данные[[#This Row],[Базовая сумма]]*$O$4,N427))</f>
        <v>0</v>
      </c>
      <c r="P4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7" s="2">
        <f>ABS(Данные[[#This Row],[days_birth]])/365.2425</f>
        <v>58.848573208210979</v>
      </c>
      <c r="S4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7" s="2">
        <f>IF(Данные[[#This Row],[ interest_rate]]&gt;$T$1,Данные[[#This Row],[days_birth4]]*$T$2,Данные[[#This Row],[days_birth4]])</f>
        <v>0</v>
      </c>
      <c r="U427" s="2">
        <f>IF(Данные[[#This Row],[Проверка отказа]]="отказ",0,MAX(Данные[[#This Row],[interest_rate]],$C$1))</f>
        <v>0</v>
      </c>
      <c r="V427" s="2">
        <f>MROUND(Данные[[#This Row],[Минимум 20000]], 100)</f>
        <v>0</v>
      </c>
    </row>
    <row r="428" spans="1:22" x14ac:dyDescent="0.25">
      <c r="A428" s="2">
        <f>'1000_заявлений'!A422</f>
        <v>420</v>
      </c>
      <c r="B428" s="4">
        <f>VALUE(SUBSTITUTE('1000_заявлений'!B422, ".", ","))</f>
        <v>0.72163730076513199</v>
      </c>
      <c r="C428" s="4">
        <f>VALUE(SUBSTITUTE('1000_заявлений'!C422, ".", ","))</f>
        <v>0.16241782921669601</v>
      </c>
      <c r="D428" s="4">
        <f>VALUE(SUBSTITUTE('1000_заявлений'!D422, ".", ","))</f>
        <v>0.42061095999999998</v>
      </c>
      <c r="E428" s="4">
        <f>VALUE(SUBSTITUTE('1000_заявлений'!E422, ".", ","))</f>
        <v>3.1744870000000001E-2</v>
      </c>
      <c r="F428" s="5">
        <f>VALUE(SUBSTITUTE('1000_заявлений'!F422, ".", ","))</f>
        <v>-2562</v>
      </c>
      <c r="G428" s="5">
        <f>VALUE(SUBSTITUTE('1000_заявлений'!G422, ".", ","))</f>
        <v>-21721</v>
      </c>
      <c r="H428" s="5">
        <f>VALUE(SUBSTITUTE('1000_заявлений'!H422, ".", ","))</f>
        <v>-3902</v>
      </c>
      <c r="I428" s="4">
        <f>VALUE(SUBSTITUTE('1000_заявлений'!I422, ".", ","))</f>
        <v>0.25456000000000001</v>
      </c>
      <c r="J428" s="4">
        <f>VALUE(SUBSTITUTE('1000_заявлений'!J422, ".", ","))</f>
        <v>6.6731852884032303</v>
      </c>
      <c r="K428" s="5">
        <f>VALUE(SUBSTITUTE('1000_заявлений'!K422, ".", ","))</f>
        <v>365243</v>
      </c>
      <c r="L428" s="6">
        <f>VALUE(SUBSTITUTE('1000_заявлений'!L422, ".", ","))</f>
        <v>28638</v>
      </c>
      <c r="M428" s="2" t="str">
        <f>IF(Данные[[#This Row],[proba]]&gt;$C$6, "отказ", "одобрение")</f>
        <v>отказ</v>
      </c>
      <c r="N428" s="7">
        <f>IF(Данные[[#This Row],[proba]]&lt;$D$2,$C$2,IF(Данные[[#This Row],[proba]]&lt;$D$3,$C$3,IF(Данные[[#This Row],[proba]]&gt;$C$6,0,$C$4)))</f>
        <v>0</v>
      </c>
      <c r="O428" s="2">
        <f>IF(Данные[[#This Row],[weighted_ext_score]]&gt;$O$1,MIN(Данные[[#This Row],[Базовая сумма]]*$O$2,$C$2),IF(Данные[[#This Row],[weighted_ext_score]]&lt;$O$3,Данные[[#This Row],[Базовая сумма]]*$O$4,N428))</f>
        <v>0</v>
      </c>
      <c r="P4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8" s="2">
        <f>ABS(Данные[[#This Row],[days_birth]])/365.2425</f>
        <v>59.470078098797373</v>
      </c>
      <c r="S4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8" s="2">
        <f>IF(Данные[[#This Row],[ interest_rate]]&gt;$T$1,Данные[[#This Row],[days_birth4]]*$T$2,Данные[[#This Row],[days_birth4]])</f>
        <v>0</v>
      </c>
      <c r="U428" s="2">
        <f>IF(Данные[[#This Row],[Проверка отказа]]="отказ",0,MAX(Данные[[#This Row],[interest_rate]],$C$1))</f>
        <v>0</v>
      </c>
      <c r="V428" s="2">
        <f>MROUND(Данные[[#This Row],[Минимум 20000]], 100)</f>
        <v>0</v>
      </c>
    </row>
    <row r="429" spans="1:22" x14ac:dyDescent="0.25">
      <c r="A429" s="2">
        <f>'1000_заявлений'!A423</f>
        <v>421</v>
      </c>
      <c r="B429" s="4">
        <f>VALUE(SUBSTITUTE('1000_заявлений'!B423, ".", ","))</f>
        <v>0.64054081999149803</v>
      </c>
      <c r="C429" s="4">
        <f>VALUE(SUBSTITUTE('1000_заявлений'!C423, ".", ","))</f>
        <v>0.25851301322827303</v>
      </c>
      <c r="D429" s="4">
        <f>VALUE(SUBSTITUTE('1000_заявлений'!D423, ".", ","))</f>
        <v>0.34905525999999998</v>
      </c>
      <c r="E429" s="4">
        <f>VALUE(SUBSTITUTE('1000_заявлений'!E423, ".", ","))</f>
        <v>0.40777173999999999</v>
      </c>
      <c r="F429" s="5">
        <f>VALUE(SUBSTITUTE('1000_заявлений'!F423, ".", ","))</f>
        <v>-3703</v>
      </c>
      <c r="G429" s="5">
        <f>VALUE(SUBSTITUTE('1000_заявлений'!G423, ".", ","))</f>
        <v>-15170</v>
      </c>
      <c r="H429" s="5">
        <f>VALUE(SUBSTITUTE('1000_заявлений'!H423, ".", ","))</f>
        <v>-4760</v>
      </c>
      <c r="I429" s="4">
        <f>VALUE(SUBSTITUTE('1000_заявлений'!I423, ".", ","))</f>
        <v>0.154377777777777</v>
      </c>
      <c r="J429" s="4">
        <f>VALUE(SUBSTITUTE('1000_заявлений'!J423, ".", ","))</f>
        <v>2.5401224748646301</v>
      </c>
      <c r="K429" s="5">
        <f>VALUE(SUBSTITUTE('1000_заявлений'!K423, ".", ","))</f>
        <v>-5585</v>
      </c>
      <c r="L429" s="6">
        <f>VALUE(SUBSTITUTE('1000_заявлений'!L423, ".", ","))</f>
        <v>31261.5</v>
      </c>
      <c r="M429" s="2" t="str">
        <f>IF(Данные[[#This Row],[proba]]&gt;$C$6, "отказ", "одобрение")</f>
        <v>отказ</v>
      </c>
      <c r="N429" s="7">
        <f>IF(Данные[[#This Row],[proba]]&lt;$D$2,$C$2,IF(Данные[[#This Row],[proba]]&lt;$D$3,$C$3,IF(Данные[[#This Row],[proba]]&gt;$C$6,0,$C$4)))</f>
        <v>0</v>
      </c>
      <c r="O429" s="2">
        <f>IF(Данные[[#This Row],[weighted_ext_score]]&gt;$O$1,MIN(Данные[[#This Row],[Базовая сумма]]*$O$2,$C$2),IF(Данные[[#This Row],[weighted_ext_score]]&lt;$O$3,Данные[[#This Row],[Базовая сумма]]*$O$4,N429))</f>
        <v>0</v>
      </c>
      <c r="P4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29" s="2">
        <f>ABS(Данные[[#This Row],[days_birth]])/365.2425</f>
        <v>41.53404929601566</v>
      </c>
      <c r="S4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29" s="2">
        <f>IF(Данные[[#This Row],[ interest_rate]]&gt;$T$1,Данные[[#This Row],[days_birth4]]*$T$2,Данные[[#This Row],[days_birth4]])</f>
        <v>0</v>
      </c>
      <c r="U429" s="2">
        <f>IF(Данные[[#This Row],[Проверка отказа]]="отказ",0,MAX(Данные[[#This Row],[interest_rate]],$C$1))</f>
        <v>0</v>
      </c>
      <c r="V429" s="2">
        <f>MROUND(Данные[[#This Row],[Минимум 20000]], 100)</f>
        <v>0</v>
      </c>
    </row>
    <row r="430" spans="1:22" x14ac:dyDescent="0.25">
      <c r="A430" s="2">
        <f>'1000_заявлений'!A424</f>
        <v>422</v>
      </c>
      <c r="B430" s="4">
        <f>VALUE(SUBSTITUTE('1000_заявлений'!B424, ".", ","))</f>
        <v>0.20549963020560399</v>
      </c>
      <c r="C430" s="4">
        <f>VALUE(SUBSTITUTE('1000_заявлений'!C424, ".", ","))</f>
        <v>0.47765178884547899</v>
      </c>
      <c r="D430" s="4">
        <f>VALUE(SUBSTITUTE('1000_заявлений'!D424, ".", ","))</f>
        <v>0.61782616000000001</v>
      </c>
      <c r="E430" s="4">
        <f>VALUE(SUBSTITUTE('1000_заявлений'!E424, ".", ","))</f>
        <v>0.7836727</v>
      </c>
      <c r="F430" s="5">
        <f>VALUE(SUBSTITUTE('1000_заявлений'!F424, ".", ","))</f>
        <v>-940</v>
      </c>
      <c r="G430" s="5">
        <f>VALUE(SUBSTITUTE('1000_заявлений'!G424, ".", ","))</f>
        <v>-17752</v>
      </c>
      <c r="H430" s="5">
        <f>VALUE(SUBSTITUTE('1000_заявлений'!H424, ".", ","))</f>
        <v>-1304</v>
      </c>
      <c r="I430" s="4">
        <f>VALUE(SUBSTITUTE('1000_заявлений'!I424, ".", ","))</f>
        <v>7.89333333333333E-2</v>
      </c>
      <c r="J430" s="4">
        <f>VALUE(SUBSTITUTE('1000_заявлений'!J424, ".", ","))</f>
        <v>17.609599418605001</v>
      </c>
      <c r="K430" s="5">
        <f>VALUE(SUBSTITUTE('1000_заявлений'!K424, ".", ","))</f>
        <v>-1041</v>
      </c>
      <c r="L430" s="6">
        <f>VALUE(SUBSTITUTE('1000_заявлений'!L424, ".", ","))</f>
        <v>5328</v>
      </c>
      <c r="M430" s="2" t="str">
        <f>IF(Данные[[#This Row],[proba]]&gt;$C$6, "отказ", "одобрение")</f>
        <v>одобрение</v>
      </c>
      <c r="N430" s="7">
        <f>IF(Данные[[#This Row],[proba]]&lt;$D$2,$C$2,IF(Данные[[#This Row],[proba]]&lt;$D$3,$C$3,IF(Данные[[#This Row],[proba]]&gt;$C$6,0,$C$4)))</f>
        <v>100000</v>
      </c>
      <c r="O430" s="2">
        <f>IF(Данные[[#This Row],[weighted_ext_score]]&gt;$O$1,MIN(Данные[[#This Row],[Базовая сумма]]*$O$2,$C$2),IF(Данные[[#This Row],[weighted_ext_score]]&lt;$O$3,Данные[[#This Row],[Базовая сумма]]*$O$4,N430))</f>
        <v>100000</v>
      </c>
      <c r="P4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430" s="2">
        <f>ABS(Данные[[#This Row],[days_birth]])/365.2425</f>
        <v>48.603325188059983</v>
      </c>
      <c r="S4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430" s="2">
        <f>IF(Данные[[#This Row],[ interest_rate]]&gt;$T$1,Данные[[#This Row],[days_birth4]]*$T$2,Данные[[#This Row],[days_birth4]])</f>
        <v>84000</v>
      </c>
      <c r="U430" s="2">
        <f>IF(Данные[[#This Row],[Проверка отказа]]="отказ",0,MAX(Данные[[#This Row],[interest_rate]],$C$1))</f>
        <v>84000</v>
      </c>
      <c r="V430" s="2">
        <f>MROUND(Данные[[#This Row],[Минимум 20000]], 100)</f>
        <v>84000</v>
      </c>
    </row>
    <row r="431" spans="1:22" x14ac:dyDescent="0.25">
      <c r="A431" s="2">
        <f>'1000_заявлений'!A425</f>
        <v>423</v>
      </c>
      <c r="B431" s="4">
        <f>VALUE(SUBSTITUTE('1000_заявлений'!B425, ".", ","))</f>
        <v>0.23238851777839101</v>
      </c>
      <c r="C431" s="4">
        <f>VALUE(SUBSTITUTE('1000_заявлений'!C425, ".", ","))</f>
        <v>0.48645120653651602</v>
      </c>
      <c r="D431" s="4">
        <f>VALUE(SUBSTITUTE('1000_заявлений'!D425, ".", ","))</f>
        <v>0.64302559999999997</v>
      </c>
      <c r="E431" s="4">
        <f>VALUE(SUBSTITUTE('1000_заявлений'!E425, ".", ","))</f>
        <v>0.78270360000000005</v>
      </c>
      <c r="F431" s="5">
        <f>VALUE(SUBSTITUTE('1000_заявлений'!F425, ".", ","))</f>
        <v>-1673</v>
      </c>
      <c r="G431" s="5">
        <f>VALUE(SUBSTITUTE('1000_заявлений'!G425, ".", ","))</f>
        <v>-19414</v>
      </c>
      <c r="H431" s="5">
        <f>VALUE(SUBSTITUTE('1000_заявлений'!H425, ".", ","))</f>
        <v>-2934</v>
      </c>
      <c r="I431" s="4">
        <f>VALUE(SUBSTITUTE('1000_заявлений'!I425, ".", ","))</f>
        <v>0.167511111111111</v>
      </c>
      <c r="J431" s="4">
        <f>VALUE(SUBSTITUTE('1000_заявлений'!J425, ".", ","))</f>
        <v>3.12567199796205</v>
      </c>
      <c r="K431" s="5">
        <f>VALUE(SUBSTITUTE('1000_заявлений'!K425, ".", ","))</f>
        <v>-1025</v>
      </c>
      <c r="L431" s="6">
        <f>VALUE(SUBSTITUTE('1000_заявлений'!L425, ".", ","))</f>
        <v>33921</v>
      </c>
      <c r="M431" s="2" t="str">
        <f>IF(Данные[[#This Row],[proba]]&gt;$C$6, "отказ", "одобрение")</f>
        <v>одобрение</v>
      </c>
      <c r="N431" s="7">
        <f>IF(Данные[[#This Row],[proba]]&lt;$D$2,$C$2,IF(Данные[[#This Row],[proba]]&lt;$D$3,$C$3,IF(Данные[[#This Row],[proba]]&gt;$C$6,0,$C$4)))</f>
        <v>100000</v>
      </c>
      <c r="O431" s="2">
        <f>IF(Данные[[#This Row],[weighted_ext_score]]&gt;$O$1,MIN(Данные[[#This Row],[Базовая сумма]]*$O$2,$C$2),IF(Данные[[#This Row],[weighted_ext_score]]&lt;$O$3,Данные[[#This Row],[Базовая сумма]]*$O$4,N431))</f>
        <v>100000</v>
      </c>
      <c r="P4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431" s="2">
        <f>ABS(Данные[[#This Row],[days_birth]])/365.2425</f>
        <v>53.153726633674886</v>
      </c>
      <c r="S4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431" s="2">
        <f>IF(Данные[[#This Row],[ interest_rate]]&gt;$T$1,Данные[[#This Row],[days_birth4]]*$T$2,Данные[[#This Row],[days_birth4]])</f>
        <v>88200</v>
      </c>
      <c r="U431" s="2">
        <f>IF(Данные[[#This Row],[Проверка отказа]]="отказ",0,MAX(Данные[[#This Row],[interest_rate]],$C$1))</f>
        <v>88200</v>
      </c>
      <c r="V431" s="2">
        <f>MROUND(Данные[[#This Row],[Минимум 20000]], 100)</f>
        <v>88200</v>
      </c>
    </row>
    <row r="432" spans="1:22" x14ac:dyDescent="0.25">
      <c r="A432" s="2">
        <f>'1000_заявлений'!A426</f>
        <v>424</v>
      </c>
      <c r="B432" s="4">
        <f>VALUE(SUBSTITUTE('1000_заявлений'!B426, ".", ","))</f>
        <v>0.28452247460462898</v>
      </c>
      <c r="C432" s="4">
        <f>VALUE(SUBSTITUTE('1000_заявлений'!C426, ".", ","))</f>
        <v>0.59270074876589396</v>
      </c>
      <c r="D432" s="4">
        <f>VALUE(SUBSTITUTE('1000_заявлений'!D426, ".", ","))</f>
        <v>0.44539624</v>
      </c>
      <c r="E432" s="4">
        <f>VALUE(SUBSTITUTE('1000_заявлений'!E426, ".", ","))</f>
        <v>0.58810114999999996</v>
      </c>
      <c r="F432" s="5">
        <f>VALUE(SUBSTITUTE('1000_заявлений'!F426, ".", ","))</f>
        <v>-959</v>
      </c>
      <c r="G432" s="5">
        <f>VALUE(SUBSTITUTE('1000_заявлений'!G426, ".", ","))</f>
        <v>-23640</v>
      </c>
      <c r="H432" s="5">
        <f>VALUE(SUBSTITUTE('1000_заявлений'!H426, ".", ","))</f>
        <v>-5051</v>
      </c>
      <c r="I432" s="4">
        <f>VALUE(SUBSTITUTE('1000_заявлений'!I426, ".", ","))</f>
        <v>0.23</v>
      </c>
      <c r="J432" s="4">
        <f>VALUE(SUBSTITUTE('1000_заявлений'!J426, ".", ","))</f>
        <v>2.4910226696938298</v>
      </c>
      <c r="K432" s="5">
        <f>VALUE(SUBSTITUTE('1000_заявлений'!K426, ".", ","))</f>
        <v>365243</v>
      </c>
      <c r="L432" s="6">
        <f>VALUE(SUBSTITUTE('1000_заявлений'!L426, ".", ","))</f>
        <v>31050</v>
      </c>
      <c r="M432" s="2" t="str">
        <f>IF(Данные[[#This Row],[proba]]&gt;$C$6, "отказ", "одобрение")</f>
        <v>одобрение</v>
      </c>
      <c r="N432" s="7">
        <f>IF(Данные[[#This Row],[proba]]&lt;$D$2,$C$2,IF(Данные[[#This Row],[proba]]&lt;$D$3,$C$3,IF(Данные[[#This Row],[proba]]&gt;$C$6,0,$C$4)))</f>
        <v>100000</v>
      </c>
      <c r="O432" s="2">
        <f>IF(Данные[[#This Row],[weighted_ext_score]]&gt;$O$1,MIN(Данные[[#This Row],[Базовая сумма]]*$O$2,$C$2),IF(Данные[[#This Row],[weighted_ext_score]]&lt;$O$3,Данные[[#This Row],[Базовая сумма]]*$O$4,N432))</f>
        <v>100000</v>
      </c>
      <c r="P4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32" s="2">
        <f>ABS(Данные[[#This Row],[days_birth]])/365.2425</f>
        <v>64.724121645208314</v>
      </c>
      <c r="S4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432" s="2">
        <f>IF(Данные[[#This Row],[ interest_rate]]&gt;$T$1,Данные[[#This Row],[days_birth4]]*$T$2,Данные[[#This Row],[days_birth4]])</f>
        <v>105000</v>
      </c>
      <c r="U432" s="2">
        <f>IF(Данные[[#This Row],[Проверка отказа]]="отказ",0,MAX(Данные[[#This Row],[interest_rate]],$C$1))</f>
        <v>105000</v>
      </c>
      <c r="V432" s="2">
        <f>MROUND(Данные[[#This Row],[Минимум 20000]], 100)</f>
        <v>105000</v>
      </c>
    </row>
    <row r="433" spans="1:22" x14ac:dyDescent="0.25">
      <c r="A433" s="2">
        <f>'1000_заявлений'!A427</f>
        <v>425</v>
      </c>
      <c r="B433" s="4">
        <f>VALUE(SUBSTITUTE('1000_заявлений'!B427, ".", ","))</f>
        <v>0.27512334836524099</v>
      </c>
      <c r="C433" s="4">
        <f>VALUE(SUBSTITUTE('1000_заявлений'!C427, ".", ","))</f>
        <v>0.44302920934876999</v>
      </c>
      <c r="D433" s="4">
        <f>VALUE(SUBSTITUTE('1000_заявлений'!D427, ".", ","))</f>
        <v>0.55494679999999996</v>
      </c>
      <c r="E433" s="4">
        <f>VALUE(SUBSTITUTE('1000_заявлений'!E427, ".", ","))</f>
        <v>0.74704470000000001</v>
      </c>
      <c r="F433" s="5">
        <f>VALUE(SUBSTITUTE('1000_заявлений'!F427, ".", ","))</f>
        <v>-1182</v>
      </c>
      <c r="G433" s="5">
        <f>VALUE(SUBSTITUTE('1000_заявлений'!G427, ".", ","))</f>
        <v>-22208</v>
      </c>
      <c r="H433" s="5">
        <f>VALUE(SUBSTITUTE('1000_заявлений'!H427, ".", ","))</f>
        <v>-4558</v>
      </c>
      <c r="I433" s="4">
        <f>VALUE(SUBSTITUTE('1000_заявлений'!I427, ".", ","))</f>
        <v>0.26574999999999999</v>
      </c>
      <c r="J433" s="4">
        <f>VALUE(SUBSTITUTE('1000_заявлений'!J427, ".", ","))</f>
        <v>1.796983118694</v>
      </c>
      <c r="K433" s="5">
        <f>VALUE(SUBSTITUTE('1000_заявлений'!K427, ".", ","))</f>
        <v>365243</v>
      </c>
      <c r="L433" s="6">
        <f>VALUE(SUBSTITUTE('1000_заявлений'!L427, ".", ","))</f>
        <v>14350.5</v>
      </c>
      <c r="M433" s="2" t="str">
        <f>IF(Данные[[#This Row],[proba]]&gt;$C$6, "отказ", "одобрение")</f>
        <v>одобрение</v>
      </c>
      <c r="N433" s="7">
        <f>IF(Данные[[#This Row],[proba]]&lt;$D$2,$C$2,IF(Данные[[#This Row],[proba]]&lt;$D$3,$C$3,IF(Данные[[#This Row],[proba]]&gt;$C$6,0,$C$4)))</f>
        <v>100000</v>
      </c>
      <c r="O433" s="2">
        <f>IF(Данные[[#This Row],[weighted_ext_score]]&gt;$O$1,MIN(Данные[[#This Row],[Базовая сумма]]*$O$2,$C$2),IF(Данные[[#This Row],[weighted_ext_score]]&lt;$O$3,Данные[[#This Row],[Базовая сумма]]*$O$4,N433))</f>
        <v>100000</v>
      </c>
      <c r="P4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33" s="2">
        <f>ABS(Данные[[#This Row],[days_birth]])/365.2425</f>
        <v>60.803438811200778</v>
      </c>
      <c r="S4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433" s="2">
        <f>IF(Данные[[#This Row],[ interest_rate]]&gt;$T$1,Данные[[#This Row],[days_birth4]]*$T$2,Данные[[#This Row],[days_birth4]])</f>
        <v>105000</v>
      </c>
      <c r="U433" s="2">
        <f>IF(Данные[[#This Row],[Проверка отказа]]="отказ",0,MAX(Данные[[#This Row],[interest_rate]],$C$1))</f>
        <v>105000</v>
      </c>
      <c r="V433" s="2">
        <f>MROUND(Данные[[#This Row],[Минимум 20000]], 100)</f>
        <v>105000</v>
      </c>
    </row>
    <row r="434" spans="1:22" x14ac:dyDescent="0.25">
      <c r="A434" s="2">
        <f>'1000_заявлений'!A428</f>
        <v>426</v>
      </c>
      <c r="B434" s="4">
        <f>VALUE(SUBSTITUTE('1000_заявлений'!B428, ".", ","))</f>
        <v>0.426978603916427</v>
      </c>
      <c r="C434" s="4">
        <f>VALUE(SUBSTITUTE('1000_заявлений'!C428, ".", ","))</f>
        <v>0.45044340083807799</v>
      </c>
      <c r="D434" s="4">
        <f>VALUE(SUBSTITUTE('1000_заявлений'!D428, ".", ","))</f>
        <v>0.50287824999999997</v>
      </c>
      <c r="E434" s="4">
        <f>VALUE(SUBSTITUTE('1000_заявлений'!E428, ".", ","))</f>
        <v>0.33576660000000003</v>
      </c>
      <c r="F434" s="5">
        <f>VALUE(SUBSTITUTE('1000_заявлений'!F428, ".", ","))</f>
        <v>-190</v>
      </c>
      <c r="G434" s="5">
        <f>VALUE(SUBSTITUTE('1000_заявлений'!G428, ".", ","))</f>
        <v>-20147</v>
      </c>
      <c r="H434" s="5">
        <f>VALUE(SUBSTITUTE('1000_заявлений'!H428, ".", ","))</f>
        <v>-3543</v>
      </c>
      <c r="I434" s="4">
        <f>VALUE(SUBSTITUTE('1000_заявлений'!I428, ".", ","))</f>
        <v>9.7826086956521702E-2</v>
      </c>
      <c r="J434" s="4">
        <f>VALUE(SUBSTITUTE('1000_заявлений'!J428, ".", ","))</f>
        <v>10.6209759779781</v>
      </c>
      <c r="K434" s="5">
        <f>VALUE(SUBSTITUTE('1000_заявлений'!K428, ".", ","))</f>
        <v>-781</v>
      </c>
      <c r="L434" s="6">
        <f>VALUE(SUBSTITUTE('1000_заявлений'!L428, ".", ","))</f>
        <v>20250</v>
      </c>
      <c r="M434" s="2" t="str">
        <f>IF(Данные[[#This Row],[proba]]&gt;$C$6, "отказ", "одобрение")</f>
        <v>отказ</v>
      </c>
      <c r="N434" s="7">
        <f>IF(Данные[[#This Row],[proba]]&lt;$D$2,$C$2,IF(Данные[[#This Row],[proba]]&lt;$D$3,$C$3,IF(Данные[[#This Row],[proba]]&gt;$C$6,0,$C$4)))</f>
        <v>0</v>
      </c>
      <c r="O434" s="2">
        <f>IF(Данные[[#This Row],[weighted_ext_score]]&gt;$O$1,MIN(Данные[[#This Row],[Базовая сумма]]*$O$2,$C$2),IF(Данные[[#This Row],[weighted_ext_score]]&lt;$O$3,Данные[[#This Row],[Базовая сумма]]*$O$4,N434))</f>
        <v>0</v>
      </c>
      <c r="P4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4" s="2">
        <f>ABS(Данные[[#This Row],[days_birth]])/365.2425</f>
        <v>55.160612469797464</v>
      </c>
      <c r="S4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4" s="2">
        <f>IF(Данные[[#This Row],[ interest_rate]]&gt;$T$1,Данные[[#This Row],[days_birth4]]*$T$2,Данные[[#This Row],[days_birth4]])</f>
        <v>0</v>
      </c>
      <c r="U434" s="2">
        <f>IF(Данные[[#This Row],[Проверка отказа]]="отказ",0,MAX(Данные[[#This Row],[interest_rate]],$C$1))</f>
        <v>0</v>
      </c>
      <c r="V434" s="2">
        <f>MROUND(Данные[[#This Row],[Минимум 20000]], 100)</f>
        <v>0</v>
      </c>
    </row>
    <row r="435" spans="1:22" x14ac:dyDescent="0.25">
      <c r="A435" s="2">
        <f>'1000_заявлений'!A429</f>
        <v>427</v>
      </c>
      <c r="B435" s="4">
        <f>VALUE(SUBSTITUTE('1000_заявлений'!B429, ".", ","))</f>
        <v>0.28579649227898402</v>
      </c>
      <c r="C435" s="4">
        <f>VALUE(SUBSTITUTE('1000_заявлений'!C429, ".", ","))</f>
        <v>0.41567146727644499</v>
      </c>
      <c r="D435" s="4">
        <f>VALUE(SUBSTITUTE('1000_заявлений'!D429, ".", ","))</f>
        <v>0.51008949999999997</v>
      </c>
      <c r="E435" s="4">
        <f>VALUE(SUBSTITUTE('1000_заявлений'!E429, ".", ","))</f>
        <v>0.7127192</v>
      </c>
      <c r="F435" s="5">
        <f>VALUE(SUBSTITUTE('1000_заявлений'!F429, ".", ","))</f>
        <v>-13009</v>
      </c>
      <c r="G435" s="5">
        <f>VALUE(SUBSTITUTE('1000_заявлений'!G429, ".", ","))</f>
        <v>-21654</v>
      </c>
      <c r="H435" s="5">
        <f>VALUE(SUBSTITUTE('1000_заявлений'!H429, ".", ","))</f>
        <v>-4054</v>
      </c>
      <c r="I435" s="4">
        <f>VALUE(SUBSTITUTE('1000_заявлений'!I429, ".", ","))</f>
        <v>0.21132000000000001</v>
      </c>
      <c r="J435" s="4">
        <f>VALUE(SUBSTITUTE('1000_заявлений'!J429, ".", ","))</f>
        <v>1.9305916734964901</v>
      </c>
      <c r="K435" s="5">
        <f>VALUE(SUBSTITUTE('1000_заявлений'!K429, ".", ","))</f>
        <v>365243</v>
      </c>
      <c r="L435" s="6">
        <f>VALUE(SUBSTITUTE('1000_заявлений'!L429, ".", ","))</f>
        <v>23773.5</v>
      </c>
      <c r="M435" s="2" t="str">
        <f>IF(Данные[[#This Row],[proba]]&gt;$C$6, "отказ", "одобрение")</f>
        <v>одобрение</v>
      </c>
      <c r="N435" s="7">
        <f>IF(Данные[[#This Row],[proba]]&lt;$D$2,$C$2,IF(Данные[[#This Row],[proba]]&lt;$D$3,$C$3,IF(Данные[[#This Row],[proba]]&gt;$C$6,0,$C$4)))</f>
        <v>100000</v>
      </c>
      <c r="O435" s="2">
        <f>IF(Данные[[#This Row],[weighted_ext_score]]&gt;$O$1,MIN(Данные[[#This Row],[Базовая сумма]]*$O$2,$C$2),IF(Данные[[#This Row],[weighted_ext_score]]&lt;$O$3,Данные[[#This Row],[Базовая сумма]]*$O$4,N435))</f>
        <v>100000</v>
      </c>
      <c r="P4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35" s="2">
        <f>ABS(Данные[[#This Row],[days_birth]])/365.2425</f>
        <v>59.286638329329143</v>
      </c>
      <c r="S4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435" s="2">
        <f>IF(Данные[[#This Row],[ interest_rate]]&gt;$T$1,Данные[[#This Row],[days_birth4]]*$T$2,Данные[[#This Row],[days_birth4]])</f>
        <v>105000</v>
      </c>
      <c r="U435" s="2">
        <f>IF(Данные[[#This Row],[Проверка отказа]]="отказ",0,MAX(Данные[[#This Row],[interest_rate]],$C$1))</f>
        <v>105000</v>
      </c>
      <c r="V435" s="2">
        <f>MROUND(Данные[[#This Row],[Минимум 20000]], 100)</f>
        <v>105000</v>
      </c>
    </row>
    <row r="436" spans="1:22" x14ac:dyDescent="0.25">
      <c r="A436" s="2">
        <f>'1000_заявлений'!A430</f>
        <v>428</v>
      </c>
      <c r="B436" s="4">
        <f>VALUE(SUBSTITUTE('1000_заявлений'!B430, ".", ","))</f>
        <v>0.404991020069014</v>
      </c>
      <c r="C436" s="4">
        <f>VALUE(SUBSTITUTE('1000_заявлений'!C430, ".", ","))</f>
        <v>0.49872092552764502</v>
      </c>
      <c r="D436" s="4">
        <f>VALUE(SUBSTITUTE('1000_заявлений'!D430, ".", ","))</f>
        <v>0.54959650000000004</v>
      </c>
      <c r="E436" s="4">
        <f>VALUE(SUBSTITUTE('1000_заявлений'!E430, ".", ","))</f>
        <v>0.52446309999999996</v>
      </c>
      <c r="F436" s="5">
        <f>VALUE(SUBSTITUTE('1000_заявлений'!F430, ".", ","))</f>
        <v>-2358</v>
      </c>
      <c r="G436" s="5">
        <f>VALUE(SUBSTITUTE('1000_заявлений'!G430, ".", ","))</f>
        <v>-14978</v>
      </c>
      <c r="H436" s="5">
        <f>VALUE(SUBSTITUTE('1000_заявлений'!H430, ".", ","))</f>
        <v>-2418</v>
      </c>
      <c r="I436" s="4">
        <f>VALUE(SUBSTITUTE('1000_заявлений'!I430, ".", ","))</f>
        <v>0.16243243243243199</v>
      </c>
      <c r="J436" s="4">
        <f>VALUE(SUBSTITUTE('1000_заявлений'!J430, ".", ","))</f>
        <v>2.6949717570029899</v>
      </c>
      <c r="K436" s="5">
        <f>VALUE(SUBSTITUTE('1000_заявлений'!K430, ".", ","))</f>
        <v>-1844</v>
      </c>
      <c r="L436" s="6">
        <f>VALUE(SUBSTITUTE('1000_заявлений'!L430, ".", ","))</f>
        <v>13522.5</v>
      </c>
      <c r="M436" s="2" t="str">
        <f>IF(Данные[[#This Row],[proba]]&gt;$C$6, "отказ", "одобрение")</f>
        <v>отказ</v>
      </c>
      <c r="N436" s="7">
        <f>IF(Данные[[#This Row],[proba]]&lt;$D$2,$C$2,IF(Данные[[#This Row],[proba]]&lt;$D$3,$C$3,IF(Данные[[#This Row],[proba]]&gt;$C$6,0,$C$4)))</f>
        <v>0</v>
      </c>
      <c r="O436" s="2">
        <f>IF(Данные[[#This Row],[weighted_ext_score]]&gt;$O$1,MIN(Данные[[#This Row],[Базовая сумма]]*$O$2,$C$2),IF(Данные[[#This Row],[weighted_ext_score]]&lt;$O$3,Данные[[#This Row],[Базовая сумма]]*$O$4,N436))</f>
        <v>0</v>
      </c>
      <c r="P4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6" s="2">
        <f>ABS(Данные[[#This Row],[days_birth]])/365.2425</f>
        <v>41.008371150673867</v>
      </c>
      <c r="S4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6" s="2">
        <f>IF(Данные[[#This Row],[ interest_rate]]&gt;$T$1,Данные[[#This Row],[days_birth4]]*$T$2,Данные[[#This Row],[days_birth4]])</f>
        <v>0</v>
      </c>
      <c r="U436" s="2">
        <f>IF(Данные[[#This Row],[Проверка отказа]]="отказ",0,MAX(Данные[[#This Row],[interest_rate]],$C$1))</f>
        <v>0</v>
      </c>
      <c r="V436" s="2">
        <f>MROUND(Данные[[#This Row],[Минимум 20000]], 100)</f>
        <v>0</v>
      </c>
    </row>
    <row r="437" spans="1:22" x14ac:dyDescent="0.25">
      <c r="A437" s="2">
        <f>'1000_заявлений'!A431</f>
        <v>429</v>
      </c>
      <c r="B437" s="4">
        <f>VALUE(SUBSTITUTE('1000_заявлений'!B431, ".", ","))</f>
        <v>0.43351056090333001</v>
      </c>
      <c r="C437" s="4">
        <f>VALUE(SUBSTITUTE('1000_заявлений'!C431, ".", ","))</f>
        <v>0.41180838918419499</v>
      </c>
      <c r="D437" s="4">
        <f>VALUE(SUBSTITUTE('1000_заявлений'!D431, ".", ","))</f>
        <v>0.4632753</v>
      </c>
      <c r="E437" s="4">
        <f>VALUE(SUBSTITUTE('1000_заявлений'!E431, ".", ","))</f>
        <v>0.7530057</v>
      </c>
      <c r="F437" s="5">
        <f>VALUE(SUBSTITUTE('1000_заявлений'!F431, ".", ","))</f>
        <v>-4077</v>
      </c>
      <c r="G437" s="5">
        <f>VALUE(SUBSTITUTE('1000_заявлений'!G431, ".", ","))</f>
        <v>-19055</v>
      </c>
      <c r="H437" s="5">
        <f>VALUE(SUBSTITUTE('1000_заявлений'!H431, ".", ","))</f>
        <v>-1496</v>
      </c>
      <c r="I437" s="4">
        <f>VALUE(SUBSTITUTE('1000_заявлений'!I431, ".", ","))</f>
        <v>0.39857142857142802</v>
      </c>
      <c r="J437" s="4">
        <f>VALUE(SUBSTITUTE('1000_заявлений'!J431, ".", ","))</f>
        <v>1.5482179140652499</v>
      </c>
      <c r="K437" s="5">
        <f>VALUE(SUBSTITUTE('1000_заявлений'!K431, ".", ","))</f>
        <v>-125</v>
      </c>
      <c r="L437" s="6">
        <f>VALUE(SUBSTITUTE('1000_заявлений'!L431, ".", ","))</f>
        <v>37665</v>
      </c>
      <c r="M437" s="2" t="str">
        <f>IF(Данные[[#This Row],[proba]]&gt;$C$6, "отказ", "одобрение")</f>
        <v>отказ</v>
      </c>
      <c r="N437" s="7">
        <f>IF(Данные[[#This Row],[proba]]&lt;$D$2,$C$2,IF(Данные[[#This Row],[proba]]&lt;$D$3,$C$3,IF(Данные[[#This Row],[proba]]&gt;$C$6,0,$C$4)))</f>
        <v>0</v>
      </c>
      <c r="O437" s="2">
        <f>IF(Данные[[#This Row],[weighted_ext_score]]&gt;$O$1,MIN(Данные[[#This Row],[Базовая сумма]]*$O$2,$C$2),IF(Данные[[#This Row],[weighted_ext_score]]&lt;$O$3,Данные[[#This Row],[Базовая сумма]]*$O$4,N437))</f>
        <v>0</v>
      </c>
      <c r="P4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7" s="2">
        <f>ABS(Данные[[#This Row],[days_birth]])/365.2425</f>
        <v>52.17081801816601</v>
      </c>
      <c r="S4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7" s="2">
        <f>IF(Данные[[#This Row],[ interest_rate]]&gt;$T$1,Данные[[#This Row],[days_birth4]]*$T$2,Данные[[#This Row],[days_birth4]])</f>
        <v>0</v>
      </c>
      <c r="U437" s="2">
        <f>IF(Данные[[#This Row],[Проверка отказа]]="отказ",0,MAX(Данные[[#This Row],[interest_rate]],$C$1))</f>
        <v>0</v>
      </c>
      <c r="V437" s="2">
        <f>MROUND(Данные[[#This Row],[Минимум 20000]], 100)</f>
        <v>0</v>
      </c>
    </row>
    <row r="438" spans="1:22" x14ac:dyDescent="0.25">
      <c r="A438" s="2">
        <f>'1000_заявлений'!A432</f>
        <v>430</v>
      </c>
      <c r="B438" s="4">
        <f>VALUE(SUBSTITUTE('1000_заявлений'!B432, ".", ","))</f>
        <v>0.63314806151721104</v>
      </c>
      <c r="C438" s="4">
        <f>VALUE(SUBSTITUTE('1000_заявлений'!C432, ".", ","))</f>
        <v>0.27469702739773399</v>
      </c>
      <c r="D438" s="4">
        <f>VALUE(SUBSTITUTE('1000_заявлений'!D432, ".", ","))</f>
        <v>0.52449643999999995</v>
      </c>
      <c r="E438" s="4">
        <f>VALUE(SUBSTITUTE('1000_заявлений'!E432, ".", ","))</f>
        <v>0.26205534000000003</v>
      </c>
      <c r="F438" s="5">
        <f>VALUE(SUBSTITUTE('1000_заявлений'!F432, ".", ","))</f>
        <v>-1565</v>
      </c>
      <c r="G438" s="5">
        <f>VALUE(SUBSTITUTE('1000_заявлений'!G432, ".", ","))</f>
        <v>-18025</v>
      </c>
      <c r="H438" s="5">
        <f>VALUE(SUBSTITUTE('1000_заявлений'!H432, ".", ","))</f>
        <v>-58</v>
      </c>
      <c r="I438" s="4">
        <f>VALUE(SUBSTITUTE('1000_заявлений'!I432, ".", ","))</f>
        <v>0.19275999999999999</v>
      </c>
      <c r="J438" s="4">
        <f>VALUE(SUBSTITUTE('1000_заявлений'!J432, ".", ","))</f>
        <v>4.4769218868849903</v>
      </c>
      <c r="K438" s="5">
        <f>VALUE(SUBSTITUTE('1000_заявлений'!K432, ".", ","))</f>
        <v>-1949</v>
      </c>
      <c r="L438" s="6">
        <f>VALUE(SUBSTITUTE('1000_заявлений'!L432, ".", ","))</f>
        <v>21685.5</v>
      </c>
      <c r="M438" s="2" t="str">
        <f>IF(Данные[[#This Row],[proba]]&gt;$C$6, "отказ", "одобрение")</f>
        <v>отказ</v>
      </c>
      <c r="N438" s="7">
        <f>IF(Данные[[#This Row],[proba]]&lt;$D$2,$C$2,IF(Данные[[#This Row],[proba]]&lt;$D$3,$C$3,IF(Данные[[#This Row],[proba]]&gt;$C$6,0,$C$4)))</f>
        <v>0</v>
      </c>
      <c r="O438" s="2">
        <f>IF(Данные[[#This Row],[weighted_ext_score]]&gt;$O$1,MIN(Данные[[#This Row],[Базовая сумма]]*$O$2,$C$2),IF(Данные[[#This Row],[weighted_ext_score]]&lt;$O$3,Данные[[#This Row],[Базовая сумма]]*$O$4,N438))</f>
        <v>0</v>
      </c>
      <c r="P4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8" s="2">
        <f>ABS(Данные[[#This Row],[days_birth]])/365.2425</f>
        <v>49.35077380096785</v>
      </c>
      <c r="S4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8" s="2">
        <f>IF(Данные[[#This Row],[ interest_rate]]&gt;$T$1,Данные[[#This Row],[days_birth4]]*$T$2,Данные[[#This Row],[days_birth4]])</f>
        <v>0</v>
      </c>
      <c r="U438" s="2">
        <f>IF(Данные[[#This Row],[Проверка отказа]]="отказ",0,MAX(Данные[[#This Row],[interest_rate]],$C$1))</f>
        <v>0</v>
      </c>
      <c r="V438" s="2">
        <f>MROUND(Данные[[#This Row],[Минимум 20000]], 100)</f>
        <v>0</v>
      </c>
    </row>
    <row r="439" spans="1:22" x14ac:dyDescent="0.25">
      <c r="A439" s="2">
        <f>'1000_заявлений'!A433</f>
        <v>431</v>
      </c>
      <c r="B439" s="4">
        <f>VALUE(SUBSTITUTE('1000_заявлений'!B433, ".", ","))</f>
        <v>0.43068250252741003</v>
      </c>
      <c r="C439" s="4">
        <f>VALUE(SUBSTITUTE('1000_заявлений'!C433, ".", ","))</f>
        <v>0.45255787859112501</v>
      </c>
      <c r="D439" s="4">
        <f>VALUE(SUBSTITUTE('1000_заявлений'!D433, ".", ","))</f>
        <v>0.45253357</v>
      </c>
      <c r="E439" s="4">
        <f>VALUE(SUBSTITUTE('1000_заявлений'!E433, ".", ","))</f>
        <v>0.65792629999999996</v>
      </c>
      <c r="F439" s="5">
        <f>VALUE(SUBSTITUTE('1000_заявлений'!F433, ".", ","))</f>
        <v>-4820</v>
      </c>
      <c r="G439" s="5">
        <f>VALUE(SUBSTITUTE('1000_заявлений'!G433, ".", ","))</f>
        <v>-11331</v>
      </c>
      <c r="H439" s="5">
        <f>VALUE(SUBSTITUTE('1000_заявлений'!H433, ".", ","))</f>
        <v>-3370</v>
      </c>
      <c r="I439" s="4">
        <f>VALUE(SUBSTITUTE('1000_заявлений'!I433, ".", ","))</f>
        <v>0.205758620689655</v>
      </c>
      <c r="J439" s="4">
        <f>VALUE(SUBSTITUTE('1000_заявлений'!J433, ".", ","))</f>
        <v>3.7080113426588501</v>
      </c>
      <c r="K439" s="5">
        <f>VALUE(SUBSTITUTE('1000_заявлений'!K433, ".", ","))</f>
        <v>-1808</v>
      </c>
      <c r="L439" s="6">
        <f>VALUE(SUBSTITUTE('1000_заявлений'!L433, ".", ","))</f>
        <v>26851.5</v>
      </c>
      <c r="M439" s="2" t="str">
        <f>IF(Данные[[#This Row],[proba]]&gt;$C$6, "отказ", "одобрение")</f>
        <v>отказ</v>
      </c>
      <c r="N439" s="7">
        <f>IF(Данные[[#This Row],[proba]]&lt;$D$2,$C$2,IF(Данные[[#This Row],[proba]]&lt;$D$3,$C$3,IF(Данные[[#This Row],[proba]]&gt;$C$6,0,$C$4)))</f>
        <v>0</v>
      </c>
      <c r="O439" s="2">
        <f>IF(Данные[[#This Row],[weighted_ext_score]]&gt;$O$1,MIN(Данные[[#This Row],[Базовая сумма]]*$O$2,$C$2),IF(Данные[[#This Row],[weighted_ext_score]]&lt;$O$3,Данные[[#This Row],[Базовая сумма]]*$O$4,N439))</f>
        <v>0</v>
      </c>
      <c r="P4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39" s="2">
        <f>ABS(Данные[[#This Row],[days_birth]])/365.2425</f>
        <v>31.023224296186779</v>
      </c>
      <c r="S4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39" s="2">
        <f>IF(Данные[[#This Row],[ interest_rate]]&gt;$T$1,Данные[[#This Row],[days_birth4]]*$T$2,Данные[[#This Row],[days_birth4]])</f>
        <v>0</v>
      </c>
      <c r="U439" s="2">
        <f>IF(Данные[[#This Row],[Проверка отказа]]="отказ",0,MAX(Данные[[#This Row],[interest_rate]],$C$1))</f>
        <v>0</v>
      </c>
      <c r="V439" s="2">
        <f>MROUND(Данные[[#This Row],[Минимум 20000]], 100)</f>
        <v>0</v>
      </c>
    </row>
    <row r="440" spans="1:22" x14ac:dyDescent="0.25">
      <c r="A440" s="2">
        <f>'1000_заявлений'!A434</f>
        <v>432</v>
      </c>
      <c r="B440" s="4">
        <f>VALUE(SUBSTITUTE('1000_заявлений'!B434, ".", ","))</f>
        <v>0.32704882229044202</v>
      </c>
      <c r="C440" s="4">
        <f>VALUE(SUBSTITUTE('1000_заявлений'!C434, ".", ","))</f>
        <v>0.50906908371205595</v>
      </c>
      <c r="D440" s="4">
        <f>VALUE(SUBSTITUTE('1000_заявлений'!D434, ".", ","))</f>
        <v>0.56206049999999996</v>
      </c>
      <c r="E440" s="4">
        <f>VALUE(SUBSTITUTE('1000_заявлений'!E434, ".", ","))</f>
        <v>0.5943214</v>
      </c>
      <c r="F440" s="5">
        <f>VALUE(SUBSTITUTE('1000_заявлений'!F434, ".", ","))</f>
        <v>-7095</v>
      </c>
      <c r="G440" s="5">
        <f>VALUE(SUBSTITUTE('1000_заявлений'!G434, ".", ","))</f>
        <v>-14374</v>
      </c>
      <c r="H440" s="5">
        <f>VALUE(SUBSTITUTE('1000_заявлений'!H434, ".", ","))</f>
        <v>-4468</v>
      </c>
      <c r="I440" s="4">
        <f>VALUE(SUBSTITUTE('1000_заявлений'!I434, ".", ","))</f>
        <v>0.221275</v>
      </c>
      <c r="J440" s="4">
        <f>VALUE(SUBSTITUTE('1000_заявлений'!J434, ".", ","))</f>
        <v>5.2948937979511301</v>
      </c>
      <c r="K440" s="5">
        <f>VALUE(SUBSTITUTE('1000_заявлений'!K434, ".", ","))</f>
        <v>-930</v>
      </c>
      <c r="L440" s="6">
        <f>VALUE(SUBSTITUTE('1000_заявлений'!L434, ".", ","))</f>
        <v>39829.5</v>
      </c>
      <c r="M440" s="2" t="str">
        <f>IF(Данные[[#This Row],[proba]]&gt;$C$6, "отказ", "одобрение")</f>
        <v>отказ</v>
      </c>
      <c r="N440" s="7">
        <f>IF(Данные[[#This Row],[proba]]&lt;$D$2,$C$2,IF(Данные[[#This Row],[proba]]&lt;$D$3,$C$3,IF(Данные[[#This Row],[proba]]&gt;$C$6,0,$C$4)))</f>
        <v>0</v>
      </c>
      <c r="O440" s="2">
        <f>IF(Данные[[#This Row],[weighted_ext_score]]&gt;$O$1,MIN(Данные[[#This Row],[Базовая сумма]]*$O$2,$C$2),IF(Данные[[#This Row],[weighted_ext_score]]&lt;$O$3,Данные[[#This Row],[Базовая сумма]]*$O$4,N440))</f>
        <v>0</v>
      </c>
      <c r="P4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0" s="2">
        <f>ABS(Данные[[#This Row],[days_birth]])/365.2425</f>
        <v>39.354675318452806</v>
      </c>
      <c r="S4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0" s="2">
        <f>IF(Данные[[#This Row],[ interest_rate]]&gt;$T$1,Данные[[#This Row],[days_birth4]]*$T$2,Данные[[#This Row],[days_birth4]])</f>
        <v>0</v>
      </c>
      <c r="U440" s="2">
        <f>IF(Данные[[#This Row],[Проверка отказа]]="отказ",0,MAX(Данные[[#This Row],[interest_rate]],$C$1))</f>
        <v>0</v>
      </c>
      <c r="V440" s="2">
        <f>MROUND(Данные[[#This Row],[Минимум 20000]], 100)</f>
        <v>0</v>
      </c>
    </row>
    <row r="441" spans="1:22" x14ac:dyDescent="0.25">
      <c r="A441" s="2">
        <f>'1000_заявлений'!A435</f>
        <v>433</v>
      </c>
      <c r="B441" s="4">
        <f>VALUE(SUBSTITUTE('1000_заявлений'!B435, ".", ","))</f>
        <v>0.432172341011553</v>
      </c>
      <c r="C441" s="4">
        <f>VALUE(SUBSTITUTE('1000_заявлений'!C435, ".", ","))</f>
        <v>0.32316424971576702</v>
      </c>
      <c r="D441" s="4">
        <f>VALUE(SUBSTITUTE('1000_заявлений'!D435, ".", ","))</f>
        <v>0.51909729999999998</v>
      </c>
      <c r="E441" s="4">
        <f>VALUE(SUBSTITUTE('1000_заявлений'!E435, ".", ","))</f>
        <v>0.41749153</v>
      </c>
      <c r="F441" s="5">
        <f>VALUE(SUBSTITUTE('1000_заявлений'!F435, ".", ","))</f>
        <v>-11312</v>
      </c>
      <c r="G441" s="5">
        <f>VALUE(SUBSTITUTE('1000_заявлений'!G435, ".", ","))</f>
        <v>-22278</v>
      </c>
      <c r="H441" s="5">
        <f>VALUE(SUBSTITUTE('1000_заявлений'!H435, ".", ","))</f>
        <v>-4456</v>
      </c>
      <c r="I441" s="4">
        <f>VALUE(SUBSTITUTE('1000_заявлений'!I435, ".", ","))</f>
        <v>0.224657142857142</v>
      </c>
      <c r="J441" s="4">
        <f>VALUE(SUBSTITUTE('1000_заявлений'!J435, ".", ","))</f>
        <v>1.1174012037416099</v>
      </c>
      <c r="K441" s="5">
        <f>VALUE(SUBSTITUTE('1000_заявлений'!K435, ".", ","))</f>
        <v>365243</v>
      </c>
      <c r="L441" s="6">
        <f>VALUE(SUBSTITUTE('1000_заявлений'!L435, ".", ","))</f>
        <v>35383.5</v>
      </c>
      <c r="M441" s="2" t="str">
        <f>IF(Данные[[#This Row],[proba]]&gt;$C$6, "отказ", "одобрение")</f>
        <v>отказ</v>
      </c>
      <c r="N441" s="7">
        <f>IF(Данные[[#This Row],[proba]]&lt;$D$2,$C$2,IF(Данные[[#This Row],[proba]]&lt;$D$3,$C$3,IF(Данные[[#This Row],[proba]]&gt;$C$6,0,$C$4)))</f>
        <v>0</v>
      </c>
      <c r="O441" s="2">
        <f>IF(Данные[[#This Row],[weighted_ext_score]]&gt;$O$1,MIN(Данные[[#This Row],[Базовая сумма]]*$O$2,$C$2),IF(Данные[[#This Row],[weighted_ext_score]]&lt;$O$3,Данные[[#This Row],[Базовая сумма]]*$O$4,N441))</f>
        <v>0</v>
      </c>
      <c r="P4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1" s="2">
        <f>ABS(Данные[[#This Row],[days_birth]])/365.2425</f>
        <v>60.995092301689972</v>
      </c>
      <c r="S4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1" s="2">
        <f>IF(Данные[[#This Row],[ interest_rate]]&gt;$T$1,Данные[[#This Row],[days_birth4]]*$T$2,Данные[[#This Row],[days_birth4]])</f>
        <v>0</v>
      </c>
      <c r="U441" s="2">
        <f>IF(Данные[[#This Row],[Проверка отказа]]="отказ",0,MAX(Данные[[#This Row],[interest_rate]],$C$1))</f>
        <v>0</v>
      </c>
      <c r="V441" s="2">
        <f>MROUND(Данные[[#This Row],[Минимум 20000]], 100)</f>
        <v>0</v>
      </c>
    </row>
    <row r="442" spans="1:22" x14ac:dyDescent="0.25">
      <c r="A442" s="2">
        <f>'1000_заявлений'!A436</f>
        <v>434</v>
      </c>
      <c r="B442" s="4">
        <f>VALUE(SUBSTITUTE('1000_заявлений'!B436, ".", ","))</f>
        <v>0.54669068404285004</v>
      </c>
      <c r="C442" s="4">
        <f>VALUE(SUBSTITUTE('1000_заявлений'!C436, ".", ","))</f>
        <v>0.43870772851788598</v>
      </c>
      <c r="D442" s="4">
        <f>VALUE(SUBSTITUTE('1000_заявлений'!D436, ".", ","))</f>
        <v>0.16048893</v>
      </c>
      <c r="E442" s="4">
        <f>VALUE(SUBSTITUTE('1000_заявлений'!E436, ".", ","))</f>
        <v>0.62432529999999997</v>
      </c>
      <c r="F442" s="5">
        <f>VALUE(SUBSTITUTE('1000_заявлений'!F436, ".", ","))</f>
        <v>-2246</v>
      </c>
      <c r="G442" s="5">
        <f>VALUE(SUBSTITUTE('1000_заявлений'!G436, ".", ","))</f>
        <v>-19084</v>
      </c>
      <c r="H442" s="5">
        <f>VALUE(SUBSTITUTE('1000_заявлений'!H436, ".", ","))</f>
        <v>-2612</v>
      </c>
      <c r="I442" s="4">
        <f>VALUE(SUBSTITUTE('1000_заявлений'!I436, ".", ","))</f>
        <v>0.17765</v>
      </c>
      <c r="J442" s="4">
        <f>VALUE(SUBSTITUTE('1000_заявлений'!J436, ".", ","))</f>
        <v>8.9151469103738901</v>
      </c>
      <c r="K442" s="5">
        <f>VALUE(SUBSTITUTE('1000_заявлений'!K436, ".", ","))</f>
        <v>-128</v>
      </c>
      <c r="L442" s="6">
        <f>VALUE(SUBSTITUTE('1000_заявлений'!L436, ".", ","))</f>
        <v>15988.5</v>
      </c>
      <c r="M442" s="2" t="str">
        <f>IF(Данные[[#This Row],[proba]]&gt;$C$6, "отказ", "одобрение")</f>
        <v>отказ</v>
      </c>
      <c r="N442" s="7">
        <f>IF(Данные[[#This Row],[proba]]&lt;$D$2,$C$2,IF(Данные[[#This Row],[proba]]&lt;$D$3,$C$3,IF(Данные[[#This Row],[proba]]&gt;$C$6,0,$C$4)))</f>
        <v>0</v>
      </c>
      <c r="O442" s="2">
        <f>IF(Данные[[#This Row],[weighted_ext_score]]&gt;$O$1,MIN(Данные[[#This Row],[Базовая сумма]]*$O$2,$C$2),IF(Данные[[#This Row],[weighted_ext_score]]&lt;$O$3,Данные[[#This Row],[Базовая сумма]]*$O$4,N442))</f>
        <v>0</v>
      </c>
      <c r="P4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2" s="2">
        <f>ABS(Данные[[#This Row],[days_birth]])/365.2425</f>
        <v>52.25021732136868</v>
      </c>
      <c r="S4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2" s="2">
        <f>IF(Данные[[#This Row],[ interest_rate]]&gt;$T$1,Данные[[#This Row],[days_birth4]]*$T$2,Данные[[#This Row],[days_birth4]])</f>
        <v>0</v>
      </c>
      <c r="U442" s="2">
        <f>IF(Данные[[#This Row],[Проверка отказа]]="отказ",0,MAX(Данные[[#This Row],[interest_rate]],$C$1))</f>
        <v>0</v>
      </c>
      <c r="V442" s="2">
        <f>MROUND(Данные[[#This Row],[Минимум 20000]], 100)</f>
        <v>0</v>
      </c>
    </row>
    <row r="443" spans="1:22" x14ac:dyDescent="0.25">
      <c r="A443" s="2">
        <f>'1000_заявлений'!A437</f>
        <v>435</v>
      </c>
      <c r="B443" s="4">
        <f>VALUE(SUBSTITUTE('1000_заявлений'!B437, ".", ","))</f>
        <v>0.46752686433149399</v>
      </c>
      <c r="C443" s="4">
        <f>VALUE(SUBSTITUTE('1000_заявлений'!C437, ".", ","))</f>
        <v>0.467882814121788</v>
      </c>
      <c r="D443" s="4">
        <f>VALUE(SUBSTITUTE('1000_заявлений'!D437, ".", ","))</f>
        <v>0.50468135000000003</v>
      </c>
      <c r="E443" s="4">
        <f>VALUE(SUBSTITUTE('1000_заявлений'!E437, ".", ","))</f>
        <v>0.43143344</v>
      </c>
      <c r="F443" s="5">
        <f>VALUE(SUBSTITUTE('1000_заявлений'!F437, ".", ","))</f>
        <v>-6021</v>
      </c>
      <c r="G443" s="5">
        <f>VALUE(SUBSTITUTE('1000_заявлений'!G437, ".", ","))</f>
        <v>-11966</v>
      </c>
      <c r="H443" s="5">
        <f>VALUE(SUBSTITUTE('1000_заявлений'!H437, ".", ","))</f>
        <v>-3915</v>
      </c>
      <c r="I443" s="4">
        <f>VALUE(SUBSTITUTE('1000_заявлений'!I437, ".", ","))</f>
        <v>0.217</v>
      </c>
      <c r="J443" s="4">
        <f>VALUE(SUBSTITUTE('1000_заявлений'!J437, ".", ","))</f>
        <v>3.0179583946351198</v>
      </c>
      <c r="K443" s="5">
        <f>VALUE(SUBSTITUTE('1000_заявлений'!K437, ".", ","))</f>
        <v>-3125</v>
      </c>
      <c r="L443" s="6">
        <f>VALUE(SUBSTITUTE('1000_заявлений'!L437, ".", ","))</f>
        <v>48825</v>
      </c>
      <c r="M443" s="2" t="str">
        <f>IF(Данные[[#This Row],[proba]]&gt;$C$6, "отказ", "одобрение")</f>
        <v>отказ</v>
      </c>
      <c r="N443" s="7">
        <f>IF(Данные[[#This Row],[proba]]&lt;$D$2,$C$2,IF(Данные[[#This Row],[proba]]&lt;$D$3,$C$3,IF(Данные[[#This Row],[proba]]&gt;$C$6,0,$C$4)))</f>
        <v>0</v>
      </c>
      <c r="O443" s="2">
        <f>IF(Данные[[#This Row],[weighted_ext_score]]&gt;$O$1,MIN(Данные[[#This Row],[Базовая сумма]]*$O$2,$C$2),IF(Данные[[#This Row],[weighted_ext_score]]&lt;$O$3,Данные[[#This Row],[Базовая сумма]]*$O$4,N443))</f>
        <v>0</v>
      </c>
      <c r="P4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3" s="2">
        <f>ABS(Данные[[#This Row],[days_birth]])/365.2425</f>
        <v>32.761795245624484</v>
      </c>
      <c r="S4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3" s="2">
        <f>IF(Данные[[#This Row],[ interest_rate]]&gt;$T$1,Данные[[#This Row],[days_birth4]]*$T$2,Данные[[#This Row],[days_birth4]])</f>
        <v>0</v>
      </c>
      <c r="U443" s="2">
        <f>IF(Данные[[#This Row],[Проверка отказа]]="отказ",0,MAX(Данные[[#This Row],[interest_rate]],$C$1))</f>
        <v>0</v>
      </c>
      <c r="V443" s="2">
        <f>MROUND(Данные[[#This Row],[Минимум 20000]], 100)</f>
        <v>0</v>
      </c>
    </row>
    <row r="444" spans="1:22" x14ac:dyDescent="0.25">
      <c r="A444" s="2">
        <f>'1000_заявлений'!A438</f>
        <v>436</v>
      </c>
      <c r="B444" s="4">
        <f>VALUE(SUBSTITUTE('1000_заявлений'!B438, ".", ","))</f>
        <v>0.52299905360828902</v>
      </c>
      <c r="C444" s="4">
        <f>VALUE(SUBSTITUTE('1000_заявлений'!C438, ".", ","))</f>
        <v>0.32856131485490397</v>
      </c>
      <c r="D444" s="4">
        <f>VALUE(SUBSTITUTE('1000_заявлений'!D438, ".", ","))</f>
        <v>0.35895124</v>
      </c>
      <c r="E444" s="4">
        <f>VALUE(SUBSTITUTE('1000_заявлений'!E438, ".", ","))</f>
        <v>0.61268544000000003</v>
      </c>
      <c r="F444" s="5">
        <f>VALUE(SUBSTITUTE('1000_заявлений'!F438, ".", ","))</f>
        <v>-4631</v>
      </c>
      <c r="G444" s="5">
        <f>VALUE(SUBSTITUTE('1000_заявлений'!G438, ".", ","))</f>
        <v>-14211</v>
      </c>
      <c r="H444" s="5">
        <f>VALUE(SUBSTITUTE('1000_заявлений'!H438, ".", ","))</f>
        <v>-4648</v>
      </c>
      <c r="I444" s="4">
        <f>VALUE(SUBSTITUTE('1000_заявлений'!I438, ".", ","))</f>
        <v>0.132977777777777</v>
      </c>
      <c r="J444" s="4">
        <f>VALUE(SUBSTITUTE('1000_заявлений'!J438, ".", ","))</f>
        <v>1.8916518509237401</v>
      </c>
      <c r="K444" s="5">
        <f>VALUE(SUBSTITUTE('1000_заявлений'!K438, ".", ","))</f>
        <v>-626</v>
      </c>
      <c r="L444" s="6">
        <f>VALUE(SUBSTITUTE('1000_заявлений'!L438, ".", ","))</f>
        <v>26928</v>
      </c>
      <c r="M444" s="2" t="str">
        <f>IF(Данные[[#This Row],[proba]]&gt;$C$6, "отказ", "одобрение")</f>
        <v>отказ</v>
      </c>
      <c r="N444" s="7">
        <f>IF(Данные[[#This Row],[proba]]&lt;$D$2,$C$2,IF(Данные[[#This Row],[proba]]&lt;$D$3,$C$3,IF(Данные[[#This Row],[proba]]&gt;$C$6,0,$C$4)))</f>
        <v>0</v>
      </c>
      <c r="O444" s="2">
        <f>IF(Данные[[#This Row],[weighted_ext_score]]&gt;$O$1,MIN(Данные[[#This Row],[Базовая сумма]]*$O$2,$C$2),IF(Данные[[#This Row],[weighted_ext_score]]&lt;$O$3,Данные[[#This Row],[Базовая сумма]]*$O$4,N444))</f>
        <v>0</v>
      </c>
      <c r="P4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4" s="2">
        <f>ABS(Данные[[#This Row],[days_birth]])/365.2425</f>
        <v>38.908396476313683</v>
      </c>
      <c r="S4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4" s="2">
        <f>IF(Данные[[#This Row],[ interest_rate]]&gt;$T$1,Данные[[#This Row],[days_birth4]]*$T$2,Данные[[#This Row],[days_birth4]])</f>
        <v>0</v>
      </c>
      <c r="U444" s="2">
        <f>IF(Данные[[#This Row],[Проверка отказа]]="отказ",0,MAX(Данные[[#This Row],[interest_rate]],$C$1))</f>
        <v>0</v>
      </c>
      <c r="V444" s="2">
        <f>MROUND(Данные[[#This Row],[Минимум 20000]], 100)</f>
        <v>0</v>
      </c>
    </row>
    <row r="445" spans="1:22" x14ac:dyDescent="0.25">
      <c r="A445" s="2">
        <f>'1000_заявлений'!A439</f>
        <v>437</v>
      </c>
      <c r="B445" s="4">
        <f>VALUE(SUBSTITUTE('1000_заявлений'!B439, ".", ","))</f>
        <v>0.30196599314316103</v>
      </c>
      <c r="C445" s="4">
        <f>VALUE(SUBSTITUTE('1000_заявлений'!C439, ".", ","))</f>
        <v>0.42456603929270098</v>
      </c>
      <c r="D445" s="4">
        <f>VALUE(SUBSTITUTE('1000_заявлений'!D439, ".", ","))</f>
        <v>0.68326885000000004</v>
      </c>
      <c r="E445" s="4">
        <f>VALUE(SUBSTITUTE('1000_заявлений'!E439, ".", ","))</f>
        <v>0.54705250000000005</v>
      </c>
      <c r="F445" s="5">
        <f>VALUE(SUBSTITUTE('1000_заявлений'!F439, ".", ","))</f>
        <v>-3612</v>
      </c>
      <c r="G445" s="5">
        <f>VALUE(SUBSTITUTE('1000_заявлений'!G439, ".", ","))</f>
        <v>-20532</v>
      </c>
      <c r="H445" s="5">
        <f>VALUE(SUBSTITUTE('1000_заявлений'!H439, ".", ","))</f>
        <v>-4089</v>
      </c>
      <c r="I445" s="4">
        <f>VALUE(SUBSTITUTE('1000_заявлений'!I439, ".", ","))</f>
        <v>0.123690476190476</v>
      </c>
      <c r="J445" s="4">
        <f>VALUE(SUBSTITUTE('1000_заявлений'!J439, ".", ","))</f>
        <v>2.1563529961855701</v>
      </c>
      <c r="K445" s="5">
        <f>VALUE(SUBSTITUTE('1000_заявлений'!K439, ".", ","))</f>
        <v>-11304</v>
      </c>
      <c r="L445" s="6">
        <f>VALUE(SUBSTITUTE('1000_заявлений'!L439, ".", ","))</f>
        <v>23377.5</v>
      </c>
      <c r="M445" s="2" t="str">
        <f>IF(Данные[[#This Row],[proba]]&gt;$C$6, "отказ", "одобрение")</f>
        <v>отказ</v>
      </c>
      <c r="N445" s="7">
        <f>IF(Данные[[#This Row],[proba]]&lt;$D$2,$C$2,IF(Данные[[#This Row],[proba]]&lt;$D$3,$C$3,IF(Данные[[#This Row],[proba]]&gt;$C$6,0,$C$4)))</f>
        <v>0</v>
      </c>
      <c r="O445" s="2">
        <f>IF(Данные[[#This Row],[weighted_ext_score]]&gt;$O$1,MIN(Данные[[#This Row],[Базовая сумма]]*$O$2,$C$2),IF(Данные[[#This Row],[weighted_ext_score]]&lt;$O$3,Данные[[#This Row],[Базовая сумма]]*$O$4,N445))</f>
        <v>0</v>
      </c>
      <c r="P4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5" s="2">
        <f>ABS(Данные[[#This Row],[days_birth]])/365.2425</f>
        <v>56.214706667488038</v>
      </c>
      <c r="S4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5" s="2">
        <f>IF(Данные[[#This Row],[ interest_rate]]&gt;$T$1,Данные[[#This Row],[days_birth4]]*$T$2,Данные[[#This Row],[days_birth4]])</f>
        <v>0</v>
      </c>
      <c r="U445" s="2">
        <f>IF(Данные[[#This Row],[Проверка отказа]]="отказ",0,MAX(Данные[[#This Row],[interest_rate]],$C$1))</f>
        <v>0</v>
      </c>
      <c r="V445" s="2">
        <f>MROUND(Данные[[#This Row],[Минимум 20000]], 100)</f>
        <v>0</v>
      </c>
    </row>
    <row r="446" spans="1:22" x14ac:dyDescent="0.25">
      <c r="A446" s="2">
        <f>'1000_заявлений'!A440</f>
        <v>438</v>
      </c>
      <c r="B446" s="4">
        <f>VALUE(SUBSTITUTE('1000_заявлений'!B440, ".", ","))</f>
        <v>0.30598493182654901</v>
      </c>
      <c r="C446" s="4">
        <f>VALUE(SUBSTITUTE('1000_заявлений'!C440, ".", ","))</f>
        <v>0.37162941948634598</v>
      </c>
      <c r="D446" s="4">
        <f>VALUE(SUBSTITUTE('1000_заявлений'!D440, ".", ","))</f>
        <v>0.50468135000000003</v>
      </c>
      <c r="E446" s="4">
        <f>VALUE(SUBSTITUTE('1000_заявлений'!E440, ".", ","))</f>
        <v>0.58297473</v>
      </c>
      <c r="F446" s="5">
        <f>VALUE(SUBSTITUTE('1000_заявлений'!F440, ".", ","))</f>
        <v>-355</v>
      </c>
      <c r="G446" s="5">
        <f>VALUE(SUBSTITUTE('1000_заявлений'!G440, ".", ","))</f>
        <v>-22812</v>
      </c>
      <c r="H446" s="5">
        <f>VALUE(SUBSTITUTE('1000_заявлений'!H440, ".", ","))</f>
        <v>-5214</v>
      </c>
      <c r="I446" s="4">
        <f>VALUE(SUBSTITUTE('1000_заявлений'!I440, ".", ","))</f>
        <v>0.116666666666666</v>
      </c>
      <c r="J446" s="4">
        <f>VALUE(SUBSTITUTE('1000_заявлений'!J440, ".", ","))</f>
        <v>10.6209759779781</v>
      </c>
      <c r="K446" s="5">
        <f>VALUE(SUBSTITUTE('1000_заявлений'!K440, ".", ","))</f>
        <v>365243</v>
      </c>
      <c r="L446" s="6">
        <f>VALUE(SUBSTITUTE('1000_заявлений'!L440, ".", ","))</f>
        <v>7875</v>
      </c>
      <c r="M446" s="2" t="str">
        <f>IF(Данные[[#This Row],[proba]]&gt;$C$6, "отказ", "одобрение")</f>
        <v>отказ</v>
      </c>
      <c r="N446" s="7">
        <f>IF(Данные[[#This Row],[proba]]&lt;$D$2,$C$2,IF(Данные[[#This Row],[proba]]&lt;$D$3,$C$3,IF(Данные[[#This Row],[proba]]&gt;$C$6,0,$C$4)))</f>
        <v>0</v>
      </c>
      <c r="O446" s="2">
        <f>IF(Данные[[#This Row],[weighted_ext_score]]&gt;$O$1,MIN(Данные[[#This Row],[Базовая сумма]]*$O$2,$C$2),IF(Данные[[#This Row],[weighted_ext_score]]&lt;$O$3,Данные[[#This Row],[Базовая сумма]]*$O$4,N446))</f>
        <v>0</v>
      </c>
      <c r="P4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6" s="2">
        <f>ABS(Данные[[#This Row],[days_birth]])/365.2425</f>
        <v>62.457134643421838</v>
      </c>
      <c r="S4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6" s="2">
        <f>IF(Данные[[#This Row],[ interest_rate]]&gt;$T$1,Данные[[#This Row],[days_birth4]]*$T$2,Данные[[#This Row],[days_birth4]])</f>
        <v>0</v>
      </c>
      <c r="U446" s="2">
        <f>IF(Данные[[#This Row],[Проверка отказа]]="отказ",0,MAX(Данные[[#This Row],[interest_rate]],$C$1))</f>
        <v>0</v>
      </c>
      <c r="V446" s="2">
        <f>MROUND(Данные[[#This Row],[Минимум 20000]], 100)</f>
        <v>0</v>
      </c>
    </row>
    <row r="447" spans="1:22" x14ac:dyDescent="0.25">
      <c r="A447" s="2">
        <f>'1000_заявлений'!A441</f>
        <v>439</v>
      </c>
      <c r="B447" s="4">
        <f>VALUE(SUBSTITUTE('1000_заявлений'!B441, ".", ","))</f>
        <v>0.36348338304146799</v>
      </c>
      <c r="C447" s="4">
        <f>VALUE(SUBSTITUTE('1000_заявлений'!C441, ".", ","))</f>
        <v>0.22008872405662699</v>
      </c>
      <c r="D447" s="4">
        <f>VALUE(SUBSTITUTE('1000_заявлений'!D441, ".", ","))</f>
        <v>0.53527623000000002</v>
      </c>
      <c r="E447" s="4">
        <f>VALUE(SUBSTITUTE('1000_заявлений'!E441, ".", ","))</f>
        <v>0.67849696000000004</v>
      </c>
      <c r="F447" s="5">
        <f>VALUE(SUBSTITUTE('1000_заявлений'!F441, ".", ","))</f>
        <v>-6975</v>
      </c>
      <c r="G447" s="5">
        <f>VALUE(SUBSTITUTE('1000_заявлений'!G441, ".", ","))</f>
        <v>-22663</v>
      </c>
      <c r="H447" s="5">
        <f>VALUE(SUBSTITUTE('1000_заявлений'!H441, ".", ","))</f>
        <v>-4543</v>
      </c>
      <c r="I447" s="4">
        <f>VALUE(SUBSTITUTE('1000_заявлений'!I441, ".", ","))</f>
        <v>4.6428571428571402E-2</v>
      </c>
      <c r="J447" s="4">
        <f>VALUE(SUBSTITUTE('1000_заявлений'!J441, ".", ","))</f>
        <v>6.6464307521085297</v>
      </c>
      <c r="K447" s="5">
        <f>VALUE(SUBSTITUTE('1000_заявлений'!K441, ".", ","))</f>
        <v>-4554</v>
      </c>
      <c r="L447" s="6">
        <f>VALUE(SUBSTITUTE('1000_заявлений'!L441, ".", ","))</f>
        <v>7312.5</v>
      </c>
      <c r="M447" s="2" t="str">
        <f>IF(Данные[[#This Row],[proba]]&gt;$C$6, "отказ", "одобрение")</f>
        <v>отказ</v>
      </c>
      <c r="N447" s="7">
        <f>IF(Данные[[#This Row],[proba]]&lt;$D$2,$C$2,IF(Данные[[#This Row],[proba]]&lt;$D$3,$C$3,IF(Данные[[#This Row],[proba]]&gt;$C$6,0,$C$4)))</f>
        <v>0</v>
      </c>
      <c r="O447" s="2">
        <f>IF(Данные[[#This Row],[weighted_ext_score]]&gt;$O$1,MIN(Данные[[#This Row],[Базовая сумма]]*$O$2,$C$2),IF(Данные[[#This Row],[weighted_ext_score]]&lt;$O$3,Данные[[#This Row],[Базовая сумма]]*$O$4,N447))</f>
        <v>0</v>
      </c>
      <c r="P4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7" s="2">
        <f>ABS(Данные[[#This Row],[days_birth]])/365.2425</f>
        <v>62.049186499380546</v>
      </c>
      <c r="S4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7" s="2">
        <f>IF(Данные[[#This Row],[ interest_rate]]&gt;$T$1,Данные[[#This Row],[days_birth4]]*$T$2,Данные[[#This Row],[days_birth4]])</f>
        <v>0</v>
      </c>
      <c r="U447" s="2">
        <f>IF(Данные[[#This Row],[Проверка отказа]]="отказ",0,MAX(Данные[[#This Row],[interest_rate]],$C$1))</f>
        <v>0</v>
      </c>
      <c r="V447" s="2">
        <f>MROUND(Данные[[#This Row],[Минимум 20000]], 100)</f>
        <v>0</v>
      </c>
    </row>
    <row r="448" spans="1:22" x14ac:dyDescent="0.25">
      <c r="A448" s="2">
        <f>'1000_заявлений'!A442</f>
        <v>440</v>
      </c>
      <c r="B448" s="4">
        <f>VALUE(SUBSTITUTE('1000_заявлений'!B442, ".", ","))</f>
        <v>0.36268501627277699</v>
      </c>
      <c r="C448" s="4">
        <f>VALUE(SUBSTITUTE('1000_заявлений'!C442, ".", ","))</f>
        <v>0.48136822819332797</v>
      </c>
      <c r="D448" s="4">
        <f>VALUE(SUBSTITUTE('1000_заявлений'!D442, ".", ","))</f>
        <v>0.50468135000000003</v>
      </c>
      <c r="E448" s="4">
        <f>VALUE(SUBSTITUTE('1000_заявлений'!E442, ".", ","))</f>
        <v>0.65062565000000006</v>
      </c>
      <c r="F448" s="5">
        <f>VALUE(SUBSTITUTE('1000_заявлений'!F442, ".", ","))</f>
        <v>-3668</v>
      </c>
      <c r="G448" s="5">
        <f>VALUE(SUBSTITUTE('1000_заявлений'!G442, ".", ","))</f>
        <v>-12225</v>
      </c>
      <c r="H448" s="5">
        <f>VALUE(SUBSTITUTE('1000_заявлений'!H442, ".", ","))</f>
        <v>-4338</v>
      </c>
      <c r="I448" s="4">
        <f>VALUE(SUBSTITUTE('1000_заявлений'!I442, ".", ","))</f>
        <v>0.26662000000000002</v>
      </c>
      <c r="J448" s="4">
        <f>VALUE(SUBSTITUTE('1000_заявлений'!J442, ".", ","))</f>
        <v>5.5283204081658397</v>
      </c>
      <c r="K448" s="5">
        <f>VALUE(SUBSTITUTE('1000_заявлений'!K442, ".", ","))</f>
        <v>-2117</v>
      </c>
      <c r="L448" s="6">
        <f>VALUE(SUBSTITUTE('1000_заявлений'!L442, ".", ","))</f>
        <v>59989.5</v>
      </c>
      <c r="M448" s="2" t="str">
        <f>IF(Данные[[#This Row],[proba]]&gt;$C$6, "отказ", "одобрение")</f>
        <v>отказ</v>
      </c>
      <c r="N448" s="7">
        <f>IF(Данные[[#This Row],[proba]]&lt;$D$2,$C$2,IF(Данные[[#This Row],[proba]]&lt;$D$3,$C$3,IF(Данные[[#This Row],[proba]]&gt;$C$6,0,$C$4)))</f>
        <v>0</v>
      </c>
      <c r="O448" s="2">
        <f>IF(Данные[[#This Row],[weighted_ext_score]]&gt;$O$1,MIN(Данные[[#This Row],[Базовая сумма]]*$O$2,$C$2),IF(Данные[[#This Row],[weighted_ext_score]]&lt;$O$3,Данные[[#This Row],[Базовая сумма]]*$O$4,N448))</f>
        <v>0</v>
      </c>
      <c r="P4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8" s="2">
        <f>ABS(Данные[[#This Row],[days_birth]])/365.2425</f>
        <v>33.470913160434506</v>
      </c>
      <c r="S4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8" s="2">
        <f>IF(Данные[[#This Row],[ interest_rate]]&gt;$T$1,Данные[[#This Row],[days_birth4]]*$T$2,Данные[[#This Row],[days_birth4]])</f>
        <v>0</v>
      </c>
      <c r="U448" s="2">
        <f>IF(Данные[[#This Row],[Проверка отказа]]="отказ",0,MAX(Данные[[#This Row],[interest_rate]],$C$1))</f>
        <v>0</v>
      </c>
      <c r="V448" s="2">
        <f>MROUND(Данные[[#This Row],[Минимум 20000]], 100)</f>
        <v>0</v>
      </c>
    </row>
    <row r="449" spans="1:22" x14ac:dyDescent="0.25">
      <c r="A449" s="2">
        <f>'1000_заявлений'!A443</f>
        <v>441</v>
      </c>
      <c r="B449" s="4">
        <f>VALUE(SUBSTITUTE('1000_заявлений'!B443, ".", ","))</f>
        <v>0.588814435466542</v>
      </c>
      <c r="C449" s="4">
        <f>VALUE(SUBSTITUTE('1000_заявлений'!C443, ".", ","))</f>
        <v>0.31672607253093799</v>
      </c>
      <c r="D449" s="4">
        <f>VALUE(SUBSTITUTE('1000_заявлений'!D443, ".", ","))</f>
        <v>0.33767269999999999</v>
      </c>
      <c r="E449" s="4">
        <f>VALUE(SUBSTITUTE('1000_заявлений'!E443, ".", ","))</f>
        <v>0.59992396999999997</v>
      </c>
      <c r="F449" s="5">
        <f>VALUE(SUBSTITUTE('1000_заявлений'!F443, ".", ","))</f>
        <v>-6430</v>
      </c>
      <c r="G449" s="5">
        <f>VALUE(SUBSTITUTE('1000_заявлений'!G443, ".", ","))</f>
        <v>-12762</v>
      </c>
      <c r="H449" s="5">
        <f>VALUE(SUBSTITUTE('1000_заявлений'!H443, ".", ","))</f>
        <v>-4618</v>
      </c>
      <c r="I449" s="4">
        <f>VALUE(SUBSTITUTE('1000_заявлений'!I443, ".", ","))</f>
        <v>0.25527777777777699</v>
      </c>
      <c r="J449" s="4">
        <f>VALUE(SUBSTITUTE('1000_заявлений'!J443, ".", ","))</f>
        <v>2.4240672998245598</v>
      </c>
      <c r="K449" s="5">
        <f>VALUE(SUBSTITUTE('1000_заявлений'!K443, ".", ","))</f>
        <v>-5891</v>
      </c>
      <c r="L449" s="6">
        <f>VALUE(SUBSTITUTE('1000_заявлений'!L443, ".", ","))</f>
        <v>20677.5</v>
      </c>
      <c r="M449" s="2" t="str">
        <f>IF(Данные[[#This Row],[proba]]&gt;$C$6, "отказ", "одобрение")</f>
        <v>отказ</v>
      </c>
      <c r="N449" s="7">
        <f>IF(Данные[[#This Row],[proba]]&lt;$D$2,$C$2,IF(Данные[[#This Row],[proba]]&lt;$D$3,$C$3,IF(Данные[[#This Row],[proba]]&gt;$C$6,0,$C$4)))</f>
        <v>0</v>
      </c>
      <c r="O449" s="2">
        <f>IF(Данные[[#This Row],[weighted_ext_score]]&gt;$O$1,MIN(Данные[[#This Row],[Базовая сумма]]*$O$2,$C$2),IF(Данные[[#This Row],[weighted_ext_score]]&lt;$O$3,Данные[[#This Row],[Базовая сумма]]*$O$4,N449))</f>
        <v>0</v>
      </c>
      <c r="P4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49" s="2">
        <f>ABS(Данные[[#This Row],[days_birth]])/365.2425</f>
        <v>34.94116922318733</v>
      </c>
      <c r="S4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49" s="2">
        <f>IF(Данные[[#This Row],[ interest_rate]]&gt;$T$1,Данные[[#This Row],[days_birth4]]*$T$2,Данные[[#This Row],[days_birth4]])</f>
        <v>0</v>
      </c>
      <c r="U449" s="2">
        <f>IF(Данные[[#This Row],[Проверка отказа]]="отказ",0,MAX(Данные[[#This Row],[interest_rate]],$C$1))</f>
        <v>0</v>
      </c>
      <c r="V449" s="2">
        <f>MROUND(Данные[[#This Row],[Минимум 20000]], 100)</f>
        <v>0</v>
      </c>
    </row>
    <row r="450" spans="1:22" x14ac:dyDescent="0.25">
      <c r="A450" s="2">
        <f>'1000_заявлений'!A444</f>
        <v>442</v>
      </c>
      <c r="B450" s="4">
        <f>VALUE(SUBSTITUTE('1000_заявлений'!B444, ".", ","))</f>
        <v>0.265943739855451</v>
      </c>
      <c r="C450" s="4">
        <f>VALUE(SUBSTITUTE('1000_заявлений'!C444, ".", ","))</f>
        <v>0.45664375088700698</v>
      </c>
      <c r="D450" s="4">
        <f>VALUE(SUBSTITUTE('1000_заявлений'!D444, ".", ","))</f>
        <v>0.73098737000000003</v>
      </c>
      <c r="E450" s="4">
        <f>VALUE(SUBSTITUTE('1000_заявлений'!E444, ".", ","))</f>
        <v>0.59273874999999998</v>
      </c>
      <c r="F450" s="5">
        <f>VALUE(SUBSTITUTE('1000_заявлений'!F444, ".", ","))</f>
        <v>-5079</v>
      </c>
      <c r="G450" s="5">
        <f>VALUE(SUBSTITUTE('1000_заявлений'!G444, ".", ","))</f>
        <v>-14221</v>
      </c>
      <c r="H450" s="5">
        <f>VALUE(SUBSTITUTE('1000_заявлений'!H444, ".", ","))</f>
        <v>-5155</v>
      </c>
      <c r="I450" s="4">
        <f>VALUE(SUBSTITUTE('1000_заявлений'!I444, ".", ","))</f>
        <v>0.23076923076923</v>
      </c>
      <c r="J450" s="4">
        <f>VALUE(SUBSTITUTE('1000_заявлений'!J444, ".", ","))</f>
        <v>10.6209759779781</v>
      </c>
      <c r="K450" s="5">
        <f>VALUE(SUBSTITUTE('1000_заявлений'!K444, ".", ","))</f>
        <v>-1895</v>
      </c>
      <c r="L450" s="6">
        <f>VALUE(SUBSTITUTE('1000_заявлений'!L444, ".", ","))</f>
        <v>13500</v>
      </c>
      <c r="M450" s="2" t="str">
        <f>IF(Данные[[#This Row],[proba]]&gt;$C$6, "отказ", "одобрение")</f>
        <v>одобрение</v>
      </c>
      <c r="N450" s="7">
        <f>IF(Данные[[#This Row],[proba]]&lt;$D$2,$C$2,IF(Данные[[#This Row],[proba]]&lt;$D$3,$C$3,IF(Данные[[#This Row],[proba]]&gt;$C$6,0,$C$4)))</f>
        <v>100000</v>
      </c>
      <c r="O450" s="2">
        <f>IF(Данные[[#This Row],[weighted_ext_score]]&gt;$O$1,MIN(Данные[[#This Row],[Базовая сумма]]*$O$2,$C$2),IF(Данные[[#This Row],[weighted_ext_score]]&lt;$O$3,Данные[[#This Row],[Базовая сумма]]*$O$4,N450))</f>
        <v>100000</v>
      </c>
      <c r="P4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450" s="2">
        <f>ABS(Данные[[#This Row],[days_birth]])/365.2425</f>
        <v>38.935775546383567</v>
      </c>
      <c r="S4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450" s="2">
        <f>IF(Данные[[#This Row],[ interest_rate]]&gt;$T$1,Данные[[#This Row],[days_birth4]]*$T$2,Данные[[#This Row],[days_birth4]])</f>
        <v>70000</v>
      </c>
      <c r="U450" s="2">
        <f>IF(Данные[[#This Row],[Проверка отказа]]="отказ",0,MAX(Данные[[#This Row],[interest_rate]],$C$1))</f>
        <v>70000</v>
      </c>
      <c r="V450" s="2">
        <f>MROUND(Данные[[#This Row],[Минимум 20000]], 100)</f>
        <v>70000</v>
      </c>
    </row>
    <row r="451" spans="1:22" x14ac:dyDescent="0.25">
      <c r="A451" s="2">
        <f>'1000_заявлений'!A445</f>
        <v>443</v>
      </c>
      <c r="B451" s="4">
        <f>VALUE(SUBSTITUTE('1000_заявлений'!B445, ".", ","))</f>
        <v>0.59290928852084301</v>
      </c>
      <c r="C451" s="4">
        <f>VALUE(SUBSTITUTE('1000_заявлений'!C445, ".", ","))</f>
        <v>0.24350739575213401</v>
      </c>
      <c r="D451" s="4">
        <f>VALUE(SUBSTITUTE('1000_заявлений'!D445, ".", ","))</f>
        <v>0.35233998</v>
      </c>
      <c r="E451" s="4">
        <f>VALUE(SUBSTITUTE('1000_заявлений'!E445, ".", ","))</f>
        <v>0.35784959999999999</v>
      </c>
      <c r="F451" s="5">
        <f>VALUE(SUBSTITUTE('1000_заявлений'!F445, ".", ","))</f>
        <v>-4906</v>
      </c>
      <c r="G451" s="5">
        <f>VALUE(SUBSTITUTE('1000_заявлений'!G445, ".", ","))</f>
        <v>-21340</v>
      </c>
      <c r="H451" s="5">
        <f>VALUE(SUBSTITUTE('1000_заявлений'!H445, ".", ","))</f>
        <v>-623</v>
      </c>
      <c r="I451" s="4">
        <f>VALUE(SUBSTITUTE('1000_заявлений'!I445, ".", ","))</f>
        <v>0.121066666666666</v>
      </c>
      <c r="J451" s="4">
        <f>VALUE(SUBSTITUTE('1000_заявлений'!J445, ".", ","))</f>
        <v>4.7743298088423298</v>
      </c>
      <c r="K451" s="5">
        <f>VALUE(SUBSTITUTE('1000_заявлений'!K445, ".", ","))</f>
        <v>365243</v>
      </c>
      <c r="L451" s="6">
        <f>VALUE(SUBSTITUTE('1000_заявлений'!L445, ".", ","))</f>
        <v>32688</v>
      </c>
      <c r="M451" s="2" t="str">
        <f>IF(Данные[[#This Row],[proba]]&gt;$C$6, "отказ", "одобрение")</f>
        <v>отказ</v>
      </c>
      <c r="N451" s="7">
        <f>IF(Данные[[#This Row],[proba]]&lt;$D$2,$C$2,IF(Данные[[#This Row],[proba]]&lt;$D$3,$C$3,IF(Данные[[#This Row],[proba]]&gt;$C$6,0,$C$4)))</f>
        <v>0</v>
      </c>
      <c r="O451" s="2">
        <f>IF(Данные[[#This Row],[weighted_ext_score]]&gt;$O$1,MIN(Данные[[#This Row],[Базовая сумма]]*$O$2,$C$2),IF(Данные[[#This Row],[weighted_ext_score]]&lt;$O$3,Данные[[#This Row],[Базовая сумма]]*$O$4,N451))</f>
        <v>0</v>
      </c>
      <c r="P4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1" s="2">
        <f>ABS(Данные[[#This Row],[days_birth]])/365.2425</f>
        <v>58.426935529134752</v>
      </c>
      <c r="S4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1" s="2">
        <f>IF(Данные[[#This Row],[ interest_rate]]&gt;$T$1,Данные[[#This Row],[days_birth4]]*$T$2,Данные[[#This Row],[days_birth4]])</f>
        <v>0</v>
      </c>
      <c r="U451" s="2">
        <f>IF(Данные[[#This Row],[Проверка отказа]]="отказ",0,MAX(Данные[[#This Row],[interest_rate]],$C$1))</f>
        <v>0</v>
      </c>
      <c r="V451" s="2">
        <f>MROUND(Данные[[#This Row],[Минимум 20000]], 100)</f>
        <v>0</v>
      </c>
    </row>
    <row r="452" spans="1:22" x14ac:dyDescent="0.25">
      <c r="A452" s="2">
        <f>'1000_заявлений'!A446</f>
        <v>444</v>
      </c>
      <c r="B452" s="4">
        <f>VALUE(SUBSTITUTE('1000_заявлений'!B446, ".", ","))</f>
        <v>0.50847893754242801</v>
      </c>
      <c r="C452" s="4">
        <f>VALUE(SUBSTITUTE('1000_заявлений'!C446, ".", ","))</f>
        <v>0.36474134277001702</v>
      </c>
      <c r="D452" s="4">
        <f>VALUE(SUBSTITUTE('1000_заявлений'!D446, ".", ","))</f>
        <v>0.40314168</v>
      </c>
      <c r="E452" s="4">
        <f>VALUE(SUBSTITUTE('1000_заявлений'!E446, ".", ","))</f>
        <v>0.67495210000000005</v>
      </c>
      <c r="F452" s="5">
        <f>VALUE(SUBSTITUTE('1000_заявлений'!F446, ".", ","))</f>
        <v>-400</v>
      </c>
      <c r="G452" s="5">
        <f>VALUE(SUBSTITUTE('1000_заявлений'!G446, ".", ","))</f>
        <v>-9567</v>
      </c>
      <c r="H452" s="5">
        <f>VALUE(SUBSTITUTE('1000_заявлений'!H446, ".", ","))</f>
        <v>-2224</v>
      </c>
      <c r="I452" s="4">
        <f>VALUE(SUBSTITUTE('1000_заявлений'!I446, ".", ","))</f>
        <v>0.10847999999999999</v>
      </c>
      <c r="J452" s="4">
        <f>VALUE(SUBSTITUTE('1000_заявлений'!J446, ".", ","))</f>
        <v>3.69538293934965</v>
      </c>
      <c r="K452" s="5">
        <f>VALUE(SUBSTITUTE('1000_заявлений'!K446, ".", ","))</f>
        <v>-1568</v>
      </c>
      <c r="L452" s="6">
        <f>VALUE(SUBSTITUTE('1000_заявлений'!L446, ".", ","))</f>
        <v>12204</v>
      </c>
      <c r="M452" s="2" t="str">
        <f>IF(Данные[[#This Row],[proba]]&gt;$C$6, "отказ", "одобрение")</f>
        <v>отказ</v>
      </c>
      <c r="N452" s="7">
        <f>IF(Данные[[#This Row],[proba]]&lt;$D$2,$C$2,IF(Данные[[#This Row],[proba]]&lt;$D$3,$C$3,IF(Данные[[#This Row],[proba]]&gt;$C$6,0,$C$4)))</f>
        <v>0</v>
      </c>
      <c r="O452" s="2">
        <f>IF(Данные[[#This Row],[weighted_ext_score]]&gt;$O$1,MIN(Данные[[#This Row],[Базовая сумма]]*$O$2,$C$2),IF(Данные[[#This Row],[weighted_ext_score]]&lt;$O$3,Данные[[#This Row],[Базовая сумма]]*$O$4,N452))</f>
        <v>0</v>
      </c>
      <c r="P4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2" s="2">
        <f>ABS(Данные[[#This Row],[days_birth]])/365.2425</f>
        <v>26.193556335859054</v>
      </c>
      <c r="S4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2" s="2">
        <f>IF(Данные[[#This Row],[ interest_rate]]&gt;$T$1,Данные[[#This Row],[days_birth4]]*$T$2,Данные[[#This Row],[days_birth4]])</f>
        <v>0</v>
      </c>
      <c r="U452" s="2">
        <f>IF(Данные[[#This Row],[Проверка отказа]]="отказ",0,MAX(Данные[[#This Row],[interest_rate]],$C$1))</f>
        <v>0</v>
      </c>
      <c r="V452" s="2">
        <f>MROUND(Данные[[#This Row],[Минимум 20000]], 100)</f>
        <v>0</v>
      </c>
    </row>
    <row r="453" spans="1:22" x14ac:dyDescent="0.25">
      <c r="A453" s="2">
        <f>'1000_заявлений'!A447</f>
        <v>445</v>
      </c>
      <c r="B453" s="4">
        <f>VALUE(SUBSTITUTE('1000_заявлений'!B447, ".", ","))</f>
        <v>0.60399578451246305</v>
      </c>
      <c r="C453" s="4">
        <f>VALUE(SUBSTITUTE('1000_заявлений'!C447, ".", ","))</f>
        <v>0.28485534915231497</v>
      </c>
      <c r="D453" s="4">
        <f>VALUE(SUBSTITUTE('1000_заявлений'!D447, ".", ","))</f>
        <v>0.52629495000000004</v>
      </c>
      <c r="E453" s="4">
        <f>VALUE(SUBSTITUTE('1000_заявлений'!E447, ".", ","))</f>
        <v>0.29136649999999997</v>
      </c>
      <c r="F453" s="5">
        <f>VALUE(SUBSTITUTE('1000_заявлений'!F447, ".", ","))</f>
        <v>-7664</v>
      </c>
      <c r="G453" s="5">
        <f>VALUE(SUBSTITUTE('1000_заявлений'!G447, ".", ","))</f>
        <v>-16963</v>
      </c>
      <c r="H453" s="5">
        <f>VALUE(SUBSTITUTE('1000_заявлений'!H447, ".", ","))</f>
        <v>-511</v>
      </c>
      <c r="I453" s="4">
        <f>VALUE(SUBSTITUTE('1000_заявлений'!I447, ".", ","))</f>
        <v>0.226333333333333</v>
      </c>
      <c r="J453" s="4">
        <f>VALUE(SUBSTITUTE('1000_заявлений'!J447, ".", ","))</f>
        <v>4.1322313349679796</v>
      </c>
      <c r="K453" s="5">
        <f>VALUE(SUBSTITUTE('1000_заявлений'!K447, ".", ","))</f>
        <v>-1314</v>
      </c>
      <c r="L453" s="6">
        <f>VALUE(SUBSTITUTE('1000_заявлений'!L447, ".", ","))</f>
        <v>39721.5</v>
      </c>
      <c r="M453" s="2" t="str">
        <f>IF(Данные[[#This Row],[proba]]&gt;$C$6, "отказ", "одобрение")</f>
        <v>отказ</v>
      </c>
      <c r="N453" s="7">
        <f>IF(Данные[[#This Row],[proba]]&lt;$D$2,$C$2,IF(Данные[[#This Row],[proba]]&lt;$D$3,$C$3,IF(Данные[[#This Row],[proba]]&gt;$C$6,0,$C$4)))</f>
        <v>0</v>
      </c>
      <c r="O453" s="2">
        <f>IF(Данные[[#This Row],[weighted_ext_score]]&gt;$O$1,MIN(Данные[[#This Row],[Базовая сумма]]*$O$2,$C$2),IF(Данные[[#This Row],[weighted_ext_score]]&lt;$O$3,Данные[[#This Row],[Базовая сумма]]*$O$4,N453))</f>
        <v>0</v>
      </c>
      <c r="P4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3" s="2">
        <f>ABS(Данные[[#This Row],[days_birth]])/365.2425</f>
        <v>46.443116559546056</v>
      </c>
      <c r="S4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3" s="2">
        <f>IF(Данные[[#This Row],[ interest_rate]]&gt;$T$1,Данные[[#This Row],[days_birth4]]*$T$2,Данные[[#This Row],[days_birth4]])</f>
        <v>0</v>
      </c>
      <c r="U453" s="2">
        <f>IF(Данные[[#This Row],[Проверка отказа]]="отказ",0,MAX(Данные[[#This Row],[interest_rate]],$C$1))</f>
        <v>0</v>
      </c>
      <c r="V453" s="2">
        <f>MROUND(Данные[[#This Row],[Минимум 20000]], 100)</f>
        <v>0</v>
      </c>
    </row>
    <row r="454" spans="1:22" x14ac:dyDescent="0.25">
      <c r="A454" s="2">
        <f>'1000_заявлений'!A448</f>
        <v>446</v>
      </c>
      <c r="B454" s="4">
        <f>VALUE(SUBSTITUTE('1000_заявлений'!B448, ".", ","))</f>
        <v>0.20328138248911601</v>
      </c>
      <c r="C454" s="4">
        <f>VALUE(SUBSTITUTE('1000_заявлений'!C448, ".", ","))</f>
        <v>0.55716224292986605</v>
      </c>
      <c r="D454" s="4">
        <f>VALUE(SUBSTITUTE('1000_заявлений'!D448, ".", ","))</f>
        <v>0.68170589999999998</v>
      </c>
      <c r="E454" s="4">
        <f>VALUE(SUBSTITUTE('1000_заявлений'!E448, ".", ","))</f>
        <v>0.55184334999999995</v>
      </c>
      <c r="F454" s="5">
        <f>VALUE(SUBSTITUTE('1000_заявлений'!F448, ".", ","))</f>
        <v>-10943</v>
      </c>
      <c r="G454" s="5">
        <f>VALUE(SUBSTITUTE('1000_заявлений'!G448, ".", ","))</f>
        <v>-21779</v>
      </c>
      <c r="H454" s="5">
        <f>VALUE(SUBSTITUTE('1000_заявлений'!H448, ".", ","))</f>
        <v>-4788</v>
      </c>
      <c r="I454" s="4">
        <f>VALUE(SUBSTITUTE('1000_заявлений'!I448, ".", ","))</f>
        <v>0.20785714285714199</v>
      </c>
      <c r="J454" s="4">
        <f>VALUE(SUBSTITUTE('1000_заявлений'!J448, ".", ","))</f>
        <v>2.4561869564405798</v>
      </c>
      <c r="K454" s="5">
        <f>VALUE(SUBSTITUTE('1000_заявлений'!K448, ".", ","))</f>
        <v>365243</v>
      </c>
      <c r="L454" s="6">
        <f>VALUE(SUBSTITUTE('1000_заявлений'!L448, ".", ","))</f>
        <v>32737.5</v>
      </c>
      <c r="M454" s="2" t="str">
        <f>IF(Данные[[#This Row],[proba]]&gt;$C$6, "отказ", "одобрение")</f>
        <v>одобрение</v>
      </c>
      <c r="N454" s="7">
        <f>IF(Данные[[#This Row],[proba]]&lt;$D$2,$C$2,IF(Данные[[#This Row],[proba]]&lt;$D$3,$C$3,IF(Данные[[#This Row],[proba]]&gt;$C$6,0,$C$4)))</f>
        <v>100000</v>
      </c>
      <c r="O454" s="2">
        <f>IF(Данные[[#This Row],[weighted_ext_score]]&gt;$O$1,MIN(Данные[[#This Row],[Базовая сумма]]*$O$2,$C$2),IF(Данные[[#This Row],[weighted_ext_score]]&lt;$O$3,Данные[[#This Row],[Базовая сумма]]*$O$4,N454))</f>
        <v>100000</v>
      </c>
      <c r="P4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54" s="2">
        <f>ABS(Данные[[#This Row],[days_birth]])/365.2425</f>
        <v>59.628876705202707</v>
      </c>
      <c r="S4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454" s="2">
        <f>IF(Данные[[#This Row],[ interest_rate]]&gt;$T$1,Данные[[#This Row],[days_birth4]]*$T$2,Данные[[#This Row],[days_birth4]])</f>
        <v>105000</v>
      </c>
      <c r="U454" s="2">
        <f>IF(Данные[[#This Row],[Проверка отказа]]="отказ",0,MAX(Данные[[#This Row],[interest_rate]],$C$1))</f>
        <v>105000</v>
      </c>
      <c r="V454" s="2">
        <f>MROUND(Данные[[#This Row],[Минимум 20000]], 100)</f>
        <v>105000</v>
      </c>
    </row>
    <row r="455" spans="1:22" x14ac:dyDescent="0.25">
      <c r="A455" s="2">
        <f>'1000_заявлений'!A449</f>
        <v>447</v>
      </c>
      <c r="B455" s="4">
        <f>VALUE(SUBSTITUTE('1000_заявлений'!B449, ".", ","))</f>
        <v>0.76713263926646902</v>
      </c>
      <c r="C455" s="4">
        <f>VALUE(SUBSTITUTE('1000_заявлений'!C449, ".", ","))</f>
        <v>0.19129467139625</v>
      </c>
      <c r="D455" s="4">
        <f>VALUE(SUBSTITUTE('1000_заявлений'!D449, ".", ","))</f>
        <v>0.17352743000000001</v>
      </c>
      <c r="E455" s="4">
        <f>VALUE(SUBSTITUTE('1000_заявлений'!E449, ".", ","))</f>
        <v>0.39625440000000001</v>
      </c>
      <c r="F455" s="5">
        <f>VALUE(SUBSTITUTE('1000_заявлений'!F449, ".", ","))</f>
        <v>-454</v>
      </c>
      <c r="G455" s="5">
        <f>VALUE(SUBSTITUTE('1000_заявлений'!G449, ".", ","))</f>
        <v>-12852</v>
      </c>
      <c r="H455" s="5">
        <f>VALUE(SUBSTITUTE('1000_заявлений'!H449, ".", ","))</f>
        <v>-3394</v>
      </c>
      <c r="I455" s="4">
        <f>VALUE(SUBSTITUTE('1000_заявлений'!I449, ".", ","))</f>
        <v>0.13304444444444399</v>
      </c>
      <c r="J455" s="4">
        <f>VALUE(SUBSTITUTE('1000_заявлений'!J449, ".", ","))</f>
        <v>4.6866705053831303</v>
      </c>
      <c r="K455" s="5">
        <f>VALUE(SUBSTITUTE('1000_заявлений'!K449, ".", ","))</f>
        <v>-753</v>
      </c>
      <c r="L455" s="6">
        <f>VALUE(SUBSTITUTE('1000_заявлений'!L449, ".", ","))</f>
        <v>26941.5</v>
      </c>
      <c r="M455" s="2" t="str">
        <f>IF(Данные[[#This Row],[proba]]&gt;$C$6, "отказ", "одобрение")</f>
        <v>отказ</v>
      </c>
      <c r="N455" s="7">
        <f>IF(Данные[[#This Row],[proba]]&lt;$D$2,$C$2,IF(Данные[[#This Row],[proba]]&lt;$D$3,$C$3,IF(Данные[[#This Row],[proba]]&gt;$C$6,0,$C$4)))</f>
        <v>0</v>
      </c>
      <c r="O455" s="2">
        <f>IF(Данные[[#This Row],[weighted_ext_score]]&gt;$O$1,MIN(Данные[[#This Row],[Базовая сумма]]*$O$2,$C$2),IF(Данные[[#This Row],[weighted_ext_score]]&lt;$O$3,Данные[[#This Row],[Базовая сумма]]*$O$4,N455))</f>
        <v>0</v>
      </c>
      <c r="P4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5" s="2">
        <f>ABS(Данные[[#This Row],[days_birth]])/365.2425</f>
        <v>35.1875808538163</v>
      </c>
      <c r="S4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5" s="2">
        <f>IF(Данные[[#This Row],[ interest_rate]]&gt;$T$1,Данные[[#This Row],[days_birth4]]*$T$2,Данные[[#This Row],[days_birth4]])</f>
        <v>0</v>
      </c>
      <c r="U455" s="2">
        <f>IF(Данные[[#This Row],[Проверка отказа]]="отказ",0,MAX(Данные[[#This Row],[interest_rate]],$C$1))</f>
        <v>0</v>
      </c>
      <c r="V455" s="2">
        <f>MROUND(Данные[[#This Row],[Минимум 20000]], 100)</f>
        <v>0</v>
      </c>
    </row>
    <row r="456" spans="1:22" x14ac:dyDescent="0.25">
      <c r="A456" s="2">
        <f>'1000_заявлений'!A450</f>
        <v>448</v>
      </c>
      <c r="B456" s="4">
        <f>VALUE(SUBSTITUTE('1000_заявлений'!B450, ".", ","))</f>
        <v>0.59303540452290404</v>
      </c>
      <c r="C456" s="4">
        <f>VALUE(SUBSTITUTE('1000_заявлений'!C450, ".", ","))</f>
        <v>0.37412504431002502</v>
      </c>
      <c r="D456" s="4">
        <f>VALUE(SUBSTITUTE('1000_заявлений'!D450, ".", ","))</f>
        <v>0.4632753</v>
      </c>
      <c r="E456" s="4">
        <f>VALUE(SUBSTITUTE('1000_заявлений'!E450, ".", ","))</f>
        <v>0.31782539999999998</v>
      </c>
      <c r="F456" s="5">
        <f>VALUE(SUBSTITUTE('1000_заявлений'!F450, ".", ","))</f>
        <v>-400</v>
      </c>
      <c r="G456" s="5">
        <f>VALUE(SUBSTITUTE('1000_заявлений'!G450, ".", ","))</f>
        <v>-15368</v>
      </c>
      <c r="H456" s="5">
        <f>VALUE(SUBSTITUTE('1000_заявлений'!H450, ".", ","))</f>
        <v>-4430</v>
      </c>
      <c r="I456" s="4">
        <f>VALUE(SUBSTITUTE('1000_заявлений'!I450, ".", ","))</f>
        <v>0.2104</v>
      </c>
      <c r="J456" s="4">
        <f>VALUE(SUBSTITUTE('1000_заявлений'!J450, ".", ","))</f>
        <v>2.02626524006561</v>
      </c>
      <c r="K456" s="5">
        <f>VALUE(SUBSTITUTE('1000_заявлений'!K450, ".", ","))</f>
        <v>-3094</v>
      </c>
      <c r="L456" s="6">
        <f>VALUE(SUBSTITUTE('1000_заявлений'!L450, ".", ","))</f>
        <v>23670</v>
      </c>
      <c r="M456" s="2" t="str">
        <f>IF(Данные[[#This Row],[proba]]&gt;$C$6, "отказ", "одобрение")</f>
        <v>отказ</v>
      </c>
      <c r="N456" s="7">
        <f>IF(Данные[[#This Row],[proba]]&lt;$D$2,$C$2,IF(Данные[[#This Row],[proba]]&lt;$D$3,$C$3,IF(Данные[[#This Row],[proba]]&gt;$C$6,0,$C$4)))</f>
        <v>0</v>
      </c>
      <c r="O456" s="2">
        <f>IF(Данные[[#This Row],[weighted_ext_score]]&gt;$O$1,MIN(Данные[[#This Row],[Базовая сумма]]*$O$2,$C$2),IF(Данные[[#This Row],[weighted_ext_score]]&lt;$O$3,Данные[[#This Row],[Базовая сумма]]*$O$4,N456))</f>
        <v>0</v>
      </c>
      <c r="P4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6" s="2">
        <f>ABS(Данные[[#This Row],[days_birth]])/365.2425</f>
        <v>42.076154883399383</v>
      </c>
      <c r="S4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6" s="2">
        <f>IF(Данные[[#This Row],[ interest_rate]]&gt;$T$1,Данные[[#This Row],[days_birth4]]*$T$2,Данные[[#This Row],[days_birth4]])</f>
        <v>0</v>
      </c>
      <c r="U456" s="2">
        <f>IF(Данные[[#This Row],[Проверка отказа]]="отказ",0,MAX(Данные[[#This Row],[interest_rate]],$C$1))</f>
        <v>0</v>
      </c>
      <c r="V456" s="2">
        <f>MROUND(Данные[[#This Row],[Минимум 20000]], 100)</f>
        <v>0</v>
      </c>
    </row>
    <row r="457" spans="1:22" x14ac:dyDescent="0.25">
      <c r="A457" s="2">
        <f>'1000_заявлений'!A451</f>
        <v>449</v>
      </c>
      <c r="B457" s="4">
        <f>VALUE(SUBSTITUTE('1000_заявлений'!B451, ".", ","))</f>
        <v>0.57308769110237401</v>
      </c>
      <c r="C457" s="4">
        <f>VALUE(SUBSTITUTE('1000_заявлений'!C451, ".", ","))</f>
        <v>0.37495916131443502</v>
      </c>
      <c r="D457" s="4">
        <f>VALUE(SUBSTITUTE('1000_заявлений'!D451, ".", ","))</f>
        <v>0.30010775000000001</v>
      </c>
      <c r="E457" s="4">
        <f>VALUE(SUBSTITUTE('1000_заявлений'!E451, ".", ","))</f>
        <v>0.55035559999999994</v>
      </c>
      <c r="F457" s="5">
        <f>VALUE(SUBSTITUTE('1000_заявлений'!F451, ".", ","))</f>
        <v>-6459</v>
      </c>
      <c r="G457" s="5">
        <f>VALUE(SUBSTITUTE('1000_заявлений'!G451, ".", ","))</f>
        <v>-14366</v>
      </c>
      <c r="H457" s="5">
        <f>VALUE(SUBSTITUTE('1000_заявлений'!H451, ".", ","))</f>
        <v>-4411</v>
      </c>
      <c r="I457" s="4">
        <f>VALUE(SUBSTITUTE('1000_заявлений'!I451, ".", ","))</f>
        <v>0.24616666666666601</v>
      </c>
      <c r="J457" s="4">
        <f>VALUE(SUBSTITUTE('1000_заявлений'!J451, ".", ","))</f>
        <v>3.7121066670674199</v>
      </c>
      <c r="K457" s="5">
        <f>VALUE(SUBSTITUTE('1000_заявлений'!K451, ".", ","))</f>
        <v>-3379</v>
      </c>
      <c r="L457" s="6">
        <f>VALUE(SUBSTITUTE('1000_заявлений'!L451, ".", ","))</f>
        <v>33232.5</v>
      </c>
      <c r="M457" s="2" t="str">
        <f>IF(Данные[[#This Row],[proba]]&gt;$C$6, "отказ", "одобрение")</f>
        <v>отказ</v>
      </c>
      <c r="N457" s="7">
        <f>IF(Данные[[#This Row],[proba]]&lt;$D$2,$C$2,IF(Данные[[#This Row],[proba]]&lt;$D$3,$C$3,IF(Данные[[#This Row],[proba]]&gt;$C$6,0,$C$4)))</f>
        <v>0</v>
      </c>
      <c r="O457" s="2">
        <f>IF(Данные[[#This Row],[weighted_ext_score]]&gt;$O$1,MIN(Данные[[#This Row],[Базовая сумма]]*$O$2,$C$2),IF(Данные[[#This Row],[weighted_ext_score]]&lt;$O$3,Данные[[#This Row],[Базовая сумма]]*$O$4,N457))</f>
        <v>0</v>
      </c>
      <c r="P4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7" s="2">
        <f>ABS(Данные[[#This Row],[days_birth]])/365.2425</f>
        <v>39.332772062396899</v>
      </c>
      <c r="S4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7" s="2">
        <f>IF(Данные[[#This Row],[ interest_rate]]&gt;$T$1,Данные[[#This Row],[days_birth4]]*$T$2,Данные[[#This Row],[days_birth4]])</f>
        <v>0</v>
      </c>
      <c r="U457" s="2">
        <f>IF(Данные[[#This Row],[Проверка отказа]]="отказ",0,MAX(Данные[[#This Row],[interest_rate]],$C$1))</f>
        <v>0</v>
      </c>
      <c r="V457" s="2">
        <f>MROUND(Данные[[#This Row],[Минимум 20000]], 100)</f>
        <v>0</v>
      </c>
    </row>
    <row r="458" spans="1:22" x14ac:dyDescent="0.25">
      <c r="A458" s="2">
        <f>'1000_заявлений'!A452</f>
        <v>450</v>
      </c>
      <c r="B458" s="4">
        <f>VALUE(SUBSTITUTE('1000_заявлений'!B452, ".", ","))</f>
        <v>0.74733907556794299</v>
      </c>
      <c r="C458" s="4">
        <f>VALUE(SUBSTITUTE('1000_заявлений'!C452, ".", ","))</f>
        <v>0.230540783590368</v>
      </c>
      <c r="D458" s="4">
        <f>VALUE(SUBSTITUTE('1000_заявлений'!D452, ".", ","))</f>
        <v>0.14644207000000001</v>
      </c>
      <c r="E458" s="4">
        <f>VALUE(SUBSTITUTE('1000_заявлений'!E452, ".", ","))</f>
        <v>0.5474426</v>
      </c>
      <c r="F458" s="5">
        <f>VALUE(SUBSTITUTE('1000_заявлений'!F452, ".", ","))</f>
        <v>-1029</v>
      </c>
      <c r="G458" s="5">
        <f>VALUE(SUBSTITUTE('1000_заявлений'!G452, ".", ","))</f>
        <v>-8711</v>
      </c>
      <c r="H458" s="5">
        <f>VALUE(SUBSTITUTE('1000_заявлений'!H452, ".", ","))</f>
        <v>-1400</v>
      </c>
      <c r="I458" s="4">
        <f>VALUE(SUBSTITUTE('1000_заявлений'!I452, ".", ","))</f>
        <v>0.14799999999999999</v>
      </c>
      <c r="J458" s="4">
        <f>VALUE(SUBSTITUTE('1000_заявлений'!J452, ".", ","))</f>
        <v>7.17077427805736</v>
      </c>
      <c r="K458" s="5">
        <f>VALUE(SUBSTITUTE('1000_заявлений'!K452, ".", ","))</f>
        <v>-717</v>
      </c>
      <c r="L458" s="6">
        <f>VALUE(SUBSTITUTE('1000_заявлений'!L452, ".", ","))</f>
        <v>16650</v>
      </c>
      <c r="M458" s="2" t="str">
        <f>IF(Данные[[#This Row],[proba]]&gt;$C$6, "отказ", "одобрение")</f>
        <v>отказ</v>
      </c>
      <c r="N458" s="7">
        <f>IF(Данные[[#This Row],[proba]]&lt;$D$2,$C$2,IF(Данные[[#This Row],[proba]]&lt;$D$3,$C$3,IF(Данные[[#This Row],[proba]]&gt;$C$6,0,$C$4)))</f>
        <v>0</v>
      </c>
      <c r="O458" s="2">
        <f>IF(Данные[[#This Row],[weighted_ext_score]]&gt;$O$1,MIN(Данные[[#This Row],[Базовая сумма]]*$O$2,$C$2),IF(Данные[[#This Row],[weighted_ext_score]]&lt;$O$3,Данные[[#This Row],[Базовая сумма]]*$O$4,N458))</f>
        <v>0</v>
      </c>
      <c r="P4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8" s="2">
        <f>ABS(Данные[[#This Row],[days_birth]])/365.2425</f>
        <v>23.849907937876889</v>
      </c>
      <c r="S4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8" s="2">
        <f>IF(Данные[[#This Row],[ interest_rate]]&gt;$T$1,Данные[[#This Row],[days_birth4]]*$T$2,Данные[[#This Row],[days_birth4]])</f>
        <v>0</v>
      </c>
      <c r="U458" s="2">
        <f>IF(Данные[[#This Row],[Проверка отказа]]="отказ",0,MAX(Данные[[#This Row],[interest_rate]],$C$1))</f>
        <v>0</v>
      </c>
      <c r="V458" s="2">
        <f>MROUND(Данные[[#This Row],[Минимум 20000]], 100)</f>
        <v>0</v>
      </c>
    </row>
    <row r="459" spans="1:22" x14ac:dyDescent="0.25">
      <c r="A459" s="2">
        <f>'1000_заявлений'!A453</f>
        <v>451</v>
      </c>
      <c r="B459" s="4">
        <f>VALUE(SUBSTITUTE('1000_заявлений'!B453, ".", ","))</f>
        <v>0.31769003832408699</v>
      </c>
      <c r="C459" s="4">
        <f>VALUE(SUBSTITUTE('1000_заявлений'!C453, ".", ","))</f>
        <v>0.55611358863534299</v>
      </c>
      <c r="D459" s="4">
        <f>VALUE(SUBSTITUTE('1000_заявлений'!D453, ".", ","))</f>
        <v>0.57091652999999998</v>
      </c>
      <c r="E459" s="4">
        <f>VALUE(SUBSTITUTE('1000_заявлений'!E453, ".", ","))</f>
        <v>0.26118513999999998</v>
      </c>
      <c r="F459" s="5">
        <f>VALUE(SUBSTITUTE('1000_заявлений'!F453, ".", ","))</f>
        <v>-4030</v>
      </c>
      <c r="G459" s="5">
        <f>VALUE(SUBSTITUTE('1000_заявлений'!G453, ".", ","))</f>
        <v>-23003</v>
      </c>
      <c r="H459" s="5">
        <f>VALUE(SUBSTITUTE('1000_заявлений'!H453, ".", ","))</f>
        <v>-4860</v>
      </c>
      <c r="I459" s="4">
        <f>VALUE(SUBSTITUTE('1000_заявлений'!I453, ".", ","))</f>
        <v>0.14353333333333301</v>
      </c>
      <c r="J459" s="4">
        <f>VALUE(SUBSTITUTE('1000_заявлений'!J453, ".", ","))</f>
        <v>6.6610326429179896</v>
      </c>
      <c r="K459" s="5">
        <f>VALUE(SUBSTITUTE('1000_заявлений'!K453, ".", ","))</f>
        <v>365243</v>
      </c>
      <c r="L459" s="6">
        <f>VALUE(SUBSTITUTE('1000_заявлений'!L453, ".", ","))</f>
        <v>29065.5</v>
      </c>
      <c r="M459" s="2" t="str">
        <f>IF(Данные[[#This Row],[proba]]&gt;$C$6, "отказ", "одобрение")</f>
        <v>отказ</v>
      </c>
      <c r="N459" s="7">
        <f>IF(Данные[[#This Row],[proba]]&lt;$D$2,$C$2,IF(Данные[[#This Row],[proba]]&lt;$D$3,$C$3,IF(Данные[[#This Row],[proba]]&gt;$C$6,0,$C$4)))</f>
        <v>0</v>
      </c>
      <c r="O459" s="2">
        <f>IF(Данные[[#This Row],[weighted_ext_score]]&gt;$O$1,MIN(Данные[[#This Row],[Базовая сумма]]*$O$2,$C$2),IF(Данные[[#This Row],[weighted_ext_score]]&lt;$O$3,Данные[[#This Row],[Базовая сумма]]*$O$4,N459))</f>
        <v>0</v>
      </c>
      <c r="P4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59" s="2">
        <f>ABS(Данные[[#This Row],[days_birth]])/365.2425</f>
        <v>62.980074881756643</v>
      </c>
      <c r="S4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59" s="2">
        <f>IF(Данные[[#This Row],[ interest_rate]]&gt;$T$1,Данные[[#This Row],[days_birth4]]*$T$2,Данные[[#This Row],[days_birth4]])</f>
        <v>0</v>
      </c>
      <c r="U459" s="2">
        <f>IF(Данные[[#This Row],[Проверка отказа]]="отказ",0,MAX(Данные[[#This Row],[interest_rate]],$C$1))</f>
        <v>0</v>
      </c>
      <c r="V459" s="2">
        <f>MROUND(Данные[[#This Row],[Минимум 20000]], 100)</f>
        <v>0</v>
      </c>
    </row>
    <row r="460" spans="1:22" x14ac:dyDescent="0.25">
      <c r="A460" s="2">
        <f>'1000_заявлений'!A454</f>
        <v>452</v>
      </c>
      <c r="B460" s="4">
        <f>VALUE(SUBSTITUTE('1000_заявлений'!B454, ".", ","))</f>
        <v>0.69597202986839402</v>
      </c>
      <c r="C460" s="4">
        <f>VALUE(SUBSTITUTE('1000_заявлений'!C454, ".", ","))</f>
        <v>0.27140165667878202</v>
      </c>
      <c r="D460" s="4">
        <f>VALUE(SUBSTITUTE('1000_заявлений'!D454, ".", ","))</f>
        <v>4.5052114999999997E-2</v>
      </c>
      <c r="E460" s="4">
        <f>VALUE(SUBSTITUTE('1000_заявлений'!E454, ".", ","))</f>
        <v>0.65392890000000004</v>
      </c>
      <c r="F460" s="5">
        <f>VALUE(SUBSTITUTE('1000_заявлений'!F454, ".", ","))</f>
        <v>-2131</v>
      </c>
      <c r="G460" s="5">
        <f>VALUE(SUBSTITUTE('1000_заявлений'!G454, ".", ","))</f>
        <v>-10259</v>
      </c>
      <c r="H460" s="5">
        <f>VALUE(SUBSTITUTE('1000_заявлений'!H454, ".", ","))</f>
        <v>-2137</v>
      </c>
      <c r="I460" s="4">
        <f>VALUE(SUBSTITUTE('1000_заявлений'!I454, ".", ","))</f>
        <v>0.32075675675675602</v>
      </c>
      <c r="J460" s="4">
        <f>VALUE(SUBSTITUTE('1000_заявлений'!J454, ".", ","))</f>
        <v>17.3011913436535</v>
      </c>
      <c r="K460" s="5">
        <f>VALUE(SUBSTITUTE('1000_заявлений'!K454, ".", ","))</f>
        <v>-989</v>
      </c>
      <c r="L460" s="6">
        <f>VALUE(SUBSTITUTE('1000_заявлений'!L454, ".", ","))</f>
        <v>53406</v>
      </c>
      <c r="M460" s="2" t="str">
        <f>IF(Данные[[#This Row],[proba]]&gt;$C$6, "отказ", "одобрение")</f>
        <v>отказ</v>
      </c>
      <c r="N460" s="7">
        <f>IF(Данные[[#This Row],[proba]]&lt;$D$2,$C$2,IF(Данные[[#This Row],[proba]]&lt;$D$3,$C$3,IF(Данные[[#This Row],[proba]]&gt;$C$6,0,$C$4)))</f>
        <v>0</v>
      </c>
      <c r="O460" s="2">
        <f>IF(Данные[[#This Row],[weighted_ext_score]]&gt;$O$1,MIN(Данные[[#This Row],[Базовая сумма]]*$O$2,$C$2),IF(Данные[[#This Row],[weighted_ext_score]]&lt;$O$3,Данные[[#This Row],[Базовая сумма]]*$O$4,N460))</f>
        <v>0</v>
      </c>
      <c r="P4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0" s="2">
        <f>ABS(Данные[[#This Row],[days_birth]])/365.2425</f>
        <v>28.0881879846951</v>
      </c>
      <c r="S4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0" s="2">
        <f>IF(Данные[[#This Row],[ interest_rate]]&gt;$T$1,Данные[[#This Row],[days_birth4]]*$T$2,Данные[[#This Row],[days_birth4]])</f>
        <v>0</v>
      </c>
      <c r="U460" s="2">
        <f>IF(Данные[[#This Row],[Проверка отказа]]="отказ",0,MAX(Данные[[#This Row],[interest_rate]],$C$1))</f>
        <v>0</v>
      </c>
      <c r="V460" s="2">
        <f>MROUND(Данные[[#This Row],[Минимум 20000]], 100)</f>
        <v>0</v>
      </c>
    </row>
    <row r="461" spans="1:22" x14ac:dyDescent="0.25">
      <c r="A461" s="2">
        <f>'1000_заявлений'!A455</f>
        <v>453</v>
      </c>
      <c r="B461" s="4">
        <f>VALUE(SUBSTITUTE('1000_заявлений'!B455, ".", ","))</f>
        <v>0.32120002324452102</v>
      </c>
      <c r="C461" s="4">
        <f>VALUE(SUBSTITUTE('1000_заявлений'!C455, ".", ","))</f>
        <v>0.54699963989563105</v>
      </c>
      <c r="D461" s="4">
        <f>VALUE(SUBSTITUTE('1000_заявлений'!D455, ".", ","))</f>
        <v>0.48124932999999998</v>
      </c>
      <c r="E461" s="4">
        <f>VALUE(SUBSTITUTE('1000_заявлений'!E455, ".", ","))</f>
        <v>0.71011084000000002</v>
      </c>
      <c r="F461" s="5">
        <f>VALUE(SUBSTITUTE('1000_заявлений'!F455, ".", ","))</f>
        <v>-1173</v>
      </c>
      <c r="G461" s="5">
        <f>VALUE(SUBSTITUTE('1000_заявлений'!G455, ".", ","))</f>
        <v>-13188</v>
      </c>
      <c r="H461" s="5">
        <f>VALUE(SUBSTITUTE('1000_заявлений'!H455, ".", ","))</f>
        <v>-3997</v>
      </c>
      <c r="I461" s="4">
        <f>VALUE(SUBSTITUTE('1000_заявлений'!I455, ".", ","))</f>
        <v>8.9213333333333297E-2</v>
      </c>
      <c r="J461" s="4">
        <f>VALUE(SUBSTITUTE('1000_заявлений'!J455, ".", ","))</f>
        <v>1.1920383011848601</v>
      </c>
      <c r="K461" s="5">
        <f>VALUE(SUBSTITUTE('1000_заявлений'!K455, ".", ","))</f>
        <v>-1927</v>
      </c>
      <c r="L461" s="6">
        <f>VALUE(SUBSTITUTE('1000_заявлений'!L455, ".", ","))</f>
        <v>30109.5</v>
      </c>
      <c r="M461" s="2" t="str">
        <f>IF(Данные[[#This Row],[proba]]&gt;$C$6, "отказ", "одобрение")</f>
        <v>отказ</v>
      </c>
      <c r="N461" s="7">
        <f>IF(Данные[[#This Row],[proba]]&lt;$D$2,$C$2,IF(Данные[[#This Row],[proba]]&lt;$D$3,$C$3,IF(Данные[[#This Row],[proba]]&gt;$C$6,0,$C$4)))</f>
        <v>0</v>
      </c>
      <c r="O461" s="2">
        <f>IF(Данные[[#This Row],[weighted_ext_score]]&gt;$O$1,MIN(Данные[[#This Row],[Базовая сумма]]*$O$2,$C$2),IF(Данные[[#This Row],[weighted_ext_score]]&lt;$O$3,Данные[[#This Row],[Базовая сумма]]*$O$4,N461))</f>
        <v>0</v>
      </c>
      <c r="P4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1" s="2">
        <f>ABS(Данные[[#This Row],[days_birth]])/365.2425</f>
        <v>36.107517608164436</v>
      </c>
      <c r="S4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1" s="2">
        <f>IF(Данные[[#This Row],[ interest_rate]]&gt;$T$1,Данные[[#This Row],[days_birth4]]*$T$2,Данные[[#This Row],[days_birth4]])</f>
        <v>0</v>
      </c>
      <c r="U461" s="2">
        <f>IF(Данные[[#This Row],[Проверка отказа]]="отказ",0,MAX(Данные[[#This Row],[interest_rate]],$C$1))</f>
        <v>0</v>
      </c>
      <c r="V461" s="2">
        <f>MROUND(Данные[[#This Row],[Минимум 20000]], 100)</f>
        <v>0</v>
      </c>
    </row>
    <row r="462" spans="1:22" x14ac:dyDescent="0.25">
      <c r="A462" s="2">
        <f>'1000_заявлений'!A456</f>
        <v>454</v>
      </c>
      <c r="B462" s="4">
        <f>VALUE(SUBSTITUTE('1000_заявлений'!B456, ".", ","))</f>
        <v>0.49898876539166998</v>
      </c>
      <c r="C462" s="4">
        <f>VALUE(SUBSTITUTE('1000_заявлений'!C456, ".", ","))</f>
        <v>0.455431949918708</v>
      </c>
      <c r="D462" s="4">
        <f>VALUE(SUBSTITUTE('1000_заявлений'!D456, ".", ","))</f>
        <v>0.57620883000000001</v>
      </c>
      <c r="E462" s="4">
        <f>VALUE(SUBSTITUTE('1000_заявлений'!E456, ".", ","))</f>
        <v>0.19292139</v>
      </c>
      <c r="F462" s="5">
        <f>VALUE(SUBSTITUTE('1000_заявлений'!F456, ".", ","))</f>
        <v>-9073</v>
      </c>
      <c r="G462" s="5">
        <f>VALUE(SUBSTITUTE('1000_заявлений'!G456, ".", ","))</f>
        <v>-16062</v>
      </c>
      <c r="H462" s="5">
        <f>VALUE(SUBSTITUTE('1000_заявлений'!H456, ".", ","))</f>
        <v>-5023</v>
      </c>
      <c r="I462" s="4">
        <f>VALUE(SUBSTITUTE('1000_заявлений'!I456, ".", ","))</f>
        <v>0.22757777777777699</v>
      </c>
      <c r="J462" s="4">
        <f>VALUE(SUBSTITUTE('1000_заявлений'!J456, ".", ","))</f>
        <v>2.7691108986026101</v>
      </c>
      <c r="K462" s="5">
        <f>VALUE(SUBSTITUTE('1000_заявлений'!K456, ".", ","))</f>
        <v>-1392</v>
      </c>
      <c r="L462" s="6">
        <f>VALUE(SUBSTITUTE('1000_заявлений'!L456, ".", ","))</f>
        <v>46084.5</v>
      </c>
      <c r="M462" s="2" t="str">
        <f>IF(Данные[[#This Row],[proba]]&gt;$C$6, "отказ", "одобрение")</f>
        <v>отказ</v>
      </c>
      <c r="N462" s="7">
        <f>IF(Данные[[#This Row],[proba]]&lt;$D$2,$C$2,IF(Данные[[#This Row],[proba]]&lt;$D$3,$C$3,IF(Данные[[#This Row],[proba]]&gt;$C$6,0,$C$4)))</f>
        <v>0</v>
      </c>
      <c r="O462" s="2">
        <f>IF(Данные[[#This Row],[weighted_ext_score]]&gt;$O$1,MIN(Данные[[#This Row],[Базовая сумма]]*$O$2,$C$2),IF(Данные[[#This Row],[weighted_ext_score]]&lt;$O$3,Данные[[#This Row],[Базовая сумма]]*$O$4,N462))</f>
        <v>0</v>
      </c>
      <c r="P4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2" s="2">
        <f>ABS(Данные[[#This Row],[days_birth]])/365.2425</f>
        <v>43.976262346249406</v>
      </c>
      <c r="S4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2" s="2">
        <f>IF(Данные[[#This Row],[ interest_rate]]&gt;$T$1,Данные[[#This Row],[days_birth4]]*$T$2,Данные[[#This Row],[days_birth4]])</f>
        <v>0</v>
      </c>
      <c r="U462" s="2">
        <f>IF(Данные[[#This Row],[Проверка отказа]]="отказ",0,MAX(Данные[[#This Row],[interest_rate]],$C$1))</f>
        <v>0</v>
      </c>
      <c r="V462" s="2">
        <f>MROUND(Данные[[#This Row],[Минимум 20000]], 100)</f>
        <v>0</v>
      </c>
    </row>
    <row r="463" spans="1:22" x14ac:dyDescent="0.25">
      <c r="A463" s="2">
        <f>'1000_заявлений'!A457</f>
        <v>455</v>
      </c>
      <c r="B463" s="4">
        <f>VALUE(SUBSTITUTE('1000_заявлений'!B457, ".", ","))</f>
        <v>0.87316211027415302</v>
      </c>
      <c r="C463" s="4">
        <f>VALUE(SUBSTITUTE('1000_заявлений'!C457, ".", ","))</f>
        <v>0.11095546736357299</v>
      </c>
      <c r="D463" s="4">
        <f>VALUE(SUBSTITUTE('1000_заявлений'!D457, ".", ","))</f>
        <v>0.15663983000000001</v>
      </c>
      <c r="E463" s="4">
        <f>VALUE(SUBSTITUTE('1000_заявлений'!E457, ".", ","))</f>
        <v>0.1674109</v>
      </c>
      <c r="F463" s="5">
        <f>VALUE(SUBSTITUTE('1000_заявлений'!F457, ".", ","))</f>
        <v>-5278</v>
      </c>
      <c r="G463" s="5">
        <f>VALUE(SUBSTITUTE('1000_заявлений'!G457, ".", ","))</f>
        <v>-11165</v>
      </c>
      <c r="H463" s="5">
        <f>VALUE(SUBSTITUTE('1000_заявлений'!H457, ".", ","))</f>
        <v>-3512</v>
      </c>
      <c r="I463" s="4">
        <f>VALUE(SUBSTITUTE('1000_заявлений'!I457, ".", ","))</f>
        <v>0.32340000000000002</v>
      </c>
      <c r="J463" s="4">
        <f>VALUE(SUBSTITUTE('1000_заявлений'!J457, ".", ","))</f>
        <v>5.2389719436151703</v>
      </c>
      <c r="K463" s="5">
        <f>VALUE(SUBSTITUTE('1000_заявлений'!K457, ".", ","))</f>
        <v>-934</v>
      </c>
      <c r="L463" s="6">
        <f>VALUE(SUBSTITUTE('1000_заявлений'!L457, ".", ","))</f>
        <v>43659</v>
      </c>
      <c r="M463" s="2" t="str">
        <f>IF(Данные[[#This Row],[proba]]&gt;$C$6, "отказ", "одобрение")</f>
        <v>отказ</v>
      </c>
      <c r="N463" s="7">
        <f>IF(Данные[[#This Row],[proba]]&lt;$D$2,$C$2,IF(Данные[[#This Row],[proba]]&lt;$D$3,$C$3,IF(Данные[[#This Row],[proba]]&gt;$C$6,0,$C$4)))</f>
        <v>0</v>
      </c>
      <c r="O463" s="2">
        <f>IF(Данные[[#This Row],[weighted_ext_score]]&gt;$O$1,MIN(Данные[[#This Row],[Базовая сумма]]*$O$2,$C$2),IF(Данные[[#This Row],[weighted_ext_score]]&lt;$O$3,Данные[[#This Row],[Базовая сумма]]*$O$4,N463))</f>
        <v>0</v>
      </c>
      <c r="P4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3" s="2">
        <f>ABS(Данные[[#This Row],[days_birth]])/365.2425</f>
        <v>30.568731733026688</v>
      </c>
      <c r="S4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3" s="2">
        <f>IF(Данные[[#This Row],[ interest_rate]]&gt;$T$1,Данные[[#This Row],[days_birth4]]*$T$2,Данные[[#This Row],[days_birth4]])</f>
        <v>0</v>
      </c>
      <c r="U463" s="2">
        <f>IF(Данные[[#This Row],[Проверка отказа]]="отказ",0,MAX(Данные[[#This Row],[interest_rate]],$C$1))</f>
        <v>0</v>
      </c>
      <c r="V463" s="2">
        <f>MROUND(Данные[[#This Row],[Минимум 20000]], 100)</f>
        <v>0</v>
      </c>
    </row>
    <row r="464" spans="1:22" x14ac:dyDescent="0.25">
      <c r="A464" s="2">
        <f>'1000_заявлений'!A458</f>
        <v>456</v>
      </c>
      <c r="B464" s="4">
        <f>VALUE(SUBSTITUTE('1000_заявлений'!B458, ".", ","))</f>
        <v>0.36273912519361301</v>
      </c>
      <c r="C464" s="4">
        <f>VALUE(SUBSTITUTE('1000_заявлений'!C458, ".", ","))</f>
        <v>0.336317303092252</v>
      </c>
      <c r="D464" s="4">
        <f>VALUE(SUBSTITUTE('1000_заявлений'!D458, ".", ","))</f>
        <v>0.74493220000000004</v>
      </c>
      <c r="E464" s="4">
        <f>VALUE(SUBSTITUTE('1000_заявлений'!E458, ".", ","))</f>
        <v>0.20624445</v>
      </c>
      <c r="F464" s="5">
        <f>VALUE(SUBSTITUTE('1000_заявлений'!F458, ".", ","))</f>
        <v>-7196</v>
      </c>
      <c r="G464" s="5">
        <f>VALUE(SUBSTITUTE('1000_заявлений'!G458, ".", ","))</f>
        <v>-14297</v>
      </c>
      <c r="H464" s="5">
        <f>VALUE(SUBSTITUTE('1000_заявлений'!H458, ".", ","))</f>
        <v>-4775</v>
      </c>
      <c r="I464" s="4">
        <f>VALUE(SUBSTITUTE('1000_заявлений'!I458, ".", ","))</f>
        <v>9.0758064516129E-2</v>
      </c>
      <c r="J464" s="4">
        <f>VALUE(SUBSTITUTE('1000_заявлений'!J458, ".", ","))</f>
        <v>19.866106837814598</v>
      </c>
      <c r="K464" s="5">
        <f>VALUE(SUBSTITUTE('1000_заявлений'!K458, ".", ","))</f>
        <v>-5116</v>
      </c>
      <c r="L464" s="6">
        <f>VALUE(SUBSTITUTE('1000_заявлений'!L458, ".", ","))</f>
        <v>25321.5</v>
      </c>
      <c r="M464" s="2" t="str">
        <f>IF(Данные[[#This Row],[proba]]&gt;$C$6, "отказ", "одобрение")</f>
        <v>отказ</v>
      </c>
      <c r="N464" s="7">
        <f>IF(Данные[[#This Row],[proba]]&lt;$D$2,$C$2,IF(Данные[[#This Row],[proba]]&lt;$D$3,$C$3,IF(Данные[[#This Row],[proba]]&gt;$C$6,0,$C$4)))</f>
        <v>0</v>
      </c>
      <c r="O464" s="2">
        <f>IF(Данные[[#This Row],[weighted_ext_score]]&gt;$O$1,MIN(Данные[[#This Row],[Базовая сумма]]*$O$2,$C$2),IF(Данные[[#This Row],[weighted_ext_score]]&lt;$O$3,Данные[[#This Row],[Базовая сумма]]*$O$4,N464))</f>
        <v>0</v>
      </c>
      <c r="P4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4" s="2">
        <f>ABS(Данные[[#This Row],[days_birth]])/365.2425</f>
        <v>39.143856478914692</v>
      </c>
      <c r="S4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4" s="2">
        <f>IF(Данные[[#This Row],[ interest_rate]]&gt;$T$1,Данные[[#This Row],[days_birth4]]*$T$2,Данные[[#This Row],[days_birth4]])</f>
        <v>0</v>
      </c>
      <c r="U464" s="2">
        <f>IF(Данные[[#This Row],[Проверка отказа]]="отказ",0,MAX(Данные[[#This Row],[interest_rate]],$C$1))</f>
        <v>0</v>
      </c>
      <c r="V464" s="2">
        <f>MROUND(Данные[[#This Row],[Минимум 20000]], 100)</f>
        <v>0</v>
      </c>
    </row>
    <row r="465" spans="1:22" x14ac:dyDescent="0.25">
      <c r="A465" s="2">
        <f>'1000_заявлений'!A459</f>
        <v>457</v>
      </c>
      <c r="B465" s="4">
        <f>VALUE(SUBSTITUTE('1000_заявлений'!B459, ".", ","))</f>
        <v>0.33609868815191501</v>
      </c>
      <c r="C465" s="4">
        <f>VALUE(SUBSTITUTE('1000_заявлений'!C459, ".", ","))</f>
        <v>0.61623376965350196</v>
      </c>
      <c r="D465" s="4">
        <f>VALUE(SUBSTITUTE('1000_заявлений'!D459, ".", ","))</f>
        <v>0.35729327999999999</v>
      </c>
      <c r="E465" s="4">
        <f>VALUE(SUBSTITUTE('1000_заявлений'!E459, ".", ","))</f>
        <v>0.71673197</v>
      </c>
      <c r="F465" s="5">
        <f>VALUE(SUBSTITUTE('1000_заявлений'!F459, ".", ","))</f>
        <v>-6353</v>
      </c>
      <c r="G465" s="5">
        <f>VALUE(SUBSTITUTE('1000_заявлений'!G459, ".", ","))</f>
        <v>-20480</v>
      </c>
      <c r="H465" s="5">
        <f>VALUE(SUBSTITUTE('1000_заявлений'!H459, ".", ","))</f>
        <v>-4021</v>
      </c>
      <c r="I465" s="4">
        <f>VALUE(SUBSTITUTE('1000_заявлений'!I459, ".", ","))</f>
        <v>0.50593333333333301</v>
      </c>
      <c r="J465" s="4">
        <f>VALUE(SUBSTITUTE('1000_заявлений'!J459, ".", ","))</f>
        <v>0.79635837388740605</v>
      </c>
      <c r="K465" s="5">
        <f>VALUE(SUBSTITUTE('1000_заявлений'!K459, ".", ","))</f>
        <v>365243</v>
      </c>
      <c r="L465" s="6">
        <f>VALUE(SUBSTITUTE('1000_заявлений'!L459, ".", ","))</f>
        <v>68301</v>
      </c>
      <c r="M465" s="2" t="str">
        <f>IF(Данные[[#This Row],[proba]]&gt;$C$6, "отказ", "одобрение")</f>
        <v>отказ</v>
      </c>
      <c r="N465" s="7">
        <f>IF(Данные[[#This Row],[proba]]&lt;$D$2,$C$2,IF(Данные[[#This Row],[proba]]&lt;$D$3,$C$3,IF(Данные[[#This Row],[proba]]&gt;$C$6,0,$C$4)))</f>
        <v>0</v>
      </c>
      <c r="O465" s="2">
        <f>IF(Данные[[#This Row],[weighted_ext_score]]&gt;$O$1,MIN(Данные[[#This Row],[Базовая сумма]]*$O$2,$C$2),IF(Данные[[#This Row],[weighted_ext_score]]&lt;$O$3,Данные[[#This Row],[Базовая сумма]]*$O$4,N465))</f>
        <v>0</v>
      </c>
      <c r="P4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5" s="2">
        <f>ABS(Данные[[#This Row],[days_birth]])/365.2425</f>
        <v>56.072335503124634</v>
      </c>
      <c r="S4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5" s="2">
        <f>IF(Данные[[#This Row],[ interest_rate]]&gt;$T$1,Данные[[#This Row],[days_birth4]]*$T$2,Данные[[#This Row],[days_birth4]])</f>
        <v>0</v>
      </c>
      <c r="U465" s="2">
        <f>IF(Данные[[#This Row],[Проверка отказа]]="отказ",0,MAX(Данные[[#This Row],[interest_rate]],$C$1))</f>
        <v>0</v>
      </c>
      <c r="V465" s="2">
        <f>MROUND(Данные[[#This Row],[Минимум 20000]], 100)</f>
        <v>0</v>
      </c>
    </row>
    <row r="466" spans="1:22" x14ac:dyDescent="0.25">
      <c r="A466" s="2">
        <f>'1000_заявлений'!A460</f>
        <v>458</v>
      </c>
      <c r="B466" s="4">
        <f>VALUE(SUBSTITUTE('1000_заявлений'!B460, ".", ","))</f>
        <v>0.73659247167196795</v>
      </c>
      <c r="C466" s="4">
        <f>VALUE(SUBSTITUTE('1000_заявлений'!C460, ".", ","))</f>
        <v>0.20534146778645301</v>
      </c>
      <c r="D466" s="4">
        <f>VALUE(SUBSTITUTE('1000_заявлений'!D460, ".", ","))</f>
        <v>3.2977276E-2</v>
      </c>
      <c r="E466" s="4">
        <f>VALUE(SUBSTITUTE('1000_заявлений'!E460, ".", ","))</f>
        <v>0.59626544000000004</v>
      </c>
      <c r="F466" s="5">
        <f>VALUE(SUBSTITUTE('1000_заявлений'!F460, ".", ","))</f>
        <v>-6167</v>
      </c>
      <c r="G466" s="5">
        <f>VALUE(SUBSTITUTE('1000_заявлений'!G460, ".", ","))</f>
        <v>-14289</v>
      </c>
      <c r="H466" s="5">
        <f>VALUE(SUBSTITUTE('1000_заявлений'!H460, ".", ","))</f>
        <v>-4598</v>
      </c>
      <c r="I466" s="4">
        <f>VALUE(SUBSTITUTE('1000_заявлений'!I460, ".", ","))</f>
        <v>0.118583333333333</v>
      </c>
      <c r="J466" s="4">
        <f>VALUE(SUBSTITUTE('1000_заявлений'!J460, ".", ","))</f>
        <v>2.5386026872972201</v>
      </c>
      <c r="K466" s="5">
        <f>VALUE(SUBSTITUTE('1000_заявлений'!K460, ".", ","))</f>
        <v>-1763</v>
      </c>
      <c r="L466" s="6">
        <f>VALUE(SUBSTITUTE('1000_заявлений'!L460, ".", ","))</f>
        <v>32017.5</v>
      </c>
      <c r="M466" s="2" t="str">
        <f>IF(Данные[[#This Row],[proba]]&gt;$C$6, "отказ", "одобрение")</f>
        <v>отказ</v>
      </c>
      <c r="N466" s="7">
        <f>IF(Данные[[#This Row],[proba]]&lt;$D$2,$C$2,IF(Данные[[#This Row],[proba]]&lt;$D$3,$C$3,IF(Данные[[#This Row],[proba]]&gt;$C$6,0,$C$4)))</f>
        <v>0</v>
      </c>
      <c r="O466" s="2">
        <f>IF(Данные[[#This Row],[weighted_ext_score]]&gt;$O$1,MIN(Данные[[#This Row],[Базовая сумма]]*$O$2,$C$2),IF(Данные[[#This Row],[weighted_ext_score]]&lt;$O$3,Данные[[#This Row],[Базовая сумма]]*$O$4,N466))</f>
        <v>0</v>
      </c>
      <c r="P4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6" s="2">
        <f>ABS(Данные[[#This Row],[days_birth]])/365.2425</f>
        <v>39.121953222858785</v>
      </c>
      <c r="S4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6" s="2">
        <f>IF(Данные[[#This Row],[ interest_rate]]&gt;$T$1,Данные[[#This Row],[days_birth4]]*$T$2,Данные[[#This Row],[days_birth4]])</f>
        <v>0</v>
      </c>
      <c r="U466" s="2">
        <f>IF(Данные[[#This Row],[Проверка отказа]]="отказ",0,MAX(Данные[[#This Row],[interest_rate]],$C$1))</f>
        <v>0</v>
      </c>
      <c r="V466" s="2">
        <f>MROUND(Данные[[#This Row],[Минимум 20000]], 100)</f>
        <v>0</v>
      </c>
    </row>
    <row r="467" spans="1:22" x14ac:dyDescent="0.25">
      <c r="A467" s="2">
        <f>'1000_заявлений'!A461</f>
        <v>459</v>
      </c>
      <c r="B467" s="4">
        <f>VALUE(SUBSTITUTE('1000_заявлений'!B461, ".", ","))</f>
        <v>0.589512893879794</v>
      </c>
      <c r="C467" s="4">
        <f>VALUE(SUBSTITUTE('1000_заявлений'!C461, ".", ","))</f>
        <v>0.32585075014911902</v>
      </c>
      <c r="D467" s="4">
        <f>VALUE(SUBSTITUTE('1000_заявлений'!D461, ".", ","))</f>
        <v>0.34090643999999998</v>
      </c>
      <c r="E467" s="4">
        <f>VALUE(SUBSTITUTE('1000_заявлений'!E461, ".", ","))</f>
        <v>0.62444836000000004</v>
      </c>
      <c r="F467" s="5">
        <f>VALUE(SUBSTITUTE('1000_заявлений'!F461, ".", ","))</f>
        <v>-2697</v>
      </c>
      <c r="G467" s="5">
        <f>VALUE(SUBSTITUTE('1000_заявлений'!G461, ".", ","))</f>
        <v>-14651</v>
      </c>
      <c r="H467" s="5">
        <f>VALUE(SUBSTITUTE('1000_заявлений'!H461, ".", ","))</f>
        <v>-466</v>
      </c>
      <c r="I467" s="4">
        <f>VALUE(SUBSTITUTE('1000_заявлений'!I461, ".", ","))</f>
        <v>0.23288</v>
      </c>
      <c r="J467" s="4">
        <f>VALUE(SUBSTITUTE('1000_заявлений'!J461, ".", ","))</f>
        <v>3.1678965401418</v>
      </c>
      <c r="K467" s="5">
        <f>VALUE(SUBSTITUTE('1000_заявлений'!K461, ".", ","))</f>
        <v>-2873</v>
      </c>
      <c r="L467" s="6">
        <f>VALUE(SUBSTITUTE('1000_заявлений'!L461, ".", ","))</f>
        <v>26199</v>
      </c>
      <c r="M467" s="2" t="str">
        <f>IF(Данные[[#This Row],[proba]]&gt;$C$6, "отказ", "одобрение")</f>
        <v>отказ</v>
      </c>
      <c r="N467" s="7">
        <f>IF(Данные[[#This Row],[proba]]&lt;$D$2,$C$2,IF(Данные[[#This Row],[proba]]&lt;$D$3,$C$3,IF(Данные[[#This Row],[proba]]&gt;$C$6,0,$C$4)))</f>
        <v>0</v>
      </c>
      <c r="O467" s="2">
        <f>IF(Данные[[#This Row],[weighted_ext_score]]&gt;$O$1,MIN(Данные[[#This Row],[Базовая сумма]]*$O$2,$C$2),IF(Данные[[#This Row],[weighted_ext_score]]&lt;$O$3,Данные[[#This Row],[Базовая сумма]]*$O$4,N467))</f>
        <v>0</v>
      </c>
      <c r="P4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7" s="2">
        <f>ABS(Данные[[#This Row],[days_birth]])/365.2425</f>
        <v>40.113075559388626</v>
      </c>
      <c r="S4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7" s="2">
        <f>IF(Данные[[#This Row],[ interest_rate]]&gt;$T$1,Данные[[#This Row],[days_birth4]]*$T$2,Данные[[#This Row],[days_birth4]])</f>
        <v>0</v>
      </c>
      <c r="U467" s="2">
        <f>IF(Данные[[#This Row],[Проверка отказа]]="отказ",0,MAX(Данные[[#This Row],[interest_rate]],$C$1))</f>
        <v>0</v>
      </c>
      <c r="V467" s="2">
        <f>MROUND(Данные[[#This Row],[Минимум 20000]], 100)</f>
        <v>0</v>
      </c>
    </row>
    <row r="468" spans="1:22" x14ac:dyDescent="0.25">
      <c r="A468" s="2">
        <f>'1000_заявлений'!A462</f>
        <v>460</v>
      </c>
      <c r="B468" s="4">
        <f>VALUE(SUBSTITUTE('1000_заявлений'!B462, ".", ","))</f>
        <v>0.27181776974097599</v>
      </c>
      <c r="C468" s="4">
        <f>VALUE(SUBSTITUTE('1000_заявлений'!C462, ".", ","))</f>
        <v>0.59667693389520204</v>
      </c>
      <c r="D468" s="4">
        <f>VALUE(SUBSTITUTE('1000_заявлений'!D462, ".", ","))</f>
        <v>0.65778380000000003</v>
      </c>
      <c r="E468" s="4">
        <f>VALUE(SUBSTITUTE('1000_заявлений'!E462, ".", ","))</f>
        <v>0.44836589999999998</v>
      </c>
      <c r="F468" s="5">
        <f>VALUE(SUBSTITUTE('1000_заявлений'!F462, ".", ","))</f>
        <v>-8193</v>
      </c>
      <c r="G468" s="5">
        <f>VALUE(SUBSTITUTE('1000_заявлений'!G462, ".", ","))</f>
        <v>-14038</v>
      </c>
      <c r="H468" s="5">
        <f>VALUE(SUBSTITUTE('1000_заявлений'!H462, ".", ","))</f>
        <v>-4810</v>
      </c>
      <c r="I468" s="4">
        <f>VALUE(SUBSTITUTE('1000_заявлений'!I462, ".", ","))</f>
        <v>8.3864864864864802E-2</v>
      </c>
      <c r="J468" s="4">
        <f>VALUE(SUBSTITUTE('1000_заявлений'!J462, ".", ","))</f>
        <v>6.7938664154193198</v>
      </c>
      <c r="K468" s="5">
        <f>VALUE(SUBSTITUTE('1000_заявлений'!K462, ".", ","))</f>
        <v>-1731</v>
      </c>
      <c r="L468" s="6">
        <f>VALUE(SUBSTITUTE('1000_заявлений'!L462, ".", ","))</f>
        <v>13963.5</v>
      </c>
      <c r="M468" s="2" t="str">
        <f>IF(Данные[[#This Row],[proba]]&gt;$C$6, "отказ", "одобрение")</f>
        <v>одобрение</v>
      </c>
      <c r="N468" s="7">
        <f>IF(Данные[[#This Row],[proba]]&lt;$D$2,$C$2,IF(Данные[[#This Row],[proba]]&lt;$D$3,$C$3,IF(Данные[[#This Row],[proba]]&gt;$C$6,0,$C$4)))</f>
        <v>100000</v>
      </c>
      <c r="O468" s="2">
        <f>IF(Данные[[#This Row],[weighted_ext_score]]&gt;$O$1,MIN(Данные[[#This Row],[Базовая сумма]]*$O$2,$C$2),IF(Данные[[#This Row],[weighted_ext_score]]&lt;$O$3,Данные[[#This Row],[Базовая сумма]]*$O$4,N468))</f>
        <v>100000</v>
      </c>
      <c r="P4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468" s="2">
        <f>ABS(Данные[[#This Row],[days_birth]])/365.2425</f>
        <v>38.43473856410467</v>
      </c>
      <c r="S4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468" s="2">
        <f>IF(Данные[[#This Row],[ interest_rate]]&gt;$T$1,Данные[[#This Row],[days_birth4]]*$T$2,Данные[[#This Row],[days_birth4]])</f>
        <v>84000</v>
      </c>
      <c r="U468" s="2">
        <f>IF(Данные[[#This Row],[Проверка отказа]]="отказ",0,MAX(Данные[[#This Row],[interest_rate]],$C$1))</f>
        <v>84000</v>
      </c>
      <c r="V468" s="2">
        <f>MROUND(Данные[[#This Row],[Минимум 20000]], 100)</f>
        <v>84000</v>
      </c>
    </row>
    <row r="469" spans="1:22" x14ac:dyDescent="0.25">
      <c r="A469" s="2">
        <f>'1000_заявлений'!A463</f>
        <v>461</v>
      </c>
      <c r="B469" s="4">
        <f>VALUE(SUBSTITUTE('1000_заявлений'!B463, ".", ","))</f>
        <v>0.39150184053752202</v>
      </c>
      <c r="C469" s="4">
        <f>VALUE(SUBSTITUTE('1000_заявлений'!C463, ".", ","))</f>
        <v>0.52715018549780102</v>
      </c>
      <c r="D469" s="4">
        <f>VALUE(SUBSTITUTE('1000_заявлений'!D463, ".", ","))</f>
        <v>0.48485148</v>
      </c>
      <c r="E469" s="4">
        <f>VALUE(SUBSTITUTE('1000_заявлений'!E463, ".", ","))</f>
        <v>0.54392963999999999</v>
      </c>
      <c r="F469" s="5">
        <f>VALUE(SUBSTITUTE('1000_заявлений'!F463, ".", ","))</f>
        <v>-6003</v>
      </c>
      <c r="G469" s="5">
        <f>VALUE(SUBSTITUTE('1000_заявлений'!G463, ".", ","))</f>
        <v>-15406</v>
      </c>
      <c r="H469" s="5">
        <f>VALUE(SUBSTITUTE('1000_заявлений'!H463, ".", ","))</f>
        <v>-3991</v>
      </c>
      <c r="I469" s="4">
        <f>VALUE(SUBSTITUTE('1000_заявлений'!I463, ".", ","))</f>
        <v>0.136038461538461</v>
      </c>
      <c r="J469" s="4">
        <f>VALUE(SUBSTITUTE('1000_заявлений'!J463, ".", ","))</f>
        <v>1.54080030860774</v>
      </c>
      <c r="K469" s="5">
        <f>VALUE(SUBSTITUTE('1000_заявлений'!K463, ".", ","))</f>
        <v>-584</v>
      </c>
      <c r="L469" s="6">
        <f>VALUE(SUBSTITUTE('1000_заявлений'!L463, ".", ","))</f>
        <v>15916.5</v>
      </c>
      <c r="M469" s="2" t="str">
        <f>IF(Данные[[#This Row],[proba]]&gt;$C$6, "отказ", "одобрение")</f>
        <v>отказ</v>
      </c>
      <c r="N469" s="7">
        <f>IF(Данные[[#This Row],[proba]]&lt;$D$2,$C$2,IF(Данные[[#This Row],[proba]]&lt;$D$3,$C$3,IF(Данные[[#This Row],[proba]]&gt;$C$6,0,$C$4)))</f>
        <v>0</v>
      </c>
      <c r="O469" s="2">
        <f>IF(Данные[[#This Row],[weighted_ext_score]]&gt;$O$1,MIN(Данные[[#This Row],[Базовая сумма]]*$O$2,$C$2),IF(Данные[[#This Row],[weighted_ext_score]]&lt;$O$3,Данные[[#This Row],[Базовая сумма]]*$O$4,N469))</f>
        <v>0</v>
      </c>
      <c r="P4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69" s="2">
        <f>ABS(Данные[[#This Row],[days_birth]])/365.2425</f>
        <v>42.180195349664949</v>
      </c>
      <c r="S4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69" s="2">
        <f>IF(Данные[[#This Row],[ interest_rate]]&gt;$T$1,Данные[[#This Row],[days_birth4]]*$T$2,Данные[[#This Row],[days_birth4]])</f>
        <v>0</v>
      </c>
      <c r="U469" s="2">
        <f>IF(Данные[[#This Row],[Проверка отказа]]="отказ",0,MAX(Данные[[#This Row],[interest_rate]],$C$1))</f>
        <v>0</v>
      </c>
      <c r="V469" s="2">
        <f>MROUND(Данные[[#This Row],[Минимум 20000]], 100)</f>
        <v>0</v>
      </c>
    </row>
    <row r="470" spans="1:22" x14ac:dyDescent="0.25">
      <c r="A470" s="2">
        <f>'1000_заявлений'!A464</f>
        <v>462</v>
      </c>
      <c r="B470" s="4">
        <f>VALUE(SUBSTITUTE('1000_заявлений'!B464, ".", ","))</f>
        <v>0.488001944658779</v>
      </c>
      <c r="C470" s="4">
        <f>VALUE(SUBSTITUTE('1000_заявлений'!C464, ".", ","))</f>
        <v>0.41692878013297602</v>
      </c>
      <c r="D470" s="4">
        <f>VALUE(SUBSTITUTE('1000_заявлений'!D464, ".", ","))</f>
        <v>0.45074727999999997</v>
      </c>
      <c r="E470" s="4">
        <f>VALUE(SUBSTITUTE('1000_заявлений'!E464, ".", ","))</f>
        <v>0.51714479999999996</v>
      </c>
      <c r="F470" s="5">
        <f>VALUE(SUBSTITUTE('1000_заявлений'!F464, ".", ","))</f>
        <v>-4519</v>
      </c>
      <c r="G470" s="5">
        <f>VALUE(SUBSTITUTE('1000_заявлений'!G464, ".", ","))</f>
        <v>-10011</v>
      </c>
      <c r="H470" s="5">
        <f>VALUE(SUBSTITUTE('1000_заявлений'!H464, ".", ","))</f>
        <v>-2671</v>
      </c>
      <c r="I470" s="4">
        <f>VALUE(SUBSTITUTE('1000_заявлений'!I464, ".", ","))</f>
        <v>0.154148936170212</v>
      </c>
      <c r="J470" s="4">
        <f>VALUE(SUBSTITUTE('1000_заявлений'!J464, ".", ","))</f>
        <v>6.6044539963728299</v>
      </c>
      <c r="K470" s="5">
        <f>VALUE(SUBSTITUTE('1000_заявлений'!K464, ".", ","))</f>
        <v>-2599</v>
      </c>
      <c r="L470" s="6">
        <f>VALUE(SUBSTITUTE('1000_заявлений'!L464, ".", ","))</f>
        <v>32602.5</v>
      </c>
      <c r="M470" s="2" t="str">
        <f>IF(Данные[[#This Row],[proba]]&gt;$C$6, "отказ", "одобрение")</f>
        <v>отказ</v>
      </c>
      <c r="N470" s="7">
        <f>IF(Данные[[#This Row],[proba]]&lt;$D$2,$C$2,IF(Данные[[#This Row],[proba]]&lt;$D$3,$C$3,IF(Данные[[#This Row],[proba]]&gt;$C$6,0,$C$4)))</f>
        <v>0</v>
      </c>
      <c r="O470" s="2">
        <f>IF(Данные[[#This Row],[weighted_ext_score]]&gt;$O$1,MIN(Данные[[#This Row],[Базовая сумма]]*$O$2,$C$2),IF(Данные[[#This Row],[weighted_ext_score]]&lt;$O$3,Данные[[#This Row],[Базовая сумма]]*$O$4,N470))</f>
        <v>0</v>
      </c>
      <c r="P4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0" s="2">
        <f>ABS(Данные[[#This Row],[days_birth]])/365.2425</f>
        <v>27.40918704696195</v>
      </c>
      <c r="S4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0" s="2">
        <f>IF(Данные[[#This Row],[ interest_rate]]&gt;$T$1,Данные[[#This Row],[days_birth4]]*$T$2,Данные[[#This Row],[days_birth4]])</f>
        <v>0</v>
      </c>
      <c r="U470" s="2">
        <f>IF(Данные[[#This Row],[Проверка отказа]]="отказ",0,MAX(Данные[[#This Row],[interest_rate]],$C$1))</f>
        <v>0</v>
      </c>
      <c r="V470" s="2">
        <f>MROUND(Данные[[#This Row],[Минимум 20000]], 100)</f>
        <v>0</v>
      </c>
    </row>
    <row r="471" spans="1:22" x14ac:dyDescent="0.25">
      <c r="A471" s="2">
        <f>'1000_заявлений'!A465</f>
        <v>463</v>
      </c>
      <c r="B471" s="4">
        <f>VALUE(SUBSTITUTE('1000_заявлений'!B465, ".", ","))</f>
        <v>0.439808878622307</v>
      </c>
      <c r="C471" s="4">
        <f>VALUE(SUBSTITUTE('1000_заявлений'!C465, ".", ","))</f>
        <v>0.36258598380482698</v>
      </c>
      <c r="D471" s="4">
        <f>VALUE(SUBSTITUTE('1000_заявлений'!D465, ".", ","))</f>
        <v>0.51369374999999995</v>
      </c>
      <c r="E471" s="4">
        <f>VALUE(SUBSTITUTE('1000_заявлений'!E465, ".", ","))</f>
        <v>0.5450469</v>
      </c>
      <c r="F471" s="5">
        <f>VALUE(SUBSTITUTE('1000_заявлений'!F465, ".", ","))</f>
        <v>-5595</v>
      </c>
      <c r="G471" s="5">
        <f>VALUE(SUBSTITUTE('1000_заявлений'!G465, ".", ","))</f>
        <v>-16524</v>
      </c>
      <c r="H471" s="5">
        <f>VALUE(SUBSTITUTE('1000_заявлений'!H465, ".", ","))</f>
        <v>-61</v>
      </c>
      <c r="I471" s="4">
        <f>VALUE(SUBSTITUTE('1000_заявлений'!I465, ".", ","))</f>
        <v>9.06E-2</v>
      </c>
      <c r="J471" s="4">
        <f>VALUE(SUBSTITUTE('1000_заявлений'!J465, ".", ","))</f>
        <v>6.1509630438540901</v>
      </c>
      <c r="K471" s="5">
        <f>VALUE(SUBSTITUTE('1000_заявлений'!K465, ".", ","))</f>
        <v>-1662</v>
      </c>
      <c r="L471" s="6">
        <f>VALUE(SUBSTITUTE('1000_заявлений'!L465, ".", ","))</f>
        <v>24462</v>
      </c>
      <c r="M471" s="2" t="str">
        <f>IF(Данные[[#This Row],[proba]]&gt;$C$6, "отказ", "одобрение")</f>
        <v>отказ</v>
      </c>
      <c r="N471" s="7">
        <f>IF(Данные[[#This Row],[proba]]&lt;$D$2,$C$2,IF(Данные[[#This Row],[proba]]&lt;$D$3,$C$3,IF(Данные[[#This Row],[proba]]&gt;$C$6,0,$C$4)))</f>
        <v>0</v>
      </c>
      <c r="O471" s="2">
        <f>IF(Данные[[#This Row],[weighted_ext_score]]&gt;$O$1,MIN(Данные[[#This Row],[Базовая сумма]]*$O$2,$C$2),IF(Данные[[#This Row],[weighted_ext_score]]&lt;$O$3,Данные[[#This Row],[Базовая сумма]]*$O$4,N471))</f>
        <v>0</v>
      </c>
      <c r="P4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1" s="2">
        <f>ABS(Данные[[#This Row],[days_birth]])/365.2425</f>
        <v>45.241175383478101</v>
      </c>
      <c r="S4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1" s="2">
        <f>IF(Данные[[#This Row],[ interest_rate]]&gt;$T$1,Данные[[#This Row],[days_birth4]]*$T$2,Данные[[#This Row],[days_birth4]])</f>
        <v>0</v>
      </c>
      <c r="U471" s="2">
        <f>IF(Данные[[#This Row],[Проверка отказа]]="отказ",0,MAX(Данные[[#This Row],[interest_rate]],$C$1))</f>
        <v>0</v>
      </c>
      <c r="V471" s="2">
        <f>MROUND(Данные[[#This Row],[Минимум 20000]], 100)</f>
        <v>0</v>
      </c>
    </row>
    <row r="472" spans="1:22" x14ac:dyDescent="0.25">
      <c r="A472" s="2">
        <f>'1000_заявлений'!A466</f>
        <v>464</v>
      </c>
      <c r="B472" s="4">
        <f>VALUE(SUBSTITUTE('1000_заявлений'!B466, ".", ","))</f>
        <v>0.29969925085624199</v>
      </c>
      <c r="C472" s="4">
        <f>VALUE(SUBSTITUTE('1000_заявлений'!C466, ".", ","))</f>
        <v>0.45020366320234101</v>
      </c>
      <c r="D472" s="4">
        <f>VALUE(SUBSTITUTE('1000_заявлений'!D466, ".", ","))</f>
        <v>0.72814129999999999</v>
      </c>
      <c r="E472" s="4">
        <f>VALUE(SUBSTITUTE('1000_заявлений'!E466, ".", ","))</f>
        <v>0.57605826999999998</v>
      </c>
      <c r="F472" s="5">
        <f>VALUE(SUBSTITUTE('1000_заявлений'!F466, ".", ","))</f>
        <v>-9249</v>
      </c>
      <c r="G472" s="5">
        <f>VALUE(SUBSTITUTE('1000_заявлений'!G466, ".", ","))</f>
        <v>-11285</v>
      </c>
      <c r="H472" s="5">
        <f>VALUE(SUBSTITUTE('1000_заявлений'!H466, ".", ","))</f>
        <v>-3432</v>
      </c>
      <c r="I472" s="4">
        <f>VALUE(SUBSTITUTE('1000_заявлений'!I466, ".", ","))</f>
        <v>0.10069565217391301</v>
      </c>
      <c r="J472" s="4">
        <f>VALUE(SUBSTITUTE('1000_заявлений'!J466, ".", ","))</f>
        <v>3.6340309070460801</v>
      </c>
      <c r="K472" s="5">
        <f>VALUE(SUBSTITUTE('1000_заявлений'!K466, ".", ","))</f>
        <v>-2947</v>
      </c>
      <c r="L472" s="6">
        <f>VALUE(SUBSTITUTE('1000_заявлений'!L466, ".", ","))</f>
        <v>10422</v>
      </c>
      <c r="M472" s="2" t="str">
        <f>IF(Данные[[#This Row],[proba]]&gt;$C$6, "отказ", "одобрение")</f>
        <v>одобрение</v>
      </c>
      <c r="N472" s="7">
        <f>IF(Данные[[#This Row],[proba]]&lt;$D$2,$C$2,IF(Данные[[#This Row],[proba]]&lt;$D$3,$C$3,IF(Данные[[#This Row],[proba]]&gt;$C$6,0,$C$4)))</f>
        <v>100000</v>
      </c>
      <c r="O472" s="2">
        <f>IF(Данные[[#This Row],[weighted_ext_score]]&gt;$O$1,MIN(Данные[[#This Row],[Базовая сумма]]*$O$2,$C$2),IF(Данные[[#This Row],[weighted_ext_score]]&lt;$O$3,Данные[[#This Row],[Базовая сумма]]*$O$4,N472))</f>
        <v>100000</v>
      </c>
      <c r="P4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72" s="2">
        <f>ABS(Данные[[#This Row],[days_birth]])/365.2425</f>
        <v>30.897280573865309</v>
      </c>
      <c r="S4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72" s="2">
        <f>IF(Данные[[#This Row],[ interest_rate]]&gt;$T$1,Данные[[#This Row],[days_birth4]]*$T$2,Данные[[#This Row],[days_birth4]])</f>
        <v>144000</v>
      </c>
      <c r="U472" s="2">
        <f>IF(Данные[[#This Row],[Проверка отказа]]="отказ",0,MAX(Данные[[#This Row],[interest_rate]],$C$1))</f>
        <v>144000</v>
      </c>
      <c r="V472" s="2">
        <f>MROUND(Данные[[#This Row],[Минимум 20000]], 100)</f>
        <v>144000</v>
      </c>
    </row>
    <row r="473" spans="1:22" x14ac:dyDescent="0.25">
      <c r="A473" s="2">
        <f>'1000_заявлений'!A467</f>
        <v>465</v>
      </c>
      <c r="B473" s="4">
        <f>VALUE(SUBSTITUTE('1000_заявлений'!B467, ".", ","))</f>
        <v>0.69054324668578804</v>
      </c>
      <c r="C473" s="4">
        <f>VALUE(SUBSTITUTE('1000_заявлений'!C467, ".", ","))</f>
        <v>8.6043026072538706E-2</v>
      </c>
      <c r="D473" s="4">
        <f>VALUE(SUBSTITUTE('1000_заявлений'!D467, ".", ","))</f>
        <v>0.53527623000000002</v>
      </c>
      <c r="E473" s="4">
        <f>VALUE(SUBSTITUTE('1000_заявлений'!E467, ".", ","))</f>
        <v>0.26525634999999997</v>
      </c>
      <c r="F473" s="5">
        <f>VALUE(SUBSTITUTE('1000_заявлений'!F467, ".", ","))</f>
        <v>-3086</v>
      </c>
      <c r="G473" s="5">
        <f>VALUE(SUBSTITUTE('1000_заявлений'!G467, ".", ","))</f>
        <v>-19919</v>
      </c>
      <c r="H473" s="5">
        <f>VALUE(SUBSTITUTE('1000_заявлений'!H467, ".", ","))</f>
        <v>-3121</v>
      </c>
      <c r="I473" s="4">
        <f>VALUE(SUBSTITUTE('1000_заявлений'!I467, ".", ","))</f>
        <v>0.161</v>
      </c>
      <c r="J473" s="4">
        <f>VALUE(SUBSTITUTE('1000_заявлений'!J467, ".", ","))</f>
        <v>1.50846412750798</v>
      </c>
      <c r="K473" s="5">
        <f>VALUE(SUBSTITUTE('1000_заявлений'!K467, ".", ","))</f>
        <v>-3622</v>
      </c>
      <c r="L473" s="6">
        <f>VALUE(SUBSTITUTE('1000_заявлений'!L467, ".", ","))</f>
        <v>7245</v>
      </c>
      <c r="M473" s="2" t="str">
        <f>IF(Данные[[#This Row],[proba]]&gt;$C$6, "отказ", "одобрение")</f>
        <v>отказ</v>
      </c>
      <c r="N473" s="7">
        <f>IF(Данные[[#This Row],[proba]]&lt;$D$2,$C$2,IF(Данные[[#This Row],[proba]]&lt;$D$3,$C$3,IF(Данные[[#This Row],[proba]]&gt;$C$6,0,$C$4)))</f>
        <v>0</v>
      </c>
      <c r="O473" s="2">
        <f>IF(Данные[[#This Row],[weighted_ext_score]]&gt;$O$1,MIN(Данные[[#This Row],[Базовая сумма]]*$O$2,$C$2),IF(Данные[[#This Row],[weighted_ext_score]]&lt;$O$3,Данные[[#This Row],[Базовая сумма]]*$O$4,N473))</f>
        <v>0</v>
      </c>
      <c r="P4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3" s="2">
        <f>ABS(Данные[[#This Row],[days_birth]])/365.2425</f>
        <v>54.536369672204081</v>
      </c>
      <c r="S4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3" s="2">
        <f>IF(Данные[[#This Row],[ interest_rate]]&gt;$T$1,Данные[[#This Row],[days_birth4]]*$T$2,Данные[[#This Row],[days_birth4]])</f>
        <v>0</v>
      </c>
      <c r="U473" s="2">
        <f>IF(Данные[[#This Row],[Проверка отказа]]="отказ",0,MAX(Данные[[#This Row],[interest_rate]],$C$1))</f>
        <v>0</v>
      </c>
      <c r="V473" s="2">
        <f>MROUND(Данные[[#This Row],[Минимум 20000]], 100)</f>
        <v>0</v>
      </c>
    </row>
    <row r="474" spans="1:22" x14ac:dyDescent="0.25">
      <c r="A474" s="2">
        <f>'1000_заявлений'!A468</f>
        <v>466</v>
      </c>
      <c r="B474" s="4">
        <f>VALUE(SUBSTITUTE('1000_заявлений'!B468, ".", ","))</f>
        <v>0.70251562542527901</v>
      </c>
      <c r="C474" s="4">
        <f>VALUE(SUBSTITUTE('1000_заявлений'!C468, ".", ","))</f>
        <v>0.25087525922168002</v>
      </c>
      <c r="D474" s="4">
        <f>VALUE(SUBSTITUTE('1000_заявлений'!D468, ".", ","))</f>
        <v>0.29408309999999999</v>
      </c>
      <c r="E474" s="4">
        <f>VALUE(SUBSTITUTE('1000_заявлений'!E468, ".", ","))</f>
        <v>0.4455173</v>
      </c>
      <c r="F474" s="5">
        <f>VALUE(SUBSTITUTE('1000_заявлений'!F468, ".", ","))</f>
        <v>-9142</v>
      </c>
      <c r="G474" s="5">
        <f>VALUE(SUBSTITUTE('1000_заявлений'!G468, ".", ","))</f>
        <v>-9142</v>
      </c>
      <c r="H474" s="5">
        <f>VALUE(SUBSTITUTE('1000_заявлений'!H468, ".", ","))</f>
        <v>-1762</v>
      </c>
      <c r="I474" s="4">
        <f>VALUE(SUBSTITUTE('1000_заявлений'!I468, ".", ","))</f>
        <v>0.11817777777777699</v>
      </c>
      <c r="J474" s="4">
        <f>VALUE(SUBSTITUTE('1000_заявлений'!J468, ".", ","))</f>
        <v>1.9277550027685999</v>
      </c>
      <c r="K474" s="5">
        <f>VALUE(SUBSTITUTE('1000_заявлений'!K468, ".", ","))</f>
        <v>-313</v>
      </c>
      <c r="L474" s="6">
        <f>VALUE(SUBSTITUTE('1000_заявлений'!L468, ".", ","))</f>
        <v>23931</v>
      </c>
      <c r="M474" s="2" t="str">
        <f>IF(Данные[[#This Row],[proba]]&gt;$C$6, "отказ", "одобрение")</f>
        <v>отказ</v>
      </c>
      <c r="N474" s="7">
        <f>IF(Данные[[#This Row],[proba]]&lt;$D$2,$C$2,IF(Данные[[#This Row],[proba]]&lt;$D$3,$C$3,IF(Данные[[#This Row],[proba]]&gt;$C$6,0,$C$4)))</f>
        <v>0</v>
      </c>
      <c r="O474" s="2">
        <f>IF(Данные[[#This Row],[weighted_ext_score]]&gt;$O$1,MIN(Данные[[#This Row],[Базовая сумма]]*$O$2,$C$2),IF(Данные[[#This Row],[weighted_ext_score]]&lt;$O$3,Данные[[#This Row],[Базовая сумма]]*$O$4,N474))</f>
        <v>0</v>
      </c>
      <c r="P4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4" s="2">
        <f>ABS(Данные[[#This Row],[days_birth]])/365.2425</f>
        <v>25.029945857888936</v>
      </c>
      <c r="S4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4" s="2">
        <f>IF(Данные[[#This Row],[ interest_rate]]&gt;$T$1,Данные[[#This Row],[days_birth4]]*$T$2,Данные[[#This Row],[days_birth4]])</f>
        <v>0</v>
      </c>
      <c r="U474" s="2">
        <f>IF(Данные[[#This Row],[Проверка отказа]]="отказ",0,MAX(Данные[[#This Row],[interest_rate]],$C$1))</f>
        <v>0</v>
      </c>
      <c r="V474" s="2">
        <f>MROUND(Данные[[#This Row],[Минимум 20000]], 100)</f>
        <v>0</v>
      </c>
    </row>
    <row r="475" spans="1:22" x14ac:dyDescent="0.25">
      <c r="A475" s="2">
        <f>'1000_заявлений'!A469</f>
        <v>467</v>
      </c>
      <c r="B475" s="4">
        <f>VALUE(SUBSTITUTE('1000_заявлений'!B469, ".", ","))</f>
        <v>0.56618069654518499</v>
      </c>
      <c r="C475" s="4">
        <f>VALUE(SUBSTITUTE('1000_заявлений'!C469, ".", ","))</f>
        <v>0.29718904413448299</v>
      </c>
      <c r="D475" s="4">
        <f>VALUE(SUBSTITUTE('1000_заявлений'!D469, ".", ","))</f>
        <v>0.42413032000000001</v>
      </c>
      <c r="E475" s="4">
        <f>VALUE(SUBSTITUTE('1000_заявлений'!E469, ".", ","))</f>
        <v>0.44329819999999998</v>
      </c>
      <c r="F475" s="5">
        <f>VALUE(SUBSTITUTE('1000_заявлений'!F469, ".", ","))</f>
        <v>-5200</v>
      </c>
      <c r="G475" s="5">
        <f>VALUE(SUBSTITUTE('1000_заявлений'!G469, ".", ","))</f>
        <v>-16339</v>
      </c>
      <c r="H475" s="5">
        <f>VALUE(SUBSTITUTE('1000_заявлений'!H469, ".", ","))</f>
        <v>-4562</v>
      </c>
      <c r="I475" s="4">
        <f>VALUE(SUBSTITUTE('1000_заявлений'!I469, ".", ","))</f>
        <v>0.153435897435897</v>
      </c>
      <c r="J475" s="4">
        <f>VALUE(SUBSTITUTE('1000_заявлений'!J469, ".", ","))</f>
        <v>1.8916518509237401</v>
      </c>
      <c r="K475" s="5">
        <f>VALUE(SUBSTITUTE('1000_заявлений'!K469, ".", ","))</f>
        <v>-4129</v>
      </c>
      <c r="L475" s="6">
        <f>VALUE(SUBSTITUTE('1000_заявлений'!L469, ".", ","))</f>
        <v>26928</v>
      </c>
      <c r="M475" s="2" t="str">
        <f>IF(Данные[[#This Row],[proba]]&gt;$C$6, "отказ", "одобрение")</f>
        <v>отказ</v>
      </c>
      <c r="N475" s="7">
        <f>IF(Данные[[#This Row],[proba]]&lt;$D$2,$C$2,IF(Данные[[#This Row],[proba]]&lt;$D$3,$C$3,IF(Данные[[#This Row],[proba]]&gt;$C$6,0,$C$4)))</f>
        <v>0</v>
      </c>
      <c r="O475" s="2">
        <f>IF(Данные[[#This Row],[weighted_ext_score]]&gt;$O$1,MIN(Данные[[#This Row],[Базовая сумма]]*$O$2,$C$2),IF(Данные[[#This Row],[weighted_ext_score]]&lt;$O$3,Данные[[#This Row],[Базовая сумма]]*$O$4,N475))</f>
        <v>0</v>
      </c>
      <c r="P4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5" s="2">
        <f>ABS(Данные[[#This Row],[days_birth]])/365.2425</f>
        <v>44.734662587185227</v>
      </c>
      <c r="S4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5" s="2">
        <f>IF(Данные[[#This Row],[ interest_rate]]&gt;$T$1,Данные[[#This Row],[days_birth4]]*$T$2,Данные[[#This Row],[days_birth4]])</f>
        <v>0</v>
      </c>
      <c r="U475" s="2">
        <f>IF(Данные[[#This Row],[Проверка отказа]]="отказ",0,MAX(Данные[[#This Row],[interest_rate]],$C$1))</f>
        <v>0</v>
      </c>
      <c r="V475" s="2">
        <f>MROUND(Данные[[#This Row],[Минимум 20000]], 100)</f>
        <v>0</v>
      </c>
    </row>
    <row r="476" spans="1:22" x14ac:dyDescent="0.25">
      <c r="A476" s="2">
        <f>'1000_заявлений'!A470</f>
        <v>468</v>
      </c>
      <c r="B476" s="4">
        <f>VALUE(SUBSTITUTE('1000_заявлений'!B470, ".", ","))</f>
        <v>0.71466199761448901</v>
      </c>
      <c r="C476" s="4">
        <f>VALUE(SUBSTITUTE('1000_заявлений'!C470, ".", ","))</f>
        <v>0.25130408398781201</v>
      </c>
      <c r="D476" s="4">
        <f>VALUE(SUBSTITUTE('1000_заявлений'!D470, ".", ","))</f>
        <v>0.45074727999999997</v>
      </c>
      <c r="E476" s="4">
        <f>VALUE(SUBSTITUTE('1000_заявлений'!E470, ".", ","))</f>
        <v>0.27216578000000002</v>
      </c>
      <c r="F476" s="5">
        <f>VALUE(SUBSTITUTE('1000_заявлений'!F470, ".", ","))</f>
        <v>-503</v>
      </c>
      <c r="G476" s="5">
        <f>VALUE(SUBSTITUTE('1000_заявлений'!G470, ".", ","))</f>
        <v>-17284</v>
      </c>
      <c r="H476" s="5">
        <f>VALUE(SUBSTITUTE('1000_заявлений'!H470, ".", ","))</f>
        <v>-496</v>
      </c>
      <c r="I476" s="4">
        <f>VALUE(SUBSTITUTE('1000_заявлений'!I470, ".", ","))</f>
        <v>0.336076923076923</v>
      </c>
      <c r="J476" s="4">
        <f>VALUE(SUBSTITUTE('1000_заявлений'!J470, ".", ","))</f>
        <v>4.6012822456166003</v>
      </c>
      <c r="K476" s="5">
        <f>VALUE(SUBSTITUTE('1000_заявлений'!K470, ".", ","))</f>
        <v>-449</v>
      </c>
      <c r="L476" s="6">
        <f>VALUE(SUBSTITUTE('1000_заявлений'!L470, ".", ","))</f>
        <v>19660.5</v>
      </c>
      <c r="M476" s="2" t="str">
        <f>IF(Данные[[#This Row],[proba]]&gt;$C$6, "отказ", "одобрение")</f>
        <v>отказ</v>
      </c>
      <c r="N476" s="7">
        <f>IF(Данные[[#This Row],[proba]]&lt;$D$2,$C$2,IF(Данные[[#This Row],[proba]]&lt;$D$3,$C$3,IF(Данные[[#This Row],[proba]]&gt;$C$6,0,$C$4)))</f>
        <v>0</v>
      </c>
      <c r="O476" s="2">
        <f>IF(Данные[[#This Row],[weighted_ext_score]]&gt;$O$1,MIN(Данные[[#This Row],[Базовая сумма]]*$O$2,$C$2),IF(Данные[[#This Row],[weighted_ext_score]]&lt;$O$3,Данные[[#This Row],[Базовая сумма]]*$O$4,N476))</f>
        <v>0</v>
      </c>
      <c r="P4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6" s="2">
        <f>ABS(Данные[[#This Row],[days_birth]])/365.2425</f>
        <v>47.321984708789365</v>
      </c>
      <c r="S4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6" s="2">
        <f>IF(Данные[[#This Row],[ interest_rate]]&gt;$T$1,Данные[[#This Row],[days_birth4]]*$T$2,Данные[[#This Row],[days_birth4]])</f>
        <v>0</v>
      </c>
      <c r="U476" s="2">
        <f>IF(Данные[[#This Row],[Проверка отказа]]="отказ",0,MAX(Данные[[#This Row],[interest_rate]],$C$1))</f>
        <v>0</v>
      </c>
      <c r="V476" s="2">
        <f>MROUND(Данные[[#This Row],[Минимум 20000]], 100)</f>
        <v>0</v>
      </c>
    </row>
    <row r="477" spans="1:22" x14ac:dyDescent="0.25">
      <c r="A477" s="2">
        <f>'1000_заявлений'!A471</f>
        <v>469</v>
      </c>
      <c r="B477" s="4">
        <f>VALUE(SUBSTITUTE('1000_заявлений'!B471, ".", ","))</f>
        <v>0.65560530647030302</v>
      </c>
      <c r="C477" s="4">
        <f>VALUE(SUBSTITUTE('1000_заявлений'!C471, ".", ","))</f>
        <v>0.25244901805282099</v>
      </c>
      <c r="D477" s="4">
        <f>VALUE(SUBSTITUTE('1000_заявлений'!D471, ".", ","))</f>
        <v>0.25123944999999998</v>
      </c>
      <c r="E477" s="4">
        <f>VALUE(SUBSTITUTE('1000_заявлений'!E471, ".", ","))</f>
        <v>0.49813768000000003</v>
      </c>
      <c r="F477" s="5">
        <f>VALUE(SUBSTITUTE('1000_заявлений'!F471, ".", ","))</f>
        <v>-4938</v>
      </c>
      <c r="G477" s="5">
        <f>VALUE(SUBSTITUTE('1000_заявлений'!G471, ".", ","))</f>
        <v>-17387</v>
      </c>
      <c r="H477" s="5">
        <f>VALUE(SUBSTITUTE('1000_заявлений'!H471, ".", ","))</f>
        <v>-877</v>
      </c>
      <c r="I477" s="4">
        <f>VALUE(SUBSTITUTE('1000_заявлений'!I471, ".", ","))</f>
        <v>0.100365384615384</v>
      </c>
      <c r="J477" s="4">
        <f>VALUE(SUBSTITUTE('1000_заявлений'!J471, ".", ","))</f>
        <v>4.4698155808793896</v>
      </c>
      <c r="K477" s="5">
        <f>VALUE(SUBSTITUTE('1000_заявлений'!K471, ".", ","))</f>
        <v>-405</v>
      </c>
      <c r="L477" s="6">
        <f>VALUE(SUBSTITUTE('1000_заявлений'!L471, ".", ","))</f>
        <v>23485.5</v>
      </c>
      <c r="M477" s="2" t="str">
        <f>IF(Данные[[#This Row],[proba]]&gt;$C$6, "отказ", "одобрение")</f>
        <v>отказ</v>
      </c>
      <c r="N477" s="7">
        <f>IF(Данные[[#This Row],[proba]]&lt;$D$2,$C$2,IF(Данные[[#This Row],[proba]]&lt;$D$3,$C$3,IF(Данные[[#This Row],[proba]]&gt;$C$6,0,$C$4)))</f>
        <v>0</v>
      </c>
      <c r="O477" s="2">
        <f>IF(Данные[[#This Row],[weighted_ext_score]]&gt;$O$1,MIN(Данные[[#This Row],[Базовая сумма]]*$O$2,$C$2),IF(Данные[[#This Row],[weighted_ext_score]]&lt;$O$3,Данные[[#This Row],[Базовая сумма]]*$O$4,N477))</f>
        <v>0</v>
      </c>
      <c r="P4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7" s="2">
        <f>ABS(Данные[[#This Row],[days_birth]])/365.2425</f>
        <v>47.603989130509184</v>
      </c>
      <c r="S4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7" s="2">
        <f>IF(Данные[[#This Row],[ interest_rate]]&gt;$T$1,Данные[[#This Row],[days_birth4]]*$T$2,Данные[[#This Row],[days_birth4]])</f>
        <v>0</v>
      </c>
      <c r="U477" s="2">
        <f>IF(Данные[[#This Row],[Проверка отказа]]="отказ",0,MAX(Данные[[#This Row],[interest_rate]],$C$1))</f>
        <v>0</v>
      </c>
      <c r="V477" s="2">
        <f>MROUND(Данные[[#This Row],[Минимум 20000]], 100)</f>
        <v>0</v>
      </c>
    </row>
    <row r="478" spans="1:22" x14ac:dyDescent="0.25">
      <c r="A478" s="2">
        <f>'1000_заявлений'!A472</f>
        <v>470</v>
      </c>
      <c r="B478" s="4">
        <f>VALUE(SUBSTITUTE('1000_заявлений'!B472, ".", ","))</f>
        <v>0.30512215140889498</v>
      </c>
      <c r="C478" s="4">
        <f>VALUE(SUBSTITUTE('1000_заявлений'!C472, ".", ","))</f>
        <v>0.53625867690342399</v>
      </c>
      <c r="D478" s="4">
        <f>VALUE(SUBSTITUTE('1000_заявлений'!D472, ".", ","))</f>
        <v>0.63637613999999998</v>
      </c>
      <c r="E478" s="4">
        <f>VALUE(SUBSTITUTE('1000_заявлений'!E472, ".", ","))</f>
        <v>0.60474799999999995</v>
      </c>
      <c r="F478" s="5">
        <f>VALUE(SUBSTITUTE('1000_заявлений'!F472, ".", ","))</f>
        <v>-6911</v>
      </c>
      <c r="G478" s="5">
        <f>VALUE(SUBSTITUTE('1000_заявлений'!G472, ".", ","))</f>
        <v>-12783</v>
      </c>
      <c r="H478" s="5">
        <f>VALUE(SUBSTITUTE('1000_заявлений'!H472, ".", ","))</f>
        <v>-3159</v>
      </c>
      <c r="I478" s="4">
        <f>VALUE(SUBSTITUTE('1000_заявлений'!I472, ".", ","))</f>
        <v>0.19147500000000001</v>
      </c>
      <c r="J478" s="4">
        <f>VALUE(SUBSTITUTE('1000_заявлений'!J472, ".", ","))</f>
        <v>2.43432218179806</v>
      </c>
      <c r="K478" s="5">
        <f>VALUE(SUBSTITUTE('1000_заявлений'!K472, ".", ","))</f>
        <v>-96</v>
      </c>
      <c r="L478" s="6">
        <f>VALUE(SUBSTITUTE('1000_заявлений'!L472, ".", ","))</f>
        <v>34465.5</v>
      </c>
      <c r="M478" s="2" t="str">
        <f>IF(Данные[[#This Row],[proba]]&gt;$C$6, "отказ", "одобрение")</f>
        <v>отказ</v>
      </c>
      <c r="N478" s="7">
        <f>IF(Данные[[#This Row],[proba]]&lt;$D$2,$C$2,IF(Данные[[#This Row],[proba]]&lt;$D$3,$C$3,IF(Данные[[#This Row],[proba]]&gt;$C$6,0,$C$4)))</f>
        <v>0</v>
      </c>
      <c r="O478" s="2">
        <f>IF(Данные[[#This Row],[weighted_ext_score]]&gt;$O$1,MIN(Данные[[#This Row],[Базовая сумма]]*$O$2,$C$2),IF(Данные[[#This Row],[weighted_ext_score]]&lt;$O$3,Данные[[#This Row],[Базовая сумма]]*$O$4,N478))</f>
        <v>0</v>
      </c>
      <c r="P4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8" s="2">
        <f>ABS(Данные[[#This Row],[days_birth]])/365.2425</f>
        <v>34.998665270334094</v>
      </c>
      <c r="S4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8" s="2">
        <f>IF(Данные[[#This Row],[ interest_rate]]&gt;$T$1,Данные[[#This Row],[days_birth4]]*$T$2,Данные[[#This Row],[days_birth4]])</f>
        <v>0</v>
      </c>
      <c r="U478" s="2">
        <f>IF(Данные[[#This Row],[Проверка отказа]]="отказ",0,MAX(Данные[[#This Row],[interest_rate]],$C$1))</f>
        <v>0</v>
      </c>
      <c r="V478" s="2">
        <f>MROUND(Данные[[#This Row],[Минимум 20000]], 100)</f>
        <v>0</v>
      </c>
    </row>
    <row r="479" spans="1:22" x14ac:dyDescent="0.25">
      <c r="A479" s="2">
        <f>'1000_заявлений'!A473</f>
        <v>471</v>
      </c>
      <c r="B479" s="4">
        <f>VALUE(SUBSTITUTE('1000_заявлений'!B473, ".", ","))</f>
        <v>0.686903233435462</v>
      </c>
      <c r="C479" s="4">
        <f>VALUE(SUBSTITUTE('1000_заявлений'!C473, ".", ","))</f>
        <v>0.20789510194031899</v>
      </c>
      <c r="D479" s="4">
        <f>VALUE(SUBSTITUTE('1000_заявлений'!D473, ".", ","))</f>
        <v>0.47584989999999999</v>
      </c>
      <c r="E479" s="4">
        <f>VALUE(SUBSTITUTE('1000_заявлений'!E473, ".", ","))</f>
        <v>0.11035481</v>
      </c>
      <c r="F479" s="5">
        <f>VALUE(SUBSTITUTE('1000_заявлений'!F473, ".", ","))</f>
        <v>-2611</v>
      </c>
      <c r="G479" s="5">
        <f>VALUE(SUBSTITUTE('1000_заявлений'!G473, ".", ","))</f>
        <v>-20967</v>
      </c>
      <c r="H479" s="5">
        <f>VALUE(SUBSTITUTE('1000_заявлений'!H473, ".", ","))</f>
        <v>-4287</v>
      </c>
      <c r="I479" s="4">
        <f>VALUE(SUBSTITUTE('1000_заявлений'!I473, ".", ","))</f>
        <v>0.33600000000000002</v>
      </c>
      <c r="J479" s="4">
        <f>VALUE(SUBSTITUTE('1000_заявлений'!J473, ".", ","))</f>
        <v>1.7926354583625901</v>
      </c>
      <c r="K479" s="5">
        <f>VALUE(SUBSTITUTE('1000_заявлений'!K473, ".", ","))</f>
        <v>365243</v>
      </c>
      <c r="L479" s="6">
        <f>VALUE(SUBSTITUTE('1000_заявлений'!L473, ".", ","))</f>
        <v>37800</v>
      </c>
      <c r="M479" s="2" t="str">
        <f>IF(Данные[[#This Row],[proba]]&gt;$C$6, "отказ", "одобрение")</f>
        <v>отказ</v>
      </c>
      <c r="N479" s="7">
        <f>IF(Данные[[#This Row],[proba]]&lt;$D$2,$C$2,IF(Данные[[#This Row],[proba]]&lt;$D$3,$C$3,IF(Данные[[#This Row],[proba]]&gt;$C$6,0,$C$4)))</f>
        <v>0</v>
      </c>
      <c r="O479" s="2">
        <f>IF(Данные[[#This Row],[weighted_ext_score]]&gt;$O$1,MIN(Данные[[#This Row],[Базовая сумма]]*$O$2,$C$2),IF(Данные[[#This Row],[weighted_ext_score]]&lt;$O$3,Данные[[#This Row],[Базовая сумма]]*$O$4,N479))</f>
        <v>0</v>
      </c>
      <c r="P4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79" s="2">
        <f>ABS(Данные[[#This Row],[days_birth]])/365.2425</f>
        <v>57.405696215528039</v>
      </c>
      <c r="S4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79" s="2">
        <f>IF(Данные[[#This Row],[ interest_rate]]&gt;$T$1,Данные[[#This Row],[days_birth4]]*$T$2,Данные[[#This Row],[days_birth4]])</f>
        <v>0</v>
      </c>
      <c r="U479" s="2">
        <f>IF(Данные[[#This Row],[Проверка отказа]]="отказ",0,MAX(Данные[[#This Row],[interest_rate]],$C$1))</f>
        <v>0</v>
      </c>
      <c r="V479" s="2">
        <f>MROUND(Данные[[#This Row],[Минимум 20000]], 100)</f>
        <v>0</v>
      </c>
    </row>
    <row r="480" spans="1:22" x14ac:dyDescent="0.25">
      <c r="A480" s="2">
        <f>'1000_заявлений'!A474</f>
        <v>472</v>
      </c>
      <c r="B480" s="4">
        <f>VALUE(SUBSTITUTE('1000_заявлений'!B474, ".", ","))</f>
        <v>0.58402172350456905</v>
      </c>
      <c r="C480" s="4">
        <f>VALUE(SUBSTITUTE('1000_заявлений'!C474, ".", ","))</f>
        <v>7.1770300815921201E-2</v>
      </c>
      <c r="D480" s="4">
        <f>VALUE(SUBSTITUTE('1000_заявлений'!D474, ".", ","))</f>
        <v>0.53527623000000002</v>
      </c>
      <c r="E480" s="4">
        <f>VALUE(SUBSTITUTE('1000_заявлений'!E474, ".", ","))</f>
        <v>0.22125591</v>
      </c>
      <c r="F480" s="5">
        <f>VALUE(SUBSTITUTE('1000_заявлений'!F474, ".", ","))</f>
        <v>-13932</v>
      </c>
      <c r="G480" s="5">
        <f>VALUE(SUBSTITUTE('1000_заявлений'!G474, ".", ","))</f>
        <v>-24145</v>
      </c>
      <c r="H480" s="5">
        <f>VALUE(SUBSTITUTE('1000_заявлений'!H474, ".", ","))</f>
        <v>-4779</v>
      </c>
      <c r="I480" s="4">
        <f>VALUE(SUBSTITUTE('1000_заявлений'!I474, ".", ","))</f>
        <v>0.20780000000000001</v>
      </c>
      <c r="J480" s="4">
        <f>VALUE(SUBSTITUTE('1000_заявлений'!J474, ".", ","))</f>
        <v>8.7534958456417797</v>
      </c>
      <c r="K480" s="5">
        <f>VALUE(SUBSTITUTE('1000_заявлений'!K474, ".", ","))</f>
        <v>365243</v>
      </c>
      <c r="L480" s="6">
        <f>VALUE(SUBSTITUTE('1000_заявлений'!L474, ".", ","))</f>
        <v>9351</v>
      </c>
      <c r="M480" s="2" t="str">
        <f>IF(Данные[[#This Row],[proba]]&gt;$C$6, "отказ", "одобрение")</f>
        <v>отказ</v>
      </c>
      <c r="N480" s="7">
        <f>IF(Данные[[#This Row],[proba]]&lt;$D$2,$C$2,IF(Данные[[#This Row],[proba]]&lt;$D$3,$C$3,IF(Данные[[#This Row],[proba]]&gt;$C$6,0,$C$4)))</f>
        <v>0</v>
      </c>
      <c r="O480" s="2">
        <f>IF(Данные[[#This Row],[weighted_ext_score]]&gt;$O$1,MIN(Данные[[#This Row],[Базовая сумма]]*$O$2,$C$2),IF(Данные[[#This Row],[weighted_ext_score]]&lt;$O$3,Данные[[#This Row],[Базовая сумма]]*$O$4,N480))</f>
        <v>0</v>
      </c>
      <c r="P4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0" s="2">
        <f>ABS(Данные[[#This Row],[days_birth]])/365.2425</f>
        <v>66.106764683737509</v>
      </c>
      <c r="S4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0" s="2">
        <f>IF(Данные[[#This Row],[ interest_rate]]&gt;$T$1,Данные[[#This Row],[days_birth4]]*$T$2,Данные[[#This Row],[days_birth4]])</f>
        <v>0</v>
      </c>
      <c r="U480" s="2">
        <f>IF(Данные[[#This Row],[Проверка отказа]]="отказ",0,MAX(Данные[[#This Row],[interest_rate]],$C$1))</f>
        <v>0</v>
      </c>
      <c r="V480" s="2">
        <f>MROUND(Данные[[#This Row],[Минимум 20000]], 100)</f>
        <v>0</v>
      </c>
    </row>
    <row r="481" spans="1:22" x14ac:dyDescent="0.25">
      <c r="A481" s="2">
        <f>'1000_заявлений'!A475</f>
        <v>473</v>
      </c>
      <c r="B481" s="4">
        <f>VALUE(SUBSTITUTE('1000_заявлений'!B475, ".", ","))</f>
        <v>0.53789454985816998</v>
      </c>
      <c r="C481" s="4">
        <f>VALUE(SUBSTITUTE('1000_заявлений'!C475, ".", ","))</f>
        <v>0.31063715708428702</v>
      </c>
      <c r="D481" s="4">
        <f>VALUE(SUBSTITUTE('1000_заявлений'!D475, ".", ","))</f>
        <v>0.73801965000000003</v>
      </c>
      <c r="E481" s="4">
        <f>VALUE(SUBSTITUTE('1000_заявлений'!E475, ".", ","))</f>
        <v>0.13478401000000001</v>
      </c>
      <c r="F481" s="5">
        <f>VALUE(SUBSTITUTE('1000_заявлений'!F475, ".", ","))</f>
        <v>-4872</v>
      </c>
      <c r="G481" s="5">
        <f>VALUE(SUBSTITUTE('1000_заявлений'!G475, ".", ","))</f>
        <v>-11135</v>
      </c>
      <c r="H481" s="5">
        <f>VALUE(SUBSTITUTE('1000_заявлений'!H475, ".", ","))</f>
        <v>-3058</v>
      </c>
      <c r="I481" s="4">
        <f>VALUE(SUBSTITUTE('1000_заявлений'!I475, ".", ","))</f>
        <v>0.170185185185185</v>
      </c>
      <c r="J481" s="4">
        <f>VALUE(SUBSTITUTE('1000_заявлений'!J475, ".", ","))</f>
        <v>8.1255744410594506</v>
      </c>
      <c r="K481" s="5">
        <f>VALUE(SUBSTITUTE('1000_заявлений'!K475, ".", ","))</f>
        <v>-3304</v>
      </c>
      <c r="L481" s="6">
        <f>VALUE(SUBSTITUTE('1000_заявлений'!L475, ".", ","))</f>
        <v>20677.5</v>
      </c>
      <c r="M481" s="2" t="str">
        <f>IF(Данные[[#This Row],[proba]]&gt;$C$6, "отказ", "одобрение")</f>
        <v>отказ</v>
      </c>
      <c r="N481" s="7">
        <f>IF(Данные[[#This Row],[proba]]&lt;$D$2,$C$2,IF(Данные[[#This Row],[proba]]&lt;$D$3,$C$3,IF(Данные[[#This Row],[proba]]&gt;$C$6,0,$C$4)))</f>
        <v>0</v>
      </c>
      <c r="O481" s="2">
        <f>IF(Данные[[#This Row],[weighted_ext_score]]&gt;$O$1,MIN(Данные[[#This Row],[Базовая сумма]]*$O$2,$C$2),IF(Данные[[#This Row],[weighted_ext_score]]&lt;$O$3,Данные[[#This Row],[Базовая сумма]]*$O$4,N481))</f>
        <v>0</v>
      </c>
      <c r="P4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1" s="2">
        <f>ABS(Данные[[#This Row],[days_birth]])/365.2425</f>
        <v>30.486594522817033</v>
      </c>
      <c r="S4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1" s="2">
        <f>IF(Данные[[#This Row],[ interest_rate]]&gt;$T$1,Данные[[#This Row],[days_birth4]]*$T$2,Данные[[#This Row],[days_birth4]])</f>
        <v>0</v>
      </c>
      <c r="U481" s="2">
        <f>IF(Данные[[#This Row],[Проверка отказа]]="отказ",0,MAX(Данные[[#This Row],[interest_rate]],$C$1))</f>
        <v>0</v>
      </c>
      <c r="V481" s="2">
        <f>MROUND(Данные[[#This Row],[Минимум 20000]], 100)</f>
        <v>0</v>
      </c>
    </row>
    <row r="482" spans="1:22" x14ac:dyDescent="0.25">
      <c r="A482" s="2">
        <f>'1000_заявлений'!A476</f>
        <v>474</v>
      </c>
      <c r="B482" s="4">
        <f>VALUE(SUBSTITUTE('1000_заявлений'!B476, ".", ","))</f>
        <v>0.44922394760440398</v>
      </c>
      <c r="C482" s="4">
        <f>VALUE(SUBSTITUTE('1000_заявлений'!C476, ".", ","))</f>
        <v>0.54132199481099097</v>
      </c>
      <c r="D482" s="4">
        <f>VALUE(SUBSTITUTE('1000_заявлений'!D476, ".", ","))</f>
        <v>0.2091547</v>
      </c>
      <c r="E482" s="4">
        <f>VALUE(SUBSTITUTE('1000_заявлений'!E476, ".", ","))</f>
        <v>0.76803659999999996</v>
      </c>
      <c r="F482" s="5">
        <f>VALUE(SUBSTITUTE('1000_заявлений'!F476, ".", ","))</f>
        <v>-7261</v>
      </c>
      <c r="G482" s="5">
        <f>VALUE(SUBSTITUTE('1000_заявлений'!G476, ".", ","))</f>
        <v>-16491</v>
      </c>
      <c r="H482" s="5">
        <f>VALUE(SUBSTITUTE('1000_заявлений'!H476, ".", ","))</f>
        <v>-36</v>
      </c>
      <c r="I482" s="4">
        <f>VALUE(SUBSTITUTE('1000_заявлений'!I476, ".", ","))</f>
        <v>0.188568181818181</v>
      </c>
      <c r="J482" s="4">
        <f>VALUE(SUBSTITUTE('1000_заявлений'!J476, ".", ","))</f>
        <v>4.4575220582381503</v>
      </c>
      <c r="K482" s="5">
        <f>VALUE(SUBSTITUTE('1000_заявлений'!K476, ".", ","))</f>
        <v>-4906</v>
      </c>
      <c r="L482" s="6">
        <f>VALUE(SUBSTITUTE('1000_заявлений'!L476, ".", ","))</f>
        <v>37336.5</v>
      </c>
      <c r="M482" s="2" t="str">
        <f>IF(Данные[[#This Row],[proba]]&gt;$C$6, "отказ", "одобрение")</f>
        <v>отказ</v>
      </c>
      <c r="N482" s="7">
        <f>IF(Данные[[#This Row],[proba]]&lt;$D$2,$C$2,IF(Данные[[#This Row],[proba]]&lt;$D$3,$C$3,IF(Данные[[#This Row],[proba]]&gt;$C$6,0,$C$4)))</f>
        <v>0</v>
      </c>
      <c r="O482" s="2">
        <f>IF(Данные[[#This Row],[weighted_ext_score]]&gt;$O$1,MIN(Данные[[#This Row],[Базовая сумма]]*$O$2,$C$2),IF(Данные[[#This Row],[weighted_ext_score]]&lt;$O$3,Данные[[#This Row],[Базовая сумма]]*$O$4,N482))</f>
        <v>0</v>
      </c>
      <c r="P4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2" s="2">
        <f>ABS(Данные[[#This Row],[days_birth]])/365.2425</f>
        <v>45.150824452247477</v>
      </c>
      <c r="S4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2" s="2">
        <f>IF(Данные[[#This Row],[ interest_rate]]&gt;$T$1,Данные[[#This Row],[days_birth4]]*$T$2,Данные[[#This Row],[days_birth4]])</f>
        <v>0</v>
      </c>
      <c r="U482" s="2">
        <f>IF(Данные[[#This Row],[Проверка отказа]]="отказ",0,MAX(Данные[[#This Row],[interest_rate]],$C$1))</f>
        <v>0</v>
      </c>
      <c r="V482" s="2">
        <f>MROUND(Данные[[#This Row],[Минимум 20000]], 100)</f>
        <v>0</v>
      </c>
    </row>
    <row r="483" spans="1:22" x14ac:dyDescent="0.25">
      <c r="A483" s="2">
        <f>'1000_заявлений'!A477</f>
        <v>475</v>
      </c>
      <c r="B483" s="4">
        <f>VALUE(SUBSTITUTE('1000_заявлений'!B477, ".", ","))</f>
        <v>0.26429904562087603</v>
      </c>
      <c r="C483" s="4">
        <f>VALUE(SUBSTITUTE('1000_заявлений'!C477, ".", ","))</f>
        <v>0.43240717216088498</v>
      </c>
      <c r="D483" s="4">
        <f>VALUE(SUBSTITUTE('1000_заявлений'!D477, ".", ","))</f>
        <v>0.5797274</v>
      </c>
      <c r="E483" s="4">
        <f>VALUE(SUBSTITUTE('1000_заявлений'!E477, ".", ","))</f>
        <v>0.68666947</v>
      </c>
      <c r="F483" s="5">
        <f>VALUE(SUBSTITUTE('1000_заявлений'!F477, ".", ","))</f>
        <v>-3927</v>
      </c>
      <c r="G483" s="5">
        <f>VALUE(SUBSTITUTE('1000_заявлений'!G477, ".", ","))</f>
        <v>-21771</v>
      </c>
      <c r="H483" s="5">
        <f>VALUE(SUBSTITUTE('1000_заявлений'!H477, ".", ","))</f>
        <v>-4974</v>
      </c>
      <c r="I483" s="4">
        <f>VALUE(SUBSTITUTE('1000_заявлений'!I477, ".", ","))</f>
        <v>0.29570000000000002</v>
      </c>
      <c r="J483" s="4">
        <f>VALUE(SUBSTITUTE('1000_заявлений'!J477, ".", ","))</f>
        <v>0.26728007303498102</v>
      </c>
      <c r="K483" s="5">
        <f>VALUE(SUBSTITUTE('1000_заявлений'!K477, ".", ","))</f>
        <v>365243</v>
      </c>
      <c r="L483" s="6">
        <f>VALUE(SUBSTITUTE('1000_заявлений'!L477, ".", ","))</f>
        <v>66532.5</v>
      </c>
      <c r="M483" s="2" t="str">
        <f>IF(Данные[[#This Row],[proba]]&gt;$C$6, "отказ", "одобрение")</f>
        <v>одобрение</v>
      </c>
      <c r="N483" s="7">
        <f>IF(Данные[[#This Row],[proba]]&lt;$D$2,$C$2,IF(Данные[[#This Row],[proba]]&lt;$D$3,$C$3,IF(Данные[[#This Row],[proba]]&gt;$C$6,0,$C$4)))</f>
        <v>100000</v>
      </c>
      <c r="O483" s="2">
        <f>IF(Данные[[#This Row],[weighted_ext_score]]&gt;$O$1,MIN(Данные[[#This Row],[Базовая сумма]]*$O$2,$C$2),IF(Данные[[#This Row],[weighted_ext_score]]&lt;$O$3,Данные[[#This Row],[Базовая сумма]]*$O$4,N483))</f>
        <v>100000</v>
      </c>
      <c r="P4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483" s="2">
        <f>ABS(Данные[[#This Row],[days_birth]])/365.2425</f>
        <v>59.6069734491468</v>
      </c>
      <c r="S4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483" s="2">
        <f>IF(Данные[[#This Row],[ interest_rate]]&gt;$T$1,Данные[[#This Row],[days_birth4]]*$T$2,Данные[[#This Row],[days_birth4]])</f>
        <v>105000</v>
      </c>
      <c r="U483" s="2">
        <f>IF(Данные[[#This Row],[Проверка отказа]]="отказ",0,MAX(Данные[[#This Row],[interest_rate]],$C$1))</f>
        <v>105000</v>
      </c>
      <c r="V483" s="2">
        <f>MROUND(Данные[[#This Row],[Минимум 20000]], 100)</f>
        <v>105000</v>
      </c>
    </row>
    <row r="484" spans="1:22" x14ac:dyDescent="0.25">
      <c r="A484" s="2">
        <f>'1000_заявлений'!A478</f>
        <v>476</v>
      </c>
      <c r="B484" s="4">
        <f>VALUE(SUBSTITUTE('1000_заявлений'!B478, ".", ","))</f>
        <v>0.49223167431612302</v>
      </c>
      <c r="C484" s="4">
        <f>VALUE(SUBSTITUTE('1000_заявлений'!C478, ".", ","))</f>
        <v>0.31858336009698801</v>
      </c>
      <c r="D484" s="4">
        <f>VALUE(SUBSTITUTE('1000_заявлений'!D478, ".", ","))</f>
        <v>0.58674000000000004</v>
      </c>
      <c r="E484" s="4">
        <f>VALUE(SUBSTITUTE('1000_заявлений'!E478, ".", ","))</f>
        <v>0.32795084000000002</v>
      </c>
      <c r="F484" s="5">
        <f>VALUE(SUBSTITUTE('1000_заявлений'!F478, ".", ","))</f>
        <v>-203</v>
      </c>
      <c r="G484" s="5">
        <f>VALUE(SUBSTITUTE('1000_заявлений'!G478, ".", ","))</f>
        <v>-18707</v>
      </c>
      <c r="H484" s="5">
        <f>VALUE(SUBSTITUTE('1000_заявлений'!H478, ".", ","))</f>
        <v>-2218</v>
      </c>
      <c r="I484" s="4">
        <f>VALUE(SUBSTITUTE('1000_заявлений'!I478, ".", ","))</f>
        <v>0.17</v>
      </c>
      <c r="J484" s="4">
        <f>VALUE(SUBSTITUTE('1000_заявлений'!J478, ".", ","))</f>
        <v>10.6209759779781</v>
      </c>
      <c r="K484" s="5">
        <f>VALUE(SUBSTITUTE('1000_заявлений'!K478, ".", ","))</f>
        <v>-200</v>
      </c>
      <c r="L484" s="6">
        <f>VALUE(SUBSTITUTE('1000_заявлений'!L478, ".", ","))</f>
        <v>19125</v>
      </c>
      <c r="M484" s="2" t="str">
        <f>IF(Данные[[#This Row],[proba]]&gt;$C$6, "отказ", "одобрение")</f>
        <v>отказ</v>
      </c>
      <c r="N484" s="7">
        <f>IF(Данные[[#This Row],[proba]]&lt;$D$2,$C$2,IF(Данные[[#This Row],[proba]]&lt;$D$3,$C$3,IF(Данные[[#This Row],[proba]]&gt;$C$6,0,$C$4)))</f>
        <v>0</v>
      </c>
      <c r="O484" s="2">
        <f>IF(Данные[[#This Row],[weighted_ext_score]]&gt;$O$1,MIN(Данные[[#This Row],[Базовая сумма]]*$O$2,$C$2),IF(Данные[[#This Row],[weighted_ext_score]]&lt;$O$3,Данные[[#This Row],[Базовая сумма]]*$O$4,N484))</f>
        <v>0</v>
      </c>
      <c r="P4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4" s="2">
        <f>ABS(Данные[[#This Row],[days_birth]])/365.2425</f>
        <v>51.218026379734013</v>
      </c>
      <c r="S4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4" s="2">
        <f>IF(Данные[[#This Row],[ interest_rate]]&gt;$T$1,Данные[[#This Row],[days_birth4]]*$T$2,Данные[[#This Row],[days_birth4]])</f>
        <v>0</v>
      </c>
      <c r="U484" s="2">
        <f>IF(Данные[[#This Row],[Проверка отказа]]="отказ",0,MAX(Данные[[#This Row],[interest_rate]],$C$1))</f>
        <v>0</v>
      </c>
      <c r="V484" s="2">
        <f>MROUND(Данные[[#This Row],[Минимум 20000]], 100)</f>
        <v>0</v>
      </c>
    </row>
    <row r="485" spans="1:22" x14ac:dyDescent="0.25">
      <c r="A485" s="2">
        <f>'1000_заявлений'!A479</f>
        <v>477</v>
      </c>
      <c r="B485" s="4">
        <f>VALUE(SUBSTITUTE('1000_заявлений'!B479, ".", ","))</f>
        <v>0.21940814624798599</v>
      </c>
      <c r="C485" s="4">
        <f>VALUE(SUBSTITUTE('1000_заявлений'!C479, ".", ","))</f>
        <v>0.65231789109111404</v>
      </c>
      <c r="D485" s="4">
        <f>VALUE(SUBSTITUTE('1000_заявлений'!D479, ".", ","))</f>
        <v>0.66585492999999996</v>
      </c>
      <c r="E485" s="4">
        <f>VALUE(SUBSTITUTE('1000_заявлений'!E479, ".", ","))</f>
        <v>0.66433430000000004</v>
      </c>
      <c r="F485" s="5">
        <f>VALUE(SUBSTITUTE('1000_заявлений'!F479, ".", ","))</f>
        <v>-2382</v>
      </c>
      <c r="G485" s="5">
        <f>VALUE(SUBSTITUTE('1000_заявлений'!G479, ".", ","))</f>
        <v>-16387</v>
      </c>
      <c r="H485" s="5">
        <f>VALUE(SUBSTITUTE('1000_заявлений'!H479, ".", ","))</f>
        <v>-4199</v>
      </c>
      <c r="I485" s="4">
        <f>VALUE(SUBSTITUTE('1000_заявлений'!I479, ".", ","))</f>
        <v>0.20211999999999999</v>
      </c>
      <c r="J485" s="4">
        <f>VALUE(SUBSTITUTE('1000_заявлений'!J479, ".", ","))</f>
        <v>2.7837303471027699</v>
      </c>
      <c r="K485" s="5">
        <f>VALUE(SUBSTITUTE('1000_заявлений'!K479, ".", ","))</f>
        <v>-5023</v>
      </c>
      <c r="L485" s="6">
        <f>VALUE(SUBSTITUTE('1000_заявлений'!L479, ".", ","))</f>
        <v>22738.5</v>
      </c>
      <c r="M485" s="2" t="str">
        <f>IF(Данные[[#This Row],[proba]]&gt;$C$6, "отказ", "одобрение")</f>
        <v>одобрение</v>
      </c>
      <c r="N485" s="7">
        <f>IF(Данные[[#This Row],[proba]]&lt;$D$2,$C$2,IF(Данные[[#This Row],[proba]]&lt;$D$3,$C$3,IF(Данные[[#This Row],[proba]]&gt;$C$6,0,$C$4)))</f>
        <v>100000</v>
      </c>
      <c r="O485" s="2">
        <f>IF(Данные[[#This Row],[weighted_ext_score]]&gt;$O$1,MIN(Данные[[#This Row],[Базовая сумма]]*$O$2,$C$2),IF(Данные[[#This Row],[weighted_ext_score]]&lt;$O$3,Данные[[#This Row],[Базовая сумма]]*$O$4,N485))</f>
        <v>100000</v>
      </c>
      <c r="P4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85" s="2">
        <f>ABS(Данные[[#This Row],[days_birth]])/365.2425</f>
        <v>44.866082123520677</v>
      </c>
      <c r="S4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485" s="2">
        <f>IF(Данные[[#This Row],[ interest_rate]]&gt;$T$1,Данные[[#This Row],[days_birth4]]*$T$2,Данные[[#This Row],[days_birth4]])</f>
        <v>120000</v>
      </c>
      <c r="U485" s="2">
        <f>IF(Данные[[#This Row],[Проверка отказа]]="отказ",0,MAX(Данные[[#This Row],[interest_rate]],$C$1))</f>
        <v>120000</v>
      </c>
      <c r="V485" s="2">
        <f>MROUND(Данные[[#This Row],[Минимум 20000]], 100)</f>
        <v>120000</v>
      </c>
    </row>
    <row r="486" spans="1:22" x14ac:dyDescent="0.25">
      <c r="A486" s="2">
        <f>'1000_заявлений'!A480</f>
        <v>478</v>
      </c>
      <c r="B486" s="4">
        <f>VALUE(SUBSTITUTE('1000_заявлений'!B480, ".", ","))</f>
        <v>0.76224749576946105</v>
      </c>
      <c r="C486" s="4">
        <f>VALUE(SUBSTITUTE('1000_заявлений'!C480, ".", ","))</f>
        <v>0.25978356564730998</v>
      </c>
      <c r="D486" s="4">
        <f>VALUE(SUBSTITUTE('1000_заявлений'!D480, ".", ","))</f>
        <v>7.5965679999999994E-2</v>
      </c>
      <c r="E486" s="4">
        <f>VALUE(SUBSTITUTE('1000_заявлений'!E480, ".", ","))</f>
        <v>0.16986968</v>
      </c>
      <c r="F486" s="5">
        <f>VALUE(SUBSTITUTE('1000_заявлений'!F480, ".", ","))</f>
        <v>-5007</v>
      </c>
      <c r="G486" s="5">
        <f>VALUE(SUBSTITUTE('1000_заявлений'!G480, ".", ","))</f>
        <v>-22199</v>
      </c>
      <c r="H486" s="5">
        <f>VALUE(SUBSTITUTE('1000_заявлений'!H480, ".", ","))</f>
        <v>-4523</v>
      </c>
      <c r="I486" s="4">
        <f>VALUE(SUBSTITUTE('1000_заявлений'!I480, ".", ","))</f>
        <v>8.7636363636363596E-2</v>
      </c>
      <c r="J486" s="4">
        <f>VALUE(SUBSTITUTE('1000_заявлений'!J480, ".", ","))</f>
        <v>2.0570353975046798</v>
      </c>
      <c r="K486" s="5">
        <f>VALUE(SUBSTITUTE('1000_заявлений'!K480, ".", ","))</f>
        <v>365243</v>
      </c>
      <c r="L486" s="6">
        <f>VALUE(SUBSTITUTE('1000_заявлений'!L480, ".", ","))</f>
        <v>21690</v>
      </c>
      <c r="M486" s="2" t="str">
        <f>IF(Данные[[#This Row],[proba]]&gt;$C$6, "отказ", "одобрение")</f>
        <v>отказ</v>
      </c>
      <c r="N486" s="7">
        <f>IF(Данные[[#This Row],[proba]]&lt;$D$2,$C$2,IF(Данные[[#This Row],[proba]]&lt;$D$3,$C$3,IF(Данные[[#This Row],[proba]]&gt;$C$6,0,$C$4)))</f>
        <v>0</v>
      </c>
      <c r="O486" s="2">
        <f>IF(Данные[[#This Row],[weighted_ext_score]]&gt;$O$1,MIN(Данные[[#This Row],[Базовая сумма]]*$O$2,$C$2),IF(Данные[[#This Row],[weighted_ext_score]]&lt;$O$3,Данные[[#This Row],[Базовая сумма]]*$O$4,N486))</f>
        <v>0</v>
      </c>
      <c r="P4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6" s="2">
        <f>ABS(Данные[[#This Row],[days_birth]])/365.2425</f>
        <v>60.778797648137882</v>
      </c>
      <c r="S4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6" s="2">
        <f>IF(Данные[[#This Row],[ interest_rate]]&gt;$T$1,Данные[[#This Row],[days_birth4]]*$T$2,Данные[[#This Row],[days_birth4]])</f>
        <v>0</v>
      </c>
      <c r="U486" s="2">
        <f>IF(Данные[[#This Row],[Проверка отказа]]="отказ",0,MAX(Данные[[#This Row],[interest_rate]],$C$1))</f>
        <v>0</v>
      </c>
      <c r="V486" s="2">
        <f>MROUND(Данные[[#This Row],[Минимум 20000]], 100)</f>
        <v>0</v>
      </c>
    </row>
    <row r="487" spans="1:22" x14ac:dyDescent="0.25">
      <c r="A487" s="2">
        <f>'1000_заявлений'!A481</f>
        <v>479</v>
      </c>
      <c r="B487" s="4">
        <f>VALUE(SUBSTITUTE('1000_заявлений'!B481, ".", ","))</f>
        <v>0.27386727987647502</v>
      </c>
      <c r="C487" s="4">
        <f>VALUE(SUBSTITUTE('1000_заявлений'!C481, ".", ","))</f>
        <v>0.59008421137367895</v>
      </c>
      <c r="D487" s="4">
        <f>VALUE(SUBSTITUTE('1000_заявлений'!D481, ".", ","))</f>
        <v>0.66102355999999995</v>
      </c>
      <c r="E487" s="4">
        <f>VALUE(SUBSTITUTE('1000_заявлений'!E481, ".", ","))</f>
        <v>0.73318810000000001</v>
      </c>
      <c r="F487" s="5">
        <f>VALUE(SUBSTITUTE('1000_заявлений'!F481, ".", ","))</f>
        <v>-3102</v>
      </c>
      <c r="G487" s="5">
        <f>VALUE(SUBSTITUTE('1000_заявлений'!G481, ".", ","))</f>
        <v>-11880</v>
      </c>
      <c r="H487" s="5">
        <f>VALUE(SUBSTITUTE('1000_заявлений'!H481, ".", ","))</f>
        <v>-2453</v>
      </c>
      <c r="I487" s="4">
        <f>VALUE(SUBSTITUTE('1000_заявлений'!I481, ".", ","))</f>
        <v>0.35526666666666601</v>
      </c>
      <c r="J487" s="4">
        <f>VALUE(SUBSTITUTE('1000_заявлений'!J481, ".", ","))</f>
        <v>2.42606529137927</v>
      </c>
      <c r="K487" s="5">
        <f>VALUE(SUBSTITUTE('1000_заявлений'!K481, ".", ","))</f>
        <v>-3729</v>
      </c>
      <c r="L487" s="6">
        <f>VALUE(SUBSTITUTE('1000_заявлений'!L481, ".", ","))</f>
        <v>47961</v>
      </c>
      <c r="M487" s="2" t="str">
        <f>IF(Данные[[#This Row],[proba]]&gt;$C$6, "отказ", "одобрение")</f>
        <v>одобрение</v>
      </c>
      <c r="N487" s="7">
        <f>IF(Данные[[#This Row],[proba]]&lt;$D$2,$C$2,IF(Данные[[#This Row],[proba]]&lt;$D$3,$C$3,IF(Данные[[#This Row],[proba]]&gt;$C$6,0,$C$4)))</f>
        <v>100000</v>
      </c>
      <c r="O487" s="2">
        <f>IF(Данные[[#This Row],[weighted_ext_score]]&gt;$O$1,MIN(Данные[[#This Row],[Базовая сумма]]*$O$2,$C$2),IF(Данные[[#This Row],[weighted_ext_score]]&lt;$O$3,Данные[[#This Row],[Базовая сумма]]*$O$4,N487))</f>
        <v>100000</v>
      </c>
      <c r="P4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87" s="2">
        <f>ABS(Данные[[#This Row],[days_birth]])/365.2425</f>
        <v>32.526335243023468</v>
      </c>
      <c r="S4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487" s="2">
        <f>IF(Данные[[#This Row],[ interest_rate]]&gt;$T$1,Данные[[#This Row],[days_birth4]]*$T$2,Данные[[#This Row],[days_birth4]])</f>
        <v>120000</v>
      </c>
      <c r="U487" s="2">
        <f>IF(Данные[[#This Row],[Проверка отказа]]="отказ",0,MAX(Данные[[#This Row],[interest_rate]],$C$1))</f>
        <v>120000</v>
      </c>
      <c r="V487" s="2">
        <f>MROUND(Данные[[#This Row],[Минимум 20000]], 100)</f>
        <v>120000</v>
      </c>
    </row>
    <row r="488" spans="1:22" x14ac:dyDescent="0.25">
      <c r="A488" s="2">
        <f>'1000_заявлений'!A482</f>
        <v>480</v>
      </c>
      <c r="B488" s="4">
        <f>VALUE(SUBSTITUTE('1000_заявлений'!B482, ".", ","))</f>
        <v>0.348390510805483</v>
      </c>
      <c r="C488" s="4">
        <f>VALUE(SUBSTITUTE('1000_заявлений'!C482, ".", ","))</f>
        <v>0.549895980806131</v>
      </c>
      <c r="D488" s="4">
        <f>VALUE(SUBSTITUTE('1000_заявлений'!D482, ".", ","))</f>
        <v>0.55316469999999995</v>
      </c>
      <c r="E488" s="4">
        <f>VALUE(SUBSTITUTE('1000_заявлений'!E482, ".", ","))</f>
        <v>0.60997319999999999</v>
      </c>
      <c r="F488" s="5">
        <f>VALUE(SUBSTITUTE('1000_заявлений'!F482, ".", ","))</f>
        <v>-10658</v>
      </c>
      <c r="G488" s="5">
        <f>VALUE(SUBSTITUTE('1000_заявлений'!G482, ".", ","))</f>
        <v>-10658</v>
      </c>
      <c r="H488" s="5">
        <f>VALUE(SUBSTITUTE('1000_заявлений'!H482, ".", ","))</f>
        <v>-2503</v>
      </c>
      <c r="I488" s="4">
        <f>VALUE(SUBSTITUTE('1000_заявлений'!I482, ".", ","))</f>
        <v>0.14455555555555499</v>
      </c>
      <c r="J488" s="4">
        <f>VALUE(SUBSTITUTE('1000_заявлений'!J482, ".", ","))</f>
        <v>2.34461711785523</v>
      </c>
      <c r="K488" s="5">
        <f>VALUE(SUBSTITUTE('1000_заявлений'!K482, ".", ","))</f>
        <v>-1289</v>
      </c>
      <c r="L488" s="6">
        <f>VALUE(SUBSTITUTE('1000_заявлений'!L482, ".", ","))</f>
        <v>17563.5</v>
      </c>
      <c r="M488" s="2" t="str">
        <f>IF(Данные[[#This Row],[proba]]&gt;$C$6, "отказ", "одобрение")</f>
        <v>отказ</v>
      </c>
      <c r="N488" s="7">
        <f>IF(Данные[[#This Row],[proba]]&lt;$D$2,$C$2,IF(Данные[[#This Row],[proba]]&lt;$D$3,$C$3,IF(Данные[[#This Row],[proba]]&gt;$C$6,0,$C$4)))</f>
        <v>0</v>
      </c>
      <c r="O488" s="2">
        <f>IF(Данные[[#This Row],[weighted_ext_score]]&gt;$O$1,MIN(Данные[[#This Row],[Базовая сумма]]*$O$2,$C$2),IF(Данные[[#This Row],[weighted_ext_score]]&lt;$O$3,Данные[[#This Row],[Базовая сумма]]*$O$4,N488))</f>
        <v>0</v>
      </c>
      <c r="P4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8" s="2">
        <f>ABS(Данные[[#This Row],[days_birth]])/365.2425</f>
        <v>29.180612880483515</v>
      </c>
      <c r="S4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8" s="2">
        <f>IF(Данные[[#This Row],[ interest_rate]]&gt;$T$1,Данные[[#This Row],[days_birth4]]*$T$2,Данные[[#This Row],[days_birth4]])</f>
        <v>0</v>
      </c>
      <c r="U488" s="2">
        <f>IF(Данные[[#This Row],[Проверка отказа]]="отказ",0,MAX(Данные[[#This Row],[interest_rate]],$C$1))</f>
        <v>0</v>
      </c>
      <c r="V488" s="2">
        <f>MROUND(Данные[[#This Row],[Минимум 20000]], 100)</f>
        <v>0</v>
      </c>
    </row>
    <row r="489" spans="1:22" x14ac:dyDescent="0.25">
      <c r="A489" s="2">
        <f>'1000_заявлений'!A483</f>
        <v>481</v>
      </c>
      <c r="B489" s="4">
        <f>VALUE(SUBSTITUTE('1000_заявлений'!B483, ".", ","))</f>
        <v>0.73860048313585602</v>
      </c>
      <c r="C489" s="4">
        <f>VALUE(SUBSTITUTE('1000_заявлений'!C483, ".", ","))</f>
        <v>0.22727825486724201</v>
      </c>
      <c r="D489" s="4">
        <f>VALUE(SUBSTITUTE('1000_заявлений'!D483, ".", ","))</f>
        <v>0.10479462</v>
      </c>
      <c r="E489" s="4">
        <f>VALUE(SUBSTITUTE('1000_заявлений'!E483, ".", ","))</f>
        <v>0.5838198</v>
      </c>
      <c r="F489" s="5">
        <f>VALUE(SUBSTITUTE('1000_заявлений'!F483, ".", ","))</f>
        <v>-2150</v>
      </c>
      <c r="G489" s="5">
        <f>VALUE(SUBSTITUTE('1000_заявлений'!G483, ".", ","))</f>
        <v>-11244</v>
      </c>
      <c r="H489" s="5">
        <f>VALUE(SUBSTITUTE('1000_заявлений'!H483, ".", ","))</f>
        <v>-3767</v>
      </c>
      <c r="I489" s="4">
        <f>VALUE(SUBSTITUTE('1000_заявлений'!I483, ".", ","))</f>
        <v>0.24249999999999999</v>
      </c>
      <c r="J489" s="4">
        <f>VALUE(SUBSTITUTE('1000_заявлений'!J483, ".", ","))</f>
        <v>9.2548058046410606</v>
      </c>
      <c r="K489" s="5">
        <f>VALUE(SUBSTITUTE('1000_заявлений'!K483, ".", ","))</f>
        <v>-3058</v>
      </c>
      <c r="L489" s="6">
        <f>VALUE(SUBSTITUTE('1000_заявлений'!L483, ".", ","))</f>
        <v>13095</v>
      </c>
      <c r="M489" s="2" t="str">
        <f>IF(Данные[[#This Row],[proba]]&gt;$C$6, "отказ", "одобрение")</f>
        <v>отказ</v>
      </c>
      <c r="N489" s="7">
        <f>IF(Данные[[#This Row],[proba]]&lt;$D$2,$C$2,IF(Данные[[#This Row],[proba]]&lt;$D$3,$C$3,IF(Данные[[#This Row],[proba]]&gt;$C$6,0,$C$4)))</f>
        <v>0</v>
      </c>
      <c r="O489" s="2">
        <f>IF(Данные[[#This Row],[weighted_ext_score]]&gt;$O$1,MIN(Данные[[#This Row],[Базовая сумма]]*$O$2,$C$2),IF(Данные[[#This Row],[weighted_ext_score]]&lt;$O$3,Данные[[#This Row],[Базовая сумма]]*$O$4,N489))</f>
        <v>0</v>
      </c>
      <c r="P4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89" s="2">
        <f>ABS(Данные[[#This Row],[days_birth]])/365.2425</f>
        <v>30.785026386578778</v>
      </c>
      <c r="S4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89" s="2">
        <f>IF(Данные[[#This Row],[ interest_rate]]&gt;$T$1,Данные[[#This Row],[days_birth4]]*$T$2,Данные[[#This Row],[days_birth4]])</f>
        <v>0</v>
      </c>
      <c r="U489" s="2">
        <f>IF(Данные[[#This Row],[Проверка отказа]]="отказ",0,MAX(Данные[[#This Row],[interest_rate]],$C$1))</f>
        <v>0</v>
      </c>
      <c r="V489" s="2">
        <f>MROUND(Данные[[#This Row],[Минимум 20000]], 100)</f>
        <v>0</v>
      </c>
    </row>
    <row r="490" spans="1:22" x14ac:dyDescent="0.25">
      <c r="A490" s="2">
        <f>'1000_заявлений'!A484</f>
        <v>482</v>
      </c>
      <c r="B490" s="4">
        <f>VALUE(SUBSTITUTE('1000_заявлений'!B484, ".", ","))</f>
        <v>0.45113510673694801</v>
      </c>
      <c r="C490" s="4">
        <f>VALUE(SUBSTITUTE('1000_заявлений'!C484, ".", ","))</f>
        <v>0.455482171653736</v>
      </c>
      <c r="D490" s="4">
        <f>VALUE(SUBSTITUTE('1000_заявлений'!D484, ".", ","))</f>
        <v>0.46506920000000002</v>
      </c>
      <c r="E490" s="4">
        <f>VALUE(SUBSTITUTE('1000_заявлений'!E484, ".", ","))</f>
        <v>0.56863459999999999</v>
      </c>
      <c r="F490" s="5">
        <f>VALUE(SUBSTITUTE('1000_заявлений'!F484, ".", ","))</f>
        <v>-5465</v>
      </c>
      <c r="G490" s="5">
        <f>VALUE(SUBSTITUTE('1000_заявлений'!G484, ".", ","))</f>
        <v>-11057</v>
      </c>
      <c r="H490" s="5">
        <f>VALUE(SUBSTITUTE('1000_заявлений'!H484, ".", ","))</f>
        <v>-3388</v>
      </c>
      <c r="I490" s="4">
        <f>VALUE(SUBSTITUTE('1000_заявлений'!I484, ".", ","))</f>
        <v>0.13502392344497599</v>
      </c>
      <c r="J490" s="4">
        <f>VALUE(SUBSTITUTE('1000_заявлений'!J484, ".", ","))</f>
        <v>3.5954086203865598</v>
      </c>
      <c r="K490" s="5">
        <f>VALUE(SUBSTITUTE('1000_заявлений'!K484, ".", ","))</f>
        <v>-359</v>
      </c>
      <c r="L490" s="6">
        <f>VALUE(SUBSTITUTE('1000_заявлений'!L484, ".", ","))</f>
        <v>12699</v>
      </c>
      <c r="M490" s="2" t="str">
        <f>IF(Данные[[#This Row],[proba]]&gt;$C$6, "отказ", "одобрение")</f>
        <v>отказ</v>
      </c>
      <c r="N490" s="7">
        <f>IF(Данные[[#This Row],[proba]]&lt;$D$2,$C$2,IF(Данные[[#This Row],[proba]]&lt;$D$3,$C$3,IF(Данные[[#This Row],[proba]]&gt;$C$6,0,$C$4)))</f>
        <v>0</v>
      </c>
      <c r="O490" s="2">
        <f>IF(Данные[[#This Row],[weighted_ext_score]]&gt;$O$1,MIN(Данные[[#This Row],[Базовая сумма]]*$O$2,$C$2),IF(Данные[[#This Row],[weighted_ext_score]]&lt;$O$3,Данные[[#This Row],[Базовая сумма]]*$O$4,N490))</f>
        <v>0</v>
      </c>
      <c r="P4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0" s="2">
        <f>ABS(Данные[[#This Row],[days_birth]])/365.2425</f>
        <v>30.273037776271927</v>
      </c>
      <c r="S4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0" s="2">
        <f>IF(Данные[[#This Row],[ interest_rate]]&gt;$T$1,Данные[[#This Row],[days_birth4]]*$T$2,Данные[[#This Row],[days_birth4]])</f>
        <v>0</v>
      </c>
      <c r="U490" s="2">
        <f>IF(Данные[[#This Row],[Проверка отказа]]="отказ",0,MAX(Данные[[#This Row],[interest_rate]],$C$1))</f>
        <v>0</v>
      </c>
      <c r="V490" s="2">
        <f>MROUND(Данные[[#This Row],[Минимум 20000]], 100)</f>
        <v>0</v>
      </c>
    </row>
    <row r="491" spans="1:22" x14ac:dyDescent="0.25">
      <c r="A491" s="2">
        <f>'1000_заявлений'!A485</f>
        <v>483</v>
      </c>
      <c r="B491" s="4">
        <f>VALUE(SUBSTITUTE('1000_заявлений'!B485, ".", ","))</f>
        <v>0.43790598249256302</v>
      </c>
      <c r="C491" s="4">
        <f>VALUE(SUBSTITUTE('1000_заявлений'!C485, ".", ","))</f>
        <v>0.201007364631723</v>
      </c>
      <c r="D491" s="4">
        <f>VALUE(SUBSTITUTE('1000_заявлений'!D485, ".", ","))</f>
        <v>0.53527623000000002</v>
      </c>
      <c r="E491" s="4">
        <f>VALUE(SUBSTITUTE('1000_заявлений'!E485, ".", ","))</f>
        <v>0.61967229999999995</v>
      </c>
      <c r="F491" s="5">
        <f>VALUE(SUBSTITUTE('1000_заявлений'!F485, ".", ","))</f>
        <v>-8865</v>
      </c>
      <c r="G491" s="5">
        <f>VALUE(SUBSTITUTE('1000_заявлений'!G485, ".", ","))</f>
        <v>-22194</v>
      </c>
      <c r="H491" s="5">
        <f>VALUE(SUBSTITUTE('1000_заявлений'!H485, ".", ","))</f>
        <v>-1964</v>
      </c>
      <c r="I491" s="4">
        <f>VALUE(SUBSTITUTE('1000_заявлений'!I485, ".", ","))</f>
        <v>0.113485714285714</v>
      </c>
      <c r="J491" s="4">
        <f>VALUE(SUBSTITUTE('1000_заявлений'!J485, ".", ","))</f>
        <v>4.75522523422402</v>
      </c>
      <c r="K491" s="5">
        <f>VALUE(SUBSTITUTE('1000_заявлений'!K485, ".", ","))</f>
        <v>-1309</v>
      </c>
      <c r="L491" s="6">
        <f>VALUE(SUBSTITUTE('1000_заявлений'!L485, ".", ","))</f>
        <v>17874</v>
      </c>
      <c r="M491" s="2" t="str">
        <f>IF(Данные[[#This Row],[proba]]&gt;$C$6, "отказ", "одобрение")</f>
        <v>отказ</v>
      </c>
      <c r="N491" s="7">
        <f>IF(Данные[[#This Row],[proba]]&lt;$D$2,$C$2,IF(Данные[[#This Row],[proba]]&lt;$D$3,$C$3,IF(Данные[[#This Row],[proba]]&gt;$C$6,0,$C$4)))</f>
        <v>0</v>
      </c>
      <c r="O491" s="2">
        <f>IF(Данные[[#This Row],[weighted_ext_score]]&gt;$O$1,MIN(Данные[[#This Row],[Базовая сумма]]*$O$2,$C$2),IF(Данные[[#This Row],[weighted_ext_score]]&lt;$O$3,Данные[[#This Row],[Базовая сумма]]*$O$4,N491))</f>
        <v>0</v>
      </c>
      <c r="P4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1" s="2">
        <f>ABS(Данные[[#This Row],[days_birth]])/365.2425</f>
        <v>60.76510811310294</v>
      </c>
      <c r="S4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1" s="2">
        <f>IF(Данные[[#This Row],[ interest_rate]]&gt;$T$1,Данные[[#This Row],[days_birth4]]*$T$2,Данные[[#This Row],[days_birth4]])</f>
        <v>0</v>
      </c>
      <c r="U491" s="2">
        <f>IF(Данные[[#This Row],[Проверка отказа]]="отказ",0,MAX(Данные[[#This Row],[interest_rate]],$C$1))</f>
        <v>0</v>
      </c>
      <c r="V491" s="2">
        <f>MROUND(Данные[[#This Row],[Минимум 20000]], 100)</f>
        <v>0</v>
      </c>
    </row>
    <row r="492" spans="1:22" x14ac:dyDescent="0.25">
      <c r="A492" s="2">
        <f>'1000_заявлений'!A486</f>
        <v>484</v>
      </c>
      <c r="B492" s="4">
        <f>VALUE(SUBSTITUTE('1000_заявлений'!B486, ".", ","))</f>
        <v>0.478543276382488</v>
      </c>
      <c r="C492" s="4">
        <f>VALUE(SUBSTITUTE('1000_заявлений'!C486, ".", ","))</f>
        <v>0.350242214622423</v>
      </c>
      <c r="D492" s="4">
        <f>VALUE(SUBSTITUTE('1000_заявлений'!D486, ".", ","))</f>
        <v>0.36896873000000002</v>
      </c>
      <c r="E492" s="4">
        <f>VALUE(SUBSTITUTE('1000_заявлений'!E486, ".", ","))</f>
        <v>0.66835500000000003</v>
      </c>
      <c r="F492" s="5">
        <f>VALUE(SUBSTITUTE('1000_заявлений'!F486, ".", ","))</f>
        <v>-7693</v>
      </c>
      <c r="G492" s="5">
        <f>VALUE(SUBSTITUTE('1000_заявлений'!G486, ".", ","))</f>
        <v>-14826</v>
      </c>
      <c r="H492" s="5">
        <f>VALUE(SUBSTITUTE('1000_заявлений'!H486, ".", ","))</f>
        <v>-4286</v>
      </c>
      <c r="I492" s="4">
        <f>VALUE(SUBSTITUTE('1000_заявлений'!I486, ".", ","))</f>
        <v>0.16800000000000001</v>
      </c>
      <c r="J492" s="4">
        <f>VALUE(SUBSTITUTE('1000_заявлений'!J486, ".", ","))</f>
        <v>1.7926354583625901</v>
      </c>
      <c r="K492" s="5">
        <f>VALUE(SUBSTITUTE('1000_заявлений'!K486, ".", ","))</f>
        <v>-1898</v>
      </c>
      <c r="L492" s="6">
        <f>VALUE(SUBSTITUTE('1000_заявлений'!L486, ".", ","))</f>
        <v>37800</v>
      </c>
      <c r="M492" s="2" t="str">
        <f>IF(Данные[[#This Row],[proba]]&gt;$C$6, "отказ", "одобрение")</f>
        <v>отказ</v>
      </c>
      <c r="N492" s="7">
        <f>IF(Данные[[#This Row],[proba]]&lt;$D$2,$C$2,IF(Данные[[#This Row],[proba]]&lt;$D$3,$C$3,IF(Данные[[#This Row],[proba]]&gt;$C$6,0,$C$4)))</f>
        <v>0</v>
      </c>
      <c r="O492" s="2">
        <f>IF(Данные[[#This Row],[weighted_ext_score]]&gt;$O$1,MIN(Данные[[#This Row],[Базовая сумма]]*$O$2,$C$2),IF(Данные[[#This Row],[weighted_ext_score]]&lt;$O$3,Данные[[#This Row],[Базовая сумма]]*$O$4,N492))</f>
        <v>0</v>
      </c>
      <c r="P4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2" s="2">
        <f>ABS(Данные[[#This Row],[days_birth]])/365.2425</f>
        <v>40.592209285611617</v>
      </c>
      <c r="S4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2" s="2">
        <f>IF(Данные[[#This Row],[ interest_rate]]&gt;$T$1,Данные[[#This Row],[days_birth4]]*$T$2,Данные[[#This Row],[days_birth4]])</f>
        <v>0</v>
      </c>
      <c r="U492" s="2">
        <f>IF(Данные[[#This Row],[Проверка отказа]]="отказ",0,MAX(Данные[[#This Row],[interest_rate]],$C$1))</f>
        <v>0</v>
      </c>
      <c r="V492" s="2">
        <f>MROUND(Данные[[#This Row],[Минимум 20000]], 100)</f>
        <v>0</v>
      </c>
    </row>
    <row r="493" spans="1:22" x14ac:dyDescent="0.25">
      <c r="A493" s="2">
        <f>'1000_заявлений'!A487</f>
        <v>485</v>
      </c>
      <c r="B493" s="4">
        <f>VALUE(SUBSTITUTE('1000_заявлений'!B487, ".", ","))</f>
        <v>0.26983346514030698</v>
      </c>
      <c r="C493" s="4">
        <f>VALUE(SUBSTITUTE('1000_заявлений'!C487, ".", ","))</f>
        <v>0.587630936122159</v>
      </c>
      <c r="D493" s="4">
        <f>VALUE(SUBSTITUTE('1000_заявлений'!D487, ".", ","))</f>
        <v>0.58148370000000005</v>
      </c>
      <c r="E493" s="4">
        <f>VALUE(SUBSTITUTE('1000_заявлений'!E487, ".", ","))</f>
        <v>0.69568229999999998</v>
      </c>
      <c r="F493" s="5">
        <f>VALUE(SUBSTITUTE('1000_заявлений'!F487, ".", ","))</f>
        <v>-2413</v>
      </c>
      <c r="G493" s="5">
        <f>VALUE(SUBSTITUTE('1000_заявлений'!G487, ".", ","))</f>
        <v>-13540</v>
      </c>
      <c r="H493" s="5">
        <f>VALUE(SUBSTITUTE('1000_заявлений'!H487, ".", ","))</f>
        <v>-4038</v>
      </c>
      <c r="I493" s="4">
        <f>VALUE(SUBSTITUTE('1000_заявлений'!I487, ".", ","))</f>
        <v>0.21536</v>
      </c>
      <c r="J493" s="4">
        <f>VALUE(SUBSTITUTE('1000_заявлений'!J487, ".", ","))</f>
        <v>2.76271603038886</v>
      </c>
      <c r="K493" s="5">
        <f>VALUE(SUBSTITUTE('1000_заявлений'!K487, ".", ","))</f>
        <v>-2353</v>
      </c>
      <c r="L493" s="6">
        <f>VALUE(SUBSTITUTE('1000_заявлений'!L487, ".", ","))</f>
        <v>48456</v>
      </c>
      <c r="M493" s="2" t="str">
        <f>IF(Данные[[#This Row],[proba]]&gt;$C$6, "отказ", "одобрение")</f>
        <v>одобрение</v>
      </c>
      <c r="N493" s="7">
        <f>IF(Данные[[#This Row],[proba]]&lt;$D$2,$C$2,IF(Данные[[#This Row],[proba]]&lt;$D$3,$C$3,IF(Данные[[#This Row],[proba]]&gt;$C$6,0,$C$4)))</f>
        <v>100000</v>
      </c>
      <c r="O493" s="2">
        <f>IF(Данные[[#This Row],[weighted_ext_score]]&gt;$O$1,MIN(Данные[[#This Row],[Базовая сумма]]*$O$2,$C$2),IF(Данные[[#This Row],[weighted_ext_score]]&lt;$O$3,Данные[[#This Row],[Базовая сумма]]*$O$4,N493))</f>
        <v>100000</v>
      </c>
      <c r="P4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4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493" s="2">
        <f>ABS(Данные[[#This Row],[days_birth]])/365.2425</f>
        <v>37.071260874624393</v>
      </c>
      <c r="S4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493" s="2">
        <f>IF(Данные[[#This Row],[ interest_rate]]&gt;$T$1,Данные[[#This Row],[days_birth4]]*$T$2,Данные[[#This Row],[days_birth4]])</f>
        <v>120000</v>
      </c>
      <c r="U493" s="2">
        <f>IF(Данные[[#This Row],[Проверка отказа]]="отказ",0,MAX(Данные[[#This Row],[interest_rate]],$C$1))</f>
        <v>120000</v>
      </c>
      <c r="V493" s="2">
        <f>MROUND(Данные[[#This Row],[Минимум 20000]], 100)</f>
        <v>120000</v>
      </c>
    </row>
    <row r="494" spans="1:22" x14ac:dyDescent="0.25">
      <c r="A494" s="2">
        <f>'1000_заявлений'!A488</f>
        <v>486</v>
      </c>
      <c r="B494" s="4">
        <f>VALUE(SUBSTITUTE('1000_заявлений'!B488, ".", ","))</f>
        <v>0.26372987307413098</v>
      </c>
      <c r="C494" s="4">
        <f>VALUE(SUBSTITUTE('1000_заявлений'!C488, ".", ","))</f>
        <v>0.63016907179177495</v>
      </c>
      <c r="D494" s="4">
        <f>VALUE(SUBSTITUTE('1000_заявлений'!D488, ".", ","))</f>
        <v>0.55850659999999996</v>
      </c>
      <c r="E494" s="4">
        <f>VALUE(SUBSTITUTE('1000_заявлений'!E488, ".", ","))</f>
        <v>0.65358232999999999</v>
      </c>
      <c r="F494" s="5">
        <f>VALUE(SUBSTITUTE('1000_заявлений'!F488, ".", ","))</f>
        <v>-2260</v>
      </c>
      <c r="G494" s="5">
        <f>VALUE(SUBSTITUTE('1000_заявлений'!G488, ".", ","))</f>
        <v>-16672</v>
      </c>
      <c r="H494" s="5">
        <f>VALUE(SUBSTITUTE('1000_заявлений'!H488, ".", ","))</f>
        <v>-216</v>
      </c>
      <c r="I494" s="4">
        <f>VALUE(SUBSTITUTE('1000_заявлений'!I488, ".", ","))</f>
        <v>0.14719148936170201</v>
      </c>
      <c r="J494" s="4">
        <f>VALUE(SUBSTITUTE('1000_заявлений'!J488, ".", ","))</f>
        <v>7.3942951079285004</v>
      </c>
      <c r="K494" s="5">
        <f>VALUE(SUBSTITUTE('1000_заявлений'!K488, ".", ","))</f>
        <v>-3701</v>
      </c>
      <c r="L494" s="6">
        <f>VALUE(SUBSTITUTE('1000_заявлений'!L488, ".", ","))</f>
        <v>31131</v>
      </c>
      <c r="M494" s="2" t="str">
        <f>IF(Данные[[#This Row],[proba]]&gt;$C$6, "отказ", "одобрение")</f>
        <v>одобрение</v>
      </c>
      <c r="N494" s="7">
        <f>IF(Данные[[#This Row],[proba]]&lt;$D$2,$C$2,IF(Данные[[#This Row],[proba]]&lt;$D$3,$C$3,IF(Данные[[#This Row],[proba]]&gt;$C$6,0,$C$4)))</f>
        <v>100000</v>
      </c>
      <c r="O494" s="2">
        <f>IF(Данные[[#This Row],[weighted_ext_score]]&gt;$O$1,MIN(Данные[[#This Row],[Базовая сумма]]*$O$2,$C$2),IF(Данные[[#This Row],[weighted_ext_score]]&lt;$O$3,Данные[[#This Row],[Базовая сумма]]*$O$4,N494))</f>
        <v>100000</v>
      </c>
      <c r="P4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4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494" s="2">
        <f>ABS(Данные[[#This Row],[days_birth]])/365.2425</f>
        <v>45.646385620512397</v>
      </c>
      <c r="S4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494" s="2">
        <f>IF(Данные[[#This Row],[ interest_rate]]&gt;$T$1,Данные[[#This Row],[days_birth4]]*$T$2,Данные[[#This Row],[days_birth4]])</f>
        <v>144000</v>
      </c>
      <c r="U494" s="2">
        <f>IF(Данные[[#This Row],[Проверка отказа]]="отказ",0,MAX(Данные[[#This Row],[interest_rate]],$C$1))</f>
        <v>144000</v>
      </c>
      <c r="V494" s="2">
        <f>MROUND(Данные[[#This Row],[Минимум 20000]], 100)</f>
        <v>144000</v>
      </c>
    </row>
    <row r="495" spans="1:22" x14ac:dyDescent="0.25">
      <c r="A495" s="2">
        <f>'1000_заявлений'!A489</f>
        <v>487</v>
      </c>
      <c r="B495" s="4">
        <f>VALUE(SUBSTITUTE('1000_заявлений'!B489, ".", ","))</f>
        <v>0.358810328123225</v>
      </c>
      <c r="C495" s="4">
        <f>VALUE(SUBSTITUTE('1000_заявлений'!C489, ".", ","))</f>
        <v>0.543641639400129</v>
      </c>
      <c r="D495" s="4">
        <f>VALUE(SUBSTITUTE('1000_заявлений'!D489, ".", ","))</f>
        <v>0.48665314999999998</v>
      </c>
      <c r="E495" s="4">
        <f>VALUE(SUBSTITUTE('1000_заявлений'!E489, ".", ","))</f>
        <v>0.49984332999999997</v>
      </c>
      <c r="F495" s="5">
        <f>VALUE(SUBSTITUTE('1000_заявлений'!F489, ".", ","))</f>
        <v>-1</v>
      </c>
      <c r="G495" s="5">
        <f>VALUE(SUBSTITUTE('1000_заявлений'!G489, ".", ","))</f>
        <v>-21381</v>
      </c>
      <c r="H495" s="5">
        <f>VALUE(SUBSTITUTE('1000_заявлений'!H489, ".", ","))</f>
        <v>-4908</v>
      </c>
      <c r="I495" s="4">
        <f>VALUE(SUBSTITUTE('1000_заявлений'!I489, ".", ","))</f>
        <v>0.34011999999999998</v>
      </c>
      <c r="J495" s="4">
        <f>VALUE(SUBSTITUTE('1000_заявлений'!J489, ".", ","))</f>
        <v>1.9599044997106601</v>
      </c>
      <c r="K495" s="5">
        <f>VALUE(SUBSTITUTE('1000_заявлений'!K489, ".", ","))</f>
        <v>365243</v>
      </c>
      <c r="L495" s="6">
        <f>VALUE(SUBSTITUTE('1000_заявлений'!L489, ".", ","))</f>
        <v>38263.5</v>
      </c>
      <c r="M495" s="2" t="str">
        <f>IF(Данные[[#This Row],[proba]]&gt;$C$6, "отказ", "одобрение")</f>
        <v>отказ</v>
      </c>
      <c r="N495" s="7">
        <f>IF(Данные[[#This Row],[proba]]&lt;$D$2,$C$2,IF(Данные[[#This Row],[proba]]&lt;$D$3,$C$3,IF(Данные[[#This Row],[proba]]&gt;$C$6,0,$C$4)))</f>
        <v>0</v>
      </c>
      <c r="O495" s="2">
        <f>IF(Данные[[#This Row],[weighted_ext_score]]&gt;$O$1,MIN(Данные[[#This Row],[Базовая сумма]]*$O$2,$C$2),IF(Данные[[#This Row],[weighted_ext_score]]&lt;$O$3,Данные[[#This Row],[Базовая сумма]]*$O$4,N495))</f>
        <v>0</v>
      </c>
      <c r="P4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5" s="2">
        <f>ABS(Данные[[#This Row],[days_birth]])/365.2425</f>
        <v>58.539189716421284</v>
      </c>
      <c r="S4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5" s="2">
        <f>IF(Данные[[#This Row],[ interest_rate]]&gt;$T$1,Данные[[#This Row],[days_birth4]]*$T$2,Данные[[#This Row],[days_birth4]])</f>
        <v>0</v>
      </c>
      <c r="U495" s="2">
        <f>IF(Данные[[#This Row],[Проверка отказа]]="отказ",0,MAX(Данные[[#This Row],[interest_rate]],$C$1))</f>
        <v>0</v>
      </c>
      <c r="V495" s="2">
        <f>MROUND(Данные[[#This Row],[Минимум 20000]], 100)</f>
        <v>0</v>
      </c>
    </row>
    <row r="496" spans="1:22" x14ac:dyDescent="0.25">
      <c r="A496" s="2">
        <f>'1000_заявлений'!A490</f>
        <v>488</v>
      </c>
      <c r="B496" s="4">
        <f>VALUE(SUBSTITUTE('1000_заявлений'!B490, ".", ","))</f>
        <v>0.19519624056451201</v>
      </c>
      <c r="C496" s="4">
        <f>VALUE(SUBSTITUTE('1000_заявлений'!C490, ".", ","))</f>
        <v>0.475998879889102</v>
      </c>
      <c r="D496" s="4">
        <f>VALUE(SUBSTITUTE('1000_заявлений'!D490, ".", ","))</f>
        <v>0.68326885000000004</v>
      </c>
      <c r="E496" s="4">
        <f>VALUE(SUBSTITUTE('1000_заявлений'!E490, ".", ","))</f>
        <v>0.7056114</v>
      </c>
      <c r="F496" s="5">
        <f>VALUE(SUBSTITUTE('1000_заявлений'!F490, ".", ","))</f>
        <v>-12188</v>
      </c>
      <c r="G496" s="5">
        <f>VALUE(SUBSTITUTE('1000_заявлений'!G490, ".", ","))</f>
        <v>-20905</v>
      </c>
      <c r="H496" s="5">
        <f>VALUE(SUBSTITUTE('1000_заявлений'!H490, ".", ","))</f>
        <v>-2534</v>
      </c>
      <c r="I496" s="4">
        <f>VALUE(SUBSTITUTE('1000_заявлений'!I490, ".", ","))</f>
        <v>0.163833333333333</v>
      </c>
      <c r="J496" s="4">
        <f>VALUE(SUBSTITUTE('1000_заявлений'!J490, ".", ","))</f>
        <v>1.80651108610858</v>
      </c>
      <c r="K496" s="5">
        <f>VALUE(SUBSTITUTE('1000_заявлений'!K490, ".", ","))</f>
        <v>365243</v>
      </c>
      <c r="L496" s="6">
        <f>VALUE(SUBSTITUTE('1000_заявлений'!L490, ".", ","))</f>
        <v>35388</v>
      </c>
      <c r="M496" s="2" t="str">
        <f>IF(Данные[[#This Row],[proba]]&gt;$C$6, "отказ", "одобрение")</f>
        <v>одобрение</v>
      </c>
      <c r="N496" s="7">
        <f>IF(Данные[[#This Row],[proba]]&lt;$D$2,$C$2,IF(Данные[[#This Row],[proba]]&lt;$D$3,$C$3,IF(Данные[[#This Row],[proba]]&gt;$C$6,0,$C$4)))</f>
        <v>300000</v>
      </c>
      <c r="O496" s="2">
        <f>IF(Данные[[#This Row],[weighted_ext_score]]&gt;$O$1,MIN(Данные[[#This Row],[Базовая сумма]]*$O$2,$C$2),IF(Данные[[#This Row],[weighted_ext_score]]&lt;$O$3,Данные[[#This Row],[Базовая сумма]]*$O$4,N496))</f>
        <v>300000</v>
      </c>
      <c r="P4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496" s="2">
        <f>ABS(Данные[[#This Row],[days_birth]])/365.2425</f>
        <v>57.235945981094751</v>
      </c>
      <c r="S4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496" s="2">
        <f>IF(Данные[[#This Row],[ interest_rate]]&gt;$T$1,Данные[[#This Row],[days_birth4]]*$T$2,Данные[[#This Row],[days_birth4]])</f>
        <v>378000</v>
      </c>
      <c r="U496" s="2">
        <f>IF(Данные[[#This Row],[Проверка отказа]]="отказ",0,MAX(Данные[[#This Row],[interest_rate]],$C$1))</f>
        <v>378000</v>
      </c>
      <c r="V496" s="2">
        <f>MROUND(Данные[[#This Row],[Минимум 20000]], 100)</f>
        <v>378000</v>
      </c>
    </row>
    <row r="497" spans="1:22" x14ac:dyDescent="0.25">
      <c r="A497" s="2">
        <f>'1000_заявлений'!A491</f>
        <v>489</v>
      </c>
      <c r="B497" s="4">
        <f>VALUE(SUBSTITUTE('1000_заявлений'!B491, ".", ","))</f>
        <v>0.15742480594010699</v>
      </c>
      <c r="C497" s="4">
        <f>VALUE(SUBSTITUTE('1000_заявлений'!C491, ".", ","))</f>
        <v>0.68474445595932598</v>
      </c>
      <c r="D497" s="4">
        <f>VALUE(SUBSTITUTE('1000_заявлений'!D491, ".", ","))</f>
        <v>0.73941179999999995</v>
      </c>
      <c r="E497" s="4">
        <f>VALUE(SUBSTITUTE('1000_заявлений'!E491, ".", ","))</f>
        <v>0.66636466999999999</v>
      </c>
      <c r="F497" s="5">
        <f>VALUE(SUBSTITUTE('1000_заявлений'!F491, ".", ","))</f>
        <v>-10245</v>
      </c>
      <c r="G497" s="5">
        <f>VALUE(SUBSTITUTE('1000_заявлений'!G491, ".", ","))</f>
        <v>-18207</v>
      </c>
      <c r="H497" s="5">
        <f>VALUE(SUBSTITUTE('1000_заявлений'!H491, ".", ","))</f>
        <v>-1698</v>
      </c>
      <c r="I497" s="4">
        <f>VALUE(SUBSTITUTE('1000_заявлений'!I491, ".", ","))</f>
        <v>5.70153846153846E-2</v>
      </c>
      <c r="J497" s="4">
        <f>VALUE(SUBSTITUTE('1000_заявлений'!J491, ".", ","))</f>
        <v>3.12668823094597</v>
      </c>
      <c r="K497" s="5">
        <f>VALUE(SUBSTITUTE('1000_заявлений'!K491, ".", ","))</f>
        <v>-1134</v>
      </c>
      <c r="L497" s="6">
        <f>VALUE(SUBSTITUTE('1000_заявлений'!L491, ".", ","))</f>
        <v>16677</v>
      </c>
      <c r="M497" s="2" t="str">
        <f>IF(Данные[[#This Row],[proba]]&gt;$C$6, "отказ", "одобрение")</f>
        <v>одобрение</v>
      </c>
      <c r="N497" s="7">
        <f>IF(Данные[[#This Row],[proba]]&lt;$D$2,$C$2,IF(Данные[[#This Row],[proba]]&lt;$D$3,$C$3,IF(Данные[[#This Row],[proba]]&gt;$C$6,0,$C$4)))</f>
        <v>300000</v>
      </c>
      <c r="O497" s="2">
        <f>IF(Данные[[#This Row],[weighted_ext_score]]&gt;$O$1,MIN(Данные[[#This Row],[Базовая сумма]]*$O$2,$C$2),IF(Данные[[#This Row],[weighted_ext_score]]&lt;$O$3,Данные[[#This Row],[Базовая сумма]]*$O$4,N497))</f>
        <v>300000</v>
      </c>
      <c r="P4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4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497" s="2">
        <f>ABS(Данные[[#This Row],[days_birth]])/365.2425</f>
        <v>49.849072876239759</v>
      </c>
      <c r="S4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497" s="2">
        <f>IF(Данные[[#This Row],[ interest_rate]]&gt;$T$1,Данные[[#This Row],[days_birth4]]*$T$2,Данные[[#This Row],[days_birth4]])</f>
        <v>251999.99999999997</v>
      </c>
      <c r="U497" s="2">
        <f>IF(Данные[[#This Row],[Проверка отказа]]="отказ",0,MAX(Данные[[#This Row],[interest_rate]],$C$1))</f>
        <v>251999.99999999997</v>
      </c>
      <c r="V497" s="2">
        <f>MROUND(Данные[[#This Row],[Минимум 20000]], 100)</f>
        <v>252000</v>
      </c>
    </row>
    <row r="498" spans="1:22" x14ac:dyDescent="0.25">
      <c r="A498" s="2">
        <f>'1000_заявлений'!A492</f>
        <v>490</v>
      </c>
      <c r="B498" s="4">
        <f>VALUE(SUBSTITUTE('1000_заявлений'!B492, ".", ","))</f>
        <v>0.63335709738590296</v>
      </c>
      <c r="C498" s="4">
        <f>VALUE(SUBSTITUTE('1000_заявлений'!C492, ".", ","))</f>
        <v>0.25515240717609899</v>
      </c>
      <c r="D498" s="4">
        <f>VALUE(SUBSTITUTE('1000_заявлений'!D492, ".", ","))</f>
        <v>0.36729099999999998</v>
      </c>
      <c r="E498" s="4">
        <f>VALUE(SUBSTITUTE('1000_заявлений'!E492, ".", ","))</f>
        <v>0.37707952</v>
      </c>
      <c r="F498" s="5">
        <f>VALUE(SUBSTITUTE('1000_заявлений'!F492, ".", ","))</f>
        <v>-7356</v>
      </c>
      <c r="G498" s="5">
        <f>VALUE(SUBSTITUTE('1000_заявлений'!G492, ".", ","))</f>
        <v>-16705</v>
      </c>
      <c r="H498" s="5">
        <f>VALUE(SUBSTITUTE('1000_заявлений'!H492, ".", ","))</f>
        <v>-250</v>
      </c>
      <c r="I498" s="4">
        <f>VALUE(SUBSTITUTE('1000_заявлений'!I492, ".", ","))</f>
        <v>0.13750000000000001</v>
      </c>
      <c r="J498" s="4">
        <f>VALUE(SUBSTITUTE('1000_заявлений'!J492, ".", ","))</f>
        <v>10.6209759779781</v>
      </c>
      <c r="K498" s="5">
        <f>VALUE(SUBSTITUTE('1000_заявлений'!K492, ".", ","))</f>
        <v>-1357</v>
      </c>
      <c r="L498" s="6">
        <f>VALUE(SUBSTITUTE('1000_заявлений'!L492, ".", ","))</f>
        <v>12375</v>
      </c>
      <c r="M498" s="2" t="str">
        <f>IF(Данные[[#This Row],[proba]]&gt;$C$6, "отказ", "одобрение")</f>
        <v>отказ</v>
      </c>
      <c r="N498" s="7">
        <f>IF(Данные[[#This Row],[proba]]&lt;$D$2,$C$2,IF(Данные[[#This Row],[proba]]&lt;$D$3,$C$3,IF(Данные[[#This Row],[proba]]&gt;$C$6,0,$C$4)))</f>
        <v>0</v>
      </c>
      <c r="O498" s="2">
        <f>IF(Данные[[#This Row],[weighted_ext_score]]&gt;$O$1,MIN(Данные[[#This Row],[Базовая сумма]]*$O$2,$C$2),IF(Данные[[#This Row],[weighted_ext_score]]&lt;$O$3,Данные[[#This Row],[Базовая сумма]]*$O$4,N498))</f>
        <v>0</v>
      </c>
      <c r="P4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8" s="2">
        <f>ABS(Данные[[#This Row],[days_birth]])/365.2425</f>
        <v>45.736736551743022</v>
      </c>
      <c r="S4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8" s="2">
        <f>IF(Данные[[#This Row],[ interest_rate]]&gt;$T$1,Данные[[#This Row],[days_birth4]]*$T$2,Данные[[#This Row],[days_birth4]])</f>
        <v>0</v>
      </c>
      <c r="U498" s="2">
        <f>IF(Данные[[#This Row],[Проверка отказа]]="отказ",0,MAX(Данные[[#This Row],[interest_rate]],$C$1))</f>
        <v>0</v>
      </c>
      <c r="V498" s="2">
        <f>MROUND(Данные[[#This Row],[Минимум 20000]], 100)</f>
        <v>0</v>
      </c>
    </row>
    <row r="499" spans="1:22" x14ac:dyDescent="0.25">
      <c r="A499" s="2">
        <f>'1000_заявлений'!A493</f>
        <v>491</v>
      </c>
      <c r="B499" s="4">
        <f>VALUE(SUBSTITUTE('1000_заявлений'!B493, ".", ","))</f>
        <v>0.86257852863261297</v>
      </c>
      <c r="C499" s="4">
        <f>VALUE(SUBSTITUTE('1000_заявлений'!C493, ".", ","))</f>
        <v>9.7694040887295094E-2</v>
      </c>
      <c r="D499" s="4">
        <f>VALUE(SUBSTITUTE('1000_заявлений'!D493, ".", ","))</f>
        <v>0.1110424</v>
      </c>
      <c r="E499" s="4">
        <f>VALUE(SUBSTITUTE('1000_заявлений'!E493, ".", ","))</f>
        <v>0.17736721</v>
      </c>
      <c r="F499" s="5">
        <f>VALUE(SUBSTITUTE('1000_заявлений'!F493, ".", ","))</f>
        <v>-8323</v>
      </c>
      <c r="G499" s="5">
        <f>VALUE(SUBSTITUTE('1000_заявлений'!G493, ".", ","))</f>
        <v>-14826</v>
      </c>
      <c r="H499" s="5">
        <f>VALUE(SUBSTITUTE('1000_заявлений'!H493, ".", ","))</f>
        <v>-4885</v>
      </c>
      <c r="I499" s="4">
        <f>VALUE(SUBSTITUTE('1000_заявлений'!I493, ".", ","))</f>
        <v>0.18597142857142801</v>
      </c>
      <c r="J499" s="4">
        <f>VALUE(SUBSTITUTE('1000_заявлений'!J493, ".", ","))</f>
        <v>1.86007890887476</v>
      </c>
      <c r="K499" s="5">
        <f>VALUE(SUBSTITUTE('1000_заявлений'!K493, ".", ","))</f>
        <v>-1185</v>
      </c>
      <c r="L499" s="6">
        <f>VALUE(SUBSTITUTE('1000_заявлений'!L493, ".", ","))</f>
        <v>29290.5</v>
      </c>
      <c r="M499" s="2" t="str">
        <f>IF(Данные[[#This Row],[proba]]&gt;$C$6, "отказ", "одобрение")</f>
        <v>отказ</v>
      </c>
      <c r="N499" s="7">
        <f>IF(Данные[[#This Row],[proba]]&lt;$D$2,$C$2,IF(Данные[[#This Row],[proba]]&lt;$D$3,$C$3,IF(Данные[[#This Row],[proba]]&gt;$C$6,0,$C$4)))</f>
        <v>0</v>
      </c>
      <c r="O499" s="2">
        <f>IF(Данные[[#This Row],[weighted_ext_score]]&gt;$O$1,MIN(Данные[[#This Row],[Базовая сумма]]*$O$2,$C$2),IF(Данные[[#This Row],[weighted_ext_score]]&lt;$O$3,Данные[[#This Row],[Базовая сумма]]*$O$4,N499))</f>
        <v>0</v>
      </c>
      <c r="P4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4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499" s="2">
        <f>ABS(Данные[[#This Row],[days_birth]])/365.2425</f>
        <v>40.592209285611617</v>
      </c>
      <c r="S4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499" s="2">
        <f>IF(Данные[[#This Row],[ interest_rate]]&gt;$T$1,Данные[[#This Row],[days_birth4]]*$T$2,Данные[[#This Row],[days_birth4]])</f>
        <v>0</v>
      </c>
      <c r="U499" s="2">
        <f>IF(Данные[[#This Row],[Проверка отказа]]="отказ",0,MAX(Данные[[#This Row],[interest_rate]],$C$1))</f>
        <v>0</v>
      </c>
      <c r="V499" s="2">
        <f>MROUND(Данные[[#This Row],[Минимум 20000]], 100)</f>
        <v>0</v>
      </c>
    </row>
    <row r="500" spans="1:22" x14ac:dyDescent="0.25">
      <c r="A500" s="2">
        <f>'1000_заявлений'!A494</f>
        <v>492</v>
      </c>
      <c r="B500" s="4">
        <f>VALUE(SUBSTITUTE('1000_заявлений'!B494, ".", ","))</f>
        <v>0.177966121713798</v>
      </c>
      <c r="C500" s="4">
        <f>VALUE(SUBSTITUTE('1000_заявлений'!C494, ".", ","))</f>
        <v>0.686611162788068</v>
      </c>
      <c r="D500" s="4">
        <f>VALUE(SUBSTITUTE('1000_заявлений'!D494, ".", ","))</f>
        <v>0.64302559999999997</v>
      </c>
      <c r="E500" s="4">
        <f>VALUE(SUBSTITUTE('1000_заявлений'!E494, ".", ","))</f>
        <v>0.61273736000000001</v>
      </c>
      <c r="F500" s="5">
        <f>VALUE(SUBSTITUTE('1000_заявлений'!F494, ".", ","))</f>
        <v>-4792</v>
      </c>
      <c r="G500" s="5">
        <f>VALUE(SUBSTITUTE('1000_заявлений'!G494, ".", ","))</f>
        <v>-21684</v>
      </c>
      <c r="H500" s="5">
        <f>VALUE(SUBSTITUTE('1000_заявлений'!H494, ".", ","))</f>
        <v>-4845</v>
      </c>
      <c r="I500" s="4">
        <f>VALUE(SUBSTITUTE('1000_заявлений'!I494, ".", ","))</f>
        <v>0.115444444444444</v>
      </c>
      <c r="J500" s="4">
        <f>VALUE(SUBSTITUTE('1000_заявлений'!J494, ".", ","))</f>
        <v>4.9806319623778501</v>
      </c>
      <c r="K500" s="5">
        <f>VALUE(SUBSTITUTE('1000_заявлений'!K494, ".", ","))</f>
        <v>-1293</v>
      </c>
      <c r="L500" s="6">
        <f>VALUE(SUBSTITUTE('1000_заявлений'!L494, ".", ","))</f>
        <v>23377.5</v>
      </c>
      <c r="M500" s="2" t="str">
        <f>IF(Данные[[#This Row],[proba]]&gt;$C$6, "отказ", "одобрение")</f>
        <v>одобрение</v>
      </c>
      <c r="N500" s="7">
        <f>IF(Данные[[#This Row],[proba]]&lt;$D$2,$C$2,IF(Данные[[#This Row],[proba]]&lt;$D$3,$C$3,IF(Данные[[#This Row],[proba]]&gt;$C$6,0,$C$4)))</f>
        <v>300000</v>
      </c>
      <c r="O500" s="2">
        <f>IF(Данные[[#This Row],[weighted_ext_score]]&gt;$O$1,MIN(Данные[[#This Row],[Базовая сумма]]*$O$2,$C$2),IF(Данные[[#This Row],[weighted_ext_score]]&lt;$O$3,Данные[[#This Row],[Базовая сумма]]*$O$4,N500))</f>
        <v>300000</v>
      </c>
      <c r="P5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500" s="2">
        <f>ABS(Данные[[#This Row],[days_birth]])/365.2425</f>
        <v>59.368775539538795</v>
      </c>
      <c r="S5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264600</v>
      </c>
      <c r="T500" s="2">
        <f>IF(Данные[[#This Row],[ interest_rate]]&gt;$T$1,Данные[[#This Row],[days_birth4]]*$T$2,Данные[[#This Row],[days_birth4]])</f>
        <v>264600</v>
      </c>
      <c r="U500" s="2">
        <f>IF(Данные[[#This Row],[Проверка отказа]]="отказ",0,MAX(Данные[[#This Row],[interest_rate]],$C$1))</f>
        <v>264600</v>
      </c>
      <c r="V500" s="2">
        <f>MROUND(Данные[[#This Row],[Минимум 20000]], 100)</f>
        <v>264600</v>
      </c>
    </row>
    <row r="501" spans="1:22" x14ac:dyDescent="0.25">
      <c r="A501" s="2">
        <f>'1000_заявлений'!A495</f>
        <v>493</v>
      </c>
      <c r="B501" s="4">
        <f>VALUE(SUBSTITUTE('1000_заявлений'!B495, ".", ","))</f>
        <v>0.73127296003134001</v>
      </c>
      <c r="C501" s="4">
        <f>VALUE(SUBSTITUTE('1000_заявлений'!C495, ".", ","))</f>
        <v>0.16908911711268901</v>
      </c>
      <c r="D501" s="4">
        <f>VALUE(SUBSTITUTE('1000_заявлений'!D495, ".", ","))</f>
        <v>0.44361531999999998</v>
      </c>
      <c r="E501" s="4">
        <f>VALUE(SUBSTITUTE('1000_заявлений'!E495, ".", ","))</f>
        <v>2.6662515000000001E-2</v>
      </c>
      <c r="F501" s="5">
        <f>VALUE(SUBSTITUTE('1000_заявлений'!F495, ".", ","))</f>
        <v>-5071</v>
      </c>
      <c r="G501" s="5">
        <f>VALUE(SUBSTITUTE('1000_заявлений'!G495, ".", ","))</f>
        <v>-19424</v>
      </c>
      <c r="H501" s="5">
        <f>VALUE(SUBSTITUTE('1000_заявлений'!H495, ".", ","))</f>
        <v>-2910</v>
      </c>
      <c r="I501" s="4">
        <f>VALUE(SUBSTITUTE('1000_заявлений'!I495, ".", ","))</f>
        <v>0.31251612903225801</v>
      </c>
      <c r="J501" s="4">
        <f>VALUE(SUBSTITUTE('1000_заявлений'!J495, ".", ","))</f>
        <v>6.1520842308834203</v>
      </c>
      <c r="K501" s="5">
        <f>VALUE(SUBSTITUTE('1000_заявлений'!K495, ".", ","))</f>
        <v>365243</v>
      </c>
      <c r="L501" s="6">
        <f>VALUE(SUBSTITUTE('1000_заявлений'!L495, ".", ","))</f>
        <v>43596</v>
      </c>
      <c r="M501" s="2" t="str">
        <f>IF(Данные[[#This Row],[proba]]&gt;$C$6, "отказ", "одобрение")</f>
        <v>отказ</v>
      </c>
      <c r="N501" s="7">
        <f>IF(Данные[[#This Row],[proba]]&lt;$D$2,$C$2,IF(Данные[[#This Row],[proba]]&lt;$D$3,$C$3,IF(Данные[[#This Row],[proba]]&gt;$C$6,0,$C$4)))</f>
        <v>0</v>
      </c>
      <c r="O501" s="2">
        <f>IF(Данные[[#This Row],[weighted_ext_score]]&gt;$O$1,MIN(Данные[[#This Row],[Базовая сумма]]*$O$2,$C$2),IF(Данные[[#This Row],[weighted_ext_score]]&lt;$O$3,Данные[[#This Row],[Базовая сумма]]*$O$4,N501))</f>
        <v>0</v>
      </c>
      <c r="P5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1" s="2">
        <f>ABS(Данные[[#This Row],[days_birth]])/365.2425</f>
        <v>53.18110570374477</v>
      </c>
      <c r="S5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1" s="2">
        <f>IF(Данные[[#This Row],[ interest_rate]]&gt;$T$1,Данные[[#This Row],[days_birth4]]*$T$2,Данные[[#This Row],[days_birth4]])</f>
        <v>0</v>
      </c>
      <c r="U501" s="2">
        <f>IF(Данные[[#This Row],[Проверка отказа]]="отказ",0,MAX(Данные[[#This Row],[interest_rate]],$C$1))</f>
        <v>0</v>
      </c>
      <c r="V501" s="2">
        <f>MROUND(Данные[[#This Row],[Минимум 20000]], 100)</f>
        <v>0</v>
      </c>
    </row>
    <row r="502" spans="1:22" x14ac:dyDescent="0.25">
      <c r="A502" s="2">
        <f>'1000_заявлений'!A496</f>
        <v>494</v>
      </c>
      <c r="B502" s="4">
        <f>VALUE(SUBSTITUTE('1000_заявлений'!B496, ".", ","))</f>
        <v>0.88843071898202097</v>
      </c>
      <c r="C502" s="4">
        <f>VALUE(SUBSTITUTE('1000_заявлений'!C496, ".", ","))</f>
        <v>9.31993759029172E-2</v>
      </c>
      <c r="D502" s="4">
        <f>VALUE(SUBSTITUTE('1000_заявлений'!D496, ".", ","))</f>
        <v>0.20325209999999999</v>
      </c>
      <c r="E502" s="4">
        <f>VALUE(SUBSTITUTE('1000_заявлений'!E496, ".", ","))</f>
        <v>6.0701235999999999E-2</v>
      </c>
      <c r="F502" s="5">
        <f>VALUE(SUBSTITUTE('1000_заявлений'!F496, ".", ","))</f>
        <v>-1394</v>
      </c>
      <c r="G502" s="5">
        <f>VALUE(SUBSTITUTE('1000_заявлений'!G496, ".", ","))</f>
        <v>-11426</v>
      </c>
      <c r="H502" s="5">
        <f>VALUE(SUBSTITUTE('1000_заявлений'!H496, ".", ","))</f>
        <v>-1403</v>
      </c>
      <c r="I502" s="4">
        <f>VALUE(SUBSTITUTE('1000_заявлений'!I496, ".", ","))</f>
        <v>0.19184999999999999</v>
      </c>
      <c r="J502" s="4">
        <f>VALUE(SUBSTITUTE('1000_заявлений'!J496, ".", ","))</f>
        <v>5.2589215916186696</v>
      </c>
      <c r="K502" s="5">
        <f>VALUE(SUBSTITUTE('1000_заявлений'!K496, ".", ","))</f>
        <v>-2941</v>
      </c>
      <c r="L502" s="6">
        <f>VALUE(SUBSTITUTE('1000_заявлений'!L496, ".", ","))</f>
        <v>17266.5</v>
      </c>
      <c r="M502" s="2" t="str">
        <f>IF(Данные[[#This Row],[proba]]&gt;$C$6, "отказ", "одобрение")</f>
        <v>отказ</v>
      </c>
      <c r="N502" s="7">
        <f>IF(Данные[[#This Row],[proba]]&lt;$D$2,$C$2,IF(Данные[[#This Row],[proba]]&lt;$D$3,$C$3,IF(Данные[[#This Row],[proba]]&gt;$C$6,0,$C$4)))</f>
        <v>0</v>
      </c>
      <c r="O502" s="2">
        <f>IF(Данные[[#This Row],[weighted_ext_score]]&gt;$O$1,MIN(Данные[[#This Row],[Базовая сумма]]*$O$2,$C$2),IF(Данные[[#This Row],[weighted_ext_score]]&lt;$O$3,Данные[[#This Row],[Базовая сумма]]*$O$4,N502))</f>
        <v>0</v>
      </c>
      <c r="P5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2" s="2">
        <f>ABS(Данные[[#This Row],[days_birth]])/365.2425</f>
        <v>31.283325461850687</v>
      </c>
      <c r="S5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2" s="2">
        <f>IF(Данные[[#This Row],[ interest_rate]]&gt;$T$1,Данные[[#This Row],[days_birth4]]*$T$2,Данные[[#This Row],[days_birth4]])</f>
        <v>0</v>
      </c>
      <c r="U502" s="2">
        <f>IF(Данные[[#This Row],[Проверка отказа]]="отказ",0,MAX(Данные[[#This Row],[interest_rate]],$C$1))</f>
        <v>0</v>
      </c>
      <c r="V502" s="2">
        <f>MROUND(Данные[[#This Row],[Минимум 20000]], 100)</f>
        <v>0</v>
      </c>
    </row>
    <row r="503" spans="1:22" x14ac:dyDescent="0.25">
      <c r="A503" s="2">
        <f>'1000_заявлений'!A497</f>
        <v>495</v>
      </c>
      <c r="B503" s="4">
        <f>VALUE(SUBSTITUTE('1000_заявлений'!B497, ".", ","))</f>
        <v>0.33771976833548201</v>
      </c>
      <c r="C503" s="4">
        <f>VALUE(SUBSTITUTE('1000_заявлений'!C497, ".", ","))</f>
        <v>0.41972109369201299</v>
      </c>
      <c r="D503" s="4">
        <f>VALUE(SUBSTITUTE('1000_заявлений'!D497, ".", ","))</f>
        <v>0.65940549999999998</v>
      </c>
      <c r="E503" s="4">
        <f>VALUE(SUBSTITUTE('1000_заявлений'!E497, ".", ","))</f>
        <v>0.55872290000000002</v>
      </c>
      <c r="F503" s="5">
        <f>VALUE(SUBSTITUTE('1000_заявлений'!F497, ".", ","))</f>
        <v>-10604</v>
      </c>
      <c r="G503" s="5">
        <f>VALUE(SUBSTITUTE('1000_заявлений'!G497, ".", ","))</f>
        <v>-19148</v>
      </c>
      <c r="H503" s="5">
        <f>VALUE(SUBSTITUTE('1000_заявлений'!H497, ".", ","))</f>
        <v>-2687</v>
      </c>
      <c r="I503" s="4">
        <f>VALUE(SUBSTITUTE('1000_заявлений'!I497, ".", ","))</f>
        <v>0.27553333333333302</v>
      </c>
      <c r="J503" s="4">
        <f>VALUE(SUBSTITUTE('1000_заявлений'!J497, ".", ","))</f>
        <v>3.6030013465934299</v>
      </c>
      <c r="K503" s="5">
        <f>VALUE(SUBSTITUTE('1000_заявлений'!K497, ".", ","))</f>
        <v>-699</v>
      </c>
      <c r="L503" s="6">
        <f>VALUE(SUBSTITUTE('1000_заявлений'!L497, ".", ","))</f>
        <v>37197</v>
      </c>
      <c r="M503" s="2" t="str">
        <f>IF(Данные[[#This Row],[proba]]&gt;$C$6, "отказ", "одобрение")</f>
        <v>отказ</v>
      </c>
      <c r="N503" s="7">
        <f>IF(Данные[[#This Row],[proba]]&lt;$D$2,$C$2,IF(Данные[[#This Row],[proba]]&lt;$D$3,$C$3,IF(Данные[[#This Row],[proba]]&gt;$C$6,0,$C$4)))</f>
        <v>0</v>
      </c>
      <c r="O503" s="2">
        <f>IF(Данные[[#This Row],[weighted_ext_score]]&gt;$O$1,MIN(Данные[[#This Row],[Базовая сумма]]*$O$2,$C$2),IF(Данные[[#This Row],[weighted_ext_score]]&lt;$O$3,Данные[[#This Row],[Базовая сумма]]*$O$4,N503))</f>
        <v>0</v>
      </c>
      <c r="P5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3" s="2">
        <f>ABS(Данные[[#This Row],[days_birth]])/365.2425</f>
        <v>52.425443369815945</v>
      </c>
      <c r="S5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3" s="2">
        <f>IF(Данные[[#This Row],[ interest_rate]]&gt;$T$1,Данные[[#This Row],[days_birth4]]*$T$2,Данные[[#This Row],[days_birth4]])</f>
        <v>0</v>
      </c>
      <c r="U503" s="2">
        <f>IF(Данные[[#This Row],[Проверка отказа]]="отказ",0,MAX(Данные[[#This Row],[interest_rate]],$C$1))</f>
        <v>0</v>
      </c>
      <c r="V503" s="2">
        <f>MROUND(Данные[[#This Row],[Минимум 20000]], 100)</f>
        <v>0</v>
      </c>
    </row>
    <row r="504" spans="1:22" x14ac:dyDescent="0.25">
      <c r="A504" s="2">
        <f>'1000_заявлений'!A498</f>
        <v>496</v>
      </c>
      <c r="B504" s="4">
        <f>VALUE(SUBSTITUTE('1000_заявлений'!B498, ".", ","))</f>
        <v>0.44633678320506998</v>
      </c>
      <c r="C504" s="4">
        <f>VALUE(SUBSTITUTE('1000_заявлений'!C498, ".", ","))</f>
        <v>0.37632630274134798</v>
      </c>
      <c r="D504" s="4">
        <f>VALUE(SUBSTITUTE('1000_заявлений'!D498, ".", ","))</f>
        <v>0.48305019999999999</v>
      </c>
      <c r="E504" s="4">
        <f>VALUE(SUBSTITUTE('1000_заявлений'!E498, ".", ","))</f>
        <v>0.62157220000000002</v>
      </c>
      <c r="F504" s="5">
        <f>VALUE(SUBSTITUTE('1000_заявлений'!F498, ".", ","))</f>
        <v>-8728</v>
      </c>
      <c r="G504" s="5">
        <f>VALUE(SUBSTITUTE('1000_заявлений'!G498, ".", ","))</f>
        <v>-16344</v>
      </c>
      <c r="H504" s="5">
        <f>VALUE(SUBSTITUTE('1000_заявлений'!H498, ".", ","))</f>
        <v>-614</v>
      </c>
      <c r="I504" s="4">
        <f>VALUE(SUBSTITUTE('1000_заявлений'!I498, ".", ","))</f>
        <v>0.31056666666666599</v>
      </c>
      <c r="J504" s="4">
        <f>VALUE(SUBSTITUTE('1000_заявлений'!J498, ".", ","))</f>
        <v>7.9951395445568396</v>
      </c>
      <c r="K504" s="5">
        <f>VALUE(SUBSTITUTE('1000_заявлений'!K498, ".", ","))</f>
        <v>-126</v>
      </c>
      <c r="L504" s="6">
        <f>VALUE(SUBSTITUTE('1000_заявлений'!L498, ".", ","))</f>
        <v>41926.5</v>
      </c>
      <c r="M504" s="2" t="str">
        <f>IF(Данные[[#This Row],[proba]]&gt;$C$6, "отказ", "одобрение")</f>
        <v>отказ</v>
      </c>
      <c r="N504" s="7">
        <f>IF(Данные[[#This Row],[proba]]&lt;$D$2,$C$2,IF(Данные[[#This Row],[proba]]&lt;$D$3,$C$3,IF(Данные[[#This Row],[proba]]&gt;$C$6,0,$C$4)))</f>
        <v>0</v>
      </c>
      <c r="O504" s="2">
        <f>IF(Данные[[#This Row],[weighted_ext_score]]&gt;$O$1,MIN(Данные[[#This Row],[Базовая сумма]]*$O$2,$C$2),IF(Данные[[#This Row],[weighted_ext_score]]&lt;$O$3,Данные[[#This Row],[Базовая сумма]]*$O$4,N504))</f>
        <v>0</v>
      </c>
      <c r="P5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4" s="2">
        <f>ABS(Данные[[#This Row],[days_birth]])/365.2425</f>
        <v>44.748352122220169</v>
      </c>
      <c r="S5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4" s="2">
        <f>IF(Данные[[#This Row],[ interest_rate]]&gt;$T$1,Данные[[#This Row],[days_birth4]]*$T$2,Данные[[#This Row],[days_birth4]])</f>
        <v>0</v>
      </c>
      <c r="U504" s="2">
        <f>IF(Данные[[#This Row],[Проверка отказа]]="отказ",0,MAX(Данные[[#This Row],[interest_rate]],$C$1))</f>
        <v>0</v>
      </c>
      <c r="V504" s="2">
        <f>MROUND(Данные[[#This Row],[Минимум 20000]], 100)</f>
        <v>0</v>
      </c>
    </row>
    <row r="505" spans="1:22" x14ac:dyDescent="0.25">
      <c r="A505" s="2">
        <f>'1000_заявлений'!A499</f>
        <v>497</v>
      </c>
      <c r="B505" s="4">
        <f>VALUE(SUBSTITUTE('1000_заявлений'!B499, ".", ","))</f>
        <v>0.56168480217576899</v>
      </c>
      <c r="C505" s="4">
        <f>VALUE(SUBSTITUTE('1000_заявлений'!C499, ".", ","))</f>
        <v>0.26413107963710197</v>
      </c>
      <c r="D505" s="4">
        <f>VALUE(SUBSTITUTE('1000_заявлений'!D499, ".", ","))</f>
        <v>0.58499000000000001</v>
      </c>
      <c r="E505" s="4">
        <f>VALUE(SUBSTITUTE('1000_заявлений'!E499, ".", ","))</f>
        <v>0.16203467999999999</v>
      </c>
      <c r="F505" s="5">
        <f>VALUE(SUBSTITUTE('1000_заявлений'!F499, ".", ","))</f>
        <v>-3029</v>
      </c>
      <c r="G505" s="5">
        <f>VALUE(SUBSTITUTE('1000_заявлений'!G499, ".", ","))</f>
        <v>-19417</v>
      </c>
      <c r="H505" s="5">
        <f>VALUE(SUBSTITUTE('1000_заявлений'!H499, ".", ","))</f>
        <v>-2946</v>
      </c>
      <c r="I505" s="4">
        <f>VALUE(SUBSTITUTE('1000_заявлений'!I499, ".", ","))</f>
        <v>0.11</v>
      </c>
      <c r="J505" s="4">
        <f>VALUE(SUBSTITUTE('1000_заявлений'!J499, ".", ","))</f>
        <v>10.6209759779781</v>
      </c>
      <c r="K505" s="5">
        <f>VALUE(SUBSTITUTE('1000_заявлений'!K499, ".", ","))</f>
        <v>-2221</v>
      </c>
      <c r="L505" s="6">
        <f>VALUE(SUBSTITUTE('1000_заявлений'!L499, ".", ","))</f>
        <v>12375</v>
      </c>
      <c r="M505" s="2" t="str">
        <f>IF(Данные[[#This Row],[proba]]&gt;$C$6, "отказ", "одобрение")</f>
        <v>отказ</v>
      </c>
      <c r="N505" s="7">
        <f>IF(Данные[[#This Row],[proba]]&lt;$D$2,$C$2,IF(Данные[[#This Row],[proba]]&lt;$D$3,$C$3,IF(Данные[[#This Row],[proba]]&gt;$C$6,0,$C$4)))</f>
        <v>0</v>
      </c>
      <c r="O505" s="2">
        <f>IF(Данные[[#This Row],[weighted_ext_score]]&gt;$O$1,MIN(Данные[[#This Row],[Базовая сумма]]*$O$2,$C$2),IF(Данные[[#This Row],[weighted_ext_score]]&lt;$O$3,Данные[[#This Row],[Базовая сумма]]*$O$4,N505))</f>
        <v>0</v>
      </c>
      <c r="P5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5" s="2">
        <f>ABS(Данные[[#This Row],[days_birth]])/365.2425</f>
        <v>53.161940354695851</v>
      </c>
      <c r="S5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5" s="2">
        <f>IF(Данные[[#This Row],[ interest_rate]]&gt;$T$1,Данные[[#This Row],[days_birth4]]*$T$2,Данные[[#This Row],[days_birth4]])</f>
        <v>0</v>
      </c>
      <c r="U505" s="2">
        <f>IF(Данные[[#This Row],[Проверка отказа]]="отказ",0,MAX(Данные[[#This Row],[interest_rate]],$C$1))</f>
        <v>0</v>
      </c>
      <c r="V505" s="2">
        <f>MROUND(Данные[[#This Row],[Минимум 20000]], 100)</f>
        <v>0</v>
      </c>
    </row>
    <row r="506" spans="1:22" x14ac:dyDescent="0.25">
      <c r="A506" s="2">
        <f>'1000_заявлений'!A500</f>
        <v>498</v>
      </c>
      <c r="B506" s="4">
        <f>VALUE(SUBSTITUTE('1000_заявлений'!B500, ".", ","))</f>
        <v>0.525676419679865</v>
      </c>
      <c r="C506" s="4">
        <f>VALUE(SUBSTITUTE('1000_заявлений'!C500, ".", ","))</f>
        <v>0.49072528178924801</v>
      </c>
      <c r="D506" s="4">
        <f>VALUE(SUBSTITUTE('1000_заявлений'!D500, ".", ","))</f>
        <v>0.37571102000000001</v>
      </c>
      <c r="E506" s="4">
        <f>VALUE(SUBSTITUTE('1000_заявлений'!E500, ".", ","))</f>
        <v>0.328679</v>
      </c>
      <c r="F506" s="5">
        <f>VALUE(SUBSTITUTE('1000_заявлений'!F500, ".", ","))</f>
        <v>-2255</v>
      </c>
      <c r="G506" s="5">
        <f>VALUE(SUBSTITUTE('1000_заявлений'!G500, ".", ","))</f>
        <v>-20614</v>
      </c>
      <c r="H506" s="5">
        <f>VALUE(SUBSTITUTE('1000_заявлений'!H500, ".", ","))</f>
        <v>-4067</v>
      </c>
      <c r="I506" s="4">
        <f>VALUE(SUBSTITUTE('1000_заявлений'!I500, ".", ","))</f>
        <v>0.21959999999999999</v>
      </c>
      <c r="J506" s="4">
        <f>VALUE(SUBSTITUTE('1000_заявлений'!J500, ".", ","))</f>
        <v>4.4867938507059799</v>
      </c>
      <c r="K506" s="5">
        <f>VALUE(SUBSTITUTE('1000_заявлений'!K500, ".", ","))</f>
        <v>-1435</v>
      </c>
      <c r="L506" s="6">
        <f>VALUE(SUBSTITUTE('1000_заявлений'!L500, ".", ","))</f>
        <v>34587</v>
      </c>
      <c r="M506" s="2" t="str">
        <f>IF(Данные[[#This Row],[proba]]&gt;$C$6, "отказ", "одобрение")</f>
        <v>отказ</v>
      </c>
      <c r="N506" s="7">
        <f>IF(Данные[[#This Row],[proba]]&lt;$D$2,$C$2,IF(Данные[[#This Row],[proba]]&lt;$D$3,$C$3,IF(Данные[[#This Row],[proba]]&gt;$C$6,0,$C$4)))</f>
        <v>0</v>
      </c>
      <c r="O506" s="2">
        <f>IF(Данные[[#This Row],[weighted_ext_score]]&gt;$O$1,MIN(Данные[[#This Row],[Базовая сумма]]*$O$2,$C$2),IF(Данные[[#This Row],[weighted_ext_score]]&lt;$O$3,Данные[[#This Row],[Базовая сумма]]*$O$4,N506))</f>
        <v>0</v>
      </c>
      <c r="P5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6" s="2">
        <f>ABS(Данные[[#This Row],[days_birth]])/365.2425</f>
        <v>56.439215042061093</v>
      </c>
      <c r="S5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6" s="2">
        <f>IF(Данные[[#This Row],[ interest_rate]]&gt;$T$1,Данные[[#This Row],[days_birth4]]*$T$2,Данные[[#This Row],[days_birth4]])</f>
        <v>0</v>
      </c>
      <c r="U506" s="2">
        <f>IF(Данные[[#This Row],[Проверка отказа]]="отказ",0,MAX(Данные[[#This Row],[interest_rate]],$C$1))</f>
        <v>0</v>
      </c>
      <c r="V506" s="2">
        <f>MROUND(Данные[[#This Row],[Минимум 20000]], 100)</f>
        <v>0</v>
      </c>
    </row>
    <row r="507" spans="1:22" x14ac:dyDescent="0.25">
      <c r="A507" s="2">
        <f>'1000_заявлений'!A501</f>
        <v>499</v>
      </c>
      <c r="B507" s="4">
        <f>VALUE(SUBSTITUTE('1000_заявлений'!B501, ".", ","))</f>
        <v>0.39753807529398499</v>
      </c>
      <c r="C507" s="4">
        <f>VALUE(SUBSTITUTE('1000_заявлений'!C501, ".", ","))</f>
        <v>0.56190796376122598</v>
      </c>
      <c r="D507" s="4">
        <f>VALUE(SUBSTITUTE('1000_заявлений'!D501, ".", ","))</f>
        <v>0.33445412000000002</v>
      </c>
      <c r="E507" s="4">
        <f>VALUE(SUBSTITUTE('1000_заявлений'!E501, ".", ","))</f>
        <v>0.65545640000000005</v>
      </c>
      <c r="F507" s="5">
        <f>VALUE(SUBSTITUTE('1000_заявлений'!F501, ".", ","))</f>
        <v>-6813</v>
      </c>
      <c r="G507" s="5">
        <f>VALUE(SUBSTITUTE('1000_заявлений'!G501, ".", ","))</f>
        <v>-12834</v>
      </c>
      <c r="H507" s="5">
        <f>VALUE(SUBSTITUTE('1000_заявлений'!H501, ".", ","))</f>
        <v>-4058</v>
      </c>
      <c r="I507" s="4">
        <f>VALUE(SUBSTITUTE('1000_заявлений'!I501, ".", ","))</f>
        <v>0.13462857142857099</v>
      </c>
      <c r="J507" s="4">
        <f>VALUE(SUBSTITUTE('1000_заявлений'!J501, ".", ","))</f>
        <v>5.4410495891285402</v>
      </c>
      <c r="K507" s="5">
        <f>VALUE(SUBSTITUTE('1000_заявлений'!K501, ".", ","))</f>
        <v>-1101</v>
      </c>
      <c r="L507" s="6">
        <f>VALUE(SUBSTITUTE('1000_заявлений'!L501, ".", ","))</f>
        <v>21204</v>
      </c>
      <c r="M507" s="2" t="str">
        <f>IF(Данные[[#This Row],[proba]]&gt;$C$6, "отказ", "одобрение")</f>
        <v>отказ</v>
      </c>
      <c r="N507" s="7">
        <f>IF(Данные[[#This Row],[proba]]&lt;$D$2,$C$2,IF(Данные[[#This Row],[proba]]&lt;$D$3,$C$3,IF(Данные[[#This Row],[proba]]&gt;$C$6,0,$C$4)))</f>
        <v>0</v>
      </c>
      <c r="O507" s="2">
        <f>IF(Данные[[#This Row],[weighted_ext_score]]&gt;$O$1,MIN(Данные[[#This Row],[Базовая сумма]]*$O$2,$C$2),IF(Данные[[#This Row],[weighted_ext_score]]&lt;$O$3,Данные[[#This Row],[Базовая сумма]]*$O$4,N507))</f>
        <v>0</v>
      </c>
      <c r="P5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7" s="2">
        <f>ABS(Данные[[#This Row],[days_birth]])/365.2425</f>
        <v>35.138298527690509</v>
      </c>
      <c r="S5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7" s="2">
        <f>IF(Данные[[#This Row],[ interest_rate]]&gt;$T$1,Данные[[#This Row],[days_birth4]]*$T$2,Данные[[#This Row],[days_birth4]])</f>
        <v>0</v>
      </c>
      <c r="U507" s="2">
        <f>IF(Данные[[#This Row],[Проверка отказа]]="отказ",0,MAX(Данные[[#This Row],[interest_rate]],$C$1))</f>
        <v>0</v>
      </c>
      <c r="V507" s="2">
        <f>MROUND(Данные[[#This Row],[Минимум 20000]], 100)</f>
        <v>0</v>
      </c>
    </row>
    <row r="508" spans="1:22" x14ac:dyDescent="0.25">
      <c r="A508" s="2">
        <f>'1000_заявлений'!A502</f>
        <v>500</v>
      </c>
      <c r="B508" s="4">
        <f>VALUE(SUBSTITUTE('1000_заявлений'!B502, ".", ","))</f>
        <v>0.34942343339221899</v>
      </c>
      <c r="C508" s="4">
        <f>VALUE(SUBSTITUTE('1000_заявлений'!C502, ".", ","))</f>
        <v>0.34602235169039203</v>
      </c>
      <c r="D508" s="4">
        <f>VALUE(SUBSTITUTE('1000_заявлений'!D502, ".", ","))</f>
        <v>0.59545619999999999</v>
      </c>
      <c r="E508" s="4">
        <f>VALUE(SUBSTITUTE('1000_заявлений'!E502, ".", ","))</f>
        <v>0.40282252000000002</v>
      </c>
      <c r="F508" s="5">
        <f>VALUE(SUBSTITUTE('1000_заявлений'!F502, ".", ","))</f>
        <v>-9159</v>
      </c>
      <c r="G508" s="5">
        <f>VALUE(SUBSTITUTE('1000_заявлений'!G502, ".", ","))</f>
        <v>-23279</v>
      </c>
      <c r="H508" s="5">
        <f>VALUE(SUBSTITUTE('1000_заявлений'!H502, ".", ","))</f>
        <v>-4189</v>
      </c>
      <c r="I508" s="4">
        <f>VALUE(SUBSTITUTE('1000_заявлений'!I502, ".", ","))</f>
        <v>0.154057142857142</v>
      </c>
      <c r="J508" s="4">
        <f>VALUE(SUBSTITUTE('1000_заявлений'!J502, ".", ","))</f>
        <v>7.9452793512827302</v>
      </c>
      <c r="K508" s="5">
        <f>VALUE(SUBSTITUTE('1000_заявлений'!K502, ".", ","))</f>
        <v>365243</v>
      </c>
      <c r="L508" s="6">
        <f>VALUE(SUBSTITUTE('1000_заявлений'!L502, ".", ","))</f>
        <v>12132</v>
      </c>
      <c r="M508" s="2" t="str">
        <f>IF(Данные[[#This Row],[proba]]&gt;$C$6, "отказ", "одобрение")</f>
        <v>отказ</v>
      </c>
      <c r="N508" s="7">
        <f>IF(Данные[[#This Row],[proba]]&lt;$D$2,$C$2,IF(Данные[[#This Row],[proba]]&lt;$D$3,$C$3,IF(Данные[[#This Row],[proba]]&gt;$C$6,0,$C$4)))</f>
        <v>0</v>
      </c>
      <c r="O508" s="2">
        <f>IF(Данные[[#This Row],[weighted_ext_score]]&gt;$O$1,MIN(Данные[[#This Row],[Базовая сумма]]*$O$2,$C$2),IF(Данные[[#This Row],[weighted_ext_score]]&lt;$O$3,Данные[[#This Row],[Базовая сумма]]*$O$4,N508))</f>
        <v>0</v>
      </c>
      <c r="P5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08" s="2">
        <f>ABS(Данные[[#This Row],[days_birth]])/365.2425</f>
        <v>63.735737215685468</v>
      </c>
      <c r="S5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08" s="2">
        <f>IF(Данные[[#This Row],[ interest_rate]]&gt;$T$1,Данные[[#This Row],[days_birth4]]*$T$2,Данные[[#This Row],[days_birth4]])</f>
        <v>0</v>
      </c>
      <c r="U508" s="2">
        <f>IF(Данные[[#This Row],[Проверка отказа]]="отказ",0,MAX(Данные[[#This Row],[interest_rate]],$C$1))</f>
        <v>0</v>
      </c>
      <c r="V508" s="2">
        <f>MROUND(Данные[[#This Row],[Минимум 20000]], 100)</f>
        <v>0</v>
      </c>
    </row>
    <row r="509" spans="1:22" x14ac:dyDescent="0.25">
      <c r="A509" s="2">
        <f>'1000_заявлений'!A503</f>
        <v>501</v>
      </c>
      <c r="B509" s="4">
        <f>VALUE(SUBSTITUTE('1000_заявлений'!B503, ".", ","))</f>
        <v>0.28468724685943497</v>
      </c>
      <c r="C509" s="4">
        <f>VALUE(SUBSTITUTE('1000_заявлений'!C503, ".", ","))</f>
        <v>0.57717798271845799</v>
      </c>
      <c r="D509" s="4">
        <f>VALUE(SUBSTITUTE('1000_заявлений'!D503, ".", ","))</f>
        <v>0.42589290000000002</v>
      </c>
      <c r="E509" s="4">
        <f>VALUE(SUBSTITUTE('1000_заявлений'!E503, ".", ","))</f>
        <v>0.54176440000000003</v>
      </c>
      <c r="F509" s="5">
        <f>VALUE(SUBSTITUTE('1000_заявлений'!F503, ".", ","))</f>
        <v>-14244</v>
      </c>
      <c r="G509" s="5">
        <f>VALUE(SUBSTITUTE('1000_заявлений'!G503, ".", ","))</f>
        <v>-23158</v>
      </c>
      <c r="H509" s="5">
        <f>VALUE(SUBSTITUTE('1000_заявлений'!H503, ".", ","))</f>
        <v>-4153</v>
      </c>
      <c r="I509" s="4">
        <f>VALUE(SUBSTITUTE('1000_заявлений'!I503, ".", ","))</f>
        <v>0.17485000000000001</v>
      </c>
      <c r="J509" s="4">
        <f>VALUE(SUBSTITUTE('1000_заявлений'!J503, ".", ","))</f>
        <v>12.330360577348999</v>
      </c>
      <c r="K509" s="5">
        <f>VALUE(SUBSTITUTE('1000_заявлений'!K503, ".", ","))</f>
        <v>-1899</v>
      </c>
      <c r="L509" s="6">
        <f>VALUE(SUBSTITUTE('1000_заявлений'!L503, ".", ","))</f>
        <v>31473</v>
      </c>
      <c r="M509" s="2" t="str">
        <f>IF(Данные[[#This Row],[proba]]&gt;$C$6, "отказ", "одобрение")</f>
        <v>одобрение</v>
      </c>
      <c r="N509" s="7">
        <f>IF(Данные[[#This Row],[proba]]&lt;$D$2,$C$2,IF(Данные[[#This Row],[proba]]&lt;$D$3,$C$3,IF(Данные[[#This Row],[proba]]&gt;$C$6,0,$C$4)))</f>
        <v>100000</v>
      </c>
      <c r="O509" s="2">
        <f>IF(Данные[[#This Row],[weighted_ext_score]]&gt;$O$1,MIN(Данные[[#This Row],[Базовая сумма]]*$O$2,$C$2),IF(Данные[[#This Row],[weighted_ext_score]]&lt;$O$3,Данные[[#This Row],[Базовая сумма]]*$O$4,N509))</f>
        <v>100000</v>
      </c>
      <c r="P5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09" s="2">
        <f>ABS(Данные[[#This Row],[days_birth]])/365.2425</f>
        <v>63.404450467839858</v>
      </c>
      <c r="S5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509" s="2">
        <f>IF(Данные[[#This Row],[ interest_rate]]&gt;$T$1,Данные[[#This Row],[days_birth4]]*$T$2,Данные[[#This Row],[days_birth4]])</f>
        <v>88200</v>
      </c>
      <c r="U509" s="2">
        <f>IF(Данные[[#This Row],[Проверка отказа]]="отказ",0,MAX(Данные[[#This Row],[interest_rate]],$C$1))</f>
        <v>88200</v>
      </c>
      <c r="V509" s="2">
        <f>MROUND(Данные[[#This Row],[Минимум 20000]], 100)</f>
        <v>88200</v>
      </c>
    </row>
    <row r="510" spans="1:22" x14ac:dyDescent="0.25">
      <c r="A510" s="2">
        <f>'1000_заявлений'!A504</f>
        <v>502</v>
      </c>
      <c r="B510" s="4">
        <f>VALUE(SUBSTITUTE('1000_заявлений'!B504, ".", ","))</f>
        <v>0.54393444023458204</v>
      </c>
      <c r="C510" s="4">
        <f>VALUE(SUBSTITUTE('1000_заявлений'!C504, ".", ","))</f>
        <v>0.41564486921429999</v>
      </c>
      <c r="D510" s="4">
        <f>VALUE(SUBSTITUTE('1000_заявлений'!D504, ".", ","))</f>
        <v>0.51549535999999996</v>
      </c>
      <c r="E510" s="4">
        <f>VALUE(SUBSTITUTE('1000_заявлений'!E504, ".", ","))</f>
        <v>0.28589787999999999</v>
      </c>
      <c r="F510" s="5">
        <f>VALUE(SUBSTITUTE('1000_заявлений'!F504, ".", ","))</f>
        <v>-5595</v>
      </c>
      <c r="G510" s="5">
        <f>VALUE(SUBSTITUTE('1000_заявлений'!G504, ".", ","))</f>
        <v>-13962</v>
      </c>
      <c r="H510" s="5">
        <f>VALUE(SUBSTITUTE('1000_заявлений'!H504, ".", ","))</f>
        <v>-4272</v>
      </c>
      <c r="I510" s="4">
        <f>VALUE(SUBSTITUTE('1000_заявлений'!I504, ".", ","))</f>
        <v>0.16778787878787799</v>
      </c>
      <c r="J510" s="4">
        <f>VALUE(SUBSTITUTE('1000_заявлений'!J504, ".", ","))</f>
        <v>2.1390440360010001</v>
      </c>
      <c r="K510" s="5">
        <f>VALUE(SUBSTITUTE('1000_заявлений'!K504, ".", ","))</f>
        <v>-5115</v>
      </c>
      <c r="L510" s="6">
        <f>VALUE(SUBSTITUTE('1000_заявлений'!L504, ".", ","))</f>
        <v>24916.5</v>
      </c>
      <c r="M510" s="2" t="str">
        <f>IF(Данные[[#This Row],[proba]]&gt;$C$6, "отказ", "одобрение")</f>
        <v>отказ</v>
      </c>
      <c r="N510" s="7">
        <f>IF(Данные[[#This Row],[proba]]&lt;$D$2,$C$2,IF(Данные[[#This Row],[proba]]&lt;$D$3,$C$3,IF(Данные[[#This Row],[proba]]&gt;$C$6,0,$C$4)))</f>
        <v>0</v>
      </c>
      <c r="O510" s="2">
        <f>IF(Данные[[#This Row],[weighted_ext_score]]&gt;$O$1,MIN(Данные[[#This Row],[Базовая сумма]]*$O$2,$C$2),IF(Данные[[#This Row],[weighted_ext_score]]&lt;$O$3,Данные[[#This Row],[Базовая сумма]]*$O$4,N510))</f>
        <v>0</v>
      </c>
      <c r="P5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0" s="2">
        <f>ABS(Данные[[#This Row],[days_birth]])/365.2425</f>
        <v>38.226657631573545</v>
      </c>
      <c r="S5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0" s="2">
        <f>IF(Данные[[#This Row],[ interest_rate]]&gt;$T$1,Данные[[#This Row],[days_birth4]]*$T$2,Данные[[#This Row],[days_birth4]])</f>
        <v>0</v>
      </c>
      <c r="U510" s="2">
        <f>IF(Данные[[#This Row],[Проверка отказа]]="отказ",0,MAX(Данные[[#This Row],[interest_rate]],$C$1))</f>
        <v>0</v>
      </c>
      <c r="V510" s="2">
        <f>MROUND(Данные[[#This Row],[Минимум 20000]], 100)</f>
        <v>0</v>
      </c>
    </row>
    <row r="511" spans="1:22" x14ac:dyDescent="0.25">
      <c r="A511" s="2">
        <f>'1000_заявлений'!A505</f>
        <v>503</v>
      </c>
      <c r="B511" s="4">
        <f>VALUE(SUBSTITUTE('1000_заявлений'!B505, ".", ","))</f>
        <v>0.557303523663085</v>
      </c>
      <c r="C511" s="4">
        <f>VALUE(SUBSTITUTE('1000_заявлений'!C505, ".", ","))</f>
        <v>0.31883102948047198</v>
      </c>
      <c r="D511" s="4">
        <f>VALUE(SUBSTITUTE('1000_заявлений'!D505, ".", ","))</f>
        <v>0.53886270000000003</v>
      </c>
      <c r="E511" s="4">
        <f>VALUE(SUBSTITUTE('1000_заявлений'!E505, ".", ","))</f>
        <v>0.38209539999999997</v>
      </c>
      <c r="F511" s="5">
        <f>VALUE(SUBSTITUTE('1000_заявлений'!F505, ".", ","))</f>
        <v>-7712</v>
      </c>
      <c r="G511" s="5">
        <f>VALUE(SUBSTITUTE('1000_заявлений'!G505, ".", ","))</f>
        <v>-18523</v>
      </c>
      <c r="H511" s="5">
        <f>VALUE(SUBSTITUTE('1000_заявлений'!H505, ".", ","))</f>
        <v>-1652</v>
      </c>
      <c r="I511" s="4">
        <f>VALUE(SUBSTITUTE('1000_заявлений'!I505, ".", ","))</f>
        <v>0.41893333333333299</v>
      </c>
      <c r="J511" s="4">
        <f>VALUE(SUBSTITUTE('1000_заявлений'!J505, ".", ","))</f>
        <v>5.4842245788730297</v>
      </c>
      <c r="K511" s="5">
        <f>VALUE(SUBSTITUTE('1000_заявлений'!K505, ".", ","))</f>
        <v>-297</v>
      </c>
      <c r="L511" s="6">
        <f>VALUE(SUBSTITUTE('1000_заявлений'!L505, ".", ","))</f>
        <v>56556</v>
      </c>
      <c r="M511" s="2" t="str">
        <f>IF(Данные[[#This Row],[proba]]&gt;$C$6, "отказ", "одобрение")</f>
        <v>отказ</v>
      </c>
      <c r="N511" s="7">
        <f>IF(Данные[[#This Row],[proba]]&lt;$D$2,$C$2,IF(Данные[[#This Row],[proba]]&lt;$D$3,$C$3,IF(Данные[[#This Row],[proba]]&gt;$C$6,0,$C$4)))</f>
        <v>0</v>
      </c>
      <c r="O511" s="2">
        <f>IF(Данные[[#This Row],[weighted_ext_score]]&gt;$O$1,MIN(Данные[[#This Row],[Базовая сумма]]*$O$2,$C$2),IF(Данные[[#This Row],[weighted_ext_score]]&lt;$O$3,Данные[[#This Row],[Базовая сумма]]*$O$4,N511))</f>
        <v>0</v>
      </c>
      <c r="P5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1" s="2">
        <f>ABS(Данные[[#This Row],[days_birth]])/365.2425</f>
        <v>50.714251490448127</v>
      </c>
      <c r="S5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1" s="2">
        <f>IF(Данные[[#This Row],[ interest_rate]]&gt;$T$1,Данные[[#This Row],[days_birth4]]*$T$2,Данные[[#This Row],[days_birth4]])</f>
        <v>0</v>
      </c>
      <c r="U511" s="2">
        <f>IF(Данные[[#This Row],[Проверка отказа]]="отказ",0,MAX(Данные[[#This Row],[interest_rate]],$C$1))</f>
        <v>0</v>
      </c>
      <c r="V511" s="2">
        <f>MROUND(Данные[[#This Row],[Минимум 20000]], 100)</f>
        <v>0</v>
      </c>
    </row>
    <row r="512" spans="1:22" x14ac:dyDescent="0.25">
      <c r="A512" s="2">
        <f>'1000_заявлений'!A506</f>
        <v>504</v>
      </c>
      <c r="B512" s="4">
        <f>VALUE(SUBSTITUTE('1000_заявлений'!B506, ".", ","))</f>
        <v>0.29155896911560297</v>
      </c>
      <c r="C512" s="4">
        <f>VALUE(SUBSTITUTE('1000_заявлений'!C506, ".", ","))</f>
        <v>0.43564487847029998</v>
      </c>
      <c r="D512" s="4">
        <f>VALUE(SUBSTITUTE('1000_заявлений'!D506, ".", ","))</f>
        <v>0.70769936</v>
      </c>
      <c r="E512" s="4">
        <f>VALUE(SUBSTITUTE('1000_заявлений'!E506, ".", ","))</f>
        <v>0.55396780000000001</v>
      </c>
      <c r="F512" s="5">
        <f>VALUE(SUBSTITUTE('1000_заявлений'!F506, ".", ","))</f>
        <v>-85</v>
      </c>
      <c r="G512" s="5">
        <f>VALUE(SUBSTITUTE('1000_заявлений'!G506, ".", ","))</f>
        <v>-19127</v>
      </c>
      <c r="H512" s="5">
        <f>VALUE(SUBSTITUTE('1000_заявлений'!H506, ".", ","))</f>
        <v>-2442</v>
      </c>
      <c r="I512" s="4">
        <f>VALUE(SUBSTITUTE('1000_заявлений'!I506, ".", ","))</f>
        <v>5.6190476190476103E-2</v>
      </c>
      <c r="J512" s="4">
        <f>VALUE(SUBSTITUTE('1000_заявлений'!J506, ".", ","))</f>
        <v>4.0339859383813703</v>
      </c>
      <c r="K512" s="5">
        <f>VALUE(SUBSTITUTE('1000_заявлений'!K506, ".", ","))</f>
        <v>-602</v>
      </c>
      <c r="L512" s="6">
        <f>VALUE(SUBSTITUTE('1000_заявлений'!L506, ".", ","))</f>
        <v>10620</v>
      </c>
      <c r="M512" s="2" t="str">
        <f>IF(Данные[[#This Row],[proba]]&gt;$C$6, "отказ", "одобрение")</f>
        <v>одобрение</v>
      </c>
      <c r="N512" s="7">
        <f>IF(Данные[[#This Row],[proba]]&lt;$D$2,$C$2,IF(Данные[[#This Row],[proba]]&lt;$D$3,$C$3,IF(Данные[[#This Row],[proba]]&gt;$C$6,0,$C$4)))</f>
        <v>100000</v>
      </c>
      <c r="O512" s="2">
        <f>IF(Данные[[#This Row],[weighted_ext_score]]&gt;$O$1,MIN(Данные[[#This Row],[Базовая сумма]]*$O$2,$C$2),IF(Данные[[#This Row],[weighted_ext_score]]&lt;$O$3,Данные[[#This Row],[Базовая сумма]]*$O$4,N512))</f>
        <v>100000</v>
      </c>
      <c r="P5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12" s="2">
        <f>ABS(Данные[[#This Row],[days_birth]])/365.2425</f>
        <v>52.367947322669181</v>
      </c>
      <c r="S5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512" s="2">
        <f>IF(Данные[[#This Row],[ interest_rate]]&gt;$T$1,Данные[[#This Row],[days_birth4]]*$T$2,Данные[[#This Row],[days_birth4]])</f>
        <v>88200</v>
      </c>
      <c r="U512" s="2">
        <f>IF(Данные[[#This Row],[Проверка отказа]]="отказ",0,MAX(Данные[[#This Row],[interest_rate]],$C$1))</f>
        <v>88200</v>
      </c>
      <c r="V512" s="2">
        <f>MROUND(Данные[[#This Row],[Минимум 20000]], 100)</f>
        <v>88200</v>
      </c>
    </row>
    <row r="513" spans="1:22" x14ac:dyDescent="0.25">
      <c r="A513" s="2">
        <f>'1000_заявлений'!A507</f>
        <v>505</v>
      </c>
      <c r="B513" s="4">
        <f>VALUE(SUBSTITUTE('1000_заявлений'!B507, ".", ","))</f>
        <v>0.62770374401890905</v>
      </c>
      <c r="C513" s="4">
        <f>VALUE(SUBSTITUTE('1000_заявлений'!C507, ".", ","))</f>
        <v>0.20697571923192001</v>
      </c>
      <c r="D513" s="4">
        <f>VALUE(SUBSTITUTE('1000_заявлений'!D507, ".", ","))</f>
        <v>0.30010775000000001</v>
      </c>
      <c r="E513" s="4">
        <f>VALUE(SUBSTITUTE('1000_заявлений'!E507, ".", ","))</f>
        <v>0.30346509999999999</v>
      </c>
      <c r="F513" s="5">
        <f>VALUE(SUBSTITUTE('1000_заявлений'!F507, ".", ","))</f>
        <v>-12534</v>
      </c>
      <c r="G513" s="5">
        <f>VALUE(SUBSTITUTE('1000_заявлений'!G507, ".", ","))</f>
        <v>-23023</v>
      </c>
      <c r="H513" s="5">
        <f>VALUE(SUBSTITUTE('1000_заявлений'!H507, ".", ","))</f>
        <v>-4494</v>
      </c>
      <c r="I513" s="4">
        <f>VALUE(SUBSTITUTE('1000_заявлений'!I507, ".", ","))</f>
        <v>0.14704</v>
      </c>
      <c r="J513" s="4">
        <f>VALUE(SUBSTITUTE('1000_заявлений'!J507, ".", ","))</f>
        <v>3.5421482136394702</v>
      </c>
      <c r="K513" s="5">
        <f>VALUE(SUBSTITUTE('1000_заявлений'!K507, ".", ","))</f>
        <v>365243</v>
      </c>
      <c r="L513" s="6">
        <f>VALUE(SUBSTITUTE('1000_заявлений'!L507, ".", ","))</f>
        <v>16542</v>
      </c>
      <c r="M513" s="2" t="str">
        <f>IF(Данные[[#This Row],[proba]]&gt;$C$6, "отказ", "одобрение")</f>
        <v>отказ</v>
      </c>
      <c r="N513" s="7">
        <f>IF(Данные[[#This Row],[proba]]&lt;$D$2,$C$2,IF(Данные[[#This Row],[proba]]&lt;$D$3,$C$3,IF(Данные[[#This Row],[proba]]&gt;$C$6,0,$C$4)))</f>
        <v>0</v>
      </c>
      <c r="O513" s="2">
        <f>IF(Данные[[#This Row],[weighted_ext_score]]&gt;$O$1,MIN(Данные[[#This Row],[Базовая сумма]]*$O$2,$C$2),IF(Данные[[#This Row],[weighted_ext_score]]&lt;$O$3,Данные[[#This Row],[Базовая сумма]]*$O$4,N513))</f>
        <v>0</v>
      </c>
      <c r="P5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3" s="2">
        <f>ABS(Данные[[#This Row],[days_birth]])/365.2425</f>
        <v>63.034833021896411</v>
      </c>
      <c r="S5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3" s="2">
        <f>IF(Данные[[#This Row],[ interest_rate]]&gt;$T$1,Данные[[#This Row],[days_birth4]]*$T$2,Данные[[#This Row],[days_birth4]])</f>
        <v>0</v>
      </c>
      <c r="U513" s="2">
        <f>IF(Данные[[#This Row],[Проверка отказа]]="отказ",0,MAX(Данные[[#This Row],[interest_rate]],$C$1))</f>
        <v>0</v>
      </c>
      <c r="V513" s="2">
        <f>MROUND(Данные[[#This Row],[Минимум 20000]], 100)</f>
        <v>0</v>
      </c>
    </row>
    <row r="514" spans="1:22" x14ac:dyDescent="0.25">
      <c r="A514" s="2">
        <f>'1000_заявлений'!A508</f>
        <v>506</v>
      </c>
      <c r="B514" s="4">
        <f>VALUE(SUBSTITUTE('1000_заявлений'!B508, ".", ","))</f>
        <v>0.62821641297142505</v>
      </c>
      <c r="C514" s="4">
        <f>VALUE(SUBSTITUTE('1000_заявлений'!C508, ".", ","))</f>
        <v>0.40996438776542599</v>
      </c>
      <c r="D514" s="4">
        <f>VALUE(SUBSTITUTE('1000_заявлений'!D508, ".", ","))</f>
        <v>0.59719239999999996</v>
      </c>
      <c r="E514" s="4">
        <f>VALUE(SUBSTITUTE('1000_заявлений'!E508, ".", ","))</f>
        <v>0.25337163000000001</v>
      </c>
      <c r="F514" s="5">
        <f>VALUE(SUBSTITUTE('1000_заявлений'!F508, ".", ","))</f>
        <v>-4752</v>
      </c>
      <c r="G514" s="5">
        <f>VALUE(SUBSTITUTE('1000_заявлений'!G508, ".", ","))</f>
        <v>-11146</v>
      </c>
      <c r="H514" s="5">
        <f>VALUE(SUBSTITUTE('1000_заявлений'!H508, ".", ","))</f>
        <v>-695</v>
      </c>
      <c r="I514" s="4">
        <f>VALUE(SUBSTITUTE('1000_заявлений'!I508, ".", ","))</f>
        <v>0.39810000000000001</v>
      </c>
      <c r="J514" s="4">
        <f>VALUE(SUBSTITUTE('1000_заявлений'!J508, ".", ","))</f>
        <v>3.4635716682048701</v>
      </c>
      <c r="K514" s="5">
        <f>VALUE(SUBSTITUTE('1000_заявлений'!K508, ".", ","))</f>
        <v>-2910</v>
      </c>
      <c r="L514" s="6">
        <f>VALUE(SUBSTITUTE('1000_заявлений'!L508, ".", ","))</f>
        <v>17914.5</v>
      </c>
      <c r="M514" s="2" t="str">
        <f>IF(Данные[[#This Row],[proba]]&gt;$C$6, "отказ", "одобрение")</f>
        <v>отказ</v>
      </c>
      <c r="N514" s="7">
        <f>IF(Данные[[#This Row],[proba]]&lt;$D$2,$C$2,IF(Данные[[#This Row],[proba]]&lt;$D$3,$C$3,IF(Данные[[#This Row],[proba]]&gt;$C$6,0,$C$4)))</f>
        <v>0</v>
      </c>
      <c r="O514" s="2">
        <f>IF(Данные[[#This Row],[weighted_ext_score]]&gt;$O$1,MIN(Данные[[#This Row],[Базовая сумма]]*$O$2,$C$2),IF(Данные[[#This Row],[weighted_ext_score]]&lt;$O$3,Данные[[#This Row],[Базовая сумма]]*$O$4,N514))</f>
        <v>0</v>
      </c>
      <c r="P5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4" s="2">
        <f>ABS(Данные[[#This Row],[days_birth]])/365.2425</f>
        <v>30.516711499893905</v>
      </c>
      <c r="S5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4" s="2">
        <f>IF(Данные[[#This Row],[ interest_rate]]&gt;$T$1,Данные[[#This Row],[days_birth4]]*$T$2,Данные[[#This Row],[days_birth4]])</f>
        <v>0</v>
      </c>
      <c r="U514" s="2">
        <f>IF(Данные[[#This Row],[Проверка отказа]]="отказ",0,MAX(Данные[[#This Row],[interest_rate]],$C$1))</f>
        <v>0</v>
      </c>
      <c r="V514" s="2">
        <f>MROUND(Данные[[#This Row],[Минимум 20000]], 100)</f>
        <v>0</v>
      </c>
    </row>
    <row r="515" spans="1:22" x14ac:dyDescent="0.25">
      <c r="A515" s="2">
        <f>'1000_заявлений'!A509</f>
        <v>507</v>
      </c>
      <c r="B515" s="4">
        <f>VALUE(SUBSTITUTE('1000_заявлений'!B509, ".", ","))</f>
        <v>0.33152148423099198</v>
      </c>
      <c r="C515" s="4">
        <f>VALUE(SUBSTITUTE('1000_заявлений'!C509, ".", ","))</f>
        <v>0.37060091297237402</v>
      </c>
      <c r="D515" s="4">
        <f>VALUE(SUBSTITUTE('1000_заявлений'!D509, ".", ","))</f>
        <v>0.53527623000000002</v>
      </c>
      <c r="E515" s="4">
        <f>VALUE(SUBSTITUTE('1000_заявлений'!E509, ".", ","))</f>
        <v>0.54569210000000001</v>
      </c>
      <c r="F515" s="5">
        <f>VALUE(SUBSTITUTE('1000_заявлений'!F509, ".", ","))</f>
        <v>-2378</v>
      </c>
      <c r="G515" s="5">
        <f>VALUE(SUBSTITUTE('1000_заявлений'!G509, ".", ","))</f>
        <v>-22326</v>
      </c>
      <c r="H515" s="5">
        <f>VALUE(SUBSTITUTE('1000_заявлений'!H509, ".", ","))</f>
        <v>-4116</v>
      </c>
      <c r="I515" s="4">
        <f>VALUE(SUBSTITUTE('1000_заявлений'!I509, ".", ","))</f>
        <v>0.1875</v>
      </c>
      <c r="J515" s="4">
        <f>VALUE(SUBSTITUTE('1000_заявлений'!J509, ".", ","))</f>
        <v>10.6209759779781</v>
      </c>
      <c r="K515" s="5">
        <f>VALUE(SUBSTITUTE('1000_заявлений'!K509, ".", ","))</f>
        <v>365243</v>
      </c>
      <c r="L515" s="6">
        <f>VALUE(SUBSTITUTE('1000_заявлений'!L509, ".", ","))</f>
        <v>6750</v>
      </c>
      <c r="M515" s="2" t="str">
        <f>IF(Данные[[#This Row],[proba]]&gt;$C$6, "отказ", "одобрение")</f>
        <v>отказ</v>
      </c>
      <c r="N515" s="7">
        <f>IF(Данные[[#This Row],[proba]]&lt;$D$2,$C$2,IF(Данные[[#This Row],[proba]]&lt;$D$3,$C$3,IF(Данные[[#This Row],[proba]]&gt;$C$6,0,$C$4)))</f>
        <v>0</v>
      </c>
      <c r="O515" s="2">
        <f>IF(Данные[[#This Row],[weighted_ext_score]]&gt;$O$1,MIN(Данные[[#This Row],[Базовая сумма]]*$O$2,$C$2),IF(Данные[[#This Row],[weighted_ext_score]]&lt;$O$3,Данные[[#This Row],[Базовая сумма]]*$O$4,N515))</f>
        <v>0</v>
      </c>
      <c r="P5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5" s="2">
        <f>ABS(Данные[[#This Row],[days_birth]])/365.2425</f>
        <v>61.126511838025422</v>
      </c>
      <c r="S5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5" s="2">
        <f>IF(Данные[[#This Row],[ interest_rate]]&gt;$T$1,Данные[[#This Row],[days_birth4]]*$T$2,Данные[[#This Row],[days_birth4]])</f>
        <v>0</v>
      </c>
      <c r="U515" s="2">
        <f>IF(Данные[[#This Row],[Проверка отказа]]="отказ",0,MAX(Данные[[#This Row],[interest_rate]],$C$1))</f>
        <v>0</v>
      </c>
      <c r="V515" s="2">
        <f>MROUND(Данные[[#This Row],[Минимум 20000]], 100)</f>
        <v>0</v>
      </c>
    </row>
    <row r="516" spans="1:22" x14ac:dyDescent="0.25">
      <c r="A516" s="2">
        <f>'1000_заявлений'!A510</f>
        <v>508</v>
      </c>
      <c r="B516" s="4">
        <f>VALUE(SUBSTITUTE('1000_заявлений'!B510, ".", ","))</f>
        <v>0.69958528097423101</v>
      </c>
      <c r="C516" s="4">
        <f>VALUE(SUBSTITUTE('1000_заявлений'!C510, ".", ","))</f>
        <v>0.30465893039534903</v>
      </c>
      <c r="D516" s="4">
        <f>VALUE(SUBSTITUTE('1000_заявлений'!D510, ".", ","))</f>
        <v>0.20559815000000001</v>
      </c>
      <c r="E516" s="4">
        <f>VALUE(SUBSTITUTE('1000_заявлений'!E510, ".", ","))</f>
        <v>0.49697324999999998</v>
      </c>
      <c r="F516" s="5">
        <f>VALUE(SUBSTITUTE('1000_заявлений'!F510, ".", ","))</f>
        <v>-4174</v>
      </c>
      <c r="G516" s="5">
        <f>VALUE(SUBSTITUTE('1000_заявлений'!G510, ".", ","))</f>
        <v>-11373</v>
      </c>
      <c r="H516" s="5">
        <f>VALUE(SUBSTITUTE('1000_заявлений'!H510, ".", ","))</f>
        <v>-772</v>
      </c>
      <c r="I516" s="4">
        <f>VALUE(SUBSTITUTE('1000_заявлений'!I510, ".", ","))</f>
        <v>0.105111111111111</v>
      </c>
      <c r="J516" s="4">
        <f>VALUE(SUBSTITUTE('1000_заявлений'!J510, ".", ","))</f>
        <v>3.1464829729480299</v>
      </c>
      <c r="K516" s="5">
        <f>VALUE(SUBSTITUTE('1000_заявлений'!K510, ".", ","))</f>
        <v>-196</v>
      </c>
      <c r="L516" s="6">
        <f>VALUE(SUBSTITUTE('1000_заявлений'!L510, ".", ","))</f>
        <v>21285</v>
      </c>
      <c r="M516" s="2" t="str">
        <f>IF(Данные[[#This Row],[proba]]&gt;$C$6, "отказ", "одобрение")</f>
        <v>отказ</v>
      </c>
      <c r="N516" s="7">
        <f>IF(Данные[[#This Row],[proba]]&lt;$D$2,$C$2,IF(Данные[[#This Row],[proba]]&lt;$D$3,$C$3,IF(Данные[[#This Row],[proba]]&gt;$C$6,0,$C$4)))</f>
        <v>0</v>
      </c>
      <c r="O516" s="2">
        <f>IF(Данные[[#This Row],[weighted_ext_score]]&gt;$O$1,MIN(Данные[[#This Row],[Базовая сумма]]*$O$2,$C$2),IF(Данные[[#This Row],[weighted_ext_score]]&lt;$O$3,Данные[[#This Row],[Базовая сумма]]*$O$4,N516))</f>
        <v>0</v>
      </c>
      <c r="P5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6" s="2">
        <f>ABS(Данные[[#This Row],[days_birth]])/365.2425</f>
        <v>31.138216390480295</v>
      </c>
      <c r="S5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6" s="2">
        <f>IF(Данные[[#This Row],[ interest_rate]]&gt;$T$1,Данные[[#This Row],[days_birth4]]*$T$2,Данные[[#This Row],[days_birth4]])</f>
        <v>0</v>
      </c>
      <c r="U516" s="2">
        <f>IF(Данные[[#This Row],[Проверка отказа]]="отказ",0,MAX(Данные[[#This Row],[interest_rate]],$C$1))</f>
        <v>0</v>
      </c>
      <c r="V516" s="2">
        <f>MROUND(Данные[[#This Row],[Минимум 20000]], 100)</f>
        <v>0</v>
      </c>
    </row>
    <row r="517" spans="1:22" x14ac:dyDescent="0.25">
      <c r="A517" s="2">
        <f>'1000_заявлений'!A511</f>
        <v>509</v>
      </c>
      <c r="B517" s="4">
        <f>VALUE(SUBSTITUTE('1000_заявлений'!B511, ".", ","))</f>
        <v>0.26220756528848499</v>
      </c>
      <c r="C517" s="4">
        <f>VALUE(SUBSTITUTE('1000_заявлений'!C511, ".", ","))</f>
        <v>0.60270426372077801</v>
      </c>
      <c r="D517" s="4">
        <f>VALUE(SUBSTITUTE('1000_заявлений'!D511, ".", ","))</f>
        <v>0.59197664000000005</v>
      </c>
      <c r="E517" s="4">
        <f>VALUE(SUBSTITUTE('1000_заявлений'!E511, ".", ","))</f>
        <v>0.57145374999999998</v>
      </c>
      <c r="F517" s="5">
        <f>VALUE(SUBSTITUTE('1000_заявлений'!F511, ".", ","))</f>
        <v>-6020</v>
      </c>
      <c r="G517" s="5">
        <f>VALUE(SUBSTITUTE('1000_заявлений'!G511, ".", ","))</f>
        <v>-19536</v>
      </c>
      <c r="H517" s="5">
        <f>VALUE(SUBSTITUTE('1000_заявлений'!H511, ".", ","))</f>
        <v>-2041</v>
      </c>
      <c r="I517" s="4">
        <f>VALUE(SUBSTITUTE('1000_заявлений'!I511, ".", ","))</f>
        <v>0.1825</v>
      </c>
      <c r="J517" s="4">
        <f>VALUE(SUBSTITUTE('1000_заявлений'!J511, ".", ","))</f>
        <v>1.82350016999419</v>
      </c>
      <c r="K517" s="5">
        <f>VALUE(SUBSTITUTE('1000_заявлений'!K511, ".", ","))</f>
        <v>365243</v>
      </c>
      <c r="L517" s="6">
        <f>VALUE(SUBSTITUTE('1000_заявлений'!L511, ".", ","))</f>
        <v>8212.5</v>
      </c>
      <c r="M517" s="2" t="str">
        <f>IF(Данные[[#This Row],[proba]]&gt;$C$6, "отказ", "одобрение")</f>
        <v>одобрение</v>
      </c>
      <c r="N517" s="7">
        <f>IF(Данные[[#This Row],[proba]]&lt;$D$2,$C$2,IF(Данные[[#This Row],[proba]]&lt;$D$3,$C$3,IF(Данные[[#This Row],[proba]]&gt;$C$6,0,$C$4)))</f>
        <v>100000</v>
      </c>
      <c r="O517" s="2">
        <f>IF(Данные[[#This Row],[weighted_ext_score]]&gt;$O$1,MIN(Данные[[#This Row],[Базовая сумма]]*$O$2,$C$2),IF(Данные[[#This Row],[weighted_ext_score]]&lt;$O$3,Данные[[#This Row],[Базовая сумма]]*$O$4,N517))</f>
        <v>100000</v>
      </c>
      <c r="P5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517" s="2">
        <f>ABS(Данные[[#This Row],[days_birth]])/365.2425</f>
        <v>53.487751288527484</v>
      </c>
      <c r="S5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517" s="2">
        <f>IF(Данные[[#This Row],[ interest_rate]]&gt;$T$1,Данные[[#This Row],[days_birth4]]*$T$2,Данные[[#This Row],[days_birth4]])</f>
        <v>126000</v>
      </c>
      <c r="U517" s="2">
        <f>IF(Данные[[#This Row],[Проверка отказа]]="отказ",0,MAX(Данные[[#This Row],[interest_rate]],$C$1))</f>
        <v>126000</v>
      </c>
      <c r="V517" s="2">
        <f>MROUND(Данные[[#This Row],[Минимум 20000]], 100)</f>
        <v>126000</v>
      </c>
    </row>
    <row r="518" spans="1:22" x14ac:dyDescent="0.25">
      <c r="A518" s="2">
        <f>'1000_заявлений'!A512</f>
        <v>510</v>
      </c>
      <c r="B518" s="4">
        <f>VALUE(SUBSTITUTE('1000_заявлений'!B512, ".", ","))</f>
        <v>0.71286842791205696</v>
      </c>
      <c r="C518" s="4">
        <f>VALUE(SUBSTITUTE('1000_заявлений'!C512, ".", ","))</f>
        <v>0.26818450512386899</v>
      </c>
      <c r="D518" s="4">
        <f>VALUE(SUBSTITUTE('1000_заявлений'!D512, ".", ","))</f>
        <v>0.2091547</v>
      </c>
      <c r="E518" s="4">
        <f>VALUE(SUBSTITUTE('1000_заявлений'!E512, ".", ","))</f>
        <v>0.25757667000000001</v>
      </c>
      <c r="F518" s="5">
        <f>VALUE(SUBSTITUTE('1000_заявлений'!F512, ".", ","))</f>
        <v>-898</v>
      </c>
      <c r="G518" s="5">
        <f>VALUE(SUBSTITUTE('1000_заявлений'!G512, ".", ","))</f>
        <v>-14943</v>
      </c>
      <c r="H518" s="5">
        <f>VALUE(SUBSTITUTE('1000_заявлений'!H512, ".", ","))</f>
        <v>-4358</v>
      </c>
      <c r="I518" s="4">
        <f>VALUE(SUBSTITUTE('1000_заявлений'!I512, ".", ","))</f>
        <v>2.6119402985074602E-2</v>
      </c>
      <c r="J518" s="4">
        <f>VALUE(SUBSTITUTE('1000_заявлений'!J512, ".", ","))</f>
        <v>10.6209759779781</v>
      </c>
      <c r="K518" s="5">
        <f>VALUE(SUBSTITUTE('1000_заявлений'!K512, ".", ","))</f>
        <v>-7302</v>
      </c>
      <c r="L518" s="6">
        <f>VALUE(SUBSTITUTE('1000_заявлений'!L512, ".", ","))</f>
        <v>7875</v>
      </c>
      <c r="M518" s="2" t="str">
        <f>IF(Данные[[#This Row],[proba]]&gt;$C$6, "отказ", "одобрение")</f>
        <v>отказ</v>
      </c>
      <c r="N518" s="7">
        <f>IF(Данные[[#This Row],[proba]]&lt;$D$2,$C$2,IF(Данные[[#This Row],[proba]]&lt;$D$3,$C$3,IF(Данные[[#This Row],[proba]]&gt;$C$6,0,$C$4)))</f>
        <v>0</v>
      </c>
      <c r="O518" s="2">
        <f>IF(Данные[[#This Row],[weighted_ext_score]]&gt;$O$1,MIN(Данные[[#This Row],[Базовая сумма]]*$O$2,$C$2),IF(Данные[[#This Row],[weighted_ext_score]]&lt;$O$3,Данные[[#This Row],[Базовая сумма]]*$O$4,N518))</f>
        <v>0</v>
      </c>
      <c r="P5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8" s="2">
        <f>ABS(Данные[[#This Row],[days_birth]])/365.2425</f>
        <v>40.912544405429266</v>
      </c>
      <c r="S5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8" s="2">
        <f>IF(Данные[[#This Row],[ interest_rate]]&gt;$T$1,Данные[[#This Row],[days_birth4]]*$T$2,Данные[[#This Row],[days_birth4]])</f>
        <v>0</v>
      </c>
      <c r="U518" s="2">
        <f>IF(Данные[[#This Row],[Проверка отказа]]="отказ",0,MAX(Данные[[#This Row],[interest_rate]],$C$1))</f>
        <v>0</v>
      </c>
      <c r="V518" s="2">
        <f>MROUND(Данные[[#This Row],[Минимум 20000]], 100)</f>
        <v>0</v>
      </c>
    </row>
    <row r="519" spans="1:22" x14ac:dyDescent="0.25">
      <c r="A519" s="2">
        <f>'1000_заявлений'!A513</f>
        <v>511</v>
      </c>
      <c r="B519" s="4">
        <f>VALUE(SUBSTITUTE('1000_заявлений'!B513, ".", ","))</f>
        <v>0.43216478492107002</v>
      </c>
      <c r="C519" s="4">
        <f>VALUE(SUBSTITUTE('1000_заявлений'!C513, ".", ","))</f>
        <v>0.38104787377992499</v>
      </c>
      <c r="D519" s="4">
        <f>VALUE(SUBSTITUTE('1000_заявлений'!D513, ".", ","))</f>
        <v>0.69409262999999999</v>
      </c>
      <c r="E519" s="4">
        <f>VALUE(SUBSTITUTE('1000_заявлений'!E513, ".", ","))</f>
        <v>0.40082519999999999</v>
      </c>
      <c r="F519" s="5">
        <f>VALUE(SUBSTITUTE('1000_заявлений'!F513, ".", ","))</f>
        <v>-4794</v>
      </c>
      <c r="G519" s="5">
        <f>VALUE(SUBSTITUTE('1000_заявлений'!G513, ".", ","))</f>
        <v>-10438</v>
      </c>
      <c r="H519" s="5">
        <f>VALUE(SUBSTITUTE('1000_заявлений'!H513, ".", ","))</f>
        <v>-3019</v>
      </c>
      <c r="I519" s="4">
        <f>VALUE(SUBSTITUTE('1000_заявлений'!I513, ".", ","))</f>
        <v>0.15440000000000001</v>
      </c>
      <c r="J519" s="4">
        <f>VALUE(SUBSTITUTE('1000_заявлений'!J513, ".", ","))</f>
        <v>5.6187976884243396</v>
      </c>
      <c r="K519" s="5">
        <f>VALUE(SUBSTITUTE('1000_заявлений'!K513, ".", ","))</f>
        <v>-1550</v>
      </c>
      <c r="L519" s="6">
        <f>VALUE(SUBSTITUTE('1000_заявлений'!L513, ".", ","))</f>
        <v>17370</v>
      </c>
      <c r="M519" s="2" t="str">
        <f>IF(Данные[[#This Row],[proba]]&gt;$C$6, "отказ", "одобрение")</f>
        <v>отказ</v>
      </c>
      <c r="N519" s="7">
        <f>IF(Данные[[#This Row],[proba]]&lt;$D$2,$C$2,IF(Данные[[#This Row],[proba]]&lt;$D$3,$C$3,IF(Данные[[#This Row],[proba]]&gt;$C$6,0,$C$4)))</f>
        <v>0</v>
      </c>
      <c r="O519" s="2">
        <f>IF(Данные[[#This Row],[weighted_ext_score]]&gt;$O$1,MIN(Данные[[#This Row],[Базовая сумма]]*$O$2,$C$2),IF(Данные[[#This Row],[weighted_ext_score]]&lt;$O$3,Данные[[#This Row],[Базовая сумма]]*$O$4,N519))</f>
        <v>0</v>
      </c>
      <c r="P5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19" s="2">
        <f>ABS(Данные[[#This Row],[days_birth]])/365.2425</f>
        <v>28.578273338946044</v>
      </c>
      <c r="S5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19" s="2">
        <f>IF(Данные[[#This Row],[ interest_rate]]&gt;$T$1,Данные[[#This Row],[days_birth4]]*$T$2,Данные[[#This Row],[days_birth4]])</f>
        <v>0</v>
      </c>
      <c r="U519" s="2">
        <f>IF(Данные[[#This Row],[Проверка отказа]]="отказ",0,MAX(Данные[[#This Row],[interest_rate]],$C$1))</f>
        <v>0</v>
      </c>
      <c r="V519" s="2">
        <f>MROUND(Данные[[#This Row],[Минимум 20000]], 100)</f>
        <v>0</v>
      </c>
    </row>
    <row r="520" spans="1:22" x14ac:dyDescent="0.25">
      <c r="A520" s="2">
        <f>'1000_заявлений'!A514</f>
        <v>512</v>
      </c>
      <c r="B520" s="4">
        <f>VALUE(SUBSTITUTE('1000_заявлений'!B514, ".", ","))</f>
        <v>0.312472930313479</v>
      </c>
      <c r="C520" s="4">
        <f>VALUE(SUBSTITUTE('1000_заявлений'!C514, ".", ","))</f>
        <v>0.35888367715319303</v>
      </c>
      <c r="D520" s="4">
        <f>VALUE(SUBSTITUTE('1000_заявлений'!D514, ".", ","))</f>
        <v>0.50287824999999997</v>
      </c>
      <c r="E520" s="4">
        <f>VALUE(SUBSTITUTE('1000_заявлений'!E514, ".", ","))</f>
        <v>0.54569210000000001</v>
      </c>
      <c r="F520" s="5">
        <f>VALUE(SUBSTITUTE('1000_заявлений'!F514, ".", ","))</f>
        <v>-12316</v>
      </c>
      <c r="G520" s="5">
        <f>VALUE(SUBSTITUTE('1000_заявлений'!G514, ".", ","))</f>
        <v>-20740</v>
      </c>
      <c r="H520" s="5">
        <f>VALUE(SUBSTITUTE('1000_заявлений'!H514, ".", ","))</f>
        <v>-3990</v>
      </c>
      <c r="I520" s="4">
        <f>VALUE(SUBSTITUTE('1000_заявлений'!I514, ".", ","))</f>
        <v>0.06</v>
      </c>
      <c r="J520" s="4">
        <f>VALUE(SUBSTITUTE('1000_заявлений'!J514, ".", ","))</f>
        <v>10.6209759779781</v>
      </c>
      <c r="K520" s="5">
        <f>VALUE(SUBSTITUTE('1000_заявлений'!K514, ".", ","))</f>
        <v>365243</v>
      </c>
      <c r="L520" s="6">
        <f>VALUE(SUBSTITUTE('1000_заявлений'!L514, ".", ","))</f>
        <v>6750</v>
      </c>
      <c r="M520" s="2" t="str">
        <f>IF(Данные[[#This Row],[proba]]&gt;$C$6, "отказ", "одобрение")</f>
        <v>отказ</v>
      </c>
      <c r="N520" s="7">
        <f>IF(Данные[[#This Row],[proba]]&lt;$D$2,$C$2,IF(Данные[[#This Row],[proba]]&lt;$D$3,$C$3,IF(Данные[[#This Row],[proba]]&gt;$C$6,0,$C$4)))</f>
        <v>0</v>
      </c>
      <c r="O520" s="2">
        <f>IF(Данные[[#This Row],[weighted_ext_score]]&gt;$O$1,MIN(Данные[[#This Row],[Базовая сумма]]*$O$2,$C$2),IF(Данные[[#This Row],[weighted_ext_score]]&lt;$O$3,Данные[[#This Row],[Базовая сумма]]*$O$4,N520))</f>
        <v>0</v>
      </c>
      <c r="P5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0" s="2">
        <f>ABS(Данные[[#This Row],[days_birth]])/365.2425</f>
        <v>56.784191324941645</v>
      </c>
      <c r="S5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0" s="2">
        <f>IF(Данные[[#This Row],[ interest_rate]]&gt;$T$1,Данные[[#This Row],[days_birth4]]*$T$2,Данные[[#This Row],[days_birth4]])</f>
        <v>0</v>
      </c>
      <c r="U520" s="2">
        <f>IF(Данные[[#This Row],[Проверка отказа]]="отказ",0,MAX(Данные[[#This Row],[interest_rate]],$C$1))</f>
        <v>0</v>
      </c>
      <c r="V520" s="2">
        <f>MROUND(Данные[[#This Row],[Минимум 20000]], 100)</f>
        <v>0</v>
      </c>
    </row>
    <row r="521" spans="1:22" x14ac:dyDescent="0.25">
      <c r="A521" s="2">
        <f>'1000_заявлений'!A515</f>
        <v>513</v>
      </c>
      <c r="B521" s="4">
        <f>VALUE(SUBSTITUTE('1000_заявлений'!B515, ".", ","))</f>
        <v>0.49061571726729603</v>
      </c>
      <c r="C521" s="4">
        <f>VALUE(SUBSTITUTE('1000_заявлений'!C515, ".", ","))</f>
        <v>0.328727415884629</v>
      </c>
      <c r="D521" s="4">
        <f>VALUE(SUBSTITUTE('1000_заявлений'!D515, ".", ","))</f>
        <v>0.54781049999999998</v>
      </c>
      <c r="E521" s="4">
        <f>VALUE(SUBSTITUTE('1000_заявлений'!E515, ".", ","))</f>
        <v>0.40262791999999997</v>
      </c>
      <c r="F521" s="5">
        <f>VALUE(SUBSTITUTE('1000_заявлений'!F515, ".", ","))</f>
        <v>-2274</v>
      </c>
      <c r="G521" s="5">
        <f>VALUE(SUBSTITUTE('1000_заявлений'!G515, ".", ","))</f>
        <v>-13934</v>
      </c>
      <c r="H521" s="5">
        <f>VALUE(SUBSTITUTE('1000_заявлений'!H515, ".", ","))</f>
        <v>-4536</v>
      </c>
      <c r="I521" s="4">
        <f>VALUE(SUBSTITUTE('1000_заявлений'!I515, ".", ","))</f>
        <v>0.26266666666666599</v>
      </c>
      <c r="J521" s="4">
        <f>VALUE(SUBSTITUTE('1000_заявлений'!J515, ".", ","))</f>
        <v>5.1304496483649098</v>
      </c>
      <c r="K521" s="5">
        <f>VALUE(SUBSTITUTE('1000_заявлений'!K515, ".", ","))</f>
        <v>365243</v>
      </c>
      <c r="L521" s="6">
        <f>VALUE(SUBSTITUTE('1000_заявлений'!L515, ".", ","))</f>
        <v>19503</v>
      </c>
      <c r="M521" s="2" t="str">
        <f>IF(Данные[[#This Row],[proba]]&gt;$C$6, "отказ", "одобрение")</f>
        <v>отказ</v>
      </c>
      <c r="N521" s="7">
        <f>IF(Данные[[#This Row],[proba]]&lt;$D$2,$C$2,IF(Данные[[#This Row],[proba]]&lt;$D$3,$C$3,IF(Данные[[#This Row],[proba]]&gt;$C$6,0,$C$4)))</f>
        <v>0</v>
      </c>
      <c r="O521" s="2">
        <f>IF(Данные[[#This Row],[weighted_ext_score]]&gt;$O$1,MIN(Данные[[#This Row],[Базовая сумма]]*$O$2,$C$2),IF(Данные[[#This Row],[weighted_ext_score]]&lt;$O$3,Данные[[#This Row],[Базовая сумма]]*$O$4,N521))</f>
        <v>0</v>
      </c>
      <c r="P5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1" s="2">
        <f>ABS(Данные[[#This Row],[days_birth]])/365.2425</f>
        <v>38.149996235377863</v>
      </c>
      <c r="S5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1" s="2">
        <f>IF(Данные[[#This Row],[ interest_rate]]&gt;$T$1,Данные[[#This Row],[days_birth4]]*$T$2,Данные[[#This Row],[days_birth4]])</f>
        <v>0</v>
      </c>
      <c r="U521" s="2">
        <f>IF(Данные[[#This Row],[Проверка отказа]]="отказ",0,MAX(Данные[[#This Row],[interest_rate]],$C$1))</f>
        <v>0</v>
      </c>
      <c r="V521" s="2">
        <f>MROUND(Данные[[#This Row],[Минимум 20000]], 100)</f>
        <v>0</v>
      </c>
    </row>
    <row r="522" spans="1:22" x14ac:dyDescent="0.25">
      <c r="A522" s="2">
        <f>'1000_заявлений'!A516</f>
        <v>514</v>
      </c>
      <c r="B522" s="4">
        <f>VALUE(SUBSTITUTE('1000_заявлений'!B516, ".", ","))</f>
        <v>0.346785400646895</v>
      </c>
      <c r="C522" s="4">
        <f>VALUE(SUBSTITUTE('1000_заявлений'!C516, ".", ","))</f>
        <v>0.37267411968279002</v>
      </c>
      <c r="D522" s="4">
        <f>VALUE(SUBSTITUTE('1000_заявлений'!D516, ".", ","))</f>
        <v>0.41359675000000001</v>
      </c>
      <c r="E522" s="4">
        <f>VALUE(SUBSTITUTE('1000_заявлений'!E516, ".", ","))</f>
        <v>0.68775059999999999</v>
      </c>
      <c r="F522" s="5">
        <f>VALUE(SUBSTITUTE('1000_заявлений'!F516, ".", ","))</f>
        <v>-3788</v>
      </c>
      <c r="G522" s="5">
        <f>VALUE(SUBSTITUTE('1000_заявлений'!G516, ".", ","))</f>
        <v>-19564</v>
      </c>
      <c r="H522" s="5">
        <f>VALUE(SUBSTITUTE('1000_заявлений'!H516, ".", ","))</f>
        <v>-3074</v>
      </c>
      <c r="I522" s="4">
        <f>VALUE(SUBSTITUTE('1000_заявлений'!I516, ".", ","))</f>
        <v>0.27684999999999998</v>
      </c>
      <c r="J522" s="4">
        <f>VALUE(SUBSTITUTE('1000_заявлений'!J516, ".", ","))</f>
        <v>7.9422049573212901</v>
      </c>
      <c r="K522" s="5">
        <f>VALUE(SUBSTITUTE('1000_заявлений'!K516, ".", ","))</f>
        <v>365243</v>
      </c>
      <c r="L522" s="6">
        <f>VALUE(SUBSTITUTE('1000_заявлений'!L516, ".", ","))</f>
        <v>74749.5</v>
      </c>
      <c r="M522" s="2" t="str">
        <f>IF(Данные[[#This Row],[proba]]&gt;$C$6, "отказ", "одобрение")</f>
        <v>отказ</v>
      </c>
      <c r="N522" s="7">
        <f>IF(Данные[[#This Row],[proba]]&lt;$D$2,$C$2,IF(Данные[[#This Row],[proba]]&lt;$D$3,$C$3,IF(Данные[[#This Row],[proba]]&gt;$C$6,0,$C$4)))</f>
        <v>0</v>
      </c>
      <c r="O522" s="2">
        <f>IF(Данные[[#This Row],[weighted_ext_score]]&gt;$O$1,MIN(Данные[[#This Row],[Базовая сумма]]*$O$2,$C$2),IF(Данные[[#This Row],[weighted_ext_score]]&lt;$O$3,Данные[[#This Row],[Базовая сумма]]*$O$4,N522))</f>
        <v>0</v>
      </c>
      <c r="P5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2" s="2">
        <f>ABS(Данные[[#This Row],[days_birth]])/365.2425</f>
        <v>53.564412684723159</v>
      </c>
      <c r="S5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2" s="2">
        <f>IF(Данные[[#This Row],[ interest_rate]]&gt;$T$1,Данные[[#This Row],[days_birth4]]*$T$2,Данные[[#This Row],[days_birth4]])</f>
        <v>0</v>
      </c>
      <c r="U522" s="2">
        <f>IF(Данные[[#This Row],[Проверка отказа]]="отказ",0,MAX(Данные[[#This Row],[interest_rate]],$C$1))</f>
        <v>0</v>
      </c>
      <c r="V522" s="2">
        <f>MROUND(Данные[[#This Row],[Минимум 20000]], 100)</f>
        <v>0</v>
      </c>
    </row>
    <row r="523" spans="1:22" x14ac:dyDescent="0.25">
      <c r="A523" s="2">
        <f>'1000_заявлений'!A517</f>
        <v>515</v>
      </c>
      <c r="B523" s="4">
        <f>VALUE(SUBSTITUTE('1000_заявлений'!B517, ".", ","))</f>
        <v>0.492779653591436</v>
      </c>
      <c r="C523" s="4">
        <f>VALUE(SUBSTITUTE('1000_заявлений'!C517, ".", ","))</f>
        <v>0.30827356707285303</v>
      </c>
      <c r="D523" s="4">
        <f>VALUE(SUBSTITUTE('1000_заявлений'!D517, ".", ","))</f>
        <v>0.61441440000000003</v>
      </c>
      <c r="E523" s="4">
        <f>VALUE(SUBSTITUTE('1000_заявлений'!E517, ".", ","))</f>
        <v>0.26531175000000001</v>
      </c>
      <c r="F523" s="5">
        <f>VALUE(SUBSTITUTE('1000_заявлений'!F517, ".", ","))</f>
        <v>-862</v>
      </c>
      <c r="G523" s="5">
        <f>VALUE(SUBSTITUTE('1000_заявлений'!G517, ".", ","))</f>
        <v>-22902</v>
      </c>
      <c r="H523" s="5">
        <f>VALUE(SUBSTITUTE('1000_заявлений'!H517, ".", ","))</f>
        <v>-4145</v>
      </c>
      <c r="I523" s="4">
        <f>VALUE(SUBSTITUTE('1000_заявлений'!I517, ".", ","))</f>
        <v>0.31591999999999998</v>
      </c>
      <c r="J523" s="4">
        <f>VALUE(SUBSTITUTE('1000_заявлений'!J517, ".", ","))</f>
        <v>1.80996976939682</v>
      </c>
      <c r="K523" s="5">
        <f>VALUE(SUBSTITUTE('1000_заявлений'!K517, ".", ","))</f>
        <v>365243</v>
      </c>
      <c r="L523" s="6">
        <f>VALUE(SUBSTITUTE('1000_заявлений'!L517, ".", ","))</f>
        <v>35541</v>
      </c>
      <c r="M523" s="2" t="str">
        <f>IF(Данные[[#This Row],[proba]]&gt;$C$6, "отказ", "одобрение")</f>
        <v>отказ</v>
      </c>
      <c r="N523" s="7">
        <f>IF(Данные[[#This Row],[proba]]&lt;$D$2,$C$2,IF(Данные[[#This Row],[proba]]&lt;$D$3,$C$3,IF(Данные[[#This Row],[proba]]&gt;$C$6,0,$C$4)))</f>
        <v>0</v>
      </c>
      <c r="O523" s="2">
        <f>IF(Данные[[#This Row],[weighted_ext_score]]&gt;$O$1,MIN(Данные[[#This Row],[Базовая сумма]]*$O$2,$C$2),IF(Данные[[#This Row],[weighted_ext_score]]&lt;$O$3,Данные[[#This Row],[Базовая сумма]]*$O$4,N523))</f>
        <v>0</v>
      </c>
      <c r="P5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3" s="2">
        <f>ABS(Данные[[#This Row],[days_birth]])/365.2425</f>
        <v>62.703546274050801</v>
      </c>
      <c r="S5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3" s="2">
        <f>IF(Данные[[#This Row],[ interest_rate]]&gt;$T$1,Данные[[#This Row],[days_birth4]]*$T$2,Данные[[#This Row],[days_birth4]])</f>
        <v>0</v>
      </c>
      <c r="U523" s="2">
        <f>IF(Данные[[#This Row],[Проверка отказа]]="отказ",0,MAX(Данные[[#This Row],[interest_rate]],$C$1))</f>
        <v>0</v>
      </c>
      <c r="V523" s="2">
        <f>MROUND(Данные[[#This Row],[Минимум 20000]], 100)</f>
        <v>0</v>
      </c>
    </row>
    <row r="524" spans="1:22" x14ac:dyDescent="0.25">
      <c r="A524" s="2">
        <f>'1000_заявлений'!A518</f>
        <v>516</v>
      </c>
      <c r="B524" s="4">
        <f>VALUE(SUBSTITUTE('1000_заявлений'!B518, ".", ","))</f>
        <v>0.59208089340700298</v>
      </c>
      <c r="C524" s="4">
        <f>VALUE(SUBSTITUTE('1000_заявлений'!C518, ".", ","))</f>
        <v>0.41546096580966202</v>
      </c>
      <c r="D524" s="4">
        <f>VALUE(SUBSTITUTE('1000_заявлений'!D518, ".", ","))</f>
        <v>0.49746889999999999</v>
      </c>
      <c r="E524" s="4">
        <f>VALUE(SUBSTITUTE('1000_заявлений'!E518, ".", ","))</f>
        <v>7.0062739999999998E-3</v>
      </c>
      <c r="F524" s="5">
        <f>VALUE(SUBSTITUTE('1000_заявлений'!F518, ".", ","))</f>
        <v>-1965</v>
      </c>
      <c r="G524" s="5">
        <f>VALUE(SUBSTITUTE('1000_заявлений'!G518, ".", ","))</f>
        <v>-20555</v>
      </c>
      <c r="H524" s="5">
        <f>VALUE(SUBSTITUTE('1000_заявлений'!H518, ".", ","))</f>
        <v>-4064</v>
      </c>
      <c r="I524" s="4">
        <f>VALUE(SUBSTITUTE('1000_заявлений'!I518, ".", ","))</f>
        <v>0.17821875000000001</v>
      </c>
      <c r="J524" s="4">
        <f>VALUE(SUBSTITUTE('1000_заявлений'!J518, ".", ","))</f>
        <v>1.89886294064995</v>
      </c>
      <c r="K524" s="5">
        <f>VALUE(SUBSTITUTE('1000_заявлений'!K518, ".", ","))</f>
        <v>365243</v>
      </c>
      <c r="L524" s="6">
        <f>VALUE(SUBSTITUTE('1000_заявлений'!L518, ".", ","))</f>
        <v>25663.5</v>
      </c>
      <c r="M524" s="2" t="str">
        <f>IF(Данные[[#This Row],[proba]]&gt;$C$6, "отказ", "одобрение")</f>
        <v>отказ</v>
      </c>
      <c r="N524" s="7">
        <f>IF(Данные[[#This Row],[proba]]&lt;$D$2,$C$2,IF(Данные[[#This Row],[proba]]&lt;$D$3,$C$3,IF(Данные[[#This Row],[proba]]&gt;$C$6,0,$C$4)))</f>
        <v>0</v>
      </c>
      <c r="O524" s="2">
        <f>IF(Данные[[#This Row],[weighted_ext_score]]&gt;$O$1,MIN(Данные[[#This Row],[Базовая сумма]]*$O$2,$C$2),IF(Данные[[#This Row],[weighted_ext_score]]&lt;$O$3,Данные[[#This Row],[Базовая сумма]]*$O$4,N524))</f>
        <v>0</v>
      </c>
      <c r="P5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4" s="2">
        <f>ABS(Данные[[#This Row],[days_birth]])/365.2425</f>
        <v>56.277678528648771</v>
      </c>
      <c r="S5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4" s="2">
        <f>IF(Данные[[#This Row],[ interest_rate]]&gt;$T$1,Данные[[#This Row],[days_birth4]]*$T$2,Данные[[#This Row],[days_birth4]])</f>
        <v>0</v>
      </c>
      <c r="U524" s="2">
        <f>IF(Данные[[#This Row],[Проверка отказа]]="отказ",0,MAX(Данные[[#This Row],[interest_rate]],$C$1))</f>
        <v>0</v>
      </c>
      <c r="V524" s="2">
        <f>MROUND(Данные[[#This Row],[Минимум 20000]], 100)</f>
        <v>0</v>
      </c>
    </row>
    <row r="525" spans="1:22" x14ac:dyDescent="0.25">
      <c r="A525" s="2">
        <f>'1000_заявлений'!A519</f>
        <v>517</v>
      </c>
      <c r="B525" s="4">
        <f>VALUE(SUBSTITUTE('1000_заявлений'!B519, ".", ","))</f>
        <v>0.55783530624261901</v>
      </c>
      <c r="C525" s="4">
        <f>VALUE(SUBSTITUTE('1000_заявлений'!C519, ".", ","))</f>
        <v>0.50191471176996805</v>
      </c>
      <c r="D525" s="4">
        <f>VALUE(SUBSTITUTE('1000_заявлений'!D519, ".", ","))</f>
        <v>0.13342925999999999</v>
      </c>
      <c r="E525" s="4">
        <f>VALUE(SUBSTITUTE('1000_заявлений'!E519, ".", ","))</f>
        <v>0.67804359999999997</v>
      </c>
      <c r="F525" s="5">
        <f>VALUE(SUBSTITUTE('1000_заявлений'!F519, ".", ","))</f>
        <v>-2169</v>
      </c>
      <c r="G525" s="5">
        <f>VALUE(SUBSTITUTE('1000_заявлений'!G519, ".", ","))</f>
        <v>-17243</v>
      </c>
      <c r="H525" s="5">
        <f>VALUE(SUBSTITUTE('1000_заявлений'!H519, ".", ","))</f>
        <v>-769</v>
      </c>
      <c r="I525" s="4">
        <f>VALUE(SUBSTITUTE('1000_заявлений'!I519, ".", ","))</f>
        <v>0.21877777777777699</v>
      </c>
      <c r="J525" s="4">
        <f>VALUE(SUBSTITUTE('1000_заявлений'!J519, ".", ","))</f>
        <v>3.0449571214181899</v>
      </c>
      <c r="K525" s="5">
        <f>VALUE(SUBSTITUTE('1000_заявлений'!K519, ".", ","))</f>
        <v>-1567</v>
      </c>
      <c r="L525" s="6">
        <f>VALUE(SUBSTITUTE('1000_заявлений'!L519, ".", ","))</f>
        <v>44302.5</v>
      </c>
      <c r="M525" s="2" t="str">
        <f>IF(Данные[[#This Row],[proba]]&gt;$C$6, "отказ", "одобрение")</f>
        <v>отказ</v>
      </c>
      <c r="N525" s="7">
        <f>IF(Данные[[#This Row],[proba]]&lt;$D$2,$C$2,IF(Данные[[#This Row],[proba]]&lt;$D$3,$C$3,IF(Данные[[#This Row],[proba]]&gt;$C$6,0,$C$4)))</f>
        <v>0</v>
      </c>
      <c r="O525" s="2">
        <f>IF(Данные[[#This Row],[weighted_ext_score]]&gt;$O$1,MIN(Данные[[#This Row],[Базовая сумма]]*$O$2,$C$2),IF(Данные[[#This Row],[weighted_ext_score]]&lt;$O$3,Данные[[#This Row],[Базовая сумма]]*$O$4,N525))</f>
        <v>0</v>
      </c>
      <c r="P5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5" s="2">
        <f>ABS(Данные[[#This Row],[days_birth]])/365.2425</f>
        <v>47.209730521502834</v>
      </c>
      <c r="S5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5" s="2">
        <f>IF(Данные[[#This Row],[ interest_rate]]&gt;$T$1,Данные[[#This Row],[days_birth4]]*$T$2,Данные[[#This Row],[days_birth4]])</f>
        <v>0</v>
      </c>
      <c r="U525" s="2">
        <f>IF(Данные[[#This Row],[Проверка отказа]]="отказ",0,MAX(Данные[[#This Row],[interest_rate]],$C$1))</f>
        <v>0</v>
      </c>
      <c r="V525" s="2">
        <f>MROUND(Данные[[#This Row],[Минимум 20000]], 100)</f>
        <v>0</v>
      </c>
    </row>
    <row r="526" spans="1:22" x14ac:dyDescent="0.25">
      <c r="A526" s="2">
        <f>'1000_заявлений'!A520</f>
        <v>518</v>
      </c>
      <c r="B526" s="4">
        <f>VALUE(SUBSTITUTE('1000_заявлений'!B520, ".", ","))</f>
        <v>0.36259629696543899</v>
      </c>
      <c r="C526" s="4">
        <f>VALUE(SUBSTITUTE('1000_заявлений'!C520, ".", ","))</f>
        <v>0.39691698245179202</v>
      </c>
      <c r="D526" s="4">
        <f>VALUE(SUBSTITUTE('1000_заявлений'!D520, ".", ","))</f>
        <v>0.46506920000000002</v>
      </c>
      <c r="E526" s="4">
        <f>VALUE(SUBSTITUTE('1000_заявлений'!E520, ".", ","))</f>
        <v>0.70509785000000003</v>
      </c>
      <c r="F526" s="5">
        <f>VALUE(SUBSTITUTE('1000_заявлений'!F520, ".", ","))</f>
        <v>-935</v>
      </c>
      <c r="G526" s="5">
        <f>VALUE(SUBSTITUTE('1000_заявлений'!G520, ".", ","))</f>
        <v>-22151</v>
      </c>
      <c r="H526" s="5">
        <f>VALUE(SUBSTITUTE('1000_заявлений'!H520, ".", ","))</f>
        <v>-4168</v>
      </c>
      <c r="I526" s="4">
        <f>VALUE(SUBSTITUTE('1000_заявлений'!I520, ".", ","))</f>
        <v>0.16031428571428499</v>
      </c>
      <c r="J526" s="4">
        <f>VALUE(SUBSTITUTE('1000_заявлений'!J520, ".", ","))</f>
        <v>2.58180098374494</v>
      </c>
      <c r="K526" s="5">
        <f>VALUE(SUBSTITUTE('1000_заявлений'!K520, ".", ","))</f>
        <v>-6648</v>
      </c>
      <c r="L526" s="6">
        <f>VALUE(SUBSTITUTE('1000_заявлений'!L520, ".", ","))</f>
        <v>25249.5</v>
      </c>
      <c r="M526" s="2" t="str">
        <f>IF(Данные[[#This Row],[proba]]&gt;$C$6, "отказ", "одобрение")</f>
        <v>отказ</v>
      </c>
      <c r="N526" s="7">
        <f>IF(Данные[[#This Row],[proba]]&lt;$D$2,$C$2,IF(Данные[[#This Row],[proba]]&lt;$D$3,$C$3,IF(Данные[[#This Row],[proba]]&gt;$C$6,0,$C$4)))</f>
        <v>0</v>
      </c>
      <c r="O526" s="2">
        <f>IF(Данные[[#This Row],[weighted_ext_score]]&gt;$O$1,MIN(Данные[[#This Row],[Базовая сумма]]*$O$2,$C$2),IF(Данные[[#This Row],[weighted_ext_score]]&lt;$O$3,Данные[[#This Row],[Базовая сумма]]*$O$4,N526))</f>
        <v>0</v>
      </c>
      <c r="P5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6" s="2">
        <f>ABS(Данные[[#This Row],[days_birth]])/365.2425</f>
        <v>60.647378111802432</v>
      </c>
      <c r="S5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6" s="2">
        <f>IF(Данные[[#This Row],[ interest_rate]]&gt;$T$1,Данные[[#This Row],[days_birth4]]*$T$2,Данные[[#This Row],[days_birth4]])</f>
        <v>0</v>
      </c>
      <c r="U526" s="2">
        <f>IF(Данные[[#This Row],[Проверка отказа]]="отказ",0,MAX(Данные[[#This Row],[interest_rate]],$C$1))</f>
        <v>0</v>
      </c>
      <c r="V526" s="2">
        <f>MROUND(Данные[[#This Row],[Минимум 20000]], 100)</f>
        <v>0</v>
      </c>
    </row>
    <row r="527" spans="1:22" x14ac:dyDescent="0.25">
      <c r="A527" s="2">
        <f>'1000_заявлений'!A521</f>
        <v>519</v>
      </c>
      <c r="B527" s="4">
        <f>VALUE(SUBSTITUTE('1000_заявлений'!B521, ".", ","))</f>
        <v>0.66425797902005701</v>
      </c>
      <c r="C527" s="4">
        <f>VALUE(SUBSTITUTE('1000_заявлений'!C521, ".", ","))</f>
        <v>0.35403684908180799</v>
      </c>
      <c r="D527" s="4">
        <f>VALUE(SUBSTITUTE('1000_заявлений'!D521, ".", ","))</f>
        <v>0.119877964</v>
      </c>
      <c r="E527" s="4">
        <f>VALUE(SUBSTITUTE('1000_заявлений'!E521, ".", ","))</f>
        <v>0.59996592999999998</v>
      </c>
      <c r="F527" s="5">
        <f>VALUE(SUBSTITUTE('1000_заявлений'!F521, ".", ","))</f>
        <v>-952</v>
      </c>
      <c r="G527" s="5">
        <f>VALUE(SUBSTITUTE('1000_заявлений'!G521, ".", ","))</f>
        <v>-11574</v>
      </c>
      <c r="H527" s="5">
        <f>VALUE(SUBSTITUTE('1000_заявлений'!H521, ".", ","))</f>
        <v>-3912</v>
      </c>
      <c r="I527" s="4">
        <f>VALUE(SUBSTITUTE('1000_заявлений'!I521, ".", ","))</f>
        <v>4.7919999999999997E-2</v>
      </c>
      <c r="J527" s="4">
        <f>VALUE(SUBSTITUTE('1000_заявлений'!J521, ".", ","))</f>
        <v>1.24011373224113</v>
      </c>
      <c r="K527" s="5">
        <f>VALUE(SUBSTITUTE('1000_заявлений'!K521, ".", ","))</f>
        <v>-3168</v>
      </c>
      <c r="L527" s="6">
        <f>VALUE(SUBSTITUTE('1000_заявлений'!L521, ".", ","))</f>
        <v>10782</v>
      </c>
      <c r="M527" s="2" t="str">
        <f>IF(Данные[[#This Row],[proba]]&gt;$C$6, "отказ", "одобрение")</f>
        <v>отказ</v>
      </c>
      <c r="N527" s="7">
        <f>IF(Данные[[#This Row],[proba]]&lt;$D$2,$C$2,IF(Данные[[#This Row],[proba]]&lt;$D$3,$C$3,IF(Данные[[#This Row],[proba]]&gt;$C$6,0,$C$4)))</f>
        <v>0</v>
      </c>
      <c r="O527" s="2">
        <f>IF(Данные[[#This Row],[weighted_ext_score]]&gt;$O$1,MIN(Данные[[#This Row],[Базовая сумма]]*$O$2,$C$2),IF(Данные[[#This Row],[weighted_ext_score]]&lt;$O$3,Данные[[#This Row],[Базовая сумма]]*$O$4,N527))</f>
        <v>0</v>
      </c>
      <c r="P5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7" s="2">
        <f>ABS(Данные[[#This Row],[days_birth]])/365.2425</f>
        <v>31.688535698884987</v>
      </c>
      <c r="S5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7" s="2">
        <f>IF(Данные[[#This Row],[ interest_rate]]&gt;$T$1,Данные[[#This Row],[days_birth4]]*$T$2,Данные[[#This Row],[days_birth4]])</f>
        <v>0</v>
      </c>
      <c r="U527" s="2">
        <f>IF(Данные[[#This Row],[Проверка отказа]]="отказ",0,MAX(Данные[[#This Row],[interest_rate]],$C$1))</f>
        <v>0</v>
      </c>
      <c r="V527" s="2">
        <f>MROUND(Данные[[#This Row],[Минимум 20000]], 100)</f>
        <v>0</v>
      </c>
    </row>
    <row r="528" spans="1:22" x14ac:dyDescent="0.25">
      <c r="A528" s="2">
        <f>'1000_заявлений'!A522</f>
        <v>520</v>
      </c>
      <c r="B528" s="4">
        <f>VALUE(SUBSTITUTE('1000_заявлений'!B522, ".", ","))</f>
        <v>0.42524828188163799</v>
      </c>
      <c r="C528" s="4">
        <f>VALUE(SUBSTITUTE('1000_заявлений'!C522, ".", ","))</f>
        <v>0.44188371757262601</v>
      </c>
      <c r="D528" s="4">
        <f>VALUE(SUBSTITUTE('1000_заявлений'!D522, ".", ","))</f>
        <v>0.41709964999999999</v>
      </c>
      <c r="E528" s="4">
        <f>VALUE(SUBSTITUTE('1000_заявлений'!E522, ".", ","))</f>
        <v>0.68543076999999997</v>
      </c>
      <c r="F528" s="5">
        <f>VALUE(SUBSTITUTE('1000_заявлений'!F522, ".", ","))</f>
        <v>-10480</v>
      </c>
      <c r="G528" s="5">
        <f>VALUE(SUBSTITUTE('1000_заявлений'!G522, ".", ","))</f>
        <v>-10656</v>
      </c>
      <c r="H528" s="5">
        <f>VALUE(SUBSTITUTE('1000_заявлений'!H522, ".", ","))</f>
        <v>-3005</v>
      </c>
      <c r="I528" s="4">
        <f>VALUE(SUBSTITUTE('1000_заявлений'!I522, ".", ","))</f>
        <v>0.19752500000000001</v>
      </c>
      <c r="J528" s="4">
        <f>VALUE(SUBSTITUTE('1000_заявлений'!J522, ".", ","))</f>
        <v>4.7143205776250401</v>
      </c>
      <c r="K528" s="5">
        <f>VALUE(SUBSTITUTE('1000_заявлений'!K522, ".", ","))</f>
        <v>-926</v>
      </c>
      <c r="L528" s="6">
        <f>VALUE(SUBSTITUTE('1000_заявлений'!L522, ".", ","))</f>
        <v>35554.5</v>
      </c>
      <c r="M528" s="2" t="str">
        <f>IF(Данные[[#This Row],[proba]]&gt;$C$6, "отказ", "одобрение")</f>
        <v>отказ</v>
      </c>
      <c r="N528" s="7">
        <f>IF(Данные[[#This Row],[proba]]&lt;$D$2,$C$2,IF(Данные[[#This Row],[proba]]&lt;$D$3,$C$3,IF(Данные[[#This Row],[proba]]&gt;$C$6,0,$C$4)))</f>
        <v>0</v>
      </c>
      <c r="O528" s="2">
        <f>IF(Данные[[#This Row],[weighted_ext_score]]&gt;$O$1,MIN(Данные[[#This Row],[Базовая сумма]]*$O$2,$C$2),IF(Данные[[#This Row],[weighted_ext_score]]&lt;$O$3,Данные[[#This Row],[Базовая сумма]]*$O$4,N528))</f>
        <v>0</v>
      </c>
      <c r="P5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8" s="2">
        <f>ABS(Данные[[#This Row],[days_birth]])/365.2425</f>
        <v>29.175137066469535</v>
      </c>
      <c r="S5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8" s="2">
        <f>IF(Данные[[#This Row],[ interest_rate]]&gt;$T$1,Данные[[#This Row],[days_birth4]]*$T$2,Данные[[#This Row],[days_birth4]])</f>
        <v>0</v>
      </c>
      <c r="U528" s="2">
        <f>IF(Данные[[#This Row],[Проверка отказа]]="отказ",0,MAX(Данные[[#This Row],[interest_rate]],$C$1))</f>
        <v>0</v>
      </c>
      <c r="V528" s="2">
        <f>MROUND(Данные[[#This Row],[Минимум 20000]], 100)</f>
        <v>0</v>
      </c>
    </row>
    <row r="529" spans="1:22" x14ac:dyDescent="0.25">
      <c r="A529" s="2">
        <f>'1000_заявлений'!A523</f>
        <v>521</v>
      </c>
      <c r="B529" s="4">
        <f>VALUE(SUBSTITUTE('1000_заявлений'!B523, ".", ","))</f>
        <v>0.75763924984113096</v>
      </c>
      <c r="C529" s="4">
        <f>VALUE(SUBSTITUTE('1000_заявлений'!C523, ".", ","))</f>
        <v>0.36933878189998898</v>
      </c>
      <c r="D529" s="4">
        <f>VALUE(SUBSTITUTE('1000_заявлений'!D523, ".", ","))</f>
        <v>0.19070596000000001</v>
      </c>
      <c r="E529" s="4">
        <f>VALUE(SUBSTITUTE('1000_заявлений'!E523, ".", ","))</f>
        <v>0.32619409999999999</v>
      </c>
      <c r="F529" s="5">
        <f>VALUE(SUBSTITUTE('1000_заявлений'!F523, ".", ","))</f>
        <v>-389</v>
      </c>
      <c r="G529" s="5">
        <f>VALUE(SUBSTITUTE('1000_заявлений'!G523, ".", ","))</f>
        <v>-11568</v>
      </c>
      <c r="H529" s="5">
        <f>VALUE(SUBSTITUTE('1000_заявлений'!H523, ".", ","))</f>
        <v>-1012</v>
      </c>
      <c r="I529" s="4">
        <f>VALUE(SUBSTITUTE('1000_заявлений'!I523, ".", ","))</f>
        <v>0.21144444444444399</v>
      </c>
      <c r="J529" s="4">
        <f>VALUE(SUBSTITUTE('1000_заявлений'!J523, ".", ","))</f>
        <v>2.8849272229124399</v>
      </c>
      <c r="K529" s="5">
        <f>VALUE(SUBSTITUTE('1000_заявлений'!K523, ".", ","))</f>
        <v>-662</v>
      </c>
      <c r="L529" s="6">
        <f>VALUE(SUBSTITUTE('1000_заявлений'!L523, ".", ","))</f>
        <v>34254</v>
      </c>
      <c r="M529" s="2" t="str">
        <f>IF(Данные[[#This Row],[proba]]&gt;$C$6, "отказ", "одобрение")</f>
        <v>отказ</v>
      </c>
      <c r="N529" s="7">
        <f>IF(Данные[[#This Row],[proba]]&lt;$D$2,$C$2,IF(Данные[[#This Row],[proba]]&lt;$D$3,$C$3,IF(Данные[[#This Row],[proba]]&gt;$C$6,0,$C$4)))</f>
        <v>0</v>
      </c>
      <c r="O529" s="2">
        <f>IF(Данные[[#This Row],[weighted_ext_score]]&gt;$O$1,MIN(Данные[[#This Row],[Базовая сумма]]*$O$2,$C$2),IF(Данные[[#This Row],[weighted_ext_score]]&lt;$O$3,Данные[[#This Row],[Базовая сумма]]*$O$4,N529))</f>
        <v>0</v>
      </c>
      <c r="P5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29" s="2">
        <f>ABS(Данные[[#This Row],[days_birth]])/365.2425</f>
        <v>31.672108256843057</v>
      </c>
      <c r="S5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29" s="2">
        <f>IF(Данные[[#This Row],[ interest_rate]]&gt;$T$1,Данные[[#This Row],[days_birth4]]*$T$2,Данные[[#This Row],[days_birth4]])</f>
        <v>0</v>
      </c>
      <c r="U529" s="2">
        <f>IF(Данные[[#This Row],[Проверка отказа]]="отказ",0,MAX(Данные[[#This Row],[interest_rate]],$C$1))</f>
        <v>0</v>
      </c>
      <c r="V529" s="2">
        <f>MROUND(Данные[[#This Row],[Минимум 20000]], 100)</f>
        <v>0</v>
      </c>
    </row>
    <row r="530" spans="1:22" x14ac:dyDescent="0.25">
      <c r="A530" s="2">
        <f>'1000_заявлений'!A524</f>
        <v>522</v>
      </c>
      <c r="B530" s="4">
        <f>VALUE(SUBSTITUTE('1000_заявлений'!B524, ".", ","))</f>
        <v>0.40957013883744098</v>
      </c>
      <c r="C530" s="4">
        <f>VALUE(SUBSTITUTE('1000_заявлений'!C524, ".", ","))</f>
        <v>0.52866182656851302</v>
      </c>
      <c r="D530" s="4">
        <f>VALUE(SUBSTITUTE('1000_заявлений'!D524, ".", ","))</f>
        <v>0.47045611999999998</v>
      </c>
      <c r="E530" s="4">
        <f>VALUE(SUBSTITUTE('1000_заявлений'!E524, ".", ","))</f>
        <v>0.60448139999999995</v>
      </c>
      <c r="F530" s="5">
        <f>VALUE(SUBSTITUTE('1000_заявлений'!F524, ".", ","))</f>
        <v>-4322</v>
      </c>
      <c r="G530" s="5">
        <f>VALUE(SUBSTITUTE('1000_заявлений'!G524, ".", ","))</f>
        <v>-13183</v>
      </c>
      <c r="H530" s="5">
        <f>VALUE(SUBSTITUTE('1000_заявлений'!H524, ".", ","))</f>
        <v>-2209</v>
      </c>
      <c r="I530" s="4">
        <f>VALUE(SUBSTITUTE('1000_заявлений'!I524, ".", ","))</f>
        <v>0.165215686274509</v>
      </c>
      <c r="J530" s="4">
        <f>VALUE(SUBSTITUTE('1000_заявлений'!J524, ".", ","))</f>
        <v>2.0050891586311099</v>
      </c>
      <c r="K530" s="5">
        <f>VALUE(SUBSTITUTE('1000_заявлений'!K524, ".", ","))</f>
        <v>-2957</v>
      </c>
      <c r="L530" s="6">
        <f>VALUE(SUBSTITUTE('1000_заявлений'!L524, ".", ","))</f>
        <v>18958.5</v>
      </c>
      <c r="M530" s="2" t="str">
        <f>IF(Данные[[#This Row],[proba]]&gt;$C$6, "отказ", "одобрение")</f>
        <v>отказ</v>
      </c>
      <c r="N530" s="7">
        <f>IF(Данные[[#This Row],[proba]]&lt;$D$2,$C$2,IF(Данные[[#This Row],[proba]]&lt;$D$3,$C$3,IF(Данные[[#This Row],[proba]]&gt;$C$6,0,$C$4)))</f>
        <v>0</v>
      </c>
      <c r="O530" s="2">
        <f>IF(Данные[[#This Row],[weighted_ext_score]]&gt;$O$1,MIN(Данные[[#This Row],[Базовая сумма]]*$O$2,$C$2),IF(Данные[[#This Row],[weighted_ext_score]]&lt;$O$3,Данные[[#This Row],[Базовая сумма]]*$O$4,N530))</f>
        <v>0</v>
      </c>
      <c r="P5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0" s="2">
        <f>ABS(Данные[[#This Row],[days_birth]])/365.2425</f>
        <v>36.093828073129494</v>
      </c>
      <c r="S5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0" s="2">
        <f>IF(Данные[[#This Row],[ interest_rate]]&gt;$T$1,Данные[[#This Row],[days_birth4]]*$T$2,Данные[[#This Row],[days_birth4]])</f>
        <v>0</v>
      </c>
      <c r="U530" s="2">
        <f>IF(Данные[[#This Row],[Проверка отказа]]="отказ",0,MAX(Данные[[#This Row],[interest_rate]],$C$1))</f>
        <v>0</v>
      </c>
      <c r="V530" s="2">
        <f>MROUND(Данные[[#This Row],[Минимум 20000]], 100)</f>
        <v>0</v>
      </c>
    </row>
    <row r="531" spans="1:22" x14ac:dyDescent="0.25">
      <c r="A531" s="2">
        <f>'1000_заявлений'!A525</f>
        <v>523</v>
      </c>
      <c r="B531" s="4">
        <f>VALUE(SUBSTITUTE('1000_заявлений'!B525, ".", ","))</f>
        <v>0.22799306718381099</v>
      </c>
      <c r="C531" s="4">
        <f>VALUE(SUBSTITUTE('1000_заявлений'!C525, ".", ","))</f>
        <v>0.66101135706678604</v>
      </c>
      <c r="D531" s="4">
        <f>VALUE(SUBSTITUTE('1000_заявлений'!D525, ".", ","))</f>
        <v>0.48845517999999999</v>
      </c>
      <c r="E531" s="4">
        <f>VALUE(SUBSTITUTE('1000_заявлений'!E525, ".", ","))</f>
        <v>0.70606550000000001</v>
      </c>
      <c r="F531" s="5">
        <f>VALUE(SUBSTITUTE('1000_заявлений'!F525, ".", ","))</f>
        <v>-4518</v>
      </c>
      <c r="G531" s="5">
        <f>VALUE(SUBSTITUTE('1000_заявлений'!G525, ".", ","))</f>
        <v>-20903</v>
      </c>
      <c r="H531" s="5">
        <f>VALUE(SUBSTITUTE('1000_заявлений'!H525, ".", ","))</f>
        <v>-4250</v>
      </c>
      <c r="I531" s="4">
        <f>VALUE(SUBSTITUTE('1000_заявлений'!I525, ".", ","))</f>
        <v>0.13962857142857099</v>
      </c>
      <c r="J531" s="4">
        <f>VALUE(SUBSTITUTE('1000_заявлений'!J525, ".", ","))</f>
        <v>1.91508527157133</v>
      </c>
      <c r="K531" s="5">
        <f>VALUE(SUBSTITUTE('1000_заявлений'!K525, ".", ","))</f>
        <v>-1894</v>
      </c>
      <c r="L531" s="6">
        <f>VALUE(SUBSTITUTE('1000_заявлений'!L525, ".", ","))</f>
        <v>43983</v>
      </c>
      <c r="M531" s="2" t="str">
        <f>IF(Данные[[#This Row],[proba]]&gt;$C$6, "отказ", "одобрение")</f>
        <v>одобрение</v>
      </c>
      <c r="N531" s="7">
        <f>IF(Данные[[#This Row],[proba]]&lt;$D$2,$C$2,IF(Данные[[#This Row],[proba]]&lt;$D$3,$C$3,IF(Данные[[#This Row],[proba]]&gt;$C$6,0,$C$4)))</f>
        <v>100000</v>
      </c>
      <c r="O531" s="2">
        <f>IF(Данные[[#This Row],[weighted_ext_score]]&gt;$O$1,MIN(Данные[[#This Row],[Базовая сумма]]*$O$2,$C$2),IF(Данные[[#This Row],[weighted_ext_score]]&lt;$O$3,Данные[[#This Row],[Базовая сумма]]*$O$4,N531))</f>
        <v>100000</v>
      </c>
      <c r="P5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31" s="2">
        <f>ABS(Данные[[#This Row],[days_birth]])/365.2425</f>
        <v>57.230470167080775</v>
      </c>
      <c r="S5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531" s="2">
        <f>IF(Данные[[#This Row],[ interest_rate]]&gt;$T$1,Данные[[#This Row],[days_birth4]]*$T$2,Данные[[#This Row],[days_birth4]])</f>
        <v>88200</v>
      </c>
      <c r="U531" s="2">
        <f>IF(Данные[[#This Row],[Проверка отказа]]="отказ",0,MAX(Данные[[#This Row],[interest_rate]],$C$1))</f>
        <v>88200</v>
      </c>
      <c r="V531" s="2">
        <f>MROUND(Данные[[#This Row],[Минимум 20000]], 100)</f>
        <v>88200</v>
      </c>
    </row>
    <row r="532" spans="1:22" x14ac:dyDescent="0.25">
      <c r="A532" s="2">
        <f>'1000_заявлений'!A526</f>
        <v>524</v>
      </c>
      <c r="B532" s="4">
        <f>VALUE(SUBSTITUTE('1000_заявлений'!B526, ".", ","))</f>
        <v>0.44172678423137601</v>
      </c>
      <c r="C532" s="4">
        <f>VALUE(SUBSTITUTE('1000_заявлений'!C526, ".", ","))</f>
        <v>0.46614501824312099</v>
      </c>
      <c r="D532" s="4">
        <f>VALUE(SUBSTITUTE('1000_заявлений'!D526, ".", ","))</f>
        <v>0.28665247999999999</v>
      </c>
      <c r="E532" s="4">
        <f>VALUE(SUBSTITUTE('1000_заявлений'!E526, ".", ","))</f>
        <v>0.77041614000000003</v>
      </c>
      <c r="F532" s="5">
        <f>VALUE(SUBSTITUTE('1000_заявлений'!F526, ".", ","))</f>
        <v>-4980</v>
      </c>
      <c r="G532" s="5">
        <f>VALUE(SUBSTITUTE('1000_заявлений'!G526, ".", ","))</f>
        <v>-13937</v>
      </c>
      <c r="H532" s="5">
        <f>VALUE(SUBSTITUTE('1000_заявлений'!H526, ".", ","))</f>
        <v>-4995</v>
      </c>
      <c r="I532" s="4">
        <f>VALUE(SUBSTITUTE('1000_заявлений'!I526, ".", ","))</f>
        <v>0.19713333333333299</v>
      </c>
      <c r="J532" s="4">
        <f>VALUE(SUBSTITUTE('1000_заявлений'!J526, ".", ","))</f>
        <v>2.4185788387575702</v>
      </c>
      <c r="K532" s="5">
        <f>VALUE(SUBSTITUTE('1000_заявлений'!K526, ".", ","))</f>
        <v>-3001</v>
      </c>
      <c r="L532" s="6">
        <f>VALUE(SUBSTITUTE('1000_заявлений'!L526, ".", ","))</f>
        <v>26613</v>
      </c>
      <c r="M532" s="2" t="str">
        <f>IF(Данные[[#This Row],[proba]]&gt;$C$6, "отказ", "одобрение")</f>
        <v>отказ</v>
      </c>
      <c r="N532" s="7">
        <f>IF(Данные[[#This Row],[proba]]&lt;$D$2,$C$2,IF(Данные[[#This Row],[proba]]&lt;$D$3,$C$3,IF(Данные[[#This Row],[proba]]&gt;$C$6,0,$C$4)))</f>
        <v>0</v>
      </c>
      <c r="O532" s="2">
        <f>IF(Данные[[#This Row],[weighted_ext_score]]&gt;$O$1,MIN(Данные[[#This Row],[Базовая сумма]]*$O$2,$C$2),IF(Данные[[#This Row],[weighted_ext_score]]&lt;$O$3,Данные[[#This Row],[Базовая сумма]]*$O$4,N532))</f>
        <v>0</v>
      </c>
      <c r="P5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2" s="2">
        <f>ABS(Данные[[#This Row],[days_birth]])/365.2425</f>
        <v>38.158209956398828</v>
      </c>
      <c r="S5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2" s="2">
        <f>IF(Данные[[#This Row],[ interest_rate]]&gt;$T$1,Данные[[#This Row],[days_birth4]]*$T$2,Данные[[#This Row],[days_birth4]])</f>
        <v>0</v>
      </c>
      <c r="U532" s="2">
        <f>IF(Данные[[#This Row],[Проверка отказа]]="отказ",0,MAX(Данные[[#This Row],[interest_rate]],$C$1))</f>
        <v>0</v>
      </c>
      <c r="V532" s="2">
        <f>MROUND(Данные[[#This Row],[Минимум 20000]], 100)</f>
        <v>0</v>
      </c>
    </row>
    <row r="533" spans="1:22" x14ac:dyDescent="0.25">
      <c r="A533" s="2">
        <f>'1000_заявлений'!A527</f>
        <v>525</v>
      </c>
      <c r="B533" s="4">
        <f>VALUE(SUBSTITUTE('1000_заявлений'!B527, ".", ","))</f>
        <v>0.46757228308878501</v>
      </c>
      <c r="C533" s="4">
        <f>VALUE(SUBSTITUTE('1000_заявлений'!C527, ".", ","))</f>
        <v>0.28404969198232499</v>
      </c>
      <c r="D533" s="4">
        <f>VALUE(SUBSTITUTE('1000_заявлений'!D527, ".", ","))</f>
        <v>0.22133520000000001</v>
      </c>
      <c r="E533" s="4">
        <f>VALUE(SUBSTITUTE('1000_заявлений'!E527, ".", ","))</f>
        <v>0.62889919999999999</v>
      </c>
      <c r="F533" s="5">
        <f>VALUE(SUBSTITUTE('1000_заявлений'!F527, ".", ","))</f>
        <v>-13999</v>
      </c>
      <c r="G533" s="5">
        <f>VALUE(SUBSTITUTE('1000_заявлений'!G527, ".", ","))</f>
        <v>-22939</v>
      </c>
      <c r="H533" s="5">
        <f>VALUE(SUBSTITUTE('1000_заявлений'!H527, ".", ","))</f>
        <v>-3960</v>
      </c>
      <c r="I533" s="4">
        <f>VALUE(SUBSTITUTE('1000_заявлений'!I527, ".", ","))</f>
        <v>9.622E-2</v>
      </c>
      <c r="J533" s="4">
        <f>VALUE(SUBSTITUTE('1000_заявлений'!J527, ".", ","))</f>
        <v>6.1588825506995803</v>
      </c>
      <c r="K533" s="5">
        <f>VALUE(SUBSTITUTE('1000_заявлений'!K527, ".", ","))</f>
        <v>365243</v>
      </c>
      <c r="L533" s="6">
        <f>VALUE(SUBSTITUTE('1000_заявлений'!L527, ".", ","))</f>
        <v>21649.5</v>
      </c>
      <c r="M533" s="2" t="str">
        <f>IF(Данные[[#This Row],[proba]]&gt;$C$6, "отказ", "одобрение")</f>
        <v>отказ</v>
      </c>
      <c r="N533" s="7">
        <f>IF(Данные[[#This Row],[proba]]&lt;$D$2,$C$2,IF(Данные[[#This Row],[proba]]&lt;$D$3,$C$3,IF(Данные[[#This Row],[proba]]&gt;$C$6,0,$C$4)))</f>
        <v>0</v>
      </c>
      <c r="O533" s="2">
        <f>IF(Данные[[#This Row],[weighted_ext_score]]&gt;$O$1,MIN(Данные[[#This Row],[Базовая сумма]]*$O$2,$C$2),IF(Данные[[#This Row],[weighted_ext_score]]&lt;$O$3,Данные[[#This Row],[Базовая сумма]]*$O$4,N533))</f>
        <v>0</v>
      </c>
      <c r="P5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3" s="2">
        <f>ABS(Данные[[#This Row],[days_birth]])/365.2425</f>
        <v>62.804848833309379</v>
      </c>
      <c r="S5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3" s="2">
        <f>IF(Данные[[#This Row],[ interest_rate]]&gt;$T$1,Данные[[#This Row],[days_birth4]]*$T$2,Данные[[#This Row],[days_birth4]])</f>
        <v>0</v>
      </c>
      <c r="U533" s="2">
        <f>IF(Данные[[#This Row],[Проверка отказа]]="отказ",0,MAX(Данные[[#This Row],[interest_rate]],$C$1))</f>
        <v>0</v>
      </c>
      <c r="V533" s="2">
        <f>MROUND(Данные[[#This Row],[Минимум 20000]], 100)</f>
        <v>0</v>
      </c>
    </row>
    <row r="534" spans="1:22" x14ac:dyDescent="0.25">
      <c r="A534" s="2">
        <f>'1000_заявлений'!A528</f>
        <v>526</v>
      </c>
      <c r="B534" s="4">
        <f>VALUE(SUBSTITUTE('1000_заявлений'!B528, ".", ","))</f>
        <v>0.330315473577733</v>
      </c>
      <c r="C534" s="4">
        <f>VALUE(SUBSTITUTE('1000_заявлений'!C528, ".", ","))</f>
        <v>0.57570615767153899</v>
      </c>
      <c r="D534" s="4">
        <f>VALUE(SUBSTITUTE('1000_заявлений'!D528, ".", ","))</f>
        <v>0.37064964</v>
      </c>
      <c r="E534" s="4">
        <f>VALUE(SUBSTITUTE('1000_заявлений'!E528, ".", ","))</f>
        <v>0.59541759999999999</v>
      </c>
      <c r="F534" s="5">
        <f>VALUE(SUBSTITUTE('1000_заявлений'!F528, ".", ","))</f>
        <v>-9016</v>
      </c>
      <c r="G534" s="5">
        <f>VALUE(SUBSTITUTE('1000_заявлений'!G528, ".", ","))</f>
        <v>-14897</v>
      </c>
      <c r="H534" s="5">
        <f>VALUE(SUBSTITUTE('1000_заявлений'!H528, ".", ","))</f>
        <v>-746</v>
      </c>
      <c r="I534" s="4">
        <f>VALUE(SUBSTITUTE('1000_заявлений'!I528, ".", ","))</f>
        <v>0.186470588235294</v>
      </c>
      <c r="J534" s="4">
        <f>VALUE(SUBSTITUTE('1000_заявлений'!J528, ".", ","))</f>
        <v>17.9529054994916</v>
      </c>
      <c r="K534" s="5">
        <f>VALUE(SUBSTITUTE('1000_заявлений'!K528, ".", ","))</f>
        <v>-3435</v>
      </c>
      <c r="L534" s="6">
        <f>VALUE(SUBSTITUTE('1000_заявлений'!L528, ".", ","))</f>
        <v>57060</v>
      </c>
      <c r="M534" s="2" t="str">
        <f>IF(Данные[[#This Row],[proba]]&gt;$C$6, "отказ", "одобрение")</f>
        <v>отказ</v>
      </c>
      <c r="N534" s="7">
        <f>IF(Данные[[#This Row],[proba]]&lt;$D$2,$C$2,IF(Данные[[#This Row],[proba]]&lt;$D$3,$C$3,IF(Данные[[#This Row],[proba]]&gt;$C$6,0,$C$4)))</f>
        <v>0</v>
      </c>
      <c r="O534" s="2">
        <f>IF(Данные[[#This Row],[weighted_ext_score]]&gt;$O$1,MIN(Данные[[#This Row],[Базовая сумма]]*$O$2,$C$2),IF(Данные[[#This Row],[weighted_ext_score]]&lt;$O$3,Данные[[#This Row],[Базовая сумма]]*$O$4,N534))</f>
        <v>0</v>
      </c>
      <c r="P5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4" s="2">
        <f>ABS(Данные[[#This Row],[days_birth]])/365.2425</f>
        <v>40.7866006831078</v>
      </c>
      <c r="S5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4" s="2">
        <f>IF(Данные[[#This Row],[ interest_rate]]&gt;$T$1,Данные[[#This Row],[days_birth4]]*$T$2,Данные[[#This Row],[days_birth4]])</f>
        <v>0</v>
      </c>
      <c r="U534" s="2">
        <f>IF(Данные[[#This Row],[Проверка отказа]]="отказ",0,MAX(Данные[[#This Row],[interest_rate]],$C$1))</f>
        <v>0</v>
      </c>
      <c r="V534" s="2">
        <f>MROUND(Данные[[#This Row],[Минимум 20000]], 100)</f>
        <v>0</v>
      </c>
    </row>
    <row r="535" spans="1:22" x14ac:dyDescent="0.25">
      <c r="A535" s="2">
        <f>'1000_заявлений'!A529</f>
        <v>527</v>
      </c>
      <c r="B535" s="4">
        <f>VALUE(SUBSTITUTE('1000_заявлений'!B529, ".", ","))</f>
        <v>0.85658078803804605</v>
      </c>
      <c r="C535" s="4">
        <f>VALUE(SUBSTITUTE('1000_заявлений'!C529, ".", ","))</f>
        <v>0.104283450108775</v>
      </c>
      <c r="D535" s="4">
        <f>VALUE(SUBSTITUTE('1000_заявлений'!D529, ".", ","))</f>
        <v>0.14287253</v>
      </c>
      <c r="E535" s="4">
        <f>VALUE(SUBSTITUTE('1000_заявлений'!E529, ".", ","))</f>
        <v>0.16219210000000001</v>
      </c>
      <c r="F535" s="5">
        <f>VALUE(SUBSTITUTE('1000_заявлений'!F529, ".", ","))</f>
        <v>-8045</v>
      </c>
      <c r="G535" s="5">
        <f>VALUE(SUBSTITUTE('1000_заявлений'!G529, ".", ","))</f>
        <v>-13891</v>
      </c>
      <c r="H535" s="5">
        <f>VALUE(SUBSTITUTE('1000_заявлений'!H529, ".", ","))</f>
        <v>-4152</v>
      </c>
      <c r="I535" s="4">
        <f>VALUE(SUBSTITUTE('1000_заявлений'!I529, ".", ","))</f>
        <v>0.116966666666666</v>
      </c>
      <c r="J535" s="4">
        <f>VALUE(SUBSTITUTE('1000_заявлений'!J529, ".", ","))</f>
        <v>2.1575262132743802</v>
      </c>
      <c r="K535" s="5">
        <f>VALUE(SUBSTITUTE('1000_заявлений'!K529, ".", ","))</f>
        <v>-113</v>
      </c>
      <c r="L535" s="6">
        <f>VALUE(SUBSTITUTE('1000_заявлений'!L529, ".", ","))</f>
        <v>15790.5</v>
      </c>
      <c r="M535" s="2" t="str">
        <f>IF(Данные[[#This Row],[proba]]&gt;$C$6, "отказ", "одобрение")</f>
        <v>отказ</v>
      </c>
      <c r="N535" s="7">
        <f>IF(Данные[[#This Row],[proba]]&lt;$D$2,$C$2,IF(Данные[[#This Row],[proba]]&lt;$D$3,$C$3,IF(Данные[[#This Row],[proba]]&gt;$C$6,0,$C$4)))</f>
        <v>0</v>
      </c>
      <c r="O535" s="2">
        <f>IF(Данные[[#This Row],[weighted_ext_score]]&gt;$O$1,MIN(Данные[[#This Row],[Базовая сумма]]*$O$2,$C$2),IF(Данные[[#This Row],[weighted_ext_score]]&lt;$O$3,Данные[[#This Row],[Базовая сумма]]*$O$4,N535))</f>
        <v>0</v>
      </c>
      <c r="P5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5" s="2">
        <f>ABS(Данные[[#This Row],[days_birth]])/365.2425</f>
        <v>38.032266234077362</v>
      </c>
      <c r="S5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5" s="2">
        <f>IF(Данные[[#This Row],[ interest_rate]]&gt;$T$1,Данные[[#This Row],[days_birth4]]*$T$2,Данные[[#This Row],[days_birth4]])</f>
        <v>0</v>
      </c>
      <c r="U535" s="2">
        <f>IF(Данные[[#This Row],[Проверка отказа]]="отказ",0,MAX(Данные[[#This Row],[interest_rate]],$C$1))</f>
        <v>0</v>
      </c>
      <c r="V535" s="2">
        <f>MROUND(Данные[[#This Row],[Минимум 20000]], 100)</f>
        <v>0</v>
      </c>
    </row>
    <row r="536" spans="1:22" x14ac:dyDescent="0.25">
      <c r="A536" s="2">
        <f>'1000_заявлений'!A530</f>
        <v>528</v>
      </c>
      <c r="B536" s="4">
        <f>VALUE(SUBSTITUTE('1000_заявлений'!B530, ".", ","))</f>
        <v>0.302867051519768</v>
      </c>
      <c r="C536" s="4">
        <f>VALUE(SUBSTITUTE('1000_заявлений'!C530, ".", ","))</f>
        <v>0.44902216342509799</v>
      </c>
      <c r="D536" s="4">
        <f>VALUE(SUBSTITUTE('1000_заявлений'!D530, ".", ","))</f>
        <v>0.69255906</v>
      </c>
      <c r="E536" s="4">
        <f>VALUE(SUBSTITUTE('1000_заявлений'!E530, ".", ","))</f>
        <v>0.61208850000000004</v>
      </c>
      <c r="F536" s="5">
        <f>VALUE(SUBSTITUTE('1000_заявлений'!F530, ".", ","))</f>
        <v>-6349</v>
      </c>
      <c r="G536" s="5">
        <f>VALUE(SUBSTITUTE('1000_заявлений'!G530, ".", ","))</f>
        <v>-17042</v>
      </c>
      <c r="H536" s="5">
        <f>VALUE(SUBSTITUTE('1000_заявлений'!H530, ".", ","))</f>
        <v>-581</v>
      </c>
      <c r="I536" s="4">
        <f>VALUE(SUBSTITUTE('1000_заявлений'!I530, ".", ","))</f>
        <v>0.185479166666666</v>
      </c>
      <c r="J536" s="4">
        <f>VALUE(SUBSTITUTE('1000_заявлений'!J530, ".", ","))</f>
        <v>3.0766120269214401</v>
      </c>
      <c r="K536" s="5">
        <f>VALUE(SUBSTITUTE('1000_заявлений'!K530, ".", ","))</f>
        <v>-240</v>
      </c>
      <c r="L536" s="6">
        <f>VALUE(SUBSTITUTE('1000_заявлений'!L530, ".", ","))</f>
        <v>40063.5</v>
      </c>
      <c r="M536" s="2" t="str">
        <f>IF(Данные[[#This Row],[proba]]&gt;$C$6, "отказ", "одобрение")</f>
        <v>отказ</v>
      </c>
      <c r="N536" s="7">
        <f>IF(Данные[[#This Row],[proba]]&lt;$D$2,$C$2,IF(Данные[[#This Row],[proba]]&lt;$D$3,$C$3,IF(Данные[[#This Row],[proba]]&gt;$C$6,0,$C$4)))</f>
        <v>0</v>
      </c>
      <c r="O536" s="2">
        <f>IF(Данные[[#This Row],[weighted_ext_score]]&gt;$O$1,MIN(Данные[[#This Row],[Базовая сумма]]*$O$2,$C$2),IF(Данные[[#This Row],[weighted_ext_score]]&lt;$O$3,Данные[[#This Row],[Базовая сумма]]*$O$4,N536))</f>
        <v>0</v>
      </c>
      <c r="P5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6" s="2">
        <f>ABS(Данные[[#This Row],[days_birth]])/365.2425</f>
        <v>46.659411213098146</v>
      </c>
      <c r="S5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6" s="2">
        <f>IF(Данные[[#This Row],[ interest_rate]]&gt;$T$1,Данные[[#This Row],[days_birth4]]*$T$2,Данные[[#This Row],[days_birth4]])</f>
        <v>0</v>
      </c>
      <c r="U536" s="2">
        <f>IF(Данные[[#This Row],[Проверка отказа]]="отказ",0,MAX(Данные[[#This Row],[interest_rate]],$C$1))</f>
        <v>0</v>
      </c>
      <c r="V536" s="2">
        <f>MROUND(Данные[[#This Row],[Минимум 20000]], 100)</f>
        <v>0</v>
      </c>
    </row>
    <row r="537" spans="1:22" x14ac:dyDescent="0.25">
      <c r="A537" s="2">
        <f>'1000_заявлений'!A531</f>
        <v>529</v>
      </c>
      <c r="B537" s="4">
        <f>VALUE(SUBSTITUTE('1000_заявлений'!B531, ".", ","))</f>
        <v>0.47780252172208298</v>
      </c>
      <c r="C537" s="4">
        <f>VALUE(SUBSTITUTE('1000_заявлений'!C531, ".", ","))</f>
        <v>0.38920108993345598</v>
      </c>
      <c r="D537" s="4">
        <f>VALUE(SUBSTITUTE('1000_заявлений'!D531, ".", ","))</f>
        <v>0.34741822</v>
      </c>
      <c r="E537" s="4">
        <f>VALUE(SUBSTITUTE('1000_заявлений'!E531, ".", ","))</f>
        <v>0.68211619999999995</v>
      </c>
      <c r="F537" s="5">
        <f>VALUE(SUBSTITUTE('1000_заявлений'!F531, ".", ","))</f>
        <v>-5248</v>
      </c>
      <c r="G537" s="5">
        <f>VALUE(SUBSTITUTE('1000_заявлений'!G531, ".", ","))</f>
        <v>-11533</v>
      </c>
      <c r="H537" s="5">
        <f>VALUE(SUBSTITUTE('1000_заявлений'!H531, ".", ","))</f>
        <v>-3536</v>
      </c>
      <c r="I537" s="4">
        <f>VALUE(SUBSTITUTE('1000_заявлений'!I531, ".", ","))</f>
        <v>0.18553333333333299</v>
      </c>
      <c r="J537" s="4">
        <f>VALUE(SUBSTITUTE('1000_заявлений'!J531, ".", ","))</f>
        <v>7.9866612454842301</v>
      </c>
      <c r="K537" s="5">
        <f>VALUE(SUBSTITUTE('1000_заявлений'!K531, ".", ","))</f>
        <v>-277</v>
      </c>
      <c r="L537" s="6">
        <f>VALUE(SUBSTITUTE('1000_заявлений'!L531, ".", ","))</f>
        <v>25047</v>
      </c>
      <c r="M537" s="2" t="str">
        <f>IF(Данные[[#This Row],[proba]]&gt;$C$6, "отказ", "одобрение")</f>
        <v>отказ</v>
      </c>
      <c r="N537" s="7">
        <f>IF(Данные[[#This Row],[proba]]&lt;$D$2,$C$2,IF(Данные[[#This Row],[proba]]&lt;$D$3,$C$3,IF(Данные[[#This Row],[proba]]&gt;$C$6,0,$C$4)))</f>
        <v>0</v>
      </c>
      <c r="O537" s="2">
        <f>IF(Данные[[#This Row],[weighted_ext_score]]&gt;$O$1,MIN(Данные[[#This Row],[Базовая сумма]]*$O$2,$C$2),IF(Данные[[#This Row],[weighted_ext_score]]&lt;$O$3,Данные[[#This Row],[Базовая сумма]]*$O$4,N537))</f>
        <v>0</v>
      </c>
      <c r="P5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7" s="2">
        <f>ABS(Данные[[#This Row],[days_birth]])/365.2425</f>
        <v>31.576281511598459</v>
      </c>
      <c r="S5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7" s="2">
        <f>IF(Данные[[#This Row],[ interest_rate]]&gt;$T$1,Данные[[#This Row],[days_birth4]]*$T$2,Данные[[#This Row],[days_birth4]])</f>
        <v>0</v>
      </c>
      <c r="U537" s="2">
        <f>IF(Данные[[#This Row],[Проверка отказа]]="отказ",0,MAX(Данные[[#This Row],[interest_rate]],$C$1))</f>
        <v>0</v>
      </c>
      <c r="V537" s="2">
        <f>MROUND(Данные[[#This Row],[Минимум 20000]], 100)</f>
        <v>0</v>
      </c>
    </row>
    <row r="538" spans="1:22" x14ac:dyDescent="0.25">
      <c r="A538" s="2">
        <f>'1000_заявлений'!A532</f>
        <v>530</v>
      </c>
      <c r="B538" s="4">
        <f>VALUE(SUBSTITUTE('1000_заявлений'!B532, ".", ","))</f>
        <v>0.51643093395612405</v>
      </c>
      <c r="C538" s="4">
        <f>VALUE(SUBSTITUTE('1000_заявлений'!C532, ".", ","))</f>
        <v>0.30780520427257901</v>
      </c>
      <c r="D538" s="4">
        <f>VALUE(SUBSTITUTE('1000_заявлений'!D532, ".", ","))</f>
        <v>0.3217353</v>
      </c>
      <c r="E538" s="4">
        <f>VALUE(SUBSTITUTE('1000_заявлений'!E532, ".", ","))</f>
        <v>0.59019189999999999</v>
      </c>
      <c r="F538" s="5">
        <f>VALUE(SUBSTITUTE('1000_заявлений'!F532, ".", ","))</f>
        <v>-1558</v>
      </c>
      <c r="G538" s="5">
        <f>VALUE(SUBSTITUTE('1000_заявлений'!G532, ".", ","))</f>
        <v>-20771</v>
      </c>
      <c r="H538" s="5">
        <f>VALUE(SUBSTITUTE('1000_заявлений'!H532, ".", ","))</f>
        <v>-1831</v>
      </c>
      <c r="I538" s="4">
        <f>VALUE(SUBSTITUTE('1000_заявлений'!I532, ".", ","))</f>
        <v>0.217854545454545</v>
      </c>
      <c r="J538" s="4">
        <f>VALUE(SUBSTITUTE('1000_заявлений'!J532, ".", ","))</f>
        <v>0.29900958100428299</v>
      </c>
      <c r="K538" s="5">
        <f>VALUE(SUBSTITUTE('1000_заявлений'!K532, ".", ","))</f>
        <v>365243</v>
      </c>
      <c r="L538" s="6">
        <f>VALUE(SUBSTITUTE('1000_заявлений'!L532, ".", ","))</f>
        <v>53919</v>
      </c>
      <c r="M538" s="2" t="str">
        <f>IF(Данные[[#This Row],[proba]]&gt;$C$6, "отказ", "одобрение")</f>
        <v>отказ</v>
      </c>
      <c r="N538" s="7">
        <f>IF(Данные[[#This Row],[proba]]&lt;$D$2,$C$2,IF(Данные[[#This Row],[proba]]&lt;$D$3,$C$3,IF(Данные[[#This Row],[proba]]&gt;$C$6,0,$C$4)))</f>
        <v>0</v>
      </c>
      <c r="O538" s="2">
        <f>IF(Данные[[#This Row],[weighted_ext_score]]&gt;$O$1,MIN(Данные[[#This Row],[Базовая сумма]]*$O$2,$C$2),IF(Данные[[#This Row],[weighted_ext_score]]&lt;$O$3,Данные[[#This Row],[Базовая сумма]]*$O$4,N538))</f>
        <v>0</v>
      </c>
      <c r="P5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38" s="2">
        <f>ABS(Данные[[#This Row],[days_birth]])/365.2425</f>
        <v>56.869066442158292</v>
      </c>
      <c r="S5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38" s="2">
        <f>IF(Данные[[#This Row],[ interest_rate]]&gt;$T$1,Данные[[#This Row],[days_birth4]]*$T$2,Данные[[#This Row],[days_birth4]])</f>
        <v>0</v>
      </c>
      <c r="U538" s="2">
        <f>IF(Данные[[#This Row],[Проверка отказа]]="отказ",0,MAX(Данные[[#This Row],[interest_rate]],$C$1))</f>
        <v>0</v>
      </c>
      <c r="V538" s="2">
        <f>MROUND(Данные[[#This Row],[Минимум 20000]], 100)</f>
        <v>0</v>
      </c>
    </row>
    <row r="539" spans="1:22" x14ac:dyDescent="0.25">
      <c r="A539" s="2">
        <f>'1000_заявлений'!A533</f>
        <v>531</v>
      </c>
      <c r="B539" s="4">
        <f>VALUE(SUBSTITUTE('1000_заявлений'!B533, ".", ","))</f>
        <v>0.18827116749134701</v>
      </c>
      <c r="C539" s="4">
        <f>VALUE(SUBSTITUTE('1000_заявлений'!C533, ".", ","))</f>
        <v>0.64183227303479995</v>
      </c>
      <c r="D539" s="4">
        <f>VALUE(SUBSTITUTE('1000_заявлений'!D533, ".", ","))</f>
        <v>0.51369374999999995</v>
      </c>
      <c r="E539" s="4">
        <f>VALUE(SUBSTITUTE('1000_заявлений'!E533, ".", ","))</f>
        <v>0.73231024</v>
      </c>
      <c r="F539" s="5">
        <f>VALUE(SUBSTITUTE('1000_заявлений'!F533, ".", ","))</f>
        <v>-4396</v>
      </c>
      <c r="G539" s="5">
        <f>VALUE(SUBSTITUTE('1000_заявлений'!G533, ".", ","))</f>
        <v>-21747</v>
      </c>
      <c r="H539" s="5">
        <f>VALUE(SUBSTITUTE('1000_заявлений'!H533, ".", ","))</f>
        <v>-4404</v>
      </c>
      <c r="I539" s="4">
        <f>VALUE(SUBSTITUTE('1000_заявлений'!I533, ".", ","))</f>
        <v>0.166227272727272</v>
      </c>
      <c r="J539" s="4">
        <f>VALUE(SUBSTITUTE('1000_заявлений'!J533, ".", ","))</f>
        <v>5.3101828664461701</v>
      </c>
      <c r="K539" s="5">
        <f>VALUE(SUBSTITUTE('1000_заявлений'!K533, ".", ","))</f>
        <v>365243</v>
      </c>
      <c r="L539" s="6">
        <f>VALUE(SUBSTITUTE('1000_заявлений'!L533, ".", ","))</f>
        <v>16456.5</v>
      </c>
      <c r="M539" s="2" t="str">
        <f>IF(Данные[[#This Row],[proba]]&gt;$C$6, "отказ", "одобрение")</f>
        <v>одобрение</v>
      </c>
      <c r="N539" s="7">
        <f>IF(Данные[[#This Row],[proba]]&lt;$D$2,$C$2,IF(Данные[[#This Row],[proba]]&lt;$D$3,$C$3,IF(Данные[[#This Row],[proba]]&gt;$C$6,0,$C$4)))</f>
        <v>300000</v>
      </c>
      <c r="O539" s="2">
        <f>IF(Данные[[#This Row],[weighted_ext_score]]&gt;$O$1,MIN(Данные[[#This Row],[Базовая сумма]]*$O$2,$C$2),IF(Данные[[#This Row],[weighted_ext_score]]&lt;$O$3,Данные[[#This Row],[Базовая сумма]]*$O$4,N539))</f>
        <v>300000</v>
      </c>
      <c r="P5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539" s="2">
        <f>ABS(Данные[[#This Row],[days_birth]])/365.2425</f>
        <v>59.541263680979071</v>
      </c>
      <c r="S5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539" s="2">
        <f>IF(Данные[[#This Row],[ interest_rate]]&gt;$T$1,Данные[[#This Row],[days_birth4]]*$T$2,Данные[[#This Row],[days_birth4]])</f>
        <v>378000</v>
      </c>
      <c r="U539" s="2">
        <f>IF(Данные[[#This Row],[Проверка отказа]]="отказ",0,MAX(Данные[[#This Row],[interest_rate]],$C$1))</f>
        <v>378000</v>
      </c>
      <c r="V539" s="2">
        <f>MROUND(Данные[[#This Row],[Минимум 20000]], 100)</f>
        <v>378000</v>
      </c>
    </row>
    <row r="540" spans="1:22" x14ac:dyDescent="0.25">
      <c r="A540" s="2">
        <f>'1000_заявлений'!A534</f>
        <v>532</v>
      </c>
      <c r="B540" s="4">
        <f>VALUE(SUBSTITUTE('1000_заявлений'!B534, ".", ","))</f>
        <v>0.35859404633513797</v>
      </c>
      <c r="C540" s="4">
        <f>VALUE(SUBSTITUTE('1000_заявлений'!C534, ".", ","))</f>
        <v>0.277342118435211</v>
      </c>
      <c r="D540" s="4">
        <f>VALUE(SUBSTITUTE('1000_заявлений'!D534, ".", ","))</f>
        <v>0.53527623000000002</v>
      </c>
      <c r="E540" s="4">
        <f>VALUE(SUBSTITUTE('1000_заявлений'!E534, ".", ","))</f>
        <v>0.85499966000000005</v>
      </c>
      <c r="F540" s="5">
        <f>VALUE(SUBSTITUTE('1000_заявлений'!F534, ".", ","))</f>
        <v>-93</v>
      </c>
      <c r="G540" s="5">
        <f>VALUE(SUBSTITUTE('1000_заявлений'!G534, ".", ","))</f>
        <v>-16268</v>
      </c>
      <c r="H540" s="5">
        <f>VALUE(SUBSTITUTE('1000_заявлений'!H534, ".", ","))</f>
        <v>-4335</v>
      </c>
      <c r="I540" s="4">
        <f>VALUE(SUBSTITUTE('1000_заявлений'!I534, ".", ","))</f>
        <v>0.263955555555555</v>
      </c>
      <c r="J540" s="4">
        <f>VALUE(SUBSTITUTE('1000_заявлений'!J534, ".", ","))</f>
        <v>3.7453186030569499</v>
      </c>
      <c r="K540" s="5">
        <f>VALUE(SUBSTITUTE('1000_заявлений'!K534, ".", ","))</f>
        <v>-113</v>
      </c>
      <c r="L540" s="6">
        <f>VALUE(SUBSTITUTE('1000_заявлений'!L534, ".", ","))</f>
        <v>53451</v>
      </c>
      <c r="M540" s="2" t="str">
        <f>IF(Данные[[#This Row],[proba]]&gt;$C$6, "отказ", "одобрение")</f>
        <v>отказ</v>
      </c>
      <c r="N540" s="7">
        <f>IF(Данные[[#This Row],[proba]]&lt;$D$2,$C$2,IF(Данные[[#This Row],[proba]]&lt;$D$3,$C$3,IF(Данные[[#This Row],[proba]]&gt;$C$6,0,$C$4)))</f>
        <v>0</v>
      </c>
      <c r="O540" s="2">
        <f>IF(Данные[[#This Row],[weighted_ext_score]]&gt;$O$1,MIN(Данные[[#This Row],[Базовая сумма]]*$O$2,$C$2),IF(Данные[[#This Row],[weighted_ext_score]]&lt;$O$3,Данные[[#This Row],[Базовая сумма]]*$O$4,N540))</f>
        <v>0</v>
      </c>
      <c r="P5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0" s="2">
        <f>ABS(Данные[[#This Row],[days_birth]])/365.2425</f>
        <v>44.540271189689044</v>
      </c>
      <c r="S5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0" s="2">
        <f>IF(Данные[[#This Row],[ interest_rate]]&gt;$T$1,Данные[[#This Row],[days_birth4]]*$T$2,Данные[[#This Row],[days_birth4]])</f>
        <v>0</v>
      </c>
      <c r="U540" s="2">
        <f>IF(Данные[[#This Row],[Проверка отказа]]="отказ",0,MAX(Данные[[#This Row],[interest_rate]],$C$1))</f>
        <v>0</v>
      </c>
      <c r="V540" s="2">
        <f>MROUND(Данные[[#This Row],[Минимум 20000]], 100)</f>
        <v>0</v>
      </c>
    </row>
    <row r="541" spans="1:22" x14ac:dyDescent="0.25">
      <c r="A541" s="2">
        <f>'1000_заявлений'!A535</f>
        <v>533</v>
      </c>
      <c r="B541" s="4">
        <f>VALUE(SUBSTITUTE('1000_заявлений'!B535, ".", ","))</f>
        <v>0.47072847898291897</v>
      </c>
      <c r="C541" s="4">
        <f>VALUE(SUBSTITUTE('1000_заявлений'!C535, ".", ","))</f>
        <v>0.35899309746059299</v>
      </c>
      <c r="D541" s="4">
        <f>VALUE(SUBSTITUTE('1000_заявлений'!D535, ".", ","))</f>
        <v>0.30314636</v>
      </c>
      <c r="E541" s="4">
        <f>VALUE(SUBSTITUTE('1000_заявлений'!E535, ".", ","))</f>
        <v>0.76872149999999995</v>
      </c>
      <c r="F541" s="5">
        <f>VALUE(SUBSTITUTE('1000_заявлений'!F535, ".", ","))</f>
        <v>-9626</v>
      </c>
      <c r="G541" s="5">
        <f>VALUE(SUBSTITUTE('1000_заявлений'!G535, ".", ","))</f>
        <v>-19673</v>
      </c>
      <c r="H541" s="5">
        <f>VALUE(SUBSTITUTE('1000_заявлений'!H535, ".", ","))</f>
        <v>-3226</v>
      </c>
      <c r="I541" s="4">
        <f>VALUE(SUBSTITUTE('1000_заявлений'!I535, ".", ","))</f>
        <v>0.243666666666666</v>
      </c>
      <c r="J541" s="4">
        <f>VALUE(SUBSTITUTE('1000_заявлений'!J535, ".", ","))</f>
        <v>1.55972200073934</v>
      </c>
      <c r="K541" s="5">
        <f>VALUE(SUBSTITUTE('1000_заявлений'!K535, ".", ","))</f>
        <v>-5094</v>
      </c>
      <c r="L541" s="6">
        <f>VALUE(SUBSTITUTE('1000_заявлений'!L535, ".", ","))</f>
        <v>32895</v>
      </c>
      <c r="M541" s="2" t="str">
        <f>IF(Данные[[#This Row],[proba]]&gt;$C$6, "отказ", "одобрение")</f>
        <v>отказ</v>
      </c>
      <c r="N541" s="7">
        <f>IF(Данные[[#This Row],[proba]]&lt;$D$2,$C$2,IF(Данные[[#This Row],[proba]]&lt;$D$3,$C$3,IF(Данные[[#This Row],[proba]]&gt;$C$6,0,$C$4)))</f>
        <v>0</v>
      </c>
      <c r="O541" s="2">
        <f>IF(Данные[[#This Row],[weighted_ext_score]]&gt;$O$1,MIN(Данные[[#This Row],[Базовая сумма]]*$O$2,$C$2),IF(Данные[[#This Row],[weighted_ext_score]]&lt;$O$3,Данные[[#This Row],[Базовая сумма]]*$O$4,N541))</f>
        <v>0</v>
      </c>
      <c r="P5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1" s="2">
        <f>ABS(Данные[[#This Row],[days_birth]])/365.2425</f>
        <v>53.862844548484908</v>
      </c>
      <c r="S5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1" s="2">
        <f>IF(Данные[[#This Row],[ interest_rate]]&gt;$T$1,Данные[[#This Row],[days_birth4]]*$T$2,Данные[[#This Row],[days_birth4]])</f>
        <v>0</v>
      </c>
      <c r="U541" s="2">
        <f>IF(Данные[[#This Row],[Проверка отказа]]="отказ",0,MAX(Данные[[#This Row],[interest_rate]],$C$1))</f>
        <v>0</v>
      </c>
      <c r="V541" s="2">
        <f>MROUND(Данные[[#This Row],[Минимум 20000]], 100)</f>
        <v>0</v>
      </c>
    </row>
    <row r="542" spans="1:22" x14ac:dyDescent="0.25">
      <c r="A542" s="2">
        <f>'1000_заявлений'!A536</f>
        <v>534</v>
      </c>
      <c r="B542" s="4">
        <f>VALUE(SUBSTITUTE('1000_заявлений'!B536, ".", ","))</f>
        <v>0.41482660595606102</v>
      </c>
      <c r="C542" s="4">
        <f>VALUE(SUBSTITUTE('1000_заявлений'!C536, ".", ","))</f>
        <v>0.45917394528086403</v>
      </c>
      <c r="D542" s="4">
        <f>VALUE(SUBSTITUTE('1000_заявлений'!D536, ".", ","))</f>
        <v>0.42236965999999998</v>
      </c>
      <c r="E542" s="4">
        <f>VALUE(SUBSTITUTE('1000_заявлений'!E536, ".", ","))</f>
        <v>0.67874500000000004</v>
      </c>
      <c r="F542" s="5">
        <f>VALUE(SUBSTITUTE('1000_заявлений'!F536, ".", ","))</f>
        <v>-5987</v>
      </c>
      <c r="G542" s="5">
        <f>VALUE(SUBSTITUTE('1000_заявлений'!G536, ".", ","))</f>
        <v>-11653</v>
      </c>
      <c r="H542" s="5">
        <f>VALUE(SUBSTITUTE('1000_заявлений'!H536, ".", ","))</f>
        <v>-4324</v>
      </c>
      <c r="I542" s="4">
        <f>VALUE(SUBSTITUTE('1000_заявлений'!I536, ".", ","))</f>
        <v>0.1978</v>
      </c>
      <c r="J542" s="4">
        <f>VALUE(SUBSTITUTE('1000_заявлений'!J536, ".", ","))</f>
        <v>2.8172376961650998</v>
      </c>
      <c r="K542" s="5">
        <f>VALUE(SUBSTITUTE('1000_заявлений'!K536, ".", ","))</f>
        <v>-1110</v>
      </c>
      <c r="L542" s="6">
        <f>VALUE(SUBSTITUTE('1000_заявлений'!L536, ".", ","))</f>
        <v>40054.5</v>
      </c>
      <c r="M542" s="2" t="str">
        <f>IF(Данные[[#This Row],[proba]]&gt;$C$6, "отказ", "одобрение")</f>
        <v>отказ</v>
      </c>
      <c r="N542" s="7">
        <f>IF(Данные[[#This Row],[proba]]&lt;$D$2,$C$2,IF(Данные[[#This Row],[proba]]&lt;$D$3,$C$3,IF(Данные[[#This Row],[proba]]&gt;$C$6,0,$C$4)))</f>
        <v>0</v>
      </c>
      <c r="O542" s="2">
        <f>IF(Данные[[#This Row],[weighted_ext_score]]&gt;$O$1,MIN(Данные[[#This Row],[Базовая сумма]]*$O$2,$C$2),IF(Данные[[#This Row],[weighted_ext_score]]&lt;$O$3,Данные[[#This Row],[Базовая сумма]]*$O$4,N542))</f>
        <v>0</v>
      </c>
      <c r="P5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2" s="2">
        <f>ABS(Данные[[#This Row],[days_birth]])/365.2425</f>
        <v>31.904830352437077</v>
      </c>
      <c r="S5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2" s="2">
        <f>IF(Данные[[#This Row],[ interest_rate]]&gt;$T$1,Данные[[#This Row],[days_birth4]]*$T$2,Данные[[#This Row],[days_birth4]])</f>
        <v>0</v>
      </c>
      <c r="U542" s="2">
        <f>IF(Данные[[#This Row],[Проверка отказа]]="отказ",0,MAX(Данные[[#This Row],[interest_rate]],$C$1))</f>
        <v>0</v>
      </c>
      <c r="V542" s="2">
        <f>MROUND(Данные[[#This Row],[Минимум 20000]], 100)</f>
        <v>0</v>
      </c>
    </row>
    <row r="543" spans="1:22" x14ac:dyDescent="0.25">
      <c r="A543" s="2">
        <f>'1000_заявлений'!A537</f>
        <v>535</v>
      </c>
      <c r="B543" s="4">
        <f>VALUE(SUBSTITUTE('1000_заявлений'!B537, ".", ","))</f>
        <v>0.31701423817348301</v>
      </c>
      <c r="C543" s="4">
        <f>VALUE(SUBSTITUTE('1000_заявлений'!C537, ".", ","))</f>
        <v>0.232436532057467</v>
      </c>
      <c r="D543" s="4">
        <f>VALUE(SUBSTITUTE('1000_заявлений'!D537, ".", ","))</f>
        <v>0.53527623000000002</v>
      </c>
      <c r="E543" s="4">
        <f>VALUE(SUBSTITUTE('1000_заявлений'!E537, ".", ","))</f>
        <v>0.71656319999999996</v>
      </c>
      <c r="F543" s="5">
        <f>VALUE(SUBSTITUTE('1000_заявлений'!F537, ".", ","))</f>
        <v>-12043</v>
      </c>
      <c r="G543" s="5">
        <f>VALUE(SUBSTITUTE('1000_заявлений'!G537, ".", ","))</f>
        <v>-19027</v>
      </c>
      <c r="H543" s="5">
        <f>VALUE(SUBSTITUTE('1000_заявлений'!H537, ".", ","))</f>
        <v>-2523</v>
      </c>
      <c r="I543" s="4">
        <f>VALUE(SUBSTITUTE('1000_заявлений'!I537, ".", ","))</f>
        <v>0.27994252873563202</v>
      </c>
      <c r="J543" s="4">
        <f>VALUE(SUBSTITUTE('1000_заявлений'!J537, ".", ","))</f>
        <v>14.9926589322989</v>
      </c>
      <c r="K543" s="5">
        <f>VALUE(SUBSTITUTE('1000_заявлений'!K537, ".", ","))</f>
        <v>-7145</v>
      </c>
      <c r="L543" s="6">
        <f>VALUE(SUBSTITUTE('1000_заявлений'!L537, ".", ","))</f>
        <v>109597.5</v>
      </c>
      <c r="M543" s="2" t="str">
        <f>IF(Данные[[#This Row],[proba]]&gt;$C$6, "отказ", "одобрение")</f>
        <v>отказ</v>
      </c>
      <c r="N543" s="7">
        <f>IF(Данные[[#This Row],[proba]]&lt;$D$2,$C$2,IF(Данные[[#This Row],[proba]]&lt;$D$3,$C$3,IF(Данные[[#This Row],[proba]]&gt;$C$6,0,$C$4)))</f>
        <v>0</v>
      </c>
      <c r="O543" s="2">
        <f>IF(Данные[[#This Row],[weighted_ext_score]]&gt;$O$1,MIN(Данные[[#This Row],[Базовая сумма]]*$O$2,$C$2),IF(Данные[[#This Row],[weighted_ext_score]]&lt;$O$3,Данные[[#This Row],[Базовая сумма]]*$O$4,N543))</f>
        <v>0</v>
      </c>
      <c r="P5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3" s="2">
        <f>ABS(Данные[[#This Row],[days_birth]])/365.2425</f>
        <v>52.094156621970335</v>
      </c>
      <c r="S5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3" s="2">
        <f>IF(Данные[[#This Row],[ interest_rate]]&gt;$T$1,Данные[[#This Row],[days_birth4]]*$T$2,Данные[[#This Row],[days_birth4]])</f>
        <v>0</v>
      </c>
      <c r="U543" s="2">
        <f>IF(Данные[[#This Row],[Проверка отказа]]="отказ",0,MAX(Данные[[#This Row],[interest_rate]],$C$1))</f>
        <v>0</v>
      </c>
      <c r="V543" s="2">
        <f>MROUND(Данные[[#This Row],[Минимум 20000]], 100)</f>
        <v>0</v>
      </c>
    </row>
    <row r="544" spans="1:22" x14ac:dyDescent="0.25">
      <c r="A544" s="2">
        <f>'1000_заявлений'!A538</f>
        <v>536</v>
      </c>
      <c r="B544" s="4">
        <f>VALUE(SUBSTITUTE('1000_заявлений'!B538, ".", ","))</f>
        <v>0.50741353485357799</v>
      </c>
      <c r="C544" s="4">
        <f>VALUE(SUBSTITUTE('1000_заявлений'!C538, ".", ","))</f>
        <v>0.33819878838260797</v>
      </c>
      <c r="D544" s="4">
        <f>VALUE(SUBSTITUTE('1000_заявлений'!D538, ".", ","))</f>
        <v>0.32016337</v>
      </c>
      <c r="E544" s="4">
        <f>VALUE(SUBSTITUTE('1000_заявлений'!E538, ".", ","))</f>
        <v>0.68564290000000006</v>
      </c>
      <c r="F544" s="5">
        <f>VALUE(SUBSTITUTE('1000_заявлений'!F538, ".", ","))</f>
        <v>-2667</v>
      </c>
      <c r="G544" s="5">
        <f>VALUE(SUBSTITUTE('1000_заявлений'!G538, ".", ","))</f>
        <v>-14941</v>
      </c>
      <c r="H544" s="5">
        <f>VALUE(SUBSTITUTE('1000_заявлений'!H538, ".", ","))</f>
        <v>-4474</v>
      </c>
      <c r="I544" s="4">
        <f>VALUE(SUBSTITUTE('1000_заявлений'!I538, ".", ","))</f>
        <v>0.179842857142857</v>
      </c>
      <c r="J544" s="4">
        <f>VALUE(SUBSTITUTE('1000_заявлений'!J538, ".", ","))</f>
        <v>0.51789434241999999</v>
      </c>
      <c r="K544" s="5">
        <f>VALUE(SUBSTITUTE('1000_заявлений'!K538, ".", ","))</f>
        <v>-837</v>
      </c>
      <c r="L544" s="6">
        <f>VALUE(SUBSTITUTE('1000_заявлений'!L538, ".", ","))</f>
        <v>56650.5</v>
      </c>
      <c r="M544" s="2" t="str">
        <f>IF(Данные[[#This Row],[proba]]&gt;$C$6, "отказ", "одобрение")</f>
        <v>отказ</v>
      </c>
      <c r="N544" s="7">
        <f>IF(Данные[[#This Row],[proba]]&lt;$D$2,$C$2,IF(Данные[[#This Row],[proba]]&lt;$D$3,$C$3,IF(Данные[[#This Row],[proba]]&gt;$C$6,0,$C$4)))</f>
        <v>0</v>
      </c>
      <c r="O544" s="2">
        <f>IF(Данные[[#This Row],[weighted_ext_score]]&gt;$O$1,MIN(Данные[[#This Row],[Базовая сумма]]*$O$2,$C$2),IF(Данные[[#This Row],[weighted_ext_score]]&lt;$O$3,Данные[[#This Row],[Базовая сумма]]*$O$4,N544))</f>
        <v>0</v>
      </c>
      <c r="P5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4" s="2">
        <f>ABS(Данные[[#This Row],[days_birth]])/365.2425</f>
        <v>40.907068591415289</v>
      </c>
      <c r="S5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4" s="2">
        <f>IF(Данные[[#This Row],[ interest_rate]]&gt;$T$1,Данные[[#This Row],[days_birth4]]*$T$2,Данные[[#This Row],[days_birth4]])</f>
        <v>0</v>
      </c>
      <c r="U544" s="2">
        <f>IF(Данные[[#This Row],[Проверка отказа]]="отказ",0,MAX(Данные[[#This Row],[interest_rate]],$C$1))</f>
        <v>0</v>
      </c>
      <c r="V544" s="2">
        <f>MROUND(Данные[[#This Row],[Минимум 20000]], 100)</f>
        <v>0</v>
      </c>
    </row>
    <row r="545" spans="1:22" x14ac:dyDescent="0.25">
      <c r="A545" s="2">
        <f>'1000_заявлений'!A539</f>
        <v>537</v>
      </c>
      <c r="B545" s="4">
        <f>VALUE(SUBSTITUTE('1000_заявлений'!B539, ".", ","))</f>
        <v>0.51315574985978596</v>
      </c>
      <c r="C545" s="4">
        <f>VALUE(SUBSTITUTE('1000_заявлений'!C539, ".", ","))</f>
        <v>0.41054984037783598</v>
      </c>
      <c r="D545" s="4">
        <f>VALUE(SUBSTITUTE('1000_заявлений'!D539, ".", ","))</f>
        <v>0.34090643999999998</v>
      </c>
      <c r="E545" s="4">
        <f>VALUE(SUBSTITUTE('1000_заявлений'!E539, ".", ","))</f>
        <v>0.66515299999999999</v>
      </c>
      <c r="F545" s="5">
        <f>VALUE(SUBSTITUTE('1000_заявлений'!F539, ".", ","))</f>
        <v>-10085</v>
      </c>
      <c r="G545" s="5">
        <f>VALUE(SUBSTITUTE('1000_заявлений'!G539, ".", ","))</f>
        <v>-10096</v>
      </c>
      <c r="H545" s="5">
        <f>VALUE(SUBSTITUTE('1000_заявлений'!H539, ".", ","))</f>
        <v>-1216</v>
      </c>
      <c r="I545" s="4">
        <f>VALUE(SUBSTITUTE('1000_заявлений'!I539, ".", ","))</f>
        <v>3.2974999999999997E-2</v>
      </c>
      <c r="J545" s="4">
        <f>VALUE(SUBSTITUTE('1000_заявлений'!J539, ".", ","))</f>
        <v>0.150141390081315</v>
      </c>
      <c r="K545" s="5">
        <f>VALUE(SUBSTITUTE('1000_заявлений'!K539, ".", ","))</f>
        <v>-1218</v>
      </c>
      <c r="L545" s="6">
        <f>VALUE(SUBSTITUTE('1000_заявлений'!L539, ".", ","))</f>
        <v>5935.5</v>
      </c>
      <c r="M545" s="2" t="str">
        <f>IF(Данные[[#This Row],[proba]]&gt;$C$6, "отказ", "одобрение")</f>
        <v>отказ</v>
      </c>
      <c r="N545" s="7">
        <f>IF(Данные[[#This Row],[proba]]&lt;$D$2,$C$2,IF(Данные[[#This Row],[proba]]&lt;$D$3,$C$3,IF(Данные[[#This Row],[proba]]&gt;$C$6,0,$C$4)))</f>
        <v>0</v>
      </c>
      <c r="O545" s="2">
        <f>IF(Данные[[#This Row],[weighted_ext_score]]&gt;$O$1,MIN(Данные[[#This Row],[Базовая сумма]]*$O$2,$C$2),IF(Данные[[#This Row],[weighted_ext_score]]&lt;$O$3,Данные[[#This Row],[Базовая сумма]]*$O$4,N545))</f>
        <v>0</v>
      </c>
      <c r="P5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5" s="2">
        <f>ABS(Данные[[#This Row],[days_birth]])/365.2425</f>
        <v>27.641909142555974</v>
      </c>
      <c r="S5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5" s="2">
        <f>IF(Данные[[#This Row],[ interest_rate]]&gt;$T$1,Данные[[#This Row],[days_birth4]]*$T$2,Данные[[#This Row],[days_birth4]])</f>
        <v>0</v>
      </c>
      <c r="U545" s="2">
        <f>IF(Данные[[#This Row],[Проверка отказа]]="отказ",0,MAX(Данные[[#This Row],[interest_rate]],$C$1))</f>
        <v>0</v>
      </c>
      <c r="V545" s="2">
        <f>MROUND(Данные[[#This Row],[Минимум 20000]], 100)</f>
        <v>0</v>
      </c>
    </row>
    <row r="546" spans="1:22" x14ac:dyDescent="0.25">
      <c r="A546" s="2">
        <f>'1000_заявлений'!A540</f>
        <v>538</v>
      </c>
      <c r="B546" s="4">
        <f>VALUE(SUBSTITUTE('1000_заявлений'!B540, ".", ","))</f>
        <v>0.23280990010060801</v>
      </c>
      <c r="C546" s="4">
        <f>VALUE(SUBSTITUTE('1000_заявлений'!C540, ".", ","))</f>
        <v>0.52578535872003995</v>
      </c>
      <c r="D546" s="4">
        <f>VALUE(SUBSTITUTE('1000_заявлений'!D540, ".", ","))</f>
        <v>0.68170589999999998</v>
      </c>
      <c r="E546" s="4">
        <f>VALUE(SUBSTITUTE('1000_заявлений'!E540, ".", ","))</f>
        <v>0.64923257000000001</v>
      </c>
      <c r="F546" s="5">
        <f>VALUE(SUBSTITUTE('1000_заявлений'!F540, ".", ","))</f>
        <v>-2911</v>
      </c>
      <c r="G546" s="5">
        <f>VALUE(SUBSTITUTE('1000_заявлений'!G540, ".", ","))</f>
        <v>-11564</v>
      </c>
      <c r="H546" s="5">
        <f>VALUE(SUBSTITUTE('1000_заявлений'!H540, ".", ","))</f>
        <v>-4072</v>
      </c>
      <c r="I546" s="4">
        <f>VALUE(SUBSTITUTE('1000_заявлений'!I540, ".", ","))</f>
        <v>6.6666666666666596E-2</v>
      </c>
      <c r="J546" s="4">
        <f>VALUE(SUBSTITUTE('1000_заявлений'!J540, ".", ","))</f>
        <v>10.6209759779781</v>
      </c>
      <c r="K546" s="5">
        <f>VALUE(SUBSTITUTE('1000_заявлений'!K540, ".", ","))</f>
        <v>-465</v>
      </c>
      <c r="L546" s="6">
        <f>VALUE(SUBSTITUTE('1000_заявлений'!L540, ".", ","))</f>
        <v>9000</v>
      </c>
      <c r="M546" s="2" t="str">
        <f>IF(Данные[[#This Row],[proba]]&gt;$C$6, "отказ", "одобрение")</f>
        <v>одобрение</v>
      </c>
      <c r="N546" s="7">
        <f>IF(Данные[[#This Row],[proba]]&lt;$D$2,$C$2,IF(Данные[[#This Row],[proba]]&lt;$D$3,$C$3,IF(Данные[[#This Row],[proba]]&gt;$C$6,0,$C$4)))</f>
        <v>100000</v>
      </c>
      <c r="O546" s="2">
        <f>IF(Данные[[#This Row],[weighted_ext_score]]&gt;$O$1,MIN(Данные[[#This Row],[Базовая сумма]]*$O$2,$C$2),IF(Данные[[#This Row],[weighted_ext_score]]&lt;$O$3,Данные[[#This Row],[Базовая сумма]]*$O$4,N546))</f>
        <v>100000</v>
      </c>
      <c r="P5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46" s="2">
        <f>ABS(Данные[[#This Row],[days_birth]])/365.2425</f>
        <v>31.661156628815103</v>
      </c>
      <c r="S5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546" s="2">
        <f>IF(Данные[[#This Row],[ interest_rate]]&gt;$T$1,Данные[[#This Row],[days_birth4]]*$T$2,Данные[[#This Row],[days_birth4]])</f>
        <v>84000</v>
      </c>
      <c r="U546" s="2">
        <f>IF(Данные[[#This Row],[Проверка отказа]]="отказ",0,MAX(Данные[[#This Row],[interest_rate]],$C$1))</f>
        <v>84000</v>
      </c>
      <c r="V546" s="2">
        <f>MROUND(Данные[[#This Row],[Минимум 20000]], 100)</f>
        <v>84000</v>
      </c>
    </row>
    <row r="547" spans="1:22" x14ac:dyDescent="0.25">
      <c r="A547" s="2">
        <f>'1000_заявлений'!A541</f>
        <v>539</v>
      </c>
      <c r="B547" s="4">
        <f>VALUE(SUBSTITUTE('1000_заявлений'!B541, ".", ","))</f>
        <v>0.200842406752056</v>
      </c>
      <c r="C547" s="4">
        <f>VALUE(SUBSTITUTE('1000_заявлений'!C541, ".", ","))</f>
        <v>0.610628150630948</v>
      </c>
      <c r="D547" s="4">
        <f>VALUE(SUBSTITUTE('1000_заявлений'!D541, ".", ","))</f>
        <v>0.65940549999999998</v>
      </c>
      <c r="E547" s="4">
        <f>VALUE(SUBSTITUTE('1000_заявлений'!E541, ".", ","))</f>
        <v>0.66815139999999995</v>
      </c>
      <c r="F547" s="5">
        <f>VALUE(SUBSTITUTE('1000_заявлений'!F541, ".", ","))</f>
        <v>-1102</v>
      </c>
      <c r="G547" s="5">
        <f>VALUE(SUBSTITUTE('1000_заявлений'!G541, ".", ","))</f>
        <v>-13716</v>
      </c>
      <c r="H547" s="5">
        <f>VALUE(SUBSTITUTE('1000_заявлений'!H541, ".", ","))</f>
        <v>-6092</v>
      </c>
      <c r="I547" s="4">
        <f>VALUE(SUBSTITUTE('1000_заявлений'!I541, ".", ","))</f>
        <v>0.133333333333333</v>
      </c>
      <c r="J547" s="4">
        <f>VALUE(SUBSTITUTE('1000_заявлений'!J541, ".", ","))</f>
        <v>10.6209759779781</v>
      </c>
      <c r="K547" s="5">
        <f>VALUE(SUBSTITUTE('1000_заявлений'!K541, ".", ","))</f>
        <v>-463</v>
      </c>
      <c r="L547" s="6">
        <f>VALUE(SUBSTITUTE('1000_заявлений'!L541, ".", ","))</f>
        <v>9000</v>
      </c>
      <c r="M547" s="2" t="str">
        <f>IF(Данные[[#This Row],[proba]]&gt;$C$6, "отказ", "одобрение")</f>
        <v>одобрение</v>
      </c>
      <c r="N547" s="7">
        <f>IF(Данные[[#This Row],[proba]]&lt;$D$2,$C$2,IF(Данные[[#This Row],[proba]]&lt;$D$3,$C$3,IF(Данные[[#This Row],[proba]]&gt;$C$6,0,$C$4)))</f>
        <v>100000</v>
      </c>
      <c r="O547" s="2">
        <f>IF(Данные[[#This Row],[weighted_ext_score]]&gt;$O$1,MIN(Данные[[#This Row],[Базовая сумма]]*$O$2,$C$2),IF(Данные[[#This Row],[weighted_ext_score]]&lt;$O$3,Данные[[#This Row],[Базовая сумма]]*$O$4,N547))</f>
        <v>100000</v>
      </c>
      <c r="P5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47" s="2">
        <f>ABS(Данные[[#This Row],[days_birth]])/365.2425</f>
        <v>37.553132507854372</v>
      </c>
      <c r="S5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547" s="2">
        <f>IF(Данные[[#This Row],[ interest_rate]]&gt;$T$1,Данные[[#This Row],[days_birth4]]*$T$2,Данные[[#This Row],[days_birth4]])</f>
        <v>84000</v>
      </c>
      <c r="U547" s="2">
        <f>IF(Данные[[#This Row],[Проверка отказа]]="отказ",0,MAX(Данные[[#This Row],[interest_rate]],$C$1))</f>
        <v>84000</v>
      </c>
      <c r="V547" s="2">
        <f>MROUND(Данные[[#This Row],[Минимум 20000]], 100)</f>
        <v>84000</v>
      </c>
    </row>
    <row r="548" spans="1:22" x14ac:dyDescent="0.25">
      <c r="A548" s="2">
        <f>'1000_заявлений'!A542</f>
        <v>540</v>
      </c>
      <c r="B548" s="4">
        <f>VALUE(SUBSTITUTE('1000_заявлений'!B542, ".", ","))</f>
        <v>0.66737752974554398</v>
      </c>
      <c r="C548" s="4">
        <f>VALUE(SUBSTITUTE('1000_заявлений'!C542, ".", ","))</f>
        <v>0.25317938296909498</v>
      </c>
      <c r="D548" s="4">
        <f>VALUE(SUBSTITUTE('1000_заявлений'!D542, ".", ","))</f>
        <v>0.44005783999999998</v>
      </c>
      <c r="E548" s="4">
        <f>VALUE(SUBSTITUTE('1000_заявлений'!E542, ".", ","))</f>
        <v>0.28986526000000001</v>
      </c>
      <c r="F548" s="5">
        <f>VALUE(SUBSTITUTE('1000_заявлений'!F542, ".", ","))</f>
        <v>-610</v>
      </c>
      <c r="G548" s="5">
        <f>VALUE(SUBSTITUTE('1000_заявлений'!G542, ".", ","))</f>
        <v>-11084</v>
      </c>
      <c r="H548" s="5">
        <f>VALUE(SUBSTITUTE('1000_заявлений'!H542, ".", ","))</f>
        <v>-3507</v>
      </c>
      <c r="I548" s="4">
        <f>VALUE(SUBSTITUTE('1000_заявлений'!I542, ".", ","))</f>
        <v>0.22395999999999999</v>
      </c>
      <c r="J548" s="4">
        <f>VALUE(SUBSTITUTE('1000_заявлений'!J542, ".", ","))</f>
        <v>6.0867631954587296</v>
      </c>
      <c r="K548" s="5">
        <f>VALUE(SUBSTITUTE('1000_заявлений'!K542, ".", ","))</f>
        <v>-1266</v>
      </c>
      <c r="L548" s="6">
        <f>VALUE(SUBSTITUTE('1000_заявлений'!L542, ".", ","))</f>
        <v>50391</v>
      </c>
      <c r="M548" s="2" t="str">
        <f>IF(Данные[[#This Row],[proba]]&gt;$C$6, "отказ", "одобрение")</f>
        <v>отказ</v>
      </c>
      <c r="N548" s="7">
        <f>IF(Данные[[#This Row],[proba]]&lt;$D$2,$C$2,IF(Данные[[#This Row],[proba]]&lt;$D$3,$C$3,IF(Данные[[#This Row],[proba]]&gt;$C$6,0,$C$4)))</f>
        <v>0</v>
      </c>
      <c r="O548" s="2">
        <f>IF(Данные[[#This Row],[weighted_ext_score]]&gt;$O$1,MIN(Данные[[#This Row],[Базовая сумма]]*$O$2,$C$2),IF(Данные[[#This Row],[weighted_ext_score]]&lt;$O$3,Данные[[#This Row],[Базовая сумма]]*$O$4,N548))</f>
        <v>0</v>
      </c>
      <c r="P5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8" s="2">
        <f>ABS(Данные[[#This Row],[days_birth]])/365.2425</f>
        <v>30.346961265460617</v>
      </c>
      <c r="S5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8" s="2">
        <f>IF(Данные[[#This Row],[ interest_rate]]&gt;$T$1,Данные[[#This Row],[days_birth4]]*$T$2,Данные[[#This Row],[days_birth4]])</f>
        <v>0</v>
      </c>
      <c r="U548" s="2">
        <f>IF(Данные[[#This Row],[Проверка отказа]]="отказ",0,MAX(Данные[[#This Row],[interest_rate]],$C$1))</f>
        <v>0</v>
      </c>
      <c r="V548" s="2">
        <f>MROUND(Данные[[#This Row],[Минимум 20000]], 100)</f>
        <v>0</v>
      </c>
    </row>
    <row r="549" spans="1:22" x14ac:dyDescent="0.25">
      <c r="A549" s="2">
        <f>'1000_заявлений'!A543</f>
        <v>541</v>
      </c>
      <c r="B549" s="4">
        <f>VALUE(SUBSTITUTE('1000_заявлений'!B543, ".", ","))</f>
        <v>0.38965428761086601</v>
      </c>
      <c r="C549" s="4">
        <f>VALUE(SUBSTITUTE('1000_заявлений'!C543, ".", ","))</f>
        <v>0.42093288163411902</v>
      </c>
      <c r="D549" s="4">
        <f>VALUE(SUBSTITUTE('1000_заявлений'!D543, ".", ","))</f>
        <v>0.58148370000000005</v>
      </c>
      <c r="E549" s="4">
        <f>VALUE(SUBSTITUTE('1000_заявлений'!E543, ".", ","))</f>
        <v>0.6103113</v>
      </c>
      <c r="F549" s="5">
        <f>VALUE(SUBSTITUTE('1000_заявлений'!F543, ".", ","))</f>
        <v>-7028</v>
      </c>
      <c r="G549" s="5">
        <f>VALUE(SUBSTITUTE('1000_заявлений'!G543, ".", ","))</f>
        <v>-13045</v>
      </c>
      <c r="H549" s="5">
        <f>VALUE(SUBSTITUTE('1000_заявлений'!H543, ".", ","))</f>
        <v>-4326</v>
      </c>
      <c r="I549" s="4">
        <f>VALUE(SUBSTITUTE('1000_заявлений'!I543, ".", ","))</f>
        <v>0.26939999999999997</v>
      </c>
      <c r="J549" s="4">
        <f>VALUE(SUBSTITUTE('1000_заявлений'!J543, ".", ","))</f>
        <v>2.6151802847663701</v>
      </c>
      <c r="K549" s="5">
        <f>VALUE(SUBSTITUTE('1000_заявлений'!K543, ".", ","))</f>
        <v>-560</v>
      </c>
      <c r="L549" s="6">
        <f>VALUE(SUBSTITUTE('1000_заявлений'!L543, ".", ","))</f>
        <v>36369</v>
      </c>
      <c r="M549" s="2" t="str">
        <f>IF(Данные[[#This Row],[proba]]&gt;$C$6, "отказ", "одобрение")</f>
        <v>отказ</v>
      </c>
      <c r="N549" s="7">
        <f>IF(Данные[[#This Row],[proba]]&lt;$D$2,$C$2,IF(Данные[[#This Row],[proba]]&lt;$D$3,$C$3,IF(Данные[[#This Row],[proba]]&gt;$C$6,0,$C$4)))</f>
        <v>0</v>
      </c>
      <c r="O549" s="2">
        <f>IF(Данные[[#This Row],[weighted_ext_score]]&gt;$O$1,MIN(Данные[[#This Row],[Базовая сумма]]*$O$2,$C$2),IF(Данные[[#This Row],[weighted_ext_score]]&lt;$O$3,Данные[[#This Row],[Базовая сумма]]*$O$4,N549))</f>
        <v>0</v>
      </c>
      <c r="P5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49" s="2">
        <f>ABS(Данные[[#This Row],[days_birth]])/365.2425</f>
        <v>35.715996906165081</v>
      </c>
      <c r="S5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49" s="2">
        <f>IF(Данные[[#This Row],[ interest_rate]]&gt;$T$1,Данные[[#This Row],[days_birth4]]*$T$2,Данные[[#This Row],[days_birth4]])</f>
        <v>0</v>
      </c>
      <c r="U549" s="2">
        <f>IF(Данные[[#This Row],[Проверка отказа]]="отказ",0,MAX(Данные[[#This Row],[interest_rate]],$C$1))</f>
        <v>0</v>
      </c>
      <c r="V549" s="2">
        <f>MROUND(Данные[[#This Row],[Минимум 20000]], 100)</f>
        <v>0</v>
      </c>
    </row>
    <row r="550" spans="1:22" x14ac:dyDescent="0.25">
      <c r="A550" s="2">
        <f>'1000_заявлений'!A544</f>
        <v>542</v>
      </c>
      <c r="B550" s="4">
        <f>VALUE(SUBSTITUTE('1000_заявлений'!B544, ".", ","))</f>
        <v>0.39753068797142999</v>
      </c>
      <c r="C550" s="4">
        <f>VALUE(SUBSTITUTE('1000_заявлений'!C544, ".", ","))</f>
        <v>0.40182540412513801</v>
      </c>
      <c r="D550" s="4">
        <f>VALUE(SUBSTITUTE('1000_заявлений'!D544, ".", ","))</f>
        <v>0.54959650000000004</v>
      </c>
      <c r="E550" s="4">
        <f>VALUE(SUBSTITUTE('1000_заявлений'!E544, ".", ","))</f>
        <v>0.62598556000000005</v>
      </c>
      <c r="F550" s="5">
        <f>VALUE(SUBSTITUTE('1000_заявлений'!F544, ".", ","))</f>
        <v>-2486</v>
      </c>
      <c r="G550" s="5">
        <f>VALUE(SUBSTITUTE('1000_заявлений'!G544, ".", ","))</f>
        <v>-18167</v>
      </c>
      <c r="H550" s="5">
        <f>VALUE(SUBSTITUTE('1000_заявлений'!H544, ".", ","))</f>
        <v>-1716</v>
      </c>
      <c r="I550" s="4">
        <f>VALUE(SUBSTITUTE('1000_заявлений'!I544, ".", ","))</f>
        <v>0.19439999999999999</v>
      </c>
      <c r="J550" s="4">
        <f>VALUE(SUBSTITUTE('1000_заявлений'!J544, ".", ","))</f>
        <v>1.84195351321727</v>
      </c>
      <c r="K550" s="5">
        <f>VALUE(SUBSTITUTE('1000_заявлений'!K544, ".", ","))</f>
        <v>-1322</v>
      </c>
      <c r="L550" s="6">
        <f>VALUE(SUBSTITUTE('1000_заявлений'!L544, ".", ","))</f>
        <v>30618</v>
      </c>
      <c r="M550" s="2" t="str">
        <f>IF(Данные[[#This Row],[proba]]&gt;$C$6, "отказ", "одобрение")</f>
        <v>отказ</v>
      </c>
      <c r="N550" s="7">
        <f>IF(Данные[[#This Row],[proba]]&lt;$D$2,$C$2,IF(Данные[[#This Row],[proba]]&lt;$D$3,$C$3,IF(Данные[[#This Row],[proba]]&gt;$C$6,0,$C$4)))</f>
        <v>0</v>
      </c>
      <c r="O550" s="2">
        <f>IF(Данные[[#This Row],[weighted_ext_score]]&gt;$O$1,MIN(Данные[[#This Row],[Базовая сумма]]*$O$2,$C$2),IF(Данные[[#This Row],[weighted_ext_score]]&lt;$O$3,Данные[[#This Row],[Базовая сумма]]*$O$4,N550))</f>
        <v>0</v>
      </c>
      <c r="P5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0" s="2">
        <f>ABS(Данные[[#This Row],[days_birth]])/365.2425</f>
        <v>49.739556595960217</v>
      </c>
      <c r="S5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0" s="2">
        <f>IF(Данные[[#This Row],[ interest_rate]]&gt;$T$1,Данные[[#This Row],[days_birth4]]*$T$2,Данные[[#This Row],[days_birth4]])</f>
        <v>0</v>
      </c>
      <c r="U550" s="2">
        <f>IF(Данные[[#This Row],[Проверка отказа]]="отказ",0,MAX(Данные[[#This Row],[interest_rate]],$C$1))</f>
        <v>0</v>
      </c>
      <c r="V550" s="2">
        <f>MROUND(Данные[[#This Row],[Минимум 20000]], 100)</f>
        <v>0</v>
      </c>
    </row>
    <row r="551" spans="1:22" x14ac:dyDescent="0.25">
      <c r="A551" s="2">
        <f>'1000_заявлений'!A545</f>
        <v>543</v>
      </c>
      <c r="B551" s="4">
        <f>VALUE(SUBSTITUTE('1000_заявлений'!B545, ".", ","))</f>
        <v>0.51474154013944695</v>
      </c>
      <c r="C551" s="4">
        <f>VALUE(SUBSTITUTE('1000_заявлений'!C545, ".", ","))</f>
        <v>0.31060285586615</v>
      </c>
      <c r="D551" s="4">
        <f>VALUE(SUBSTITUTE('1000_заявлений'!D545, ".", ","))</f>
        <v>0.4632753</v>
      </c>
      <c r="E551" s="4">
        <f>VALUE(SUBSTITUTE('1000_заявлений'!E545, ".", ","))</f>
        <v>0.44100586000000003</v>
      </c>
      <c r="F551" s="5">
        <f>VALUE(SUBSTITUTE('1000_заявлений'!F545, ".", ","))</f>
        <v>-11232</v>
      </c>
      <c r="G551" s="5">
        <f>VALUE(SUBSTITUTE('1000_заявлений'!G545, ".", ","))</f>
        <v>-17169</v>
      </c>
      <c r="H551" s="5">
        <f>VALUE(SUBSTITUTE('1000_заявлений'!H545, ".", ","))</f>
        <v>-708</v>
      </c>
      <c r="I551" s="4">
        <f>VALUE(SUBSTITUTE('1000_заявлений'!I545, ".", ","))</f>
        <v>0.13750000000000001</v>
      </c>
      <c r="J551" s="4">
        <f>VALUE(SUBSTITUTE('1000_заявлений'!J545, ".", ","))</f>
        <v>10.6209759779781</v>
      </c>
      <c r="K551" s="5">
        <f>VALUE(SUBSTITUTE('1000_заявлений'!K545, ".", ","))</f>
        <v>-6558</v>
      </c>
      <c r="L551" s="6">
        <f>VALUE(SUBSTITUTE('1000_заявлений'!L545, ".", ","))</f>
        <v>12375</v>
      </c>
      <c r="M551" s="2" t="str">
        <f>IF(Данные[[#This Row],[proba]]&gt;$C$6, "отказ", "одобрение")</f>
        <v>отказ</v>
      </c>
      <c r="N551" s="7">
        <f>IF(Данные[[#This Row],[proba]]&lt;$D$2,$C$2,IF(Данные[[#This Row],[proba]]&lt;$D$3,$C$3,IF(Данные[[#This Row],[proba]]&gt;$C$6,0,$C$4)))</f>
        <v>0</v>
      </c>
      <c r="O551" s="2">
        <f>IF(Данные[[#This Row],[weighted_ext_score]]&gt;$O$1,MIN(Данные[[#This Row],[Базовая сумма]]*$O$2,$C$2),IF(Данные[[#This Row],[weighted_ext_score]]&lt;$O$3,Данные[[#This Row],[Базовая сумма]]*$O$4,N551))</f>
        <v>0</v>
      </c>
      <c r="P5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1" s="2">
        <f>ABS(Данные[[#This Row],[days_birth]])/365.2425</f>
        <v>47.007125402985686</v>
      </c>
      <c r="S5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1" s="2">
        <f>IF(Данные[[#This Row],[ interest_rate]]&gt;$T$1,Данные[[#This Row],[days_birth4]]*$T$2,Данные[[#This Row],[days_birth4]])</f>
        <v>0</v>
      </c>
      <c r="U551" s="2">
        <f>IF(Данные[[#This Row],[Проверка отказа]]="отказ",0,MAX(Данные[[#This Row],[interest_rate]],$C$1))</f>
        <v>0</v>
      </c>
      <c r="V551" s="2">
        <f>MROUND(Данные[[#This Row],[Минимум 20000]], 100)</f>
        <v>0</v>
      </c>
    </row>
    <row r="552" spans="1:22" x14ac:dyDescent="0.25">
      <c r="A552" s="2">
        <f>'1000_заявлений'!A546</f>
        <v>544</v>
      </c>
      <c r="B552" s="4">
        <f>VALUE(SUBSTITUTE('1000_заявлений'!B546, ".", ","))</f>
        <v>0.38561234007300399</v>
      </c>
      <c r="C552" s="4">
        <f>VALUE(SUBSTITUTE('1000_заявлений'!C546, ".", ","))</f>
        <v>0.538823394590069</v>
      </c>
      <c r="D552" s="4">
        <f>VALUE(SUBSTITUTE('1000_заявлений'!D546, ".", ","))</f>
        <v>0.59197664000000005</v>
      </c>
      <c r="E552" s="4">
        <f>VALUE(SUBSTITUTE('1000_заявлений'!E546, ".", ","))</f>
        <v>0.20739956000000001</v>
      </c>
      <c r="F552" s="5">
        <f>VALUE(SUBSTITUTE('1000_заявлений'!F546, ".", ","))</f>
        <v>-3284</v>
      </c>
      <c r="G552" s="5">
        <f>VALUE(SUBSTITUTE('1000_заявлений'!G546, ".", ","))</f>
        <v>-22540</v>
      </c>
      <c r="H552" s="5">
        <f>VALUE(SUBSTITUTE('1000_заявлений'!H546, ".", ","))</f>
        <v>-4751</v>
      </c>
      <c r="I552" s="4">
        <f>VALUE(SUBSTITUTE('1000_заявлений'!I546, ".", ","))</f>
        <v>0.21128</v>
      </c>
      <c r="J552" s="4">
        <f>VALUE(SUBSTITUTE('1000_заявлений'!J546, ".", ","))</f>
        <v>2.04123618330871</v>
      </c>
      <c r="K552" s="5">
        <f>VALUE(SUBSTITUTE('1000_заявлений'!K546, ".", ","))</f>
        <v>365243</v>
      </c>
      <c r="L552" s="6">
        <f>VALUE(SUBSTITUTE('1000_заявлений'!L546, ".", ","))</f>
        <v>23769</v>
      </c>
      <c r="M552" s="2" t="str">
        <f>IF(Данные[[#This Row],[proba]]&gt;$C$6, "отказ", "одобрение")</f>
        <v>отказ</v>
      </c>
      <c r="N552" s="7">
        <f>IF(Данные[[#This Row],[proba]]&lt;$D$2,$C$2,IF(Данные[[#This Row],[proba]]&lt;$D$3,$C$3,IF(Данные[[#This Row],[proba]]&gt;$C$6,0,$C$4)))</f>
        <v>0</v>
      </c>
      <c r="O552" s="2">
        <f>IF(Данные[[#This Row],[weighted_ext_score]]&gt;$O$1,MIN(Данные[[#This Row],[Базовая сумма]]*$O$2,$C$2),IF(Данные[[#This Row],[weighted_ext_score]]&lt;$O$3,Данные[[#This Row],[Базовая сумма]]*$O$4,N552))</f>
        <v>0</v>
      </c>
      <c r="P5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2" s="2">
        <f>ABS(Данные[[#This Row],[days_birth]])/365.2425</f>
        <v>61.71242393752096</v>
      </c>
      <c r="S5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2" s="2">
        <f>IF(Данные[[#This Row],[ interest_rate]]&gt;$T$1,Данные[[#This Row],[days_birth4]]*$T$2,Данные[[#This Row],[days_birth4]])</f>
        <v>0</v>
      </c>
      <c r="U552" s="2">
        <f>IF(Данные[[#This Row],[Проверка отказа]]="отказ",0,MAX(Данные[[#This Row],[interest_rate]],$C$1))</f>
        <v>0</v>
      </c>
      <c r="V552" s="2">
        <f>MROUND(Данные[[#This Row],[Минимум 20000]], 100)</f>
        <v>0</v>
      </c>
    </row>
    <row r="553" spans="1:22" x14ac:dyDescent="0.25">
      <c r="A553" s="2">
        <f>'1000_заявлений'!A547</f>
        <v>545</v>
      </c>
      <c r="B553" s="4">
        <f>VALUE(SUBSTITUTE('1000_заявлений'!B547, ".", ","))</f>
        <v>0.69405394068053605</v>
      </c>
      <c r="C553" s="4">
        <f>VALUE(SUBSTITUTE('1000_заявлений'!C547, ".", ","))</f>
        <v>0.172857484388768</v>
      </c>
      <c r="D553" s="4">
        <f>VALUE(SUBSTITUTE('1000_заявлений'!D547, ".", ","))</f>
        <v>0.12373532</v>
      </c>
      <c r="E553" s="4">
        <f>VALUE(SUBSTITUTE('1000_заявлений'!E547, ".", ","))</f>
        <v>0.39493158</v>
      </c>
      <c r="F553" s="5">
        <f>VALUE(SUBSTITUTE('1000_заявлений'!F547, ".", ","))</f>
        <v>-9883</v>
      </c>
      <c r="G553" s="5">
        <f>VALUE(SUBSTITUTE('1000_заявлений'!G547, ".", ","))</f>
        <v>-21112</v>
      </c>
      <c r="H553" s="5">
        <f>VALUE(SUBSTITUTE('1000_заявлений'!H547, ".", ","))</f>
        <v>-3936</v>
      </c>
      <c r="I553" s="4">
        <f>VALUE(SUBSTITUTE('1000_заявлений'!I547, ".", ","))</f>
        <v>9.5055555555555504E-2</v>
      </c>
      <c r="J553" s="4">
        <f>VALUE(SUBSTITUTE('1000_заявлений'!J547, ".", ","))</f>
        <v>5.3730779051882998</v>
      </c>
      <c r="K553" s="5">
        <f>VALUE(SUBSTITUTE('1000_заявлений'!K547, ".", ","))</f>
        <v>365243</v>
      </c>
      <c r="L553" s="6">
        <f>VALUE(SUBSTITUTE('1000_заявлений'!L547, ".", ","))</f>
        <v>15399</v>
      </c>
      <c r="M553" s="2" t="str">
        <f>IF(Данные[[#This Row],[proba]]&gt;$C$6, "отказ", "одобрение")</f>
        <v>отказ</v>
      </c>
      <c r="N553" s="7">
        <f>IF(Данные[[#This Row],[proba]]&lt;$D$2,$C$2,IF(Данные[[#This Row],[proba]]&lt;$D$3,$C$3,IF(Данные[[#This Row],[proba]]&gt;$C$6,0,$C$4)))</f>
        <v>0</v>
      </c>
      <c r="O553" s="2">
        <f>IF(Данные[[#This Row],[weighted_ext_score]]&gt;$O$1,MIN(Данные[[#This Row],[Базовая сумма]]*$O$2,$C$2),IF(Данные[[#This Row],[weighted_ext_score]]&lt;$O$3,Данные[[#This Row],[Базовая сумма]]*$O$4,N553))</f>
        <v>0</v>
      </c>
      <c r="P5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3" s="2">
        <f>ABS(Данные[[#This Row],[days_birth]])/365.2425</f>
        <v>57.80269273154137</v>
      </c>
      <c r="S5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3" s="2">
        <f>IF(Данные[[#This Row],[ interest_rate]]&gt;$T$1,Данные[[#This Row],[days_birth4]]*$T$2,Данные[[#This Row],[days_birth4]])</f>
        <v>0</v>
      </c>
      <c r="U553" s="2">
        <f>IF(Данные[[#This Row],[Проверка отказа]]="отказ",0,MAX(Данные[[#This Row],[interest_rate]],$C$1))</f>
        <v>0</v>
      </c>
      <c r="V553" s="2">
        <f>MROUND(Данные[[#This Row],[Минимум 20000]], 100)</f>
        <v>0</v>
      </c>
    </row>
    <row r="554" spans="1:22" x14ac:dyDescent="0.25">
      <c r="A554" s="2">
        <f>'1000_заявлений'!A548</f>
        <v>546</v>
      </c>
      <c r="B554" s="4">
        <f>VALUE(SUBSTITUTE('1000_заявлений'!B548, ".", ","))</f>
        <v>0.18870949269911999</v>
      </c>
      <c r="C554" s="4">
        <f>VALUE(SUBSTITUTE('1000_заявлений'!C548, ".", ","))</f>
        <v>0.70408642890404605</v>
      </c>
      <c r="D554" s="4">
        <f>VALUE(SUBSTITUTE('1000_заявлений'!D548, ".", ","))</f>
        <v>0.74079907</v>
      </c>
      <c r="E554" s="4">
        <f>VALUE(SUBSTITUTE('1000_заявлений'!E548, ".", ","))</f>
        <v>0.69952029999999998</v>
      </c>
      <c r="F554" s="5">
        <f>VALUE(SUBSTITUTE('1000_заявлений'!F548, ".", ","))</f>
        <v>-9789</v>
      </c>
      <c r="G554" s="5">
        <f>VALUE(SUBSTITUTE('1000_заявлений'!G548, ".", ","))</f>
        <v>-16285</v>
      </c>
      <c r="H554" s="5">
        <f>VALUE(SUBSTITUTE('1000_заявлений'!H548, ".", ","))</f>
        <v>-1205</v>
      </c>
      <c r="I554" s="4">
        <f>VALUE(SUBSTITUTE('1000_заявлений'!I548, ".", ","))</f>
        <v>0.32363999999999998</v>
      </c>
      <c r="J554" s="4">
        <f>VALUE(SUBSTITUTE('1000_заявлений'!J548, ".", ","))</f>
        <v>2.99447572364799</v>
      </c>
      <c r="K554" s="5">
        <f>VALUE(SUBSTITUTE('1000_заявлений'!K548, ".", ","))</f>
        <v>-572</v>
      </c>
      <c r="L554" s="6">
        <f>VALUE(SUBSTITUTE('1000_заявлений'!L548, ".", ","))</f>
        <v>36409.5</v>
      </c>
      <c r="M554" s="2" t="str">
        <f>IF(Данные[[#This Row],[proba]]&gt;$C$6, "отказ", "одобрение")</f>
        <v>одобрение</v>
      </c>
      <c r="N554" s="7">
        <f>IF(Данные[[#This Row],[proba]]&lt;$D$2,$C$2,IF(Данные[[#This Row],[proba]]&lt;$D$3,$C$3,IF(Данные[[#This Row],[proba]]&gt;$C$6,0,$C$4)))</f>
        <v>300000</v>
      </c>
      <c r="O554" s="2">
        <f>IF(Данные[[#This Row],[weighted_ext_score]]&gt;$O$1,MIN(Данные[[#This Row],[Базовая сумма]]*$O$2,$C$2),IF(Данные[[#This Row],[weighted_ext_score]]&lt;$O$3,Данные[[#This Row],[Базовая сумма]]*$O$4,N554))</f>
        <v>360000</v>
      </c>
      <c r="P5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554" s="2">
        <f>ABS(Данные[[#This Row],[days_birth]])/365.2425</f>
        <v>44.586815608807846</v>
      </c>
      <c r="S5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554" s="2">
        <f>IF(Данные[[#This Row],[ interest_rate]]&gt;$T$1,Данные[[#This Row],[days_birth4]]*$T$2,Данные[[#This Row],[days_birth4]])</f>
        <v>251999.99999999997</v>
      </c>
      <c r="U554" s="2">
        <f>IF(Данные[[#This Row],[Проверка отказа]]="отказ",0,MAX(Данные[[#This Row],[interest_rate]],$C$1))</f>
        <v>251999.99999999997</v>
      </c>
      <c r="V554" s="2">
        <f>MROUND(Данные[[#This Row],[Минимум 20000]], 100)</f>
        <v>252000</v>
      </c>
    </row>
    <row r="555" spans="1:22" x14ac:dyDescent="0.25">
      <c r="A555" s="2">
        <f>'1000_заявлений'!A549</f>
        <v>547</v>
      </c>
      <c r="B555" s="4">
        <f>VALUE(SUBSTITUTE('1000_заявлений'!B549, ".", ","))</f>
        <v>0.22913722962473501</v>
      </c>
      <c r="C555" s="4">
        <f>VALUE(SUBSTITUTE('1000_заявлений'!C549, ".", ","))</f>
        <v>0.637705263506675</v>
      </c>
      <c r="D555" s="4">
        <f>VALUE(SUBSTITUTE('1000_заявлений'!D549, ".", ","))</f>
        <v>0.62122630000000001</v>
      </c>
      <c r="E555" s="4">
        <f>VALUE(SUBSTITUTE('1000_заявлений'!E549, ".", ","))</f>
        <v>0.67842060000000004</v>
      </c>
      <c r="F555" s="5">
        <f>VALUE(SUBSTITUTE('1000_заявлений'!F549, ".", ","))</f>
        <v>-3079</v>
      </c>
      <c r="G555" s="5">
        <f>VALUE(SUBSTITUTE('1000_заявлений'!G549, ".", ","))</f>
        <v>-13044</v>
      </c>
      <c r="H555" s="5">
        <f>VALUE(SUBSTITUTE('1000_заявлений'!H549, ".", ","))</f>
        <v>-4137</v>
      </c>
      <c r="I555" s="4">
        <f>VALUE(SUBSTITUTE('1000_заявлений'!I549, ".", ","))</f>
        <v>0.12736666666666599</v>
      </c>
      <c r="J555" s="4">
        <f>VALUE(SUBSTITUTE('1000_заявлений'!J549, ".", ","))</f>
        <v>5.4456527187522301</v>
      </c>
      <c r="K555" s="5">
        <f>VALUE(SUBSTITUTE('1000_заявлений'!K549, ".", ","))</f>
        <v>-2621</v>
      </c>
      <c r="L555" s="6">
        <f>VALUE(SUBSTITUTE('1000_заявлений'!L549, ".", ","))</f>
        <v>17194.5</v>
      </c>
      <c r="M555" s="2" t="str">
        <f>IF(Данные[[#This Row],[proba]]&gt;$C$6, "отказ", "одобрение")</f>
        <v>одобрение</v>
      </c>
      <c r="N555" s="7">
        <f>IF(Данные[[#This Row],[proba]]&lt;$D$2,$C$2,IF(Данные[[#This Row],[proba]]&lt;$D$3,$C$3,IF(Данные[[#This Row],[proba]]&gt;$C$6,0,$C$4)))</f>
        <v>100000</v>
      </c>
      <c r="O555" s="2">
        <f>IF(Данные[[#This Row],[weighted_ext_score]]&gt;$O$1,MIN(Данные[[#This Row],[Базовая сумма]]*$O$2,$C$2),IF(Данные[[#This Row],[weighted_ext_score]]&lt;$O$3,Данные[[#This Row],[Базовая сумма]]*$O$4,N555))</f>
        <v>100000</v>
      </c>
      <c r="P5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555" s="2">
        <f>ABS(Данные[[#This Row],[days_birth]])/365.2425</f>
        <v>35.713258999158093</v>
      </c>
      <c r="S5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555" s="2">
        <f>IF(Данные[[#This Row],[ interest_rate]]&gt;$T$1,Данные[[#This Row],[days_birth4]]*$T$2,Данные[[#This Row],[days_birth4]])</f>
        <v>144000</v>
      </c>
      <c r="U555" s="2">
        <f>IF(Данные[[#This Row],[Проверка отказа]]="отказ",0,MAX(Данные[[#This Row],[interest_rate]],$C$1))</f>
        <v>144000</v>
      </c>
      <c r="V555" s="2">
        <f>MROUND(Данные[[#This Row],[Минимум 20000]], 100)</f>
        <v>144000</v>
      </c>
    </row>
    <row r="556" spans="1:22" x14ac:dyDescent="0.25">
      <c r="A556" s="2">
        <f>'1000_заявлений'!A550</f>
        <v>548</v>
      </c>
      <c r="B556" s="4">
        <f>VALUE(SUBSTITUTE('1000_заявлений'!B550, ".", ","))</f>
        <v>0.48803022761635101</v>
      </c>
      <c r="C556" s="4">
        <f>VALUE(SUBSTITUTE('1000_заявлений'!C550, ".", ","))</f>
        <v>0.32265011269374599</v>
      </c>
      <c r="D556" s="4">
        <f>VALUE(SUBSTITUTE('1000_заявлений'!D550, ".", ","))</f>
        <v>0.27644067999999999</v>
      </c>
      <c r="E556" s="4">
        <f>VALUE(SUBSTITUTE('1000_заявлений'!E550, ".", ","))</f>
        <v>0.68645774999999998</v>
      </c>
      <c r="F556" s="5">
        <f>VALUE(SUBSTITUTE('1000_заявлений'!F550, ".", ","))</f>
        <v>-3522</v>
      </c>
      <c r="G556" s="5">
        <f>VALUE(SUBSTITUTE('1000_заявлений'!G550, ".", ","))</f>
        <v>-23654</v>
      </c>
      <c r="H556" s="5">
        <f>VALUE(SUBSTITUTE('1000_заявлений'!H550, ".", ","))</f>
        <v>-3819</v>
      </c>
      <c r="I556" s="4">
        <f>VALUE(SUBSTITUTE('1000_заявлений'!I550, ".", ","))</f>
        <v>0.29847826086956503</v>
      </c>
      <c r="J556" s="4">
        <f>VALUE(SUBSTITUTE('1000_заявлений'!J550, ".", ","))</f>
        <v>1.5519146418863701</v>
      </c>
      <c r="K556" s="5">
        <f>VALUE(SUBSTITUTE('1000_заявлений'!K550, ".", ","))</f>
        <v>365243</v>
      </c>
      <c r="L556" s="6">
        <f>VALUE(SUBSTITUTE('1000_заявлений'!L550, ".", ","))</f>
        <v>30892.5</v>
      </c>
      <c r="M556" s="2" t="str">
        <f>IF(Данные[[#This Row],[proba]]&gt;$C$6, "отказ", "одобрение")</f>
        <v>отказ</v>
      </c>
      <c r="N556" s="7">
        <f>IF(Данные[[#This Row],[proba]]&lt;$D$2,$C$2,IF(Данные[[#This Row],[proba]]&lt;$D$3,$C$3,IF(Данные[[#This Row],[proba]]&gt;$C$6,0,$C$4)))</f>
        <v>0</v>
      </c>
      <c r="O556" s="2">
        <f>IF(Данные[[#This Row],[weighted_ext_score]]&gt;$O$1,MIN(Данные[[#This Row],[Базовая сумма]]*$O$2,$C$2),IF(Данные[[#This Row],[weighted_ext_score]]&lt;$O$3,Данные[[#This Row],[Базовая сумма]]*$O$4,N556))</f>
        <v>0</v>
      </c>
      <c r="P5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6" s="2">
        <f>ABS(Данные[[#This Row],[days_birth]])/365.2425</f>
        <v>64.762452343306165</v>
      </c>
      <c r="S5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6" s="2">
        <f>IF(Данные[[#This Row],[ interest_rate]]&gt;$T$1,Данные[[#This Row],[days_birth4]]*$T$2,Данные[[#This Row],[days_birth4]])</f>
        <v>0</v>
      </c>
      <c r="U556" s="2">
        <f>IF(Данные[[#This Row],[Проверка отказа]]="отказ",0,MAX(Данные[[#This Row],[interest_rate]],$C$1))</f>
        <v>0</v>
      </c>
      <c r="V556" s="2">
        <f>MROUND(Данные[[#This Row],[Минимум 20000]], 100)</f>
        <v>0</v>
      </c>
    </row>
    <row r="557" spans="1:22" x14ac:dyDescent="0.25">
      <c r="A557" s="2">
        <f>'1000_заявлений'!A551</f>
        <v>549</v>
      </c>
      <c r="B557" s="4">
        <f>VALUE(SUBSTITUTE('1000_заявлений'!B551, ".", ","))</f>
        <v>0.49781516525720498</v>
      </c>
      <c r="C557" s="4">
        <f>VALUE(SUBSTITUTE('1000_заявлений'!C551, ".", ","))</f>
        <v>0.305348284376741</v>
      </c>
      <c r="D557" s="4">
        <f>VALUE(SUBSTITUTE('1000_заявлений'!D551, ".", ","))</f>
        <v>0.45789953999999999</v>
      </c>
      <c r="E557" s="4">
        <f>VALUE(SUBSTITUTE('1000_заявлений'!E551, ".", ","))</f>
        <v>0.43080062000000002</v>
      </c>
      <c r="F557" s="5">
        <f>VALUE(SUBSTITUTE('1000_заявлений'!F551, ".", ","))</f>
        <v>-6106</v>
      </c>
      <c r="G557" s="5">
        <f>VALUE(SUBSTITUTE('1000_заявлений'!G551, ".", ","))</f>
        <v>-22541</v>
      </c>
      <c r="H557" s="5">
        <f>VALUE(SUBSTITUTE('1000_заявлений'!H551, ".", ","))</f>
        <v>-4587</v>
      </c>
      <c r="I557" s="4">
        <f>VALUE(SUBSTITUTE('1000_заявлений'!I551, ".", ","))</f>
        <v>0.296833333333333</v>
      </c>
      <c r="J557" s="4">
        <f>VALUE(SUBSTITUTE('1000_заявлений'!J551, ".", ","))</f>
        <v>2.6433960754607799</v>
      </c>
      <c r="K557" s="5">
        <f>VALUE(SUBSTITUTE('1000_заявлений'!K551, ".", ","))</f>
        <v>365243</v>
      </c>
      <c r="L557" s="6">
        <f>VALUE(SUBSTITUTE('1000_заявлений'!L551, ".", ","))</f>
        <v>24043.5</v>
      </c>
      <c r="M557" s="2" t="str">
        <f>IF(Данные[[#This Row],[proba]]&gt;$C$6, "отказ", "одобрение")</f>
        <v>отказ</v>
      </c>
      <c r="N557" s="7">
        <f>IF(Данные[[#This Row],[proba]]&lt;$D$2,$C$2,IF(Данные[[#This Row],[proba]]&lt;$D$3,$C$3,IF(Данные[[#This Row],[proba]]&gt;$C$6,0,$C$4)))</f>
        <v>0</v>
      </c>
      <c r="O557" s="2">
        <f>IF(Данные[[#This Row],[weighted_ext_score]]&gt;$O$1,MIN(Данные[[#This Row],[Базовая сумма]]*$O$2,$C$2),IF(Данные[[#This Row],[weighted_ext_score]]&lt;$O$3,Данные[[#This Row],[Базовая сумма]]*$O$4,N557))</f>
        <v>0</v>
      </c>
      <c r="P5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7" s="2">
        <f>ABS(Данные[[#This Row],[days_birth]])/365.2425</f>
        <v>61.715161844527948</v>
      </c>
      <c r="S5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7" s="2">
        <f>IF(Данные[[#This Row],[ interest_rate]]&gt;$T$1,Данные[[#This Row],[days_birth4]]*$T$2,Данные[[#This Row],[days_birth4]])</f>
        <v>0</v>
      </c>
      <c r="U557" s="2">
        <f>IF(Данные[[#This Row],[Проверка отказа]]="отказ",0,MAX(Данные[[#This Row],[interest_rate]],$C$1))</f>
        <v>0</v>
      </c>
      <c r="V557" s="2">
        <f>MROUND(Данные[[#This Row],[Минимум 20000]], 100)</f>
        <v>0</v>
      </c>
    </row>
    <row r="558" spans="1:22" x14ac:dyDescent="0.25">
      <c r="A558" s="2">
        <f>'1000_заявлений'!A552</f>
        <v>550</v>
      </c>
      <c r="B558" s="4">
        <f>VALUE(SUBSTITUTE('1000_заявлений'!B552, ".", ","))</f>
        <v>0.175533756873549</v>
      </c>
      <c r="C558" s="4">
        <f>VALUE(SUBSTITUTE('1000_заявлений'!C552, ".", ","))</f>
        <v>0.66288860357152801</v>
      </c>
      <c r="D558" s="4">
        <f>VALUE(SUBSTITUTE('1000_заявлений'!D552, ".", ","))</f>
        <v>0.84637810000000002</v>
      </c>
      <c r="E558" s="4">
        <f>VALUE(SUBSTITUTE('1000_заявлений'!E552, ".", ","))</f>
        <v>0.52008736</v>
      </c>
      <c r="F558" s="5">
        <f>VALUE(SUBSTITUTE('1000_заявлений'!F552, ".", ","))</f>
        <v>-9856</v>
      </c>
      <c r="G558" s="5">
        <f>VALUE(SUBSTITUTE('1000_заявлений'!G552, ".", ","))</f>
        <v>-17489</v>
      </c>
      <c r="H558" s="5">
        <f>VALUE(SUBSTITUTE('1000_заявлений'!H552, ".", ","))</f>
        <v>-941</v>
      </c>
      <c r="I558" s="4">
        <f>VALUE(SUBSTITUTE('1000_заявлений'!I552, ".", ","))</f>
        <v>0.41535</v>
      </c>
      <c r="J558" s="4">
        <f>VALUE(SUBSTITUTE('1000_заявлений'!J552, ".", ","))</f>
        <v>3.2772095667945802</v>
      </c>
      <c r="K558" s="5">
        <f>VALUE(SUBSTITUTE('1000_заявлений'!K552, ".", ","))</f>
        <v>365243</v>
      </c>
      <c r="L558" s="6">
        <f>VALUE(SUBSTITUTE('1000_заявлений'!L552, ".", ","))</f>
        <v>74763</v>
      </c>
      <c r="M558" s="2" t="str">
        <f>IF(Данные[[#This Row],[proba]]&gt;$C$6, "отказ", "одобрение")</f>
        <v>одобрение</v>
      </c>
      <c r="N558" s="7">
        <f>IF(Данные[[#This Row],[proba]]&lt;$D$2,$C$2,IF(Данные[[#This Row],[proba]]&lt;$D$3,$C$3,IF(Данные[[#This Row],[proba]]&gt;$C$6,0,$C$4)))</f>
        <v>300000</v>
      </c>
      <c r="O558" s="2">
        <f>IF(Данные[[#This Row],[weighted_ext_score]]&gt;$O$1,MIN(Данные[[#This Row],[Базовая сумма]]*$O$2,$C$2),IF(Данные[[#This Row],[weighted_ext_score]]&lt;$O$3,Данные[[#This Row],[Базовая сумма]]*$O$4,N558))</f>
        <v>300000</v>
      </c>
      <c r="P5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5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558" s="2">
        <f>ABS(Данные[[#This Row],[days_birth]])/365.2425</f>
        <v>47.883255645222008</v>
      </c>
      <c r="S5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300000</v>
      </c>
      <c r="T558" s="2">
        <f>IF(Данные[[#This Row],[ interest_rate]]&gt;$T$1,Данные[[#This Row],[days_birth4]]*$T$2,Данные[[#This Row],[days_birth4]])</f>
        <v>300000</v>
      </c>
      <c r="U558" s="2">
        <f>IF(Данные[[#This Row],[Проверка отказа]]="отказ",0,MAX(Данные[[#This Row],[interest_rate]],$C$1))</f>
        <v>300000</v>
      </c>
      <c r="V558" s="2">
        <f>MROUND(Данные[[#This Row],[Минимум 20000]], 100)</f>
        <v>300000</v>
      </c>
    </row>
    <row r="559" spans="1:22" x14ac:dyDescent="0.25">
      <c r="A559" s="2">
        <f>'1000_заявлений'!A553</f>
        <v>551</v>
      </c>
      <c r="B559" s="4">
        <f>VALUE(SUBSTITUTE('1000_заявлений'!B553, ".", ","))</f>
        <v>0.33448759632235298</v>
      </c>
      <c r="C559" s="4">
        <f>VALUE(SUBSTITUTE('1000_заявлений'!C553, ".", ","))</f>
        <v>0.37673325347893</v>
      </c>
      <c r="D559" s="4">
        <f>VALUE(SUBSTITUTE('1000_заявлений'!D553, ".", ","))</f>
        <v>0.7623356</v>
      </c>
      <c r="E559" s="4">
        <f>VALUE(SUBSTITUTE('1000_заявлений'!E553, ".", ","))</f>
        <v>0.31143609999999999</v>
      </c>
      <c r="F559" s="5">
        <f>VALUE(SUBSTITUTE('1000_заявлений'!F553, ".", ","))</f>
        <v>-1129</v>
      </c>
      <c r="G559" s="5">
        <f>VALUE(SUBSTITUTE('1000_заявлений'!G553, ".", ","))</f>
        <v>-21402</v>
      </c>
      <c r="H559" s="5">
        <f>VALUE(SUBSTITUTE('1000_заявлений'!H553, ".", ","))</f>
        <v>-4478</v>
      </c>
      <c r="I559" s="4">
        <f>VALUE(SUBSTITUTE('1000_заявлений'!I553, ".", ","))</f>
        <v>0.19614000000000001</v>
      </c>
      <c r="J559" s="4">
        <f>VALUE(SUBSTITUTE('1000_заявлений'!J553, ".", ","))</f>
        <v>0.72154633656382705</v>
      </c>
      <c r="K559" s="5">
        <f>VALUE(SUBSTITUTE('1000_заявлений'!K553, ".", ","))</f>
        <v>365243</v>
      </c>
      <c r="L559" s="6">
        <f>VALUE(SUBSTITUTE('1000_заявлений'!L553, ".", ","))</f>
        <v>44131.5</v>
      </c>
      <c r="M559" s="2" t="str">
        <f>IF(Данные[[#This Row],[proba]]&gt;$C$6, "отказ", "одобрение")</f>
        <v>отказ</v>
      </c>
      <c r="N559" s="7">
        <f>IF(Данные[[#This Row],[proba]]&lt;$D$2,$C$2,IF(Данные[[#This Row],[proba]]&lt;$D$3,$C$3,IF(Данные[[#This Row],[proba]]&gt;$C$6,0,$C$4)))</f>
        <v>0</v>
      </c>
      <c r="O559" s="2">
        <f>IF(Данные[[#This Row],[weighted_ext_score]]&gt;$O$1,MIN(Данные[[#This Row],[Базовая сумма]]*$O$2,$C$2),IF(Данные[[#This Row],[weighted_ext_score]]&lt;$O$3,Данные[[#This Row],[Базовая сумма]]*$O$4,N559))</f>
        <v>0</v>
      </c>
      <c r="P5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59" s="2">
        <f>ABS(Данные[[#This Row],[days_birth]])/365.2425</f>
        <v>58.59668576356804</v>
      </c>
      <c r="S5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59" s="2">
        <f>IF(Данные[[#This Row],[ interest_rate]]&gt;$T$1,Данные[[#This Row],[days_birth4]]*$T$2,Данные[[#This Row],[days_birth4]])</f>
        <v>0</v>
      </c>
      <c r="U559" s="2">
        <f>IF(Данные[[#This Row],[Проверка отказа]]="отказ",0,MAX(Данные[[#This Row],[interest_rate]],$C$1))</f>
        <v>0</v>
      </c>
      <c r="V559" s="2">
        <f>MROUND(Данные[[#This Row],[Минимум 20000]], 100)</f>
        <v>0</v>
      </c>
    </row>
    <row r="560" spans="1:22" x14ac:dyDescent="0.25">
      <c r="A560" s="2">
        <f>'1000_заявлений'!A554</f>
        <v>552</v>
      </c>
      <c r="B560" s="4">
        <f>VALUE(SUBSTITUTE('1000_заявлений'!B554, ".", ","))</f>
        <v>0.259311602417924</v>
      </c>
      <c r="C560" s="4">
        <f>VALUE(SUBSTITUTE('1000_заявлений'!C554, ".", ","))</f>
        <v>0.47546355930360701</v>
      </c>
      <c r="D560" s="4">
        <f>VALUE(SUBSTITUTE('1000_заявлений'!D554, ".", ","))</f>
        <v>0.65289649999999999</v>
      </c>
      <c r="E560" s="4">
        <f>VALUE(SUBSTITUTE('1000_заявлений'!E554, ".", ","))</f>
        <v>0.73782490000000001</v>
      </c>
      <c r="F560" s="5">
        <f>VALUE(SUBSTITUTE('1000_заявлений'!F554, ".", ","))</f>
        <v>-2901</v>
      </c>
      <c r="G560" s="5">
        <f>VALUE(SUBSTITUTE('1000_заявлений'!G554, ".", ","))</f>
        <v>-13702</v>
      </c>
      <c r="H560" s="5">
        <f>VALUE(SUBSTITUTE('1000_заявлений'!H554, ".", ","))</f>
        <v>-4299</v>
      </c>
      <c r="I560" s="4">
        <f>VALUE(SUBSTITUTE('1000_заявлений'!I554, ".", ","))</f>
        <v>0.157836363636363</v>
      </c>
      <c r="J560" s="4">
        <f>VALUE(SUBSTITUTE('1000_заявлений'!J554, ".", ","))</f>
        <v>2.5997570030284298</v>
      </c>
      <c r="K560" s="5">
        <f>VALUE(SUBSTITUTE('1000_заявлений'!K554, ".", ","))</f>
        <v>-797</v>
      </c>
      <c r="L560" s="6">
        <f>VALUE(SUBSTITUTE('1000_заявлений'!L554, ".", ","))</f>
        <v>39064.5</v>
      </c>
      <c r="M560" s="2" t="str">
        <f>IF(Данные[[#This Row],[proba]]&gt;$C$6, "отказ", "одобрение")</f>
        <v>одобрение</v>
      </c>
      <c r="N560" s="7">
        <f>IF(Данные[[#This Row],[proba]]&lt;$D$2,$C$2,IF(Данные[[#This Row],[proba]]&lt;$D$3,$C$3,IF(Данные[[#This Row],[proba]]&gt;$C$6,0,$C$4)))</f>
        <v>100000</v>
      </c>
      <c r="O560" s="2">
        <f>IF(Данные[[#This Row],[weighted_ext_score]]&gt;$O$1,MIN(Данные[[#This Row],[Базовая сумма]]*$O$2,$C$2),IF(Данные[[#This Row],[weighted_ext_score]]&lt;$O$3,Данные[[#This Row],[Базовая сумма]]*$O$4,N560))</f>
        <v>100000</v>
      </c>
      <c r="P5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60" s="2">
        <f>ABS(Данные[[#This Row],[days_birth]])/365.2425</f>
        <v>37.514801809756534</v>
      </c>
      <c r="S5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560" s="2">
        <f>IF(Данные[[#This Row],[ interest_rate]]&gt;$T$1,Данные[[#This Row],[days_birth4]]*$T$2,Данные[[#This Row],[days_birth4]])</f>
        <v>84000</v>
      </c>
      <c r="U560" s="2">
        <f>IF(Данные[[#This Row],[Проверка отказа]]="отказ",0,MAX(Данные[[#This Row],[interest_rate]],$C$1))</f>
        <v>84000</v>
      </c>
      <c r="V560" s="2">
        <f>MROUND(Данные[[#This Row],[Минимум 20000]], 100)</f>
        <v>84000</v>
      </c>
    </row>
    <row r="561" spans="1:22" x14ac:dyDescent="0.25">
      <c r="A561" s="2">
        <f>'1000_заявлений'!A555</f>
        <v>553</v>
      </c>
      <c r="B561" s="4">
        <f>VALUE(SUBSTITUTE('1000_заявлений'!B555, ".", ","))</f>
        <v>0.32966387770272598</v>
      </c>
      <c r="C561" s="4">
        <f>VALUE(SUBSTITUTE('1000_заявлений'!C555, ".", ","))</f>
        <v>0.51063885574509704</v>
      </c>
      <c r="D561" s="4">
        <f>VALUE(SUBSTITUTE('1000_заявлений'!D555, ".", ","))</f>
        <v>0.52629495000000004</v>
      </c>
      <c r="E561" s="4">
        <f>VALUE(SUBSTITUTE('1000_заявлений'!E555, ".", ","))</f>
        <v>0.57966960000000001</v>
      </c>
      <c r="F561" s="5">
        <f>VALUE(SUBSTITUTE('1000_заявлений'!F555, ".", ","))</f>
        <v>-2891</v>
      </c>
      <c r="G561" s="5">
        <f>VALUE(SUBSTITUTE('1000_заявлений'!G555, ".", ","))</f>
        <v>-18929</v>
      </c>
      <c r="H561" s="5">
        <f>VALUE(SUBSTITUTE('1000_заявлений'!H555, ".", ","))</f>
        <v>-2474</v>
      </c>
      <c r="I561" s="4">
        <f>VALUE(SUBSTITUTE('1000_заявлений'!I555, ".", ","))</f>
        <v>0.24632499999999999</v>
      </c>
      <c r="J561" s="4">
        <f>VALUE(SUBSTITUTE('1000_заявлений'!J555, ".", ","))</f>
        <v>0.71875757736485901</v>
      </c>
      <c r="K561" s="5">
        <f>VALUE(SUBSTITUTE('1000_заявлений'!K555, ".", ","))</f>
        <v>365243</v>
      </c>
      <c r="L561" s="6">
        <f>VALUE(SUBSTITUTE('1000_заявлений'!L555, ".", ","))</f>
        <v>44338.5</v>
      </c>
      <c r="M561" s="2" t="str">
        <f>IF(Данные[[#This Row],[proba]]&gt;$C$6, "отказ", "одобрение")</f>
        <v>отказ</v>
      </c>
      <c r="N561" s="7">
        <f>IF(Данные[[#This Row],[proba]]&lt;$D$2,$C$2,IF(Данные[[#This Row],[proba]]&lt;$D$3,$C$3,IF(Данные[[#This Row],[proba]]&gt;$C$6,0,$C$4)))</f>
        <v>0</v>
      </c>
      <c r="O561" s="2">
        <f>IF(Данные[[#This Row],[weighted_ext_score]]&gt;$O$1,MIN(Данные[[#This Row],[Базовая сумма]]*$O$2,$C$2),IF(Данные[[#This Row],[weighted_ext_score]]&lt;$O$3,Данные[[#This Row],[Базовая сумма]]*$O$4,N561))</f>
        <v>0</v>
      </c>
      <c r="P5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1" s="2">
        <f>ABS(Данные[[#This Row],[days_birth]])/365.2425</f>
        <v>51.825841735285458</v>
      </c>
      <c r="S5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1" s="2">
        <f>IF(Данные[[#This Row],[ interest_rate]]&gt;$T$1,Данные[[#This Row],[days_birth4]]*$T$2,Данные[[#This Row],[days_birth4]])</f>
        <v>0</v>
      </c>
      <c r="U561" s="2">
        <f>IF(Данные[[#This Row],[Проверка отказа]]="отказ",0,MAX(Данные[[#This Row],[interest_rate]],$C$1))</f>
        <v>0</v>
      </c>
      <c r="V561" s="2">
        <f>MROUND(Данные[[#This Row],[Минимум 20000]], 100)</f>
        <v>0</v>
      </c>
    </row>
    <row r="562" spans="1:22" x14ac:dyDescent="0.25">
      <c r="A562" s="2">
        <f>'1000_заявлений'!A556</f>
        <v>554</v>
      </c>
      <c r="B562" s="4">
        <f>VALUE(SUBSTITUTE('1000_заявлений'!B556, ".", ","))</f>
        <v>0.81172663296569203</v>
      </c>
      <c r="C562" s="4">
        <f>VALUE(SUBSTITUTE('1000_заявлений'!C556, ".", ","))</f>
        <v>0.21266574419453599</v>
      </c>
      <c r="D562" s="4">
        <f>VALUE(SUBSTITUTE('1000_заявлений'!D556, ".", ","))</f>
        <v>0.12217975</v>
      </c>
      <c r="E562" s="4">
        <f>VALUE(SUBSTITUTE('1000_заявлений'!E556, ".", ","))</f>
        <v>0.39801353</v>
      </c>
      <c r="F562" s="5">
        <f>VALUE(SUBSTITUTE('1000_заявлений'!F556, ".", ","))</f>
        <v>-1178</v>
      </c>
      <c r="G562" s="5">
        <f>VALUE(SUBSTITUTE('1000_заявлений'!G556, ".", ","))</f>
        <v>-9861</v>
      </c>
      <c r="H562" s="5">
        <f>VALUE(SUBSTITUTE('1000_заявлений'!H556, ".", ","))</f>
        <v>-2550</v>
      </c>
      <c r="I562" s="4">
        <f>VALUE(SUBSTITUTE('1000_заявлений'!I556, ".", ","))</f>
        <v>0.18088888888888799</v>
      </c>
      <c r="J562" s="4">
        <f>VALUE(SUBSTITUTE('1000_заявлений'!J556, ".", ","))</f>
        <v>3.31608645956329</v>
      </c>
      <c r="K562" s="5">
        <f>VALUE(SUBSTITUTE('1000_заявлений'!K556, ".", ","))</f>
        <v>-918</v>
      </c>
      <c r="L562" s="6">
        <f>VALUE(SUBSTITUTE('1000_заявлений'!L556, ".", ","))</f>
        <v>21978</v>
      </c>
      <c r="M562" s="2" t="str">
        <f>IF(Данные[[#This Row],[proba]]&gt;$C$6, "отказ", "одобрение")</f>
        <v>отказ</v>
      </c>
      <c r="N562" s="7">
        <f>IF(Данные[[#This Row],[proba]]&lt;$D$2,$C$2,IF(Данные[[#This Row],[proba]]&lt;$D$3,$C$3,IF(Данные[[#This Row],[proba]]&gt;$C$6,0,$C$4)))</f>
        <v>0</v>
      </c>
      <c r="O562" s="2">
        <f>IF(Данные[[#This Row],[weighted_ext_score]]&gt;$O$1,MIN(Данные[[#This Row],[Базовая сумма]]*$O$2,$C$2),IF(Данные[[#This Row],[weighted_ext_score]]&lt;$O$3,Данные[[#This Row],[Базовая сумма]]*$O$4,N562))</f>
        <v>0</v>
      </c>
      <c r="P5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2" s="2">
        <f>ABS(Данные[[#This Row],[days_birth]])/365.2425</f>
        <v>26.998500995913673</v>
      </c>
      <c r="S5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2" s="2">
        <f>IF(Данные[[#This Row],[ interest_rate]]&gt;$T$1,Данные[[#This Row],[days_birth4]]*$T$2,Данные[[#This Row],[days_birth4]])</f>
        <v>0</v>
      </c>
      <c r="U562" s="2">
        <f>IF(Данные[[#This Row],[Проверка отказа]]="отказ",0,MAX(Данные[[#This Row],[interest_rate]],$C$1))</f>
        <v>0</v>
      </c>
      <c r="V562" s="2">
        <f>MROUND(Данные[[#This Row],[Минимум 20000]], 100)</f>
        <v>0</v>
      </c>
    </row>
    <row r="563" spans="1:22" x14ac:dyDescent="0.25">
      <c r="A563" s="2">
        <f>'1000_заявлений'!A557</f>
        <v>555</v>
      </c>
      <c r="B563" s="4">
        <f>VALUE(SUBSTITUTE('1000_заявлений'!B557, ".", ","))</f>
        <v>0.64452695388512204</v>
      </c>
      <c r="C563" s="4">
        <f>VALUE(SUBSTITUTE('1000_заявлений'!C557, ".", ","))</f>
        <v>0.29022642918640001</v>
      </c>
      <c r="D563" s="4">
        <f>VALUE(SUBSTITUTE('1000_заявлений'!D557, ".", ","))</f>
        <v>0.60065749999999996</v>
      </c>
      <c r="E563" s="4">
        <f>VALUE(SUBSTITUTE('1000_заявлений'!E557, ".", ","))</f>
        <v>5.0950486000000003E-2</v>
      </c>
      <c r="F563" s="5">
        <f>VALUE(SUBSTITUTE('1000_заявлений'!F557, ".", ","))</f>
        <v>-58</v>
      </c>
      <c r="G563" s="5">
        <f>VALUE(SUBSTITUTE('1000_заявлений'!G557, ".", ","))</f>
        <v>-11819</v>
      </c>
      <c r="H563" s="5">
        <f>VALUE(SUBSTITUTE('1000_заявлений'!H557, ".", ","))</f>
        <v>-4106</v>
      </c>
      <c r="I563" s="4">
        <f>VALUE(SUBSTITUTE('1000_заявлений'!I557, ".", ","))</f>
        <v>0.14686666666666601</v>
      </c>
      <c r="J563" s="4">
        <f>VALUE(SUBSTITUTE('1000_заявлений'!J557, ".", ","))</f>
        <v>8.1469238499156393</v>
      </c>
      <c r="K563" s="5">
        <f>VALUE(SUBSTITUTE('1000_заявлений'!K557, ".", ","))</f>
        <v>-186</v>
      </c>
      <c r="L563" s="6">
        <f>VALUE(SUBSTITUTE('1000_заявлений'!L557, ".", ","))</f>
        <v>19827</v>
      </c>
      <c r="M563" s="2" t="str">
        <f>IF(Данные[[#This Row],[proba]]&gt;$C$6, "отказ", "одобрение")</f>
        <v>отказ</v>
      </c>
      <c r="N563" s="7">
        <f>IF(Данные[[#This Row],[proba]]&lt;$D$2,$C$2,IF(Данные[[#This Row],[proba]]&lt;$D$3,$C$3,IF(Данные[[#This Row],[proba]]&gt;$C$6,0,$C$4)))</f>
        <v>0</v>
      </c>
      <c r="O563" s="2">
        <f>IF(Данные[[#This Row],[weighted_ext_score]]&gt;$O$1,MIN(Данные[[#This Row],[Базовая сумма]]*$O$2,$C$2),IF(Данные[[#This Row],[weighted_ext_score]]&lt;$O$3,Данные[[#This Row],[Базовая сумма]]*$O$4,N563))</f>
        <v>0</v>
      </c>
      <c r="P5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3" s="2">
        <f>ABS(Данные[[#This Row],[days_birth]])/365.2425</f>
        <v>32.359322915597168</v>
      </c>
      <c r="S5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3" s="2">
        <f>IF(Данные[[#This Row],[ interest_rate]]&gt;$T$1,Данные[[#This Row],[days_birth4]]*$T$2,Данные[[#This Row],[days_birth4]])</f>
        <v>0</v>
      </c>
      <c r="U563" s="2">
        <f>IF(Данные[[#This Row],[Проверка отказа]]="отказ",0,MAX(Данные[[#This Row],[interest_rate]],$C$1))</f>
        <v>0</v>
      </c>
      <c r="V563" s="2">
        <f>MROUND(Данные[[#This Row],[Минимум 20000]], 100)</f>
        <v>0</v>
      </c>
    </row>
    <row r="564" spans="1:22" x14ac:dyDescent="0.25">
      <c r="A564" s="2">
        <f>'1000_заявлений'!A558</f>
        <v>556</v>
      </c>
      <c r="B564" s="4">
        <f>VALUE(SUBSTITUTE('1000_заявлений'!B558, ".", ","))</f>
        <v>0.54280319350920203</v>
      </c>
      <c r="C564" s="4">
        <f>VALUE(SUBSTITUTE('1000_заявлений'!C558, ".", ","))</f>
        <v>0.38727536716044297</v>
      </c>
      <c r="D564" s="4">
        <f>VALUE(SUBSTITUTE('1000_заявлений'!D558, ".", ","))</f>
        <v>0.56914880000000001</v>
      </c>
      <c r="E564" s="4">
        <f>VALUE(SUBSTITUTE('1000_заявлений'!E558, ".", ","))</f>
        <v>0.28873673</v>
      </c>
      <c r="F564" s="5">
        <f>VALUE(SUBSTITUTE('1000_заявлений'!F558, ".", ","))</f>
        <v>-1064</v>
      </c>
      <c r="G564" s="5">
        <f>VALUE(SUBSTITUTE('1000_заявлений'!G558, ".", ","))</f>
        <v>-10493</v>
      </c>
      <c r="H564" s="5">
        <f>VALUE(SUBSTITUTE('1000_заявлений'!H558, ".", ","))</f>
        <v>-3086</v>
      </c>
      <c r="I564" s="4">
        <f>VALUE(SUBSTITUTE('1000_заявлений'!I558, ".", ","))</f>
        <v>0.167066666666666</v>
      </c>
      <c r="J564" s="4">
        <f>VALUE(SUBSTITUTE('1000_заявлений'!J558, ".", ","))</f>
        <v>7.0267044368058196</v>
      </c>
      <c r="K564" s="5">
        <f>VALUE(SUBSTITUTE('1000_заявлений'!K558, ".", ","))</f>
        <v>-1068</v>
      </c>
      <c r="L564" s="6">
        <f>VALUE(SUBSTITUTE('1000_заявлений'!L558, ".", ","))</f>
        <v>22554</v>
      </c>
      <c r="M564" s="2" t="str">
        <f>IF(Данные[[#This Row],[proba]]&gt;$C$6, "отказ", "одобрение")</f>
        <v>отказ</v>
      </c>
      <c r="N564" s="7">
        <f>IF(Данные[[#This Row],[proba]]&lt;$D$2,$C$2,IF(Данные[[#This Row],[proba]]&lt;$D$3,$C$3,IF(Данные[[#This Row],[proba]]&gt;$C$6,0,$C$4)))</f>
        <v>0</v>
      </c>
      <c r="O564" s="2">
        <f>IF(Данные[[#This Row],[weighted_ext_score]]&gt;$O$1,MIN(Данные[[#This Row],[Базовая сумма]]*$O$2,$C$2),IF(Данные[[#This Row],[weighted_ext_score]]&lt;$O$3,Данные[[#This Row],[Базовая сумма]]*$O$4,N564))</f>
        <v>0</v>
      </c>
      <c r="P5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4" s="2">
        <f>ABS(Данные[[#This Row],[days_birth]])/365.2425</f>
        <v>28.728858224330409</v>
      </c>
      <c r="S5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4" s="2">
        <f>IF(Данные[[#This Row],[ interest_rate]]&gt;$T$1,Данные[[#This Row],[days_birth4]]*$T$2,Данные[[#This Row],[days_birth4]])</f>
        <v>0</v>
      </c>
      <c r="U564" s="2">
        <f>IF(Данные[[#This Row],[Проверка отказа]]="отказ",0,MAX(Данные[[#This Row],[interest_rate]],$C$1))</f>
        <v>0</v>
      </c>
      <c r="V564" s="2">
        <f>MROUND(Данные[[#This Row],[Минимум 20000]], 100)</f>
        <v>0</v>
      </c>
    </row>
    <row r="565" spans="1:22" x14ac:dyDescent="0.25">
      <c r="A565" s="2">
        <f>'1000_заявлений'!A559</f>
        <v>557</v>
      </c>
      <c r="B565" s="4">
        <f>VALUE(SUBSTITUTE('1000_заявлений'!B559, ".", ","))</f>
        <v>0.28178373348061703</v>
      </c>
      <c r="C565" s="4">
        <f>VALUE(SUBSTITUTE('1000_заявлений'!C559, ".", ","))</f>
        <v>0.60952214040263197</v>
      </c>
      <c r="D565" s="4">
        <f>VALUE(SUBSTITUTE('1000_заявлений'!D559, ".", ","))</f>
        <v>0.53168610000000005</v>
      </c>
      <c r="E565" s="4">
        <f>VALUE(SUBSTITUTE('1000_заявлений'!E559, ".", ","))</f>
        <v>0.73493410000000003</v>
      </c>
      <c r="F565" s="5">
        <f>VALUE(SUBSTITUTE('1000_заявлений'!F559, ".", ","))</f>
        <v>-6077</v>
      </c>
      <c r="G565" s="5">
        <f>VALUE(SUBSTITUTE('1000_заявлений'!G559, ".", ","))</f>
        <v>-17267</v>
      </c>
      <c r="H565" s="5">
        <f>VALUE(SUBSTITUTE('1000_заявлений'!H559, ".", ","))</f>
        <v>-800</v>
      </c>
      <c r="I565" s="4">
        <f>VALUE(SUBSTITUTE('1000_заявлений'!I559, ".", ","))</f>
        <v>0.27656666666666602</v>
      </c>
      <c r="J565" s="4">
        <f>VALUE(SUBSTITUTE('1000_заявлений'!J559, ".", ","))</f>
        <v>4.4575220582381503</v>
      </c>
      <c r="K565" s="5">
        <f>VALUE(SUBSTITUTE('1000_заявлений'!K559, ".", ","))</f>
        <v>-1568</v>
      </c>
      <c r="L565" s="6">
        <f>VALUE(SUBSTITUTE('1000_заявлений'!L559, ".", ","))</f>
        <v>37336.5</v>
      </c>
      <c r="M565" s="2" t="str">
        <f>IF(Данные[[#This Row],[proba]]&gt;$C$6, "отказ", "одобрение")</f>
        <v>одобрение</v>
      </c>
      <c r="N565" s="7">
        <f>IF(Данные[[#This Row],[proba]]&lt;$D$2,$C$2,IF(Данные[[#This Row],[proba]]&lt;$D$3,$C$3,IF(Данные[[#This Row],[proba]]&gt;$C$6,0,$C$4)))</f>
        <v>100000</v>
      </c>
      <c r="O565" s="2">
        <f>IF(Данные[[#This Row],[weighted_ext_score]]&gt;$O$1,MIN(Данные[[#This Row],[Базовая сумма]]*$O$2,$C$2),IF(Данные[[#This Row],[weighted_ext_score]]&lt;$O$3,Данные[[#This Row],[Базовая сумма]]*$O$4,N565))</f>
        <v>100000</v>
      </c>
      <c r="P5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5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565" s="2">
        <f>ABS(Данные[[#This Row],[days_birth]])/365.2425</f>
        <v>47.275440289670563</v>
      </c>
      <c r="S5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565" s="2">
        <f>IF(Данные[[#This Row],[ interest_rate]]&gt;$T$1,Данные[[#This Row],[days_birth4]]*$T$2,Данные[[#This Row],[days_birth4]])</f>
        <v>70000</v>
      </c>
      <c r="U565" s="2">
        <f>IF(Данные[[#This Row],[Проверка отказа]]="отказ",0,MAX(Данные[[#This Row],[interest_rate]],$C$1))</f>
        <v>70000</v>
      </c>
      <c r="V565" s="2">
        <f>MROUND(Данные[[#This Row],[Минимум 20000]], 100)</f>
        <v>70000</v>
      </c>
    </row>
    <row r="566" spans="1:22" x14ac:dyDescent="0.25">
      <c r="A566" s="2">
        <f>'1000_заявлений'!A560</f>
        <v>558</v>
      </c>
      <c r="B566" s="4">
        <f>VALUE(SUBSTITUTE('1000_заявлений'!B560, ".", ","))</f>
        <v>0.20420463643995199</v>
      </c>
      <c r="C566" s="4">
        <f>VALUE(SUBSTITUTE('1000_заявлений'!C560, ".", ","))</f>
        <v>0.69474929967740295</v>
      </c>
      <c r="D566" s="4">
        <f>VALUE(SUBSTITUTE('1000_заявлений'!D560, ".", ","))</f>
        <v>0.79813725000000002</v>
      </c>
      <c r="E566" s="4">
        <f>VALUE(SUBSTITUTE('1000_заявлений'!E560, ".", ","))</f>
        <v>0.58037806000000003</v>
      </c>
      <c r="F566" s="5">
        <f>VALUE(SUBSTITUTE('1000_заявлений'!F560, ".", ","))</f>
        <v>-3828</v>
      </c>
      <c r="G566" s="5">
        <f>VALUE(SUBSTITUTE('1000_заявлений'!G560, ".", ","))</f>
        <v>-12754</v>
      </c>
      <c r="H566" s="5">
        <f>VALUE(SUBSTITUTE('1000_заявлений'!H560, ".", ","))</f>
        <v>-3507</v>
      </c>
      <c r="I566" s="4">
        <f>VALUE(SUBSTITUTE('1000_заявлений'!I560, ".", ","))</f>
        <v>0.3584</v>
      </c>
      <c r="J566" s="4">
        <f>VALUE(SUBSTITUTE('1000_заявлений'!J560, ".", ","))</f>
        <v>6.52340447126877</v>
      </c>
      <c r="K566" s="5">
        <f>VALUE(SUBSTITUTE('1000_заявлений'!K560, ".", ","))</f>
        <v>-5040</v>
      </c>
      <c r="L566" s="6">
        <f>VALUE(SUBSTITUTE('1000_заявлений'!L560, ".", ","))</f>
        <v>40320</v>
      </c>
      <c r="M566" s="2" t="str">
        <f>IF(Данные[[#This Row],[proba]]&gt;$C$6, "отказ", "одобрение")</f>
        <v>одобрение</v>
      </c>
      <c r="N566" s="7">
        <f>IF(Данные[[#This Row],[proba]]&lt;$D$2,$C$2,IF(Данные[[#This Row],[proba]]&lt;$D$3,$C$3,IF(Данные[[#This Row],[proba]]&gt;$C$6,0,$C$4)))</f>
        <v>100000</v>
      </c>
      <c r="O566" s="2">
        <f>IF(Данные[[#This Row],[weighted_ext_score]]&gt;$O$1,MIN(Данные[[#This Row],[Базовая сумма]]*$O$2,$C$2),IF(Данные[[#This Row],[weighted_ext_score]]&lt;$O$3,Данные[[#This Row],[Базовая сумма]]*$O$4,N566))</f>
        <v>100000</v>
      </c>
      <c r="P5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5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566" s="2">
        <f>ABS(Данные[[#This Row],[days_birth]])/365.2425</f>
        <v>34.919265967131423</v>
      </c>
      <c r="S5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566" s="2">
        <f>IF(Данные[[#This Row],[ interest_rate]]&gt;$T$1,Данные[[#This Row],[days_birth4]]*$T$2,Данные[[#This Row],[days_birth4]])</f>
        <v>120000</v>
      </c>
      <c r="U566" s="2">
        <f>IF(Данные[[#This Row],[Проверка отказа]]="отказ",0,MAX(Данные[[#This Row],[interest_rate]],$C$1))</f>
        <v>120000</v>
      </c>
      <c r="V566" s="2">
        <f>MROUND(Данные[[#This Row],[Минимум 20000]], 100)</f>
        <v>120000</v>
      </c>
    </row>
    <row r="567" spans="1:22" x14ac:dyDescent="0.25">
      <c r="A567" s="2">
        <f>'1000_заявлений'!A561</f>
        <v>559</v>
      </c>
      <c r="B567" s="4">
        <f>VALUE(SUBSTITUTE('1000_заявлений'!B561, ".", ","))</f>
        <v>0.50055864002199202</v>
      </c>
      <c r="C567" s="4">
        <f>VALUE(SUBSTITUTE('1000_заявлений'!C561, ".", ","))</f>
        <v>0.29793612496527699</v>
      </c>
      <c r="D567" s="4">
        <f>VALUE(SUBSTITUTE('1000_заявлений'!D561, ".", ","))</f>
        <v>0.67065173</v>
      </c>
      <c r="E567" s="4">
        <f>VALUE(SUBSTITUTE('1000_заявлений'!E561, ".", ","))</f>
        <v>0.17074104000000001</v>
      </c>
      <c r="F567" s="5">
        <f>VALUE(SUBSTITUTE('1000_заявлений'!F561, ".", ","))</f>
        <v>-5029</v>
      </c>
      <c r="G567" s="5">
        <f>VALUE(SUBSTITUTE('1000_заявлений'!G561, ".", ","))</f>
        <v>-18935</v>
      </c>
      <c r="H567" s="5">
        <f>VALUE(SUBSTITUTE('1000_заявлений'!H561, ".", ","))</f>
        <v>-2468</v>
      </c>
      <c r="I567" s="4">
        <f>VALUE(SUBSTITUTE('1000_заявлений'!I561, ".", ","))</f>
        <v>0.18306666666666599</v>
      </c>
      <c r="J567" s="4">
        <f>VALUE(SUBSTITUTE('1000_заявлений'!J561, ".", ","))</f>
        <v>10.2772118114323</v>
      </c>
      <c r="K567" s="5">
        <f>VALUE(SUBSTITUTE('1000_заявлений'!K561, ".", ","))</f>
        <v>-1415</v>
      </c>
      <c r="L567" s="6">
        <f>VALUE(SUBSTITUTE('1000_заявлений'!L561, ".", ","))</f>
        <v>37071</v>
      </c>
      <c r="M567" s="2" t="str">
        <f>IF(Данные[[#This Row],[proba]]&gt;$C$6, "отказ", "одобрение")</f>
        <v>отказ</v>
      </c>
      <c r="N567" s="7">
        <f>IF(Данные[[#This Row],[proba]]&lt;$D$2,$C$2,IF(Данные[[#This Row],[proba]]&lt;$D$3,$C$3,IF(Данные[[#This Row],[proba]]&gt;$C$6,0,$C$4)))</f>
        <v>0</v>
      </c>
      <c r="O567" s="2">
        <f>IF(Данные[[#This Row],[weighted_ext_score]]&gt;$O$1,MIN(Данные[[#This Row],[Базовая сумма]]*$O$2,$C$2),IF(Данные[[#This Row],[weighted_ext_score]]&lt;$O$3,Данные[[#This Row],[Базовая сумма]]*$O$4,N567))</f>
        <v>0</v>
      </c>
      <c r="P5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67" s="2">
        <f>ABS(Данные[[#This Row],[days_birth]])/365.2425</f>
        <v>51.842269177327388</v>
      </c>
      <c r="S5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67" s="2">
        <f>IF(Данные[[#This Row],[ interest_rate]]&gt;$T$1,Данные[[#This Row],[days_birth4]]*$T$2,Данные[[#This Row],[days_birth4]])</f>
        <v>0</v>
      </c>
      <c r="U567" s="2">
        <f>IF(Данные[[#This Row],[Проверка отказа]]="отказ",0,MAX(Данные[[#This Row],[interest_rate]],$C$1))</f>
        <v>0</v>
      </c>
      <c r="V567" s="2">
        <f>MROUND(Данные[[#This Row],[Минимум 20000]], 100)</f>
        <v>0</v>
      </c>
    </row>
    <row r="568" spans="1:22" x14ac:dyDescent="0.25">
      <c r="A568" s="2">
        <f>'1000_заявлений'!A562</f>
        <v>560</v>
      </c>
      <c r="B568" s="4">
        <f>VALUE(SUBSTITUTE('1000_заявлений'!B562, ".", ","))</f>
        <v>0.28367054379205903</v>
      </c>
      <c r="C568" s="4">
        <f>VALUE(SUBSTITUTE('1000_заявлений'!C562, ".", ","))</f>
        <v>0.57709862738467199</v>
      </c>
      <c r="D568" s="4">
        <f>VALUE(SUBSTITUTE('1000_заявлений'!D562, ".", ","))</f>
        <v>0.52089759999999996</v>
      </c>
      <c r="E568" s="4">
        <f>VALUE(SUBSTITUTE('1000_заявлений'!E562, ".", ","))</f>
        <v>0.7024492</v>
      </c>
      <c r="F568" s="5">
        <f>VALUE(SUBSTITUTE('1000_заявлений'!F562, ".", ","))</f>
        <v>-7520</v>
      </c>
      <c r="G568" s="5">
        <f>VALUE(SUBSTITUTE('1000_заявлений'!G562, ".", ","))</f>
        <v>-13563</v>
      </c>
      <c r="H568" s="5">
        <f>VALUE(SUBSTITUTE('1000_заявлений'!H562, ".", ","))</f>
        <v>-3885</v>
      </c>
      <c r="I568" s="4">
        <f>VALUE(SUBSTITUTE('1000_заявлений'!I562, ".", ","))</f>
        <v>0.122316666666666</v>
      </c>
      <c r="J568" s="4">
        <f>VALUE(SUBSTITUTE('1000_заявлений'!J562, ".", ","))</f>
        <v>1.8302979515786899</v>
      </c>
      <c r="K568" s="5">
        <f>VALUE(SUBSTITUTE('1000_заявлений'!K562, ".", ","))</f>
        <v>-491</v>
      </c>
      <c r="L568" s="6">
        <f>VALUE(SUBSTITUTE('1000_заявлений'!L562, ".", ","))</f>
        <v>33025.5</v>
      </c>
      <c r="M568" s="2" t="str">
        <f>IF(Данные[[#This Row],[proba]]&gt;$C$6, "отказ", "одобрение")</f>
        <v>одобрение</v>
      </c>
      <c r="N568" s="7">
        <f>IF(Данные[[#This Row],[proba]]&lt;$D$2,$C$2,IF(Данные[[#This Row],[proba]]&lt;$D$3,$C$3,IF(Данные[[#This Row],[proba]]&gt;$C$6,0,$C$4)))</f>
        <v>100000</v>
      </c>
      <c r="O568" s="2">
        <f>IF(Данные[[#This Row],[weighted_ext_score]]&gt;$O$1,MIN(Данные[[#This Row],[Базовая сумма]]*$O$2,$C$2),IF(Данные[[#This Row],[weighted_ext_score]]&lt;$O$3,Данные[[#This Row],[Базовая сумма]]*$O$4,N568))</f>
        <v>100000</v>
      </c>
      <c r="P5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68" s="2">
        <f>ABS(Данные[[#This Row],[days_birth]])/365.2425</f>
        <v>37.134232735785126</v>
      </c>
      <c r="S5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568" s="2">
        <f>IF(Данные[[#This Row],[ interest_rate]]&gt;$T$1,Данные[[#This Row],[days_birth4]]*$T$2,Данные[[#This Row],[days_birth4]])</f>
        <v>84000</v>
      </c>
      <c r="U568" s="2">
        <f>IF(Данные[[#This Row],[Проверка отказа]]="отказ",0,MAX(Данные[[#This Row],[interest_rate]],$C$1))</f>
        <v>84000</v>
      </c>
      <c r="V568" s="2">
        <f>MROUND(Данные[[#This Row],[Минимум 20000]], 100)</f>
        <v>84000</v>
      </c>
    </row>
    <row r="569" spans="1:22" x14ac:dyDescent="0.25">
      <c r="A569" s="2">
        <f>'1000_заявлений'!A563</f>
        <v>561</v>
      </c>
      <c r="B569" s="4">
        <f>VALUE(SUBSTITUTE('1000_заявлений'!B563, ".", ","))</f>
        <v>0.228708789659331</v>
      </c>
      <c r="C569" s="4">
        <f>VALUE(SUBSTITUTE('1000_заявлений'!C563, ".", ","))</f>
        <v>0.43929964997291399</v>
      </c>
      <c r="D569" s="4">
        <f>VALUE(SUBSTITUTE('1000_заявлений'!D563, ".", ","))</f>
        <v>0.58674000000000004</v>
      </c>
      <c r="E569" s="4">
        <f>VALUE(SUBSTITUTE('1000_заявлений'!E563, ".", ","))</f>
        <v>0.70009909999999997</v>
      </c>
      <c r="F569" s="5">
        <f>VALUE(SUBSTITUTE('1000_заявлений'!F563, ".", ","))</f>
        <v>-10479</v>
      </c>
      <c r="G569" s="5">
        <f>VALUE(SUBSTITUTE('1000_заявлений'!G563, ".", ","))</f>
        <v>-22733</v>
      </c>
      <c r="H569" s="5">
        <f>VALUE(SUBSTITUTE('1000_заявлений'!H563, ".", ","))</f>
        <v>-4555</v>
      </c>
      <c r="I569" s="4">
        <f>VALUE(SUBSTITUTE('1000_заявлений'!I563, ".", ","))</f>
        <v>0.125413793103448</v>
      </c>
      <c r="J569" s="4">
        <f>VALUE(SUBSTITUTE('1000_заявлений'!J563, ".", ","))</f>
        <v>2.1071422843475101</v>
      </c>
      <c r="K569" s="5">
        <f>VALUE(SUBSTITUTE('1000_заявлений'!K563, ".", ","))</f>
        <v>365243</v>
      </c>
      <c r="L569" s="6">
        <f>VALUE(SUBSTITUTE('1000_заявлений'!L563, ".", ","))</f>
        <v>16366.5</v>
      </c>
      <c r="M569" s="2" t="str">
        <f>IF(Данные[[#This Row],[proba]]&gt;$C$6, "отказ", "одобрение")</f>
        <v>одобрение</v>
      </c>
      <c r="N569" s="7">
        <f>IF(Данные[[#This Row],[proba]]&lt;$D$2,$C$2,IF(Данные[[#This Row],[proba]]&lt;$D$3,$C$3,IF(Данные[[#This Row],[proba]]&gt;$C$6,0,$C$4)))</f>
        <v>100000</v>
      </c>
      <c r="O569" s="2">
        <f>IF(Данные[[#This Row],[weighted_ext_score]]&gt;$O$1,MIN(Данные[[#This Row],[Базовая сумма]]*$O$2,$C$2),IF(Данные[[#This Row],[weighted_ext_score]]&lt;$O$3,Данные[[#This Row],[Базовая сумма]]*$O$4,N569))</f>
        <v>100000</v>
      </c>
      <c r="P5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569" s="2">
        <f>ABS(Данные[[#This Row],[days_birth]])/365.2425</f>
        <v>62.240839989869741</v>
      </c>
      <c r="S5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569" s="2">
        <f>IF(Данные[[#This Row],[ interest_rate]]&gt;$T$1,Данные[[#This Row],[days_birth4]]*$T$2,Данные[[#This Row],[days_birth4]])</f>
        <v>126000</v>
      </c>
      <c r="U569" s="2">
        <f>IF(Данные[[#This Row],[Проверка отказа]]="отказ",0,MAX(Данные[[#This Row],[interest_rate]],$C$1))</f>
        <v>126000</v>
      </c>
      <c r="V569" s="2">
        <f>MROUND(Данные[[#This Row],[Минимум 20000]], 100)</f>
        <v>126000</v>
      </c>
    </row>
    <row r="570" spans="1:22" x14ac:dyDescent="0.25">
      <c r="A570" s="2">
        <f>'1000_заявлений'!A564</f>
        <v>562</v>
      </c>
      <c r="B570" s="4">
        <f>VALUE(SUBSTITUTE('1000_заявлений'!B564, ".", ","))</f>
        <v>0.37445302375327799</v>
      </c>
      <c r="C570" s="4">
        <f>VALUE(SUBSTITUTE('1000_заявлений'!C564, ".", ","))</f>
        <v>0.40875121310283002</v>
      </c>
      <c r="D570" s="4">
        <f>VALUE(SUBSTITUTE('1000_заявлений'!D564, ".", ","))</f>
        <v>0.53348165999999997</v>
      </c>
      <c r="E570" s="4">
        <f>VALUE(SUBSTITUTE('1000_заявлений'!E564, ".", ","))</f>
        <v>0.66530400000000001</v>
      </c>
      <c r="F570" s="5">
        <f>VALUE(SUBSTITUTE('1000_заявлений'!F564, ".", ","))</f>
        <v>-3621</v>
      </c>
      <c r="G570" s="5">
        <f>VALUE(SUBSTITUTE('1000_заявлений'!G564, ".", ","))</f>
        <v>-18703</v>
      </c>
      <c r="H570" s="5">
        <f>VALUE(SUBSTITUTE('1000_заявлений'!H564, ".", ","))</f>
        <v>-2252</v>
      </c>
      <c r="I570" s="4">
        <f>VALUE(SUBSTITUTE('1000_заявлений'!I564, ".", ","))</f>
        <v>0.112933333333333</v>
      </c>
      <c r="J570" s="4">
        <f>VALUE(SUBSTITUTE('1000_заявлений'!J564, ".", ","))</f>
        <v>1.57786284296075</v>
      </c>
      <c r="K570" s="5">
        <f>VALUE(SUBSTITUTE('1000_заявлений'!K564, ".", ","))</f>
        <v>-8369</v>
      </c>
      <c r="L570" s="6">
        <f>VALUE(SUBSTITUTE('1000_заявлений'!L564, ".", ","))</f>
        <v>7623</v>
      </c>
      <c r="M570" s="2" t="str">
        <f>IF(Данные[[#This Row],[proba]]&gt;$C$6, "отказ", "одобрение")</f>
        <v>отказ</v>
      </c>
      <c r="N570" s="7">
        <f>IF(Данные[[#This Row],[proba]]&lt;$D$2,$C$2,IF(Данные[[#This Row],[proba]]&lt;$D$3,$C$3,IF(Данные[[#This Row],[proba]]&gt;$C$6,0,$C$4)))</f>
        <v>0</v>
      </c>
      <c r="O570" s="2">
        <f>IF(Данные[[#This Row],[weighted_ext_score]]&gt;$O$1,MIN(Данные[[#This Row],[Базовая сумма]]*$O$2,$C$2),IF(Данные[[#This Row],[weighted_ext_score]]&lt;$O$3,Данные[[#This Row],[Базовая сумма]]*$O$4,N570))</f>
        <v>0</v>
      </c>
      <c r="P5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0" s="2">
        <f>ABS(Данные[[#This Row],[days_birth]])/365.2425</f>
        <v>51.20707475170606</v>
      </c>
      <c r="S5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0" s="2">
        <f>IF(Данные[[#This Row],[ interest_rate]]&gt;$T$1,Данные[[#This Row],[days_birth4]]*$T$2,Данные[[#This Row],[days_birth4]])</f>
        <v>0</v>
      </c>
      <c r="U570" s="2">
        <f>IF(Данные[[#This Row],[Проверка отказа]]="отказ",0,MAX(Данные[[#This Row],[interest_rate]],$C$1))</f>
        <v>0</v>
      </c>
      <c r="V570" s="2">
        <f>MROUND(Данные[[#This Row],[Минимум 20000]], 100)</f>
        <v>0</v>
      </c>
    </row>
    <row r="571" spans="1:22" x14ac:dyDescent="0.25">
      <c r="A571" s="2">
        <f>'1000_заявлений'!A565</f>
        <v>563</v>
      </c>
      <c r="B571" s="4">
        <f>VALUE(SUBSTITUTE('1000_заявлений'!B565, ".", ","))</f>
        <v>0.323155769725675</v>
      </c>
      <c r="C571" s="4">
        <f>VALUE(SUBSTITUTE('1000_заявлений'!C565, ".", ","))</f>
        <v>0.49717504486228298</v>
      </c>
      <c r="D571" s="4">
        <f>VALUE(SUBSTITUTE('1000_заявлений'!D565, ".", ","))</f>
        <v>0.58148370000000005</v>
      </c>
      <c r="E571" s="4">
        <f>VALUE(SUBSTITUTE('1000_заявлений'!E565, ".", ","))</f>
        <v>0.51515149999999998</v>
      </c>
      <c r="F571" s="5">
        <f>VALUE(SUBSTITUTE('1000_заявлений'!F565, ".", ","))</f>
        <v>-6217</v>
      </c>
      <c r="G571" s="5">
        <f>VALUE(SUBSTITUTE('1000_заявлений'!G565, ".", ","))</f>
        <v>-12341</v>
      </c>
      <c r="H571" s="5">
        <f>VALUE(SUBSTITUTE('1000_заявлений'!H565, ".", ","))</f>
        <v>-4151</v>
      </c>
      <c r="I571" s="4">
        <f>VALUE(SUBSTITUTE('1000_заявлений'!I565, ".", ","))</f>
        <v>0.1</v>
      </c>
      <c r="J571" s="4">
        <f>VALUE(SUBSTITUTE('1000_заявлений'!J565, ".", ","))</f>
        <v>10.6209759779781</v>
      </c>
      <c r="K571" s="5">
        <f>VALUE(SUBSTITUTE('1000_заявлений'!K565, ".", ","))</f>
        <v>-4904</v>
      </c>
      <c r="L571" s="6">
        <f>VALUE(SUBSTITUTE('1000_заявлений'!L565, ".", ","))</f>
        <v>22500</v>
      </c>
      <c r="M571" s="2" t="str">
        <f>IF(Данные[[#This Row],[proba]]&gt;$C$6, "отказ", "одобрение")</f>
        <v>отказ</v>
      </c>
      <c r="N571" s="7">
        <f>IF(Данные[[#This Row],[proba]]&lt;$D$2,$C$2,IF(Данные[[#This Row],[proba]]&lt;$D$3,$C$3,IF(Данные[[#This Row],[proba]]&gt;$C$6,0,$C$4)))</f>
        <v>0</v>
      </c>
      <c r="O571" s="2">
        <f>IF(Данные[[#This Row],[weighted_ext_score]]&gt;$O$1,MIN(Данные[[#This Row],[Базовая сумма]]*$O$2,$C$2),IF(Данные[[#This Row],[weighted_ext_score]]&lt;$O$3,Данные[[#This Row],[Базовая сумма]]*$O$4,N571))</f>
        <v>0</v>
      </c>
      <c r="P5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1" s="2">
        <f>ABS(Данные[[#This Row],[days_birth]])/365.2425</f>
        <v>33.788510373245174</v>
      </c>
      <c r="S5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1" s="2">
        <f>IF(Данные[[#This Row],[ interest_rate]]&gt;$T$1,Данные[[#This Row],[days_birth4]]*$T$2,Данные[[#This Row],[days_birth4]])</f>
        <v>0</v>
      </c>
      <c r="U571" s="2">
        <f>IF(Данные[[#This Row],[Проверка отказа]]="отказ",0,MAX(Данные[[#This Row],[interest_rate]],$C$1))</f>
        <v>0</v>
      </c>
      <c r="V571" s="2">
        <f>MROUND(Данные[[#This Row],[Минимум 20000]], 100)</f>
        <v>0</v>
      </c>
    </row>
    <row r="572" spans="1:22" x14ac:dyDescent="0.25">
      <c r="A572" s="2">
        <f>'1000_заявлений'!A566</f>
        <v>564</v>
      </c>
      <c r="B572" s="4">
        <f>VALUE(SUBSTITUTE('1000_заявлений'!B566, ".", ","))</f>
        <v>0.38418279921110399</v>
      </c>
      <c r="C572" s="4">
        <f>VALUE(SUBSTITUTE('1000_заявлений'!C566, ".", ","))</f>
        <v>0.21266136617689699</v>
      </c>
      <c r="D572" s="4">
        <f>VALUE(SUBSTITUTE('1000_заявлений'!D566, ".", ","))</f>
        <v>0.53527623000000002</v>
      </c>
      <c r="E572" s="4">
        <f>VALUE(SUBSTITUTE('1000_заявлений'!E566, ".", ","))</f>
        <v>0.65559964999999998</v>
      </c>
      <c r="F572" s="5">
        <f>VALUE(SUBSTITUTE('1000_заявлений'!F566, ".", ","))</f>
        <v>-8334</v>
      </c>
      <c r="G572" s="5">
        <f>VALUE(SUBSTITUTE('1000_заявлений'!G566, ".", ","))</f>
        <v>-19767</v>
      </c>
      <c r="H572" s="5">
        <f>VALUE(SUBSTITUTE('1000_заявлений'!H566, ".", ","))</f>
        <v>-3319</v>
      </c>
      <c r="I572" s="4">
        <f>VALUE(SUBSTITUTE('1000_заявлений'!I566, ".", ","))</f>
        <v>0.21856</v>
      </c>
      <c r="J572" s="4">
        <f>VALUE(SUBSTITUTE('1000_заявлений'!J566, ".", ","))</f>
        <v>16.211785382357199</v>
      </c>
      <c r="K572" s="5">
        <f>VALUE(SUBSTITUTE('1000_заявлений'!K566, ".", ","))</f>
        <v>-4287</v>
      </c>
      <c r="L572" s="6">
        <f>VALUE(SUBSTITUTE('1000_заявлений'!L566, ".", ","))</f>
        <v>24588</v>
      </c>
      <c r="M572" s="2" t="str">
        <f>IF(Данные[[#This Row],[proba]]&gt;$C$6, "отказ", "одобрение")</f>
        <v>отказ</v>
      </c>
      <c r="N572" s="7">
        <f>IF(Данные[[#This Row],[proba]]&lt;$D$2,$C$2,IF(Данные[[#This Row],[proba]]&lt;$D$3,$C$3,IF(Данные[[#This Row],[proba]]&gt;$C$6,0,$C$4)))</f>
        <v>0</v>
      </c>
      <c r="O572" s="2">
        <f>IF(Данные[[#This Row],[weighted_ext_score]]&gt;$O$1,MIN(Данные[[#This Row],[Базовая сумма]]*$O$2,$C$2),IF(Данные[[#This Row],[weighted_ext_score]]&lt;$O$3,Данные[[#This Row],[Базовая сумма]]*$O$4,N572))</f>
        <v>0</v>
      </c>
      <c r="P5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2" s="2">
        <f>ABS(Данные[[#This Row],[days_birth]])/365.2425</f>
        <v>54.120207807141831</v>
      </c>
      <c r="S5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2" s="2">
        <f>IF(Данные[[#This Row],[ interest_rate]]&gt;$T$1,Данные[[#This Row],[days_birth4]]*$T$2,Данные[[#This Row],[days_birth4]])</f>
        <v>0</v>
      </c>
      <c r="U572" s="2">
        <f>IF(Данные[[#This Row],[Проверка отказа]]="отказ",0,MAX(Данные[[#This Row],[interest_rate]],$C$1))</f>
        <v>0</v>
      </c>
      <c r="V572" s="2">
        <f>MROUND(Данные[[#This Row],[Минимум 20000]], 100)</f>
        <v>0</v>
      </c>
    </row>
    <row r="573" spans="1:22" x14ac:dyDescent="0.25">
      <c r="A573" s="2">
        <f>'1000_заявлений'!A567</f>
        <v>565</v>
      </c>
      <c r="B573" s="4">
        <f>VALUE(SUBSTITUTE('1000_заявлений'!B567, ".", ","))</f>
        <v>0.29025289432350099</v>
      </c>
      <c r="C573" s="4">
        <f>VALUE(SUBSTITUTE('1000_заявлений'!C567, ".", ","))</f>
        <v>0.60134074465454501</v>
      </c>
      <c r="D573" s="4">
        <f>VALUE(SUBSTITUTE('1000_заявлений'!D567, ".", ","))</f>
        <v>0.61270420000000003</v>
      </c>
      <c r="E573" s="4">
        <f>VALUE(SUBSTITUTE('1000_заявлений'!E567, ".", ","))</f>
        <v>0.40698509999999999</v>
      </c>
      <c r="F573" s="5">
        <f>VALUE(SUBSTITUTE('1000_заявлений'!F567, ".", ","))</f>
        <v>-4364</v>
      </c>
      <c r="G573" s="5">
        <f>VALUE(SUBSTITUTE('1000_заявлений'!G567, ".", ","))</f>
        <v>-18916</v>
      </c>
      <c r="H573" s="5">
        <f>VALUE(SUBSTITUTE('1000_заявлений'!H567, ".", ","))</f>
        <v>-2463</v>
      </c>
      <c r="I573" s="4">
        <f>VALUE(SUBSTITUTE('1000_заявлений'!I567, ".", ","))</f>
        <v>7.2378378378378294E-2</v>
      </c>
      <c r="J573" s="4">
        <f>VALUE(SUBSTITUTE('1000_заявлений'!J567, ".", ","))</f>
        <v>10.005470846844601</v>
      </c>
      <c r="K573" s="5">
        <f>VALUE(SUBSTITUTE('1000_заявлений'!K567, ".", ","))</f>
        <v>-804</v>
      </c>
      <c r="L573" s="6">
        <f>VALUE(SUBSTITUTE('1000_заявлений'!L567, ".", ","))</f>
        <v>6025.5</v>
      </c>
      <c r="M573" s="2" t="str">
        <f>IF(Данные[[#This Row],[proba]]&gt;$C$6, "отказ", "одобрение")</f>
        <v>одобрение</v>
      </c>
      <c r="N573" s="7">
        <f>IF(Данные[[#This Row],[proba]]&lt;$D$2,$C$2,IF(Данные[[#This Row],[proba]]&lt;$D$3,$C$3,IF(Данные[[#This Row],[proba]]&gt;$C$6,0,$C$4)))</f>
        <v>100000</v>
      </c>
      <c r="O573" s="2">
        <f>IF(Данные[[#This Row],[weighted_ext_score]]&gt;$O$1,MIN(Данные[[#This Row],[Базовая сумма]]*$O$2,$C$2),IF(Данные[[#This Row],[weighted_ext_score]]&lt;$O$3,Данные[[#This Row],[Базовая сумма]]*$O$4,N573))</f>
        <v>100000</v>
      </c>
      <c r="P5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573" s="2">
        <f>ABS(Данные[[#This Row],[days_birth]])/365.2425</f>
        <v>51.790248944194609</v>
      </c>
      <c r="S5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573" s="2">
        <f>IF(Данные[[#This Row],[ interest_rate]]&gt;$T$1,Данные[[#This Row],[days_birth4]]*$T$2,Данные[[#This Row],[days_birth4]])</f>
        <v>88200</v>
      </c>
      <c r="U573" s="2">
        <f>IF(Данные[[#This Row],[Проверка отказа]]="отказ",0,MAX(Данные[[#This Row],[interest_rate]],$C$1))</f>
        <v>88200</v>
      </c>
      <c r="V573" s="2">
        <f>MROUND(Данные[[#This Row],[Минимум 20000]], 100)</f>
        <v>88200</v>
      </c>
    </row>
    <row r="574" spans="1:22" x14ac:dyDescent="0.25">
      <c r="A574" s="2">
        <f>'1000_заявлений'!A568</f>
        <v>566</v>
      </c>
      <c r="B574" s="4">
        <f>VALUE(SUBSTITUTE('1000_заявлений'!B568, ".", ","))</f>
        <v>0.41642737978595601</v>
      </c>
      <c r="C574" s="4">
        <f>VALUE(SUBSTITUTE('1000_заявлений'!C568, ".", ","))</f>
        <v>0.45449271378008399</v>
      </c>
      <c r="D574" s="4">
        <f>VALUE(SUBSTITUTE('1000_заявлений'!D568, ".", ","))</f>
        <v>0.34415499999999999</v>
      </c>
      <c r="E574" s="4">
        <f>VALUE(SUBSTITUTE('1000_заявлений'!E568, ".", ","))</f>
        <v>0.74269790000000002</v>
      </c>
      <c r="F574" s="5">
        <f>VALUE(SUBSTITUTE('1000_заявлений'!F568, ".", ","))</f>
        <v>-4644</v>
      </c>
      <c r="G574" s="5">
        <f>VALUE(SUBSTITUTE('1000_заявлений'!G568, ".", ","))</f>
        <v>-16145</v>
      </c>
      <c r="H574" s="5">
        <f>VALUE(SUBSTITUTE('1000_заявлений'!H568, ".", ","))</f>
        <v>-4644</v>
      </c>
      <c r="I574" s="4">
        <f>VALUE(SUBSTITUTE('1000_заявлений'!I568, ".", ","))</f>
        <v>0.147433333333333</v>
      </c>
      <c r="J574" s="4">
        <f>VALUE(SUBSTITUTE('1000_заявлений'!J568, ".", ","))</f>
        <v>1.0244471676037401</v>
      </c>
      <c r="K574" s="5">
        <f>VALUE(SUBSTITUTE('1000_заявлений'!K568, ".", ","))</f>
        <v>-785</v>
      </c>
      <c r="L574" s="6">
        <f>VALUE(SUBSTITUTE('1000_заявлений'!L568, ".", ","))</f>
        <v>19903.5</v>
      </c>
      <c r="M574" s="2" t="str">
        <f>IF(Данные[[#This Row],[proba]]&gt;$C$6, "отказ", "одобрение")</f>
        <v>отказ</v>
      </c>
      <c r="N574" s="7">
        <f>IF(Данные[[#This Row],[proba]]&lt;$D$2,$C$2,IF(Данные[[#This Row],[proba]]&lt;$D$3,$C$3,IF(Данные[[#This Row],[proba]]&gt;$C$6,0,$C$4)))</f>
        <v>0</v>
      </c>
      <c r="O574" s="2">
        <f>IF(Данные[[#This Row],[weighted_ext_score]]&gt;$O$1,MIN(Данные[[#This Row],[Базовая сумма]]*$O$2,$C$2),IF(Данные[[#This Row],[weighted_ext_score]]&lt;$O$3,Данные[[#This Row],[Базовая сумма]]*$O$4,N574))</f>
        <v>0</v>
      </c>
      <c r="P5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4" s="2">
        <f>ABS(Данные[[#This Row],[days_birth]])/365.2425</f>
        <v>44.203508627829457</v>
      </c>
      <c r="S5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4" s="2">
        <f>IF(Данные[[#This Row],[ interest_rate]]&gt;$T$1,Данные[[#This Row],[days_birth4]]*$T$2,Данные[[#This Row],[days_birth4]])</f>
        <v>0</v>
      </c>
      <c r="U574" s="2">
        <f>IF(Данные[[#This Row],[Проверка отказа]]="отказ",0,MAX(Данные[[#This Row],[interest_rate]],$C$1))</f>
        <v>0</v>
      </c>
      <c r="V574" s="2">
        <f>MROUND(Данные[[#This Row],[Минимум 20000]], 100)</f>
        <v>0</v>
      </c>
    </row>
    <row r="575" spans="1:22" x14ac:dyDescent="0.25">
      <c r="A575" s="2">
        <f>'1000_заявлений'!A569</f>
        <v>567</v>
      </c>
      <c r="B575" s="4">
        <f>VALUE(SUBSTITUTE('1000_заявлений'!B569, ".", ","))</f>
        <v>0.50168282860962798</v>
      </c>
      <c r="C575" s="4">
        <f>VALUE(SUBSTITUTE('1000_заявлений'!C569, ".", ","))</f>
        <v>0.43912635942331002</v>
      </c>
      <c r="D575" s="4">
        <f>VALUE(SUBSTITUTE('1000_заявлений'!D569, ".", ","))</f>
        <v>0.3457848</v>
      </c>
      <c r="E575" s="4">
        <f>VALUE(SUBSTITUTE('1000_заявлений'!E569, ".", ","))</f>
        <v>0.59156629999999999</v>
      </c>
      <c r="F575" s="5">
        <f>VALUE(SUBSTITUTE('1000_заявлений'!F569, ".", ","))</f>
        <v>-7702</v>
      </c>
      <c r="G575" s="5">
        <f>VALUE(SUBSTITUTE('1000_заявлений'!G569, ".", ","))</f>
        <v>-8570</v>
      </c>
      <c r="H575" s="5">
        <f>VALUE(SUBSTITUTE('1000_заявлений'!H569, ".", ","))</f>
        <v>-1238</v>
      </c>
      <c r="I575" s="4">
        <f>VALUE(SUBSTITUTE('1000_заявлений'!I569, ".", ","))</f>
        <v>0.12</v>
      </c>
      <c r="J575" s="4">
        <f>VALUE(SUBSTITUTE('1000_заявлений'!J569, ".", ","))</f>
        <v>10.6209759779781</v>
      </c>
      <c r="K575" s="5">
        <f>VALUE(SUBSTITUTE('1000_заявлений'!K569, ".", ","))</f>
        <v>-1000</v>
      </c>
      <c r="L575" s="6">
        <f>VALUE(SUBSTITUTE('1000_заявлений'!L569, ".", ","))</f>
        <v>13500</v>
      </c>
      <c r="M575" s="2" t="str">
        <f>IF(Данные[[#This Row],[proba]]&gt;$C$6, "отказ", "одобрение")</f>
        <v>отказ</v>
      </c>
      <c r="N575" s="7">
        <f>IF(Данные[[#This Row],[proba]]&lt;$D$2,$C$2,IF(Данные[[#This Row],[proba]]&lt;$D$3,$C$3,IF(Данные[[#This Row],[proba]]&gt;$C$6,0,$C$4)))</f>
        <v>0</v>
      </c>
      <c r="O575" s="2">
        <f>IF(Данные[[#This Row],[weighted_ext_score]]&gt;$O$1,MIN(Данные[[#This Row],[Базовая сумма]]*$O$2,$C$2),IF(Данные[[#This Row],[weighted_ext_score]]&lt;$O$3,Данные[[#This Row],[Базовая сумма]]*$O$4,N575))</f>
        <v>0</v>
      </c>
      <c r="P5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5" s="2">
        <f>ABS(Данные[[#This Row],[days_birth]])/365.2425</f>
        <v>23.463863049891511</v>
      </c>
      <c r="S5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5" s="2">
        <f>IF(Данные[[#This Row],[ interest_rate]]&gt;$T$1,Данные[[#This Row],[days_birth4]]*$T$2,Данные[[#This Row],[days_birth4]])</f>
        <v>0</v>
      </c>
      <c r="U575" s="2">
        <f>IF(Данные[[#This Row],[Проверка отказа]]="отказ",0,MAX(Данные[[#This Row],[interest_rate]],$C$1))</f>
        <v>0</v>
      </c>
      <c r="V575" s="2">
        <f>MROUND(Данные[[#This Row],[Минимум 20000]], 100)</f>
        <v>0</v>
      </c>
    </row>
    <row r="576" spans="1:22" x14ac:dyDescent="0.25">
      <c r="A576" s="2">
        <f>'1000_заявлений'!A570</f>
        <v>568</v>
      </c>
      <c r="B576" s="4">
        <f>VALUE(SUBSTITUTE('1000_заявлений'!B570, ".", ","))</f>
        <v>0.28631798788582302</v>
      </c>
      <c r="C576" s="4">
        <f>VALUE(SUBSTITUTE('1000_заявлений'!C570, ".", ","))</f>
        <v>0.56113937296882699</v>
      </c>
      <c r="D576" s="4">
        <f>VALUE(SUBSTITUTE('1000_заявлений'!D570, ".", ","))</f>
        <v>0.51729654999999997</v>
      </c>
      <c r="E576" s="4">
        <f>VALUE(SUBSTITUTE('1000_заявлений'!E570, ".", ","))</f>
        <v>0.62058409999999997</v>
      </c>
      <c r="F576" s="5">
        <f>VALUE(SUBSTITUTE('1000_заявлений'!F570, ".", ","))</f>
        <v>-1587</v>
      </c>
      <c r="G576" s="5">
        <f>VALUE(SUBSTITUTE('1000_заявлений'!G570, ".", ","))</f>
        <v>-21563</v>
      </c>
      <c r="H576" s="5">
        <f>VALUE(SUBSTITUTE('1000_заявлений'!H570, ".", ","))</f>
        <v>-2518</v>
      </c>
      <c r="I576" s="4">
        <f>VALUE(SUBSTITUTE('1000_заявлений'!I570, ".", ","))</f>
        <v>0.22814545454545401</v>
      </c>
      <c r="J576" s="4">
        <f>VALUE(SUBSTITUTE('1000_заявлений'!J570, ".", ","))</f>
        <v>1.87300484527073</v>
      </c>
      <c r="K576" s="5">
        <f>VALUE(SUBSTITUTE('1000_заявлений'!K570, ".", ","))</f>
        <v>365243</v>
      </c>
      <c r="L576" s="6">
        <f>VALUE(SUBSTITUTE('1000_заявлений'!L570, ".", ","))</f>
        <v>28233</v>
      </c>
      <c r="M576" s="2" t="str">
        <f>IF(Данные[[#This Row],[proba]]&gt;$C$6, "отказ", "одобрение")</f>
        <v>одобрение</v>
      </c>
      <c r="N576" s="7">
        <f>IF(Данные[[#This Row],[proba]]&lt;$D$2,$C$2,IF(Данные[[#This Row],[proba]]&lt;$D$3,$C$3,IF(Данные[[#This Row],[proba]]&gt;$C$6,0,$C$4)))</f>
        <v>100000</v>
      </c>
      <c r="O576" s="2">
        <f>IF(Данные[[#This Row],[weighted_ext_score]]&gt;$O$1,MIN(Данные[[#This Row],[Базовая сумма]]*$O$2,$C$2),IF(Данные[[#This Row],[weighted_ext_score]]&lt;$O$3,Данные[[#This Row],[Базовая сумма]]*$O$4,N576))</f>
        <v>100000</v>
      </c>
      <c r="P5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5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576" s="2">
        <f>ABS(Данные[[#This Row],[days_birth]])/365.2425</f>
        <v>59.037488791693193</v>
      </c>
      <c r="S5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576" s="2">
        <f>IF(Данные[[#This Row],[ interest_rate]]&gt;$T$1,Данные[[#This Row],[days_birth4]]*$T$2,Данные[[#This Row],[days_birth4]])</f>
        <v>105000</v>
      </c>
      <c r="U576" s="2">
        <f>IF(Данные[[#This Row],[Проверка отказа]]="отказ",0,MAX(Данные[[#This Row],[interest_rate]],$C$1))</f>
        <v>105000</v>
      </c>
      <c r="V576" s="2">
        <f>MROUND(Данные[[#This Row],[Минимум 20000]], 100)</f>
        <v>105000</v>
      </c>
    </row>
    <row r="577" spans="1:22" x14ac:dyDescent="0.25">
      <c r="A577" s="2">
        <f>'1000_заявлений'!A571</f>
        <v>569</v>
      </c>
      <c r="B577" s="4">
        <f>VALUE(SUBSTITUTE('1000_заявлений'!B571, ".", ","))</f>
        <v>0.450684574375039</v>
      </c>
      <c r="C577" s="4">
        <f>VALUE(SUBSTITUTE('1000_заявлений'!C571, ".", ","))</f>
        <v>0.31288186571246301</v>
      </c>
      <c r="D577" s="4">
        <f>VALUE(SUBSTITUTE('1000_заявлений'!D571, ".", ","))</f>
        <v>0.28078957999999998</v>
      </c>
      <c r="E577" s="4">
        <f>VALUE(SUBSTITUTE('1000_заявлений'!E571, ".", ","))</f>
        <v>0.65149504000000003</v>
      </c>
      <c r="F577" s="5">
        <f>VALUE(SUBSTITUTE('1000_заявлений'!F571, ".", ","))</f>
        <v>-3750</v>
      </c>
      <c r="G577" s="5">
        <f>VALUE(SUBSTITUTE('1000_заявлений'!G571, ".", ","))</f>
        <v>-22766</v>
      </c>
      <c r="H577" s="5">
        <f>VALUE(SUBSTITUTE('1000_заявлений'!H571, ".", ","))</f>
        <v>-4766</v>
      </c>
      <c r="I577" s="4">
        <f>VALUE(SUBSTITUTE('1000_заявлений'!I571, ".", ","))</f>
        <v>9.776E-2</v>
      </c>
      <c r="J577" s="4">
        <f>VALUE(SUBSTITUTE('1000_заявлений'!J571, ".", ","))</f>
        <v>3.2316332548520901</v>
      </c>
      <c r="K577" s="5">
        <f>VALUE(SUBSTITUTE('1000_заявлений'!K571, ".", ","))</f>
        <v>365243</v>
      </c>
      <c r="L577" s="6">
        <f>VALUE(SUBSTITUTE('1000_заявлений'!L571, ".", ","))</f>
        <v>10998</v>
      </c>
      <c r="M577" s="2" t="str">
        <f>IF(Данные[[#This Row],[proba]]&gt;$C$6, "отказ", "одобрение")</f>
        <v>отказ</v>
      </c>
      <c r="N577" s="7">
        <f>IF(Данные[[#This Row],[proba]]&lt;$D$2,$C$2,IF(Данные[[#This Row],[proba]]&lt;$D$3,$C$3,IF(Данные[[#This Row],[proba]]&gt;$C$6,0,$C$4)))</f>
        <v>0</v>
      </c>
      <c r="O577" s="2">
        <f>IF(Данные[[#This Row],[weighted_ext_score]]&gt;$O$1,MIN(Данные[[#This Row],[Базовая сумма]]*$O$2,$C$2),IF(Данные[[#This Row],[weighted_ext_score]]&lt;$O$3,Данные[[#This Row],[Базовая сумма]]*$O$4,N577))</f>
        <v>0</v>
      </c>
      <c r="P5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7" s="2">
        <f>ABS(Данные[[#This Row],[days_birth]])/365.2425</f>
        <v>62.331190921100365</v>
      </c>
      <c r="S5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7" s="2">
        <f>IF(Данные[[#This Row],[ interest_rate]]&gt;$T$1,Данные[[#This Row],[days_birth4]]*$T$2,Данные[[#This Row],[days_birth4]])</f>
        <v>0</v>
      </c>
      <c r="U577" s="2">
        <f>IF(Данные[[#This Row],[Проверка отказа]]="отказ",0,MAX(Данные[[#This Row],[interest_rate]],$C$1))</f>
        <v>0</v>
      </c>
      <c r="V577" s="2">
        <f>MROUND(Данные[[#This Row],[Минимум 20000]], 100)</f>
        <v>0</v>
      </c>
    </row>
    <row r="578" spans="1:22" x14ac:dyDescent="0.25">
      <c r="A578" s="2">
        <f>'1000_заявлений'!A572</f>
        <v>570</v>
      </c>
      <c r="B578" s="4">
        <f>VALUE(SUBSTITUTE('1000_заявлений'!B572, ".", ","))</f>
        <v>0.55458737709744699</v>
      </c>
      <c r="C578" s="4">
        <f>VALUE(SUBSTITUTE('1000_заявлений'!C572, ".", ","))</f>
        <v>0.301694330470414</v>
      </c>
      <c r="D578" s="4">
        <f>VALUE(SUBSTITUTE('1000_заявлений'!D572, ".", ","))</f>
        <v>0.40835884</v>
      </c>
      <c r="E578" s="4">
        <f>VALUE(SUBSTITUTE('1000_заявлений'!E572, ".", ","))</f>
        <v>0.47477174</v>
      </c>
      <c r="F578" s="5">
        <f>VALUE(SUBSTITUTE('1000_заявлений'!F572, ".", ","))</f>
        <v>-17</v>
      </c>
      <c r="G578" s="5">
        <f>VALUE(SUBSTITUTE('1000_заявлений'!G572, ".", ","))</f>
        <v>-13441</v>
      </c>
      <c r="H578" s="5">
        <f>VALUE(SUBSTITUTE('1000_заявлений'!H572, ".", ","))</f>
        <v>-3410</v>
      </c>
      <c r="I578" s="4">
        <f>VALUE(SUBSTITUTE('1000_заявлений'!I572, ".", ","))</f>
        <v>0.17142857142857101</v>
      </c>
      <c r="J578" s="4">
        <f>VALUE(SUBSTITUTE('1000_заявлений'!J572, ".", ","))</f>
        <v>10.6209759779781</v>
      </c>
      <c r="K578" s="5">
        <f>VALUE(SUBSTITUTE('1000_заявлений'!K572, ".", ","))</f>
        <v>-1918</v>
      </c>
      <c r="L578" s="6">
        <f>VALUE(SUBSTITUTE('1000_заявлений'!L572, ".", ","))</f>
        <v>27000</v>
      </c>
      <c r="M578" s="2" t="str">
        <f>IF(Данные[[#This Row],[proba]]&gt;$C$6, "отказ", "одобрение")</f>
        <v>отказ</v>
      </c>
      <c r="N578" s="7">
        <f>IF(Данные[[#This Row],[proba]]&lt;$D$2,$C$2,IF(Данные[[#This Row],[proba]]&lt;$D$3,$C$3,IF(Данные[[#This Row],[proba]]&gt;$C$6,0,$C$4)))</f>
        <v>0</v>
      </c>
      <c r="O578" s="2">
        <f>IF(Данные[[#This Row],[weighted_ext_score]]&gt;$O$1,MIN(Данные[[#This Row],[Базовая сумма]]*$O$2,$C$2),IF(Данные[[#This Row],[weighted_ext_score]]&lt;$O$3,Данные[[#This Row],[Базовая сумма]]*$O$4,N578))</f>
        <v>0</v>
      </c>
      <c r="P5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8" s="2">
        <f>ABS(Данные[[#This Row],[days_birth]])/365.2425</f>
        <v>36.800208080932528</v>
      </c>
      <c r="S5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8" s="2">
        <f>IF(Данные[[#This Row],[ interest_rate]]&gt;$T$1,Данные[[#This Row],[days_birth4]]*$T$2,Данные[[#This Row],[days_birth4]])</f>
        <v>0</v>
      </c>
      <c r="U578" s="2">
        <f>IF(Данные[[#This Row],[Проверка отказа]]="отказ",0,MAX(Данные[[#This Row],[interest_rate]],$C$1))</f>
        <v>0</v>
      </c>
      <c r="V578" s="2">
        <f>MROUND(Данные[[#This Row],[Минимум 20000]], 100)</f>
        <v>0</v>
      </c>
    </row>
    <row r="579" spans="1:22" x14ac:dyDescent="0.25">
      <c r="A579" s="2">
        <f>'1000_заявлений'!A573</f>
        <v>571</v>
      </c>
      <c r="B579" s="4">
        <f>VALUE(SUBSTITUTE('1000_заявлений'!B573, ".", ","))</f>
        <v>0.63053374518361205</v>
      </c>
      <c r="C579" s="4">
        <f>VALUE(SUBSTITUTE('1000_заявлений'!C573, ".", ","))</f>
        <v>0.38348878187443303</v>
      </c>
      <c r="D579" s="4">
        <f>VALUE(SUBSTITUTE('1000_заявлений'!D573, ".", ","))</f>
        <v>0.41534715999999999</v>
      </c>
      <c r="E579" s="4">
        <f>VALUE(SUBSTITUTE('1000_заявлений'!E573, ".", ","))</f>
        <v>0.29398756999999998</v>
      </c>
      <c r="F579" s="5">
        <f>VALUE(SUBSTITUTE('1000_заявлений'!F573, ".", ","))</f>
        <v>-4976</v>
      </c>
      <c r="G579" s="5">
        <f>VALUE(SUBSTITUTE('1000_заявлений'!G573, ".", ","))</f>
        <v>-14434</v>
      </c>
      <c r="H579" s="5">
        <f>VALUE(SUBSTITUTE('1000_заявлений'!H573, ".", ","))</f>
        <v>-3989</v>
      </c>
      <c r="I579" s="4">
        <f>VALUE(SUBSTITUTE('1000_заявлений'!I573, ".", ","))</f>
        <v>0.19253846153846099</v>
      </c>
      <c r="J579" s="4">
        <f>VALUE(SUBSTITUTE('1000_заявлений'!J573, ".", ","))</f>
        <v>1.6188658411483201</v>
      </c>
      <c r="K579" s="5">
        <f>VALUE(SUBSTITUTE('1000_заявлений'!K573, ".", ","))</f>
        <v>-3759</v>
      </c>
      <c r="L579" s="6">
        <f>VALUE(SUBSTITUTE('1000_заявлений'!L573, ".", ","))</f>
        <v>11263.5</v>
      </c>
      <c r="M579" s="2" t="str">
        <f>IF(Данные[[#This Row],[proba]]&gt;$C$6, "отказ", "одобрение")</f>
        <v>отказ</v>
      </c>
      <c r="N579" s="7">
        <f>IF(Данные[[#This Row],[proba]]&lt;$D$2,$C$2,IF(Данные[[#This Row],[proba]]&lt;$D$3,$C$3,IF(Данные[[#This Row],[proba]]&gt;$C$6,0,$C$4)))</f>
        <v>0</v>
      </c>
      <c r="O579" s="2">
        <f>IF(Данные[[#This Row],[weighted_ext_score]]&gt;$O$1,MIN(Данные[[#This Row],[Базовая сумма]]*$O$2,$C$2),IF(Данные[[#This Row],[weighted_ext_score]]&lt;$O$3,Данные[[#This Row],[Базовая сумма]]*$O$4,N579))</f>
        <v>0</v>
      </c>
      <c r="P5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79" s="2">
        <f>ABS(Данные[[#This Row],[days_birth]])/365.2425</f>
        <v>39.518949738872116</v>
      </c>
      <c r="S5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79" s="2">
        <f>IF(Данные[[#This Row],[ interest_rate]]&gt;$T$1,Данные[[#This Row],[days_birth4]]*$T$2,Данные[[#This Row],[days_birth4]])</f>
        <v>0</v>
      </c>
      <c r="U579" s="2">
        <f>IF(Данные[[#This Row],[Проверка отказа]]="отказ",0,MAX(Данные[[#This Row],[interest_rate]],$C$1))</f>
        <v>0</v>
      </c>
      <c r="V579" s="2">
        <f>MROUND(Данные[[#This Row],[Минимум 20000]], 100)</f>
        <v>0</v>
      </c>
    </row>
    <row r="580" spans="1:22" x14ac:dyDescent="0.25">
      <c r="A580" s="2">
        <f>'1000_заявлений'!A574</f>
        <v>572</v>
      </c>
      <c r="B580" s="4">
        <f>VALUE(SUBSTITUTE('1000_заявлений'!B574, ".", ","))</f>
        <v>0.35823447890409499</v>
      </c>
      <c r="C580" s="4">
        <f>VALUE(SUBSTITUTE('1000_заявлений'!C574, ".", ","))</f>
        <v>0.38960347835369902</v>
      </c>
      <c r="D580" s="4">
        <f>VALUE(SUBSTITUTE('1000_заявлений'!D574, ".", ","))</f>
        <v>0.68013880000000004</v>
      </c>
      <c r="E580" s="4">
        <f>VALUE(SUBSTITUTE('1000_заявлений'!E574, ".", ","))</f>
        <v>0.4427586</v>
      </c>
      <c r="F580" s="5">
        <f>VALUE(SUBSTITUTE('1000_заявлений'!F574, ".", ","))</f>
        <v>-8034</v>
      </c>
      <c r="G580" s="5">
        <f>VALUE(SUBSTITUTE('1000_заявлений'!G574, ".", ","))</f>
        <v>-21359</v>
      </c>
      <c r="H580" s="5">
        <f>VALUE(SUBSTITUTE('1000_заявлений'!H574, ".", ","))</f>
        <v>-4082</v>
      </c>
      <c r="I580" s="4">
        <f>VALUE(SUBSTITUTE('1000_заявлений'!I574, ".", ","))</f>
        <v>0.23785000000000001</v>
      </c>
      <c r="J580" s="4">
        <f>VALUE(SUBSTITUTE('1000_заявлений'!J574, ".", ","))</f>
        <v>5.44173240598293</v>
      </c>
      <c r="K580" s="5">
        <f>VALUE(SUBSTITUTE('1000_заявлений'!K574, ".", ","))</f>
        <v>-864</v>
      </c>
      <c r="L580" s="6">
        <f>VALUE(SUBSTITUTE('1000_заявлений'!L574, ".", ","))</f>
        <v>21406.5</v>
      </c>
      <c r="M580" s="2" t="str">
        <f>IF(Данные[[#This Row],[proba]]&gt;$C$6, "отказ", "одобрение")</f>
        <v>отказ</v>
      </c>
      <c r="N580" s="7">
        <f>IF(Данные[[#This Row],[proba]]&lt;$D$2,$C$2,IF(Данные[[#This Row],[proba]]&lt;$D$3,$C$3,IF(Данные[[#This Row],[proba]]&gt;$C$6,0,$C$4)))</f>
        <v>0</v>
      </c>
      <c r="O580" s="2">
        <f>IF(Данные[[#This Row],[weighted_ext_score]]&gt;$O$1,MIN(Данные[[#This Row],[Базовая сумма]]*$O$2,$C$2),IF(Данные[[#This Row],[weighted_ext_score]]&lt;$O$3,Данные[[#This Row],[Базовая сумма]]*$O$4,N580))</f>
        <v>0</v>
      </c>
      <c r="P5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0" s="2">
        <f>ABS(Данные[[#This Row],[days_birth]])/365.2425</f>
        <v>58.478955762267532</v>
      </c>
      <c r="S5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0" s="2">
        <f>IF(Данные[[#This Row],[ interest_rate]]&gt;$T$1,Данные[[#This Row],[days_birth4]]*$T$2,Данные[[#This Row],[days_birth4]])</f>
        <v>0</v>
      </c>
      <c r="U580" s="2">
        <f>IF(Данные[[#This Row],[Проверка отказа]]="отказ",0,MAX(Данные[[#This Row],[interest_rate]],$C$1))</f>
        <v>0</v>
      </c>
      <c r="V580" s="2">
        <f>MROUND(Данные[[#This Row],[Минимум 20000]], 100)</f>
        <v>0</v>
      </c>
    </row>
    <row r="581" spans="1:22" x14ac:dyDescent="0.25">
      <c r="A581" s="2">
        <f>'1000_заявлений'!A575</f>
        <v>573</v>
      </c>
      <c r="B581" s="4">
        <f>VALUE(SUBSTITUTE('1000_заявлений'!B575, ".", ","))</f>
        <v>0.355186457903029</v>
      </c>
      <c r="C581" s="4">
        <f>VALUE(SUBSTITUTE('1000_заявлений'!C575, ".", ","))</f>
        <v>0.40015786555464</v>
      </c>
      <c r="D581" s="4">
        <f>VALUE(SUBSTITUTE('1000_заявлений'!D575, ".", ","))</f>
        <v>0.52988979999999997</v>
      </c>
      <c r="E581" s="4">
        <f>VALUE(SUBSTITUTE('1000_заявлений'!E575, ".", ","))</f>
        <v>0.64281690000000002</v>
      </c>
      <c r="F581" s="5">
        <f>VALUE(SUBSTITUTE('1000_заявлений'!F575, ".", ","))</f>
        <v>-3</v>
      </c>
      <c r="G581" s="5">
        <f>VALUE(SUBSTITUTE('1000_заявлений'!G575, ".", ","))</f>
        <v>-19512</v>
      </c>
      <c r="H581" s="5">
        <f>VALUE(SUBSTITUTE('1000_заявлений'!H575, ".", ","))</f>
        <v>-3049</v>
      </c>
      <c r="I581" s="4">
        <f>VALUE(SUBSTITUTE('1000_заявлений'!I575, ".", ","))</f>
        <v>0.1008125</v>
      </c>
      <c r="J581" s="4">
        <f>VALUE(SUBSTITUTE('1000_заявлений'!J575, ".", ","))</f>
        <v>2.3522351798308501</v>
      </c>
      <c r="K581" s="5">
        <f>VALUE(SUBSTITUTE('1000_заявлений'!K575, ".", ","))</f>
        <v>-968</v>
      </c>
      <c r="L581" s="6">
        <f>VALUE(SUBSTITUTE('1000_заявлений'!L575, ".", ","))</f>
        <v>36292.5</v>
      </c>
      <c r="M581" s="2" t="str">
        <f>IF(Данные[[#This Row],[proba]]&gt;$C$6, "отказ", "одобрение")</f>
        <v>отказ</v>
      </c>
      <c r="N581" s="7">
        <f>IF(Данные[[#This Row],[proba]]&lt;$D$2,$C$2,IF(Данные[[#This Row],[proba]]&lt;$D$3,$C$3,IF(Данные[[#This Row],[proba]]&gt;$C$6,0,$C$4)))</f>
        <v>0</v>
      </c>
      <c r="O581" s="2">
        <f>IF(Данные[[#This Row],[weighted_ext_score]]&gt;$O$1,MIN(Данные[[#This Row],[Базовая сумма]]*$O$2,$C$2),IF(Данные[[#This Row],[weighted_ext_score]]&lt;$O$3,Данные[[#This Row],[Базовая сумма]]*$O$4,N581))</f>
        <v>0</v>
      </c>
      <c r="P5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1" s="2">
        <f>ABS(Данные[[#This Row],[days_birth]])/365.2425</f>
        <v>53.422041520359763</v>
      </c>
      <c r="S5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1" s="2">
        <f>IF(Данные[[#This Row],[ interest_rate]]&gt;$T$1,Данные[[#This Row],[days_birth4]]*$T$2,Данные[[#This Row],[days_birth4]])</f>
        <v>0</v>
      </c>
      <c r="U581" s="2">
        <f>IF(Данные[[#This Row],[Проверка отказа]]="отказ",0,MAX(Данные[[#This Row],[interest_rate]],$C$1))</f>
        <v>0</v>
      </c>
      <c r="V581" s="2">
        <f>MROUND(Данные[[#This Row],[Минимум 20000]], 100)</f>
        <v>0</v>
      </c>
    </row>
    <row r="582" spans="1:22" x14ac:dyDescent="0.25">
      <c r="A582" s="2">
        <f>'1000_заявлений'!A576</f>
        <v>574</v>
      </c>
      <c r="B582" s="4">
        <f>VALUE(SUBSTITUTE('1000_заявлений'!B576, ".", ","))</f>
        <v>0.47627259444189801</v>
      </c>
      <c r="C582" s="4">
        <f>VALUE(SUBSTITUTE('1000_заявлений'!C576, ".", ","))</f>
        <v>0.33871796535847998</v>
      </c>
      <c r="D582" s="4">
        <f>VALUE(SUBSTITUTE('1000_заявлений'!D576, ".", ","))</f>
        <v>0.58148370000000005</v>
      </c>
      <c r="E582" s="4">
        <f>VALUE(SUBSTITUTE('1000_заявлений'!E576, ".", ","))</f>
        <v>0.39588301999999997</v>
      </c>
      <c r="F582" s="5">
        <f>VALUE(SUBSTITUTE('1000_заявлений'!F576, ".", ","))</f>
        <v>-4656</v>
      </c>
      <c r="G582" s="5">
        <f>VALUE(SUBSTITUTE('1000_заявлений'!G576, ".", ","))</f>
        <v>-15060</v>
      </c>
      <c r="H582" s="5">
        <f>VALUE(SUBSTITUTE('1000_заявлений'!H576, ".", ","))</f>
        <v>-4730</v>
      </c>
      <c r="I582" s="4">
        <f>VALUE(SUBSTITUTE('1000_заявлений'!I576, ".", ","))</f>
        <v>0.12342500000000001</v>
      </c>
      <c r="J582" s="4">
        <f>VALUE(SUBSTITUTE('1000_заявлений'!J576, ".", ","))</f>
        <v>2.7840931875254098</v>
      </c>
      <c r="K582" s="5">
        <f>VALUE(SUBSTITUTE('1000_заявлений'!K576, ".", ","))</f>
        <v>-2234</v>
      </c>
      <c r="L582" s="6">
        <f>VALUE(SUBSTITUTE('1000_заявлений'!L576, ".", ","))</f>
        <v>22216.5</v>
      </c>
      <c r="M582" s="2" t="str">
        <f>IF(Данные[[#This Row],[proba]]&gt;$C$6, "отказ", "одобрение")</f>
        <v>отказ</v>
      </c>
      <c r="N582" s="7">
        <f>IF(Данные[[#This Row],[proba]]&lt;$D$2,$C$2,IF(Данные[[#This Row],[proba]]&lt;$D$3,$C$3,IF(Данные[[#This Row],[proba]]&gt;$C$6,0,$C$4)))</f>
        <v>0</v>
      </c>
      <c r="O582" s="2">
        <f>IF(Данные[[#This Row],[weighted_ext_score]]&gt;$O$1,MIN(Данные[[#This Row],[Базовая сумма]]*$O$2,$C$2),IF(Данные[[#This Row],[weighted_ext_score]]&lt;$O$3,Данные[[#This Row],[Базовая сумма]]*$O$4,N582))</f>
        <v>0</v>
      </c>
      <c r="P5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2" s="2">
        <f>ABS(Данные[[#This Row],[days_birth]])/365.2425</f>
        <v>41.232879525246922</v>
      </c>
      <c r="S5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2" s="2">
        <f>IF(Данные[[#This Row],[ interest_rate]]&gt;$T$1,Данные[[#This Row],[days_birth4]]*$T$2,Данные[[#This Row],[days_birth4]])</f>
        <v>0</v>
      </c>
      <c r="U582" s="2">
        <f>IF(Данные[[#This Row],[Проверка отказа]]="отказ",0,MAX(Данные[[#This Row],[interest_rate]],$C$1))</f>
        <v>0</v>
      </c>
      <c r="V582" s="2">
        <f>MROUND(Данные[[#This Row],[Минимум 20000]], 100)</f>
        <v>0</v>
      </c>
    </row>
    <row r="583" spans="1:22" x14ac:dyDescent="0.25">
      <c r="A583" s="2">
        <f>'1000_заявлений'!A577</f>
        <v>575</v>
      </c>
      <c r="B583" s="4">
        <f>VALUE(SUBSTITUTE('1000_заявлений'!B577, ".", ","))</f>
        <v>0.67707266602702998</v>
      </c>
      <c r="C583" s="4">
        <f>VALUE(SUBSTITUTE('1000_заявлений'!C577, ".", ","))</f>
        <v>0.353254918194297</v>
      </c>
      <c r="D583" s="4">
        <f>VALUE(SUBSTITUTE('1000_заявлений'!D577, ".", ","))</f>
        <v>0.3944954</v>
      </c>
      <c r="E583" s="4">
        <f>VALUE(SUBSTITUTE('1000_заявлений'!E577, ".", ","))</f>
        <v>0.3852911</v>
      </c>
      <c r="F583" s="5">
        <f>VALUE(SUBSTITUTE('1000_заявлений'!F577, ".", ","))</f>
        <v>-3898</v>
      </c>
      <c r="G583" s="5">
        <f>VALUE(SUBSTITUTE('1000_заявлений'!G577, ".", ","))</f>
        <v>-9064</v>
      </c>
      <c r="H583" s="5">
        <f>VALUE(SUBSTITUTE('1000_заявлений'!H577, ".", ","))</f>
        <v>-1732</v>
      </c>
      <c r="I583" s="4">
        <f>VALUE(SUBSTITUTE('1000_заявлений'!I577, ".", ","))</f>
        <v>0.27044444444444399</v>
      </c>
      <c r="J583" s="4">
        <f>VALUE(SUBSTITUTE('1000_заявлений'!J577, ".", ","))</f>
        <v>2.8029246753719899</v>
      </c>
      <c r="K583" s="5">
        <f>VALUE(SUBSTITUTE('1000_заявлений'!K577, ".", ","))</f>
        <v>-105</v>
      </c>
      <c r="L583" s="6">
        <f>VALUE(SUBSTITUTE('1000_заявлений'!L577, ".", ","))</f>
        <v>21906</v>
      </c>
      <c r="M583" s="2" t="str">
        <f>IF(Данные[[#This Row],[proba]]&gt;$C$6, "отказ", "одобрение")</f>
        <v>отказ</v>
      </c>
      <c r="N583" s="7">
        <f>IF(Данные[[#This Row],[proba]]&lt;$D$2,$C$2,IF(Данные[[#This Row],[proba]]&lt;$D$3,$C$3,IF(Данные[[#This Row],[proba]]&gt;$C$6,0,$C$4)))</f>
        <v>0</v>
      </c>
      <c r="O583" s="2">
        <f>IF(Данные[[#This Row],[weighted_ext_score]]&gt;$O$1,MIN(Данные[[#This Row],[Базовая сумма]]*$O$2,$C$2),IF(Данные[[#This Row],[weighted_ext_score]]&lt;$O$3,Данные[[#This Row],[Базовая сумма]]*$O$4,N583))</f>
        <v>0</v>
      </c>
      <c r="P5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3" s="2">
        <f>ABS(Данные[[#This Row],[days_birth]])/365.2425</f>
        <v>24.816389111343831</v>
      </c>
      <c r="S5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3" s="2">
        <f>IF(Данные[[#This Row],[ interest_rate]]&gt;$T$1,Данные[[#This Row],[days_birth4]]*$T$2,Данные[[#This Row],[days_birth4]])</f>
        <v>0</v>
      </c>
      <c r="U583" s="2">
        <f>IF(Данные[[#This Row],[Проверка отказа]]="отказ",0,MAX(Данные[[#This Row],[interest_rate]],$C$1))</f>
        <v>0</v>
      </c>
      <c r="V583" s="2">
        <f>MROUND(Данные[[#This Row],[Минимум 20000]], 100)</f>
        <v>0</v>
      </c>
    </row>
    <row r="584" spans="1:22" x14ac:dyDescent="0.25">
      <c r="A584" s="2">
        <f>'1000_заявлений'!A578</f>
        <v>576</v>
      </c>
      <c r="B584" s="4">
        <f>VALUE(SUBSTITUTE('1000_заявлений'!B578, ".", ","))</f>
        <v>0.45766975389540798</v>
      </c>
      <c r="C584" s="4">
        <f>VALUE(SUBSTITUTE('1000_заявлений'!C578, ".", ","))</f>
        <v>0.443215246607151</v>
      </c>
      <c r="D584" s="4">
        <f>VALUE(SUBSTITUTE('1000_заявлений'!D578, ".", ","))</f>
        <v>0.45074727999999997</v>
      </c>
      <c r="E584" s="4">
        <f>VALUE(SUBSTITUTE('1000_заявлений'!E578, ".", ","))</f>
        <v>0.54115086999999995</v>
      </c>
      <c r="F584" s="5">
        <f>VALUE(SUBSTITUTE('1000_заявлений'!F578, ".", ","))</f>
        <v>-6127</v>
      </c>
      <c r="G584" s="5">
        <f>VALUE(SUBSTITUTE('1000_заявлений'!G578, ".", ","))</f>
        <v>-11831</v>
      </c>
      <c r="H584" s="5">
        <f>VALUE(SUBSTITUTE('1000_заявлений'!H578, ".", ","))</f>
        <v>-2598</v>
      </c>
      <c r="I584" s="4">
        <f>VALUE(SUBSTITUTE('1000_заявлений'!I578, ".", ","))</f>
        <v>0.264666666666666</v>
      </c>
      <c r="J584" s="4">
        <f>VALUE(SUBSTITUTE('1000_заявлений'!J578, ".", ","))</f>
        <v>8.05806190441578</v>
      </c>
      <c r="K584" s="5">
        <f>VALUE(SUBSTITUTE('1000_заявлений'!K578, ".", ","))</f>
        <v>-2266</v>
      </c>
      <c r="L584" s="6">
        <f>VALUE(SUBSTITUTE('1000_заявлений'!L578, ".", ","))</f>
        <v>53595</v>
      </c>
      <c r="M584" s="2" t="str">
        <f>IF(Данные[[#This Row],[proba]]&gt;$C$6, "отказ", "одобрение")</f>
        <v>отказ</v>
      </c>
      <c r="N584" s="7">
        <f>IF(Данные[[#This Row],[proba]]&lt;$D$2,$C$2,IF(Данные[[#This Row],[proba]]&lt;$D$3,$C$3,IF(Данные[[#This Row],[proba]]&gt;$C$6,0,$C$4)))</f>
        <v>0</v>
      </c>
      <c r="O584" s="2">
        <f>IF(Данные[[#This Row],[weighted_ext_score]]&gt;$O$1,MIN(Данные[[#This Row],[Базовая сумма]]*$O$2,$C$2),IF(Данные[[#This Row],[weighted_ext_score]]&lt;$O$3,Данные[[#This Row],[Базовая сумма]]*$O$4,N584))</f>
        <v>0</v>
      </c>
      <c r="P5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4" s="2">
        <f>ABS(Данные[[#This Row],[days_birth]])/365.2425</f>
        <v>32.392177799681036</v>
      </c>
      <c r="S5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4" s="2">
        <f>IF(Данные[[#This Row],[ interest_rate]]&gt;$T$1,Данные[[#This Row],[days_birth4]]*$T$2,Данные[[#This Row],[days_birth4]])</f>
        <v>0</v>
      </c>
      <c r="U584" s="2">
        <f>IF(Данные[[#This Row],[Проверка отказа]]="отказ",0,MAX(Данные[[#This Row],[interest_rate]],$C$1))</f>
        <v>0</v>
      </c>
      <c r="V584" s="2">
        <f>MROUND(Данные[[#This Row],[Минимум 20000]], 100)</f>
        <v>0</v>
      </c>
    </row>
    <row r="585" spans="1:22" x14ac:dyDescent="0.25">
      <c r="A585" s="2">
        <f>'1000_заявлений'!A579</f>
        <v>577</v>
      </c>
      <c r="B585" s="4">
        <f>VALUE(SUBSTITUTE('1000_заявлений'!B579, ".", ","))</f>
        <v>0.24456920140133601</v>
      </c>
      <c r="C585" s="4">
        <f>VALUE(SUBSTITUTE('1000_заявлений'!C579, ".", ","))</f>
        <v>0.52446914299085701</v>
      </c>
      <c r="D585" s="4">
        <f>VALUE(SUBSTITUTE('1000_заявлений'!D579, ".", ","))</f>
        <v>0.7223929</v>
      </c>
      <c r="E585" s="4">
        <f>VALUE(SUBSTITUTE('1000_заявлений'!E579, ".", ","))</f>
        <v>0.63827040000000002</v>
      </c>
      <c r="F585" s="5">
        <f>VALUE(SUBSTITUTE('1000_заявлений'!F579, ".", ","))</f>
        <v>-7150</v>
      </c>
      <c r="G585" s="5">
        <f>VALUE(SUBSTITUTE('1000_заявлений'!G579, ".", ","))</f>
        <v>-13262</v>
      </c>
      <c r="H585" s="5">
        <f>VALUE(SUBSTITUTE('1000_заявлений'!H579, ".", ","))</f>
        <v>-4364</v>
      </c>
      <c r="I585" s="4">
        <f>VALUE(SUBSTITUTE('1000_заявлений'!I579, ".", ","))</f>
        <v>0.15805714285714201</v>
      </c>
      <c r="J585" s="4">
        <f>VALUE(SUBSTITUTE('1000_заявлений'!J579, ".", ","))</f>
        <v>3.2391149578721401</v>
      </c>
      <c r="K585" s="5">
        <f>VALUE(SUBSTITUTE('1000_заявлений'!K579, ".", ","))</f>
        <v>-2394</v>
      </c>
      <c r="L585" s="6">
        <f>VALUE(SUBSTITUTE('1000_заявлений'!L579, ".", ","))</f>
        <v>24894</v>
      </c>
      <c r="M585" s="2" t="str">
        <f>IF(Данные[[#This Row],[proba]]&gt;$C$6, "отказ", "одобрение")</f>
        <v>одобрение</v>
      </c>
      <c r="N585" s="7">
        <f>IF(Данные[[#This Row],[proba]]&lt;$D$2,$C$2,IF(Данные[[#This Row],[proba]]&lt;$D$3,$C$3,IF(Данные[[#This Row],[proba]]&gt;$C$6,0,$C$4)))</f>
        <v>100000</v>
      </c>
      <c r="O585" s="2">
        <f>IF(Данные[[#This Row],[weighted_ext_score]]&gt;$O$1,MIN(Данные[[#This Row],[Базовая сумма]]*$O$2,$C$2),IF(Данные[[#This Row],[weighted_ext_score]]&lt;$O$3,Данные[[#This Row],[Базовая сумма]]*$O$4,N585))</f>
        <v>100000</v>
      </c>
      <c r="P5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5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585" s="2">
        <f>ABS(Данные[[#This Row],[days_birth]])/365.2425</f>
        <v>36.310122726681591</v>
      </c>
      <c r="S5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585" s="2">
        <f>IF(Данные[[#This Row],[ interest_rate]]&gt;$T$1,Данные[[#This Row],[days_birth4]]*$T$2,Данные[[#This Row],[days_birth4]])</f>
        <v>144000</v>
      </c>
      <c r="U585" s="2">
        <f>IF(Данные[[#This Row],[Проверка отказа]]="отказ",0,MAX(Данные[[#This Row],[interest_rate]],$C$1))</f>
        <v>144000</v>
      </c>
      <c r="V585" s="2">
        <f>MROUND(Данные[[#This Row],[Минимум 20000]], 100)</f>
        <v>144000</v>
      </c>
    </row>
    <row r="586" spans="1:22" x14ac:dyDescent="0.25">
      <c r="A586" s="2">
        <f>'1000_заявлений'!A580</f>
        <v>578</v>
      </c>
      <c r="B586" s="4">
        <f>VALUE(SUBSTITUTE('1000_заявлений'!B580, ".", ","))</f>
        <v>0.67840122435086803</v>
      </c>
      <c r="C586" s="4">
        <f>VALUE(SUBSTITUTE('1000_заявлений'!C580, ".", ","))</f>
        <v>0.31712070565226103</v>
      </c>
      <c r="D586" s="4">
        <f>VALUE(SUBSTITUTE('1000_заявлений'!D580, ".", ","))</f>
        <v>0.28078957999999998</v>
      </c>
      <c r="E586" s="4">
        <f>VALUE(SUBSTITUTE('1000_заявлений'!E580, ".", ","))</f>
        <v>0.52690579999999998</v>
      </c>
      <c r="F586" s="5">
        <f>VALUE(SUBSTITUTE('1000_заявлений'!F580, ".", ","))</f>
        <v>-3413</v>
      </c>
      <c r="G586" s="5">
        <f>VALUE(SUBSTITUTE('1000_заявлений'!G580, ".", ","))</f>
        <v>-8241</v>
      </c>
      <c r="H586" s="5">
        <f>VALUE(SUBSTITUTE('1000_заявлений'!H580, ".", ","))</f>
        <v>-658</v>
      </c>
      <c r="I586" s="4">
        <f>VALUE(SUBSTITUTE('1000_заявлений'!I580, ".", ","))</f>
        <v>0.20655999999999999</v>
      </c>
      <c r="J586" s="4">
        <f>VALUE(SUBSTITUTE('1000_заявлений'!J580, ".", ","))</f>
        <v>5.7157346235331996</v>
      </c>
      <c r="K586" s="5">
        <f>VALUE(SUBSTITUTE('1000_заявлений'!K580, ".", ","))</f>
        <v>-657</v>
      </c>
      <c r="L586" s="6">
        <f>VALUE(SUBSTITUTE('1000_заявлений'!L580, ".", ","))</f>
        <v>23238</v>
      </c>
      <c r="M586" s="2" t="str">
        <f>IF(Данные[[#This Row],[proba]]&gt;$C$6, "отказ", "одобрение")</f>
        <v>отказ</v>
      </c>
      <c r="N586" s="7">
        <f>IF(Данные[[#This Row],[proba]]&lt;$D$2,$C$2,IF(Данные[[#This Row],[proba]]&lt;$D$3,$C$3,IF(Данные[[#This Row],[proba]]&gt;$C$6,0,$C$4)))</f>
        <v>0</v>
      </c>
      <c r="O586" s="2">
        <f>IF(Данные[[#This Row],[weighted_ext_score]]&gt;$O$1,MIN(Данные[[#This Row],[Базовая сумма]]*$O$2,$C$2),IF(Данные[[#This Row],[weighted_ext_score]]&lt;$O$3,Данные[[#This Row],[Базовая сумма]]*$O$4,N586))</f>
        <v>0</v>
      </c>
      <c r="P5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6" s="2">
        <f>ABS(Данные[[#This Row],[days_birth]])/365.2425</f>
        <v>22.563091644592291</v>
      </c>
      <c r="S5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6" s="2">
        <f>IF(Данные[[#This Row],[ interest_rate]]&gt;$T$1,Данные[[#This Row],[days_birth4]]*$T$2,Данные[[#This Row],[days_birth4]])</f>
        <v>0</v>
      </c>
      <c r="U586" s="2">
        <f>IF(Данные[[#This Row],[Проверка отказа]]="отказ",0,MAX(Данные[[#This Row],[interest_rate]],$C$1))</f>
        <v>0</v>
      </c>
      <c r="V586" s="2">
        <f>MROUND(Данные[[#This Row],[Минимум 20000]], 100)</f>
        <v>0</v>
      </c>
    </row>
    <row r="587" spans="1:22" x14ac:dyDescent="0.25">
      <c r="A587" s="2">
        <f>'1000_заявлений'!A581</f>
        <v>579</v>
      </c>
      <c r="B587" s="4">
        <f>VALUE(SUBSTITUTE('1000_заявлений'!B581, ".", ","))</f>
        <v>0.64956169089634097</v>
      </c>
      <c r="C587" s="4">
        <f>VALUE(SUBSTITUTE('1000_заявлений'!C581, ".", ","))</f>
        <v>0.35007687525699299</v>
      </c>
      <c r="D587" s="4">
        <f>VALUE(SUBSTITUTE('1000_заявлений'!D581, ".", ","))</f>
        <v>0.18629295000000001</v>
      </c>
      <c r="E587" s="4">
        <f>VALUE(SUBSTITUTE('1000_заявлений'!E581, ".", ","))</f>
        <v>0.60630459999999997</v>
      </c>
      <c r="F587" s="5">
        <f>VALUE(SUBSTITUTE('1000_заявлений'!F581, ".", ","))</f>
        <v>-3666</v>
      </c>
      <c r="G587" s="5">
        <f>VALUE(SUBSTITUTE('1000_заявлений'!G581, ".", ","))</f>
        <v>-8968</v>
      </c>
      <c r="H587" s="5">
        <f>VALUE(SUBSTITUTE('1000_заявлений'!H581, ".", ","))</f>
        <v>-1581</v>
      </c>
      <c r="I587" s="4">
        <f>VALUE(SUBSTITUTE('1000_заявлений'!I581, ".", ","))</f>
        <v>0.113178571428571</v>
      </c>
      <c r="J587" s="4">
        <f>VALUE(SUBSTITUTE('1000_заявлений'!J581, ".", ","))</f>
        <v>5.9690120391371302</v>
      </c>
      <c r="K587" s="5">
        <f>VALUE(SUBSTITUTE('1000_заявлений'!K581, ".", ","))</f>
        <v>-450</v>
      </c>
      <c r="L587" s="6">
        <f>VALUE(SUBSTITUTE('1000_заявлений'!L581, ".", ","))</f>
        <v>14260.5</v>
      </c>
      <c r="M587" s="2" t="str">
        <f>IF(Данные[[#This Row],[proba]]&gt;$C$6, "отказ", "одобрение")</f>
        <v>отказ</v>
      </c>
      <c r="N587" s="7">
        <f>IF(Данные[[#This Row],[proba]]&lt;$D$2,$C$2,IF(Данные[[#This Row],[proba]]&lt;$D$3,$C$3,IF(Данные[[#This Row],[proba]]&gt;$C$6,0,$C$4)))</f>
        <v>0</v>
      </c>
      <c r="O587" s="2">
        <f>IF(Данные[[#This Row],[weighted_ext_score]]&gt;$O$1,MIN(Данные[[#This Row],[Базовая сумма]]*$O$2,$C$2),IF(Данные[[#This Row],[weighted_ext_score]]&lt;$O$3,Данные[[#This Row],[Базовая сумма]]*$O$4,N587))</f>
        <v>0</v>
      </c>
      <c r="P5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7" s="2">
        <f>ABS(Данные[[#This Row],[days_birth]])/365.2425</f>
        <v>24.553550038672935</v>
      </c>
      <c r="S5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7" s="2">
        <f>IF(Данные[[#This Row],[ interest_rate]]&gt;$T$1,Данные[[#This Row],[days_birth4]]*$T$2,Данные[[#This Row],[days_birth4]])</f>
        <v>0</v>
      </c>
      <c r="U587" s="2">
        <f>IF(Данные[[#This Row],[Проверка отказа]]="отказ",0,MAX(Данные[[#This Row],[interest_rate]],$C$1))</f>
        <v>0</v>
      </c>
      <c r="V587" s="2">
        <f>MROUND(Данные[[#This Row],[Минимум 20000]], 100)</f>
        <v>0</v>
      </c>
    </row>
    <row r="588" spans="1:22" x14ac:dyDescent="0.25">
      <c r="A588" s="2">
        <f>'1000_заявлений'!A582</f>
        <v>580</v>
      </c>
      <c r="B588" s="4">
        <f>VALUE(SUBSTITUTE('1000_заявлений'!B582, ".", ","))</f>
        <v>0.65523676310288104</v>
      </c>
      <c r="C588" s="4">
        <f>VALUE(SUBSTITUTE('1000_заявлений'!C582, ".", ","))</f>
        <v>0.26602558645985203</v>
      </c>
      <c r="D588" s="4">
        <f>VALUE(SUBSTITUTE('1000_заявлений'!D582, ".", ","))</f>
        <v>0.25946765999999999</v>
      </c>
      <c r="E588" s="4">
        <f>VALUE(SUBSTITUTE('1000_заявлений'!E582, ".", ","))</f>
        <v>0.53081789999999995</v>
      </c>
      <c r="F588" s="5">
        <f>VALUE(SUBSTITUTE('1000_заявлений'!F582, ".", ","))</f>
        <v>-9067</v>
      </c>
      <c r="G588" s="5">
        <f>VALUE(SUBSTITUTE('1000_заявлений'!G582, ".", ","))</f>
        <v>-17426</v>
      </c>
      <c r="H588" s="5">
        <f>VALUE(SUBSTITUTE('1000_заявлений'!H582, ".", ","))</f>
        <v>-973</v>
      </c>
      <c r="I588" s="4">
        <f>VALUE(SUBSTITUTE('1000_заявлений'!I582, ".", ","))</f>
        <v>9.2299999999999993E-2</v>
      </c>
      <c r="J588" s="4">
        <f>VALUE(SUBSTITUTE('1000_заявлений'!J582, ".", ","))</f>
        <v>0.13010053056405901</v>
      </c>
      <c r="K588" s="5">
        <f>VALUE(SUBSTITUTE('1000_заявлений'!K582, ".", ","))</f>
        <v>-1168</v>
      </c>
      <c r="L588" s="6">
        <f>VALUE(SUBSTITUTE('1000_заявлений'!L582, ".", ","))</f>
        <v>8307</v>
      </c>
      <c r="M588" s="2" t="str">
        <f>IF(Данные[[#This Row],[proba]]&gt;$C$6, "отказ", "одобрение")</f>
        <v>отказ</v>
      </c>
      <c r="N588" s="7">
        <f>IF(Данные[[#This Row],[proba]]&lt;$D$2,$C$2,IF(Данные[[#This Row],[proba]]&lt;$D$3,$C$3,IF(Данные[[#This Row],[proba]]&gt;$C$6,0,$C$4)))</f>
        <v>0</v>
      </c>
      <c r="O588" s="2">
        <f>IF(Данные[[#This Row],[weighted_ext_score]]&gt;$O$1,MIN(Данные[[#This Row],[Базовая сумма]]*$O$2,$C$2),IF(Данные[[#This Row],[weighted_ext_score]]&lt;$O$3,Данные[[#This Row],[Базовая сумма]]*$O$4,N588))</f>
        <v>0</v>
      </c>
      <c r="P5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88" s="2">
        <f>ABS(Данные[[#This Row],[days_birth]])/365.2425</f>
        <v>47.710767503781732</v>
      </c>
      <c r="S5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88" s="2">
        <f>IF(Данные[[#This Row],[ interest_rate]]&gt;$T$1,Данные[[#This Row],[days_birth4]]*$T$2,Данные[[#This Row],[days_birth4]])</f>
        <v>0</v>
      </c>
      <c r="U588" s="2">
        <f>IF(Данные[[#This Row],[Проверка отказа]]="отказ",0,MAX(Данные[[#This Row],[interest_rate]],$C$1))</f>
        <v>0</v>
      </c>
      <c r="V588" s="2">
        <f>MROUND(Данные[[#This Row],[Минимум 20000]], 100)</f>
        <v>0</v>
      </c>
    </row>
    <row r="589" spans="1:22" x14ac:dyDescent="0.25">
      <c r="A589" s="2">
        <f>'1000_заявлений'!A583</f>
        <v>581</v>
      </c>
      <c r="B589" s="4">
        <f>VALUE(SUBSTITUTE('1000_заявлений'!B583, ".", ","))</f>
        <v>0.158874276350364</v>
      </c>
      <c r="C589" s="4">
        <f>VALUE(SUBSTITUTE('1000_заявлений'!C583, ".", ","))</f>
        <v>0.69655896135997897</v>
      </c>
      <c r="D589" s="4">
        <f>VALUE(SUBSTITUTE('1000_заявлений'!D583, ".", ","))</f>
        <v>0.71803284000000001</v>
      </c>
      <c r="E589" s="4">
        <f>VALUE(SUBSTITUTE('1000_заявлений'!E583, ".", ","))</f>
        <v>0.67132429999999998</v>
      </c>
      <c r="F589" s="5">
        <f>VALUE(SUBSTITUTE('1000_заявлений'!F583, ".", ","))</f>
        <v>-7052</v>
      </c>
      <c r="G589" s="5">
        <f>VALUE(SUBSTITUTE('1000_заявлений'!G583, ".", ","))</f>
        <v>-14760</v>
      </c>
      <c r="H589" s="5">
        <f>VALUE(SUBSTITUTE('1000_заявлений'!H583, ".", ","))</f>
        <v>-209</v>
      </c>
      <c r="I589" s="4">
        <f>VALUE(SUBSTITUTE('1000_заявлений'!I583, ".", ","))</f>
        <v>0.241288888888888</v>
      </c>
      <c r="J589" s="4">
        <f>VALUE(SUBSTITUTE('1000_заявлений'!J583, ".", ","))</f>
        <v>15.6215898578526</v>
      </c>
      <c r="K589" s="5">
        <f>VALUE(SUBSTITUTE('1000_заявлений'!K583, ".", ","))</f>
        <v>-198</v>
      </c>
      <c r="L589" s="6">
        <f>VALUE(SUBSTITUTE('1000_заявлений'!L583, ".", ","))</f>
        <v>48861</v>
      </c>
      <c r="M589" s="2" t="str">
        <f>IF(Данные[[#This Row],[proba]]&gt;$C$6, "отказ", "одобрение")</f>
        <v>одобрение</v>
      </c>
      <c r="N589" s="7">
        <f>IF(Данные[[#This Row],[proba]]&lt;$D$2,$C$2,IF(Данные[[#This Row],[proba]]&lt;$D$3,$C$3,IF(Данные[[#This Row],[proba]]&gt;$C$6,0,$C$4)))</f>
        <v>300000</v>
      </c>
      <c r="O589" s="2">
        <f>IF(Данные[[#This Row],[weighted_ext_score]]&gt;$O$1,MIN(Данные[[#This Row],[Базовая сумма]]*$O$2,$C$2),IF(Данные[[#This Row],[weighted_ext_score]]&lt;$O$3,Данные[[#This Row],[Базовая сумма]]*$O$4,N589))</f>
        <v>300000</v>
      </c>
      <c r="P5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5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589" s="2">
        <f>ABS(Данные[[#This Row],[days_birth]])/365.2425</f>
        <v>40.411507423150375</v>
      </c>
      <c r="S5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300000</v>
      </c>
      <c r="T589" s="2">
        <f>IF(Данные[[#This Row],[ interest_rate]]&gt;$T$1,Данные[[#This Row],[days_birth4]]*$T$2,Данные[[#This Row],[days_birth4]])</f>
        <v>300000</v>
      </c>
      <c r="U589" s="2">
        <f>IF(Данные[[#This Row],[Проверка отказа]]="отказ",0,MAX(Данные[[#This Row],[interest_rate]],$C$1))</f>
        <v>300000</v>
      </c>
      <c r="V589" s="2">
        <f>MROUND(Данные[[#This Row],[Минимум 20000]], 100)</f>
        <v>300000</v>
      </c>
    </row>
    <row r="590" spans="1:22" x14ac:dyDescent="0.25">
      <c r="A590" s="2">
        <f>'1000_заявлений'!A584</f>
        <v>582</v>
      </c>
      <c r="B590" s="4">
        <f>VALUE(SUBSTITUTE('1000_заявлений'!B584, ".", ","))</f>
        <v>0.34623032556141098</v>
      </c>
      <c r="C590" s="4">
        <f>VALUE(SUBSTITUTE('1000_заявлений'!C584, ".", ","))</f>
        <v>0.38262998051935698</v>
      </c>
      <c r="D590" s="4">
        <f>VALUE(SUBSTITUTE('1000_заявлений'!D584, ".", ","))</f>
        <v>0.44896227</v>
      </c>
      <c r="E590" s="4">
        <f>VALUE(SUBSTITUTE('1000_заявлений'!E584, ".", ","))</f>
        <v>0.6790119</v>
      </c>
      <c r="F590" s="5">
        <f>VALUE(SUBSTITUTE('1000_заявлений'!F584, ".", ","))</f>
        <v>-5465</v>
      </c>
      <c r="G590" s="5">
        <f>VALUE(SUBSTITUTE('1000_заявлений'!G584, ".", ","))</f>
        <v>-11088</v>
      </c>
      <c r="H590" s="5">
        <f>VALUE(SUBSTITUTE('1000_заявлений'!H584, ".", ","))</f>
        <v>-3778</v>
      </c>
      <c r="I590" s="4">
        <f>VALUE(SUBSTITUTE('1000_заявлений'!I584, ".", ","))</f>
        <v>7.4175000000000005E-2</v>
      </c>
      <c r="J590" s="4">
        <f>VALUE(SUBSTITUTE('1000_заявлений'!J584, ".", ","))</f>
        <v>17.3011913436535</v>
      </c>
      <c r="K590" s="5">
        <f>VALUE(SUBSTITUTE('1000_заявлений'!K584, ".", ","))</f>
        <v>-893</v>
      </c>
      <c r="L590" s="6">
        <f>VALUE(SUBSTITUTE('1000_заявлений'!L584, ".", ","))</f>
        <v>26703</v>
      </c>
      <c r="M590" s="2" t="str">
        <f>IF(Данные[[#This Row],[proba]]&gt;$C$6, "отказ", "одобрение")</f>
        <v>отказ</v>
      </c>
      <c r="N590" s="7">
        <f>IF(Данные[[#This Row],[proba]]&lt;$D$2,$C$2,IF(Данные[[#This Row],[proba]]&lt;$D$3,$C$3,IF(Данные[[#This Row],[proba]]&gt;$C$6,0,$C$4)))</f>
        <v>0</v>
      </c>
      <c r="O590" s="2">
        <f>IF(Данные[[#This Row],[weighted_ext_score]]&gt;$O$1,MIN(Данные[[#This Row],[Базовая сумма]]*$O$2,$C$2),IF(Данные[[#This Row],[weighted_ext_score]]&lt;$O$3,Данные[[#This Row],[Базовая сумма]]*$O$4,N590))</f>
        <v>0</v>
      </c>
      <c r="P5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0" s="2">
        <f>ABS(Данные[[#This Row],[days_birth]])/365.2425</f>
        <v>30.357912893488571</v>
      </c>
      <c r="S5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0" s="2">
        <f>IF(Данные[[#This Row],[ interest_rate]]&gt;$T$1,Данные[[#This Row],[days_birth4]]*$T$2,Данные[[#This Row],[days_birth4]])</f>
        <v>0</v>
      </c>
      <c r="U590" s="2">
        <f>IF(Данные[[#This Row],[Проверка отказа]]="отказ",0,MAX(Данные[[#This Row],[interest_rate]],$C$1))</f>
        <v>0</v>
      </c>
      <c r="V590" s="2">
        <f>MROUND(Данные[[#This Row],[Минимум 20000]], 100)</f>
        <v>0</v>
      </c>
    </row>
    <row r="591" spans="1:22" x14ac:dyDescent="0.25">
      <c r="A591" s="2">
        <f>'1000_заявлений'!A585</f>
        <v>583</v>
      </c>
      <c r="B591" s="4">
        <f>VALUE(SUBSTITUTE('1000_заявлений'!B585, ".", ","))</f>
        <v>0.71335801569384805</v>
      </c>
      <c r="C591" s="4">
        <f>VALUE(SUBSTITUTE('1000_заявлений'!C585, ".", ","))</f>
        <v>0.22448437774357899</v>
      </c>
      <c r="D591" s="4">
        <f>VALUE(SUBSTITUTE('1000_заявлений'!D585, ".", ","))</f>
        <v>0.19294222999999999</v>
      </c>
      <c r="E591" s="4">
        <f>VALUE(SUBSTITUTE('1000_заявлений'!E585, ".", ","))</f>
        <v>0.47692612000000001</v>
      </c>
      <c r="F591" s="5">
        <f>VALUE(SUBSTITUTE('1000_заявлений'!F585, ".", ","))</f>
        <v>-11349</v>
      </c>
      <c r="G591" s="5">
        <f>VALUE(SUBSTITUTE('1000_заявлений'!G585, ".", ","))</f>
        <v>-20756</v>
      </c>
      <c r="H591" s="5">
        <f>VALUE(SUBSTITUTE('1000_заявлений'!H585, ".", ","))</f>
        <v>-4163</v>
      </c>
      <c r="I591" s="4">
        <f>VALUE(SUBSTITUTE('1000_заявлений'!I585, ".", ","))</f>
        <v>0.44800000000000001</v>
      </c>
      <c r="J591" s="4">
        <f>VALUE(SUBSTITUTE('1000_заявлений'!J585, ".", ","))</f>
        <v>6.52340447126877</v>
      </c>
      <c r="K591" s="5">
        <f>VALUE(SUBSTITUTE('1000_заявлений'!K585, ".", ","))</f>
        <v>-2341</v>
      </c>
      <c r="L591" s="6">
        <f>VALUE(SUBSTITUTE('1000_заявлений'!L585, ".", ","))</f>
        <v>40320</v>
      </c>
      <c r="M591" s="2" t="str">
        <f>IF(Данные[[#This Row],[proba]]&gt;$C$6, "отказ", "одобрение")</f>
        <v>отказ</v>
      </c>
      <c r="N591" s="7">
        <f>IF(Данные[[#This Row],[proba]]&lt;$D$2,$C$2,IF(Данные[[#This Row],[proba]]&lt;$D$3,$C$3,IF(Данные[[#This Row],[proba]]&gt;$C$6,0,$C$4)))</f>
        <v>0</v>
      </c>
      <c r="O591" s="2">
        <f>IF(Данные[[#This Row],[weighted_ext_score]]&gt;$O$1,MIN(Данные[[#This Row],[Базовая сумма]]*$O$2,$C$2),IF(Данные[[#This Row],[weighted_ext_score]]&lt;$O$3,Данные[[#This Row],[Базовая сумма]]*$O$4,N591))</f>
        <v>0</v>
      </c>
      <c r="P5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1" s="2">
        <f>ABS(Данные[[#This Row],[days_birth]])/365.2425</f>
        <v>56.827997837053466</v>
      </c>
      <c r="S5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1" s="2">
        <f>IF(Данные[[#This Row],[ interest_rate]]&gt;$T$1,Данные[[#This Row],[days_birth4]]*$T$2,Данные[[#This Row],[days_birth4]])</f>
        <v>0</v>
      </c>
      <c r="U591" s="2">
        <f>IF(Данные[[#This Row],[Проверка отказа]]="отказ",0,MAX(Данные[[#This Row],[interest_rate]],$C$1))</f>
        <v>0</v>
      </c>
      <c r="V591" s="2">
        <f>MROUND(Данные[[#This Row],[Минимум 20000]], 100)</f>
        <v>0</v>
      </c>
    </row>
    <row r="592" spans="1:22" x14ac:dyDescent="0.25">
      <c r="A592" s="2">
        <f>'1000_заявлений'!A586</f>
        <v>584</v>
      </c>
      <c r="B592" s="4">
        <f>VALUE(SUBSTITUTE('1000_заявлений'!B586, ".", ","))</f>
        <v>0.491425181507751</v>
      </c>
      <c r="C592" s="4">
        <f>VALUE(SUBSTITUTE('1000_заявлений'!C586, ".", ","))</f>
        <v>0.35045922062027202</v>
      </c>
      <c r="D592" s="4">
        <f>VALUE(SUBSTITUTE('1000_заявлений'!D586, ".", ","))</f>
        <v>0.33125088000000003</v>
      </c>
      <c r="E592" s="4">
        <f>VALUE(SUBSTITUTE('1000_заявлений'!E586, ".", ","))</f>
        <v>0.71107770000000003</v>
      </c>
      <c r="F592" s="5">
        <f>VALUE(SUBSTITUTE('1000_заявлений'!F586, ".", ","))</f>
        <v>-942</v>
      </c>
      <c r="G592" s="5">
        <f>VALUE(SUBSTITUTE('1000_заявлений'!G586, ".", ","))</f>
        <v>-16295</v>
      </c>
      <c r="H592" s="5">
        <f>VALUE(SUBSTITUTE('1000_заявлений'!H586, ".", ","))</f>
        <v>-4008</v>
      </c>
      <c r="I592" s="4">
        <f>VALUE(SUBSTITUTE('1000_заявлений'!I586, ".", ","))</f>
        <v>0.18211428571428501</v>
      </c>
      <c r="J592" s="4">
        <f>VALUE(SUBSTITUTE('1000_заявлений'!J586, ".", ","))</f>
        <v>3.1914411000596399</v>
      </c>
      <c r="K592" s="5">
        <f>VALUE(SUBSTITUTE('1000_заявлений'!K586, ".", ","))</f>
        <v>-642</v>
      </c>
      <c r="L592" s="6">
        <f>VALUE(SUBSTITUTE('1000_заявлений'!L586, ".", ","))</f>
        <v>28683</v>
      </c>
      <c r="M592" s="2" t="str">
        <f>IF(Данные[[#This Row],[proba]]&gt;$C$6, "отказ", "одобрение")</f>
        <v>отказ</v>
      </c>
      <c r="N592" s="7">
        <f>IF(Данные[[#This Row],[proba]]&lt;$D$2,$C$2,IF(Данные[[#This Row],[proba]]&lt;$D$3,$C$3,IF(Данные[[#This Row],[proba]]&gt;$C$6,0,$C$4)))</f>
        <v>0</v>
      </c>
      <c r="O592" s="2">
        <f>IF(Данные[[#This Row],[weighted_ext_score]]&gt;$O$1,MIN(Данные[[#This Row],[Базовая сумма]]*$O$2,$C$2),IF(Данные[[#This Row],[weighted_ext_score]]&lt;$O$3,Данные[[#This Row],[Базовая сумма]]*$O$4,N592))</f>
        <v>0</v>
      </c>
      <c r="P5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2" s="2">
        <f>ABS(Данные[[#This Row],[days_birth]])/365.2425</f>
        <v>44.61419467887773</v>
      </c>
      <c r="S5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2" s="2">
        <f>IF(Данные[[#This Row],[ interest_rate]]&gt;$T$1,Данные[[#This Row],[days_birth4]]*$T$2,Данные[[#This Row],[days_birth4]])</f>
        <v>0</v>
      </c>
      <c r="U592" s="2">
        <f>IF(Данные[[#This Row],[Проверка отказа]]="отказ",0,MAX(Данные[[#This Row],[interest_rate]],$C$1))</f>
        <v>0</v>
      </c>
      <c r="V592" s="2">
        <f>MROUND(Данные[[#This Row],[Минимум 20000]], 100)</f>
        <v>0</v>
      </c>
    </row>
    <row r="593" spans="1:22" x14ac:dyDescent="0.25">
      <c r="A593" s="2">
        <f>'1000_заявлений'!A587</f>
        <v>585</v>
      </c>
      <c r="B593" s="4">
        <f>VALUE(SUBSTITUTE('1000_заявлений'!B587, ".", ","))</f>
        <v>0.27711130413225399</v>
      </c>
      <c r="C593" s="4">
        <f>VALUE(SUBSTITUTE('1000_заявлений'!C587, ".", ","))</f>
        <v>0.64207182748598901</v>
      </c>
      <c r="D593" s="4">
        <f>VALUE(SUBSTITUTE('1000_заявлений'!D587, ".", ","))</f>
        <v>0.54065439999999998</v>
      </c>
      <c r="E593" s="4">
        <f>VALUE(SUBSTITUTE('1000_заявлений'!E587, ".", ","))</f>
        <v>0.71568299999999996</v>
      </c>
      <c r="F593" s="5">
        <f>VALUE(SUBSTITUTE('1000_заявлений'!F587, ".", ","))</f>
        <v>-390</v>
      </c>
      <c r="G593" s="5">
        <f>VALUE(SUBSTITUTE('1000_заявлений'!G587, ".", ","))</f>
        <v>-11158</v>
      </c>
      <c r="H593" s="5">
        <f>VALUE(SUBSTITUTE('1000_заявлений'!H587, ".", ","))</f>
        <v>-2475</v>
      </c>
      <c r="I593" s="4">
        <f>VALUE(SUBSTITUTE('1000_заявлений'!I587, ".", ","))</f>
        <v>0.24884444444444401</v>
      </c>
      <c r="J593" s="4">
        <f>VALUE(SUBSTITUTE('1000_заявлений'!J587, ".", ","))</f>
        <v>6.0867631954587296</v>
      </c>
      <c r="K593" s="5">
        <f>VALUE(SUBSTITUTE('1000_заявлений'!K587, ".", ","))</f>
        <v>-640</v>
      </c>
      <c r="L593" s="6">
        <f>VALUE(SUBSTITUTE('1000_заявлений'!L587, ".", ","))</f>
        <v>50391</v>
      </c>
      <c r="M593" s="2" t="str">
        <f>IF(Данные[[#This Row],[proba]]&gt;$C$6, "отказ", "одобрение")</f>
        <v>одобрение</v>
      </c>
      <c r="N593" s="7">
        <f>IF(Данные[[#This Row],[proba]]&lt;$D$2,$C$2,IF(Данные[[#This Row],[proba]]&lt;$D$3,$C$3,IF(Данные[[#This Row],[proba]]&gt;$C$6,0,$C$4)))</f>
        <v>100000</v>
      </c>
      <c r="O593" s="2">
        <f>IF(Данные[[#This Row],[weighted_ext_score]]&gt;$O$1,MIN(Данные[[#This Row],[Базовая сумма]]*$O$2,$C$2),IF(Данные[[#This Row],[weighted_ext_score]]&lt;$O$3,Данные[[#This Row],[Базовая сумма]]*$O$4,N593))</f>
        <v>100000</v>
      </c>
      <c r="P5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5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593" s="2">
        <f>ABS(Данные[[#This Row],[days_birth]])/365.2425</f>
        <v>30.549566383977769</v>
      </c>
      <c r="S5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70000</v>
      </c>
      <c r="T593" s="2">
        <f>IF(Данные[[#This Row],[ interest_rate]]&gt;$T$1,Данные[[#This Row],[days_birth4]]*$T$2,Данные[[#This Row],[days_birth4]])</f>
        <v>70000</v>
      </c>
      <c r="U593" s="2">
        <f>IF(Данные[[#This Row],[Проверка отказа]]="отказ",0,MAX(Данные[[#This Row],[interest_rate]],$C$1))</f>
        <v>70000</v>
      </c>
      <c r="V593" s="2">
        <f>MROUND(Данные[[#This Row],[Минимум 20000]], 100)</f>
        <v>70000</v>
      </c>
    </row>
    <row r="594" spans="1:22" x14ac:dyDescent="0.25">
      <c r="A594" s="2">
        <f>'1000_заявлений'!A588</f>
        <v>586</v>
      </c>
      <c r="B594" s="4">
        <f>VALUE(SUBSTITUTE('1000_заявлений'!B588, ".", ","))</f>
        <v>0.66221604602454098</v>
      </c>
      <c r="C594" s="4">
        <f>VALUE(SUBSTITUTE('1000_заявлений'!C588, ".", ","))</f>
        <v>0.30266968942140099</v>
      </c>
      <c r="D594" s="4">
        <f>VALUE(SUBSTITUTE('1000_заявлений'!D588, ".", ","))</f>
        <v>0.19519839999999999</v>
      </c>
      <c r="E594" s="4">
        <f>VALUE(SUBSTITUTE('1000_заявлений'!E588, ".", ","))</f>
        <v>0.50637589999999999</v>
      </c>
      <c r="F594" s="5">
        <f>VALUE(SUBSTITUTE('1000_заявлений'!F588, ".", ","))</f>
        <v>-42</v>
      </c>
      <c r="G594" s="5">
        <f>VALUE(SUBSTITUTE('1000_заявлений'!G588, ".", ","))</f>
        <v>-13700</v>
      </c>
      <c r="H594" s="5">
        <f>VALUE(SUBSTITUTE('1000_заявлений'!H588, ".", ","))</f>
        <v>-4367</v>
      </c>
      <c r="I594" s="4">
        <f>VALUE(SUBSTITUTE('1000_заявлений'!I588, ".", ","))</f>
        <v>0.19848571428571399</v>
      </c>
      <c r="J594" s="4">
        <f>VALUE(SUBSTITUTE('1000_заявлений'!J588, ".", ","))</f>
        <v>7.8744259631260096</v>
      </c>
      <c r="K594" s="5">
        <f>VALUE(SUBSTITUTE('1000_заявлений'!K588, ".", ","))</f>
        <v>-2159</v>
      </c>
      <c r="L594" s="6">
        <f>VALUE(SUBSTITUTE('1000_заявлений'!L588, ".", ","))</f>
        <v>31261.5</v>
      </c>
      <c r="M594" s="2" t="str">
        <f>IF(Данные[[#This Row],[proba]]&gt;$C$6, "отказ", "одобрение")</f>
        <v>отказ</v>
      </c>
      <c r="N594" s="7">
        <f>IF(Данные[[#This Row],[proba]]&lt;$D$2,$C$2,IF(Данные[[#This Row],[proba]]&lt;$D$3,$C$3,IF(Данные[[#This Row],[proba]]&gt;$C$6,0,$C$4)))</f>
        <v>0</v>
      </c>
      <c r="O594" s="2">
        <f>IF(Данные[[#This Row],[weighted_ext_score]]&gt;$O$1,MIN(Данные[[#This Row],[Базовая сумма]]*$O$2,$C$2),IF(Данные[[#This Row],[weighted_ext_score]]&lt;$O$3,Данные[[#This Row],[Базовая сумма]]*$O$4,N594))</f>
        <v>0</v>
      </c>
      <c r="P5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4" s="2">
        <f>ABS(Данные[[#This Row],[days_birth]])/365.2425</f>
        <v>37.509325995742557</v>
      </c>
      <c r="S5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4" s="2">
        <f>IF(Данные[[#This Row],[ interest_rate]]&gt;$T$1,Данные[[#This Row],[days_birth4]]*$T$2,Данные[[#This Row],[days_birth4]])</f>
        <v>0</v>
      </c>
      <c r="U594" s="2">
        <f>IF(Данные[[#This Row],[Проверка отказа]]="отказ",0,MAX(Данные[[#This Row],[interest_rate]],$C$1))</f>
        <v>0</v>
      </c>
      <c r="V594" s="2">
        <f>MROUND(Данные[[#This Row],[Минимум 20000]], 100)</f>
        <v>0</v>
      </c>
    </row>
    <row r="595" spans="1:22" x14ac:dyDescent="0.25">
      <c r="A595" s="2">
        <f>'1000_заявлений'!A589</f>
        <v>587</v>
      </c>
      <c r="B595" s="4">
        <f>VALUE(SUBSTITUTE('1000_заявлений'!B589, ".", ","))</f>
        <v>0.75923022932750295</v>
      </c>
      <c r="C595" s="4">
        <f>VALUE(SUBSTITUTE('1000_заявлений'!C589, ".", ","))</f>
        <v>0.27534198130766302</v>
      </c>
      <c r="D595" s="4">
        <f>VALUE(SUBSTITUTE('1000_заявлений'!D589, ".", ","))</f>
        <v>0.19977057000000001</v>
      </c>
      <c r="E595" s="4">
        <f>VALUE(SUBSTITUTE('1000_заявлений'!E589, ".", ","))</f>
        <v>0.31820008</v>
      </c>
      <c r="F595" s="5">
        <f>VALUE(SUBSTITUTE('1000_заявлений'!F589, ".", ","))</f>
        <v>-1291</v>
      </c>
      <c r="G595" s="5">
        <f>VALUE(SUBSTITUTE('1000_заявлений'!G589, ".", ","))</f>
        <v>-10172</v>
      </c>
      <c r="H595" s="5">
        <f>VALUE(SUBSTITUTE('1000_заявлений'!H589, ".", ","))</f>
        <v>-2860</v>
      </c>
      <c r="I595" s="4">
        <f>VALUE(SUBSTITUTE('1000_заявлений'!I589, ".", ","))</f>
        <v>5.5E-2</v>
      </c>
      <c r="J595" s="4">
        <f>VALUE(SUBSTITUTE('1000_заявлений'!J589, ".", ","))</f>
        <v>3.3372809348847401</v>
      </c>
      <c r="K595" s="5">
        <f>VALUE(SUBSTITUTE('1000_заявлений'!K589, ".", ","))</f>
        <v>-1076</v>
      </c>
      <c r="L595" s="6">
        <f>VALUE(SUBSTITUTE('1000_заявлений'!L589, ".", ","))</f>
        <v>17077.5</v>
      </c>
      <c r="M595" s="2" t="str">
        <f>IF(Данные[[#This Row],[proba]]&gt;$C$6, "отказ", "одобрение")</f>
        <v>отказ</v>
      </c>
      <c r="N595" s="7">
        <f>IF(Данные[[#This Row],[proba]]&lt;$D$2,$C$2,IF(Данные[[#This Row],[proba]]&lt;$D$3,$C$3,IF(Данные[[#This Row],[proba]]&gt;$C$6,0,$C$4)))</f>
        <v>0</v>
      </c>
      <c r="O595" s="2">
        <f>IF(Данные[[#This Row],[weighted_ext_score]]&gt;$O$1,MIN(Данные[[#This Row],[Базовая сумма]]*$O$2,$C$2),IF(Данные[[#This Row],[weighted_ext_score]]&lt;$O$3,Данные[[#This Row],[Базовая сумма]]*$O$4,N595))</f>
        <v>0</v>
      </c>
      <c r="P5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5" s="2">
        <f>ABS(Данные[[#This Row],[days_birth]])/365.2425</f>
        <v>27.849990075087099</v>
      </c>
      <c r="S5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5" s="2">
        <f>IF(Данные[[#This Row],[ interest_rate]]&gt;$T$1,Данные[[#This Row],[days_birth4]]*$T$2,Данные[[#This Row],[days_birth4]])</f>
        <v>0</v>
      </c>
      <c r="U595" s="2">
        <f>IF(Данные[[#This Row],[Проверка отказа]]="отказ",0,MAX(Данные[[#This Row],[interest_rate]],$C$1))</f>
        <v>0</v>
      </c>
      <c r="V595" s="2">
        <f>MROUND(Данные[[#This Row],[Минимум 20000]], 100)</f>
        <v>0</v>
      </c>
    </row>
    <row r="596" spans="1:22" x14ac:dyDescent="0.25">
      <c r="A596" s="2">
        <f>'1000_заявлений'!A590</f>
        <v>588</v>
      </c>
      <c r="B596" s="4">
        <f>VALUE(SUBSTITUTE('1000_заявлений'!B590, ".", ","))</f>
        <v>0.18994046201189199</v>
      </c>
      <c r="C596" s="4">
        <f>VALUE(SUBSTITUTE('1000_заявлений'!C590, ".", ","))</f>
        <v>0.67317221192403698</v>
      </c>
      <c r="D596" s="4">
        <f>VALUE(SUBSTITUTE('1000_заявлений'!D590, ".", ","))</f>
        <v>0.63637613999999998</v>
      </c>
      <c r="E596" s="4">
        <f>VALUE(SUBSTITUTE('1000_заявлений'!E590, ".", ","))</f>
        <v>0.68002145999999997</v>
      </c>
      <c r="F596" s="5">
        <f>VALUE(SUBSTITUTE('1000_заявлений'!F590, ".", ","))</f>
        <v>-10293</v>
      </c>
      <c r="G596" s="5">
        <f>VALUE(SUBSTITUTE('1000_заявлений'!G590, ".", ","))</f>
        <v>-16306</v>
      </c>
      <c r="H596" s="5">
        <f>VALUE(SUBSTITUTE('1000_заявлений'!H590, ".", ","))</f>
        <v>-3966</v>
      </c>
      <c r="I596" s="4">
        <f>VALUE(SUBSTITUTE('1000_заявлений'!I590, ".", ","))</f>
        <v>0.12234545454545399</v>
      </c>
      <c r="J596" s="4">
        <f>VALUE(SUBSTITUTE('1000_заявлений'!J590, ".", ","))</f>
        <v>3.1761818223621199</v>
      </c>
      <c r="K596" s="5">
        <f>VALUE(SUBSTITUTE('1000_заявлений'!K590, ".", ","))</f>
        <v>-4904</v>
      </c>
      <c r="L596" s="6">
        <f>VALUE(SUBSTITUTE('1000_заявлений'!L590, ".", ","))</f>
        <v>30280.5</v>
      </c>
      <c r="M596" s="2" t="str">
        <f>IF(Данные[[#This Row],[proba]]&gt;$C$6, "отказ", "одобрение")</f>
        <v>одобрение</v>
      </c>
      <c r="N596" s="7">
        <f>IF(Данные[[#This Row],[proba]]&lt;$D$2,$C$2,IF(Данные[[#This Row],[proba]]&lt;$D$3,$C$3,IF(Данные[[#This Row],[proba]]&gt;$C$6,0,$C$4)))</f>
        <v>300000</v>
      </c>
      <c r="O596" s="2">
        <f>IF(Данные[[#This Row],[weighted_ext_score]]&gt;$O$1,MIN(Данные[[#This Row],[Базовая сумма]]*$O$2,$C$2),IF(Данные[[#This Row],[weighted_ext_score]]&lt;$O$3,Данные[[#This Row],[Базовая сумма]]*$O$4,N596))</f>
        <v>300000</v>
      </c>
      <c r="P5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596" s="2">
        <f>ABS(Данные[[#This Row],[days_birth]])/365.2425</f>
        <v>44.644311655954603</v>
      </c>
      <c r="S5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596" s="2">
        <f>IF(Данные[[#This Row],[ interest_rate]]&gt;$T$1,Данные[[#This Row],[days_birth4]]*$T$2,Данные[[#This Row],[days_birth4]])</f>
        <v>432000</v>
      </c>
      <c r="U596" s="2">
        <f>IF(Данные[[#This Row],[Проверка отказа]]="отказ",0,MAX(Данные[[#This Row],[interest_rate]],$C$1))</f>
        <v>432000</v>
      </c>
      <c r="V596" s="2">
        <f>MROUND(Данные[[#This Row],[Минимум 20000]], 100)</f>
        <v>432000</v>
      </c>
    </row>
    <row r="597" spans="1:22" x14ac:dyDescent="0.25">
      <c r="A597" s="2">
        <f>'1000_заявлений'!A591</f>
        <v>589</v>
      </c>
      <c r="B597" s="4">
        <f>VALUE(SUBSTITUTE('1000_заявлений'!B591, ".", ","))</f>
        <v>0.18397410952903101</v>
      </c>
      <c r="C597" s="4">
        <f>VALUE(SUBSTITUTE('1000_заявлений'!C591, ".", ","))</f>
        <v>0.67969325990098195</v>
      </c>
      <c r="D597" s="4">
        <f>VALUE(SUBSTITUTE('1000_заявлений'!D591, ".", ","))</f>
        <v>0.70018387000000004</v>
      </c>
      <c r="E597" s="4">
        <f>VALUE(SUBSTITUTE('1000_заявлений'!E591, ".", ","))</f>
        <v>0.58762959999999997</v>
      </c>
      <c r="F597" s="5">
        <f>VALUE(SUBSTITUTE('1000_заявлений'!F591, ".", ","))</f>
        <v>-1636</v>
      </c>
      <c r="G597" s="5">
        <f>VALUE(SUBSTITUTE('1000_заявлений'!G591, ".", ","))</f>
        <v>-16380</v>
      </c>
      <c r="H597" s="5">
        <f>VALUE(SUBSTITUTE('1000_заявлений'!H591, ".", ","))</f>
        <v>-4216</v>
      </c>
      <c r="I597" s="4">
        <f>VALUE(SUBSTITUTE('1000_заявлений'!I591, ".", ","))</f>
        <v>3.3906976744186003E-2</v>
      </c>
      <c r="J597" s="4">
        <f>VALUE(SUBSTITUTE('1000_заявлений'!J591, ".", ","))</f>
        <v>6.3733002797703797</v>
      </c>
      <c r="K597" s="5">
        <f>VALUE(SUBSTITUTE('1000_заявлений'!K591, ".", ","))</f>
        <v>-1993</v>
      </c>
      <c r="L597" s="6">
        <f>VALUE(SUBSTITUTE('1000_заявлений'!L591, ".", ","))</f>
        <v>6561</v>
      </c>
      <c r="M597" s="2" t="str">
        <f>IF(Данные[[#This Row],[proba]]&gt;$C$6, "отказ", "одобрение")</f>
        <v>одобрение</v>
      </c>
      <c r="N597" s="7">
        <f>IF(Данные[[#This Row],[proba]]&lt;$D$2,$C$2,IF(Данные[[#This Row],[proba]]&lt;$D$3,$C$3,IF(Данные[[#This Row],[proba]]&gt;$C$6,0,$C$4)))</f>
        <v>300000</v>
      </c>
      <c r="O597" s="2">
        <f>IF(Данные[[#This Row],[weighted_ext_score]]&gt;$O$1,MIN(Данные[[#This Row],[Базовая сумма]]*$O$2,$C$2),IF(Данные[[#This Row],[weighted_ext_score]]&lt;$O$3,Данные[[#This Row],[Базовая сумма]]*$O$4,N597))</f>
        <v>300000</v>
      </c>
      <c r="P5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5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597" s="2">
        <f>ABS(Данные[[#This Row],[days_birth]])/365.2425</f>
        <v>44.846916774471751</v>
      </c>
      <c r="S5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597" s="2">
        <f>IF(Данные[[#This Row],[ interest_rate]]&gt;$T$1,Данные[[#This Row],[days_birth4]]*$T$2,Данные[[#This Row],[days_birth4]])</f>
        <v>251999.99999999997</v>
      </c>
      <c r="U597" s="2">
        <f>IF(Данные[[#This Row],[Проверка отказа]]="отказ",0,MAX(Данные[[#This Row],[interest_rate]],$C$1))</f>
        <v>251999.99999999997</v>
      </c>
      <c r="V597" s="2">
        <f>MROUND(Данные[[#This Row],[Минимум 20000]], 100)</f>
        <v>252000</v>
      </c>
    </row>
    <row r="598" spans="1:22" x14ac:dyDescent="0.25">
      <c r="A598" s="2">
        <f>'1000_заявлений'!A592</f>
        <v>590</v>
      </c>
      <c r="B598" s="4">
        <f>VALUE(SUBSTITUTE('1000_заявлений'!B592, ".", ","))</f>
        <v>0.41760772008177699</v>
      </c>
      <c r="C598" s="4">
        <f>VALUE(SUBSTITUTE('1000_заявлений'!C592, ".", ","))</f>
        <v>0.373149815942454</v>
      </c>
      <c r="D598" s="4">
        <f>VALUE(SUBSTITUTE('1000_заявлений'!D592, ".", ","))</f>
        <v>0.56383499999999998</v>
      </c>
      <c r="E598" s="4">
        <f>VALUE(SUBSTITUTE('1000_заявлений'!E592, ".", ","))</f>
        <v>0.52170819999999996</v>
      </c>
      <c r="F598" s="5">
        <f>VALUE(SUBSTITUTE('1000_заявлений'!F592, ".", ","))</f>
        <v>-5194</v>
      </c>
      <c r="G598" s="5">
        <f>VALUE(SUBSTITUTE('1000_заявлений'!G592, ".", ","))</f>
        <v>-16370</v>
      </c>
      <c r="H598" s="5">
        <f>VALUE(SUBSTITUTE('1000_заявлений'!H592, ".", ","))</f>
        <v>-4221</v>
      </c>
      <c r="I598" s="4">
        <f>VALUE(SUBSTITUTE('1000_заявлений'!I592, ".", ","))</f>
        <v>0.132075</v>
      </c>
      <c r="J598" s="4">
        <f>VALUE(SUBSTITUTE('1000_заявлений'!J592, ".", ","))</f>
        <v>1.9305916734964901</v>
      </c>
      <c r="K598" s="5">
        <f>VALUE(SUBSTITUTE('1000_заявлений'!K592, ".", ","))</f>
        <v>-964</v>
      </c>
      <c r="L598" s="6">
        <f>VALUE(SUBSTITUTE('1000_заявлений'!L592, ".", ","))</f>
        <v>23773.5</v>
      </c>
      <c r="M598" s="2" t="str">
        <f>IF(Данные[[#This Row],[proba]]&gt;$C$6, "отказ", "одобрение")</f>
        <v>отказ</v>
      </c>
      <c r="N598" s="7">
        <f>IF(Данные[[#This Row],[proba]]&lt;$D$2,$C$2,IF(Данные[[#This Row],[proba]]&lt;$D$3,$C$3,IF(Данные[[#This Row],[proba]]&gt;$C$6,0,$C$4)))</f>
        <v>0</v>
      </c>
      <c r="O598" s="2">
        <f>IF(Данные[[#This Row],[weighted_ext_score]]&gt;$O$1,MIN(Данные[[#This Row],[Базовая сумма]]*$O$2,$C$2),IF(Данные[[#This Row],[weighted_ext_score]]&lt;$O$3,Данные[[#This Row],[Базовая сумма]]*$O$4,N598))</f>
        <v>0</v>
      </c>
      <c r="P5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8" s="2">
        <f>ABS(Данные[[#This Row],[days_birth]])/365.2425</f>
        <v>44.819537704401867</v>
      </c>
      <c r="S5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8" s="2">
        <f>IF(Данные[[#This Row],[ interest_rate]]&gt;$T$1,Данные[[#This Row],[days_birth4]]*$T$2,Данные[[#This Row],[days_birth4]])</f>
        <v>0</v>
      </c>
      <c r="U598" s="2">
        <f>IF(Данные[[#This Row],[Проверка отказа]]="отказ",0,MAX(Данные[[#This Row],[interest_rate]],$C$1))</f>
        <v>0</v>
      </c>
      <c r="V598" s="2">
        <f>MROUND(Данные[[#This Row],[Минимум 20000]], 100)</f>
        <v>0</v>
      </c>
    </row>
    <row r="599" spans="1:22" x14ac:dyDescent="0.25">
      <c r="A599" s="2">
        <f>'1000_заявлений'!A593</f>
        <v>591</v>
      </c>
      <c r="B599" s="4">
        <f>VALUE(SUBSTITUTE('1000_заявлений'!B593, ".", ","))</f>
        <v>0.50149036570180905</v>
      </c>
      <c r="C599" s="4">
        <f>VALUE(SUBSTITUTE('1000_заявлений'!C593, ".", ","))</f>
        <v>0.42489469905864402</v>
      </c>
      <c r="D599" s="4">
        <f>VALUE(SUBSTITUTE('1000_заявлений'!D593, ".", ","))</f>
        <v>0.47405130000000001</v>
      </c>
      <c r="E599" s="4">
        <f>VALUE(SUBSTITUTE('1000_заявлений'!E593, ".", ","))</f>
        <v>0.50880265000000002</v>
      </c>
      <c r="F599" s="5">
        <f>VALUE(SUBSTITUTE('1000_заявлений'!F593, ".", ","))</f>
        <v>0</v>
      </c>
      <c r="G599" s="5">
        <f>VALUE(SUBSTITUTE('1000_заявлений'!G593, ".", ","))</f>
        <v>-14994</v>
      </c>
      <c r="H599" s="5">
        <f>VALUE(SUBSTITUTE('1000_заявлений'!H593, ".", ","))</f>
        <v>-3837</v>
      </c>
      <c r="I599" s="4">
        <f>VALUE(SUBSTITUTE('1000_заявлений'!I593, ".", ","))</f>
        <v>0.26462857142857099</v>
      </c>
      <c r="J599" s="4">
        <f>VALUE(SUBSTITUTE('1000_заявлений'!J593, ".", ","))</f>
        <v>0.343847213770964</v>
      </c>
      <c r="K599" s="5">
        <f>VALUE(SUBSTITUTE('1000_заявлений'!K593, ".", ","))</f>
        <v>-2661</v>
      </c>
      <c r="L599" s="6">
        <f>VALUE(SUBSTITUTE('1000_заявлений'!L593, ".", ","))</f>
        <v>41679</v>
      </c>
      <c r="M599" s="2" t="str">
        <f>IF(Данные[[#This Row],[proba]]&gt;$C$6, "отказ", "одобрение")</f>
        <v>отказ</v>
      </c>
      <c r="N599" s="7">
        <f>IF(Данные[[#This Row],[proba]]&lt;$D$2,$C$2,IF(Данные[[#This Row],[proba]]&lt;$D$3,$C$3,IF(Данные[[#This Row],[proba]]&gt;$C$6,0,$C$4)))</f>
        <v>0</v>
      </c>
      <c r="O599" s="2">
        <f>IF(Данные[[#This Row],[weighted_ext_score]]&gt;$O$1,MIN(Данные[[#This Row],[Базовая сумма]]*$O$2,$C$2),IF(Данные[[#This Row],[weighted_ext_score]]&lt;$O$3,Данные[[#This Row],[Базовая сумма]]*$O$4,N599))</f>
        <v>0</v>
      </c>
      <c r="P5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5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599" s="2">
        <f>ABS(Данные[[#This Row],[days_birth]])/365.2425</f>
        <v>41.052177662785681</v>
      </c>
      <c r="S5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599" s="2">
        <f>IF(Данные[[#This Row],[ interest_rate]]&gt;$T$1,Данные[[#This Row],[days_birth4]]*$T$2,Данные[[#This Row],[days_birth4]])</f>
        <v>0</v>
      </c>
      <c r="U599" s="2">
        <f>IF(Данные[[#This Row],[Проверка отказа]]="отказ",0,MAX(Данные[[#This Row],[interest_rate]],$C$1))</f>
        <v>0</v>
      </c>
      <c r="V599" s="2">
        <f>MROUND(Данные[[#This Row],[Минимум 20000]], 100)</f>
        <v>0</v>
      </c>
    </row>
    <row r="600" spans="1:22" x14ac:dyDescent="0.25">
      <c r="A600" s="2">
        <f>'1000_заявлений'!A594</f>
        <v>592</v>
      </c>
      <c r="B600" s="4">
        <f>VALUE(SUBSTITUTE('1000_заявлений'!B594, ".", ","))</f>
        <v>0.32634940326709999</v>
      </c>
      <c r="C600" s="4">
        <f>VALUE(SUBSTITUTE('1000_заявлений'!C594, ".", ","))</f>
        <v>0.59553910895592299</v>
      </c>
      <c r="D600" s="4">
        <f>VALUE(SUBSTITUTE('1000_заявлений'!D594, ".", ","))</f>
        <v>0.49927201999999998</v>
      </c>
      <c r="E600" s="4">
        <f>VALUE(SUBSTITUTE('1000_заявлений'!E594, ".", ","))</f>
        <v>0.62811289999999997</v>
      </c>
      <c r="F600" s="5">
        <f>VALUE(SUBSTITUTE('1000_заявлений'!F594, ".", ","))</f>
        <v>-8819</v>
      </c>
      <c r="G600" s="5">
        <f>VALUE(SUBSTITUTE('1000_заявлений'!G594, ".", ","))</f>
        <v>-16542</v>
      </c>
      <c r="H600" s="5">
        <f>VALUE(SUBSTITUTE('1000_заявлений'!H594, ".", ","))</f>
        <v>-69</v>
      </c>
      <c r="I600" s="4">
        <f>VALUE(SUBSTITUTE('1000_заявлений'!I594, ".", ","))</f>
        <v>0.17348333333333299</v>
      </c>
      <c r="J600" s="4">
        <f>VALUE(SUBSTITUTE('1000_заявлений'!J594, ".", ","))</f>
        <v>1.89206635055718</v>
      </c>
      <c r="K600" s="5">
        <f>VALUE(SUBSTITUTE('1000_заявлений'!K594, ".", ","))</f>
        <v>-2588</v>
      </c>
      <c r="L600" s="6">
        <f>VALUE(SUBSTITUTE('1000_заявлений'!L594, ".", ","))</f>
        <v>46840.5</v>
      </c>
      <c r="M600" s="2" t="str">
        <f>IF(Данные[[#This Row],[proba]]&gt;$C$6, "отказ", "одобрение")</f>
        <v>отказ</v>
      </c>
      <c r="N600" s="7">
        <f>IF(Данные[[#This Row],[proba]]&lt;$D$2,$C$2,IF(Данные[[#This Row],[proba]]&lt;$D$3,$C$3,IF(Данные[[#This Row],[proba]]&gt;$C$6,0,$C$4)))</f>
        <v>0</v>
      </c>
      <c r="O600" s="2">
        <f>IF(Данные[[#This Row],[weighted_ext_score]]&gt;$O$1,MIN(Данные[[#This Row],[Базовая сумма]]*$O$2,$C$2),IF(Данные[[#This Row],[weighted_ext_score]]&lt;$O$3,Данные[[#This Row],[Базовая сумма]]*$O$4,N600))</f>
        <v>0</v>
      </c>
      <c r="P6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0" s="2">
        <f>ABS(Данные[[#This Row],[days_birth]])/365.2425</f>
        <v>45.290457709603892</v>
      </c>
      <c r="S6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0" s="2">
        <f>IF(Данные[[#This Row],[ interest_rate]]&gt;$T$1,Данные[[#This Row],[days_birth4]]*$T$2,Данные[[#This Row],[days_birth4]])</f>
        <v>0</v>
      </c>
      <c r="U600" s="2">
        <f>IF(Данные[[#This Row],[Проверка отказа]]="отказ",0,MAX(Данные[[#This Row],[interest_rate]],$C$1))</f>
        <v>0</v>
      </c>
      <c r="V600" s="2">
        <f>MROUND(Данные[[#This Row],[Минимум 20000]], 100)</f>
        <v>0</v>
      </c>
    </row>
    <row r="601" spans="1:22" x14ac:dyDescent="0.25">
      <c r="A601" s="2">
        <f>'1000_заявлений'!A595</f>
        <v>593</v>
      </c>
      <c r="B601" s="4">
        <f>VALUE(SUBSTITUTE('1000_заявлений'!B595, ".", ","))</f>
        <v>0.35033242476795501</v>
      </c>
      <c r="C601" s="4">
        <f>VALUE(SUBSTITUTE('1000_заявлений'!C595, ".", ","))</f>
        <v>0.37463632921789403</v>
      </c>
      <c r="D601" s="4">
        <f>VALUE(SUBSTITUTE('1000_заявлений'!D595, ".", ","))</f>
        <v>0.40835884</v>
      </c>
      <c r="E601" s="4">
        <f>VALUE(SUBSTITUTE('1000_заявлений'!E595, ".", ","))</f>
        <v>0.69963980000000003</v>
      </c>
      <c r="F601" s="5">
        <f>VALUE(SUBSTITUTE('1000_заявлений'!F595, ".", ","))</f>
        <v>-2908</v>
      </c>
      <c r="G601" s="5">
        <f>VALUE(SUBSTITUTE('1000_заявлений'!G595, ".", ","))</f>
        <v>-18640</v>
      </c>
      <c r="H601" s="5">
        <f>VALUE(SUBSTITUTE('1000_заявлений'!H595, ".", ","))</f>
        <v>-2137</v>
      </c>
      <c r="I601" s="4">
        <f>VALUE(SUBSTITUTE('1000_заявлений'!I595, ".", ","))</f>
        <v>8.6537500000000003E-2</v>
      </c>
      <c r="J601" s="4">
        <f>VALUE(SUBSTITUTE('1000_заявлений'!J595, ".", ","))</f>
        <v>5.9524485475499702</v>
      </c>
      <c r="K601" s="5">
        <f>VALUE(SUBSTITUTE('1000_заявлений'!K595, ".", ","))</f>
        <v>365243</v>
      </c>
      <c r="L601" s="6">
        <f>VALUE(SUBSTITUTE('1000_заявлений'!L595, ".", ","))</f>
        <v>31153.5</v>
      </c>
      <c r="M601" s="2" t="str">
        <f>IF(Данные[[#This Row],[proba]]&gt;$C$6, "отказ", "одобрение")</f>
        <v>отказ</v>
      </c>
      <c r="N601" s="7">
        <f>IF(Данные[[#This Row],[proba]]&lt;$D$2,$C$2,IF(Данные[[#This Row],[proba]]&lt;$D$3,$C$3,IF(Данные[[#This Row],[proba]]&gt;$C$6,0,$C$4)))</f>
        <v>0</v>
      </c>
      <c r="O601" s="2">
        <f>IF(Данные[[#This Row],[weighted_ext_score]]&gt;$O$1,MIN(Данные[[#This Row],[Базовая сумма]]*$O$2,$C$2),IF(Данные[[#This Row],[weighted_ext_score]]&lt;$O$3,Данные[[#This Row],[Базовая сумма]]*$O$4,N601))</f>
        <v>0</v>
      </c>
      <c r="P6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1" s="2">
        <f>ABS(Данные[[#This Row],[days_birth]])/365.2425</f>
        <v>51.034586610265784</v>
      </c>
      <c r="S6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1" s="2">
        <f>IF(Данные[[#This Row],[ interest_rate]]&gt;$T$1,Данные[[#This Row],[days_birth4]]*$T$2,Данные[[#This Row],[days_birth4]])</f>
        <v>0</v>
      </c>
      <c r="U601" s="2">
        <f>IF(Данные[[#This Row],[Проверка отказа]]="отказ",0,MAX(Данные[[#This Row],[interest_rate]],$C$1))</f>
        <v>0</v>
      </c>
      <c r="V601" s="2">
        <f>MROUND(Данные[[#This Row],[Минимум 20000]], 100)</f>
        <v>0</v>
      </c>
    </row>
    <row r="602" spans="1:22" x14ac:dyDescent="0.25">
      <c r="A602" s="2">
        <f>'1000_заявлений'!A596</f>
        <v>594</v>
      </c>
      <c r="B602" s="4">
        <f>VALUE(SUBSTITUTE('1000_заявлений'!B596, ".", ","))</f>
        <v>0.55738436655128698</v>
      </c>
      <c r="C602" s="4">
        <f>VALUE(SUBSTITUTE('1000_заявлений'!C596, ".", ","))</f>
        <v>0.40354115004879598</v>
      </c>
      <c r="D602" s="4">
        <f>VALUE(SUBSTITUTE('1000_заявлений'!D596, ".", ","))</f>
        <v>0.17249547000000001</v>
      </c>
      <c r="E602" s="4">
        <f>VALUE(SUBSTITUTE('1000_заявлений'!E596, ".", ","))</f>
        <v>0.63986933000000001</v>
      </c>
      <c r="F602" s="5">
        <f>VALUE(SUBSTITUTE('1000_заявлений'!F596, ".", ","))</f>
        <v>-4539</v>
      </c>
      <c r="G602" s="5">
        <f>VALUE(SUBSTITUTE('1000_заявлений'!G596, ".", ","))</f>
        <v>-13804</v>
      </c>
      <c r="H602" s="5">
        <f>VALUE(SUBSTITUTE('1000_заявлений'!H596, ".", ","))</f>
        <v>-4823</v>
      </c>
      <c r="I602" s="4">
        <f>VALUE(SUBSTITUTE('1000_заявлений'!I596, ".", ","))</f>
        <v>9.5781818181818107E-2</v>
      </c>
      <c r="J602" s="4">
        <f>VALUE(SUBSTITUTE('1000_заявлений'!J596, ".", ","))</f>
        <v>4.0733273865988604</v>
      </c>
      <c r="K602" s="5">
        <f>VALUE(SUBSTITUTE('1000_заявлений'!K596, ".", ","))</f>
        <v>-191</v>
      </c>
      <c r="L602" s="6">
        <f>VALUE(SUBSTITUTE('1000_заявлений'!L596, ".", ","))</f>
        <v>23706</v>
      </c>
      <c r="M602" s="2" t="str">
        <f>IF(Данные[[#This Row],[proba]]&gt;$C$6, "отказ", "одобрение")</f>
        <v>отказ</v>
      </c>
      <c r="N602" s="7">
        <f>IF(Данные[[#This Row],[proba]]&lt;$D$2,$C$2,IF(Данные[[#This Row],[proba]]&lt;$D$3,$C$3,IF(Данные[[#This Row],[proba]]&gt;$C$6,0,$C$4)))</f>
        <v>0</v>
      </c>
      <c r="O602" s="2">
        <f>IF(Данные[[#This Row],[weighted_ext_score]]&gt;$O$1,MIN(Данные[[#This Row],[Базовая сумма]]*$O$2,$C$2),IF(Данные[[#This Row],[weighted_ext_score]]&lt;$O$3,Данные[[#This Row],[Базовая сумма]]*$O$4,N602))</f>
        <v>0</v>
      </c>
      <c r="P6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2" s="2">
        <f>ABS(Данные[[#This Row],[days_birth]])/365.2425</f>
        <v>37.794068324469357</v>
      </c>
      <c r="S6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2" s="2">
        <f>IF(Данные[[#This Row],[ interest_rate]]&gt;$T$1,Данные[[#This Row],[days_birth4]]*$T$2,Данные[[#This Row],[days_birth4]])</f>
        <v>0</v>
      </c>
      <c r="U602" s="2">
        <f>IF(Данные[[#This Row],[Проверка отказа]]="отказ",0,MAX(Данные[[#This Row],[interest_rate]],$C$1))</f>
        <v>0</v>
      </c>
      <c r="V602" s="2">
        <f>MROUND(Данные[[#This Row],[Минимум 20000]], 100)</f>
        <v>0</v>
      </c>
    </row>
    <row r="603" spans="1:22" x14ac:dyDescent="0.25">
      <c r="A603" s="2">
        <f>'1000_заявлений'!A597</f>
        <v>595</v>
      </c>
      <c r="B603" s="4">
        <f>VALUE(SUBSTITUTE('1000_заявлений'!B597, ".", ","))</f>
        <v>0.48554215742880602</v>
      </c>
      <c r="C603" s="4">
        <f>VALUE(SUBSTITUTE('1000_заявлений'!C597, ".", ","))</f>
        <v>0.44977042246423599</v>
      </c>
      <c r="D603" s="4">
        <f>VALUE(SUBSTITUTE('1000_заявлений'!D597, ".", ","))</f>
        <v>0.34090643999999998</v>
      </c>
      <c r="E603" s="4">
        <f>VALUE(SUBSTITUTE('1000_заявлений'!E597, ".", ","))</f>
        <v>0.34339229999999998</v>
      </c>
      <c r="F603" s="5">
        <f>VALUE(SUBSTITUTE('1000_заявлений'!F597, ".", ","))</f>
        <v>-14519</v>
      </c>
      <c r="G603" s="5">
        <f>VALUE(SUBSTITUTE('1000_заявлений'!G597, ".", ","))</f>
        <v>-23986</v>
      </c>
      <c r="H603" s="5">
        <f>VALUE(SUBSTITUTE('1000_заявлений'!H597, ".", ","))</f>
        <v>-4072</v>
      </c>
      <c r="I603" s="4">
        <f>VALUE(SUBSTITUTE('1000_заявлений'!I597, ".", ","))</f>
        <v>0.26803333333333301</v>
      </c>
      <c r="J603" s="4">
        <f>VALUE(SUBSTITUTE('1000_заявлений'!J597, ".", ","))</f>
        <v>2.9382994718097399</v>
      </c>
      <c r="K603" s="5">
        <f>VALUE(SUBSTITUTE('1000_заявлений'!K597, ".", ","))</f>
        <v>365243</v>
      </c>
      <c r="L603" s="6">
        <f>VALUE(SUBSTITUTE('1000_заявлений'!L597, ".", ","))</f>
        <v>36184.5</v>
      </c>
      <c r="M603" s="2" t="str">
        <f>IF(Данные[[#This Row],[proba]]&gt;$C$6, "отказ", "одобрение")</f>
        <v>отказ</v>
      </c>
      <c r="N603" s="7">
        <f>IF(Данные[[#This Row],[proba]]&lt;$D$2,$C$2,IF(Данные[[#This Row],[proba]]&lt;$D$3,$C$3,IF(Данные[[#This Row],[proba]]&gt;$C$6,0,$C$4)))</f>
        <v>0</v>
      </c>
      <c r="O603" s="2">
        <f>IF(Данные[[#This Row],[weighted_ext_score]]&gt;$O$1,MIN(Данные[[#This Row],[Базовая сумма]]*$O$2,$C$2),IF(Данные[[#This Row],[weighted_ext_score]]&lt;$O$3,Данные[[#This Row],[Базовая сумма]]*$O$4,N603))</f>
        <v>0</v>
      </c>
      <c r="P6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3" s="2">
        <f>ABS(Данные[[#This Row],[days_birth]])/365.2425</f>
        <v>65.671437469626341</v>
      </c>
      <c r="S6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3" s="2">
        <f>IF(Данные[[#This Row],[ interest_rate]]&gt;$T$1,Данные[[#This Row],[days_birth4]]*$T$2,Данные[[#This Row],[days_birth4]])</f>
        <v>0</v>
      </c>
      <c r="U603" s="2">
        <f>IF(Данные[[#This Row],[Проверка отказа]]="отказ",0,MAX(Данные[[#This Row],[interest_rate]],$C$1))</f>
        <v>0</v>
      </c>
      <c r="V603" s="2">
        <f>MROUND(Данные[[#This Row],[Минимум 20000]], 100)</f>
        <v>0</v>
      </c>
    </row>
    <row r="604" spans="1:22" x14ac:dyDescent="0.25">
      <c r="A604" s="2">
        <f>'1000_заявлений'!A598</f>
        <v>596</v>
      </c>
      <c r="B604" s="4">
        <f>VALUE(SUBSTITUTE('1000_заявлений'!B598, ".", ","))</f>
        <v>0.147402536903708</v>
      </c>
      <c r="C604" s="4">
        <f>VALUE(SUBSTITUTE('1000_заявлений'!C598, ".", ","))</f>
        <v>0.69837257364810801</v>
      </c>
      <c r="D604" s="4">
        <f>VALUE(SUBSTITUTE('1000_заявлений'!D598, ".", ","))</f>
        <v>0.61952770000000001</v>
      </c>
      <c r="E604" s="4">
        <f>VALUE(SUBSTITUTE('1000_заявлений'!E598, ".", ","))</f>
        <v>0.68469005999999999</v>
      </c>
      <c r="F604" s="5">
        <f>VALUE(SUBSTITUTE('1000_заявлений'!F598, ".", ","))</f>
        <v>-9413</v>
      </c>
      <c r="G604" s="5">
        <f>VALUE(SUBSTITUTE('1000_заявлений'!G598, ".", ","))</f>
        <v>-23158</v>
      </c>
      <c r="H604" s="5">
        <f>VALUE(SUBSTITUTE('1000_заявлений'!H598, ".", ","))</f>
        <v>-4312</v>
      </c>
      <c r="I604" s="4">
        <f>VALUE(SUBSTITUTE('1000_заявлений'!I598, ".", ","))</f>
        <v>0.17633333333333301</v>
      </c>
      <c r="J604" s="4">
        <f>VALUE(SUBSTITUTE('1000_заявлений'!J598, ".", ","))</f>
        <v>3.3940806885698498</v>
      </c>
      <c r="K604" s="5">
        <f>VALUE(SUBSTITUTE('1000_заявлений'!K598, ".", ","))</f>
        <v>365243</v>
      </c>
      <c r="L604" s="6">
        <f>VALUE(SUBSTITUTE('1000_заявлений'!L598, ".", ","))</f>
        <v>19044</v>
      </c>
      <c r="M604" s="2" t="str">
        <f>IF(Данные[[#This Row],[proba]]&gt;$C$6, "отказ", "одобрение")</f>
        <v>одобрение</v>
      </c>
      <c r="N604" s="7">
        <f>IF(Данные[[#This Row],[proba]]&lt;$D$2,$C$2,IF(Данные[[#This Row],[proba]]&lt;$D$3,$C$3,IF(Данные[[#This Row],[proba]]&gt;$C$6,0,$C$4)))</f>
        <v>300000</v>
      </c>
      <c r="O604" s="2">
        <f>IF(Данные[[#This Row],[weighted_ext_score]]&gt;$O$1,MIN(Данные[[#This Row],[Базовая сумма]]*$O$2,$C$2),IF(Данные[[#This Row],[weighted_ext_score]]&lt;$O$3,Данные[[#This Row],[Базовая сумма]]*$O$4,N604))</f>
        <v>300000</v>
      </c>
      <c r="P6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04" s="2">
        <f>ABS(Данные[[#This Row],[days_birth]])/365.2425</f>
        <v>63.404450467839858</v>
      </c>
      <c r="S6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04" s="2">
        <f>IF(Данные[[#This Row],[ interest_rate]]&gt;$T$1,Данные[[#This Row],[days_birth4]]*$T$2,Данные[[#This Row],[days_birth4]])</f>
        <v>378000</v>
      </c>
      <c r="U604" s="2">
        <f>IF(Данные[[#This Row],[Проверка отказа]]="отказ",0,MAX(Данные[[#This Row],[interest_rate]],$C$1))</f>
        <v>378000</v>
      </c>
      <c r="V604" s="2">
        <f>MROUND(Данные[[#This Row],[Минимум 20000]], 100)</f>
        <v>378000</v>
      </c>
    </row>
    <row r="605" spans="1:22" x14ac:dyDescent="0.25">
      <c r="A605" s="2">
        <f>'1000_заявлений'!A599</f>
        <v>597</v>
      </c>
      <c r="B605" s="4">
        <f>VALUE(SUBSTITUTE('1000_заявлений'!B599, ".", ","))</f>
        <v>0.48596254519403997</v>
      </c>
      <c r="C605" s="4">
        <f>VALUE(SUBSTITUTE('1000_заявлений'!C599, ".", ","))</f>
        <v>0.29909098716215698</v>
      </c>
      <c r="D605" s="4">
        <f>VALUE(SUBSTITUTE('1000_заявлений'!D599, ".", ","))</f>
        <v>0.36729099999999998</v>
      </c>
      <c r="E605" s="4">
        <f>VALUE(SUBSTITUTE('1000_заявлений'!E599, ".", ","))</f>
        <v>0.51253486000000004</v>
      </c>
      <c r="F605" s="5">
        <f>VALUE(SUBSTITUTE('1000_заявлений'!F599, ".", ","))</f>
        <v>-4110</v>
      </c>
      <c r="G605" s="5">
        <f>VALUE(SUBSTITUTE('1000_заявлений'!G599, ".", ","))</f>
        <v>-21430</v>
      </c>
      <c r="H605" s="5">
        <f>VALUE(SUBSTITUTE('1000_заявлений'!H599, ".", ","))</f>
        <v>-4573</v>
      </c>
      <c r="I605" s="4">
        <f>VALUE(SUBSTITUTE('1000_заявлений'!I599, ".", ","))</f>
        <v>8.1955555555555504E-2</v>
      </c>
      <c r="J605" s="4">
        <f>VALUE(SUBSTITUTE('1000_заявлений'!J599, ".", ","))</f>
        <v>0.123460316453583</v>
      </c>
      <c r="K605" s="5">
        <f>VALUE(SUBSTITUTE('1000_заявлений'!K599, ".", ","))</f>
        <v>365243</v>
      </c>
      <c r="L605" s="6">
        <f>VALUE(SUBSTITUTE('1000_заявлений'!L599, ".", ","))</f>
        <v>16596</v>
      </c>
      <c r="M605" s="2" t="str">
        <f>IF(Данные[[#This Row],[proba]]&gt;$C$6, "отказ", "одобрение")</f>
        <v>отказ</v>
      </c>
      <c r="N605" s="7">
        <f>IF(Данные[[#This Row],[proba]]&lt;$D$2,$C$2,IF(Данные[[#This Row],[proba]]&lt;$D$3,$C$3,IF(Данные[[#This Row],[proba]]&gt;$C$6,0,$C$4)))</f>
        <v>0</v>
      </c>
      <c r="O605" s="2">
        <f>IF(Данные[[#This Row],[weighted_ext_score]]&gt;$O$1,MIN(Данные[[#This Row],[Базовая сумма]]*$O$2,$C$2),IF(Данные[[#This Row],[weighted_ext_score]]&lt;$O$3,Данные[[#This Row],[Базовая сумма]]*$O$4,N605))</f>
        <v>0</v>
      </c>
      <c r="P6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5" s="2">
        <f>ABS(Данные[[#This Row],[days_birth]])/365.2425</f>
        <v>58.673347159763715</v>
      </c>
      <c r="S6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5" s="2">
        <f>IF(Данные[[#This Row],[ interest_rate]]&gt;$T$1,Данные[[#This Row],[days_birth4]]*$T$2,Данные[[#This Row],[days_birth4]])</f>
        <v>0</v>
      </c>
      <c r="U605" s="2">
        <f>IF(Данные[[#This Row],[Проверка отказа]]="отказ",0,MAX(Данные[[#This Row],[interest_rate]],$C$1))</f>
        <v>0</v>
      </c>
      <c r="V605" s="2">
        <f>MROUND(Данные[[#This Row],[Минимум 20000]], 100)</f>
        <v>0</v>
      </c>
    </row>
    <row r="606" spans="1:22" x14ac:dyDescent="0.25">
      <c r="A606" s="2">
        <f>'1000_заявлений'!A600</f>
        <v>598</v>
      </c>
      <c r="B606" s="4">
        <f>VALUE(SUBSTITUTE('1000_заявлений'!B600, ".", ","))</f>
        <v>0.35261785543048602</v>
      </c>
      <c r="C606" s="4">
        <f>VALUE(SUBSTITUTE('1000_заявлений'!C600, ".", ","))</f>
        <v>0.56848512128940998</v>
      </c>
      <c r="D606" s="4">
        <f>VALUE(SUBSTITUTE('1000_заявлений'!D600, ".", ","))</f>
        <v>0.62630427</v>
      </c>
      <c r="E606" s="4">
        <f>VALUE(SUBSTITUTE('1000_заявлений'!E600, ".", ","))</f>
        <v>0.31436035000000001</v>
      </c>
      <c r="F606" s="5">
        <f>VALUE(SUBSTITUTE('1000_заявлений'!F600, ".", ","))</f>
        <v>-4126</v>
      </c>
      <c r="G606" s="5">
        <f>VALUE(SUBSTITUTE('1000_заявлений'!G600, ".", ","))</f>
        <v>-15116</v>
      </c>
      <c r="H606" s="5">
        <f>VALUE(SUBSTITUTE('1000_заявлений'!H600, ".", ","))</f>
        <v>-4542</v>
      </c>
      <c r="I606" s="4">
        <f>VALUE(SUBSTITUTE('1000_заявлений'!I600, ".", ","))</f>
        <v>6.3500000000000001E-2</v>
      </c>
      <c r="J606" s="4">
        <f>VALUE(SUBSTITUTE('1000_заявлений'!J600, ".", ","))</f>
        <v>5.6228851265796003</v>
      </c>
      <c r="K606" s="5">
        <f>VALUE(SUBSTITUTE('1000_заявлений'!K600, ".", ","))</f>
        <v>-2134</v>
      </c>
      <c r="L606" s="6">
        <f>VALUE(SUBSTITUTE('1000_заявлений'!L600, ".", ","))</f>
        <v>11430</v>
      </c>
      <c r="M606" s="2" t="str">
        <f>IF(Данные[[#This Row],[proba]]&gt;$C$6, "отказ", "одобрение")</f>
        <v>отказ</v>
      </c>
      <c r="N606" s="7">
        <f>IF(Данные[[#This Row],[proba]]&lt;$D$2,$C$2,IF(Данные[[#This Row],[proba]]&lt;$D$3,$C$3,IF(Данные[[#This Row],[proba]]&gt;$C$6,0,$C$4)))</f>
        <v>0</v>
      </c>
      <c r="O606" s="2">
        <f>IF(Данные[[#This Row],[weighted_ext_score]]&gt;$O$1,MIN(Данные[[#This Row],[Базовая сумма]]*$O$2,$C$2),IF(Данные[[#This Row],[weighted_ext_score]]&lt;$O$3,Данные[[#This Row],[Базовая сумма]]*$O$4,N606))</f>
        <v>0</v>
      </c>
      <c r="P6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6" s="2">
        <f>ABS(Данные[[#This Row],[days_birth]])/365.2425</f>
        <v>41.386202317638279</v>
      </c>
      <c r="S6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6" s="2">
        <f>IF(Данные[[#This Row],[ interest_rate]]&gt;$T$1,Данные[[#This Row],[days_birth4]]*$T$2,Данные[[#This Row],[days_birth4]])</f>
        <v>0</v>
      </c>
      <c r="U606" s="2">
        <f>IF(Данные[[#This Row],[Проверка отказа]]="отказ",0,MAX(Данные[[#This Row],[interest_rate]],$C$1))</f>
        <v>0</v>
      </c>
      <c r="V606" s="2">
        <f>MROUND(Данные[[#This Row],[Минимум 20000]], 100)</f>
        <v>0</v>
      </c>
    </row>
    <row r="607" spans="1:22" x14ac:dyDescent="0.25">
      <c r="A607" s="2">
        <f>'1000_заявлений'!A601</f>
        <v>599</v>
      </c>
      <c r="B607" s="4">
        <f>VALUE(SUBSTITUTE('1000_заявлений'!B601, ".", ","))</f>
        <v>0.43513740927470201</v>
      </c>
      <c r="C607" s="4">
        <f>VALUE(SUBSTITUTE('1000_заявлений'!C601, ".", ","))</f>
        <v>0.49604703232194403</v>
      </c>
      <c r="D607" s="4">
        <f>VALUE(SUBSTITUTE('1000_заявлений'!D601, ".", ","))</f>
        <v>0.20796417</v>
      </c>
      <c r="E607" s="4">
        <f>VALUE(SUBSTITUTE('1000_заявлений'!E601, ".", ","))</f>
        <v>0.65856590000000004</v>
      </c>
      <c r="F607" s="5">
        <f>VALUE(SUBSTITUTE('1000_заявлений'!F601, ".", ","))</f>
        <v>-7497</v>
      </c>
      <c r="G607" s="5">
        <f>VALUE(SUBSTITUTE('1000_заявлений'!G601, ".", ","))</f>
        <v>-20830</v>
      </c>
      <c r="H607" s="5">
        <f>VALUE(SUBSTITUTE('1000_заявлений'!H601, ".", ","))</f>
        <v>-3473</v>
      </c>
      <c r="I607" s="4">
        <f>VALUE(SUBSTITUTE('1000_заявлений'!I601, ".", ","))</f>
        <v>0.1426</v>
      </c>
      <c r="J607" s="4">
        <f>VALUE(SUBSTITUTE('1000_заявлений'!J601, ".", ","))</f>
        <v>0.74604876663348896</v>
      </c>
      <c r="K607" s="5">
        <f>VALUE(SUBSTITUTE('1000_заявлений'!K601, ".", ","))</f>
        <v>365243</v>
      </c>
      <c r="L607" s="6">
        <f>VALUE(SUBSTITUTE('1000_заявлений'!L601, ".", ","))</f>
        <v>16042.5</v>
      </c>
      <c r="M607" s="2" t="str">
        <f>IF(Данные[[#This Row],[proba]]&gt;$C$6, "отказ", "одобрение")</f>
        <v>отказ</v>
      </c>
      <c r="N607" s="7">
        <f>IF(Данные[[#This Row],[proba]]&lt;$D$2,$C$2,IF(Данные[[#This Row],[proba]]&lt;$D$3,$C$3,IF(Данные[[#This Row],[proba]]&gt;$C$6,0,$C$4)))</f>
        <v>0</v>
      </c>
      <c r="O607" s="2">
        <f>IF(Данные[[#This Row],[weighted_ext_score]]&gt;$O$1,MIN(Данные[[#This Row],[Базовая сумма]]*$O$2,$C$2),IF(Данные[[#This Row],[weighted_ext_score]]&lt;$O$3,Данные[[#This Row],[Базовая сумма]]*$O$4,N607))</f>
        <v>0</v>
      </c>
      <c r="P6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7" s="2">
        <f>ABS(Данные[[#This Row],[days_birth]])/365.2425</f>
        <v>57.030602955570615</v>
      </c>
      <c r="S6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7" s="2">
        <f>IF(Данные[[#This Row],[ interest_rate]]&gt;$T$1,Данные[[#This Row],[days_birth4]]*$T$2,Данные[[#This Row],[days_birth4]])</f>
        <v>0</v>
      </c>
      <c r="U607" s="2">
        <f>IF(Данные[[#This Row],[Проверка отказа]]="отказ",0,MAX(Данные[[#This Row],[interest_rate]],$C$1))</f>
        <v>0</v>
      </c>
      <c r="V607" s="2">
        <f>MROUND(Данные[[#This Row],[Минимум 20000]], 100)</f>
        <v>0</v>
      </c>
    </row>
    <row r="608" spans="1:22" x14ac:dyDescent="0.25">
      <c r="A608" s="2">
        <f>'1000_заявлений'!A602</f>
        <v>600</v>
      </c>
      <c r="B608" s="4">
        <f>VALUE(SUBSTITUTE('1000_заявлений'!B602, ".", ","))</f>
        <v>0.20947240840279799</v>
      </c>
      <c r="C608" s="4">
        <f>VALUE(SUBSTITUTE('1000_заявлений'!C602, ".", ","))</f>
        <v>0.57995432063058405</v>
      </c>
      <c r="D608" s="4">
        <f>VALUE(SUBSTITUTE('1000_заявлений'!D602, ".", ","))</f>
        <v>0.65452929999999998</v>
      </c>
      <c r="E608" s="4">
        <f>VALUE(SUBSTITUTE('1000_заявлений'!E602, ".", ","))</f>
        <v>0.75659149999999997</v>
      </c>
      <c r="F608" s="5">
        <f>VALUE(SUBSTITUTE('1000_заявлений'!F602, ".", ","))</f>
        <v>-2905</v>
      </c>
      <c r="G608" s="5">
        <f>VALUE(SUBSTITUTE('1000_заявлений'!G602, ".", ","))</f>
        <v>-12130</v>
      </c>
      <c r="H608" s="5">
        <f>VALUE(SUBSTITUTE('1000_заявлений'!H602, ".", ","))</f>
        <v>-3690</v>
      </c>
      <c r="I608" s="4">
        <f>VALUE(SUBSTITUTE('1000_заявлений'!I602, ".", ","))</f>
        <v>0.15</v>
      </c>
      <c r="J608" s="4">
        <f>VALUE(SUBSTITUTE('1000_заявлений'!J602, ".", ","))</f>
        <v>10.6209759779781</v>
      </c>
      <c r="K608" s="5">
        <f>VALUE(SUBSTITUTE('1000_заявлений'!K602, ".", ","))</f>
        <v>-4277</v>
      </c>
      <c r="L608" s="6">
        <f>VALUE(SUBSTITUTE('1000_заявлений'!L602, ".", ","))</f>
        <v>10125</v>
      </c>
      <c r="M608" s="2" t="str">
        <f>IF(Данные[[#This Row],[proba]]&gt;$C$6, "отказ", "одобрение")</f>
        <v>одобрение</v>
      </c>
      <c r="N608" s="7">
        <f>IF(Данные[[#This Row],[proba]]&lt;$D$2,$C$2,IF(Данные[[#This Row],[proba]]&lt;$D$3,$C$3,IF(Данные[[#This Row],[proba]]&gt;$C$6,0,$C$4)))</f>
        <v>100000</v>
      </c>
      <c r="O608" s="2">
        <f>IF(Данные[[#This Row],[weighted_ext_score]]&gt;$O$1,MIN(Данные[[#This Row],[Базовая сумма]]*$O$2,$C$2),IF(Данные[[#This Row],[weighted_ext_score]]&lt;$O$3,Данные[[#This Row],[Базовая сумма]]*$O$4,N608))</f>
        <v>100000</v>
      </c>
      <c r="P6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08" s="2">
        <f>ABS(Данные[[#This Row],[days_birth]])/365.2425</f>
        <v>33.210811994770594</v>
      </c>
      <c r="S6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08" s="2">
        <f>IF(Данные[[#This Row],[ interest_rate]]&gt;$T$1,Данные[[#This Row],[days_birth4]]*$T$2,Данные[[#This Row],[days_birth4]])</f>
        <v>144000</v>
      </c>
      <c r="U608" s="2">
        <f>IF(Данные[[#This Row],[Проверка отказа]]="отказ",0,MAX(Данные[[#This Row],[interest_rate]],$C$1))</f>
        <v>144000</v>
      </c>
      <c r="V608" s="2">
        <f>MROUND(Данные[[#This Row],[Минимум 20000]], 100)</f>
        <v>144000</v>
      </c>
    </row>
    <row r="609" spans="1:22" x14ac:dyDescent="0.25">
      <c r="A609" s="2">
        <f>'1000_заявлений'!A603</f>
        <v>601</v>
      </c>
      <c r="B609" s="4">
        <f>VALUE(SUBSTITUTE('1000_заявлений'!B603, ".", ","))</f>
        <v>0.56392719124399904</v>
      </c>
      <c r="C609" s="4">
        <f>VALUE(SUBSTITUTE('1000_заявлений'!C603, ".", ","))</f>
        <v>0.33261799587436502</v>
      </c>
      <c r="D609" s="4">
        <f>VALUE(SUBSTITUTE('1000_заявлений'!D603, ".", ","))</f>
        <v>0.28517989999999999</v>
      </c>
      <c r="E609" s="4">
        <f>VALUE(SUBSTITUTE('1000_заявлений'!E603, ".", ","))</f>
        <v>0.70744324000000003</v>
      </c>
      <c r="F609" s="5">
        <f>VALUE(SUBSTITUTE('1000_заявлений'!F603, ".", ","))</f>
        <v>-4648</v>
      </c>
      <c r="G609" s="5">
        <f>VALUE(SUBSTITUTE('1000_заявлений'!G603, ".", ","))</f>
        <v>-9917</v>
      </c>
      <c r="H609" s="5">
        <f>VALUE(SUBSTITUTE('1000_заявлений'!H603, ".", ","))</f>
        <v>-2181</v>
      </c>
      <c r="I609" s="4">
        <f>VALUE(SUBSTITUTE('1000_заявлений'!I603, ".", ","))</f>
        <v>0.120127659574468</v>
      </c>
      <c r="J609" s="4">
        <f>VALUE(SUBSTITUTE('1000_заявлений'!J603, ".", ","))</f>
        <v>2.6757393730520902</v>
      </c>
      <c r="K609" s="5">
        <f>VALUE(SUBSTITUTE('1000_заявлений'!K603, ".", ","))</f>
        <v>-1482</v>
      </c>
      <c r="L609" s="6">
        <f>VALUE(SUBSTITUTE('1000_заявлений'!L603, ".", ","))</f>
        <v>25407</v>
      </c>
      <c r="M609" s="2" t="str">
        <f>IF(Данные[[#This Row],[proba]]&gt;$C$6, "отказ", "одобрение")</f>
        <v>отказ</v>
      </c>
      <c r="N609" s="7">
        <f>IF(Данные[[#This Row],[proba]]&lt;$D$2,$C$2,IF(Данные[[#This Row],[proba]]&lt;$D$3,$C$3,IF(Данные[[#This Row],[proba]]&gt;$C$6,0,$C$4)))</f>
        <v>0</v>
      </c>
      <c r="O609" s="2">
        <f>IF(Данные[[#This Row],[weighted_ext_score]]&gt;$O$1,MIN(Данные[[#This Row],[Базовая сумма]]*$O$2,$C$2),IF(Данные[[#This Row],[weighted_ext_score]]&lt;$O$3,Данные[[#This Row],[Базовая сумма]]*$O$4,N609))</f>
        <v>0</v>
      </c>
      <c r="P6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09" s="2">
        <f>ABS(Данные[[#This Row],[days_birth]])/365.2425</f>
        <v>27.15182378830503</v>
      </c>
      <c r="S6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09" s="2">
        <f>IF(Данные[[#This Row],[ interest_rate]]&gt;$T$1,Данные[[#This Row],[days_birth4]]*$T$2,Данные[[#This Row],[days_birth4]])</f>
        <v>0</v>
      </c>
      <c r="U609" s="2">
        <f>IF(Данные[[#This Row],[Проверка отказа]]="отказ",0,MAX(Данные[[#This Row],[interest_rate]],$C$1))</f>
        <v>0</v>
      </c>
      <c r="V609" s="2">
        <f>MROUND(Данные[[#This Row],[Минимум 20000]], 100)</f>
        <v>0</v>
      </c>
    </row>
    <row r="610" spans="1:22" x14ac:dyDescent="0.25">
      <c r="A610" s="2">
        <f>'1000_заявлений'!A604</f>
        <v>602</v>
      </c>
      <c r="B610" s="4">
        <f>VALUE(SUBSTITUTE('1000_заявлений'!B604, ".", ","))</f>
        <v>0.61481386785605396</v>
      </c>
      <c r="C610" s="4">
        <f>VALUE(SUBSTITUTE('1000_заявлений'!C604, ".", ","))</f>
        <v>0.18826270091670699</v>
      </c>
      <c r="D610" s="4">
        <f>VALUE(SUBSTITUTE('1000_заявлений'!D604, ".", ","))</f>
        <v>0.53527623000000002</v>
      </c>
      <c r="E610" s="4">
        <f>VALUE(SUBSTITUTE('1000_заявлений'!E604, ".", ","))</f>
        <v>0.41855019999999998</v>
      </c>
      <c r="F610" s="5">
        <f>VALUE(SUBSTITUTE('1000_заявлений'!F604, ".", ","))</f>
        <v>-8910</v>
      </c>
      <c r="G610" s="5">
        <f>VALUE(SUBSTITUTE('1000_заявлений'!G604, ".", ","))</f>
        <v>-8929</v>
      </c>
      <c r="H610" s="5">
        <f>VALUE(SUBSTITUTE('1000_заявлений'!H604, ".", ","))</f>
        <v>-1585</v>
      </c>
      <c r="I610" s="4">
        <f>VALUE(SUBSTITUTE('1000_заявлений'!I604, ".", ","))</f>
        <v>0.14232</v>
      </c>
      <c r="J610" s="4">
        <f>VALUE(SUBSTITUTE('1000_заявлений'!J604, ".", ","))</f>
        <v>6.2423098804797297</v>
      </c>
      <c r="K610" s="5">
        <f>VALUE(SUBSTITUTE('1000_заявлений'!K604, ".", ","))</f>
        <v>-129</v>
      </c>
      <c r="L610" s="6">
        <f>VALUE(SUBSTITUTE('1000_заявлений'!L604, ".", ","))</f>
        <v>16011</v>
      </c>
      <c r="M610" s="2" t="str">
        <f>IF(Данные[[#This Row],[proba]]&gt;$C$6, "отказ", "одобрение")</f>
        <v>отказ</v>
      </c>
      <c r="N610" s="7">
        <f>IF(Данные[[#This Row],[proba]]&lt;$D$2,$C$2,IF(Данные[[#This Row],[proba]]&lt;$D$3,$C$3,IF(Данные[[#This Row],[proba]]&gt;$C$6,0,$C$4)))</f>
        <v>0</v>
      </c>
      <c r="O610" s="2">
        <f>IF(Данные[[#This Row],[weighted_ext_score]]&gt;$O$1,MIN(Данные[[#This Row],[Базовая сумма]]*$O$2,$C$2),IF(Данные[[#This Row],[weighted_ext_score]]&lt;$O$3,Данные[[#This Row],[Базовая сумма]]*$O$4,N610))</f>
        <v>0</v>
      </c>
      <c r="P6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0" s="2">
        <f>ABS(Данные[[#This Row],[days_birth]])/365.2425</f>
        <v>24.446771665400384</v>
      </c>
      <c r="S6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0" s="2">
        <f>IF(Данные[[#This Row],[ interest_rate]]&gt;$T$1,Данные[[#This Row],[days_birth4]]*$T$2,Данные[[#This Row],[days_birth4]])</f>
        <v>0</v>
      </c>
      <c r="U610" s="2">
        <f>IF(Данные[[#This Row],[Проверка отказа]]="отказ",0,MAX(Данные[[#This Row],[interest_rate]],$C$1))</f>
        <v>0</v>
      </c>
      <c r="V610" s="2">
        <f>MROUND(Данные[[#This Row],[Минимум 20000]], 100)</f>
        <v>0</v>
      </c>
    </row>
    <row r="611" spans="1:22" x14ac:dyDescent="0.25">
      <c r="A611" s="2">
        <f>'1000_заявлений'!A605</f>
        <v>603</v>
      </c>
      <c r="B611" s="4">
        <f>VALUE(SUBSTITUTE('1000_заявлений'!B605, ".", ","))</f>
        <v>0.29481854915457201</v>
      </c>
      <c r="C611" s="4">
        <f>VALUE(SUBSTITUTE('1000_заявлений'!C605, ".", ","))</f>
        <v>0.41247157484029201</v>
      </c>
      <c r="D611" s="4">
        <f>VALUE(SUBSTITUTE('1000_заявлений'!D605, ".", ","))</f>
        <v>0.62292199999999998</v>
      </c>
      <c r="E611" s="4">
        <f>VALUE(SUBSTITUTE('1000_заявлений'!E605, ".", ","))</f>
        <v>0.57705130000000004</v>
      </c>
      <c r="F611" s="5">
        <f>VALUE(SUBSTITUTE('1000_заявлений'!F605, ".", ","))</f>
        <v>-7818</v>
      </c>
      <c r="G611" s="5">
        <f>VALUE(SUBSTITUTE('1000_заявлений'!G605, ".", ","))</f>
        <v>-13711</v>
      </c>
      <c r="H611" s="5">
        <f>VALUE(SUBSTITUTE('1000_заявлений'!H605, ".", ","))</f>
        <v>-4104</v>
      </c>
      <c r="I611" s="4">
        <f>VALUE(SUBSTITUTE('1000_заявлений'!I605, ".", ","))</f>
        <v>8.0066666666666605E-2</v>
      </c>
      <c r="J611" s="4">
        <f>VALUE(SUBSTITUTE('1000_заявлений'!J605, ".", ","))</f>
        <v>13.9003424890617</v>
      </c>
      <c r="K611" s="5">
        <f>VALUE(SUBSTITUTE('1000_заявлений'!K605, ".", ","))</f>
        <v>-452</v>
      </c>
      <c r="L611" s="6">
        <f>VALUE(SUBSTITUTE('1000_заявлений'!L605, ".", ","))</f>
        <v>10809</v>
      </c>
      <c r="M611" s="2" t="str">
        <f>IF(Данные[[#This Row],[proba]]&gt;$C$6, "отказ", "одобрение")</f>
        <v>одобрение</v>
      </c>
      <c r="N611" s="7">
        <f>IF(Данные[[#This Row],[proba]]&lt;$D$2,$C$2,IF(Данные[[#This Row],[proba]]&lt;$D$3,$C$3,IF(Данные[[#This Row],[proba]]&gt;$C$6,0,$C$4)))</f>
        <v>100000</v>
      </c>
      <c r="O611" s="2">
        <f>IF(Данные[[#This Row],[weighted_ext_score]]&gt;$O$1,MIN(Данные[[#This Row],[Базовая сумма]]*$O$2,$C$2),IF(Данные[[#This Row],[weighted_ext_score]]&lt;$O$3,Данные[[#This Row],[Базовая сумма]]*$O$4,N611))</f>
        <v>100000</v>
      </c>
      <c r="P6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611" s="2">
        <f>ABS(Данные[[#This Row],[days_birth]])/365.2425</f>
        <v>37.53944297281943</v>
      </c>
      <c r="S6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611" s="2">
        <f>IF(Данные[[#This Row],[ interest_rate]]&gt;$T$1,Данные[[#This Row],[days_birth4]]*$T$2,Данные[[#This Row],[days_birth4]])</f>
        <v>84000</v>
      </c>
      <c r="U611" s="2">
        <f>IF(Данные[[#This Row],[Проверка отказа]]="отказ",0,MAX(Данные[[#This Row],[interest_rate]],$C$1))</f>
        <v>84000</v>
      </c>
      <c r="V611" s="2">
        <f>MROUND(Данные[[#This Row],[Минимум 20000]], 100)</f>
        <v>84000</v>
      </c>
    </row>
    <row r="612" spans="1:22" x14ac:dyDescent="0.25">
      <c r="A612" s="2">
        <f>'1000_заявлений'!A606</f>
        <v>604</v>
      </c>
      <c r="B612" s="4">
        <f>VALUE(SUBSTITUTE('1000_заявлений'!B606, ".", ","))</f>
        <v>0.53912412002549603</v>
      </c>
      <c r="C612" s="4">
        <f>VALUE(SUBSTITUTE('1000_заявлений'!C606, ".", ","))</f>
        <v>0.27213544254579303</v>
      </c>
      <c r="D612" s="4">
        <f>VALUE(SUBSTITUTE('1000_заявлений'!D606, ".", ","))</f>
        <v>0.20092608000000001</v>
      </c>
      <c r="E612" s="4">
        <f>VALUE(SUBSTITUTE('1000_заявлений'!E606, ".", ","))</f>
        <v>0.61492480000000005</v>
      </c>
      <c r="F612" s="5">
        <f>VALUE(SUBSTITUTE('1000_заявлений'!F606, ".", ","))</f>
        <v>-2379</v>
      </c>
      <c r="G612" s="5">
        <f>VALUE(SUBSTITUTE('1000_заявлений'!G606, ".", ","))</f>
        <v>-23789</v>
      </c>
      <c r="H612" s="5">
        <f>VALUE(SUBSTITUTE('1000_заявлений'!H606, ".", ","))</f>
        <v>-4804</v>
      </c>
      <c r="I612" s="4">
        <f>VALUE(SUBSTITUTE('1000_заявлений'!I606, ".", ","))</f>
        <v>0.13400000000000001</v>
      </c>
      <c r="J612" s="4">
        <f>VALUE(SUBSTITUTE('1000_заявлений'!J606, ".", ","))</f>
        <v>2.2392870662879001</v>
      </c>
      <c r="K612" s="5">
        <f>VALUE(SUBSTITUTE('1000_заявлений'!K606, ".", ","))</f>
        <v>365243</v>
      </c>
      <c r="L612" s="6">
        <f>VALUE(SUBSTITUTE('1000_заявлений'!L606, ".", ","))</f>
        <v>15075</v>
      </c>
      <c r="M612" s="2" t="str">
        <f>IF(Данные[[#This Row],[proba]]&gt;$C$6, "отказ", "одобрение")</f>
        <v>отказ</v>
      </c>
      <c r="N612" s="7">
        <f>IF(Данные[[#This Row],[proba]]&lt;$D$2,$C$2,IF(Данные[[#This Row],[proba]]&lt;$D$3,$C$3,IF(Данные[[#This Row],[proba]]&gt;$C$6,0,$C$4)))</f>
        <v>0</v>
      </c>
      <c r="O612" s="2">
        <f>IF(Данные[[#This Row],[weighted_ext_score]]&gt;$O$1,MIN(Данные[[#This Row],[Базовая сумма]]*$O$2,$C$2),IF(Данные[[#This Row],[weighted_ext_score]]&lt;$O$3,Данные[[#This Row],[Базовая сумма]]*$O$4,N612))</f>
        <v>0</v>
      </c>
      <c r="P6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2" s="2">
        <f>ABS(Данные[[#This Row],[days_birth]])/365.2425</f>
        <v>65.132069789249613</v>
      </c>
      <c r="S6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2" s="2">
        <f>IF(Данные[[#This Row],[ interest_rate]]&gt;$T$1,Данные[[#This Row],[days_birth4]]*$T$2,Данные[[#This Row],[days_birth4]])</f>
        <v>0</v>
      </c>
      <c r="U612" s="2">
        <f>IF(Данные[[#This Row],[Проверка отказа]]="отказ",0,MAX(Данные[[#This Row],[interest_rate]],$C$1))</f>
        <v>0</v>
      </c>
      <c r="V612" s="2">
        <f>MROUND(Данные[[#This Row],[Минимум 20000]], 100)</f>
        <v>0</v>
      </c>
    </row>
    <row r="613" spans="1:22" x14ac:dyDescent="0.25">
      <c r="A613" s="2">
        <f>'1000_заявлений'!A607</f>
        <v>605</v>
      </c>
      <c r="B613" s="4">
        <f>VALUE(SUBSTITUTE('1000_заявлений'!B607, ".", ","))</f>
        <v>0.57036145611571099</v>
      </c>
      <c r="C613" s="4">
        <f>VALUE(SUBSTITUTE('1000_заявлений'!C607, ".", ","))</f>
        <v>0.264937876596885</v>
      </c>
      <c r="D613" s="4">
        <f>VALUE(SUBSTITUTE('1000_заявлений'!D607, ".", ","))</f>
        <v>0.40314168</v>
      </c>
      <c r="E613" s="4">
        <f>VALUE(SUBSTITUTE('1000_заявлений'!E607, ".", ","))</f>
        <v>0.36727460000000001</v>
      </c>
      <c r="F613" s="5">
        <f>VALUE(SUBSTITUTE('1000_заявлений'!F607, ".", ","))</f>
        <v>-433</v>
      </c>
      <c r="G613" s="5">
        <f>VALUE(SUBSTITUTE('1000_заявлений'!G607, ".", ","))</f>
        <v>-16829</v>
      </c>
      <c r="H613" s="5">
        <f>VALUE(SUBSTITUTE('1000_заявлений'!H607, ".", ","))</f>
        <v>-383</v>
      </c>
      <c r="I613" s="4">
        <f>VALUE(SUBSTITUTE('1000_заявлений'!I607, ".", ","))</f>
        <v>0.1449125</v>
      </c>
      <c r="J613" s="4">
        <f>VALUE(SUBSTITUTE('1000_заявлений'!J607, ".", ","))</f>
        <v>15.562973481363001</v>
      </c>
      <c r="K613" s="5">
        <f>VALUE(SUBSTITUTE('1000_заявлений'!K607, ".", ","))</f>
        <v>-853</v>
      </c>
      <c r="L613" s="6">
        <f>VALUE(SUBSTITUTE('1000_заявлений'!L607, ".", ","))</f>
        <v>52168.5</v>
      </c>
      <c r="M613" s="2" t="str">
        <f>IF(Данные[[#This Row],[proba]]&gt;$C$6, "отказ", "одобрение")</f>
        <v>отказ</v>
      </c>
      <c r="N613" s="7">
        <f>IF(Данные[[#This Row],[proba]]&lt;$D$2,$C$2,IF(Данные[[#This Row],[proba]]&lt;$D$3,$C$3,IF(Данные[[#This Row],[proba]]&gt;$C$6,0,$C$4)))</f>
        <v>0</v>
      </c>
      <c r="O613" s="2">
        <f>IF(Данные[[#This Row],[weighted_ext_score]]&gt;$O$1,MIN(Данные[[#This Row],[Базовая сумма]]*$O$2,$C$2),IF(Данные[[#This Row],[weighted_ext_score]]&lt;$O$3,Данные[[#This Row],[Базовая сумма]]*$O$4,N613))</f>
        <v>0</v>
      </c>
      <c r="P6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3" s="2">
        <f>ABS(Данные[[#This Row],[days_birth]])/365.2425</f>
        <v>46.076237020609597</v>
      </c>
      <c r="S6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3" s="2">
        <f>IF(Данные[[#This Row],[ interest_rate]]&gt;$T$1,Данные[[#This Row],[days_birth4]]*$T$2,Данные[[#This Row],[days_birth4]])</f>
        <v>0</v>
      </c>
      <c r="U613" s="2">
        <f>IF(Данные[[#This Row],[Проверка отказа]]="отказ",0,MAX(Данные[[#This Row],[interest_rate]],$C$1))</f>
        <v>0</v>
      </c>
      <c r="V613" s="2">
        <f>MROUND(Данные[[#This Row],[Минимум 20000]], 100)</f>
        <v>0</v>
      </c>
    </row>
    <row r="614" spans="1:22" x14ac:dyDescent="0.25">
      <c r="A614" s="2">
        <f>'1000_заявлений'!A608</f>
        <v>606</v>
      </c>
      <c r="B614" s="4">
        <f>VALUE(SUBSTITUTE('1000_заявлений'!B608, ".", ","))</f>
        <v>0.31340291468842102</v>
      </c>
      <c r="C614" s="4">
        <f>VALUE(SUBSTITUTE('1000_заявлений'!C608, ".", ","))</f>
        <v>0.441341639540695</v>
      </c>
      <c r="D614" s="4">
        <f>VALUE(SUBSTITUTE('1000_заявлений'!D608, ".", ","))</f>
        <v>0.70470642999999999</v>
      </c>
      <c r="E614" s="4">
        <f>VALUE(SUBSTITUTE('1000_заявлений'!E608, ".", ","))</f>
        <v>0.57486694999999999</v>
      </c>
      <c r="F614" s="5">
        <f>VALUE(SUBSTITUTE('1000_заявлений'!F608, ".", ","))</f>
        <v>-1559</v>
      </c>
      <c r="G614" s="5">
        <f>VALUE(SUBSTITUTE('1000_заявлений'!G608, ".", ","))</f>
        <v>-18880</v>
      </c>
      <c r="H614" s="5">
        <f>VALUE(SUBSTITUTE('1000_заявлений'!H608, ".", ","))</f>
        <v>-407</v>
      </c>
      <c r="I614" s="4">
        <f>VALUE(SUBSTITUTE('1000_заявлений'!I608, ".", ","))</f>
        <v>0.19798333333333301</v>
      </c>
      <c r="J614" s="4">
        <f>VALUE(SUBSTITUTE('1000_заявлений'!J608, ".", ","))</f>
        <v>1.8568382236701</v>
      </c>
      <c r="K614" s="5">
        <f>VALUE(SUBSTITUTE('1000_заявлений'!K608, ".", ","))</f>
        <v>-1355</v>
      </c>
      <c r="L614" s="6">
        <f>VALUE(SUBSTITUTE('1000_заявлений'!L608, ".", ","))</f>
        <v>53455.5</v>
      </c>
      <c r="M614" s="2" t="str">
        <f>IF(Данные[[#This Row],[proba]]&gt;$C$6, "отказ", "одобрение")</f>
        <v>отказ</v>
      </c>
      <c r="N614" s="7">
        <f>IF(Данные[[#This Row],[proba]]&lt;$D$2,$C$2,IF(Данные[[#This Row],[proba]]&lt;$D$3,$C$3,IF(Данные[[#This Row],[proba]]&gt;$C$6,0,$C$4)))</f>
        <v>0</v>
      </c>
      <c r="O614" s="2">
        <f>IF(Данные[[#This Row],[weighted_ext_score]]&gt;$O$1,MIN(Данные[[#This Row],[Базовая сумма]]*$O$2,$C$2),IF(Данные[[#This Row],[weighted_ext_score]]&lt;$O$3,Данные[[#This Row],[Базовая сумма]]*$O$4,N614))</f>
        <v>0</v>
      </c>
      <c r="P6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4" s="2">
        <f>ABS(Данные[[#This Row],[days_birth]])/365.2425</f>
        <v>51.691684291943027</v>
      </c>
      <c r="S6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4" s="2">
        <f>IF(Данные[[#This Row],[ interest_rate]]&gt;$T$1,Данные[[#This Row],[days_birth4]]*$T$2,Данные[[#This Row],[days_birth4]])</f>
        <v>0</v>
      </c>
      <c r="U614" s="2">
        <f>IF(Данные[[#This Row],[Проверка отказа]]="отказ",0,MAX(Данные[[#This Row],[interest_rate]],$C$1))</f>
        <v>0</v>
      </c>
      <c r="V614" s="2">
        <f>MROUND(Данные[[#This Row],[Минимум 20000]], 100)</f>
        <v>0</v>
      </c>
    </row>
    <row r="615" spans="1:22" x14ac:dyDescent="0.25">
      <c r="A615" s="2">
        <f>'1000_заявлений'!A609</f>
        <v>607</v>
      </c>
      <c r="B615" s="4">
        <f>VALUE(SUBSTITUTE('1000_заявлений'!B609, ".", ","))</f>
        <v>0.444491432003637</v>
      </c>
      <c r="C615" s="4">
        <f>VALUE(SUBSTITUTE('1000_заявлений'!C609, ".", ","))</f>
        <v>0.47450059341627498</v>
      </c>
      <c r="D615" s="4">
        <f>VALUE(SUBSTITUTE('1000_заявлений'!D609, ".", ","))</f>
        <v>0.37064964</v>
      </c>
      <c r="E615" s="4">
        <f>VALUE(SUBSTITUTE('1000_заявлений'!E609, ".", ","))</f>
        <v>0.54777849999999995</v>
      </c>
      <c r="F615" s="5">
        <f>VALUE(SUBSTITUTE('1000_заявлений'!F609, ".", ","))</f>
        <v>-102</v>
      </c>
      <c r="G615" s="5">
        <f>VALUE(SUBSTITUTE('1000_заявлений'!G609, ".", ","))</f>
        <v>-15081</v>
      </c>
      <c r="H615" s="5">
        <f>VALUE(SUBSTITUTE('1000_заявлений'!H609, ".", ","))</f>
        <v>-4792</v>
      </c>
      <c r="I615" s="4">
        <f>VALUE(SUBSTITUTE('1000_заявлений'!I609, ".", ","))</f>
        <v>0.11365263157894701</v>
      </c>
      <c r="J615" s="4">
        <f>VALUE(SUBSTITUTE('1000_заявлений'!J609, ".", ","))</f>
        <v>2.9354350402932501</v>
      </c>
      <c r="K615" s="5">
        <f>VALUE(SUBSTITUTE('1000_заявлений'!K609, ".", ","))</f>
        <v>-864</v>
      </c>
      <c r="L615" s="6">
        <f>VALUE(SUBSTITUTE('1000_заявлений'!L609, ".", ","))</f>
        <v>48586.5</v>
      </c>
      <c r="M615" s="2" t="str">
        <f>IF(Данные[[#This Row],[proba]]&gt;$C$6, "отказ", "одобрение")</f>
        <v>отказ</v>
      </c>
      <c r="N615" s="7">
        <f>IF(Данные[[#This Row],[proba]]&lt;$D$2,$C$2,IF(Данные[[#This Row],[proba]]&lt;$D$3,$C$3,IF(Данные[[#This Row],[proba]]&gt;$C$6,0,$C$4)))</f>
        <v>0</v>
      </c>
      <c r="O615" s="2">
        <f>IF(Данные[[#This Row],[weighted_ext_score]]&gt;$O$1,MIN(Данные[[#This Row],[Базовая сумма]]*$O$2,$C$2),IF(Данные[[#This Row],[weighted_ext_score]]&lt;$O$3,Данные[[#This Row],[Базовая сумма]]*$O$4,N615))</f>
        <v>0</v>
      </c>
      <c r="P6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5" s="2">
        <f>ABS(Данные[[#This Row],[days_birth]])/365.2425</f>
        <v>41.290375572393685</v>
      </c>
      <c r="S6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5" s="2">
        <f>IF(Данные[[#This Row],[ interest_rate]]&gt;$T$1,Данные[[#This Row],[days_birth4]]*$T$2,Данные[[#This Row],[days_birth4]])</f>
        <v>0</v>
      </c>
      <c r="U615" s="2">
        <f>IF(Данные[[#This Row],[Проверка отказа]]="отказ",0,MAX(Данные[[#This Row],[interest_rate]],$C$1))</f>
        <v>0</v>
      </c>
      <c r="V615" s="2">
        <f>MROUND(Данные[[#This Row],[Минимум 20000]], 100)</f>
        <v>0</v>
      </c>
    </row>
    <row r="616" spans="1:22" x14ac:dyDescent="0.25">
      <c r="A616" s="2">
        <f>'1000_заявлений'!A610</f>
        <v>608</v>
      </c>
      <c r="B616" s="4">
        <f>VALUE(SUBSTITUTE('1000_заявлений'!B610, ".", ","))</f>
        <v>0.30703109144917201</v>
      </c>
      <c r="C616" s="4">
        <f>VALUE(SUBSTITUTE('1000_заявлений'!C610, ".", ","))</f>
        <v>0.53529454660492404</v>
      </c>
      <c r="D616" s="4">
        <f>VALUE(SUBSTITUTE('1000_заявлений'!D610, ".", ","))</f>
        <v>0.41184854999999998</v>
      </c>
      <c r="E616" s="4">
        <f>VALUE(SUBSTITUTE('1000_заявлений'!E610, ".", ","))</f>
        <v>0.68878280000000003</v>
      </c>
      <c r="F616" s="5">
        <f>VALUE(SUBSTITUTE('1000_заявлений'!F610, ".", ","))</f>
        <v>-10507</v>
      </c>
      <c r="G616" s="5">
        <f>VALUE(SUBSTITUTE('1000_заявлений'!G610, ".", ","))</f>
        <v>-22570</v>
      </c>
      <c r="H616" s="5">
        <f>VALUE(SUBSTITUTE('1000_заявлений'!H610, ".", ","))</f>
        <v>-4745</v>
      </c>
      <c r="I616" s="4">
        <f>VALUE(SUBSTITUTE('1000_заявлений'!I610, ".", ","))</f>
        <v>0.224725806451612</v>
      </c>
      <c r="J616" s="4">
        <f>VALUE(SUBSTITUTE('1000_заявлений'!J610, ".", ","))</f>
        <v>0.81186196051394799</v>
      </c>
      <c r="K616" s="5">
        <f>VALUE(SUBSTITUTE('1000_заявлений'!K610, ".", ","))</f>
        <v>-972</v>
      </c>
      <c r="L616" s="6">
        <f>VALUE(SUBSTITUTE('1000_заявлений'!L610, ".", ","))</f>
        <v>62698.5</v>
      </c>
      <c r="M616" s="2" t="str">
        <f>IF(Данные[[#This Row],[proba]]&gt;$C$6, "отказ", "одобрение")</f>
        <v>отказ</v>
      </c>
      <c r="N616" s="7">
        <f>IF(Данные[[#This Row],[proba]]&lt;$D$2,$C$2,IF(Данные[[#This Row],[proba]]&lt;$D$3,$C$3,IF(Данные[[#This Row],[proba]]&gt;$C$6,0,$C$4)))</f>
        <v>0</v>
      </c>
      <c r="O616" s="2">
        <f>IF(Данные[[#This Row],[weighted_ext_score]]&gt;$O$1,MIN(Данные[[#This Row],[Базовая сумма]]*$O$2,$C$2),IF(Данные[[#This Row],[weighted_ext_score]]&lt;$O$3,Данные[[#This Row],[Базовая сумма]]*$O$4,N616))</f>
        <v>0</v>
      </c>
      <c r="P6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6" s="2">
        <f>ABS(Данные[[#This Row],[days_birth]])/365.2425</f>
        <v>61.794561147730619</v>
      </c>
      <c r="S6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6" s="2">
        <f>IF(Данные[[#This Row],[ interest_rate]]&gt;$T$1,Данные[[#This Row],[days_birth4]]*$T$2,Данные[[#This Row],[days_birth4]])</f>
        <v>0</v>
      </c>
      <c r="U616" s="2">
        <f>IF(Данные[[#This Row],[Проверка отказа]]="отказ",0,MAX(Данные[[#This Row],[interest_rate]],$C$1))</f>
        <v>0</v>
      </c>
      <c r="V616" s="2">
        <f>MROUND(Данные[[#This Row],[Минимум 20000]], 100)</f>
        <v>0</v>
      </c>
    </row>
    <row r="617" spans="1:22" x14ac:dyDescent="0.25">
      <c r="A617" s="2">
        <f>'1000_заявлений'!A611</f>
        <v>609</v>
      </c>
      <c r="B617" s="4">
        <f>VALUE(SUBSTITUTE('1000_заявлений'!B611, ".", ","))</f>
        <v>0.20404446852285499</v>
      </c>
      <c r="C617" s="4">
        <f>VALUE(SUBSTITUTE('1000_заявлений'!C611, ".", ","))</f>
        <v>0.50240990472383595</v>
      </c>
      <c r="D617" s="4">
        <f>VALUE(SUBSTITUTE('1000_заявлений'!D611, ".", ","))</f>
        <v>0.79813725000000002</v>
      </c>
      <c r="E617" s="4">
        <f>VALUE(SUBSTITUTE('1000_заявлений'!E611, ".", ","))</f>
        <v>0.65895910000000002</v>
      </c>
      <c r="F617" s="5">
        <f>VALUE(SUBSTITUTE('1000_заявлений'!F611, ".", ","))</f>
        <v>-9708</v>
      </c>
      <c r="G617" s="5">
        <f>VALUE(SUBSTITUTE('1000_заявлений'!G611, ".", ","))</f>
        <v>-17820</v>
      </c>
      <c r="H617" s="5">
        <f>VALUE(SUBSTITUTE('1000_заявлений'!H611, ".", ","))</f>
        <v>-1348</v>
      </c>
      <c r="I617" s="4">
        <f>VALUE(SUBSTITUTE('1000_заявлений'!I611, ".", ","))</f>
        <v>0.12352</v>
      </c>
      <c r="J617" s="4">
        <f>VALUE(SUBSTITUTE('1000_заявлений'!J611, ".", ","))</f>
        <v>3.20927609481542</v>
      </c>
      <c r="K617" s="5">
        <f>VALUE(SUBSTITUTE('1000_заявлений'!K611, ".", ","))</f>
        <v>-2900</v>
      </c>
      <c r="L617" s="6">
        <f>VALUE(SUBSTITUTE('1000_заявлений'!L611, ".", ","))</f>
        <v>27792</v>
      </c>
      <c r="M617" s="2" t="str">
        <f>IF(Данные[[#This Row],[proba]]&gt;$C$6, "отказ", "одобрение")</f>
        <v>одобрение</v>
      </c>
      <c r="N617" s="7">
        <f>IF(Данные[[#This Row],[proba]]&lt;$D$2,$C$2,IF(Данные[[#This Row],[proba]]&lt;$D$3,$C$3,IF(Данные[[#This Row],[proba]]&gt;$C$6,0,$C$4)))</f>
        <v>100000</v>
      </c>
      <c r="O617" s="2">
        <f>IF(Данные[[#This Row],[weighted_ext_score]]&gt;$O$1,MIN(Данные[[#This Row],[Базовая сумма]]*$O$2,$C$2),IF(Данные[[#This Row],[weighted_ext_score]]&lt;$O$3,Данные[[#This Row],[Базовая сумма]]*$O$4,N617))</f>
        <v>100000</v>
      </c>
      <c r="P6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17" s="2">
        <f>ABS(Данные[[#This Row],[days_birth]])/365.2425</f>
        <v>48.789502864535208</v>
      </c>
      <c r="S6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17" s="2">
        <f>IF(Данные[[#This Row],[ interest_rate]]&gt;$T$1,Данные[[#This Row],[days_birth4]]*$T$2,Данные[[#This Row],[days_birth4]])</f>
        <v>144000</v>
      </c>
      <c r="U617" s="2">
        <f>IF(Данные[[#This Row],[Проверка отказа]]="отказ",0,MAX(Данные[[#This Row],[interest_rate]],$C$1))</f>
        <v>144000</v>
      </c>
      <c r="V617" s="2">
        <f>MROUND(Данные[[#This Row],[Минимум 20000]], 100)</f>
        <v>144000</v>
      </c>
    </row>
    <row r="618" spans="1:22" x14ac:dyDescent="0.25">
      <c r="A618" s="2">
        <f>'1000_заявлений'!A612</f>
        <v>610</v>
      </c>
      <c r="B618" s="4">
        <f>VALUE(SUBSTITUTE('1000_заявлений'!B612, ".", ","))</f>
        <v>0.49691699161341701</v>
      </c>
      <c r="C618" s="4">
        <f>VALUE(SUBSTITUTE('1000_заявлений'!C612, ".", ","))</f>
        <v>0.22667592459217001</v>
      </c>
      <c r="D618" s="4">
        <f>VALUE(SUBSTITUTE('1000_заявлений'!D612, ".", ","))</f>
        <v>0.53527623000000002</v>
      </c>
      <c r="E618" s="4">
        <f>VALUE(SUBSTITUTE('1000_заявлений'!E612, ".", ","))</f>
        <v>0.41457485999999999</v>
      </c>
      <c r="F618" s="5">
        <f>VALUE(SUBSTITUTE('1000_заявлений'!F612, ".", ","))</f>
        <v>-2038</v>
      </c>
      <c r="G618" s="5">
        <f>VALUE(SUBSTITUTE('1000_заявлений'!G612, ".", ","))</f>
        <v>-15060</v>
      </c>
      <c r="H618" s="5">
        <f>VALUE(SUBSTITUTE('1000_заявлений'!H612, ".", ","))</f>
        <v>-1884</v>
      </c>
      <c r="I618" s="4">
        <f>VALUE(SUBSTITUTE('1000_заявлений'!I612, ".", ","))</f>
        <v>8.0750000000000002E-2</v>
      </c>
      <c r="J618" s="4">
        <f>VALUE(SUBSTITUTE('1000_заявлений'!J612, ".", ","))</f>
        <v>17.683351419079099</v>
      </c>
      <c r="K618" s="5">
        <f>VALUE(SUBSTITUTE('1000_заявлений'!K612, ".", ","))</f>
        <v>-118</v>
      </c>
      <c r="L618" s="6">
        <f>VALUE(SUBSTITUTE('1000_заявлений'!L612, ".", ","))</f>
        <v>7267.5</v>
      </c>
      <c r="M618" s="2" t="str">
        <f>IF(Данные[[#This Row],[proba]]&gt;$C$6, "отказ", "одобрение")</f>
        <v>отказ</v>
      </c>
      <c r="N618" s="7">
        <f>IF(Данные[[#This Row],[proba]]&lt;$D$2,$C$2,IF(Данные[[#This Row],[proba]]&lt;$D$3,$C$3,IF(Данные[[#This Row],[proba]]&gt;$C$6,0,$C$4)))</f>
        <v>0</v>
      </c>
      <c r="O618" s="2">
        <f>IF(Данные[[#This Row],[weighted_ext_score]]&gt;$O$1,MIN(Данные[[#This Row],[Базовая сумма]]*$O$2,$C$2),IF(Данные[[#This Row],[weighted_ext_score]]&lt;$O$3,Данные[[#This Row],[Базовая сумма]]*$O$4,N618))</f>
        <v>0</v>
      </c>
      <c r="P6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8" s="2">
        <f>ABS(Данные[[#This Row],[days_birth]])/365.2425</f>
        <v>41.232879525246922</v>
      </c>
      <c r="S6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8" s="2">
        <f>IF(Данные[[#This Row],[ interest_rate]]&gt;$T$1,Данные[[#This Row],[days_birth4]]*$T$2,Данные[[#This Row],[days_birth4]])</f>
        <v>0</v>
      </c>
      <c r="U618" s="2">
        <f>IF(Данные[[#This Row],[Проверка отказа]]="отказ",0,MAX(Данные[[#This Row],[interest_rate]],$C$1))</f>
        <v>0</v>
      </c>
      <c r="V618" s="2">
        <f>MROUND(Данные[[#This Row],[Минимум 20000]], 100)</f>
        <v>0</v>
      </c>
    </row>
    <row r="619" spans="1:22" x14ac:dyDescent="0.25">
      <c r="A619" s="2">
        <f>'1000_заявлений'!A613</f>
        <v>611</v>
      </c>
      <c r="B619" s="4">
        <f>VALUE(SUBSTITUTE('1000_заявлений'!B613, ".", ","))</f>
        <v>0.40273413641732397</v>
      </c>
      <c r="C619" s="4">
        <f>VALUE(SUBSTITUTE('1000_заявлений'!C613, ".", ","))</f>
        <v>0.38824401784844498</v>
      </c>
      <c r="D619" s="4">
        <f>VALUE(SUBSTITUTE('1000_заявлений'!D613, ".", ","))</f>
        <v>0.59545619999999999</v>
      </c>
      <c r="E619" s="4">
        <f>VALUE(SUBSTITUTE('1000_заявлений'!E613, ".", ","))</f>
        <v>0.53298489999999998</v>
      </c>
      <c r="F619" s="5">
        <f>VALUE(SUBSTITUTE('1000_заявлений'!F613, ".", ","))</f>
        <v>-4078</v>
      </c>
      <c r="G619" s="5">
        <f>VALUE(SUBSTITUTE('1000_заявлений'!G613, ".", ","))</f>
        <v>-20464</v>
      </c>
      <c r="H619" s="5">
        <f>VALUE(SUBSTITUTE('1000_заявлений'!H613, ".", ","))</f>
        <v>-817</v>
      </c>
      <c r="I619" s="4">
        <f>VALUE(SUBSTITUTE('1000_заявлений'!I613, ".", ","))</f>
        <v>0.17922222222222201</v>
      </c>
      <c r="J619" s="4">
        <f>VALUE(SUBSTITUTE('1000_заявлений'!J613, ".", ","))</f>
        <v>2.3522351798308501</v>
      </c>
      <c r="K619" s="5">
        <f>VALUE(SUBSTITUTE('1000_заявлений'!K613, ".", ","))</f>
        <v>-4526</v>
      </c>
      <c r="L619" s="6">
        <f>VALUE(SUBSTITUTE('1000_заявлений'!L613, ".", ","))</f>
        <v>29034</v>
      </c>
      <c r="M619" s="2" t="str">
        <f>IF(Данные[[#This Row],[proba]]&gt;$C$6, "отказ", "одобрение")</f>
        <v>отказ</v>
      </c>
      <c r="N619" s="7">
        <f>IF(Данные[[#This Row],[proba]]&lt;$D$2,$C$2,IF(Данные[[#This Row],[proba]]&lt;$D$3,$C$3,IF(Данные[[#This Row],[proba]]&gt;$C$6,0,$C$4)))</f>
        <v>0</v>
      </c>
      <c r="O619" s="2">
        <f>IF(Данные[[#This Row],[weighted_ext_score]]&gt;$O$1,MIN(Данные[[#This Row],[Базовая сумма]]*$O$2,$C$2),IF(Данные[[#This Row],[weighted_ext_score]]&lt;$O$3,Данные[[#This Row],[Базовая сумма]]*$O$4,N619))</f>
        <v>0</v>
      </c>
      <c r="P6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19" s="2">
        <f>ABS(Данные[[#This Row],[days_birth]])/365.2425</f>
        <v>56.02852899101282</v>
      </c>
      <c r="S6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19" s="2">
        <f>IF(Данные[[#This Row],[ interest_rate]]&gt;$T$1,Данные[[#This Row],[days_birth4]]*$T$2,Данные[[#This Row],[days_birth4]])</f>
        <v>0</v>
      </c>
      <c r="U619" s="2">
        <f>IF(Данные[[#This Row],[Проверка отказа]]="отказ",0,MAX(Данные[[#This Row],[interest_rate]],$C$1))</f>
        <v>0</v>
      </c>
      <c r="V619" s="2">
        <f>MROUND(Данные[[#This Row],[Минимум 20000]], 100)</f>
        <v>0</v>
      </c>
    </row>
    <row r="620" spans="1:22" x14ac:dyDescent="0.25">
      <c r="A620" s="2">
        <f>'1000_заявлений'!A614</f>
        <v>612</v>
      </c>
      <c r="B620" s="4">
        <f>VALUE(SUBSTITUTE('1000_заявлений'!B614, ".", ","))</f>
        <v>0.54577753679164998</v>
      </c>
      <c r="C620" s="4">
        <f>VALUE(SUBSTITUTE('1000_заявлений'!C614, ".", ","))</f>
        <v>0.28344442993813102</v>
      </c>
      <c r="D620" s="4">
        <f>VALUE(SUBSTITUTE('1000_заявлений'!D614, ".", ","))</f>
        <v>0.37402079999999999</v>
      </c>
      <c r="E620" s="4">
        <f>VALUE(SUBSTITUTE('1000_заявлений'!E614, ".", ","))</f>
        <v>0.45679570000000003</v>
      </c>
      <c r="F620" s="5">
        <f>VALUE(SUBSTITUTE('1000_заявлений'!F614, ".", ","))</f>
        <v>-5872</v>
      </c>
      <c r="G620" s="5">
        <f>VALUE(SUBSTITUTE('1000_заявлений'!G614, ".", ","))</f>
        <v>-15882</v>
      </c>
      <c r="H620" s="5">
        <f>VALUE(SUBSTITUTE('1000_заявлений'!H614, ".", ","))</f>
        <v>-5872</v>
      </c>
      <c r="I620" s="4">
        <f>VALUE(SUBSTITUTE('1000_заявлений'!I614, ".", ","))</f>
        <v>0.1381</v>
      </c>
      <c r="J620" s="4">
        <f>VALUE(SUBSTITUTE('1000_заявлений'!J614, ".", ","))</f>
        <v>5.8312782123837597</v>
      </c>
      <c r="K620" s="5">
        <f>VALUE(SUBSTITUTE('1000_заявлений'!K614, ".", ","))</f>
        <v>-6189</v>
      </c>
      <c r="L620" s="6">
        <f>VALUE(SUBSTITUTE('1000_заявлений'!L614, ".", ","))</f>
        <v>43501.5</v>
      </c>
      <c r="M620" s="2" t="str">
        <f>IF(Данные[[#This Row],[proba]]&gt;$C$6, "отказ", "одобрение")</f>
        <v>отказ</v>
      </c>
      <c r="N620" s="7">
        <f>IF(Данные[[#This Row],[proba]]&lt;$D$2,$C$2,IF(Данные[[#This Row],[proba]]&lt;$D$3,$C$3,IF(Данные[[#This Row],[proba]]&gt;$C$6,0,$C$4)))</f>
        <v>0</v>
      </c>
      <c r="O620" s="2">
        <f>IF(Данные[[#This Row],[weighted_ext_score]]&gt;$O$1,MIN(Данные[[#This Row],[Базовая сумма]]*$O$2,$C$2),IF(Данные[[#This Row],[weighted_ext_score]]&lt;$O$3,Данные[[#This Row],[Базовая сумма]]*$O$4,N620))</f>
        <v>0</v>
      </c>
      <c r="P6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20" s="2">
        <f>ABS(Данные[[#This Row],[days_birth]])/365.2425</f>
        <v>43.483439084991474</v>
      </c>
      <c r="S6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20" s="2">
        <f>IF(Данные[[#This Row],[ interest_rate]]&gt;$T$1,Данные[[#This Row],[days_birth4]]*$T$2,Данные[[#This Row],[days_birth4]])</f>
        <v>0</v>
      </c>
      <c r="U620" s="2">
        <f>IF(Данные[[#This Row],[Проверка отказа]]="отказ",0,MAX(Данные[[#This Row],[interest_rate]],$C$1))</f>
        <v>0</v>
      </c>
      <c r="V620" s="2">
        <f>MROUND(Данные[[#This Row],[Минимум 20000]], 100)</f>
        <v>0</v>
      </c>
    </row>
    <row r="621" spans="1:22" x14ac:dyDescent="0.25">
      <c r="A621" s="2">
        <f>'1000_заявлений'!A615</f>
        <v>613</v>
      </c>
      <c r="B621" s="4">
        <f>VALUE(SUBSTITUTE('1000_заявлений'!B615, ".", ","))</f>
        <v>0.21472721882982401</v>
      </c>
      <c r="C621" s="4">
        <f>VALUE(SUBSTITUTE('1000_заявлений'!C615, ".", ","))</f>
        <v>0.64361882063435205</v>
      </c>
      <c r="D621" s="4">
        <f>VALUE(SUBSTITUTE('1000_заявлений'!D615, ".", ","))</f>
        <v>0.55850659999999996</v>
      </c>
      <c r="E621" s="4">
        <f>VALUE(SUBSTITUTE('1000_заявлений'!E615, ".", ","))</f>
        <v>0.77675090000000002</v>
      </c>
      <c r="F621" s="5">
        <f>VALUE(SUBSTITUTE('1000_заявлений'!F615, ".", ","))</f>
        <v>-3299</v>
      </c>
      <c r="G621" s="5">
        <f>VALUE(SUBSTITUTE('1000_заявлений'!G615, ".", ","))</f>
        <v>-14076</v>
      </c>
      <c r="H621" s="5">
        <f>VALUE(SUBSTITUTE('1000_заявлений'!H615, ".", ","))</f>
        <v>-4837</v>
      </c>
      <c r="I621" s="4">
        <f>VALUE(SUBSTITUTE('1000_заявлений'!I615, ".", ","))</f>
        <v>0.36712499999999998</v>
      </c>
      <c r="J621" s="4">
        <f>VALUE(SUBSTITUTE('1000_заявлений'!J615, ".", ","))</f>
        <v>16.152025818866701</v>
      </c>
      <c r="K621" s="5">
        <f>VALUE(SUBSTITUTE('1000_заявлений'!K615, ".", ","))</f>
        <v>-4889</v>
      </c>
      <c r="L621" s="6">
        <f>VALUE(SUBSTITUTE('1000_заявлений'!L615, ".", ","))</f>
        <v>26433</v>
      </c>
      <c r="M621" s="2" t="str">
        <f>IF(Данные[[#This Row],[proba]]&gt;$C$6, "отказ", "одобрение")</f>
        <v>одобрение</v>
      </c>
      <c r="N621" s="7">
        <f>IF(Данные[[#This Row],[proba]]&lt;$D$2,$C$2,IF(Данные[[#This Row],[proba]]&lt;$D$3,$C$3,IF(Данные[[#This Row],[proba]]&gt;$C$6,0,$C$4)))</f>
        <v>100000</v>
      </c>
      <c r="O621" s="2">
        <f>IF(Данные[[#This Row],[weighted_ext_score]]&gt;$O$1,MIN(Данные[[#This Row],[Базовая сумма]]*$O$2,$C$2),IF(Данные[[#This Row],[weighted_ext_score]]&lt;$O$3,Данные[[#This Row],[Базовая сумма]]*$O$4,N621))</f>
        <v>100000</v>
      </c>
      <c r="P6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21" s="2">
        <f>ABS(Данные[[#This Row],[days_birth]])/365.2425</f>
        <v>38.538779030370236</v>
      </c>
      <c r="S6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621" s="2">
        <f>IF(Данные[[#This Row],[ interest_rate]]&gt;$T$1,Данные[[#This Row],[days_birth4]]*$T$2,Данные[[#This Row],[days_birth4]])</f>
        <v>120000</v>
      </c>
      <c r="U621" s="2">
        <f>IF(Данные[[#This Row],[Проверка отказа]]="отказ",0,MAX(Данные[[#This Row],[interest_rate]],$C$1))</f>
        <v>120000</v>
      </c>
      <c r="V621" s="2">
        <f>MROUND(Данные[[#This Row],[Минимум 20000]], 100)</f>
        <v>120000</v>
      </c>
    </row>
    <row r="622" spans="1:22" x14ac:dyDescent="0.25">
      <c r="A622" s="2">
        <f>'1000_заявлений'!A616</f>
        <v>614</v>
      </c>
      <c r="B622" s="4">
        <f>VALUE(SUBSTITUTE('1000_заявлений'!B616, ".", ","))</f>
        <v>0.56640212300152204</v>
      </c>
      <c r="C622" s="4">
        <f>VALUE(SUBSTITUTE('1000_заявлений'!C616, ".", ","))</f>
        <v>0.313292960810929</v>
      </c>
      <c r="D622" s="4">
        <f>VALUE(SUBSTITUTE('1000_заявлений'!D616, ".", ","))</f>
        <v>0.29708663000000002</v>
      </c>
      <c r="E622" s="4">
        <f>VALUE(SUBSTITUTE('1000_заявлений'!E616, ".", ","))</f>
        <v>0.63459189999999999</v>
      </c>
      <c r="F622" s="5">
        <f>VALUE(SUBSTITUTE('1000_заявлений'!F616, ".", ","))</f>
        <v>-4639</v>
      </c>
      <c r="G622" s="5">
        <f>VALUE(SUBSTITUTE('1000_заявлений'!G616, ".", ","))</f>
        <v>-11222</v>
      </c>
      <c r="H622" s="5">
        <f>VALUE(SUBSTITUTE('1000_заявлений'!H616, ".", ","))</f>
        <v>-3575</v>
      </c>
      <c r="I622" s="4">
        <f>VALUE(SUBSTITUTE('1000_заявлений'!I616, ".", ","))</f>
        <v>0.13830000000000001</v>
      </c>
      <c r="J622" s="4">
        <f>VALUE(SUBSTITUTE('1000_заявлений'!J616, ".", ","))</f>
        <v>7.3768452485718203</v>
      </c>
      <c r="K622" s="5">
        <f>VALUE(SUBSTITUTE('1000_заявлений'!K616, ".", ","))</f>
        <v>-3281</v>
      </c>
      <c r="L622" s="6">
        <f>VALUE(SUBSTITUTE('1000_заявлений'!L616, ".", ","))</f>
        <v>12447</v>
      </c>
      <c r="M622" s="2" t="str">
        <f>IF(Данные[[#This Row],[proba]]&gt;$C$6, "отказ", "одобрение")</f>
        <v>отказ</v>
      </c>
      <c r="N622" s="7">
        <f>IF(Данные[[#This Row],[proba]]&lt;$D$2,$C$2,IF(Данные[[#This Row],[proba]]&lt;$D$3,$C$3,IF(Данные[[#This Row],[proba]]&gt;$C$6,0,$C$4)))</f>
        <v>0</v>
      </c>
      <c r="O622" s="2">
        <f>IF(Данные[[#This Row],[weighted_ext_score]]&gt;$O$1,MIN(Данные[[#This Row],[Базовая сумма]]*$O$2,$C$2),IF(Данные[[#This Row],[weighted_ext_score]]&lt;$O$3,Данные[[#This Row],[Базовая сумма]]*$O$4,N622))</f>
        <v>0</v>
      </c>
      <c r="P6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22" s="2">
        <f>ABS(Данные[[#This Row],[days_birth]])/365.2425</f>
        <v>30.724792432425033</v>
      </c>
      <c r="S6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22" s="2">
        <f>IF(Данные[[#This Row],[ interest_rate]]&gt;$T$1,Данные[[#This Row],[days_birth4]]*$T$2,Данные[[#This Row],[days_birth4]])</f>
        <v>0</v>
      </c>
      <c r="U622" s="2">
        <f>IF(Данные[[#This Row],[Проверка отказа]]="отказ",0,MAX(Данные[[#This Row],[interest_rate]],$C$1))</f>
        <v>0</v>
      </c>
      <c r="V622" s="2">
        <f>MROUND(Данные[[#This Row],[Минимум 20000]], 100)</f>
        <v>0</v>
      </c>
    </row>
    <row r="623" spans="1:22" x14ac:dyDescent="0.25">
      <c r="A623" s="2">
        <f>'1000_заявлений'!A617</f>
        <v>615</v>
      </c>
      <c r="B623" s="4">
        <f>VALUE(SUBSTITUTE('1000_заявлений'!B617, ".", ","))</f>
        <v>0.26044495604136603</v>
      </c>
      <c r="C623" s="4">
        <f>VALUE(SUBSTITUTE('1000_заявлений'!C617, ".", ","))</f>
        <v>0.43052605679557099</v>
      </c>
      <c r="D623" s="4">
        <f>VALUE(SUBSTITUTE('1000_заявлений'!D617, ".", ","))</f>
        <v>0.63303167000000005</v>
      </c>
      <c r="E623" s="4">
        <f>VALUE(SUBSTITUTE('1000_заявлений'!E617, ".", ","))</f>
        <v>0.62143844000000004</v>
      </c>
      <c r="F623" s="5">
        <f>VALUE(SUBSTITUTE('1000_заявлений'!F617, ".", ","))</f>
        <v>-7747</v>
      </c>
      <c r="G623" s="5">
        <f>VALUE(SUBSTITUTE('1000_заявлений'!G617, ".", ","))</f>
        <v>-20850</v>
      </c>
      <c r="H623" s="5">
        <f>VALUE(SUBSTITUTE('1000_заявлений'!H617, ".", ","))</f>
        <v>-3975</v>
      </c>
      <c r="I623" s="4">
        <f>VALUE(SUBSTITUTE('1000_заявлений'!I617, ".", ","))</f>
        <v>0.16418749999999999</v>
      </c>
      <c r="J623" s="4">
        <f>VALUE(SUBSTITUTE('1000_заявлений'!J617, ".", ","))</f>
        <v>1.55416635790726</v>
      </c>
      <c r="K623" s="5">
        <f>VALUE(SUBSTITUTE('1000_заявлений'!K617, ".", ","))</f>
        <v>365243</v>
      </c>
      <c r="L623" s="6">
        <f>VALUE(SUBSTITUTE('1000_заявлений'!L617, ".", ","))</f>
        <v>23643</v>
      </c>
      <c r="M623" s="2" t="str">
        <f>IF(Данные[[#This Row],[proba]]&gt;$C$6, "отказ", "одобрение")</f>
        <v>одобрение</v>
      </c>
      <c r="N623" s="7">
        <f>IF(Данные[[#This Row],[proba]]&lt;$D$2,$C$2,IF(Данные[[#This Row],[proba]]&lt;$D$3,$C$3,IF(Данные[[#This Row],[proba]]&gt;$C$6,0,$C$4)))</f>
        <v>100000</v>
      </c>
      <c r="O623" s="2">
        <f>IF(Данные[[#This Row],[weighted_ext_score]]&gt;$O$1,MIN(Данные[[#This Row],[Базовая сумма]]*$O$2,$C$2),IF(Данные[[#This Row],[weighted_ext_score]]&lt;$O$3,Данные[[#This Row],[Базовая сумма]]*$O$4,N623))</f>
        <v>100000</v>
      </c>
      <c r="P6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23" s="2">
        <f>ABS(Данные[[#This Row],[days_birth]])/365.2425</f>
        <v>57.085361095710383</v>
      </c>
      <c r="S6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623" s="2">
        <f>IF(Данные[[#This Row],[ interest_rate]]&gt;$T$1,Данные[[#This Row],[days_birth4]]*$T$2,Данные[[#This Row],[days_birth4]])</f>
        <v>126000</v>
      </c>
      <c r="U623" s="2">
        <f>IF(Данные[[#This Row],[Проверка отказа]]="отказ",0,MAX(Данные[[#This Row],[interest_rate]],$C$1))</f>
        <v>126000</v>
      </c>
      <c r="V623" s="2">
        <f>MROUND(Данные[[#This Row],[Минимум 20000]], 100)</f>
        <v>126000</v>
      </c>
    </row>
    <row r="624" spans="1:22" x14ac:dyDescent="0.25">
      <c r="A624" s="2">
        <f>'1000_заявлений'!A618</f>
        <v>616</v>
      </c>
      <c r="B624" s="4">
        <f>VALUE(SUBSTITUTE('1000_заявлений'!B618, ".", ","))</f>
        <v>0.217961410087432</v>
      </c>
      <c r="C624" s="4">
        <f>VALUE(SUBSTITUTE('1000_заявлений'!C618, ".", ","))</f>
        <v>0.66802188932668605</v>
      </c>
      <c r="D624" s="4">
        <f>VALUE(SUBSTITUTE('1000_заявлений'!D618, ".", ","))</f>
        <v>0.57268249999999998</v>
      </c>
      <c r="E624" s="4">
        <f>VALUE(SUBSTITUTE('1000_заявлений'!E618, ".", ","))</f>
        <v>0.60216296000000002</v>
      </c>
      <c r="F624" s="5">
        <f>VALUE(SUBSTITUTE('1000_заявлений'!F618, ".", ","))</f>
        <v>-5938</v>
      </c>
      <c r="G624" s="5">
        <f>VALUE(SUBSTITUTE('1000_заявлений'!G618, ".", ","))</f>
        <v>-21530</v>
      </c>
      <c r="H624" s="5">
        <f>VALUE(SUBSTITUTE('1000_заявлений'!H618, ".", ","))</f>
        <v>-4829</v>
      </c>
      <c r="I624" s="4">
        <f>VALUE(SUBSTITUTE('1000_заявлений'!I618, ".", ","))</f>
        <v>0.311142857142857</v>
      </c>
      <c r="J624" s="4">
        <f>VALUE(SUBSTITUTE('1000_заявлений'!J618, ".", ","))</f>
        <v>1.94448426997755</v>
      </c>
      <c r="K624" s="5">
        <f>VALUE(SUBSTITUTE('1000_заявлений'!K618, ".", ","))</f>
        <v>365243</v>
      </c>
      <c r="L624" s="6">
        <f>VALUE(SUBSTITUTE('1000_заявлений'!L618, ".", ","))</f>
        <v>39204</v>
      </c>
      <c r="M624" s="2" t="str">
        <f>IF(Данные[[#This Row],[proba]]&gt;$C$6, "отказ", "одобрение")</f>
        <v>одобрение</v>
      </c>
      <c r="N624" s="7">
        <f>IF(Данные[[#This Row],[proba]]&lt;$D$2,$C$2,IF(Данные[[#This Row],[proba]]&lt;$D$3,$C$3,IF(Данные[[#This Row],[proba]]&gt;$C$6,0,$C$4)))</f>
        <v>100000</v>
      </c>
      <c r="O624" s="2">
        <f>IF(Данные[[#This Row],[weighted_ext_score]]&gt;$O$1,MIN(Данные[[#This Row],[Базовая сумма]]*$O$2,$C$2),IF(Данные[[#This Row],[weighted_ext_score]]&lt;$O$3,Данные[[#This Row],[Базовая сумма]]*$O$4,N624))</f>
        <v>100000</v>
      </c>
      <c r="P6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624" s="2">
        <f>ABS(Данные[[#This Row],[days_birth]])/365.2425</f>
        <v>58.947137860462568</v>
      </c>
      <c r="S6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624" s="2">
        <f>IF(Данные[[#This Row],[ interest_rate]]&gt;$T$1,Данные[[#This Row],[days_birth4]]*$T$2,Данные[[#This Row],[days_birth4]])</f>
        <v>105000</v>
      </c>
      <c r="U624" s="2">
        <f>IF(Данные[[#This Row],[Проверка отказа]]="отказ",0,MAX(Данные[[#This Row],[interest_rate]],$C$1))</f>
        <v>105000</v>
      </c>
      <c r="V624" s="2">
        <f>MROUND(Данные[[#This Row],[Минимум 20000]], 100)</f>
        <v>105000</v>
      </c>
    </row>
    <row r="625" spans="1:22" x14ac:dyDescent="0.25">
      <c r="A625" s="2">
        <f>'1000_заявлений'!A619</f>
        <v>617</v>
      </c>
      <c r="B625" s="4">
        <f>VALUE(SUBSTITUTE('1000_заявлений'!B619, ".", ","))</f>
        <v>0.180545898759644</v>
      </c>
      <c r="C625" s="4">
        <f>VALUE(SUBSTITUTE('1000_заявлений'!C619, ".", ","))</f>
        <v>0.43089948309986298</v>
      </c>
      <c r="D625" s="4">
        <f>VALUE(SUBSTITUTE('1000_заявлений'!D619, ".", ","))</f>
        <v>0.62799084000000005</v>
      </c>
      <c r="E625" s="4">
        <f>VALUE(SUBSTITUTE('1000_заявлений'!E619, ".", ","))</f>
        <v>0.62820995000000002</v>
      </c>
      <c r="F625" s="5">
        <f>VALUE(SUBSTITUTE('1000_заявлений'!F619, ".", ","))</f>
        <v>-7950</v>
      </c>
      <c r="G625" s="5">
        <f>VALUE(SUBSTITUTE('1000_заявлений'!G619, ".", ","))</f>
        <v>-23734</v>
      </c>
      <c r="H625" s="5">
        <f>VALUE(SUBSTITUTE('1000_заявлений'!H619, ".", ","))</f>
        <v>-4634</v>
      </c>
      <c r="I625" s="4">
        <f>VALUE(SUBSTITUTE('1000_заявлений'!I619, ".", ","))</f>
        <v>0.14025000000000001</v>
      </c>
      <c r="J625" s="4">
        <f>VALUE(SUBSTITUTE('1000_заявлений'!J619, ".", ","))</f>
        <v>19.124657153966002</v>
      </c>
      <c r="K625" s="5">
        <f>VALUE(SUBSTITUTE('1000_заявлений'!K619, ".", ","))</f>
        <v>365243</v>
      </c>
      <c r="L625" s="6">
        <f>VALUE(SUBSTITUTE('1000_заявлений'!L619, ".", ","))</f>
        <v>7573.5</v>
      </c>
      <c r="M625" s="2" t="str">
        <f>IF(Данные[[#This Row],[proba]]&gt;$C$6, "отказ", "одобрение")</f>
        <v>одобрение</v>
      </c>
      <c r="N625" s="7">
        <f>IF(Данные[[#This Row],[proba]]&lt;$D$2,$C$2,IF(Данные[[#This Row],[proba]]&lt;$D$3,$C$3,IF(Данные[[#This Row],[proba]]&gt;$C$6,0,$C$4)))</f>
        <v>300000</v>
      </c>
      <c r="O625" s="2">
        <f>IF(Данные[[#This Row],[weighted_ext_score]]&gt;$O$1,MIN(Данные[[#This Row],[Базовая сумма]]*$O$2,$C$2),IF(Данные[[#This Row],[weighted_ext_score]]&lt;$O$3,Данные[[#This Row],[Базовая сумма]]*$O$4,N625))</f>
        <v>300000</v>
      </c>
      <c r="P6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25" s="2">
        <f>ABS(Данные[[#This Row],[days_birth]])/365.2425</f>
        <v>64.981484903865237</v>
      </c>
      <c r="S6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25" s="2">
        <f>IF(Данные[[#This Row],[ interest_rate]]&gt;$T$1,Данные[[#This Row],[days_birth4]]*$T$2,Данные[[#This Row],[days_birth4]])</f>
        <v>378000</v>
      </c>
      <c r="U625" s="2">
        <f>IF(Данные[[#This Row],[Проверка отказа]]="отказ",0,MAX(Данные[[#This Row],[interest_rate]],$C$1))</f>
        <v>378000</v>
      </c>
      <c r="V625" s="2">
        <f>MROUND(Данные[[#This Row],[Минимум 20000]], 100)</f>
        <v>378000</v>
      </c>
    </row>
    <row r="626" spans="1:22" x14ac:dyDescent="0.25">
      <c r="A626" s="2">
        <f>'1000_заявлений'!A620</f>
        <v>618</v>
      </c>
      <c r="B626" s="4">
        <f>VALUE(SUBSTITUTE('1000_заявлений'!B620, ".", ","))</f>
        <v>0.29494893600084598</v>
      </c>
      <c r="C626" s="4">
        <f>VALUE(SUBSTITUTE('1000_заявлений'!C620, ".", ","))</f>
        <v>0.43696126481898501</v>
      </c>
      <c r="D626" s="4">
        <f>VALUE(SUBSTITUTE('1000_заявлений'!D620, ".", ","))</f>
        <v>0.79813725000000002</v>
      </c>
      <c r="E626" s="4">
        <f>VALUE(SUBSTITUTE('1000_заявлений'!E620, ".", ","))</f>
        <v>0.45719182000000003</v>
      </c>
      <c r="F626" s="5">
        <f>VALUE(SUBSTITUTE('1000_заявлений'!F620, ".", ","))</f>
        <v>-10615</v>
      </c>
      <c r="G626" s="5">
        <f>VALUE(SUBSTITUTE('1000_заявлений'!G620, ".", ","))</f>
        <v>-20806</v>
      </c>
      <c r="H626" s="5">
        <f>VALUE(SUBSTITUTE('1000_заявлений'!H620, ".", ","))</f>
        <v>-4295</v>
      </c>
      <c r="I626" s="4">
        <f>VALUE(SUBSTITUTE('1000_заявлений'!I620, ".", ","))</f>
        <v>0.30123333333333302</v>
      </c>
      <c r="J626" s="4">
        <f>VALUE(SUBSTITUTE('1000_заявлений'!J620, ".", ","))</f>
        <v>1.45690028578246</v>
      </c>
      <c r="K626" s="5">
        <f>VALUE(SUBSTITUTE('1000_заявлений'!K620, ".", ","))</f>
        <v>-10624</v>
      </c>
      <c r="L626" s="6">
        <f>VALUE(SUBSTITUTE('1000_заявлений'!L620, ".", ","))</f>
        <v>40666.5</v>
      </c>
      <c r="M626" s="2" t="str">
        <f>IF(Данные[[#This Row],[proba]]&gt;$C$6, "отказ", "одобрение")</f>
        <v>одобрение</v>
      </c>
      <c r="N626" s="7">
        <f>IF(Данные[[#This Row],[proba]]&lt;$D$2,$C$2,IF(Данные[[#This Row],[proba]]&lt;$D$3,$C$3,IF(Данные[[#This Row],[proba]]&gt;$C$6,0,$C$4)))</f>
        <v>100000</v>
      </c>
      <c r="O626" s="2">
        <f>IF(Данные[[#This Row],[weighted_ext_score]]&gt;$O$1,MIN(Данные[[#This Row],[Базовая сумма]]*$O$2,$C$2),IF(Данные[[#This Row],[weighted_ext_score]]&lt;$O$3,Данные[[#This Row],[Базовая сумма]]*$O$4,N626))</f>
        <v>100000</v>
      </c>
      <c r="P6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26" s="2">
        <f>ABS(Данные[[#This Row],[days_birth]])/365.2425</f>
        <v>56.964893187402886</v>
      </c>
      <c r="S6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626" s="2">
        <f>IF(Данные[[#This Row],[ interest_rate]]&gt;$T$1,Данные[[#This Row],[days_birth4]]*$T$2,Данные[[#This Row],[days_birth4]])</f>
        <v>126000</v>
      </c>
      <c r="U626" s="2">
        <f>IF(Данные[[#This Row],[Проверка отказа]]="отказ",0,MAX(Данные[[#This Row],[interest_rate]],$C$1))</f>
        <v>126000</v>
      </c>
      <c r="V626" s="2">
        <f>MROUND(Данные[[#This Row],[Минимум 20000]], 100)</f>
        <v>126000</v>
      </c>
    </row>
    <row r="627" spans="1:22" x14ac:dyDescent="0.25">
      <c r="A627" s="2">
        <f>'1000_заявлений'!A621</f>
        <v>619</v>
      </c>
      <c r="B627" s="4">
        <f>VALUE(SUBSTITUTE('1000_заявлений'!B621, ".", ","))</f>
        <v>0.168506095943667</v>
      </c>
      <c r="C627" s="4">
        <f>VALUE(SUBSTITUTE('1000_заявлений'!C621, ".", ","))</f>
        <v>0.65587267410582495</v>
      </c>
      <c r="D627" s="4">
        <f>VALUE(SUBSTITUTE('1000_заявлений'!D621, ".", ","))</f>
        <v>0.81609240000000005</v>
      </c>
      <c r="E627" s="4">
        <f>VALUE(SUBSTITUTE('1000_заявлений'!E621, ".", ","))</f>
        <v>0.57994663999999996</v>
      </c>
      <c r="F627" s="5">
        <f>VALUE(SUBSTITUTE('1000_заявлений'!F621, ".", ","))</f>
        <v>-4983</v>
      </c>
      <c r="G627" s="5">
        <f>VALUE(SUBSTITUTE('1000_заявлений'!G621, ".", ","))</f>
        <v>-15257</v>
      </c>
      <c r="H627" s="5">
        <f>VALUE(SUBSTITUTE('1000_заявлений'!H621, ".", ","))</f>
        <v>-3997</v>
      </c>
      <c r="I627" s="4">
        <f>VALUE(SUBSTITUTE('1000_заявлений'!I621, ".", ","))</f>
        <v>0.12970000000000001</v>
      </c>
      <c r="J627" s="4">
        <f>VALUE(SUBSTITUTE('1000_заявлений'!J621, ".", ","))</f>
        <v>2.0293009376184101</v>
      </c>
      <c r="K627" s="5">
        <f>VALUE(SUBSTITUTE('1000_заявлений'!K621, ".", ","))</f>
        <v>-887</v>
      </c>
      <c r="L627" s="6">
        <f>VALUE(SUBSTITUTE('1000_заявлений'!L621, ".", ","))</f>
        <v>46692</v>
      </c>
      <c r="M627" s="2" t="str">
        <f>IF(Данные[[#This Row],[proba]]&gt;$C$6, "отказ", "одобрение")</f>
        <v>одобрение</v>
      </c>
      <c r="N627" s="7">
        <f>IF(Данные[[#This Row],[proba]]&lt;$D$2,$C$2,IF(Данные[[#This Row],[proba]]&lt;$D$3,$C$3,IF(Данные[[#This Row],[proba]]&gt;$C$6,0,$C$4)))</f>
        <v>300000</v>
      </c>
      <c r="O627" s="2">
        <f>IF(Данные[[#This Row],[weighted_ext_score]]&gt;$O$1,MIN(Данные[[#This Row],[Базовая сумма]]*$O$2,$C$2),IF(Данные[[#This Row],[weighted_ext_score]]&lt;$O$3,Данные[[#This Row],[Базовая сумма]]*$O$4,N627))</f>
        <v>300000</v>
      </c>
      <c r="P6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627" s="2">
        <f>ABS(Данные[[#This Row],[days_birth]])/365.2425</f>
        <v>41.772247205623657</v>
      </c>
      <c r="S6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251999.99999999997</v>
      </c>
      <c r="T627" s="2">
        <f>IF(Данные[[#This Row],[ interest_rate]]&gt;$T$1,Данные[[#This Row],[days_birth4]]*$T$2,Данные[[#This Row],[days_birth4]])</f>
        <v>251999.99999999997</v>
      </c>
      <c r="U627" s="2">
        <f>IF(Данные[[#This Row],[Проверка отказа]]="отказ",0,MAX(Данные[[#This Row],[interest_rate]],$C$1))</f>
        <v>251999.99999999997</v>
      </c>
      <c r="V627" s="2">
        <f>MROUND(Данные[[#This Row],[Минимум 20000]], 100)</f>
        <v>252000</v>
      </c>
    </row>
    <row r="628" spans="1:22" x14ac:dyDescent="0.25">
      <c r="A628" s="2">
        <f>'1000_заявлений'!A622</f>
        <v>620</v>
      </c>
      <c r="B628" s="4">
        <f>VALUE(SUBSTITUTE('1000_заявлений'!B622, ".", ","))</f>
        <v>0.17843101496154201</v>
      </c>
      <c r="C628" s="4">
        <f>VALUE(SUBSTITUTE('1000_заявлений'!C622, ".", ","))</f>
        <v>0.46255424549502799</v>
      </c>
      <c r="D628" s="4">
        <f>VALUE(SUBSTITUTE('1000_заявлений'!D622, ".", ","))</f>
        <v>0.60755729999999997</v>
      </c>
      <c r="E628" s="4">
        <f>VALUE(SUBSTITUTE('1000_заявлений'!E622, ".", ","))</f>
        <v>0.74857879999999999</v>
      </c>
      <c r="F628" s="5">
        <f>VALUE(SUBSTITUTE('1000_заявлений'!F622, ".", ","))</f>
        <v>-5732</v>
      </c>
      <c r="G628" s="5">
        <f>VALUE(SUBSTITUTE('1000_заявлений'!G622, ".", ","))</f>
        <v>-21156</v>
      </c>
      <c r="H628" s="5">
        <f>VALUE(SUBSTITUTE('1000_заявлений'!H622, ".", ","))</f>
        <v>-1103</v>
      </c>
      <c r="I628" s="4">
        <f>VALUE(SUBSTITUTE('1000_заявлений'!I622, ".", ","))</f>
        <v>4.8928571428571398E-2</v>
      </c>
      <c r="J628" s="4">
        <f>VALUE(SUBSTITUTE('1000_заявлений'!J622, ".", ","))</f>
        <v>23.513723920043201</v>
      </c>
      <c r="K628" s="5">
        <f>VALUE(SUBSTITUTE('1000_заявлений'!K622, ".", ","))</f>
        <v>-999</v>
      </c>
      <c r="L628" s="6">
        <f>VALUE(SUBSTITUTE('1000_заявлений'!L622, ".", ","))</f>
        <v>6165</v>
      </c>
      <c r="M628" s="2" t="str">
        <f>IF(Данные[[#This Row],[proba]]&gt;$C$6, "отказ", "одобрение")</f>
        <v>одобрение</v>
      </c>
      <c r="N628" s="7">
        <f>IF(Данные[[#This Row],[proba]]&lt;$D$2,$C$2,IF(Данные[[#This Row],[proba]]&lt;$D$3,$C$3,IF(Данные[[#This Row],[proba]]&gt;$C$6,0,$C$4)))</f>
        <v>300000</v>
      </c>
      <c r="O628" s="2">
        <f>IF(Данные[[#This Row],[weighted_ext_score]]&gt;$O$1,MIN(Данные[[#This Row],[Базовая сумма]]*$O$2,$C$2),IF(Данные[[#This Row],[weighted_ext_score]]&lt;$O$3,Данные[[#This Row],[Базовая сумма]]*$O$4,N628))</f>
        <v>300000</v>
      </c>
      <c r="P6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251999.99999999997</v>
      </c>
      <c r="R628" s="2">
        <f>ABS(Данные[[#This Row],[days_birth]])/365.2425</f>
        <v>57.923160639848867</v>
      </c>
      <c r="S6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264600</v>
      </c>
      <c r="T628" s="2">
        <f>IF(Данные[[#This Row],[ interest_rate]]&gt;$T$1,Данные[[#This Row],[days_birth4]]*$T$2,Данные[[#This Row],[days_birth4]])</f>
        <v>211680</v>
      </c>
      <c r="U628" s="2">
        <f>IF(Данные[[#This Row],[Проверка отказа]]="отказ",0,MAX(Данные[[#This Row],[interest_rate]],$C$1))</f>
        <v>211680</v>
      </c>
      <c r="V628" s="2">
        <f>MROUND(Данные[[#This Row],[Минимум 20000]], 100)</f>
        <v>211700</v>
      </c>
    </row>
    <row r="629" spans="1:22" x14ac:dyDescent="0.25">
      <c r="A629" s="2">
        <f>'1000_заявлений'!A623</f>
        <v>621</v>
      </c>
      <c r="B629" s="4">
        <f>VALUE(SUBSTITUTE('1000_заявлений'!B623, ".", ","))</f>
        <v>0.58617745799081</v>
      </c>
      <c r="C629" s="4">
        <f>VALUE(SUBSTITUTE('1000_заявлений'!C623, ".", ","))</f>
        <v>0.26072054521434901</v>
      </c>
      <c r="D629" s="4">
        <f>VALUE(SUBSTITUTE('1000_заявлений'!D623, ".", ","))</f>
        <v>0.14375805999999999</v>
      </c>
      <c r="E629" s="4">
        <f>VALUE(SUBSTITUTE('1000_заявлений'!E623, ".", ","))</f>
        <v>0.64347434000000003</v>
      </c>
      <c r="F629" s="5">
        <f>VALUE(SUBSTITUTE('1000_заявлений'!F623, ".", ","))</f>
        <v>-3731</v>
      </c>
      <c r="G629" s="5">
        <f>VALUE(SUBSTITUTE('1000_заявлений'!G623, ".", ","))</f>
        <v>-19994</v>
      </c>
      <c r="H629" s="5">
        <f>VALUE(SUBSTITUTE('1000_заявлений'!H623, ".", ","))</f>
        <v>-3443</v>
      </c>
      <c r="I629" s="4">
        <f>VALUE(SUBSTITUTE('1000_заявлений'!I623, ".", ","))</f>
        <v>7.4999999999999997E-2</v>
      </c>
      <c r="J629" s="4">
        <f>VALUE(SUBSTITUTE('1000_заявлений'!J623, ".", ","))</f>
        <v>10.6209759779781</v>
      </c>
      <c r="K629" s="5">
        <f>VALUE(SUBSTITUTE('1000_заявлений'!K623, ".", ","))</f>
        <v>-1573</v>
      </c>
      <c r="L629" s="6">
        <f>VALUE(SUBSTITUTE('1000_заявлений'!L623, ".", ","))</f>
        <v>10125</v>
      </c>
      <c r="M629" s="2" t="str">
        <f>IF(Данные[[#This Row],[proba]]&gt;$C$6, "отказ", "одобрение")</f>
        <v>отказ</v>
      </c>
      <c r="N629" s="7">
        <f>IF(Данные[[#This Row],[proba]]&lt;$D$2,$C$2,IF(Данные[[#This Row],[proba]]&lt;$D$3,$C$3,IF(Данные[[#This Row],[proba]]&gt;$C$6,0,$C$4)))</f>
        <v>0</v>
      </c>
      <c r="O629" s="2">
        <f>IF(Данные[[#This Row],[weighted_ext_score]]&gt;$O$1,MIN(Данные[[#This Row],[Базовая сумма]]*$O$2,$C$2),IF(Данные[[#This Row],[weighted_ext_score]]&lt;$O$3,Данные[[#This Row],[Базовая сумма]]*$O$4,N629))</f>
        <v>0</v>
      </c>
      <c r="P6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29" s="2">
        <f>ABS(Данные[[#This Row],[days_birth]])/365.2425</f>
        <v>54.741712697728218</v>
      </c>
      <c r="S6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29" s="2">
        <f>IF(Данные[[#This Row],[ interest_rate]]&gt;$T$1,Данные[[#This Row],[days_birth4]]*$T$2,Данные[[#This Row],[days_birth4]])</f>
        <v>0</v>
      </c>
      <c r="U629" s="2">
        <f>IF(Данные[[#This Row],[Проверка отказа]]="отказ",0,MAX(Данные[[#This Row],[interest_rate]],$C$1))</f>
        <v>0</v>
      </c>
      <c r="V629" s="2">
        <f>MROUND(Данные[[#This Row],[Минимум 20000]], 100)</f>
        <v>0</v>
      </c>
    </row>
    <row r="630" spans="1:22" x14ac:dyDescent="0.25">
      <c r="A630" s="2">
        <f>'1000_заявлений'!A624</f>
        <v>622</v>
      </c>
      <c r="B630" s="4">
        <f>VALUE(SUBSTITUTE('1000_заявлений'!B624, ".", ","))</f>
        <v>0.30325232455083101</v>
      </c>
      <c r="C630" s="4">
        <f>VALUE(SUBSTITUTE('1000_заявлений'!C624, ".", ","))</f>
        <v>0.56108031199660802</v>
      </c>
      <c r="D630" s="4">
        <f>VALUE(SUBSTITUTE('1000_заявлений'!D624, ".", ","))</f>
        <v>0.64136826999999996</v>
      </c>
      <c r="E630" s="4">
        <f>VALUE(SUBSTITUTE('1000_заявлений'!E624, ".", ","))</f>
        <v>0.49361143000000002</v>
      </c>
      <c r="F630" s="5">
        <f>VALUE(SUBSTITUTE('1000_заявлений'!F624, ".", ","))</f>
        <v>-5122</v>
      </c>
      <c r="G630" s="5">
        <f>VALUE(SUBSTITUTE('1000_заявлений'!G624, ".", ","))</f>
        <v>-16298</v>
      </c>
      <c r="H630" s="5">
        <f>VALUE(SUBSTITUTE('1000_заявлений'!H624, ".", ","))</f>
        <v>-4123</v>
      </c>
      <c r="I630" s="4">
        <f>VALUE(SUBSTITUTE('1000_заявлений'!I624, ".", ","))</f>
        <v>0.19911428571428499</v>
      </c>
      <c r="J630" s="4">
        <f>VALUE(SUBSTITUTE('1000_заявлений'!J624, ".", ","))</f>
        <v>4.5116474880502597</v>
      </c>
      <c r="K630" s="5">
        <f>VALUE(SUBSTITUTE('1000_заявлений'!K624, ".", ","))</f>
        <v>-3587</v>
      </c>
      <c r="L630" s="6">
        <f>VALUE(SUBSTITUTE('1000_заявлений'!L624, ".", ","))</f>
        <v>31360.5</v>
      </c>
      <c r="M630" s="2" t="str">
        <f>IF(Данные[[#This Row],[proba]]&gt;$C$6, "отказ", "одобрение")</f>
        <v>отказ</v>
      </c>
      <c r="N630" s="7">
        <f>IF(Данные[[#This Row],[proba]]&lt;$D$2,$C$2,IF(Данные[[#This Row],[proba]]&lt;$D$3,$C$3,IF(Данные[[#This Row],[proba]]&gt;$C$6,0,$C$4)))</f>
        <v>0</v>
      </c>
      <c r="O630" s="2">
        <f>IF(Данные[[#This Row],[weighted_ext_score]]&gt;$O$1,MIN(Данные[[#This Row],[Базовая сумма]]*$O$2,$C$2),IF(Данные[[#This Row],[weighted_ext_score]]&lt;$O$3,Данные[[#This Row],[Базовая сумма]]*$O$4,N630))</f>
        <v>0</v>
      </c>
      <c r="P6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0" s="2">
        <f>ABS(Данные[[#This Row],[days_birth]])/365.2425</f>
        <v>44.622408399898696</v>
      </c>
      <c r="S6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0" s="2">
        <f>IF(Данные[[#This Row],[ interest_rate]]&gt;$T$1,Данные[[#This Row],[days_birth4]]*$T$2,Данные[[#This Row],[days_birth4]])</f>
        <v>0</v>
      </c>
      <c r="U630" s="2">
        <f>IF(Данные[[#This Row],[Проверка отказа]]="отказ",0,MAX(Данные[[#This Row],[interest_rate]],$C$1))</f>
        <v>0</v>
      </c>
      <c r="V630" s="2">
        <f>MROUND(Данные[[#This Row],[Минимум 20000]], 100)</f>
        <v>0</v>
      </c>
    </row>
    <row r="631" spans="1:22" x14ac:dyDescent="0.25">
      <c r="A631" s="2">
        <f>'1000_заявлений'!A625</f>
        <v>623</v>
      </c>
      <c r="B631" s="4">
        <f>VALUE(SUBSTITUTE('1000_заявлений'!B625, ".", ","))</f>
        <v>0.26845163305088299</v>
      </c>
      <c r="C631" s="4">
        <f>VALUE(SUBSTITUTE('1000_заявлений'!C625, ".", ","))</f>
        <v>0.43469401035012101</v>
      </c>
      <c r="D631" s="4">
        <f>VALUE(SUBSTITUTE('1000_заявлений'!D625, ".", ","))</f>
        <v>0.54244510000000001</v>
      </c>
      <c r="E631" s="4">
        <f>VALUE(SUBSTITUTE('1000_заявлений'!E625, ".", ","))</f>
        <v>0.73528749999999998</v>
      </c>
      <c r="F631" s="5">
        <f>VALUE(SUBSTITUTE('1000_заявлений'!F625, ".", ","))</f>
        <v>-9535</v>
      </c>
      <c r="G631" s="5">
        <f>VALUE(SUBSTITUTE('1000_заявлений'!G625, ".", ","))</f>
        <v>-19369</v>
      </c>
      <c r="H631" s="5">
        <f>VALUE(SUBSTITUTE('1000_заявлений'!H625, ".", ","))</f>
        <v>-2898</v>
      </c>
      <c r="I631" s="4">
        <f>VALUE(SUBSTITUTE('1000_заявлений'!I625, ".", ","))</f>
        <v>0.1125</v>
      </c>
      <c r="J631" s="4">
        <f>VALUE(SUBSTITUTE('1000_заявлений'!J625, ".", ","))</f>
        <v>10.6209759779781</v>
      </c>
      <c r="K631" s="5">
        <f>VALUE(SUBSTITUTE('1000_заявлений'!K625, ".", ","))</f>
        <v>-6419</v>
      </c>
      <c r="L631" s="6">
        <f>VALUE(SUBSTITUTE('1000_заявлений'!L625, ".", ","))</f>
        <v>10125</v>
      </c>
      <c r="M631" s="2" t="str">
        <f>IF(Данные[[#This Row],[proba]]&gt;$C$6, "отказ", "одобрение")</f>
        <v>одобрение</v>
      </c>
      <c r="N631" s="7">
        <f>IF(Данные[[#This Row],[proba]]&lt;$D$2,$C$2,IF(Данные[[#This Row],[proba]]&lt;$D$3,$C$3,IF(Данные[[#This Row],[proba]]&gt;$C$6,0,$C$4)))</f>
        <v>100000</v>
      </c>
      <c r="O631" s="2">
        <f>IF(Данные[[#This Row],[weighted_ext_score]]&gt;$O$1,MIN(Данные[[#This Row],[Базовая сумма]]*$O$2,$C$2),IF(Данные[[#This Row],[weighted_ext_score]]&lt;$O$3,Данные[[#This Row],[Базовая сумма]]*$O$4,N631))</f>
        <v>100000</v>
      </c>
      <c r="P6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31" s="2">
        <f>ABS(Данные[[#This Row],[days_birth]])/365.2425</f>
        <v>53.030520818360401</v>
      </c>
      <c r="S6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631" s="2">
        <f>IF(Данные[[#This Row],[ interest_rate]]&gt;$T$1,Данные[[#This Row],[days_birth4]]*$T$2,Данные[[#This Row],[days_birth4]])</f>
        <v>151200</v>
      </c>
      <c r="U631" s="2">
        <f>IF(Данные[[#This Row],[Проверка отказа]]="отказ",0,MAX(Данные[[#This Row],[interest_rate]],$C$1))</f>
        <v>151200</v>
      </c>
      <c r="V631" s="2">
        <f>MROUND(Данные[[#This Row],[Минимум 20000]], 100)</f>
        <v>151200</v>
      </c>
    </row>
    <row r="632" spans="1:22" x14ac:dyDescent="0.25">
      <c r="A632" s="2">
        <f>'1000_заявлений'!A626</f>
        <v>624</v>
      </c>
      <c r="B632" s="4">
        <f>VALUE(SUBSTITUTE('1000_заявлений'!B626, ".", ","))</f>
        <v>0.39671535569890298</v>
      </c>
      <c r="C632" s="4">
        <f>VALUE(SUBSTITUTE('1000_заявлений'!C626, ".", ","))</f>
        <v>0.53689130303060195</v>
      </c>
      <c r="D632" s="4">
        <f>VALUE(SUBSTITUTE('1000_заявлений'!D626, ".", ","))</f>
        <v>0.44183581999999999</v>
      </c>
      <c r="E632" s="4">
        <f>VALUE(SUBSTITUTE('1000_заявлений'!E626, ".", ","))</f>
        <v>0.63087726</v>
      </c>
      <c r="F632" s="5">
        <f>VALUE(SUBSTITUTE('1000_заявлений'!F626, ".", ","))</f>
        <v>-3894</v>
      </c>
      <c r="G632" s="5">
        <f>VALUE(SUBSTITUTE('1000_заявлений'!G626, ".", ","))</f>
        <v>-18493</v>
      </c>
      <c r="H632" s="5">
        <f>VALUE(SUBSTITUTE('1000_заявлений'!H626, ".", ","))</f>
        <v>-2038</v>
      </c>
      <c r="I632" s="4">
        <f>VALUE(SUBSTITUTE('1000_заявлений'!I626, ".", ","))</f>
        <v>0.16530769230769199</v>
      </c>
      <c r="J632" s="4">
        <f>VALUE(SUBSTITUTE('1000_заявлений'!J626, ".", ","))</f>
        <v>0.19110614998758499</v>
      </c>
      <c r="K632" s="5">
        <f>VALUE(SUBSTITUTE('1000_заявлений'!K626, ".", ","))</f>
        <v>-211</v>
      </c>
      <c r="L632" s="6">
        <f>VALUE(SUBSTITUTE('1000_заявлений'!L626, ".", ","))</f>
        <v>9670.5</v>
      </c>
      <c r="M632" s="2" t="str">
        <f>IF(Данные[[#This Row],[proba]]&gt;$C$6, "отказ", "одобрение")</f>
        <v>отказ</v>
      </c>
      <c r="N632" s="7">
        <f>IF(Данные[[#This Row],[proba]]&lt;$D$2,$C$2,IF(Данные[[#This Row],[proba]]&lt;$D$3,$C$3,IF(Данные[[#This Row],[proba]]&gt;$C$6,0,$C$4)))</f>
        <v>0</v>
      </c>
      <c r="O632" s="2">
        <f>IF(Данные[[#This Row],[weighted_ext_score]]&gt;$O$1,MIN(Данные[[#This Row],[Базовая сумма]]*$O$2,$C$2),IF(Данные[[#This Row],[weighted_ext_score]]&lt;$O$3,Данные[[#This Row],[Базовая сумма]]*$O$4,N632))</f>
        <v>0</v>
      </c>
      <c r="P6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2" s="2">
        <f>ABS(Данные[[#This Row],[days_birth]])/365.2425</f>
        <v>50.632114280238468</v>
      </c>
      <c r="S6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2" s="2">
        <f>IF(Данные[[#This Row],[ interest_rate]]&gt;$T$1,Данные[[#This Row],[days_birth4]]*$T$2,Данные[[#This Row],[days_birth4]])</f>
        <v>0</v>
      </c>
      <c r="U632" s="2">
        <f>IF(Данные[[#This Row],[Проверка отказа]]="отказ",0,MAX(Данные[[#This Row],[interest_rate]],$C$1))</f>
        <v>0</v>
      </c>
      <c r="V632" s="2">
        <f>MROUND(Данные[[#This Row],[Минимум 20000]], 100)</f>
        <v>0</v>
      </c>
    </row>
    <row r="633" spans="1:22" x14ac:dyDescent="0.25">
      <c r="A633" s="2">
        <f>'1000_заявлений'!A627</f>
        <v>625</v>
      </c>
      <c r="B633" s="4">
        <f>VALUE(SUBSTITUTE('1000_заявлений'!B627, ".", ","))</f>
        <v>0.30138031319598202</v>
      </c>
      <c r="C633" s="4">
        <f>VALUE(SUBSTITUTE('1000_заявлений'!C627, ".", ","))</f>
        <v>0.42400983971010803</v>
      </c>
      <c r="D633" s="4">
        <f>VALUE(SUBSTITUTE('1000_заявлений'!D627, ".", ","))</f>
        <v>0.59719239999999996</v>
      </c>
      <c r="E633" s="4">
        <f>VALUE(SUBSTITUTE('1000_заявлений'!E627, ".", ","))</f>
        <v>0.64130920000000002</v>
      </c>
      <c r="F633" s="5">
        <f>VALUE(SUBSTITUTE('1000_заявлений'!F627, ".", ","))</f>
        <v>-9359</v>
      </c>
      <c r="G633" s="5">
        <f>VALUE(SUBSTITUTE('1000_заявлений'!G627, ".", ","))</f>
        <v>-21622</v>
      </c>
      <c r="H633" s="5">
        <f>VALUE(SUBSTITUTE('1000_заявлений'!H627, ".", ","))</f>
        <v>-4041</v>
      </c>
      <c r="I633" s="4">
        <f>VALUE(SUBSTITUTE('1000_заявлений'!I627, ".", ","))</f>
        <v>0.26429999999999998</v>
      </c>
      <c r="J633" s="4">
        <f>VALUE(SUBSTITUTE('1000_заявлений'!J627, ".", ","))</f>
        <v>7.5854054980361898</v>
      </c>
      <c r="K633" s="5">
        <f>VALUE(SUBSTITUTE('1000_заявлений'!K627, ".", ","))</f>
        <v>-6842</v>
      </c>
      <c r="L633" s="6">
        <f>VALUE(SUBSTITUTE('1000_заявлений'!L627, ".", ","))</f>
        <v>23787</v>
      </c>
      <c r="M633" s="2" t="str">
        <f>IF(Данные[[#This Row],[proba]]&gt;$C$6, "отказ", "одобрение")</f>
        <v>отказ</v>
      </c>
      <c r="N633" s="7">
        <f>IF(Данные[[#This Row],[proba]]&lt;$D$2,$C$2,IF(Данные[[#This Row],[proba]]&lt;$D$3,$C$3,IF(Данные[[#This Row],[proba]]&gt;$C$6,0,$C$4)))</f>
        <v>0</v>
      </c>
      <c r="O633" s="2">
        <f>IF(Данные[[#This Row],[weighted_ext_score]]&gt;$O$1,MIN(Данные[[#This Row],[Базовая сумма]]*$O$2,$C$2),IF(Данные[[#This Row],[weighted_ext_score]]&lt;$O$3,Данные[[#This Row],[Базовая сумма]]*$O$4,N633))</f>
        <v>0</v>
      </c>
      <c r="P6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3" s="2">
        <f>ABS(Данные[[#This Row],[days_birth]])/365.2425</f>
        <v>59.199025305105508</v>
      </c>
      <c r="S6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3" s="2">
        <f>IF(Данные[[#This Row],[ interest_rate]]&gt;$T$1,Данные[[#This Row],[days_birth4]]*$T$2,Данные[[#This Row],[days_birth4]])</f>
        <v>0</v>
      </c>
      <c r="U633" s="2">
        <f>IF(Данные[[#This Row],[Проверка отказа]]="отказ",0,MAX(Данные[[#This Row],[interest_rate]],$C$1))</f>
        <v>0</v>
      </c>
      <c r="V633" s="2">
        <f>MROUND(Данные[[#This Row],[Минимум 20000]], 100)</f>
        <v>0</v>
      </c>
    </row>
    <row r="634" spans="1:22" x14ac:dyDescent="0.25">
      <c r="A634" s="2">
        <f>'1000_заявлений'!A628</f>
        <v>626</v>
      </c>
      <c r="B634" s="4">
        <f>VALUE(SUBSTITUTE('1000_заявлений'!B628, ".", ","))</f>
        <v>0.13840433103261099</v>
      </c>
      <c r="C634" s="4">
        <f>VALUE(SUBSTITUTE('1000_заявлений'!C628, ".", ","))</f>
        <v>0.51761120747422495</v>
      </c>
      <c r="D634" s="4">
        <f>VALUE(SUBSTITUTE('1000_заявлений'!D628, ".", ","))</f>
        <v>0.75440615</v>
      </c>
      <c r="E634" s="4">
        <f>VALUE(SUBSTITUTE('1000_заявлений'!E628, ".", ","))</f>
        <v>0.75458040000000004</v>
      </c>
      <c r="F634" s="5">
        <f>VALUE(SUBSTITUTE('1000_заявлений'!F628, ".", ","))</f>
        <v>-13277</v>
      </c>
      <c r="G634" s="5">
        <f>VALUE(SUBSTITUTE('1000_заявлений'!G628, ".", ","))</f>
        <v>-20355</v>
      </c>
      <c r="H634" s="5">
        <f>VALUE(SUBSTITUTE('1000_заявлений'!H628, ".", ","))</f>
        <v>-3686</v>
      </c>
      <c r="I634" s="4">
        <f>VALUE(SUBSTITUTE('1000_заявлений'!I628, ".", ","))</f>
        <v>0.1741625</v>
      </c>
      <c r="J634" s="4">
        <f>VALUE(SUBSTITUTE('1000_заявлений'!J628, ".", ","))</f>
        <v>0.81186196051394799</v>
      </c>
      <c r="K634" s="5">
        <f>VALUE(SUBSTITUTE('1000_заявлений'!K628, ".", ","))</f>
        <v>365243</v>
      </c>
      <c r="L634" s="6">
        <f>VALUE(SUBSTITUTE('1000_заявлений'!L628, ".", ","))</f>
        <v>62698.5</v>
      </c>
      <c r="M634" s="2" t="str">
        <f>IF(Данные[[#This Row],[proba]]&gt;$C$6, "отказ", "одобрение")</f>
        <v>одобрение</v>
      </c>
      <c r="N634" s="7">
        <f>IF(Данные[[#This Row],[proba]]&lt;$D$2,$C$2,IF(Данные[[#This Row],[proba]]&lt;$D$3,$C$3,IF(Данные[[#This Row],[proba]]&gt;$C$6,0,$C$4)))</f>
        <v>300000</v>
      </c>
      <c r="O634" s="2">
        <f>IF(Данные[[#This Row],[weighted_ext_score]]&gt;$O$1,MIN(Данные[[#This Row],[Базовая сумма]]*$O$2,$C$2),IF(Данные[[#This Row],[weighted_ext_score]]&lt;$O$3,Данные[[#This Row],[Базовая сумма]]*$O$4,N634))</f>
        <v>300000</v>
      </c>
      <c r="P6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34" s="2">
        <f>ABS(Данные[[#This Row],[days_birth]])/365.2425</f>
        <v>55.730097127251071</v>
      </c>
      <c r="S6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34" s="2">
        <f>IF(Данные[[#This Row],[ interest_rate]]&gt;$T$1,Данные[[#This Row],[days_birth4]]*$T$2,Данные[[#This Row],[days_birth4]])</f>
        <v>378000</v>
      </c>
      <c r="U634" s="2">
        <f>IF(Данные[[#This Row],[Проверка отказа]]="отказ",0,MAX(Данные[[#This Row],[interest_rate]],$C$1))</f>
        <v>378000</v>
      </c>
      <c r="V634" s="2">
        <f>MROUND(Данные[[#This Row],[Минимум 20000]], 100)</f>
        <v>378000</v>
      </c>
    </row>
    <row r="635" spans="1:22" x14ac:dyDescent="0.25">
      <c r="A635" s="2">
        <f>'1000_заявлений'!A629</f>
        <v>627</v>
      </c>
      <c r="B635" s="4">
        <f>VALUE(SUBSTITUTE('1000_заявлений'!B629, ".", ","))</f>
        <v>0.91655211920539303</v>
      </c>
      <c r="C635" s="4">
        <f>VALUE(SUBSTITUTE('1000_заявлений'!C629, ".", ","))</f>
        <v>2.63620682649446E-2</v>
      </c>
      <c r="D635" s="4">
        <f>VALUE(SUBSTITUTE('1000_заявлений'!D629, ".", ","))</f>
        <v>6.7339510000000005E-2</v>
      </c>
      <c r="E635" s="4">
        <f>VALUE(SUBSTITUTE('1000_заявлений'!E629, ".", ","))</f>
        <v>6.1893499999999997E-3</v>
      </c>
      <c r="F635" s="5">
        <f>VALUE(SUBSTITUTE('1000_заявлений'!F629, ".", ","))</f>
        <v>-3940</v>
      </c>
      <c r="G635" s="5">
        <f>VALUE(SUBSTITUTE('1000_заявлений'!G629, ".", ","))</f>
        <v>-12572</v>
      </c>
      <c r="H635" s="5">
        <f>VALUE(SUBSTITUTE('1000_заявлений'!H629, ".", ","))</f>
        <v>-5241</v>
      </c>
      <c r="I635" s="4">
        <f>VALUE(SUBSTITUTE('1000_заявлений'!I629, ".", ","))</f>
        <v>0.21163333333333301</v>
      </c>
      <c r="J635" s="4">
        <f>VALUE(SUBSTITUTE('1000_заявлений'!J629, ".", ","))</f>
        <v>5.5232286919132596</v>
      </c>
      <c r="K635" s="5">
        <f>VALUE(SUBSTITUTE('1000_заявлений'!K629, ".", ","))</f>
        <v>-5501</v>
      </c>
      <c r="L635" s="6">
        <f>VALUE(SUBSTITUTE('1000_заявлений'!L629, ".", ","))</f>
        <v>28570.5</v>
      </c>
      <c r="M635" s="2" t="str">
        <f>IF(Данные[[#This Row],[proba]]&gt;$C$6, "отказ", "одобрение")</f>
        <v>отказ</v>
      </c>
      <c r="N635" s="7">
        <f>IF(Данные[[#This Row],[proba]]&lt;$D$2,$C$2,IF(Данные[[#This Row],[proba]]&lt;$D$3,$C$3,IF(Данные[[#This Row],[proba]]&gt;$C$6,0,$C$4)))</f>
        <v>0</v>
      </c>
      <c r="O635" s="2">
        <f>IF(Данные[[#This Row],[weighted_ext_score]]&gt;$O$1,MIN(Данные[[#This Row],[Базовая сумма]]*$O$2,$C$2),IF(Данные[[#This Row],[weighted_ext_score]]&lt;$O$3,Данные[[#This Row],[Базовая сумма]]*$O$4,N635))</f>
        <v>0</v>
      </c>
      <c r="P6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5" s="2">
        <f>ABS(Данные[[#This Row],[days_birth]])/365.2425</f>
        <v>34.420966891859514</v>
      </c>
      <c r="S6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5" s="2">
        <f>IF(Данные[[#This Row],[ interest_rate]]&gt;$T$1,Данные[[#This Row],[days_birth4]]*$T$2,Данные[[#This Row],[days_birth4]])</f>
        <v>0</v>
      </c>
      <c r="U635" s="2">
        <f>IF(Данные[[#This Row],[Проверка отказа]]="отказ",0,MAX(Данные[[#This Row],[interest_rate]],$C$1))</f>
        <v>0</v>
      </c>
      <c r="V635" s="2">
        <f>MROUND(Данные[[#This Row],[Минимум 20000]], 100)</f>
        <v>0</v>
      </c>
    </row>
    <row r="636" spans="1:22" x14ac:dyDescent="0.25">
      <c r="A636" s="2">
        <f>'1000_заявлений'!A630</f>
        <v>628</v>
      </c>
      <c r="B636" s="4">
        <f>VALUE(SUBSTITUTE('1000_заявлений'!B630, ".", ","))</f>
        <v>0.22702393322457301</v>
      </c>
      <c r="C636" s="4">
        <f>VALUE(SUBSTITUTE('1000_заявлений'!C630, ".", ","))</f>
        <v>0.46911330367409299</v>
      </c>
      <c r="D636" s="4">
        <f>VALUE(SUBSTITUTE('1000_заявлений'!D630, ".", ","))</f>
        <v>0.64797689999999997</v>
      </c>
      <c r="E636" s="4">
        <f>VALUE(SUBSTITUTE('1000_заявлений'!E630, ".", ","))</f>
        <v>0.72373324999999999</v>
      </c>
      <c r="F636" s="5">
        <f>VALUE(SUBSTITUTE('1000_заявлений'!F630, ".", ","))</f>
        <v>-9051</v>
      </c>
      <c r="G636" s="5">
        <f>VALUE(SUBSTITUTE('1000_заявлений'!G630, ".", ","))</f>
        <v>-16408</v>
      </c>
      <c r="H636" s="5">
        <f>VALUE(SUBSTITUTE('1000_заявлений'!H630, ".", ","))</f>
        <v>-4145</v>
      </c>
      <c r="I636" s="4">
        <f>VALUE(SUBSTITUTE('1000_заявлений'!I630, ".", ","))</f>
        <v>0.173925</v>
      </c>
      <c r="J636" s="4">
        <f>VALUE(SUBSTITUTE('1000_заявлений'!J630, ".", ","))</f>
        <v>5.0897011064750597</v>
      </c>
      <c r="K636" s="5">
        <f>VALUE(SUBSTITUTE('1000_заявлений'!K630, ".", ","))</f>
        <v>-3579</v>
      </c>
      <c r="L636" s="6">
        <f>VALUE(SUBSTITUTE('1000_заявлений'!L630, ".", ","))</f>
        <v>62613</v>
      </c>
      <c r="M636" s="2" t="str">
        <f>IF(Данные[[#This Row],[proba]]&gt;$C$6, "отказ", "одобрение")</f>
        <v>одобрение</v>
      </c>
      <c r="N636" s="7">
        <f>IF(Данные[[#This Row],[proba]]&lt;$D$2,$C$2,IF(Данные[[#This Row],[proba]]&lt;$D$3,$C$3,IF(Данные[[#This Row],[proba]]&gt;$C$6,0,$C$4)))</f>
        <v>100000</v>
      </c>
      <c r="O636" s="2">
        <f>IF(Данные[[#This Row],[weighted_ext_score]]&gt;$O$1,MIN(Данные[[#This Row],[Базовая сумма]]*$O$2,$C$2),IF(Данные[[#This Row],[weighted_ext_score]]&lt;$O$3,Данные[[#This Row],[Базовая сумма]]*$O$4,N636))</f>
        <v>100000</v>
      </c>
      <c r="P6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36" s="2">
        <f>ABS(Данные[[#This Row],[days_birth]])/365.2425</f>
        <v>44.923578170667433</v>
      </c>
      <c r="S6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36" s="2">
        <f>IF(Данные[[#This Row],[ interest_rate]]&gt;$T$1,Данные[[#This Row],[days_birth4]]*$T$2,Данные[[#This Row],[days_birth4]])</f>
        <v>144000</v>
      </c>
      <c r="U636" s="2">
        <f>IF(Данные[[#This Row],[Проверка отказа]]="отказ",0,MAX(Данные[[#This Row],[interest_rate]],$C$1))</f>
        <v>144000</v>
      </c>
      <c r="V636" s="2">
        <f>MROUND(Данные[[#This Row],[Минимум 20000]], 100)</f>
        <v>144000</v>
      </c>
    </row>
    <row r="637" spans="1:22" x14ac:dyDescent="0.25">
      <c r="A637" s="2">
        <f>'1000_заявлений'!A631</f>
        <v>629</v>
      </c>
      <c r="B637" s="4">
        <f>VALUE(SUBSTITUTE('1000_заявлений'!B631, ".", ","))</f>
        <v>0.35795296638312502</v>
      </c>
      <c r="C637" s="4">
        <f>VALUE(SUBSTITUTE('1000_заявлений'!C631, ".", ","))</f>
        <v>0.42513707234468301</v>
      </c>
      <c r="D637" s="4">
        <f>VALUE(SUBSTITUTE('1000_заявлений'!D631, ".", ","))</f>
        <v>0.68326885000000004</v>
      </c>
      <c r="E637" s="4">
        <f>VALUE(SUBSTITUTE('1000_заявлений'!E631, ".", ","))</f>
        <v>0.54881290000000005</v>
      </c>
      <c r="F637" s="5">
        <f>VALUE(SUBSTITUTE('1000_заявлений'!F631, ".", ","))</f>
        <v>-4277</v>
      </c>
      <c r="G637" s="5">
        <f>VALUE(SUBSTITUTE('1000_заявлений'!G631, ".", ","))</f>
        <v>-19716</v>
      </c>
      <c r="H637" s="5">
        <f>VALUE(SUBSTITUTE('1000_заявлений'!H631, ".", ","))</f>
        <v>-3272</v>
      </c>
      <c r="I637" s="4">
        <f>VALUE(SUBSTITUTE('1000_заявлений'!I631, ".", ","))</f>
        <v>0.29060000000000002</v>
      </c>
      <c r="J637" s="4">
        <f>VALUE(SUBSTITUTE('1000_заявлений'!J631, ".", ","))</f>
        <v>0.65944728718305701</v>
      </c>
      <c r="K637" s="5">
        <f>VALUE(SUBSTITUTE('1000_заявлений'!K631, ".", ","))</f>
        <v>-4571</v>
      </c>
      <c r="L637" s="6">
        <f>VALUE(SUBSTITUTE('1000_заявлений'!L631, ".", ","))</f>
        <v>26154</v>
      </c>
      <c r="M637" s="2" t="str">
        <f>IF(Данные[[#This Row],[proba]]&gt;$C$6, "отказ", "одобрение")</f>
        <v>отказ</v>
      </c>
      <c r="N637" s="7">
        <f>IF(Данные[[#This Row],[proba]]&lt;$D$2,$C$2,IF(Данные[[#This Row],[proba]]&lt;$D$3,$C$3,IF(Данные[[#This Row],[proba]]&gt;$C$6,0,$C$4)))</f>
        <v>0</v>
      </c>
      <c r="O637" s="2">
        <f>IF(Данные[[#This Row],[weighted_ext_score]]&gt;$O$1,MIN(Данные[[#This Row],[Базовая сумма]]*$O$2,$C$2),IF(Данные[[#This Row],[weighted_ext_score]]&lt;$O$3,Данные[[#This Row],[Базовая сумма]]*$O$4,N637))</f>
        <v>0</v>
      </c>
      <c r="P6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7" s="2">
        <f>ABS(Данные[[#This Row],[days_birth]])/365.2425</f>
        <v>53.980574549785416</v>
      </c>
      <c r="S6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7" s="2">
        <f>IF(Данные[[#This Row],[ interest_rate]]&gt;$T$1,Данные[[#This Row],[days_birth4]]*$T$2,Данные[[#This Row],[days_birth4]])</f>
        <v>0</v>
      </c>
      <c r="U637" s="2">
        <f>IF(Данные[[#This Row],[Проверка отказа]]="отказ",0,MAX(Данные[[#This Row],[interest_rate]],$C$1))</f>
        <v>0</v>
      </c>
      <c r="V637" s="2">
        <f>MROUND(Данные[[#This Row],[Минимум 20000]], 100)</f>
        <v>0</v>
      </c>
    </row>
    <row r="638" spans="1:22" x14ac:dyDescent="0.25">
      <c r="A638" s="2">
        <f>'1000_заявлений'!A632</f>
        <v>630</v>
      </c>
      <c r="B638" s="4">
        <f>VALUE(SUBSTITUTE('1000_заявлений'!B632, ".", ","))</f>
        <v>0.66710795161736602</v>
      </c>
      <c r="C638" s="4">
        <f>VALUE(SUBSTITUTE('1000_заявлений'!C632, ".", ","))</f>
        <v>0.23998041040720899</v>
      </c>
      <c r="D638" s="4">
        <f>VALUE(SUBSTITUTE('1000_заявлений'!D632, ".", ","))</f>
        <v>0.32331124</v>
      </c>
      <c r="E638" s="4">
        <f>VALUE(SUBSTITUTE('1000_заявлений'!E632, ".", ","))</f>
        <v>0.37934223</v>
      </c>
      <c r="F638" s="5">
        <f>VALUE(SUBSTITUTE('1000_заявлений'!F632, ".", ","))</f>
        <v>-10501</v>
      </c>
      <c r="G638" s="5">
        <f>VALUE(SUBSTITUTE('1000_заявлений'!G632, ".", ","))</f>
        <v>-19148</v>
      </c>
      <c r="H638" s="5">
        <f>VALUE(SUBSTITUTE('1000_заявлений'!H632, ".", ","))</f>
        <v>-1249</v>
      </c>
      <c r="I638" s="4">
        <f>VALUE(SUBSTITUTE('1000_заявлений'!I632, ".", ","))</f>
        <v>9.9281250000000001E-2</v>
      </c>
      <c r="J638" s="4">
        <f>VALUE(SUBSTITUTE('1000_заявлений'!J632, ".", ","))</f>
        <v>1.79931414735652</v>
      </c>
      <c r="K638" s="5">
        <f>VALUE(SUBSTITUTE('1000_заявлений'!K632, ".", ","))</f>
        <v>-1484</v>
      </c>
      <c r="L638" s="6">
        <f>VALUE(SUBSTITUTE('1000_заявлений'!L632, ".", ","))</f>
        <v>14296.5</v>
      </c>
      <c r="M638" s="2" t="str">
        <f>IF(Данные[[#This Row],[proba]]&gt;$C$6, "отказ", "одобрение")</f>
        <v>отказ</v>
      </c>
      <c r="N638" s="7">
        <f>IF(Данные[[#This Row],[proba]]&lt;$D$2,$C$2,IF(Данные[[#This Row],[proba]]&lt;$D$3,$C$3,IF(Данные[[#This Row],[proba]]&gt;$C$6,0,$C$4)))</f>
        <v>0</v>
      </c>
      <c r="O638" s="2">
        <f>IF(Данные[[#This Row],[weighted_ext_score]]&gt;$O$1,MIN(Данные[[#This Row],[Базовая сумма]]*$O$2,$C$2),IF(Данные[[#This Row],[weighted_ext_score]]&lt;$O$3,Данные[[#This Row],[Базовая сумма]]*$O$4,N638))</f>
        <v>0</v>
      </c>
      <c r="P6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8" s="2">
        <f>ABS(Данные[[#This Row],[days_birth]])/365.2425</f>
        <v>52.425443369815945</v>
      </c>
      <c r="S6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8" s="2">
        <f>IF(Данные[[#This Row],[ interest_rate]]&gt;$T$1,Данные[[#This Row],[days_birth4]]*$T$2,Данные[[#This Row],[days_birth4]])</f>
        <v>0</v>
      </c>
      <c r="U638" s="2">
        <f>IF(Данные[[#This Row],[Проверка отказа]]="отказ",0,MAX(Данные[[#This Row],[interest_rate]],$C$1))</f>
        <v>0</v>
      </c>
      <c r="V638" s="2">
        <f>MROUND(Данные[[#This Row],[Минимум 20000]], 100)</f>
        <v>0</v>
      </c>
    </row>
    <row r="639" spans="1:22" x14ac:dyDescent="0.25">
      <c r="A639" s="2">
        <f>'1000_заявлений'!A633</f>
        <v>631</v>
      </c>
      <c r="B639" s="4">
        <f>VALUE(SUBSTITUTE('1000_заявлений'!B633, ".", ","))</f>
        <v>0.51553495265662996</v>
      </c>
      <c r="C639" s="4">
        <f>VALUE(SUBSTITUTE('1000_заявлений'!C633, ".", ","))</f>
        <v>0.31818664351182402</v>
      </c>
      <c r="D639" s="4">
        <f>VALUE(SUBSTITUTE('1000_заявлений'!D633, ".", ","))</f>
        <v>0.58499000000000001</v>
      </c>
      <c r="E639" s="4">
        <f>VALUE(SUBSTITUTE('1000_заявлений'!E633, ".", ","))</f>
        <v>0.328679</v>
      </c>
      <c r="F639" s="5">
        <f>VALUE(SUBSTITUTE('1000_заявлений'!F633, ".", ","))</f>
        <v>-12353</v>
      </c>
      <c r="G639" s="5">
        <f>VALUE(SUBSTITUTE('1000_заявлений'!G633, ".", ","))</f>
        <v>-18377</v>
      </c>
      <c r="H639" s="5">
        <f>VALUE(SUBSTITUTE('1000_заявлений'!H633, ".", ","))</f>
        <v>-1917</v>
      </c>
      <c r="I639" s="4">
        <f>VALUE(SUBSTITUTE('1000_заявлений'!I633, ".", ","))</f>
        <v>0.14036000000000001</v>
      </c>
      <c r="J639" s="4">
        <f>VALUE(SUBSTITUTE('1000_заявлений'!J633, ".", ","))</f>
        <v>2.1575262132743802</v>
      </c>
      <c r="K639" s="5">
        <f>VALUE(SUBSTITUTE('1000_заявлений'!K633, ".", ","))</f>
        <v>-5210</v>
      </c>
      <c r="L639" s="6">
        <f>VALUE(SUBSTITUTE('1000_заявлений'!L633, ".", ","))</f>
        <v>15790.5</v>
      </c>
      <c r="M639" s="2" t="str">
        <f>IF(Данные[[#This Row],[proba]]&gt;$C$6, "отказ", "одобрение")</f>
        <v>отказ</v>
      </c>
      <c r="N639" s="7">
        <f>IF(Данные[[#This Row],[proba]]&lt;$D$2,$C$2,IF(Данные[[#This Row],[proba]]&lt;$D$3,$C$3,IF(Данные[[#This Row],[proba]]&gt;$C$6,0,$C$4)))</f>
        <v>0</v>
      </c>
      <c r="O639" s="2">
        <f>IF(Данные[[#This Row],[weighted_ext_score]]&gt;$O$1,MIN(Данные[[#This Row],[Базовая сумма]]*$O$2,$C$2),IF(Данные[[#This Row],[weighted_ext_score]]&lt;$O$3,Данные[[#This Row],[Базовая сумма]]*$O$4,N639))</f>
        <v>0</v>
      </c>
      <c r="P6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39" s="2">
        <f>ABS(Данные[[#This Row],[days_birth]])/365.2425</f>
        <v>50.314517067427801</v>
      </c>
      <c r="S6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39" s="2">
        <f>IF(Данные[[#This Row],[ interest_rate]]&gt;$T$1,Данные[[#This Row],[days_birth4]]*$T$2,Данные[[#This Row],[days_birth4]])</f>
        <v>0</v>
      </c>
      <c r="U639" s="2">
        <f>IF(Данные[[#This Row],[Проверка отказа]]="отказ",0,MAX(Данные[[#This Row],[interest_rate]],$C$1))</f>
        <v>0</v>
      </c>
      <c r="V639" s="2">
        <f>MROUND(Данные[[#This Row],[Минимум 20000]], 100)</f>
        <v>0</v>
      </c>
    </row>
    <row r="640" spans="1:22" x14ac:dyDescent="0.25">
      <c r="A640" s="2">
        <f>'1000_заявлений'!A634</f>
        <v>632</v>
      </c>
      <c r="B640" s="4">
        <f>VALUE(SUBSTITUTE('1000_заявлений'!B634, ".", ","))</f>
        <v>0.30120211373047101</v>
      </c>
      <c r="C640" s="4">
        <f>VALUE(SUBSTITUTE('1000_заявлений'!C634, ".", ","))</f>
        <v>0.46970220691463499</v>
      </c>
      <c r="D640" s="4">
        <f>VALUE(SUBSTITUTE('1000_заявлений'!D634, ".", ","))</f>
        <v>0.63970757</v>
      </c>
      <c r="E640" s="4">
        <f>VALUE(SUBSTITUTE('1000_заявлений'!E634, ".", ","))</f>
        <v>0.44634395999999998</v>
      </c>
      <c r="F640" s="5">
        <f>VALUE(SUBSTITUTE('1000_заявлений'!F634, ".", ","))</f>
        <v>-5736</v>
      </c>
      <c r="G640" s="5">
        <f>VALUE(SUBSTITUTE('1000_заявлений'!G634, ".", ","))</f>
        <v>-14891</v>
      </c>
      <c r="H640" s="5">
        <f>VALUE(SUBSTITUTE('1000_заявлений'!H634, ".", ","))</f>
        <v>-3867</v>
      </c>
      <c r="I640" s="4">
        <f>VALUE(SUBSTITUTE('1000_заявлений'!I634, ".", ","))</f>
        <v>0.12068</v>
      </c>
      <c r="J640" s="4">
        <f>VALUE(SUBSTITUTE('1000_заявлений'!J634, ".", ","))</f>
        <v>15.1247420072579</v>
      </c>
      <c r="K640" s="5">
        <f>VALUE(SUBSTITUTE('1000_заявлений'!K634, ".", ","))</f>
        <v>-258</v>
      </c>
      <c r="L640" s="6">
        <f>VALUE(SUBSTITUTE('1000_заявлений'!L634, ".", ","))</f>
        <v>27153</v>
      </c>
      <c r="M640" s="2" t="str">
        <f>IF(Данные[[#This Row],[proba]]&gt;$C$6, "отказ", "одобрение")</f>
        <v>отказ</v>
      </c>
      <c r="N640" s="7">
        <f>IF(Данные[[#This Row],[proba]]&lt;$D$2,$C$2,IF(Данные[[#This Row],[proba]]&lt;$D$3,$C$3,IF(Данные[[#This Row],[proba]]&gt;$C$6,0,$C$4)))</f>
        <v>0</v>
      </c>
      <c r="O640" s="2">
        <f>IF(Данные[[#This Row],[weighted_ext_score]]&gt;$O$1,MIN(Данные[[#This Row],[Базовая сумма]]*$O$2,$C$2),IF(Данные[[#This Row],[weighted_ext_score]]&lt;$O$3,Данные[[#This Row],[Базовая сумма]]*$O$4,N640))</f>
        <v>0</v>
      </c>
      <c r="P6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0" s="2">
        <f>ABS(Данные[[#This Row],[days_birth]])/365.2425</f>
        <v>40.770173241065869</v>
      </c>
      <c r="S6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0" s="2">
        <f>IF(Данные[[#This Row],[ interest_rate]]&gt;$T$1,Данные[[#This Row],[days_birth4]]*$T$2,Данные[[#This Row],[days_birth4]])</f>
        <v>0</v>
      </c>
      <c r="U640" s="2">
        <f>IF(Данные[[#This Row],[Проверка отказа]]="отказ",0,MAX(Данные[[#This Row],[interest_rate]],$C$1))</f>
        <v>0</v>
      </c>
      <c r="V640" s="2">
        <f>MROUND(Данные[[#This Row],[Минимум 20000]], 100)</f>
        <v>0</v>
      </c>
    </row>
    <row r="641" spans="1:22" x14ac:dyDescent="0.25">
      <c r="A641" s="2">
        <f>'1000_заявлений'!A635</f>
        <v>633</v>
      </c>
      <c r="B641" s="4">
        <f>VALUE(SUBSTITUTE('1000_заявлений'!B635, ".", ","))</f>
        <v>0.33151495764715999</v>
      </c>
      <c r="C641" s="4">
        <f>VALUE(SUBSTITUTE('1000_заявлений'!C635, ".", ","))</f>
        <v>0.43749900831173</v>
      </c>
      <c r="D641" s="4">
        <f>VALUE(SUBSTITUTE('1000_заявлений'!D635, ".", ","))</f>
        <v>0.65452929999999998</v>
      </c>
      <c r="E641" s="4">
        <f>VALUE(SUBSTITUTE('1000_заявлений'!E635, ".", ","))</f>
        <v>0.61896600000000002</v>
      </c>
      <c r="F641" s="5">
        <f>VALUE(SUBSTITUTE('1000_заявлений'!F635, ".", ","))</f>
        <v>-3310</v>
      </c>
      <c r="G641" s="5">
        <f>VALUE(SUBSTITUTE('1000_заявлений'!G635, ".", ","))</f>
        <v>-13329</v>
      </c>
      <c r="H641" s="5">
        <f>VALUE(SUBSTITUTE('1000_заявлений'!H635, ".", ","))</f>
        <v>-4779</v>
      </c>
      <c r="I641" s="4">
        <f>VALUE(SUBSTITUTE('1000_заявлений'!I635, ".", ","))</f>
        <v>0.21162</v>
      </c>
      <c r="J641" s="4">
        <f>VALUE(SUBSTITUTE('1000_заявлений'!J635, ".", ","))</f>
        <v>0.31963619860924097</v>
      </c>
      <c r="K641" s="5">
        <f>VALUE(SUBSTITUTE('1000_заявлений'!K635, ".", ","))</f>
        <v>-2337</v>
      </c>
      <c r="L641" s="6">
        <f>VALUE(SUBSTITUTE('1000_заявлений'!L635, ".", ","))</f>
        <v>47614.5</v>
      </c>
      <c r="M641" s="2" t="str">
        <f>IF(Данные[[#This Row],[proba]]&gt;$C$6, "отказ", "одобрение")</f>
        <v>отказ</v>
      </c>
      <c r="N641" s="7">
        <f>IF(Данные[[#This Row],[proba]]&lt;$D$2,$C$2,IF(Данные[[#This Row],[proba]]&lt;$D$3,$C$3,IF(Данные[[#This Row],[proba]]&gt;$C$6,0,$C$4)))</f>
        <v>0</v>
      </c>
      <c r="O641" s="2">
        <f>IF(Данные[[#This Row],[weighted_ext_score]]&gt;$O$1,MIN(Данные[[#This Row],[Базовая сумма]]*$O$2,$C$2),IF(Данные[[#This Row],[weighted_ext_score]]&lt;$O$3,Данные[[#This Row],[Базовая сумма]]*$O$4,N641))</f>
        <v>0</v>
      </c>
      <c r="P6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1" s="2">
        <f>ABS(Данные[[#This Row],[days_birth]])/365.2425</f>
        <v>36.493562496149821</v>
      </c>
      <c r="S6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1" s="2">
        <f>IF(Данные[[#This Row],[ interest_rate]]&gt;$T$1,Данные[[#This Row],[days_birth4]]*$T$2,Данные[[#This Row],[days_birth4]])</f>
        <v>0</v>
      </c>
      <c r="U641" s="2">
        <f>IF(Данные[[#This Row],[Проверка отказа]]="отказ",0,MAX(Данные[[#This Row],[interest_rate]],$C$1))</f>
        <v>0</v>
      </c>
      <c r="V641" s="2">
        <f>MROUND(Данные[[#This Row],[Минимум 20000]], 100)</f>
        <v>0</v>
      </c>
    </row>
    <row r="642" spans="1:22" x14ac:dyDescent="0.25">
      <c r="A642" s="2">
        <f>'1000_заявлений'!A636</f>
        <v>634</v>
      </c>
      <c r="B642" s="4">
        <f>VALUE(SUBSTITUTE('1000_заявлений'!B636, ".", ","))</f>
        <v>0.438094621407282</v>
      </c>
      <c r="C642" s="4">
        <f>VALUE(SUBSTITUTE('1000_заявлений'!C636, ".", ","))</f>
        <v>0.47282180209575703</v>
      </c>
      <c r="D642" s="4">
        <f>VALUE(SUBSTITUTE('1000_заявлений'!D636, ".", ","))</f>
        <v>0.47584989999999999</v>
      </c>
      <c r="E642" s="4">
        <f>VALUE(SUBSTITUTE('1000_заявлений'!E636, ".", ","))</f>
        <v>0.5849723</v>
      </c>
      <c r="F642" s="5">
        <f>VALUE(SUBSTITUTE('1000_заявлений'!F636, ".", ","))</f>
        <v>-3374</v>
      </c>
      <c r="G642" s="5">
        <f>VALUE(SUBSTITUTE('1000_заявлений'!G636, ".", ","))</f>
        <v>-10584</v>
      </c>
      <c r="H642" s="5">
        <f>VALUE(SUBSTITUTE('1000_заявлений'!H636, ".", ","))</f>
        <v>-3254</v>
      </c>
      <c r="I642" s="4">
        <f>VALUE(SUBSTITUTE('1000_заявлений'!I636, ".", ","))</f>
        <v>8.4074999999999997E-2</v>
      </c>
      <c r="J642" s="4">
        <f>VALUE(SUBSTITUTE('1000_заявлений'!J636, ".", ","))</f>
        <v>0.678426258057229</v>
      </c>
      <c r="K642" s="5">
        <f>VALUE(SUBSTITUTE('1000_заявлений'!K636, ".", ","))</f>
        <v>-1903</v>
      </c>
      <c r="L642" s="6">
        <f>VALUE(SUBSTITUTE('1000_заявлений'!L636, ".", ","))</f>
        <v>15133.5</v>
      </c>
      <c r="M642" s="2" t="str">
        <f>IF(Данные[[#This Row],[proba]]&gt;$C$6, "отказ", "одобрение")</f>
        <v>отказ</v>
      </c>
      <c r="N642" s="7">
        <f>IF(Данные[[#This Row],[proba]]&lt;$D$2,$C$2,IF(Данные[[#This Row],[proba]]&lt;$D$3,$C$3,IF(Данные[[#This Row],[proba]]&gt;$C$6,0,$C$4)))</f>
        <v>0</v>
      </c>
      <c r="O642" s="2">
        <f>IF(Данные[[#This Row],[weighted_ext_score]]&gt;$O$1,MIN(Данные[[#This Row],[Базовая сумма]]*$O$2,$C$2),IF(Данные[[#This Row],[weighted_ext_score]]&lt;$O$3,Данные[[#This Row],[Базовая сумма]]*$O$4,N642))</f>
        <v>0</v>
      </c>
      <c r="P6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2" s="2">
        <f>ABS(Данные[[#This Row],[days_birth]])/365.2425</f>
        <v>28.978007761966364</v>
      </c>
      <c r="S6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2" s="2">
        <f>IF(Данные[[#This Row],[ interest_rate]]&gt;$T$1,Данные[[#This Row],[days_birth4]]*$T$2,Данные[[#This Row],[days_birth4]])</f>
        <v>0</v>
      </c>
      <c r="U642" s="2">
        <f>IF(Данные[[#This Row],[Проверка отказа]]="отказ",0,MAX(Данные[[#This Row],[interest_rate]],$C$1))</f>
        <v>0</v>
      </c>
      <c r="V642" s="2">
        <f>MROUND(Данные[[#This Row],[Минимум 20000]], 100)</f>
        <v>0</v>
      </c>
    </row>
    <row r="643" spans="1:22" x14ac:dyDescent="0.25">
      <c r="A643" s="2">
        <f>'1000_заявлений'!A637</f>
        <v>635</v>
      </c>
      <c r="B643" s="4">
        <f>VALUE(SUBSTITUTE('1000_заявлений'!B637, ".", ","))</f>
        <v>0.27917785019698999</v>
      </c>
      <c r="C643" s="4">
        <f>VALUE(SUBSTITUTE('1000_заявлений'!C637, ".", ","))</f>
        <v>0.45815261387331502</v>
      </c>
      <c r="D643" s="4">
        <f>VALUE(SUBSTITUTE('1000_заявлений'!D637, ".", ","))</f>
        <v>0.80388504000000005</v>
      </c>
      <c r="E643" s="4">
        <f>VALUE(SUBSTITUTE('1000_заявлений'!E637, ".", ","))</f>
        <v>0.51611269999999998</v>
      </c>
      <c r="F643" s="5">
        <f>VALUE(SUBSTITUTE('1000_заявлений'!F637, ".", ","))</f>
        <v>-411</v>
      </c>
      <c r="G643" s="5">
        <f>VALUE(SUBSTITUTE('1000_заявлений'!G637, ".", ","))</f>
        <v>-16714</v>
      </c>
      <c r="H643" s="5">
        <f>VALUE(SUBSTITUTE('1000_заявлений'!H637, ".", ","))</f>
        <v>-272</v>
      </c>
      <c r="I643" s="4">
        <f>VALUE(SUBSTITUTE('1000_заявлений'!I637, ".", ","))</f>
        <v>9.8705882352941102E-2</v>
      </c>
      <c r="J643" s="4">
        <f>VALUE(SUBSTITUTE('1000_заявлений'!J637, ".", ","))</f>
        <v>2.4823644894277299</v>
      </c>
      <c r="K643" s="5">
        <f>VALUE(SUBSTITUTE('1000_заявлений'!K637, ".", ","))</f>
        <v>-253</v>
      </c>
      <c r="L643" s="6">
        <f>VALUE(SUBSTITUTE('1000_заявлений'!L637, ".", ","))</f>
        <v>37755</v>
      </c>
      <c r="M643" s="2" t="str">
        <f>IF(Данные[[#This Row],[proba]]&gt;$C$6, "отказ", "одобрение")</f>
        <v>одобрение</v>
      </c>
      <c r="N643" s="7">
        <f>IF(Данные[[#This Row],[proba]]&lt;$D$2,$C$2,IF(Данные[[#This Row],[proba]]&lt;$D$3,$C$3,IF(Данные[[#This Row],[proba]]&gt;$C$6,0,$C$4)))</f>
        <v>100000</v>
      </c>
      <c r="O643" s="2">
        <f>IF(Данные[[#This Row],[weighted_ext_score]]&gt;$O$1,MIN(Данные[[#This Row],[Базовая сумма]]*$O$2,$C$2),IF(Данные[[#This Row],[weighted_ext_score]]&lt;$O$3,Данные[[#This Row],[Базовая сумма]]*$O$4,N643))</f>
        <v>100000</v>
      </c>
      <c r="P6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43" s="2">
        <f>ABS(Данные[[#This Row],[days_birth]])/365.2425</f>
        <v>45.761377714805917</v>
      </c>
      <c r="S6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643" s="2">
        <f>IF(Данные[[#This Row],[ interest_rate]]&gt;$T$1,Данные[[#This Row],[days_birth4]]*$T$2,Данные[[#This Row],[days_birth4]])</f>
        <v>120000</v>
      </c>
      <c r="U643" s="2">
        <f>IF(Данные[[#This Row],[Проверка отказа]]="отказ",0,MAX(Данные[[#This Row],[interest_rate]],$C$1))</f>
        <v>120000</v>
      </c>
      <c r="V643" s="2">
        <f>MROUND(Данные[[#This Row],[Минимум 20000]], 100)</f>
        <v>120000</v>
      </c>
    </row>
    <row r="644" spans="1:22" x14ac:dyDescent="0.25">
      <c r="A644" s="2">
        <f>'1000_заявлений'!A638</f>
        <v>636</v>
      </c>
      <c r="B644" s="4">
        <f>VALUE(SUBSTITUTE('1000_заявлений'!B638, ".", ","))</f>
        <v>0.41667745474874601</v>
      </c>
      <c r="C644" s="4">
        <f>VALUE(SUBSTITUTE('1000_заявлений'!C638, ".", ","))</f>
        <v>0.35068673448850801</v>
      </c>
      <c r="D644" s="4">
        <f>VALUE(SUBSTITUTE('1000_заявлений'!D638, ".", ","))</f>
        <v>0.39794633000000001</v>
      </c>
      <c r="E644" s="4">
        <f>VALUE(SUBSTITUTE('1000_заявлений'!E638, ".", ","))</f>
        <v>0.63741665999999997</v>
      </c>
      <c r="F644" s="5">
        <f>VALUE(SUBSTITUTE('1000_заявлений'!F638, ".", ","))</f>
        <v>-329</v>
      </c>
      <c r="G644" s="5">
        <f>VALUE(SUBSTITUTE('1000_заявлений'!G638, ".", ","))</f>
        <v>-22073</v>
      </c>
      <c r="H644" s="5">
        <f>VALUE(SUBSTITUTE('1000_заявлений'!H638, ".", ","))</f>
        <v>-4725</v>
      </c>
      <c r="I644" s="4">
        <f>VALUE(SUBSTITUTE('1000_заявлений'!I638, ".", ","))</f>
        <v>0.21748000000000001</v>
      </c>
      <c r="J644" s="4">
        <f>VALUE(SUBSTITUTE('1000_заявлений'!J638, ".", ","))</f>
        <v>1.8465642430804701</v>
      </c>
      <c r="K644" s="5">
        <f>VALUE(SUBSTITUTE('1000_заявлений'!K638, ".", ","))</f>
        <v>365243</v>
      </c>
      <c r="L644" s="6">
        <f>VALUE(SUBSTITUTE('1000_заявлений'!L638, ".", ","))</f>
        <v>24466.5</v>
      </c>
      <c r="M644" s="2" t="str">
        <f>IF(Данные[[#This Row],[proba]]&gt;$C$6, "отказ", "одобрение")</f>
        <v>отказ</v>
      </c>
      <c r="N644" s="7">
        <f>IF(Данные[[#This Row],[proba]]&lt;$D$2,$C$2,IF(Данные[[#This Row],[proba]]&lt;$D$3,$C$3,IF(Данные[[#This Row],[proba]]&gt;$C$6,0,$C$4)))</f>
        <v>0</v>
      </c>
      <c r="O644" s="2">
        <f>IF(Данные[[#This Row],[weighted_ext_score]]&gt;$O$1,MIN(Данные[[#This Row],[Базовая сумма]]*$O$2,$C$2),IF(Данные[[#This Row],[weighted_ext_score]]&lt;$O$3,Данные[[#This Row],[Базовая сумма]]*$O$4,N644))</f>
        <v>0</v>
      </c>
      <c r="P6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4" s="2">
        <f>ABS(Данные[[#This Row],[days_birth]])/365.2425</f>
        <v>60.43382136525733</v>
      </c>
      <c r="S6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4" s="2">
        <f>IF(Данные[[#This Row],[ interest_rate]]&gt;$T$1,Данные[[#This Row],[days_birth4]]*$T$2,Данные[[#This Row],[days_birth4]])</f>
        <v>0</v>
      </c>
      <c r="U644" s="2">
        <f>IF(Данные[[#This Row],[Проверка отказа]]="отказ",0,MAX(Данные[[#This Row],[interest_rate]],$C$1))</f>
        <v>0</v>
      </c>
      <c r="V644" s="2">
        <f>MROUND(Данные[[#This Row],[Минимум 20000]], 100)</f>
        <v>0</v>
      </c>
    </row>
    <row r="645" spans="1:22" x14ac:dyDescent="0.25">
      <c r="A645" s="2">
        <f>'1000_заявлений'!A639</f>
        <v>637</v>
      </c>
      <c r="B645" s="4">
        <f>VALUE(SUBSTITUTE('1000_заявлений'!B639, ".", ","))</f>
        <v>0.677427898866933</v>
      </c>
      <c r="C645" s="4">
        <f>VALUE(SUBSTITUTE('1000_заявлений'!C639, ".", ","))</f>
        <v>0.30462647713541102</v>
      </c>
      <c r="D645" s="4">
        <f>VALUE(SUBSTITUTE('1000_заявлений'!D639, ".", ","))</f>
        <v>0.36394525</v>
      </c>
      <c r="E645" s="4">
        <f>VALUE(SUBSTITUTE('1000_заявлений'!E639, ".", ","))</f>
        <v>0.37904367</v>
      </c>
      <c r="F645" s="5">
        <f>VALUE(SUBSTITUTE('1000_заявлений'!F639, ".", ","))</f>
        <v>-5627</v>
      </c>
      <c r="G645" s="5">
        <f>VALUE(SUBSTITUTE('1000_заявлений'!G639, ".", ","))</f>
        <v>-10013</v>
      </c>
      <c r="H645" s="5">
        <f>VALUE(SUBSTITUTE('1000_заявлений'!H639, ".", ","))</f>
        <v>-2456</v>
      </c>
      <c r="I645" s="4">
        <f>VALUE(SUBSTITUTE('1000_заявлений'!I639, ".", ","))</f>
        <v>0.23274</v>
      </c>
      <c r="J645" s="4">
        <f>VALUE(SUBSTITUTE('1000_заявлений'!J639, ".", ","))</f>
        <v>1.4702629206988</v>
      </c>
      <c r="K645" s="5">
        <f>VALUE(SUBSTITUTE('1000_заявлений'!K639, ".", ","))</f>
        <v>-301</v>
      </c>
      <c r="L645" s="6">
        <f>VALUE(SUBSTITUTE('1000_заявлений'!L639, ".", ","))</f>
        <v>52366.5</v>
      </c>
      <c r="M645" s="2" t="str">
        <f>IF(Данные[[#This Row],[proba]]&gt;$C$6, "отказ", "одобрение")</f>
        <v>отказ</v>
      </c>
      <c r="N645" s="7">
        <f>IF(Данные[[#This Row],[proba]]&lt;$D$2,$C$2,IF(Данные[[#This Row],[proba]]&lt;$D$3,$C$3,IF(Данные[[#This Row],[proba]]&gt;$C$6,0,$C$4)))</f>
        <v>0</v>
      </c>
      <c r="O645" s="2">
        <f>IF(Данные[[#This Row],[weighted_ext_score]]&gt;$O$1,MIN(Данные[[#This Row],[Базовая сумма]]*$O$2,$C$2),IF(Данные[[#This Row],[weighted_ext_score]]&lt;$O$3,Данные[[#This Row],[Базовая сумма]]*$O$4,N645))</f>
        <v>0</v>
      </c>
      <c r="P6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5" s="2">
        <f>ABS(Данные[[#This Row],[days_birth]])/365.2425</f>
        <v>27.414662860975927</v>
      </c>
      <c r="S6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5" s="2">
        <f>IF(Данные[[#This Row],[ interest_rate]]&gt;$T$1,Данные[[#This Row],[days_birth4]]*$T$2,Данные[[#This Row],[days_birth4]])</f>
        <v>0</v>
      </c>
      <c r="U645" s="2">
        <f>IF(Данные[[#This Row],[Проверка отказа]]="отказ",0,MAX(Данные[[#This Row],[interest_rate]],$C$1))</f>
        <v>0</v>
      </c>
      <c r="V645" s="2">
        <f>MROUND(Данные[[#This Row],[Минимум 20000]], 100)</f>
        <v>0</v>
      </c>
    </row>
    <row r="646" spans="1:22" x14ac:dyDescent="0.25">
      <c r="A646" s="2">
        <f>'1000_заявлений'!A640</f>
        <v>638</v>
      </c>
      <c r="B646" s="4">
        <f>VALUE(SUBSTITUTE('1000_заявлений'!B640, ".", ","))</f>
        <v>0.24854965436808199</v>
      </c>
      <c r="C646" s="4">
        <f>VALUE(SUBSTITUTE('1000_заявлений'!C640, ".", ","))</f>
        <v>0.47907998568453902</v>
      </c>
      <c r="D646" s="4">
        <f>VALUE(SUBSTITUTE('1000_заявлений'!D640, ".", ","))</f>
        <v>0.63637613999999998</v>
      </c>
      <c r="E646" s="4">
        <f>VALUE(SUBSTITUTE('1000_заявлений'!E640, ".", ","))</f>
        <v>0.7673932</v>
      </c>
      <c r="F646" s="5">
        <f>VALUE(SUBSTITUTE('1000_заявлений'!F640, ".", ","))</f>
        <v>-153</v>
      </c>
      <c r="G646" s="5">
        <f>VALUE(SUBSTITUTE('1000_заявлений'!G640, ".", ","))</f>
        <v>-19547</v>
      </c>
      <c r="H646" s="5">
        <f>VALUE(SUBSTITUTE('1000_заявлений'!H640, ".", ","))</f>
        <v>-2935</v>
      </c>
      <c r="I646" s="4">
        <f>VALUE(SUBSTITUTE('1000_заявлений'!I640, ".", ","))</f>
        <v>0.27855000000000002</v>
      </c>
      <c r="J646" s="4">
        <f>VALUE(SUBSTITUTE('1000_заявлений'!J640, ".", ","))</f>
        <v>5.5153142323782296</v>
      </c>
      <c r="K646" s="5">
        <f>VALUE(SUBSTITUTE('1000_заявлений'!K640, ".", ","))</f>
        <v>-3979</v>
      </c>
      <c r="L646" s="6">
        <f>VALUE(SUBSTITUTE('1000_заявлений'!L640, ".", ","))</f>
        <v>50139</v>
      </c>
      <c r="M646" s="2" t="str">
        <f>IF(Данные[[#This Row],[proba]]&gt;$C$6, "отказ", "одобрение")</f>
        <v>одобрение</v>
      </c>
      <c r="N646" s="7">
        <f>IF(Данные[[#This Row],[proba]]&lt;$D$2,$C$2,IF(Данные[[#This Row],[proba]]&lt;$D$3,$C$3,IF(Данные[[#This Row],[proba]]&gt;$C$6,0,$C$4)))</f>
        <v>100000</v>
      </c>
      <c r="O646" s="2">
        <f>IF(Данные[[#This Row],[weighted_ext_score]]&gt;$O$1,MIN(Данные[[#This Row],[Базовая сумма]]*$O$2,$C$2),IF(Данные[[#This Row],[weighted_ext_score]]&lt;$O$3,Данные[[#This Row],[Базовая сумма]]*$O$4,N646))</f>
        <v>100000</v>
      </c>
      <c r="P6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46" s="2">
        <f>ABS(Данные[[#This Row],[days_birth]])/365.2425</f>
        <v>53.517868265604356</v>
      </c>
      <c r="S6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646" s="2">
        <f>IF(Данные[[#This Row],[ interest_rate]]&gt;$T$1,Данные[[#This Row],[days_birth4]]*$T$2,Данные[[#This Row],[days_birth4]])</f>
        <v>126000</v>
      </c>
      <c r="U646" s="2">
        <f>IF(Данные[[#This Row],[Проверка отказа]]="отказ",0,MAX(Данные[[#This Row],[interest_rate]],$C$1))</f>
        <v>126000</v>
      </c>
      <c r="V646" s="2">
        <f>MROUND(Данные[[#This Row],[Минимум 20000]], 100)</f>
        <v>126000</v>
      </c>
    </row>
    <row r="647" spans="1:22" x14ac:dyDescent="0.25">
      <c r="A647" s="2">
        <f>'1000_заявлений'!A641</f>
        <v>639</v>
      </c>
      <c r="B647" s="4">
        <f>VALUE(SUBSTITUTE('1000_заявлений'!B641, ".", ","))</f>
        <v>0.92667904968164005</v>
      </c>
      <c r="C647" s="4">
        <f>VALUE(SUBSTITUTE('1000_заявлений'!C641, ".", ","))</f>
        <v>4.2770615938462798E-2</v>
      </c>
      <c r="D647" s="4">
        <f>VALUE(SUBSTITUTE('1000_заявлений'!D641, ".", ","))</f>
        <v>9.5692724000000007E-2</v>
      </c>
      <c r="E647" s="4">
        <f>VALUE(SUBSTITUTE('1000_заявлений'!E641, ".", ","))</f>
        <v>2.5161617000000001E-2</v>
      </c>
      <c r="F647" s="5">
        <f>VALUE(SUBSTITUTE('1000_заявлений'!F641, ".", ","))</f>
        <v>-5532</v>
      </c>
      <c r="G647" s="5">
        <f>VALUE(SUBSTITUTE('1000_заявлений'!G641, ".", ","))</f>
        <v>-10772</v>
      </c>
      <c r="H647" s="5">
        <f>VALUE(SUBSTITUTE('1000_заявлений'!H641, ".", ","))</f>
        <v>-3022</v>
      </c>
      <c r="I647" s="4">
        <f>VALUE(SUBSTITUTE('1000_заявлений'!I641, ".", ","))</f>
        <v>0.35308</v>
      </c>
      <c r="J647" s="4">
        <f>VALUE(SUBSTITUTE('1000_заявлений'!J641, ".", ","))</f>
        <v>4.1322313349679796</v>
      </c>
      <c r="K647" s="5">
        <f>VALUE(SUBSTITUTE('1000_заявлений'!K641, ".", ","))</f>
        <v>-241</v>
      </c>
      <c r="L647" s="6">
        <f>VALUE(SUBSTITUTE('1000_заявлений'!L641, ".", ","))</f>
        <v>39721.5</v>
      </c>
      <c r="M647" s="2" t="str">
        <f>IF(Данные[[#This Row],[proba]]&gt;$C$6, "отказ", "одобрение")</f>
        <v>отказ</v>
      </c>
      <c r="N647" s="7">
        <f>IF(Данные[[#This Row],[proba]]&lt;$D$2,$C$2,IF(Данные[[#This Row],[proba]]&lt;$D$3,$C$3,IF(Данные[[#This Row],[proba]]&gt;$C$6,0,$C$4)))</f>
        <v>0</v>
      </c>
      <c r="O647" s="2">
        <f>IF(Данные[[#This Row],[weighted_ext_score]]&gt;$O$1,MIN(Данные[[#This Row],[Базовая сумма]]*$O$2,$C$2),IF(Данные[[#This Row],[weighted_ext_score]]&lt;$O$3,Данные[[#This Row],[Базовая сумма]]*$O$4,N647))</f>
        <v>0</v>
      </c>
      <c r="P6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47" s="2">
        <f>ABS(Данные[[#This Row],[days_birth]])/365.2425</f>
        <v>29.492734279280203</v>
      </c>
      <c r="S6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47" s="2">
        <f>IF(Данные[[#This Row],[ interest_rate]]&gt;$T$1,Данные[[#This Row],[days_birth4]]*$T$2,Данные[[#This Row],[days_birth4]])</f>
        <v>0</v>
      </c>
      <c r="U647" s="2">
        <f>IF(Данные[[#This Row],[Проверка отказа]]="отказ",0,MAX(Данные[[#This Row],[interest_rate]],$C$1))</f>
        <v>0</v>
      </c>
      <c r="V647" s="2">
        <f>MROUND(Данные[[#This Row],[Минимум 20000]], 100)</f>
        <v>0</v>
      </c>
    </row>
    <row r="648" spans="1:22" x14ac:dyDescent="0.25">
      <c r="A648" s="2">
        <f>'1000_заявлений'!A642</f>
        <v>640</v>
      </c>
      <c r="B648" s="4">
        <f>VALUE(SUBSTITUTE('1000_заявлений'!B642, ".", ","))</f>
        <v>0.29360177589190201</v>
      </c>
      <c r="C648" s="4">
        <f>VALUE(SUBSTITUTE('1000_заявлений'!C642, ".", ","))</f>
        <v>0.61684210129934902</v>
      </c>
      <c r="D648" s="4">
        <f>VALUE(SUBSTITUTE('1000_заявлений'!D642, ".", ","))</f>
        <v>0.57444660000000003</v>
      </c>
      <c r="E648" s="4">
        <f>VALUE(SUBSTITUTE('1000_заявлений'!E642, ".", ","))</f>
        <v>0.46046599999999999</v>
      </c>
      <c r="F648" s="5">
        <f>VALUE(SUBSTITUTE('1000_заявлений'!F642, ".", ","))</f>
        <v>-4694</v>
      </c>
      <c r="G648" s="5">
        <f>VALUE(SUBSTITUTE('1000_заявлений'!G642, ".", ","))</f>
        <v>-21207</v>
      </c>
      <c r="H648" s="5">
        <f>VALUE(SUBSTITUTE('1000_заявлений'!H642, ".", ","))</f>
        <v>-364</v>
      </c>
      <c r="I648" s="4">
        <f>VALUE(SUBSTITUTE('1000_заявлений'!I642, ".", ","))</f>
        <v>0.23430000000000001</v>
      </c>
      <c r="J648" s="4">
        <f>VALUE(SUBSTITUTE('1000_заявлений'!J642, ".", ","))</f>
        <v>4.2466283018955204</v>
      </c>
      <c r="K648" s="5">
        <f>VALUE(SUBSTITUTE('1000_заявлений'!K642, ".", ","))</f>
        <v>365243</v>
      </c>
      <c r="L648" s="6">
        <f>VALUE(SUBSTITUTE('1000_заявлений'!L642, ".", ","))</f>
        <v>31630.5</v>
      </c>
      <c r="M648" s="2" t="str">
        <f>IF(Данные[[#This Row],[proba]]&gt;$C$6, "отказ", "одобрение")</f>
        <v>одобрение</v>
      </c>
      <c r="N648" s="7">
        <f>IF(Данные[[#This Row],[proba]]&lt;$D$2,$C$2,IF(Данные[[#This Row],[proba]]&lt;$D$3,$C$3,IF(Данные[[#This Row],[proba]]&gt;$C$6,0,$C$4)))</f>
        <v>100000</v>
      </c>
      <c r="O648" s="2">
        <f>IF(Данные[[#This Row],[weighted_ext_score]]&gt;$O$1,MIN(Данные[[#This Row],[Базовая сумма]]*$O$2,$C$2),IF(Данные[[#This Row],[weighted_ext_score]]&lt;$O$3,Данные[[#This Row],[Базовая сумма]]*$O$4,N648))</f>
        <v>100000</v>
      </c>
      <c r="P6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648" s="2">
        <f>ABS(Данные[[#This Row],[days_birth]])/365.2425</f>
        <v>58.062793897205282</v>
      </c>
      <c r="S6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648" s="2">
        <f>IF(Данные[[#This Row],[ interest_rate]]&gt;$T$1,Данные[[#This Row],[days_birth4]]*$T$2,Данные[[#This Row],[days_birth4]])</f>
        <v>105000</v>
      </c>
      <c r="U648" s="2">
        <f>IF(Данные[[#This Row],[Проверка отказа]]="отказ",0,MAX(Данные[[#This Row],[interest_rate]],$C$1))</f>
        <v>105000</v>
      </c>
      <c r="V648" s="2">
        <f>MROUND(Данные[[#This Row],[Минимум 20000]], 100)</f>
        <v>105000</v>
      </c>
    </row>
    <row r="649" spans="1:22" x14ac:dyDescent="0.25">
      <c r="A649" s="2">
        <f>'1000_заявлений'!A643</f>
        <v>641</v>
      </c>
      <c r="B649" s="4">
        <f>VALUE(SUBSTITUTE('1000_заявлений'!B643, ".", ","))</f>
        <v>0.219090193240741</v>
      </c>
      <c r="C649" s="4">
        <f>VALUE(SUBSTITUTE('1000_заявлений'!C643, ".", ","))</f>
        <v>0.63040013317414501</v>
      </c>
      <c r="D649" s="4">
        <f>VALUE(SUBSTITUTE('1000_заявлений'!D643, ".", ","))</f>
        <v>0.49927201999999998</v>
      </c>
      <c r="E649" s="4">
        <f>VALUE(SUBSTITUTE('1000_заявлений'!E643, ".", ","))</f>
        <v>0.7334233</v>
      </c>
      <c r="F649" s="5">
        <f>VALUE(SUBSTITUTE('1000_заявлений'!F643, ".", ","))</f>
        <v>-4186</v>
      </c>
      <c r="G649" s="5">
        <f>VALUE(SUBSTITUTE('1000_заявлений'!G643, ".", ","))</f>
        <v>-20934</v>
      </c>
      <c r="H649" s="5">
        <f>VALUE(SUBSTITUTE('1000_заявлений'!H643, ".", ","))</f>
        <v>-4341</v>
      </c>
      <c r="I649" s="4">
        <f>VALUE(SUBSTITUTE('1000_заявлений'!I643, ".", ","))</f>
        <v>8.3952380952380903E-2</v>
      </c>
      <c r="J649" s="4">
        <f>VALUE(SUBSTITUTE('1000_заявлений'!J643, ".", ","))</f>
        <v>6.08442708481331</v>
      </c>
      <c r="K649" s="5">
        <f>VALUE(SUBSTITUTE('1000_заявлений'!K643, ".", ","))</f>
        <v>-4371</v>
      </c>
      <c r="L649" s="6">
        <f>VALUE(SUBSTITUTE('1000_заявлений'!L643, ".", ","))</f>
        <v>7933.5</v>
      </c>
      <c r="M649" s="2" t="str">
        <f>IF(Данные[[#This Row],[proba]]&gt;$C$6, "отказ", "одобрение")</f>
        <v>одобрение</v>
      </c>
      <c r="N649" s="7">
        <f>IF(Данные[[#This Row],[proba]]&lt;$D$2,$C$2,IF(Данные[[#This Row],[proba]]&lt;$D$3,$C$3,IF(Данные[[#This Row],[proba]]&gt;$C$6,0,$C$4)))</f>
        <v>100000</v>
      </c>
      <c r="O649" s="2">
        <f>IF(Данные[[#This Row],[weighted_ext_score]]&gt;$O$1,MIN(Данные[[#This Row],[Базовая сумма]]*$O$2,$C$2),IF(Данные[[#This Row],[weighted_ext_score]]&lt;$O$3,Данные[[#This Row],[Базовая сумма]]*$O$4,N649))</f>
        <v>100000</v>
      </c>
      <c r="P6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49" s="2">
        <f>ABS(Данные[[#This Row],[days_birth]])/365.2425</f>
        <v>57.315345284297415</v>
      </c>
      <c r="S6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649" s="2">
        <f>IF(Данные[[#This Row],[ interest_rate]]&gt;$T$1,Данные[[#This Row],[days_birth4]]*$T$2,Данные[[#This Row],[days_birth4]])</f>
        <v>151200</v>
      </c>
      <c r="U649" s="2">
        <f>IF(Данные[[#This Row],[Проверка отказа]]="отказ",0,MAX(Данные[[#This Row],[interest_rate]],$C$1))</f>
        <v>151200</v>
      </c>
      <c r="V649" s="2">
        <f>MROUND(Данные[[#This Row],[Минимум 20000]], 100)</f>
        <v>151200</v>
      </c>
    </row>
    <row r="650" spans="1:22" x14ac:dyDescent="0.25">
      <c r="A650" s="2">
        <f>'1000_заявлений'!A644</f>
        <v>642</v>
      </c>
      <c r="B650" s="4">
        <f>VALUE(SUBSTITUTE('1000_заявлений'!B644, ".", ","))</f>
        <v>0.46611583315161897</v>
      </c>
      <c r="C650" s="4">
        <f>VALUE(SUBSTITUTE('1000_заявлений'!C644, ".", ","))</f>
        <v>0.34011698452108402</v>
      </c>
      <c r="D650" s="4">
        <f>VALUE(SUBSTITUTE('1000_заявлений'!D644, ".", ","))</f>
        <v>0.35729327999999999</v>
      </c>
      <c r="E650" s="4">
        <f>VALUE(SUBSTITUTE('1000_заявлений'!E644, ".", ","))</f>
        <v>0.65015820000000002</v>
      </c>
      <c r="F650" s="5">
        <f>VALUE(SUBSTITUTE('1000_заявлений'!F644, ".", ","))</f>
        <v>-11205</v>
      </c>
      <c r="G650" s="5">
        <f>VALUE(SUBSTITUTE('1000_заявлений'!G644, ".", ","))</f>
        <v>-18776</v>
      </c>
      <c r="H650" s="5">
        <f>VALUE(SUBSTITUTE('1000_заявлений'!H644, ".", ","))</f>
        <v>-2327</v>
      </c>
      <c r="I650" s="4">
        <f>VALUE(SUBSTITUTE('1000_заявлений'!I644, ".", ","))</f>
        <v>9.5884615384615304E-2</v>
      </c>
      <c r="J650" s="4">
        <f>VALUE(SUBSTITUTE('1000_заявлений'!J644, ".", ","))</f>
        <v>3.3105015253756802</v>
      </c>
      <c r="K650" s="5">
        <f>VALUE(SUBSTITUTE('1000_заявлений'!K644, ".", ","))</f>
        <v>-778</v>
      </c>
      <c r="L650" s="6">
        <f>VALUE(SUBSTITUTE('1000_заявлений'!L644, ".", ","))</f>
        <v>22437</v>
      </c>
      <c r="M650" s="2" t="str">
        <f>IF(Данные[[#This Row],[proba]]&gt;$C$6, "отказ", "одобрение")</f>
        <v>отказ</v>
      </c>
      <c r="N650" s="7">
        <f>IF(Данные[[#This Row],[proba]]&lt;$D$2,$C$2,IF(Данные[[#This Row],[proba]]&lt;$D$3,$C$3,IF(Данные[[#This Row],[proba]]&gt;$C$6,0,$C$4)))</f>
        <v>0</v>
      </c>
      <c r="O650" s="2">
        <f>IF(Данные[[#This Row],[weighted_ext_score]]&gt;$O$1,MIN(Данные[[#This Row],[Базовая сумма]]*$O$2,$C$2),IF(Данные[[#This Row],[weighted_ext_score]]&lt;$O$3,Данные[[#This Row],[Базовая сумма]]*$O$4,N650))</f>
        <v>0</v>
      </c>
      <c r="P6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0" s="2">
        <f>ABS(Данные[[#This Row],[days_birth]])/365.2425</f>
        <v>51.406941963216219</v>
      </c>
      <c r="S6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0" s="2">
        <f>IF(Данные[[#This Row],[ interest_rate]]&gt;$T$1,Данные[[#This Row],[days_birth4]]*$T$2,Данные[[#This Row],[days_birth4]])</f>
        <v>0</v>
      </c>
      <c r="U650" s="2">
        <f>IF(Данные[[#This Row],[Проверка отказа]]="отказ",0,MAX(Данные[[#This Row],[interest_rate]],$C$1))</f>
        <v>0</v>
      </c>
      <c r="V650" s="2">
        <f>MROUND(Данные[[#This Row],[Минимум 20000]], 100)</f>
        <v>0</v>
      </c>
    </row>
    <row r="651" spans="1:22" x14ac:dyDescent="0.25">
      <c r="A651" s="2">
        <f>'1000_заявлений'!A645</f>
        <v>643</v>
      </c>
      <c r="B651" s="4">
        <f>VALUE(SUBSTITUTE('1000_заявлений'!B645, ".", ","))</f>
        <v>0.443136143719635</v>
      </c>
      <c r="C651" s="4">
        <f>VALUE(SUBSTITUTE('1000_заявлений'!C645, ".", ","))</f>
        <v>0.51543538468748595</v>
      </c>
      <c r="D651" s="4">
        <f>VALUE(SUBSTITUTE('1000_заявлений'!D645, ".", ","))</f>
        <v>0.47405130000000001</v>
      </c>
      <c r="E651" s="4">
        <f>VALUE(SUBSTITUTE('1000_заявлений'!E645, ".", ","))</f>
        <v>0.53833690000000001</v>
      </c>
      <c r="F651" s="5">
        <f>VALUE(SUBSTITUTE('1000_заявлений'!F645, ".", ","))</f>
        <v>-4809</v>
      </c>
      <c r="G651" s="5">
        <f>VALUE(SUBSTITUTE('1000_заявлений'!G645, ".", ","))</f>
        <v>-11195</v>
      </c>
      <c r="H651" s="5">
        <f>VALUE(SUBSTITUTE('1000_заявлений'!H645, ".", ","))</f>
        <v>-3291</v>
      </c>
      <c r="I651" s="4">
        <f>VALUE(SUBSTITUTE('1000_заявлений'!I645, ".", ","))</f>
        <v>0.17644444444444399</v>
      </c>
      <c r="J651" s="4">
        <f>VALUE(SUBSTITUTE('1000_заявлений'!J645, ".", ","))</f>
        <v>0.147189663201863</v>
      </c>
      <c r="K651" s="5">
        <f>VALUE(SUBSTITUTE('1000_заявлений'!K645, ".", ","))</f>
        <v>-491</v>
      </c>
      <c r="L651" s="6">
        <f>VALUE(SUBSTITUTE('1000_заявлений'!L645, ".", ","))</f>
        <v>35730</v>
      </c>
      <c r="M651" s="2" t="str">
        <f>IF(Данные[[#This Row],[proba]]&gt;$C$6, "отказ", "одобрение")</f>
        <v>отказ</v>
      </c>
      <c r="N651" s="7">
        <f>IF(Данные[[#This Row],[proba]]&lt;$D$2,$C$2,IF(Данные[[#This Row],[proba]]&lt;$D$3,$C$3,IF(Данные[[#This Row],[proba]]&gt;$C$6,0,$C$4)))</f>
        <v>0</v>
      </c>
      <c r="O651" s="2">
        <f>IF(Данные[[#This Row],[weighted_ext_score]]&gt;$O$1,MIN(Данные[[#This Row],[Базовая сумма]]*$O$2,$C$2),IF(Данные[[#This Row],[weighted_ext_score]]&lt;$O$3,Данные[[#This Row],[Базовая сумма]]*$O$4,N651))</f>
        <v>0</v>
      </c>
      <c r="P6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1" s="2">
        <f>ABS(Данные[[#This Row],[days_birth]])/365.2425</f>
        <v>30.650868943236343</v>
      </c>
      <c r="S6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1" s="2">
        <f>IF(Данные[[#This Row],[ interest_rate]]&gt;$T$1,Данные[[#This Row],[days_birth4]]*$T$2,Данные[[#This Row],[days_birth4]])</f>
        <v>0</v>
      </c>
      <c r="U651" s="2">
        <f>IF(Данные[[#This Row],[Проверка отказа]]="отказ",0,MAX(Данные[[#This Row],[interest_rate]],$C$1))</f>
        <v>0</v>
      </c>
      <c r="V651" s="2">
        <f>MROUND(Данные[[#This Row],[Минимум 20000]], 100)</f>
        <v>0</v>
      </c>
    </row>
    <row r="652" spans="1:22" x14ac:dyDescent="0.25">
      <c r="A652" s="2">
        <f>'1000_заявлений'!A646</f>
        <v>644</v>
      </c>
      <c r="B652" s="4">
        <f>VALUE(SUBSTITUTE('1000_заявлений'!B646, ".", ","))</f>
        <v>0.57647371997197905</v>
      </c>
      <c r="C652" s="4">
        <f>VALUE(SUBSTITUTE('1000_заявлений'!C646, ".", ","))</f>
        <v>0.33521796074103699</v>
      </c>
      <c r="D652" s="4">
        <f>VALUE(SUBSTITUTE('1000_заявлений'!D646, ".", ","))</f>
        <v>0.41709964999999999</v>
      </c>
      <c r="E652" s="4">
        <f>VALUE(SUBSTITUTE('1000_заявлений'!E646, ".", ","))</f>
        <v>0.43133690000000002</v>
      </c>
      <c r="F652" s="5">
        <f>VALUE(SUBSTITUTE('1000_заявлений'!F646, ".", ","))</f>
        <v>-2475</v>
      </c>
      <c r="G652" s="5">
        <f>VALUE(SUBSTITUTE('1000_заявлений'!G646, ".", ","))</f>
        <v>-11530</v>
      </c>
      <c r="H652" s="5">
        <f>VALUE(SUBSTITUTE('1000_заявлений'!H646, ".", ","))</f>
        <v>-4000</v>
      </c>
      <c r="I652" s="4">
        <f>VALUE(SUBSTITUTE('1000_заявлений'!I646, ".", ","))</f>
        <v>0.125475</v>
      </c>
      <c r="J652" s="4">
        <f>VALUE(SUBSTITUTE('1000_заявлений'!J646, ".", ","))</f>
        <v>4.6346865333209903</v>
      </c>
      <c r="K652" s="5">
        <f>VALUE(SUBSTITUTE('1000_заявлений'!K646, ".", ","))</f>
        <v>-2479</v>
      </c>
      <c r="L652" s="6">
        <f>VALUE(SUBSTITUTE('1000_заявлений'!L646, ".", ","))</f>
        <v>22585.5</v>
      </c>
      <c r="M652" s="2" t="str">
        <f>IF(Данные[[#This Row],[proba]]&gt;$C$6, "отказ", "одобрение")</f>
        <v>отказ</v>
      </c>
      <c r="N652" s="7">
        <f>IF(Данные[[#This Row],[proba]]&lt;$D$2,$C$2,IF(Данные[[#This Row],[proba]]&lt;$D$3,$C$3,IF(Данные[[#This Row],[proba]]&gt;$C$6,0,$C$4)))</f>
        <v>0</v>
      </c>
      <c r="O652" s="2">
        <f>IF(Данные[[#This Row],[weighted_ext_score]]&gt;$O$1,MIN(Данные[[#This Row],[Базовая сумма]]*$O$2,$C$2),IF(Данные[[#This Row],[weighted_ext_score]]&lt;$O$3,Данные[[#This Row],[Базовая сумма]]*$O$4,N652))</f>
        <v>0</v>
      </c>
      <c r="P6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2" s="2">
        <f>ABS(Данные[[#This Row],[days_birth]])/365.2425</f>
        <v>31.568067790577491</v>
      </c>
      <c r="S6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2" s="2">
        <f>IF(Данные[[#This Row],[ interest_rate]]&gt;$T$1,Данные[[#This Row],[days_birth4]]*$T$2,Данные[[#This Row],[days_birth4]])</f>
        <v>0</v>
      </c>
      <c r="U652" s="2">
        <f>IF(Данные[[#This Row],[Проверка отказа]]="отказ",0,MAX(Данные[[#This Row],[interest_rate]],$C$1))</f>
        <v>0</v>
      </c>
      <c r="V652" s="2">
        <f>MROUND(Данные[[#This Row],[Минимум 20000]], 100)</f>
        <v>0</v>
      </c>
    </row>
    <row r="653" spans="1:22" x14ac:dyDescent="0.25">
      <c r="A653" s="2">
        <f>'1000_заявлений'!A647</f>
        <v>645</v>
      </c>
      <c r="B653" s="4">
        <f>VALUE(SUBSTITUTE('1000_заявлений'!B647, ".", ","))</f>
        <v>0.53899708002076596</v>
      </c>
      <c r="C653" s="4">
        <f>VALUE(SUBSTITUTE('1000_заявлений'!C647, ".", ","))</f>
        <v>0.31670840439541897</v>
      </c>
      <c r="D653" s="4">
        <f>VALUE(SUBSTITUTE('1000_заявлений'!D647, ".", ","))</f>
        <v>0.7223929</v>
      </c>
      <c r="E653" s="4">
        <f>VALUE(SUBSTITUTE('1000_заявлений'!E647, ".", ","))</f>
        <v>0.17092378</v>
      </c>
      <c r="F653" s="5">
        <f>VALUE(SUBSTITUTE('1000_заявлений'!F647, ".", ","))</f>
        <v>-4354</v>
      </c>
      <c r="G653" s="5">
        <f>VALUE(SUBSTITUTE('1000_заявлений'!G647, ".", ","))</f>
        <v>-9612</v>
      </c>
      <c r="H653" s="5">
        <f>VALUE(SUBSTITUTE('1000_заявлений'!H647, ".", ","))</f>
        <v>-2281</v>
      </c>
      <c r="I653" s="4">
        <f>VALUE(SUBSTITUTE('1000_заявлений'!I647, ".", ","))</f>
        <v>0.1216</v>
      </c>
      <c r="J653" s="4">
        <f>VALUE(SUBSTITUTE('1000_заявлений'!J647, ".", ","))</f>
        <v>7.4034534250056101</v>
      </c>
      <c r="K653" s="5">
        <f>VALUE(SUBSTITUTE('1000_заявлений'!K647, ".", ","))</f>
        <v>-809</v>
      </c>
      <c r="L653" s="6">
        <f>VALUE(SUBSTITUTE('1000_заявлений'!L647, ".", ","))</f>
        <v>16416</v>
      </c>
      <c r="M653" s="2" t="str">
        <f>IF(Данные[[#This Row],[proba]]&gt;$C$6, "отказ", "одобрение")</f>
        <v>отказ</v>
      </c>
      <c r="N653" s="7">
        <f>IF(Данные[[#This Row],[proba]]&lt;$D$2,$C$2,IF(Данные[[#This Row],[proba]]&lt;$D$3,$C$3,IF(Данные[[#This Row],[proba]]&gt;$C$6,0,$C$4)))</f>
        <v>0</v>
      </c>
      <c r="O653" s="2">
        <f>IF(Данные[[#This Row],[weighted_ext_score]]&gt;$O$1,MIN(Данные[[#This Row],[Базовая сумма]]*$O$2,$C$2),IF(Данные[[#This Row],[weighted_ext_score]]&lt;$O$3,Данные[[#This Row],[Базовая сумма]]*$O$4,N653))</f>
        <v>0</v>
      </c>
      <c r="P6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3" s="2">
        <f>ABS(Данные[[#This Row],[days_birth]])/365.2425</f>
        <v>26.316762151173535</v>
      </c>
      <c r="S6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3" s="2">
        <f>IF(Данные[[#This Row],[ interest_rate]]&gt;$T$1,Данные[[#This Row],[days_birth4]]*$T$2,Данные[[#This Row],[days_birth4]])</f>
        <v>0</v>
      </c>
      <c r="U653" s="2">
        <f>IF(Данные[[#This Row],[Проверка отказа]]="отказ",0,MAX(Данные[[#This Row],[interest_rate]],$C$1))</f>
        <v>0</v>
      </c>
      <c r="V653" s="2">
        <f>MROUND(Данные[[#This Row],[Минимум 20000]], 100)</f>
        <v>0</v>
      </c>
    </row>
    <row r="654" spans="1:22" x14ac:dyDescent="0.25">
      <c r="A654" s="2">
        <f>'1000_заявлений'!A648</f>
        <v>646</v>
      </c>
      <c r="B654" s="4">
        <f>VALUE(SUBSTITUTE('1000_заявлений'!B648, ".", ","))</f>
        <v>0.68942711884866603</v>
      </c>
      <c r="C654" s="4">
        <f>VALUE(SUBSTITUTE('1000_заявлений'!C648, ".", ","))</f>
        <v>0.227342433027166</v>
      </c>
      <c r="D654" s="4">
        <f>VALUE(SUBSTITUTE('1000_заявлений'!D648, ".", ","))</f>
        <v>4.8925864999999999E-2</v>
      </c>
      <c r="E654" s="4">
        <f>VALUE(SUBSTITUTE('1000_заявлений'!E648, ".", ","))</f>
        <v>0.64630880000000002</v>
      </c>
      <c r="F654" s="5">
        <f>VALUE(SUBSTITUTE('1000_заявлений'!F648, ".", ","))</f>
        <v>-7993</v>
      </c>
      <c r="G654" s="5">
        <f>VALUE(SUBSTITUTE('1000_заявлений'!G648, ".", ","))</f>
        <v>-19032</v>
      </c>
      <c r="H654" s="5">
        <f>VALUE(SUBSTITUTE('1000_заявлений'!H648, ".", ","))</f>
        <v>-2567</v>
      </c>
      <c r="I654" s="4">
        <f>VALUE(SUBSTITUTE('1000_заявлений'!I648, ".", ","))</f>
        <v>0.13493333333333299</v>
      </c>
      <c r="J654" s="4">
        <f>VALUE(SUBSTITUTE('1000_заявлений'!J648, ".", ","))</f>
        <v>4.3425486746510904</v>
      </c>
      <c r="K654" s="5">
        <f>VALUE(SUBSTITUTE('1000_заявлений'!K648, ".", ","))</f>
        <v>-3776</v>
      </c>
      <c r="L654" s="6">
        <f>VALUE(SUBSTITUTE('1000_заявлений'!L648, ".", ","))</f>
        <v>27324</v>
      </c>
      <c r="M654" s="2" t="str">
        <f>IF(Данные[[#This Row],[proba]]&gt;$C$6, "отказ", "одобрение")</f>
        <v>отказ</v>
      </c>
      <c r="N654" s="7">
        <f>IF(Данные[[#This Row],[proba]]&lt;$D$2,$C$2,IF(Данные[[#This Row],[proba]]&lt;$D$3,$C$3,IF(Данные[[#This Row],[proba]]&gt;$C$6,0,$C$4)))</f>
        <v>0</v>
      </c>
      <c r="O654" s="2">
        <f>IF(Данные[[#This Row],[weighted_ext_score]]&gt;$O$1,MIN(Данные[[#This Row],[Базовая сумма]]*$O$2,$C$2),IF(Данные[[#This Row],[weighted_ext_score]]&lt;$O$3,Данные[[#This Row],[Базовая сумма]]*$O$4,N654))</f>
        <v>0</v>
      </c>
      <c r="P6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4" s="2">
        <f>ABS(Данные[[#This Row],[days_birth]])/365.2425</f>
        <v>52.107846157005277</v>
      </c>
      <c r="S6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4" s="2">
        <f>IF(Данные[[#This Row],[ interest_rate]]&gt;$T$1,Данные[[#This Row],[days_birth4]]*$T$2,Данные[[#This Row],[days_birth4]])</f>
        <v>0</v>
      </c>
      <c r="U654" s="2">
        <f>IF(Данные[[#This Row],[Проверка отказа]]="отказ",0,MAX(Данные[[#This Row],[interest_rate]],$C$1))</f>
        <v>0</v>
      </c>
      <c r="V654" s="2">
        <f>MROUND(Данные[[#This Row],[Минимум 20000]], 100)</f>
        <v>0</v>
      </c>
    </row>
    <row r="655" spans="1:22" x14ac:dyDescent="0.25">
      <c r="A655" s="2">
        <f>'1000_заявлений'!A649</f>
        <v>647</v>
      </c>
      <c r="B655" s="4">
        <f>VALUE(SUBSTITUTE('1000_заявлений'!B649, ".", ","))</f>
        <v>0.50909250603085399</v>
      </c>
      <c r="C655" s="4">
        <f>VALUE(SUBSTITUTE('1000_заявлений'!C649, ".", ","))</f>
        <v>0.39076926178528298</v>
      </c>
      <c r="D655" s="4">
        <f>VALUE(SUBSTITUTE('1000_заявлений'!D649, ".", ","))</f>
        <v>0.59371759999999996</v>
      </c>
      <c r="E655" s="4">
        <f>VALUE(SUBSTITUTE('1000_заявлений'!E649, ".", ","))</f>
        <v>0.44017046999999998</v>
      </c>
      <c r="F655" s="5">
        <f>VALUE(SUBSTITUTE('1000_заявлений'!F649, ".", ","))</f>
        <v>-572</v>
      </c>
      <c r="G655" s="5">
        <f>VALUE(SUBSTITUTE('1000_заявлений'!G649, ".", ","))</f>
        <v>-10351</v>
      </c>
      <c r="H655" s="5">
        <f>VALUE(SUBSTITUTE('1000_заявлений'!H649, ".", ","))</f>
        <v>-2981</v>
      </c>
      <c r="I655" s="4">
        <f>VALUE(SUBSTITUTE('1000_заявлений'!I649, ".", ","))</f>
        <v>0.31844</v>
      </c>
      <c r="J655" s="4">
        <f>VALUE(SUBSTITUTE('1000_заявлений'!J649, ".", ","))</f>
        <v>5.3612428368247</v>
      </c>
      <c r="K655" s="5">
        <f>VALUE(SUBSTITUTE('1000_заявлений'!K649, ".", ","))</f>
        <v>-1152</v>
      </c>
      <c r="L655" s="6">
        <f>VALUE(SUBSTITUTE('1000_заявлений'!L649, ".", ","))</f>
        <v>35824.5</v>
      </c>
      <c r="M655" s="2" t="str">
        <f>IF(Данные[[#This Row],[proba]]&gt;$C$6, "отказ", "одобрение")</f>
        <v>отказ</v>
      </c>
      <c r="N655" s="7">
        <f>IF(Данные[[#This Row],[proba]]&lt;$D$2,$C$2,IF(Данные[[#This Row],[proba]]&lt;$D$3,$C$3,IF(Данные[[#This Row],[proba]]&gt;$C$6,0,$C$4)))</f>
        <v>0</v>
      </c>
      <c r="O655" s="2">
        <f>IF(Данные[[#This Row],[weighted_ext_score]]&gt;$O$1,MIN(Данные[[#This Row],[Базовая сумма]]*$O$2,$C$2),IF(Данные[[#This Row],[weighted_ext_score]]&lt;$O$3,Данные[[#This Row],[Базовая сумма]]*$O$4,N655))</f>
        <v>0</v>
      </c>
      <c r="P6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5" s="2">
        <f>ABS(Данные[[#This Row],[days_birth]])/365.2425</f>
        <v>28.340075429338043</v>
      </c>
      <c r="S6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5" s="2">
        <f>IF(Данные[[#This Row],[ interest_rate]]&gt;$T$1,Данные[[#This Row],[days_birth4]]*$T$2,Данные[[#This Row],[days_birth4]])</f>
        <v>0</v>
      </c>
      <c r="U655" s="2">
        <f>IF(Данные[[#This Row],[Проверка отказа]]="отказ",0,MAX(Данные[[#This Row],[interest_rate]],$C$1))</f>
        <v>0</v>
      </c>
      <c r="V655" s="2">
        <f>MROUND(Данные[[#This Row],[Минимум 20000]], 100)</f>
        <v>0</v>
      </c>
    </row>
    <row r="656" spans="1:22" x14ac:dyDescent="0.25">
      <c r="A656" s="2">
        <f>'1000_заявлений'!A650</f>
        <v>648</v>
      </c>
      <c r="B656" s="4">
        <f>VALUE(SUBSTITUTE('1000_заявлений'!B650, ".", ","))</f>
        <v>0.53162654693568701</v>
      </c>
      <c r="C656" s="4">
        <f>VALUE(SUBSTITUTE('1000_заявлений'!C650, ".", ","))</f>
        <v>0.30947564431161201</v>
      </c>
      <c r="D656" s="4">
        <f>VALUE(SUBSTITUTE('1000_заявлений'!D650, ".", ","))</f>
        <v>0.45253357</v>
      </c>
      <c r="E656" s="4">
        <f>VALUE(SUBSTITUTE('1000_заявлений'!E650, ".", ","))</f>
        <v>0.4495074</v>
      </c>
      <c r="F656" s="5">
        <f>VALUE(SUBSTITUTE('1000_заявлений'!F650, ".", ","))</f>
        <v>-5906</v>
      </c>
      <c r="G656" s="5">
        <f>VALUE(SUBSTITUTE('1000_заявлений'!G650, ".", ","))</f>
        <v>-16378</v>
      </c>
      <c r="H656" s="5">
        <f>VALUE(SUBSTITUTE('1000_заявлений'!H650, ".", ","))</f>
        <v>-5423</v>
      </c>
      <c r="I656" s="4">
        <f>VALUE(SUBSTITUTE('1000_заявлений'!I650, ".", ","))</f>
        <v>0.114230769230769</v>
      </c>
      <c r="J656" s="4">
        <f>VALUE(SUBSTITUTE('1000_заявлений'!J650, ".", ","))</f>
        <v>1.89770631998214</v>
      </c>
      <c r="K656" s="5">
        <f>VALUE(SUBSTITUTE('1000_заявлений'!K650, ".", ","))</f>
        <v>-379</v>
      </c>
      <c r="L656" s="6">
        <f>VALUE(SUBSTITUTE('1000_заявлений'!L650, ".", ","))</f>
        <v>13365</v>
      </c>
      <c r="M656" s="2" t="str">
        <f>IF(Данные[[#This Row],[proba]]&gt;$C$6, "отказ", "одобрение")</f>
        <v>отказ</v>
      </c>
      <c r="N656" s="7">
        <f>IF(Данные[[#This Row],[proba]]&lt;$D$2,$C$2,IF(Данные[[#This Row],[proba]]&lt;$D$3,$C$3,IF(Данные[[#This Row],[proba]]&gt;$C$6,0,$C$4)))</f>
        <v>0</v>
      </c>
      <c r="O656" s="2">
        <f>IF(Данные[[#This Row],[weighted_ext_score]]&gt;$O$1,MIN(Данные[[#This Row],[Базовая сумма]]*$O$2,$C$2),IF(Данные[[#This Row],[weighted_ext_score]]&lt;$O$3,Данные[[#This Row],[Базовая сумма]]*$O$4,N656))</f>
        <v>0</v>
      </c>
      <c r="P6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6" s="2">
        <f>ABS(Данные[[#This Row],[days_birth]])/365.2425</f>
        <v>44.841440960457774</v>
      </c>
      <c r="S6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6" s="2">
        <f>IF(Данные[[#This Row],[ interest_rate]]&gt;$T$1,Данные[[#This Row],[days_birth4]]*$T$2,Данные[[#This Row],[days_birth4]])</f>
        <v>0</v>
      </c>
      <c r="U656" s="2">
        <f>IF(Данные[[#This Row],[Проверка отказа]]="отказ",0,MAX(Данные[[#This Row],[interest_rate]],$C$1))</f>
        <v>0</v>
      </c>
      <c r="V656" s="2">
        <f>MROUND(Данные[[#This Row],[Минимум 20000]], 100)</f>
        <v>0</v>
      </c>
    </row>
    <row r="657" spans="1:22" x14ac:dyDescent="0.25">
      <c r="A657" s="2">
        <f>'1000_заявлений'!A651</f>
        <v>649</v>
      </c>
      <c r="B657" s="4">
        <f>VALUE(SUBSTITUTE('1000_заявлений'!B651, ".", ","))</f>
        <v>0.71097785226259602</v>
      </c>
      <c r="C657" s="4">
        <f>VALUE(SUBSTITUTE('1000_заявлений'!C651, ".", ","))</f>
        <v>8.6043026072538706E-2</v>
      </c>
      <c r="D657" s="4">
        <f>VALUE(SUBSTITUTE('1000_заявлений'!D651, ".", ","))</f>
        <v>0.53527623000000002</v>
      </c>
      <c r="E657" s="4">
        <f>VALUE(SUBSTITUTE('1000_заявлений'!E651, ".", ","))</f>
        <v>0.26525634999999997</v>
      </c>
      <c r="F657" s="5">
        <f>VALUE(SUBSTITUTE('1000_заявлений'!F651, ".", ","))</f>
        <v>-10484</v>
      </c>
      <c r="G657" s="5">
        <f>VALUE(SUBSTITUTE('1000_заявлений'!G651, ".", ","))</f>
        <v>-19381</v>
      </c>
      <c r="H657" s="5">
        <f>VALUE(SUBSTITUTE('1000_заявлений'!H651, ".", ","))</f>
        <v>-2579</v>
      </c>
      <c r="I657" s="4">
        <f>VALUE(SUBSTITUTE('1000_заявлений'!I651, ".", ","))</f>
        <v>0.36227999999999999</v>
      </c>
      <c r="J657" s="4">
        <f>VALUE(SUBSTITUTE('1000_заявлений'!J651, ".", ","))</f>
        <v>1.47486764754836</v>
      </c>
      <c r="K657" s="5">
        <f>VALUE(SUBSTITUTE('1000_заявлений'!K651, ".", ","))</f>
        <v>-119</v>
      </c>
      <c r="L657" s="6">
        <f>VALUE(SUBSTITUTE('1000_заявлений'!L651, ".", ","))</f>
        <v>40756.5</v>
      </c>
      <c r="M657" s="2" t="str">
        <f>IF(Данные[[#This Row],[proba]]&gt;$C$6, "отказ", "одобрение")</f>
        <v>отказ</v>
      </c>
      <c r="N657" s="7">
        <f>IF(Данные[[#This Row],[proba]]&lt;$D$2,$C$2,IF(Данные[[#This Row],[proba]]&lt;$D$3,$C$3,IF(Данные[[#This Row],[proba]]&gt;$C$6,0,$C$4)))</f>
        <v>0</v>
      </c>
      <c r="O657" s="2">
        <f>IF(Данные[[#This Row],[weighted_ext_score]]&gt;$O$1,MIN(Данные[[#This Row],[Базовая сумма]]*$O$2,$C$2),IF(Данные[[#This Row],[weighted_ext_score]]&lt;$O$3,Данные[[#This Row],[Базовая сумма]]*$O$4,N657))</f>
        <v>0</v>
      </c>
      <c r="P6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7" s="2">
        <f>ABS(Данные[[#This Row],[days_birth]])/365.2425</f>
        <v>53.063375702444269</v>
      </c>
      <c r="S6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7" s="2">
        <f>IF(Данные[[#This Row],[ interest_rate]]&gt;$T$1,Данные[[#This Row],[days_birth4]]*$T$2,Данные[[#This Row],[days_birth4]])</f>
        <v>0</v>
      </c>
      <c r="U657" s="2">
        <f>IF(Данные[[#This Row],[Проверка отказа]]="отказ",0,MAX(Данные[[#This Row],[interest_rate]],$C$1))</f>
        <v>0</v>
      </c>
      <c r="V657" s="2">
        <f>MROUND(Данные[[#This Row],[Минимум 20000]], 100)</f>
        <v>0</v>
      </c>
    </row>
    <row r="658" spans="1:22" x14ac:dyDescent="0.25">
      <c r="A658" s="2">
        <f>'1000_заявлений'!A652</f>
        <v>650</v>
      </c>
      <c r="B658" s="4">
        <f>VALUE(SUBSTITUTE('1000_заявлений'!B652, ".", ","))</f>
        <v>0.52867975020543501</v>
      </c>
      <c r="C658" s="4">
        <f>VALUE(SUBSTITUTE('1000_заявлений'!C652, ".", ","))</f>
        <v>0.31075074092951599</v>
      </c>
      <c r="D658" s="4">
        <f>VALUE(SUBSTITUTE('1000_заявлений'!D652, ".", ","))</f>
        <v>0.45432106</v>
      </c>
      <c r="E658" s="4">
        <f>VALUE(SUBSTITUTE('1000_заявлений'!E652, ".", ","))</f>
        <v>0.45144533999999997</v>
      </c>
      <c r="F658" s="5">
        <f>VALUE(SUBSTITUTE('1000_заявлений'!F652, ".", ","))</f>
        <v>-2801</v>
      </c>
      <c r="G658" s="5">
        <f>VALUE(SUBSTITUTE('1000_заявлений'!G652, ".", ","))</f>
        <v>-12651</v>
      </c>
      <c r="H658" s="5">
        <f>VALUE(SUBSTITUTE('1000_заявлений'!H652, ".", ","))</f>
        <v>-5085</v>
      </c>
      <c r="I658" s="4">
        <f>VALUE(SUBSTITUTE('1000_заявлений'!I652, ".", ","))</f>
        <v>9.5133333333333306E-2</v>
      </c>
      <c r="J658" s="4">
        <f>VALUE(SUBSTITUTE('1000_заявлений'!J652, ".", ","))</f>
        <v>6.1380826058724498</v>
      </c>
      <c r="K658" s="5">
        <f>VALUE(SUBSTITUTE('1000_заявлений'!K652, ".", ","))</f>
        <v>-4827</v>
      </c>
      <c r="L658" s="6">
        <f>VALUE(SUBSTITUTE('1000_заявлений'!L652, ".", ","))</f>
        <v>19264.5</v>
      </c>
      <c r="M658" s="2" t="str">
        <f>IF(Данные[[#This Row],[proba]]&gt;$C$6, "отказ", "одобрение")</f>
        <v>отказ</v>
      </c>
      <c r="N658" s="7">
        <f>IF(Данные[[#This Row],[proba]]&lt;$D$2,$C$2,IF(Данные[[#This Row],[proba]]&lt;$D$3,$C$3,IF(Данные[[#This Row],[proba]]&gt;$C$6,0,$C$4)))</f>
        <v>0</v>
      </c>
      <c r="O658" s="2">
        <f>IF(Данные[[#This Row],[weighted_ext_score]]&gt;$O$1,MIN(Данные[[#This Row],[Базовая сумма]]*$O$2,$C$2),IF(Данные[[#This Row],[weighted_ext_score]]&lt;$O$3,Данные[[#This Row],[Базовая сумма]]*$O$4,N658))</f>
        <v>0</v>
      </c>
      <c r="P6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58" s="2">
        <f>ABS(Данные[[#This Row],[days_birth]])/365.2425</f>
        <v>34.637261545411612</v>
      </c>
      <c r="S6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58" s="2">
        <f>IF(Данные[[#This Row],[ interest_rate]]&gt;$T$1,Данные[[#This Row],[days_birth4]]*$T$2,Данные[[#This Row],[days_birth4]])</f>
        <v>0</v>
      </c>
      <c r="U658" s="2">
        <f>IF(Данные[[#This Row],[Проверка отказа]]="отказ",0,MAX(Данные[[#This Row],[interest_rate]],$C$1))</f>
        <v>0</v>
      </c>
      <c r="V658" s="2">
        <f>MROUND(Данные[[#This Row],[Минимум 20000]], 100)</f>
        <v>0</v>
      </c>
    </row>
    <row r="659" spans="1:22" x14ac:dyDescent="0.25">
      <c r="A659" s="2">
        <f>'1000_заявлений'!A653</f>
        <v>651</v>
      </c>
      <c r="B659" s="4">
        <f>VALUE(SUBSTITUTE('1000_заявлений'!B653, ".", ","))</f>
        <v>0.18406929004688599</v>
      </c>
      <c r="C659" s="4">
        <f>VALUE(SUBSTITUTE('1000_заявлений'!C653, ".", ","))</f>
        <v>0.67599110250517702</v>
      </c>
      <c r="D659" s="4">
        <f>VALUE(SUBSTITUTE('1000_заявлений'!D653, ".", ","))</f>
        <v>0.54959650000000004</v>
      </c>
      <c r="E659" s="4">
        <f>VALUE(SUBSTITUTE('1000_заявлений'!E653, ".", ","))</f>
        <v>0.75509833999999998</v>
      </c>
      <c r="F659" s="5">
        <f>VALUE(SUBSTITUTE('1000_заявлений'!F653, ".", ","))</f>
        <v>-7283</v>
      </c>
      <c r="G659" s="5">
        <f>VALUE(SUBSTITUTE('1000_заявлений'!G653, ".", ","))</f>
        <v>-19499</v>
      </c>
      <c r="H659" s="5">
        <f>VALUE(SUBSTITUTE('1000_заявлений'!H653, ".", ","))</f>
        <v>-3053</v>
      </c>
      <c r="I659" s="4">
        <f>VALUE(SUBSTITUTE('1000_заявлений'!I653, ".", ","))</f>
        <v>0.13200000000000001</v>
      </c>
      <c r="J659" s="4">
        <f>VALUE(SUBSTITUTE('1000_заявлений'!J653, ".", ","))</f>
        <v>2.7653963316522399</v>
      </c>
      <c r="K659" s="5">
        <f>VALUE(SUBSTITUTE('1000_заявлений'!K653, ".", ","))</f>
        <v>-209</v>
      </c>
      <c r="L659" s="6">
        <f>VALUE(SUBSTITUTE('1000_заявлений'!L653, ".", ","))</f>
        <v>59400</v>
      </c>
      <c r="M659" s="2" t="str">
        <f>IF(Данные[[#This Row],[proba]]&gt;$C$6, "отказ", "одобрение")</f>
        <v>одобрение</v>
      </c>
      <c r="N659" s="7">
        <f>IF(Данные[[#This Row],[proba]]&lt;$D$2,$C$2,IF(Данные[[#This Row],[proba]]&lt;$D$3,$C$3,IF(Данные[[#This Row],[proba]]&gt;$C$6,0,$C$4)))</f>
        <v>300000</v>
      </c>
      <c r="O659" s="2">
        <f>IF(Данные[[#This Row],[weighted_ext_score]]&gt;$O$1,MIN(Данные[[#This Row],[Базовая сумма]]*$O$2,$C$2),IF(Данные[[#This Row],[weighted_ext_score]]&lt;$O$3,Данные[[#This Row],[Базовая сумма]]*$O$4,N659))</f>
        <v>300000</v>
      </c>
      <c r="P6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59" s="2">
        <f>ABS(Данные[[#This Row],[days_birth]])/365.2425</f>
        <v>53.386448729268906</v>
      </c>
      <c r="S6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59" s="2">
        <f>IF(Данные[[#This Row],[ interest_rate]]&gt;$T$1,Данные[[#This Row],[days_birth4]]*$T$2,Данные[[#This Row],[days_birth4]])</f>
        <v>378000</v>
      </c>
      <c r="U659" s="2">
        <f>IF(Данные[[#This Row],[Проверка отказа]]="отказ",0,MAX(Данные[[#This Row],[interest_rate]],$C$1))</f>
        <v>378000</v>
      </c>
      <c r="V659" s="2">
        <f>MROUND(Данные[[#This Row],[Минимум 20000]], 100)</f>
        <v>378000</v>
      </c>
    </row>
    <row r="660" spans="1:22" x14ac:dyDescent="0.25">
      <c r="A660" s="2">
        <f>'1000_заявлений'!A654</f>
        <v>652</v>
      </c>
      <c r="B660" s="4">
        <f>VALUE(SUBSTITUTE('1000_заявлений'!B654, ".", ","))</f>
        <v>0.68102927725754803</v>
      </c>
      <c r="C660" s="4">
        <f>VALUE(SUBSTITUTE('1000_заявлений'!C654, ".", ","))</f>
        <v>0.41206369912801999</v>
      </c>
      <c r="D660" s="4">
        <f>VALUE(SUBSTITUTE('1000_заявлений'!D654, ".", ","))</f>
        <v>0.31703176999999999</v>
      </c>
      <c r="E660" s="4">
        <f>VALUE(SUBSTITUTE('1000_заявлений'!E654, ".", ","))</f>
        <v>0.40833163</v>
      </c>
      <c r="F660" s="5">
        <f>VALUE(SUBSTITUTE('1000_заявлений'!F654, ".", ","))</f>
        <v>-2931</v>
      </c>
      <c r="G660" s="5">
        <f>VALUE(SUBSTITUTE('1000_заявлений'!G654, ".", ","))</f>
        <v>-14811</v>
      </c>
      <c r="H660" s="5">
        <f>VALUE(SUBSTITUTE('1000_заявлений'!H654, ".", ","))</f>
        <v>-153</v>
      </c>
      <c r="I660" s="4">
        <f>VALUE(SUBSTITUTE('1000_заявлений'!I654, ".", ","))</f>
        <v>0.35170000000000001</v>
      </c>
      <c r="J660" s="4">
        <f>VALUE(SUBSTITUTE('1000_заявлений'!J654, ".", ","))</f>
        <v>1.83324182632016</v>
      </c>
      <c r="K660" s="5">
        <f>VALUE(SUBSTITUTE('1000_заявлений'!K654, ".", ","))</f>
        <v>-904</v>
      </c>
      <c r="L660" s="6">
        <f>VALUE(SUBSTITUTE('1000_заявлений'!L654, ".", ","))</f>
        <v>31653</v>
      </c>
      <c r="M660" s="2" t="str">
        <f>IF(Данные[[#This Row],[proba]]&gt;$C$6, "отказ", "одобрение")</f>
        <v>отказ</v>
      </c>
      <c r="N660" s="7">
        <f>IF(Данные[[#This Row],[proba]]&lt;$D$2,$C$2,IF(Данные[[#This Row],[proba]]&lt;$D$3,$C$3,IF(Данные[[#This Row],[proba]]&gt;$C$6,0,$C$4)))</f>
        <v>0</v>
      </c>
      <c r="O660" s="2">
        <f>IF(Данные[[#This Row],[weighted_ext_score]]&gt;$O$1,MIN(Данные[[#This Row],[Базовая сумма]]*$O$2,$C$2),IF(Данные[[#This Row],[weighted_ext_score]]&lt;$O$3,Данные[[#This Row],[Базовая сумма]]*$O$4,N660))</f>
        <v>0</v>
      </c>
      <c r="P6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0" s="2">
        <f>ABS(Данные[[#This Row],[days_birth]])/365.2425</f>
        <v>40.551140680506784</v>
      </c>
      <c r="S6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0" s="2">
        <f>IF(Данные[[#This Row],[ interest_rate]]&gt;$T$1,Данные[[#This Row],[days_birth4]]*$T$2,Данные[[#This Row],[days_birth4]])</f>
        <v>0</v>
      </c>
      <c r="U660" s="2">
        <f>IF(Данные[[#This Row],[Проверка отказа]]="отказ",0,MAX(Данные[[#This Row],[interest_rate]],$C$1))</f>
        <v>0</v>
      </c>
      <c r="V660" s="2">
        <f>MROUND(Данные[[#This Row],[Минимум 20000]], 100)</f>
        <v>0</v>
      </c>
    </row>
    <row r="661" spans="1:22" x14ac:dyDescent="0.25">
      <c r="A661" s="2">
        <f>'1000_заявлений'!A655</f>
        <v>653</v>
      </c>
      <c r="B661" s="4">
        <f>VALUE(SUBSTITUTE('1000_заявлений'!B655, ".", ","))</f>
        <v>0.54428726637329305</v>
      </c>
      <c r="C661" s="4">
        <f>VALUE(SUBSTITUTE('1000_заявлений'!C655, ".", ","))</f>
        <v>0.27491734546719898</v>
      </c>
      <c r="D661" s="4">
        <f>VALUE(SUBSTITUTE('1000_заявлений'!D655, ".", ","))</f>
        <v>0.22258075999999999</v>
      </c>
      <c r="E661" s="4">
        <f>VALUE(SUBSTITUTE('1000_заявлений'!E655, ".", ","))</f>
        <v>0.59935695</v>
      </c>
      <c r="F661" s="5">
        <f>VALUE(SUBSTITUTE('1000_заявлений'!F655, ".", ","))</f>
        <v>-2345</v>
      </c>
      <c r="G661" s="5">
        <f>VALUE(SUBSTITUTE('1000_заявлений'!G655, ".", ","))</f>
        <v>-23145</v>
      </c>
      <c r="H661" s="5">
        <f>VALUE(SUBSTITUTE('1000_заявлений'!H655, ".", ","))</f>
        <v>-3632</v>
      </c>
      <c r="I661" s="4">
        <f>VALUE(SUBSTITUTE('1000_заявлений'!I655, ".", ","))</f>
        <v>7.2826086956521693E-2</v>
      </c>
      <c r="J661" s="4">
        <f>VALUE(SUBSTITUTE('1000_заявлений'!J655, ".", ","))</f>
        <v>0.63246618577590397</v>
      </c>
      <c r="K661" s="5">
        <f>VALUE(SUBSTITUTE('1000_заявлений'!K655, ".", ","))</f>
        <v>365243</v>
      </c>
      <c r="L661" s="6">
        <f>VALUE(SUBSTITUTE('1000_заявлений'!L655, ".", ","))</f>
        <v>7537.5</v>
      </c>
      <c r="M661" s="2" t="str">
        <f>IF(Данные[[#This Row],[proba]]&gt;$C$6, "отказ", "одобрение")</f>
        <v>отказ</v>
      </c>
      <c r="N661" s="7">
        <f>IF(Данные[[#This Row],[proba]]&lt;$D$2,$C$2,IF(Данные[[#This Row],[proba]]&lt;$D$3,$C$3,IF(Данные[[#This Row],[proba]]&gt;$C$6,0,$C$4)))</f>
        <v>0</v>
      </c>
      <c r="O661" s="2">
        <f>IF(Данные[[#This Row],[weighted_ext_score]]&gt;$O$1,MIN(Данные[[#This Row],[Базовая сумма]]*$O$2,$C$2),IF(Данные[[#This Row],[weighted_ext_score]]&lt;$O$3,Данные[[#This Row],[Базовая сумма]]*$O$4,N661))</f>
        <v>0</v>
      </c>
      <c r="P6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1" s="2">
        <f>ABS(Данные[[#This Row],[days_birth]])/365.2425</f>
        <v>63.368857676749009</v>
      </c>
      <c r="S6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1" s="2">
        <f>IF(Данные[[#This Row],[ interest_rate]]&gt;$T$1,Данные[[#This Row],[days_birth4]]*$T$2,Данные[[#This Row],[days_birth4]])</f>
        <v>0</v>
      </c>
      <c r="U661" s="2">
        <f>IF(Данные[[#This Row],[Проверка отказа]]="отказ",0,MAX(Данные[[#This Row],[interest_rate]],$C$1))</f>
        <v>0</v>
      </c>
      <c r="V661" s="2">
        <f>MROUND(Данные[[#This Row],[Минимум 20000]], 100)</f>
        <v>0</v>
      </c>
    </row>
    <row r="662" spans="1:22" x14ac:dyDescent="0.25">
      <c r="A662" s="2">
        <f>'1000_заявлений'!A656</f>
        <v>654</v>
      </c>
      <c r="B662" s="4">
        <f>VALUE(SUBSTITUTE('1000_заявлений'!B656, ".", ","))</f>
        <v>0.71951986476549301</v>
      </c>
      <c r="C662" s="4">
        <f>VALUE(SUBSTITUTE('1000_заявлений'!C656, ".", ","))</f>
        <v>1.82348622863093E-2</v>
      </c>
      <c r="D662" s="4">
        <f>VALUE(SUBSTITUTE('1000_заявлений'!D656, ".", ","))</f>
        <v>0.53527623000000002</v>
      </c>
      <c r="E662" s="4">
        <f>VALUE(SUBSTITUTE('1000_заявлений'!E656, ".", ","))</f>
        <v>5.6215050000000003E-2</v>
      </c>
      <c r="F662" s="5">
        <f>VALUE(SUBSTITUTE('1000_заявлений'!F656, ".", ","))</f>
        <v>-3011</v>
      </c>
      <c r="G662" s="5">
        <f>VALUE(SUBSTITUTE('1000_заявлений'!G656, ".", ","))</f>
        <v>-21599</v>
      </c>
      <c r="H662" s="5">
        <f>VALUE(SUBSTITUTE('1000_заявлений'!H656, ".", ","))</f>
        <v>-4771</v>
      </c>
      <c r="I662" s="4">
        <f>VALUE(SUBSTITUTE('1000_заявлений'!I656, ".", ","))</f>
        <v>0.18834210526315701</v>
      </c>
      <c r="J662" s="4">
        <f>VALUE(SUBSTITUTE('1000_заявлений'!J656, ".", ","))</f>
        <v>1.61119697637148</v>
      </c>
      <c r="K662" s="5">
        <f>VALUE(SUBSTITUTE('1000_заявлений'!K656, ".", ","))</f>
        <v>365243</v>
      </c>
      <c r="L662" s="6">
        <f>VALUE(SUBSTITUTE('1000_заявлений'!L656, ".", ","))</f>
        <v>32206.5</v>
      </c>
      <c r="M662" s="2" t="str">
        <f>IF(Данные[[#This Row],[proba]]&gt;$C$6, "отказ", "одобрение")</f>
        <v>отказ</v>
      </c>
      <c r="N662" s="7">
        <f>IF(Данные[[#This Row],[proba]]&lt;$D$2,$C$2,IF(Данные[[#This Row],[proba]]&lt;$D$3,$C$3,IF(Данные[[#This Row],[proba]]&gt;$C$6,0,$C$4)))</f>
        <v>0</v>
      </c>
      <c r="O662" s="2">
        <f>IF(Данные[[#This Row],[weighted_ext_score]]&gt;$O$1,MIN(Данные[[#This Row],[Базовая сумма]]*$O$2,$C$2),IF(Данные[[#This Row],[weighted_ext_score]]&lt;$O$3,Данные[[#This Row],[Базовая сумма]]*$O$4,N662))</f>
        <v>0</v>
      </c>
      <c r="P6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2" s="2">
        <f>ABS(Данные[[#This Row],[days_birth]])/365.2425</f>
        <v>59.136053443944775</v>
      </c>
      <c r="S6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2" s="2">
        <f>IF(Данные[[#This Row],[ interest_rate]]&gt;$T$1,Данные[[#This Row],[days_birth4]]*$T$2,Данные[[#This Row],[days_birth4]])</f>
        <v>0</v>
      </c>
      <c r="U662" s="2">
        <f>IF(Данные[[#This Row],[Проверка отказа]]="отказ",0,MAX(Данные[[#This Row],[interest_rate]],$C$1))</f>
        <v>0</v>
      </c>
      <c r="V662" s="2">
        <f>MROUND(Данные[[#This Row],[Минимум 20000]], 100)</f>
        <v>0</v>
      </c>
    </row>
    <row r="663" spans="1:22" x14ac:dyDescent="0.25">
      <c r="A663" s="2">
        <f>'1000_заявлений'!A657</f>
        <v>655</v>
      </c>
      <c r="B663" s="4">
        <f>VALUE(SUBSTITUTE('1000_заявлений'!B657, ".", ","))</f>
        <v>0.28885450820386299</v>
      </c>
      <c r="C663" s="4">
        <f>VALUE(SUBSTITUTE('1000_заявлений'!C657, ".", ","))</f>
        <v>0.59459404629565404</v>
      </c>
      <c r="D663" s="4">
        <f>VALUE(SUBSTITUTE('1000_заявлений'!D657, ".", ","))</f>
        <v>0.6785677</v>
      </c>
      <c r="E663" s="4">
        <f>VALUE(SUBSTITUTE('1000_заявлений'!E657, ".", ","))</f>
        <v>0.54884540000000004</v>
      </c>
      <c r="F663" s="5">
        <f>VALUE(SUBSTITUTE('1000_заявлений'!F657, ".", ","))</f>
        <v>-6502</v>
      </c>
      <c r="G663" s="5">
        <f>VALUE(SUBSTITUTE('1000_заявлений'!G657, ".", ","))</f>
        <v>-14455</v>
      </c>
      <c r="H663" s="5">
        <f>VALUE(SUBSTITUTE('1000_заявлений'!H657, ".", ","))</f>
        <v>-4441</v>
      </c>
      <c r="I663" s="4">
        <f>VALUE(SUBSTITUTE('1000_заявлений'!I657, ".", ","))</f>
        <v>0.23065217391304299</v>
      </c>
      <c r="J663" s="4">
        <f>VALUE(SUBSTITUTE('1000_заявлений'!J657, ".", ","))</f>
        <v>0.48910019777199598</v>
      </c>
      <c r="K663" s="5">
        <f>VALUE(SUBSTITUTE('1000_заявлений'!K657, ".", ","))</f>
        <v>-2064</v>
      </c>
      <c r="L663" s="6">
        <f>VALUE(SUBSTITUTE('1000_заявлений'!L657, ".", ","))</f>
        <v>23872.5</v>
      </c>
      <c r="M663" s="2" t="str">
        <f>IF(Данные[[#This Row],[proba]]&gt;$C$6, "отказ", "одобрение")</f>
        <v>одобрение</v>
      </c>
      <c r="N663" s="7">
        <f>IF(Данные[[#This Row],[proba]]&lt;$D$2,$C$2,IF(Данные[[#This Row],[proba]]&lt;$D$3,$C$3,IF(Данные[[#This Row],[proba]]&gt;$C$6,0,$C$4)))</f>
        <v>100000</v>
      </c>
      <c r="O663" s="2">
        <f>IF(Данные[[#This Row],[weighted_ext_score]]&gt;$O$1,MIN(Данные[[#This Row],[Базовая сумма]]*$O$2,$C$2),IF(Данные[[#This Row],[weighted_ext_score]]&lt;$O$3,Данные[[#This Row],[Базовая сумма]]*$O$4,N663))</f>
        <v>100000</v>
      </c>
      <c r="P6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63" s="2">
        <f>ABS(Данные[[#This Row],[days_birth]])/365.2425</f>
        <v>39.57644578601888</v>
      </c>
      <c r="S6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663" s="2">
        <f>IF(Данные[[#This Row],[ interest_rate]]&gt;$T$1,Данные[[#This Row],[days_birth4]]*$T$2,Данные[[#This Row],[days_birth4]])</f>
        <v>120000</v>
      </c>
      <c r="U663" s="2">
        <f>IF(Данные[[#This Row],[Проверка отказа]]="отказ",0,MAX(Данные[[#This Row],[interest_rate]],$C$1))</f>
        <v>120000</v>
      </c>
      <c r="V663" s="2">
        <f>MROUND(Данные[[#This Row],[Минимум 20000]], 100)</f>
        <v>120000</v>
      </c>
    </row>
    <row r="664" spans="1:22" x14ac:dyDescent="0.25">
      <c r="A664" s="2">
        <f>'1000_заявлений'!A658</f>
        <v>656</v>
      </c>
      <c r="B664" s="4">
        <f>VALUE(SUBSTITUTE('1000_заявлений'!B658, ".", ","))</f>
        <v>0.25772972347865297</v>
      </c>
      <c r="C664" s="4">
        <f>VALUE(SUBSTITUTE('1000_заявлений'!C658, ".", ","))</f>
        <v>0.37291564609377997</v>
      </c>
      <c r="D664" s="4">
        <f>VALUE(SUBSTITUTE('1000_заявлений'!D658, ".", ","))</f>
        <v>0.76102639999999999</v>
      </c>
      <c r="E664" s="4">
        <f>VALUE(SUBSTITUTE('1000_заявлений'!E658, ".", ","))</f>
        <v>0.30112675</v>
      </c>
      <c r="F664" s="5">
        <f>VALUE(SUBSTITUTE('1000_заявлений'!F658, ".", ","))</f>
        <v>-3653</v>
      </c>
      <c r="G664" s="5">
        <f>VALUE(SUBSTITUTE('1000_заявлений'!G658, ".", ","))</f>
        <v>-22396</v>
      </c>
      <c r="H664" s="5">
        <f>VALUE(SUBSTITUTE('1000_заявлений'!H658, ".", ","))</f>
        <v>-4048</v>
      </c>
      <c r="I664" s="4">
        <f>VALUE(SUBSTITUTE('1000_заявлений'!I658, ".", ","))</f>
        <v>0.17478571428571399</v>
      </c>
      <c r="J664" s="4">
        <f>VALUE(SUBSTITUTE('1000_заявлений'!J658, ".", ","))</f>
        <v>20.746764236831002</v>
      </c>
      <c r="K664" s="5">
        <f>VALUE(SUBSTITUTE('1000_заявлений'!K658, ".", ","))</f>
        <v>365243</v>
      </c>
      <c r="L664" s="6">
        <f>VALUE(SUBSTITUTE('1000_заявлений'!L658, ".", ","))</f>
        <v>11011.5</v>
      </c>
      <c r="M664" s="2" t="str">
        <f>IF(Данные[[#This Row],[proba]]&gt;$C$6, "отказ", "одобрение")</f>
        <v>одобрение</v>
      </c>
      <c r="N664" s="7">
        <f>IF(Данные[[#This Row],[proba]]&lt;$D$2,$C$2,IF(Данные[[#This Row],[proba]]&lt;$D$3,$C$3,IF(Данные[[#This Row],[proba]]&gt;$C$6,0,$C$4)))</f>
        <v>100000</v>
      </c>
      <c r="O664" s="2">
        <f>IF(Данные[[#This Row],[weighted_ext_score]]&gt;$O$1,MIN(Данные[[#This Row],[Базовая сумма]]*$O$2,$C$2),IF(Данные[[#This Row],[weighted_ext_score]]&lt;$O$3,Данные[[#This Row],[Базовая сумма]]*$O$4,N664))</f>
        <v>100000</v>
      </c>
      <c r="P6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664" s="2">
        <f>ABS(Данные[[#This Row],[days_birth]])/365.2425</f>
        <v>61.318165328514617</v>
      </c>
      <c r="S6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664" s="2">
        <f>IF(Данные[[#This Row],[ interest_rate]]&gt;$T$1,Данные[[#This Row],[days_birth4]]*$T$2,Данные[[#This Row],[days_birth4]])</f>
        <v>100800</v>
      </c>
      <c r="U664" s="2">
        <f>IF(Данные[[#This Row],[Проверка отказа]]="отказ",0,MAX(Данные[[#This Row],[interest_rate]],$C$1))</f>
        <v>100800</v>
      </c>
      <c r="V664" s="2">
        <f>MROUND(Данные[[#This Row],[Минимум 20000]], 100)</f>
        <v>100800</v>
      </c>
    </row>
    <row r="665" spans="1:22" x14ac:dyDescent="0.25">
      <c r="A665" s="2">
        <f>'1000_заявлений'!A659</f>
        <v>657</v>
      </c>
      <c r="B665" s="4">
        <f>VALUE(SUBSTITUTE('1000_заявлений'!B659, ".", ","))</f>
        <v>0.84420126800915396</v>
      </c>
      <c r="C665" s="4">
        <f>VALUE(SUBSTITUTE('1000_заявлений'!C659, ".", ","))</f>
        <v>0.194576041270935</v>
      </c>
      <c r="D665" s="4">
        <f>VALUE(SUBSTITUTE('1000_заявлений'!D659, ".", ","))</f>
        <v>0.15100753</v>
      </c>
      <c r="E665" s="4">
        <f>VALUE(SUBSTITUTE('1000_заявлений'!E659, ".", ","))</f>
        <v>8.8954920000000007E-2</v>
      </c>
      <c r="F665" s="5">
        <f>VALUE(SUBSTITUTE('1000_заявлений'!F659, ".", ","))</f>
        <v>-6707</v>
      </c>
      <c r="G665" s="5">
        <f>VALUE(SUBSTITUTE('1000_заявлений'!G659, ".", ","))</f>
        <v>-14314</v>
      </c>
      <c r="H665" s="5">
        <f>VALUE(SUBSTITUTE('1000_заявлений'!H659, ".", ","))</f>
        <v>-4012</v>
      </c>
      <c r="I665" s="4">
        <f>VALUE(SUBSTITUTE('1000_заявлений'!I659, ".", ","))</f>
        <v>0.19414285714285701</v>
      </c>
      <c r="J665" s="4">
        <f>VALUE(SUBSTITUTE('1000_заявлений'!J659, ".", ","))</f>
        <v>6.1509630438540901</v>
      </c>
      <c r="K665" s="5">
        <f>VALUE(SUBSTITUTE('1000_заявлений'!K659, ".", ","))</f>
        <v>-3751</v>
      </c>
      <c r="L665" s="6">
        <f>VALUE(SUBSTITUTE('1000_заявлений'!L659, ".", ","))</f>
        <v>24462</v>
      </c>
      <c r="M665" s="2" t="str">
        <f>IF(Данные[[#This Row],[proba]]&gt;$C$6, "отказ", "одобрение")</f>
        <v>отказ</v>
      </c>
      <c r="N665" s="7">
        <f>IF(Данные[[#This Row],[proba]]&lt;$D$2,$C$2,IF(Данные[[#This Row],[proba]]&lt;$D$3,$C$3,IF(Данные[[#This Row],[proba]]&gt;$C$6,0,$C$4)))</f>
        <v>0</v>
      </c>
      <c r="O665" s="2">
        <f>IF(Данные[[#This Row],[weighted_ext_score]]&gt;$O$1,MIN(Данные[[#This Row],[Базовая сумма]]*$O$2,$C$2),IF(Данные[[#This Row],[weighted_ext_score]]&lt;$O$3,Данные[[#This Row],[Базовая сумма]]*$O$4,N665))</f>
        <v>0</v>
      </c>
      <c r="P6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5" s="2">
        <f>ABS(Данные[[#This Row],[days_birth]])/365.2425</f>
        <v>39.190400898033495</v>
      </c>
      <c r="S6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5" s="2">
        <f>IF(Данные[[#This Row],[ interest_rate]]&gt;$T$1,Данные[[#This Row],[days_birth4]]*$T$2,Данные[[#This Row],[days_birth4]])</f>
        <v>0</v>
      </c>
      <c r="U665" s="2">
        <f>IF(Данные[[#This Row],[Проверка отказа]]="отказ",0,MAX(Данные[[#This Row],[interest_rate]],$C$1))</f>
        <v>0</v>
      </c>
      <c r="V665" s="2">
        <f>MROUND(Данные[[#This Row],[Минимум 20000]], 100)</f>
        <v>0</v>
      </c>
    </row>
    <row r="666" spans="1:22" x14ac:dyDescent="0.25">
      <c r="A666" s="2">
        <f>'1000_заявлений'!A660</f>
        <v>658</v>
      </c>
      <c r="B666" s="4">
        <f>VALUE(SUBSTITUTE('1000_заявлений'!B660, ".", ","))</f>
        <v>0.48472552386579498</v>
      </c>
      <c r="C666" s="4">
        <f>VALUE(SUBSTITUTE('1000_заявлений'!C660, ".", ","))</f>
        <v>0.34263259790876199</v>
      </c>
      <c r="D666" s="4">
        <f>VALUE(SUBSTITUTE('1000_заявлений'!D660, ".", ","))</f>
        <v>0.71215516000000001</v>
      </c>
      <c r="E666" s="4">
        <f>VALUE(SUBSTITUTE('1000_заявлений'!E660, ".", ","))</f>
        <v>0.26225838000000001</v>
      </c>
      <c r="F666" s="5">
        <f>VALUE(SUBSTITUTE('1000_заявлений'!F660, ".", ","))</f>
        <v>-8708</v>
      </c>
      <c r="G666" s="5">
        <f>VALUE(SUBSTITUTE('1000_заявлений'!G660, ".", ","))</f>
        <v>-19755</v>
      </c>
      <c r="H666" s="5">
        <f>VALUE(SUBSTITUTE('1000_заявлений'!H660, ".", ","))</f>
        <v>-3299</v>
      </c>
      <c r="I666" s="4">
        <f>VALUE(SUBSTITUTE('1000_заявлений'!I660, ".", ","))</f>
        <v>0.23946666666666599</v>
      </c>
      <c r="J666" s="4">
        <f>VALUE(SUBSTITUTE('1000_заявлений'!J660, ".", ","))</f>
        <v>0.47687988516475999</v>
      </c>
      <c r="K666" s="5">
        <f>VALUE(SUBSTITUTE('1000_заявлений'!K660, ".", ","))</f>
        <v>-4147</v>
      </c>
      <c r="L666" s="6">
        <f>VALUE(SUBSTITUTE('1000_заявлений'!L660, ".", ","))</f>
        <v>16164</v>
      </c>
      <c r="M666" s="2" t="str">
        <f>IF(Данные[[#This Row],[proba]]&gt;$C$6, "отказ", "одобрение")</f>
        <v>отказ</v>
      </c>
      <c r="N666" s="7">
        <f>IF(Данные[[#This Row],[proba]]&lt;$D$2,$C$2,IF(Данные[[#This Row],[proba]]&lt;$D$3,$C$3,IF(Данные[[#This Row],[proba]]&gt;$C$6,0,$C$4)))</f>
        <v>0</v>
      </c>
      <c r="O666" s="2">
        <f>IF(Данные[[#This Row],[weighted_ext_score]]&gt;$O$1,MIN(Данные[[#This Row],[Базовая сумма]]*$O$2,$C$2),IF(Данные[[#This Row],[weighted_ext_score]]&lt;$O$3,Данные[[#This Row],[Базовая сумма]]*$O$4,N666))</f>
        <v>0</v>
      </c>
      <c r="P6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6" s="2">
        <f>ABS(Данные[[#This Row],[days_birth]])/365.2425</f>
        <v>54.087352923057971</v>
      </c>
      <c r="S6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6" s="2">
        <f>IF(Данные[[#This Row],[ interest_rate]]&gt;$T$1,Данные[[#This Row],[days_birth4]]*$T$2,Данные[[#This Row],[days_birth4]])</f>
        <v>0</v>
      </c>
      <c r="U666" s="2">
        <f>IF(Данные[[#This Row],[Проверка отказа]]="отказ",0,MAX(Данные[[#This Row],[interest_rate]],$C$1))</f>
        <v>0</v>
      </c>
      <c r="V666" s="2">
        <f>MROUND(Данные[[#This Row],[Минимум 20000]], 100)</f>
        <v>0</v>
      </c>
    </row>
    <row r="667" spans="1:22" x14ac:dyDescent="0.25">
      <c r="A667" s="2">
        <f>'1000_заявлений'!A661</f>
        <v>659</v>
      </c>
      <c r="B667" s="4">
        <f>VALUE(SUBSTITUTE('1000_заявлений'!B661, ".", ","))</f>
        <v>0.248828214808649</v>
      </c>
      <c r="C667" s="4">
        <f>VALUE(SUBSTITUTE('1000_заявлений'!C661, ".", ","))</f>
        <v>0.4793523502691</v>
      </c>
      <c r="D667" s="4">
        <f>VALUE(SUBSTITUTE('1000_заявлений'!D661, ".", ","))</f>
        <v>0.66905669999999995</v>
      </c>
      <c r="E667" s="4">
        <f>VALUE(SUBSTITUTE('1000_заявлений'!E661, ".", ","))</f>
        <v>0.73179550000000004</v>
      </c>
      <c r="F667" s="5">
        <f>VALUE(SUBSTITUTE('1000_заявлений'!F661, ".", ","))</f>
        <v>-3726</v>
      </c>
      <c r="G667" s="5">
        <f>VALUE(SUBSTITUTE('1000_заявлений'!G661, ".", ","))</f>
        <v>-17145</v>
      </c>
      <c r="H667" s="5">
        <f>VALUE(SUBSTITUTE('1000_заявлений'!H661, ".", ","))</f>
        <v>-675</v>
      </c>
      <c r="I667" s="4">
        <f>VALUE(SUBSTITUTE('1000_заявлений'!I661, ".", ","))</f>
        <v>0.138618181818181</v>
      </c>
      <c r="J667" s="4">
        <f>VALUE(SUBSTITUTE('1000_заявлений'!J661, ".", ","))</f>
        <v>4.9469129431424204</v>
      </c>
      <c r="K667" s="5">
        <f>VALUE(SUBSTITUTE('1000_заявлений'!K661, ".", ","))</f>
        <v>-3225</v>
      </c>
      <c r="L667" s="6">
        <f>VALUE(SUBSTITUTE('1000_заявлений'!L661, ".", ","))</f>
        <v>34308</v>
      </c>
      <c r="M667" s="2" t="str">
        <f>IF(Данные[[#This Row],[proba]]&gt;$C$6, "отказ", "одобрение")</f>
        <v>одобрение</v>
      </c>
      <c r="N667" s="7">
        <f>IF(Данные[[#This Row],[proba]]&lt;$D$2,$C$2,IF(Данные[[#This Row],[proba]]&lt;$D$3,$C$3,IF(Данные[[#This Row],[proba]]&gt;$C$6,0,$C$4)))</f>
        <v>100000</v>
      </c>
      <c r="O667" s="2">
        <f>IF(Данные[[#This Row],[weighted_ext_score]]&gt;$O$1,MIN(Данные[[#This Row],[Базовая сумма]]*$O$2,$C$2),IF(Данные[[#This Row],[weighted_ext_score]]&lt;$O$3,Данные[[#This Row],[Базовая сумма]]*$O$4,N667))</f>
        <v>100000</v>
      </c>
      <c r="P6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67" s="2">
        <f>ABS(Данные[[#This Row],[days_birth]])/365.2425</f>
        <v>46.941415634817965</v>
      </c>
      <c r="S6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67" s="2">
        <f>IF(Данные[[#This Row],[ interest_rate]]&gt;$T$1,Данные[[#This Row],[days_birth4]]*$T$2,Данные[[#This Row],[days_birth4]])</f>
        <v>144000</v>
      </c>
      <c r="U667" s="2">
        <f>IF(Данные[[#This Row],[Проверка отказа]]="отказ",0,MAX(Данные[[#This Row],[interest_rate]],$C$1))</f>
        <v>144000</v>
      </c>
      <c r="V667" s="2">
        <f>MROUND(Данные[[#This Row],[Минимум 20000]], 100)</f>
        <v>144000</v>
      </c>
    </row>
    <row r="668" spans="1:22" x14ac:dyDescent="0.25">
      <c r="A668" s="2">
        <f>'1000_заявлений'!A662</f>
        <v>660</v>
      </c>
      <c r="B668" s="4">
        <f>VALUE(SUBSTITUTE('1000_заявлений'!B662, ".", ","))</f>
        <v>0.65365597972274603</v>
      </c>
      <c r="C668" s="4">
        <f>VALUE(SUBSTITUTE('1000_заявлений'!C662, ".", ","))</f>
        <v>0.35244674459682102</v>
      </c>
      <c r="D668" s="4">
        <f>VALUE(SUBSTITUTE('1000_заявлений'!D662, ".", ","))</f>
        <v>0.52269730000000003</v>
      </c>
      <c r="E668" s="4">
        <f>VALUE(SUBSTITUTE('1000_заявлений'!E662, ".", ","))</f>
        <v>0.12465459</v>
      </c>
      <c r="F668" s="5">
        <f>VALUE(SUBSTITUTE('1000_заявлений'!F662, ".", ","))</f>
        <v>-1909</v>
      </c>
      <c r="G668" s="5">
        <f>VALUE(SUBSTITUTE('1000_заявлений'!G662, ".", ","))</f>
        <v>-9765</v>
      </c>
      <c r="H668" s="5">
        <f>VALUE(SUBSTITUTE('1000_заявлений'!H662, ".", ","))</f>
        <v>-1901</v>
      </c>
      <c r="I668" s="4">
        <f>VALUE(SUBSTITUTE('1000_заявлений'!I662, ".", ","))</f>
        <v>7.1050000000000002E-2</v>
      </c>
      <c r="J668" s="4">
        <f>VALUE(SUBSTITUTE('1000_заявлений'!J662, ".", ","))</f>
        <v>5.2421471506988802</v>
      </c>
      <c r="K668" s="5">
        <f>VALUE(SUBSTITUTE('1000_заявлений'!K662, ".", ","))</f>
        <v>-1791</v>
      </c>
      <c r="L668" s="6">
        <f>VALUE(SUBSTITUTE('1000_заявлений'!L662, ".", ","))</f>
        <v>12789</v>
      </c>
      <c r="M668" s="2" t="str">
        <f>IF(Данные[[#This Row],[proba]]&gt;$C$6, "отказ", "одобрение")</f>
        <v>отказ</v>
      </c>
      <c r="N668" s="7">
        <f>IF(Данные[[#This Row],[proba]]&lt;$D$2,$C$2,IF(Данные[[#This Row],[proba]]&lt;$D$3,$C$3,IF(Данные[[#This Row],[proba]]&gt;$C$6,0,$C$4)))</f>
        <v>0</v>
      </c>
      <c r="O668" s="2">
        <f>IF(Данные[[#This Row],[weighted_ext_score]]&gt;$O$1,MIN(Данные[[#This Row],[Базовая сумма]]*$O$2,$C$2),IF(Данные[[#This Row],[weighted_ext_score]]&lt;$O$3,Данные[[#This Row],[Базовая сумма]]*$O$4,N668))</f>
        <v>0</v>
      </c>
      <c r="P6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68" s="2">
        <f>ABS(Данные[[#This Row],[days_birth]])/365.2425</f>
        <v>26.735661923242777</v>
      </c>
      <c r="S6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68" s="2">
        <f>IF(Данные[[#This Row],[ interest_rate]]&gt;$T$1,Данные[[#This Row],[days_birth4]]*$T$2,Данные[[#This Row],[days_birth4]])</f>
        <v>0</v>
      </c>
      <c r="U668" s="2">
        <f>IF(Данные[[#This Row],[Проверка отказа]]="отказ",0,MAX(Данные[[#This Row],[interest_rate]],$C$1))</f>
        <v>0</v>
      </c>
      <c r="V668" s="2">
        <f>MROUND(Данные[[#This Row],[Минимум 20000]], 100)</f>
        <v>0</v>
      </c>
    </row>
    <row r="669" spans="1:22" x14ac:dyDescent="0.25">
      <c r="A669" s="2">
        <f>'1000_заявлений'!A663</f>
        <v>661</v>
      </c>
      <c r="B669" s="4">
        <f>VALUE(SUBSTITUTE('1000_заявлений'!B663, ".", ","))</f>
        <v>0.23754786816479601</v>
      </c>
      <c r="C669" s="4">
        <f>VALUE(SUBSTITUTE('1000_заявлений'!C663, ".", ","))</f>
        <v>0.459911079465326</v>
      </c>
      <c r="D669" s="4">
        <f>VALUE(SUBSTITUTE('1000_заявлений'!D663, ".", ","))</f>
        <v>0.58323795</v>
      </c>
      <c r="E669" s="4">
        <f>VALUE(SUBSTITUTE('1000_заявлений'!E663, ".", ","))</f>
        <v>0.76754533999999996</v>
      </c>
      <c r="F669" s="5">
        <f>VALUE(SUBSTITUTE('1000_заявлений'!F663, ".", ","))</f>
        <v>-8865</v>
      </c>
      <c r="G669" s="5">
        <f>VALUE(SUBSTITUTE('1000_заявлений'!G663, ".", ","))</f>
        <v>-17950</v>
      </c>
      <c r="H669" s="5">
        <f>VALUE(SUBSTITUTE('1000_заявлений'!H663, ".", ","))</f>
        <v>-1494</v>
      </c>
      <c r="I669" s="4">
        <f>VALUE(SUBSTITUTE('1000_заявлений'!I663, ".", ","))</f>
        <v>0.125</v>
      </c>
      <c r="J669" s="4">
        <f>VALUE(SUBSTITUTE('1000_заявлений'!J663, ".", ","))</f>
        <v>10.6209759779781</v>
      </c>
      <c r="K669" s="5">
        <f>VALUE(SUBSTITUTE('1000_заявлений'!K663, ".", ","))</f>
        <v>-7433</v>
      </c>
      <c r="L669" s="6">
        <f>VALUE(SUBSTITUTE('1000_заявлений'!L663, ".", ","))</f>
        <v>33750</v>
      </c>
      <c r="M669" s="2" t="str">
        <f>IF(Данные[[#This Row],[proba]]&gt;$C$6, "отказ", "одобрение")</f>
        <v>одобрение</v>
      </c>
      <c r="N669" s="7">
        <f>IF(Данные[[#This Row],[proba]]&lt;$D$2,$C$2,IF(Данные[[#This Row],[proba]]&lt;$D$3,$C$3,IF(Данные[[#This Row],[proba]]&gt;$C$6,0,$C$4)))</f>
        <v>100000</v>
      </c>
      <c r="O669" s="2">
        <f>IF(Данные[[#This Row],[weighted_ext_score]]&gt;$O$1,MIN(Данные[[#This Row],[Базовая сумма]]*$O$2,$C$2),IF(Данные[[#This Row],[weighted_ext_score]]&lt;$O$3,Данные[[#This Row],[Базовая сумма]]*$O$4,N669))</f>
        <v>100000</v>
      </c>
      <c r="P6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69" s="2">
        <f>ABS(Данные[[#This Row],[days_birth]])/365.2425</f>
        <v>49.145430775443714</v>
      </c>
      <c r="S6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69" s="2">
        <f>IF(Данные[[#This Row],[ interest_rate]]&gt;$T$1,Данные[[#This Row],[days_birth4]]*$T$2,Данные[[#This Row],[days_birth4]])</f>
        <v>144000</v>
      </c>
      <c r="U669" s="2">
        <f>IF(Данные[[#This Row],[Проверка отказа]]="отказ",0,MAX(Данные[[#This Row],[interest_rate]],$C$1))</f>
        <v>144000</v>
      </c>
      <c r="V669" s="2">
        <f>MROUND(Данные[[#This Row],[Минимум 20000]], 100)</f>
        <v>144000</v>
      </c>
    </row>
    <row r="670" spans="1:22" x14ac:dyDescent="0.25">
      <c r="A670" s="2">
        <f>'1000_заявлений'!A664</f>
        <v>662</v>
      </c>
      <c r="B670" s="4">
        <f>VALUE(SUBSTITUTE('1000_заявлений'!B664, ".", ","))</f>
        <v>0.46673392227987298</v>
      </c>
      <c r="C670" s="4">
        <f>VALUE(SUBSTITUTE('1000_заявлений'!C664, ".", ","))</f>
        <v>0.3220525490051</v>
      </c>
      <c r="D670" s="4">
        <f>VALUE(SUBSTITUTE('1000_заявлений'!D664, ".", ","))</f>
        <v>0.36394525</v>
      </c>
      <c r="E670" s="4">
        <f>VALUE(SUBSTITUTE('1000_заявлений'!E664, ".", ","))</f>
        <v>0.58705189999999996</v>
      </c>
      <c r="F670" s="5">
        <f>VALUE(SUBSTITUTE('1000_заявлений'!F664, ".", ","))</f>
        <v>-6328</v>
      </c>
      <c r="G670" s="5">
        <f>VALUE(SUBSTITUTE('1000_заявлений'!G664, ".", ","))</f>
        <v>-16024</v>
      </c>
      <c r="H670" s="5">
        <f>VALUE(SUBSTITUTE('1000_заявлений'!H664, ".", ","))</f>
        <v>-4274</v>
      </c>
      <c r="I670" s="4">
        <f>VALUE(SUBSTITUTE('1000_заявлений'!I664, ".", ","))</f>
        <v>6.25E-2</v>
      </c>
      <c r="J670" s="4">
        <f>VALUE(SUBSTITUTE('1000_заявлений'!J664, ".", ","))</f>
        <v>10.6209759779781</v>
      </c>
      <c r="K670" s="5">
        <f>VALUE(SUBSTITUTE('1000_заявлений'!K664, ".", ","))</f>
        <v>-5001</v>
      </c>
      <c r="L670" s="6">
        <f>VALUE(SUBSTITUTE('1000_заявлений'!L664, ".", ","))</f>
        <v>11250</v>
      </c>
      <c r="M670" s="2" t="str">
        <f>IF(Данные[[#This Row],[proba]]&gt;$C$6, "отказ", "одобрение")</f>
        <v>отказ</v>
      </c>
      <c r="N670" s="7">
        <f>IF(Данные[[#This Row],[proba]]&lt;$D$2,$C$2,IF(Данные[[#This Row],[proba]]&lt;$D$3,$C$3,IF(Данные[[#This Row],[proba]]&gt;$C$6,0,$C$4)))</f>
        <v>0</v>
      </c>
      <c r="O670" s="2">
        <f>IF(Данные[[#This Row],[weighted_ext_score]]&gt;$O$1,MIN(Данные[[#This Row],[Базовая сумма]]*$O$2,$C$2),IF(Данные[[#This Row],[weighted_ext_score]]&lt;$O$3,Данные[[#This Row],[Базовая сумма]]*$O$4,N670))</f>
        <v>0</v>
      </c>
      <c r="P6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0" s="2">
        <f>ABS(Данные[[#This Row],[days_birth]])/365.2425</f>
        <v>43.872221879983847</v>
      </c>
      <c r="S6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0" s="2">
        <f>IF(Данные[[#This Row],[ interest_rate]]&gt;$T$1,Данные[[#This Row],[days_birth4]]*$T$2,Данные[[#This Row],[days_birth4]])</f>
        <v>0</v>
      </c>
      <c r="U670" s="2">
        <f>IF(Данные[[#This Row],[Проверка отказа]]="отказ",0,MAX(Данные[[#This Row],[interest_rate]],$C$1))</f>
        <v>0</v>
      </c>
      <c r="V670" s="2">
        <f>MROUND(Данные[[#This Row],[Минимум 20000]], 100)</f>
        <v>0</v>
      </c>
    </row>
    <row r="671" spans="1:22" x14ac:dyDescent="0.25">
      <c r="A671" s="2">
        <f>'1000_заявлений'!A665</f>
        <v>663</v>
      </c>
      <c r="B671" s="4">
        <f>VALUE(SUBSTITUTE('1000_заявлений'!B665, ".", ","))</f>
        <v>0.442143508678355</v>
      </c>
      <c r="C671" s="4">
        <f>VALUE(SUBSTITUTE('1000_заявлений'!C665, ".", ","))</f>
        <v>0.59007165173707399</v>
      </c>
      <c r="D671" s="4">
        <f>VALUE(SUBSTITUTE('1000_заявлений'!D665, ".", ","))</f>
        <v>0.23401516999999999</v>
      </c>
      <c r="E671" s="4">
        <f>VALUE(SUBSTITUTE('1000_заявлений'!E665, ".", ","))</f>
        <v>0.71368085999999997</v>
      </c>
      <c r="F671" s="5">
        <f>VALUE(SUBSTITUTE('1000_заявлений'!F665, ".", ","))</f>
        <v>-286</v>
      </c>
      <c r="G671" s="5">
        <f>VALUE(SUBSTITUTE('1000_заявлений'!G665, ".", ","))</f>
        <v>-16603</v>
      </c>
      <c r="H671" s="5">
        <f>VALUE(SUBSTITUTE('1000_заявлений'!H665, ".", ","))</f>
        <v>-145</v>
      </c>
      <c r="I671" s="4">
        <f>VALUE(SUBSTITUTE('1000_заявлений'!I665, ".", ","))</f>
        <v>0.125285714285714</v>
      </c>
      <c r="J671" s="4">
        <f>VALUE(SUBSTITUTE('1000_заявлений'!J665, ".", ","))</f>
        <v>1.54417138270848</v>
      </c>
      <c r="K671" s="5">
        <f>VALUE(SUBSTITUTE('1000_заявлений'!K665, ".", ","))</f>
        <v>-644</v>
      </c>
      <c r="L671" s="6">
        <f>VALUE(SUBSTITUTE('1000_заявлений'!L665, ".", ","))</f>
        <v>39465</v>
      </c>
      <c r="M671" s="2" t="str">
        <f>IF(Данные[[#This Row],[proba]]&gt;$C$6, "отказ", "одобрение")</f>
        <v>отказ</v>
      </c>
      <c r="N671" s="7">
        <f>IF(Данные[[#This Row],[proba]]&lt;$D$2,$C$2,IF(Данные[[#This Row],[proba]]&lt;$D$3,$C$3,IF(Данные[[#This Row],[proba]]&gt;$C$6,0,$C$4)))</f>
        <v>0</v>
      </c>
      <c r="O671" s="2">
        <f>IF(Данные[[#This Row],[weighted_ext_score]]&gt;$O$1,MIN(Данные[[#This Row],[Базовая сумма]]*$O$2,$C$2),IF(Данные[[#This Row],[weighted_ext_score]]&lt;$O$3,Данные[[#This Row],[Базовая сумма]]*$O$4,N671))</f>
        <v>0</v>
      </c>
      <c r="P6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1" s="2">
        <f>ABS(Данные[[#This Row],[days_birth]])/365.2425</f>
        <v>45.457470037030191</v>
      </c>
      <c r="S6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1" s="2">
        <f>IF(Данные[[#This Row],[ interest_rate]]&gt;$T$1,Данные[[#This Row],[days_birth4]]*$T$2,Данные[[#This Row],[days_birth4]])</f>
        <v>0</v>
      </c>
      <c r="U671" s="2">
        <f>IF(Данные[[#This Row],[Проверка отказа]]="отказ",0,MAX(Данные[[#This Row],[interest_rate]],$C$1))</f>
        <v>0</v>
      </c>
      <c r="V671" s="2">
        <f>MROUND(Данные[[#This Row],[Минимум 20000]], 100)</f>
        <v>0</v>
      </c>
    </row>
    <row r="672" spans="1:22" x14ac:dyDescent="0.25">
      <c r="A672" s="2">
        <f>'1000_заявлений'!A666</f>
        <v>664</v>
      </c>
      <c r="B672" s="4">
        <f>VALUE(SUBSTITUTE('1000_заявлений'!B666, ".", ","))</f>
        <v>0.37671881960958298</v>
      </c>
      <c r="C672" s="4">
        <f>VALUE(SUBSTITUTE('1000_заявлений'!C666, ".", ","))</f>
        <v>0.40059285364490999</v>
      </c>
      <c r="D672" s="4">
        <f>VALUE(SUBSTITUTE('1000_заявлений'!D666, ".", ","))</f>
        <v>0.46506920000000002</v>
      </c>
      <c r="E672" s="4">
        <f>VALUE(SUBSTITUTE('1000_заявлений'!E666, ".", ","))</f>
        <v>0.71642994999999998</v>
      </c>
      <c r="F672" s="5">
        <f>VALUE(SUBSTITUTE('1000_заявлений'!F666, ".", ","))</f>
        <v>-7629</v>
      </c>
      <c r="G672" s="5">
        <f>VALUE(SUBSTITUTE('1000_заявлений'!G666, ".", ","))</f>
        <v>-13573</v>
      </c>
      <c r="H672" s="5">
        <f>VALUE(SUBSTITUTE('1000_заявлений'!H666, ".", ","))</f>
        <v>-4786</v>
      </c>
      <c r="I672" s="4">
        <f>VALUE(SUBSTITUTE('1000_заявлений'!I666, ".", ","))</f>
        <v>0.12475</v>
      </c>
      <c r="J672" s="4">
        <f>VALUE(SUBSTITUTE('1000_заявлений'!J666, ".", ","))</f>
        <v>1.8231631974301199</v>
      </c>
      <c r="K672" s="5">
        <f>VALUE(SUBSTITUTE('1000_заявлений'!K666, ".", ","))</f>
        <v>-1796</v>
      </c>
      <c r="L672" s="6">
        <f>VALUE(SUBSTITUTE('1000_заявлений'!L666, ".", ","))</f>
        <v>33682.5</v>
      </c>
      <c r="M672" s="2" t="str">
        <f>IF(Данные[[#This Row],[proba]]&gt;$C$6, "отказ", "одобрение")</f>
        <v>отказ</v>
      </c>
      <c r="N672" s="7">
        <f>IF(Данные[[#This Row],[proba]]&lt;$D$2,$C$2,IF(Данные[[#This Row],[proba]]&lt;$D$3,$C$3,IF(Данные[[#This Row],[proba]]&gt;$C$6,0,$C$4)))</f>
        <v>0</v>
      </c>
      <c r="O672" s="2">
        <f>IF(Данные[[#This Row],[weighted_ext_score]]&gt;$O$1,MIN(Данные[[#This Row],[Базовая сумма]]*$O$2,$C$2),IF(Данные[[#This Row],[weighted_ext_score]]&lt;$O$3,Данные[[#This Row],[Базовая сумма]]*$O$4,N672))</f>
        <v>0</v>
      </c>
      <c r="P6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2" s="2">
        <f>ABS(Данные[[#This Row],[days_birth]])/365.2425</f>
        <v>37.16161180585501</v>
      </c>
      <c r="S6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2" s="2">
        <f>IF(Данные[[#This Row],[ interest_rate]]&gt;$T$1,Данные[[#This Row],[days_birth4]]*$T$2,Данные[[#This Row],[days_birth4]])</f>
        <v>0</v>
      </c>
      <c r="U672" s="2">
        <f>IF(Данные[[#This Row],[Проверка отказа]]="отказ",0,MAX(Данные[[#This Row],[interest_rate]],$C$1))</f>
        <v>0</v>
      </c>
      <c r="V672" s="2">
        <f>MROUND(Данные[[#This Row],[Минимум 20000]], 100)</f>
        <v>0</v>
      </c>
    </row>
    <row r="673" spans="1:22" x14ac:dyDescent="0.25">
      <c r="A673" s="2">
        <f>'1000_заявлений'!A667</f>
        <v>665</v>
      </c>
      <c r="B673" s="4">
        <f>VALUE(SUBSTITUTE('1000_заявлений'!B667, ".", ","))</f>
        <v>0.36929961895858299</v>
      </c>
      <c r="C673" s="4">
        <f>VALUE(SUBSTITUTE('1000_заявлений'!C667, ".", ","))</f>
        <v>0.40491317711758301</v>
      </c>
      <c r="D673" s="4">
        <f>VALUE(SUBSTITUTE('1000_заявлений'!D667, ".", ","))</f>
        <v>0.6769925</v>
      </c>
      <c r="E673" s="4">
        <f>VALUE(SUBSTITUTE('1000_заявлений'!E667, ".", ","))</f>
        <v>0.49346383999999999</v>
      </c>
      <c r="F673" s="5">
        <f>VALUE(SUBSTITUTE('1000_заявлений'!F667, ".", ","))</f>
        <v>-7512</v>
      </c>
      <c r="G673" s="5">
        <f>VALUE(SUBSTITUTE('1000_заявлений'!G667, ".", ","))</f>
        <v>-12404</v>
      </c>
      <c r="H673" s="5">
        <f>VALUE(SUBSTITUTE('1000_заявлений'!H667, ".", ","))</f>
        <v>-2458</v>
      </c>
      <c r="I673" s="4">
        <f>VALUE(SUBSTITUTE('1000_заявлений'!I667, ".", ","))</f>
        <v>0.33637142857142799</v>
      </c>
      <c r="J673" s="4">
        <f>VALUE(SUBSTITUTE('1000_заявлений'!J667, ".", ","))</f>
        <v>11.944734621092399</v>
      </c>
      <c r="K673" s="5">
        <f>VALUE(SUBSTITUTE('1000_заявлений'!K667, ".", ","))</f>
        <v>-2636</v>
      </c>
      <c r="L673" s="6">
        <f>VALUE(SUBSTITUTE('1000_заявлений'!L667, ".", ","))</f>
        <v>52978.5</v>
      </c>
      <c r="M673" s="2" t="str">
        <f>IF(Данные[[#This Row],[proba]]&gt;$C$6, "отказ", "одобрение")</f>
        <v>отказ</v>
      </c>
      <c r="N673" s="7">
        <f>IF(Данные[[#This Row],[proba]]&lt;$D$2,$C$2,IF(Данные[[#This Row],[proba]]&lt;$D$3,$C$3,IF(Данные[[#This Row],[proba]]&gt;$C$6,0,$C$4)))</f>
        <v>0</v>
      </c>
      <c r="O673" s="2">
        <f>IF(Данные[[#This Row],[weighted_ext_score]]&gt;$O$1,MIN(Данные[[#This Row],[Базовая сумма]]*$O$2,$C$2),IF(Данные[[#This Row],[weighted_ext_score]]&lt;$O$3,Данные[[#This Row],[Базовая сумма]]*$O$4,N673))</f>
        <v>0</v>
      </c>
      <c r="P6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3" s="2">
        <f>ABS(Данные[[#This Row],[days_birth]])/365.2425</f>
        <v>33.96099851468545</v>
      </c>
      <c r="S6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3" s="2">
        <f>IF(Данные[[#This Row],[ interest_rate]]&gt;$T$1,Данные[[#This Row],[days_birth4]]*$T$2,Данные[[#This Row],[days_birth4]])</f>
        <v>0</v>
      </c>
      <c r="U673" s="2">
        <f>IF(Данные[[#This Row],[Проверка отказа]]="отказ",0,MAX(Данные[[#This Row],[interest_rate]],$C$1))</f>
        <v>0</v>
      </c>
      <c r="V673" s="2">
        <f>MROUND(Данные[[#This Row],[Минимум 20000]], 100)</f>
        <v>0</v>
      </c>
    </row>
    <row r="674" spans="1:22" x14ac:dyDescent="0.25">
      <c r="A674" s="2">
        <f>'1000_заявлений'!A668</f>
        <v>666</v>
      </c>
      <c r="B674" s="4">
        <f>VALUE(SUBSTITUTE('1000_заявлений'!B668, ".", ","))</f>
        <v>0.62044665501231</v>
      </c>
      <c r="C674" s="4">
        <f>VALUE(SUBSTITUTE('1000_заявлений'!C668, ".", ","))</f>
        <v>0.25427844367772001</v>
      </c>
      <c r="D674" s="4">
        <f>VALUE(SUBSTITUTE('1000_заявлений'!D668, ".", ","))</f>
        <v>0.39621958000000002</v>
      </c>
      <c r="E674" s="4">
        <f>VALUE(SUBSTITUTE('1000_заявлений'!E668, ".", ","))</f>
        <v>0.34213116999999998</v>
      </c>
      <c r="F674" s="5">
        <f>VALUE(SUBSTITUTE('1000_заявлений'!F668, ".", ","))</f>
        <v>-6163</v>
      </c>
      <c r="G674" s="5">
        <f>VALUE(SUBSTITUTE('1000_заявлений'!G668, ".", ","))</f>
        <v>-20448</v>
      </c>
      <c r="H674" s="5">
        <f>VALUE(SUBSTITUTE('1000_заявлений'!H668, ".", ","))</f>
        <v>-4000</v>
      </c>
      <c r="I674" s="4">
        <f>VALUE(SUBSTITUTE('1000_заявлений'!I668, ".", ","))</f>
        <v>0.254575</v>
      </c>
      <c r="J674" s="4">
        <f>VALUE(SUBSTITUTE('1000_заявлений'!J668, ".", ","))</f>
        <v>4.4594441217255802</v>
      </c>
      <c r="K674" s="5">
        <f>VALUE(SUBSTITUTE('1000_заявлений'!K668, ".", ","))</f>
        <v>-3212</v>
      </c>
      <c r="L674" s="6">
        <f>VALUE(SUBSTITUTE('1000_заявлений'!L668, ".", ","))</f>
        <v>45823.5</v>
      </c>
      <c r="M674" s="2" t="str">
        <f>IF(Данные[[#This Row],[proba]]&gt;$C$6, "отказ", "одобрение")</f>
        <v>отказ</v>
      </c>
      <c r="N674" s="7">
        <f>IF(Данные[[#This Row],[proba]]&lt;$D$2,$C$2,IF(Данные[[#This Row],[proba]]&lt;$D$3,$C$3,IF(Данные[[#This Row],[proba]]&gt;$C$6,0,$C$4)))</f>
        <v>0</v>
      </c>
      <c r="O674" s="2">
        <f>IF(Данные[[#This Row],[weighted_ext_score]]&gt;$O$1,MIN(Данные[[#This Row],[Базовая сумма]]*$O$2,$C$2),IF(Данные[[#This Row],[weighted_ext_score]]&lt;$O$3,Данные[[#This Row],[Базовая сумма]]*$O$4,N674))</f>
        <v>0</v>
      </c>
      <c r="P6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4" s="2">
        <f>ABS(Данные[[#This Row],[days_birth]])/365.2425</f>
        <v>55.984722478901006</v>
      </c>
      <c r="S6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4" s="2">
        <f>IF(Данные[[#This Row],[ interest_rate]]&gt;$T$1,Данные[[#This Row],[days_birth4]]*$T$2,Данные[[#This Row],[days_birth4]])</f>
        <v>0</v>
      </c>
      <c r="U674" s="2">
        <f>IF(Данные[[#This Row],[Проверка отказа]]="отказ",0,MAX(Данные[[#This Row],[interest_rate]],$C$1))</f>
        <v>0</v>
      </c>
      <c r="V674" s="2">
        <f>MROUND(Данные[[#This Row],[Минимум 20000]], 100)</f>
        <v>0</v>
      </c>
    </row>
    <row r="675" spans="1:22" x14ac:dyDescent="0.25">
      <c r="A675" s="2">
        <f>'1000_заявлений'!A669</f>
        <v>667</v>
      </c>
      <c r="B675" s="4">
        <f>VALUE(SUBSTITUTE('1000_заявлений'!B669, ".", ","))</f>
        <v>0.61890941950417799</v>
      </c>
      <c r="C675" s="4">
        <f>VALUE(SUBSTITUTE('1000_заявлений'!C669, ".", ","))</f>
        <v>0.28006650706206399</v>
      </c>
      <c r="D675" s="4">
        <f>VALUE(SUBSTITUTE('1000_заявлений'!D669, ".", ","))</f>
        <v>0.35563869999999997</v>
      </c>
      <c r="E675" s="4">
        <f>VALUE(SUBSTITUTE('1000_заявлений'!E669, ".", ","))</f>
        <v>0.46687733999999997</v>
      </c>
      <c r="F675" s="5">
        <f>VALUE(SUBSTITUTE('1000_заявлений'!F669, ".", ","))</f>
        <v>-6058</v>
      </c>
      <c r="G675" s="5">
        <f>VALUE(SUBSTITUTE('1000_заявлений'!G669, ".", ","))</f>
        <v>-15827</v>
      </c>
      <c r="H675" s="5">
        <f>VALUE(SUBSTITUTE('1000_заявлений'!H669, ".", ","))</f>
        <v>-1480</v>
      </c>
      <c r="I675" s="4">
        <f>VALUE(SUBSTITUTE('1000_заявлений'!I669, ".", ","))</f>
        <v>0.168866666666666</v>
      </c>
      <c r="J675" s="4">
        <f>VALUE(SUBSTITUTE('1000_заявлений'!J669, ".", ","))</f>
        <v>6.7995256949890903</v>
      </c>
      <c r="K675" s="5">
        <f>VALUE(SUBSTITUTE('1000_заявлений'!K669, ".", ","))</f>
        <v>-1998</v>
      </c>
      <c r="L675" s="6">
        <f>VALUE(SUBSTITUTE('1000_заявлений'!L669, ".", ","))</f>
        <v>11398.5</v>
      </c>
      <c r="M675" s="2" t="str">
        <f>IF(Данные[[#This Row],[proba]]&gt;$C$6, "отказ", "одобрение")</f>
        <v>отказ</v>
      </c>
      <c r="N675" s="7">
        <f>IF(Данные[[#This Row],[proba]]&lt;$D$2,$C$2,IF(Данные[[#This Row],[proba]]&lt;$D$3,$C$3,IF(Данные[[#This Row],[proba]]&gt;$C$6,0,$C$4)))</f>
        <v>0</v>
      </c>
      <c r="O675" s="2">
        <f>IF(Данные[[#This Row],[weighted_ext_score]]&gt;$O$1,MIN(Данные[[#This Row],[Базовая сумма]]*$O$2,$C$2),IF(Данные[[#This Row],[weighted_ext_score]]&lt;$O$3,Данные[[#This Row],[Базовая сумма]]*$O$4,N675))</f>
        <v>0</v>
      </c>
      <c r="P6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5" s="2">
        <f>ABS(Данные[[#This Row],[days_birth]])/365.2425</f>
        <v>43.332854199607112</v>
      </c>
      <c r="S6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5" s="2">
        <f>IF(Данные[[#This Row],[ interest_rate]]&gt;$T$1,Данные[[#This Row],[days_birth4]]*$T$2,Данные[[#This Row],[days_birth4]])</f>
        <v>0</v>
      </c>
      <c r="U675" s="2">
        <f>IF(Данные[[#This Row],[Проверка отказа]]="отказ",0,MAX(Данные[[#This Row],[interest_rate]],$C$1))</f>
        <v>0</v>
      </c>
      <c r="V675" s="2">
        <f>MROUND(Данные[[#This Row],[Минимум 20000]], 100)</f>
        <v>0</v>
      </c>
    </row>
    <row r="676" spans="1:22" x14ac:dyDescent="0.25">
      <c r="A676" s="2">
        <f>'1000_заявлений'!A670</f>
        <v>668</v>
      </c>
      <c r="B676" s="4">
        <f>VALUE(SUBSTITUTE('1000_заявлений'!B670, ".", ","))</f>
        <v>0.48510314422363399</v>
      </c>
      <c r="C676" s="4">
        <f>VALUE(SUBSTITUTE('1000_заявлений'!C670, ".", ","))</f>
        <v>0.50304437653859402</v>
      </c>
      <c r="D676" s="4">
        <f>VALUE(SUBSTITUTE('1000_заявлений'!D670, ".", ","))</f>
        <v>0.52089759999999996</v>
      </c>
      <c r="E676" s="4">
        <f>VALUE(SUBSTITUTE('1000_заявлений'!E670, ".", ","))</f>
        <v>0.26531175000000001</v>
      </c>
      <c r="F676" s="5">
        <f>VALUE(SUBSTITUTE('1000_заявлений'!F670, ".", ","))</f>
        <v>-9722</v>
      </c>
      <c r="G676" s="5">
        <f>VALUE(SUBSTITUTE('1000_заявлений'!G670, ".", ","))</f>
        <v>-20862</v>
      </c>
      <c r="H676" s="5">
        <f>VALUE(SUBSTITUTE('1000_заявлений'!H670, ".", ","))</f>
        <v>-4387</v>
      </c>
      <c r="I676" s="4">
        <f>VALUE(SUBSTITUTE('1000_заявлений'!I670, ".", ","))</f>
        <v>0.2994</v>
      </c>
      <c r="J676" s="4">
        <f>VALUE(SUBSTITUTE('1000_заявлений'!J670, ".", ","))</f>
        <v>2.7682725227066798</v>
      </c>
      <c r="K676" s="5">
        <f>VALUE(SUBSTITUTE('1000_заявлений'!K670, ".", ","))</f>
        <v>-1061</v>
      </c>
      <c r="L676" s="6">
        <f>VALUE(SUBSTITUTE('1000_заявлений'!L670, ".", ","))</f>
        <v>26946</v>
      </c>
      <c r="M676" s="2" t="str">
        <f>IF(Данные[[#This Row],[proba]]&gt;$C$6, "отказ", "одобрение")</f>
        <v>отказ</v>
      </c>
      <c r="N676" s="7">
        <f>IF(Данные[[#This Row],[proba]]&lt;$D$2,$C$2,IF(Данные[[#This Row],[proba]]&lt;$D$3,$C$3,IF(Данные[[#This Row],[proba]]&gt;$C$6,0,$C$4)))</f>
        <v>0</v>
      </c>
      <c r="O676" s="2">
        <f>IF(Данные[[#This Row],[weighted_ext_score]]&gt;$O$1,MIN(Данные[[#This Row],[Базовая сумма]]*$O$2,$C$2),IF(Данные[[#This Row],[weighted_ext_score]]&lt;$O$3,Данные[[#This Row],[Базовая сумма]]*$O$4,N676))</f>
        <v>0</v>
      </c>
      <c r="P6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6" s="2">
        <f>ABS(Данные[[#This Row],[days_birth]])/365.2425</f>
        <v>57.118215979794243</v>
      </c>
      <c r="S6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6" s="2">
        <f>IF(Данные[[#This Row],[ interest_rate]]&gt;$T$1,Данные[[#This Row],[days_birth4]]*$T$2,Данные[[#This Row],[days_birth4]])</f>
        <v>0</v>
      </c>
      <c r="U676" s="2">
        <f>IF(Данные[[#This Row],[Проверка отказа]]="отказ",0,MAX(Данные[[#This Row],[interest_rate]],$C$1))</f>
        <v>0</v>
      </c>
      <c r="V676" s="2">
        <f>MROUND(Данные[[#This Row],[Минимум 20000]], 100)</f>
        <v>0</v>
      </c>
    </row>
    <row r="677" spans="1:22" x14ac:dyDescent="0.25">
      <c r="A677" s="2">
        <f>'1000_заявлений'!A671</f>
        <v>669</v>
      </c>
      <c r="B677" s="4">
        <f>VALUE(SUBSTITUTE('1000_заявлений'!B671, ".", ","))</f>
        <v>0.16691173179150101</v>
      </c>
      <c r="C677" s="4">
        <f>VALUE(SUBSTITUTE('1000_заявлений'!C671, ".", ","))</f>
        <v>0.67324435442103303</v>
      </c>
      <c r="D677" s="4">
        <f>VALUE(SUBSTITUTE('1000_заявлений'!D671, ".", ","))</f>
        <v>0.59892624999999999</v>
      </c>
      <c r="E677" s="4">
        <f>VALUE(SUBSTITUTE('1000_заявлений'!E671, ".", ","))</f>
        <v>0.69752634000000002</v>
      </c>
      <c r="F677" s="5">
        <f>VALUE(SUBSTITUTE('1000_заявлений'!F671, ".", ","))</f>
        <v>-1104</v>
      </c>
      <c r="G677" s="5">
        <f>VALUE(SUBSTITUTE('1000_заявлений'!G671, ".", ","))</f>
        <v>-18449</v>
      </c>
      <c r="H677" s="5">
        <f>VALUE(SUBSTITUTE('1000_заявлений'!H671, ".", ","))</f>
        <v>-1994</v>
      </c>
      <c r="I677" s="4">
        <f>VALUE(SUBSTITUTE('1000_заявлений'!I671, ".", ","))</f>
        <v>0.15</v>
      </c>
      <c r="J677" s="4">
        <f>VALUE(SUBSTITUTE('1000_заявлений'!J671, ".", ","))</f>
        <v>10.6209759779781</v>
      </c>
      <c r="K677" s="5">
        <f>VALUE(SUBSTITUTE('1000_заявлений'!K671, ".", ","))</f>
        <v>365243</v>
      </c>
      <c r="L677" s="6">
        <f>VALUE(SUBSTITUTE('1000_заявлений'!L671, ".", ","))</f>
        <v>20250</v>
      </c>
      <c r="M677" s="2" t="str">
        <f>IF(Данные[[#This Row],[proba]]&gt;$C$6, "отказ", "одобрение")</f>
        <v>одобрение</v>
      </c>
      <c r="N677" s="7">
        <f>IF(Данные[[#This Row],[proba]]&lt;$D$2,$C$2,IF(Данные[[#This Row],[proba]]&lt;$D$3,$C$3,IF(Данные[[#This Row],[proba]]&gt;$C$6,0,$C$4)))</f>
        <v>300000</v>
      </c>
      <c r="O677" s="2">
        <f>IF(Данные[[#This Row],[weighted_ext_score]]&gt;$O$1,MIN(Данные[[#This Row],[Базовая сумма]]*$O$2,$C$2),IF(Данные[[#This Row],[weighted_ext_score]]&lt;$O$3,Данные[[#This Row],[Базовая сумма]]*$O$4,N677))</f>
        <v>300000</v>
      </c>
      <c r="P6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77" s="2">
        <f>ABS(Данные[[#This Row],[days_birth]])/365.2425</f>
        <v>50.511646371930979</v>
      </c>
      <c r="S6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77" s="2">
        <f>IF(Данные[[#This Row],[ interest_rate]]&gt;$T$1,Данные[[#This Row],[days_birth4]]*$T$2,Данные[[#This Row],[days_birth4]])</f>
        <v>378000</v>
      </c>
      <c r="U677" s="2">
        <f>IF(Данные[[#This Row],[Проверка отказа]]="отказ",0,MAX(Данные[[#This Row],[interest_rate]],$C$1))</f>
        <v>378000</v>
      </c>
      <c r="V677" s="2">
        <f>MROUND(Данные[[#This Row],[Минимум 20000]], 100)</f>
        <v>378000</v>
      </c>
    </row>
    <row r="678" spans="1:22" x14ac:dyDescent="0.25">
      <c r="A678" s="2">
        <f>'1000_заявлений'!A672</f>
        <v>670</v>
      </c>
      <c r="B678" s="4">
        <f>VALUE(SUBSTITUTE('1000_заявлений'!B672, ".", ","))</f>
        <v>0.58194441465857805</v>
      </c>
      <c r="C678" s="4">
        <f>VALUE(SUBSTITUTE('1000_заявлений'!C672, ".", ","))</f>
        <v>0.28428117959180599</v>
      </c>
      <c r="D678" s="4">
        <f>VALUE(SUBSTITUTE('1000_заявлений'!D672, ".", ","))</f>
        <v>0.44361531999999998</v>
      </c>
      <c r="E678" s="4">
        <f>VALUE(SUBSTITUTE('1000_заявлений'!E672, ".", ","))</f>
        <v>0.38178050000000002</v>
      </c>
      <c r="F678" s="5">
        <f>VALUE(SUBSTITUTE('1000_заявлений'!F672, ".", ","))</f>
        <v>-3942</v>
      </c>
      <c r="G678" s="5">
        <f>VALUE(SUBSTITUTE('1000_заявлений'!G672, ".", ","))</f>
        <v>-17545</v>
      </c>
      <c r="H678" s="5">
        <f>VALUE(SUBSTITUTE('1000_заявлений'!H672, ".", ","))</f>
        <v>-1081</v>
      </c>
      <c r="I678" s="4">
        <f>VALUE(SUBSTITUTE('1000_заявлений'!I672, ".", ","))</f>
        <v>0.16203999999999999</v>
      </c>
      <c r="J678" s="4">
        <f>VALUE(SUBSTITUTE('1000_заявлений'!J672, ".", ","))</f>
        <v>6.5526323213506297</v>
      </c>
      <c r="K678" s="5">
        <f>VALUE(SUBSTITUTE('1000_заявлений'!K672, ".", ","))</f>
        <v>-1079</v>
      </c>
      <c r="L678" s="6">
        <f>VALUE(SUBSTITUTE('1000_заявлений'!L672, ".", ","))</f>
        <v>36459</v>
      </c>
      <c r="M678" s="2" t="str">
        <f>IF(Данные[[#This Row],[proba]]&gt;$C$6, "отказ", "одобрение")</f>
        <v>отказ</v>
      </c>
      <c r="N678" s="7">
        <f>IF(Данные[[#This Row],[proba]]&lt;$D$2,$C$2,IF(Данные[[#This Row],[proba]]&lt;$D$3,$C$3,IF(Данные[[#This Row],[proba]]&gt;$C$6,0,$C$4)))</f>
        <v>0</v>
      </c>
      <c r="O678" s="2">
        <f>IF(Данные[[#This Row],[weighted_ext_score]]&gt;$O$1,MIN(Данные[[#This Row],[Базовая сумма]]*$O$2,$C$2),IF(Данные[[#This Row],[weighted_ext_score]]&lt;$O$3,Данные[[#This Row],[Базовая сумма]]*$O$4,N678))</f>
        <v>0</v>
      </c>
      <c r="P6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78" s="2">
        <f>ABS(Данные[[#This Row],[days_birth]])/365.2425</f>
        <v>48.036578437613365</v>
      </c>
      <c r="S6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78" s="2">
        <f>IF(Данные[[#This Row],[ interest_rate]]&gt;$T$1,Данные[[#This Row],[days_birth4]]*$T$2,Данные[[#This Row],[days_birth4]])</f>
        <v>0</v>
      </c>
      <c r="U678" s="2">
        <f>IF(Данные[[#This Row],[Проверка отказа]]="отказ",0,MAX(Данные[[#This Row],[interest_rate]],$C$1))</f>
        <v>0</v>
      </c>
      <c r="V678" s="2">
        <f>MROUND(Данные[[#This Row],[Минимум 20000]], 100)</f>
        <v>0</v>
      </c>
    </row>
    <row r="679" spans="1:22" x14ac:dyDescent="0.25">
      <c r="A679" s="2">
        <f>'1000_заявлений'!A673</f>
        <v>671</v>
      </c>
      <c r="B679" s="4">
        <f>VALUE(SUBSTITUTE('1000_заявлений'!B673, ".", ","))</f>
        <v>0.20406877695480599</v>
      </c>
      <c r="C679" s="4">
        <f>VALUE(SUBSTITUTE('1000_заявлений'!C673, ".", ","))</f>
        <v>0.50030167252119795</v>
      </c>
      <c r="D679" s="4">
        <f>VALUE(SUBSTITUTE('1000_заявлений'!D673, ".", ","))</f>
        <v>0.74902170000000001</v>
      </c>
      <c r="E679" s="4">
        <f>VALUE(SUBSTITUTE('1000_заявлений'!E673, ".", ","))</f>
        <v>0.7072214</v>
      </c>
      <c r="F679" s="5">
        <f>VALUE(SUBSTITUTE('1000_заявлений'!F673, ".", ","))</f>
        <v>-8319</v>
      </c>
      <c r="G679" s="5">
        <f>VALUE(SUBSTITUTE('1000_заявлений'!G673, ".", ","))</f>
        <v>-15977</v>
      </c>
      <c r="H679" s="5">
        <f>VALUE(SUBSTITUTE('1000_заявлений'!H673, ".", ","))</f>
        <v>-4628</v>
      </c>
      <c r="I679" s="4">
        <f>VALUE(SUBSTITUTE('1000_заявлений'!I673, ".", ","))</f>
        <v>0.130024776255246</v>
      </c>
      <c r="J679" s="4">
        <f>VALUE(SUBSTITUTE('1000_заявлений'!J673, ".", ","))</f>
        <v>2.9223424726345799</v>
      </c>
      <c r="K679" s="5">
        <f>VALUE(SUBSTITUTE('1000_заявлений'!K673, ".", ","))</f>
        <v>-2419</v>
      </c>
      <c r="L679" s="6">
        <f>VALUE(SUBSTITUTE('1000_заявлений'!L673, ".", ","))</f>
        <v>23143.5</v>
      </c>
      <c r="M679" s="2" t="str">
        <f>IF(Данные[[#This Row],[proba]]&gt;$C$6, "отказ", "одобрение")</f>
        <v>одобрение</v>
      </c>
      <c r="N679" s="7">
        <f>IF(Данные[[#This Row],[proba]]&lt;$D$2,$C$2,IF(Данные[[#This Row],[proba]]&lt;$D$3,$C$3,IF(Данные[[#This Row],[proba]]&gt;$C$6,0,$C$4)))</f>
        <v>100000</v>
      </c>
      <c r="O679" s="2">
        <f>IF(Данные[[#This Row],[weighted_ext_score]]&gt;$O$1,MIN(Данные[[#This Row],[Базовая сумма]]*$O$2,$C$2),IF(Данные[[#This Row],[weighted_ext_score]]&lt;$O$3,Данные[[#This Row],[Базовая сумма]]*$O$4,N679))</f>
        <v>100000</v>
      </c>
      <c r="P6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79" s="2">
        <f>ABS(Данные[[#This Row],[days_birth]])/365.2425</f>
        <v>43.743540250655386</v>
      </c>
      <c r="S6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79" s="2">
        <f>IF(Данные[[#This Row],[ interest_rate]]&gt;$T$1,Данные[[#This Row],[days_birth4]]*$T$2,Данные[[#This Row],[days_birth4]])</f>
        <v>144000</v>
      </c>
      <c r="U679" s="2">
        <f>IF(Данные[[#This Row],[Проверка отказа]]="отказ",0,MAX(Данные[[#This Row],[interest_rate]],$C$1))</f>
        <v>144000</v>
      </c>
      <c r="V679" s="2">
        <f>MROUND(Данные[[#This Row],[Минимум 20000]], 100)</f>
        <v>144000</v>
      </c>
    </row>
    <row r="680" spans="1:22" x14ac:dyDescent="0.25">
      <c r="A680" s="2">
        <f>'1000_заявлений'!A674</f>
        <v>672</v>
      </c>
      <c r="B680" s="4">
        <f>VALUE(SUBSTITUTE('1000_заявлений'!B674, ".", ","))</f>
        <v>0.50397091131868699</v>
      </c>
      <c r="C680" s="4">
        <f>VALUE(SUBSTITUTE('1000_заявлений'!C674, ".", ","))</f>
        <v>0.32785959489684502</v>
      </c>
      <c r="D680" s="4">
        <f>VALUE(SUBSTITUTE('1000_заявлений'!D674, ".", ","))</f>
        <v>0.51549535999999996</v>
      </c>
      <c r="E680" s="4">
        <f>VALUE(SUBSTITUTE('1000_заявлений'!E674, ".", ","))</f>
        <v>0.4359825</v>
      </c>
      <c r="F680" s="5">
        <f>VALUE(SUBSTITUTE('1000_заявлений'!F674, ".", ","))</f>
        <v>-3584</v>
      </c>
      <c r="G680" s="5">
        <f>VALUE(SUBSTITUTE('1000_заявлений'!G674, ".", ","))</f>
        <v>-21062</v>
      </c>
      <c r="H680" s="5">
        <f>VALUE(SUBSTITUTE('1000_заявлений'!H674, ".", ","))</f>
        <v>-998</v>
      </c>
      <c r="I680" s="4">
        <f>VALUE(SUBSTITUTE('1000_заявлений'!I674, ".", ","))</f>
        <v>0.13644000000000001</v>
      </c>
      <c r="J680" s="4">
        <f>VALUE(SUBSTITUTE('1000_заявлений'!J674, ".", ","))</f>
        <v>3.5273746419186498</v>
      </c>
      <c r="K680" s="5">
        <f>VALUE(SUBSTITUTE('1000_заявлений'!K674, ".", ","))</f>
        <v>-1598</v>
      </c>
      <c r="L680" s="6">
        <f>VALUE(SUBSTITUTE('1000_заявлений'!L674, ".", ","))</f>
        <v>15349.5</v>
      </c>
      <c r="M680" s="2" t="str">
        <f>IF(Данные[[#This Row],[proba]]&gt;$C$6, "отказ", "одобрение")</f>
        <v>отказ</v>
      </c>
      <c r="N680" s="7">
        <f>IF(Данные[[#This Row],[proba]]&lt;$D$2,$C$2,IF(Данные[[#This Row],[proba]]&lt;$D$3,$C$3,IF(Данные[[#This Row],[proba]]&gt;$C$6,0,$C$4)))</f>
        <v>0</v>
      </c>
      <c r="O680" s="2">
        <f>IF(Данные[[#This Row],[weighted_ext_score]]&gt;$O$1,MIN(Данные[[#This Row],[Базовая сумма]]*$O$2,$C$2),IF(Данные[[#This Row],[weighted_ext_score]]&lt;$O$3,Данные[[#This Row],[Базовая сумма]]*$O$4,N680))</f>
        <v>0</v>
      </c>
      <c r="P6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0" s="2">
        <f>ABS(Данные[[#This Row],[days_birth]])/365.2425</f>
        <v>57.665797381191943</v>
      </c>
      <c r="S6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0" s="2">
        <f>IF(Данные[[#This Row],[ interest_rate]]&gt;$T$1,Данные[[#This Row],[days_birth4]]*$T$2,Данные[[#This Row],[days_birth4]])</f>
        <v>0</v>
      </c>
      <c r="U680" s="2">
        <f>IF(Данные[[#This Row],[Проверка отказа]]="отказ",0,MAX(Данные[[#This Row],[interest_rate]],$C$1))</f>
        <v>0</v>
      </c>
      <c r="V680" s="2">
        <f>MROUND(Данные[[#This Row],[Минимум 20000]], 100)</f>
        <v>0</v>
      </c>
    </row>
    <row r="681" spans="1:22" x14ac:dyDescent="0.25">
      <c r="A681" s="2">
        <f>'1000_заявлений'!A675</f>
        <v>673</v>
      </c>
      <c r="B681" s="4">
        <f>VALUE(SUBSTITUTE('1000_заявлений'!B675, ".", ","))</f>
        <v>0.53811668518922895</v>
      </c>
      <c r="C681" s="4">
        <f>VALUE(SUBSTITUTE('1000_заявлений'!C675, ".", ","))</f>
        <v>0.43305250617200303</v>
      </c>
      <c r="D681" s="4">
        <f>VALUE(SUBSTITUTE('1000_заявлений'!D675, ".", ","))</f>
        <v>0.31703176999999999</v>
      </c>
      <c r="E681" s="4">
        <f>VALUE(SUBSTITUTE('1000_заявлений'!E675, ".", ","))</f>
        <v>0.65384966</v>
      </c>
      <c r="F681" s="5">
        <f>VALUE(SUBSTITUTE('1000_заявлений'!F675, ".", ","))</f>
        <v>-1158</v>
      </c>
      <c r="G681" s="5">
        <f>VALUE(SUBSTITUTE('1000_заявлений'!G675, ".", ","))</f>
        <v>-13034</v>
      </c>
      <c r="H681" s="5">
        <f>VALUE(SUBSTITUTE('1000_заявлений'!H675, ".", ","))</f>
        <v>-4611</v>
      </c>
      <c r="I681" s="4">
        <f>VALUE(SUBSTITUTE('1000_заявлений'!I675, ".", ","))</f>
        <v>0.35053333333333297</v>
      </c>
      <c r="J681" s="4">
        <f>VALUE(SUBSTITUTE('1000_заявлений'!J675, ".", ","))</f>
        <v>1.8914674618260401</v>
      </c>
      <c r="K681" s="5">
        <f>VALUE(SUBSTITUTE('1000_заявлений'!K675, ".", ","))</f>
        <v>-5643</v>
      </c>
      <c r="L681" s="6">
        <f>VALUE(SUBSTITUTE('1000_заявлений'!L675, ".", ","))</f>
        <v>47322</v>
      </c>
      <c r="M681" s="2" t="str">
        <f>IF(Данные[[#This Row],[proba]]&gt;$C$6, "отказ", "одобрение")</f>
        <v>отказ</v>
      </c>
      <c r="N681" s="7">
        <f>IF(Данные[[#This Row],[proba]]&lt;$D$2,$C$2,IF(Данные[[#This Row],[proba]]&lt;$D$3,$C$3,IF(Данные[[#This Row],[proba]]&gt;$C$6,0,$C$4)))</f>
        <v>0</v>
      </c>
      <c r="O681" s="2">
        <f>IF(Данные[[#This Row],[weighted_ext_score]]&gt;$O$1,MIN(Данные[[#This Row],[Базовая сумма]]*$O$2,$C$2),IF(Данные[[#This Row],[weighted_ext_score]]&lt;$O$3,Данные[[#This Row],[Базовая сумма]]*$O$4,N681))</f>
        <v>0</v>
      </c>
      <c r="P6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1" s="2">
        <f>ABS(Данные[[#This Row],[days_birth]])/365.2425</f>
        <v>35.685879929088209</v>
      </c>
      <c r="S6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1" s="2">
        <f>IF(Данные[[#This Row],[ interest_rate]]&gt;$T$1,Данные[[#This Row],[days_birth4]]*$T$2,Данные[[#This Row],[days_birth4]])</f>
        <v>0</v>
      </c>
      <c r="U681" s="2">
        <f>IF(Данные[[#This Row],[Проверка отказа]]="отказ",0,MAX(Данные[[#This Row],[interest_rate]],$C$1))</f>
        <v>0</v>
      </c>
      <c r="V681" s="2">
        <f>MROUND(Данные[[#This Row],[Минимум 20000]], 100)</f>
        <v>0</v>
      </c>
    </row>
    <row r="682" spans="1:22" x14ac:dyDescent="0.25">
      <c r="A682" s="2">
        <f>'1000_заявлений'!A676</f>
        <v>674</v>
      </c>
      <c r="B682" s="4">
        <f>VALUE(SUBSTITUTE('1000_заявлений'!B676, ".", ","))</f>
        <v>0.15797597046345799</v>
      </c>
      <c r="C682" s="4">
        <f>VALUE(SUBSTITUTE('1000_заявлений'!C676, ".", ","))</f>
        <v>0.72326363179933695</v>
      </c>
      <c r="D682" s="4">
        <f>VALUE(SUBSTITUTE('1000_заявлений'!D676, ".", ","))</f>
        <v>0.66263777000000001</v>
      </c>
      <c r="E682" s="4">
        <f>VALUE(SUBSTITUTE('1000_заявлений'!E676, ".", ","))</f>
        <v>0.74668913999999997</v>
      </c>
      <c r="F682" s="5">
        <f>VALUE(SUBSTITUTE('1000_заявлений'!F676, ".", ","))</f>
        <v>-9691</v>
      </c>
      <c r="G682" s="5">
        <f>VALUE(SUBSTITUTE('1000_заявлений'!G676, ".", ","))</f>
        <v>-18606</v>
      </c>
      <c r="H682" s="5">
        <f>VALUE(SUBSTITUTE('1000_заявлений'!H676, ".", ","))</f>
        <v>-2159</v>
      </c>
      <c r="I682" s="4">
        <f>VALUE(SUBSTITUTE('1000_заявлений'!I676, ".", ","))</f>
        <v>0.192</v>
      </c>
      <c r="J682" s="4">
        <f>VALUE(SUBSTITUTE('1000_заявлений'!J676, ".", ","))</f>
        <v>1.62349302286386</v>
      </c>
      <c r="K682" s="5">
        <f>VALUE(SUBSTITUTE('1000_заявлений'!K676, ".", ","))</f>
        <v>-11683</v>
      </c>
      <c r="L682" s="6">
        <f>VALUE(SUBSTITUTE('1000_заявлений'!L676, ".", ","))</f>
        <v>56160</v>
      </c>
      <c r="M682" s="2" t="str">
        <f>IF(Данные[[#This Row],[proba]]&gt;$C$6, "отказ", "одобрение")</f>
        <v>одобрение</v>
      </c>
      <c r="N682" s="7">
        <f>IF(Данные[[#This Row],[proba]]&lt;$D$2,$C$2,IF(Данные[[#This Row],[proba]]&lt;$D$3,$C$3,IF(Данные[[#This Row],[proba]]&gt;$C$6,0,$C$4)))</f>
        <v>300000</v>
      </c>
      <c r="O682" s="2">
        <f>IF(Данные[[#This Row],[weighted_ext_score]]&gt;$O$1,MIN(Данные[[#This Row],[Базовая сумма]]*$O$2,$C$2),IF(Данные[[#This Row],[weighted_ext_score]]&lt;$O$3,Данные[[#This Row],[Базовая сумма]]*$O$4,N682))</f>
        <v>360000</v>
      </c>
      <c r="P6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6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682" s="2">
        <f>ABS(Данные[[#This Row],[days_birth]])/365.2425</f>
        <v>50.941497772028171</v>
      </c>
      <c r="S6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682" s="2">
        <f>IF(Данные[[#This Row],[ interest_rate]]&gt;$T$1,Данные[[#This Row],[days_birth4]]*$T$2,Данные[[#This Row],[days_birth4]])</f>
        <v>500000</v>
      </c>
      <c r="U682" s="2">
        <f>IF(Данные[[#This Row],[Проверка отказа]]="отказ",0,MAX(Данные[[#This Row],[interest_rate]],$C$1))</f>
        <v>500000</v>
      </c>
      <c r="V682" s="2">
        <f>MROUND(Данные[[#This Row],[Минимум 20000]], 100)</f>
        <v>500000</v>
      </c>
    </row>
    <row r="683" spans="1:22" x14ac:dyDescent="0.25">
      <c r="A683" s="2">
        <f>'1000_заявлений'!A677</f>
        <v>675</v>
      </c>
      <c r="B683" s="4">
        <f>VALUE(SUBSTITUTE('1000_заявлений'!B677, ".", ","))</f>
        <v>0.23256553142329001</v>
      </c>
      <c r="C683" s="4">
        <f>VALUE(SUBSTITUTE('1000_заявлений'!C677, ".", ","))</f>
        <v>0.56850498249354697</v>
      </c>
      <c r="D683" s="4">
        <f>VALUE(SUBSTITUTE('1000_заявлений'!D677, ".", ","))</f>
        <v>0.61099130000000001</v>
      </c>
      <c r="E683" s="4">
        <f>VALUE(SUBSTITUTE('1000_заявлений'!E677, ".", ","))</f>
        <v>0.71907467000000003</v>
      </c>
      <c r="F683" s="5">
        <f>VALUE(SUBSTITUTE('1000_заявлений'!F677, ".", ","))</f>
        <v>-4690</v>
      </c>
      <c r="G683" s="5">
        <f>VALUE(SUBSTITUTE('1000_заявлений'!G677, ".", ","))</f>
        <v>-13631</v>
      </c>
      <c r="H683" s="5">
        <f>VALUE(SUBSTITUTE('1000_заявлений'!H677, ".", ","))</f>
        <v>-4978</v>
      </c>
      <c r="I683" s="4">
        <f>VALUE(SUBSTITUTE('1000_заявлений'!I677, ".", ","))</f>
        <v>0.16468333333333299</v>
      </c>
      <c r="J683" s="4">
        <f>VALUE(SUBSTITUTE('1000_заявлений'!J677, ".", ","))</f>
        <v>4.18741570209637</v>
      </c>
      <c r="K683" s="5">
        <f>VALUE(SUBSTITUTE('1000_заявлений'!K677, ".", ","))</f>
        <v>-1585</v>
      </c>
      <c r="L683" s="6">
        <f>VALUE(SUBSTITUTE('1000_заявлений'!L677, ".", ","))</f>
        <v>44464.5</v>
      </c>
      <c r="M683" s="2" t="str">
        <f>IF(Данные[[#This Row],[proba]]&gt;$C$6, "отказ", "одобрение")</f>
        <v>одобрение</v>
      </c>
      <c r="N683" s="7">
        <f>IF(Данные[[#This Row],[proba]]&lt;$D$2,$C$2,IF(Данные[[#This Row],[proba]]&lt;$D$3,$C$3,IF(Данные[[#This Row],[proba]]&gt;$C$6,0,$C$4)))</f>
        <v>100000</v>
      </c>
      <c r="O683" s="2">
        <f>IF(Данные[[#This Row],[weighted_ext_score]]&gt;$O$1,MIN(Данные[[#This Row],[Базовая сумма]]*$O$2,$C$2),IF(Данные[[#This Row],[weighted_ext_score]]&lt;$O$3,Данные[[#This Row],[Базовая сумма]]*$O$4,N683))</f>
        <v>100000</v>
      </c>
      <c r="P6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683" s="2">
        <f>ABS(Данные[[#This Row],[days_birth]])/365.2425</f>
        <v>37.320410412260344</v>
      </c>
      <c r="S6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683" s="2">
        <f>IF(Данные[[#This Row],[ interest_rate]]&gt;$T$1,Данные[[#This Row],[days_birth4]]*$T$2,Данные[[#This Row],[days_birth4]])</f>
        <v>84000</v>
      </c>
      <c r="U683" s="2">
        <f>IF(Данные[[#This Row],[Проверка отказа]]="отказ",0,MAX(Данные[[#This Row],[interest_rate]],$C$1))</f>
        <v>84000</v>
      </c>
      <c r="V683" s="2">
        <f>MROUND(Данные[[#This Row],[Минимум 20000]], 100)</f>
        <v>84000</v>
      </c>
    </row>
    <row r="684" spans="1:22" x14ac:dyDescent="0.25">
      <c r="A684" s="2">
        <f>'1000_заявлений'!A678</f>
        <v>676</v>
      </c>
      <c r="B684" s="4">
        <f>VALUE(SUBSTITUTE('1000_заявлений'!B678, ".", ","))</f>
        <v>0.16941217668886499</v>
      </c>
      <c r="C684" s="4">
        <f>VALUE(SUBSTITUTE('1000_заявлений'!C678, ".", ","))</f>
        <v>0.66598270345084698</v>
      </c>
      <c r="D684" s="4">
        <f>VALUE(SUBSTITUTE('1000_заявлений'!D678, ".", ","))</f>
        <v>0.57796913000000005</v>
      </c>
      <c r="E684" s="4">
        <f>VALUE(SUBSTITUTE('1000_заявлений'!E678, ".", ","))</f>
        <v>0.56332742999999996</v>
      </c>
      <c r="F684" s="5">
        <f>VALUE(SUBSTITUTE('1000_заявлений'!F678, ".", ","))</f>
        <v>-1693</v>
      </c>
      <c r="G684" s="5">
        <f>VALUE(SUBSTITUTE('1000_заявлений'!G678, ".", ","))</f>
        <v>-24778</v>
      </c>
      <c r="H684" s="5">
        <f>VALUE(SUBSTITUTE('1000_заявлений'!H678, ".", ","))</f>
        <v>-2420</v>
      </c>
      <c r="I684" s="4">
        <f>VALUE(SUBSTITUTE('1000_заявлений'!I678, ".", ","))</f>
        <v>0.16236666666666599</v>
      </c>
      <c r="J684" s="4">
        <f>VALUE(SUBSTITUTE('1000_заявлений'!J678, ".", ","))</f>
        <v>14.9926589322989</v>
      </c>
      <c r="K684" s="5">
        <f>VALUE(SUBSTITUTE('1000_заявлений'!K678, ".", ","))</f>
        <v>365243</v>
      </c>
      <c r="L684" s="6">
        <f>VALUE(SUBSTITUTE('1000_заявлений'!L678, ".", ","))</f>
        <v>21919.5</v>
      </c>
      <c r="M684" s="2" t="str">
        <f>IF(Данные[[#This Row],[proba]]&gt;$C$6, "отказ", "одобрение")</f>
        <v>одобрение</v>
      </c>
      <c r="N684" s="7">
        <f>IF(Данные[[#This Row],[proba]]&lt;$D$2,$C$2,IF(Данные[[#This Row],[proba]]&lt;$D$3,$C$3,IF(Данные[[#This Row],[proba]]&gt;$C$6,0,$C$4)))</f>
        <v>300000</v>
      </c>
      <c r="O684" s="2">
        <f>IF(Данные[[#This Row],[weighted_ext_score]]&gt;$O$1,MIN(Данные[[#This Row],[Базовая сумма]]*$O$2,$C$2),IF(Данные[[#This Row],[weighted_ext_score]]&lt;$O$3,Данные[[#This Row],[Базовая сумма]]*$O$4,N684))</f>
        <v>300000</v>
      </c>
      <c r="P6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6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684" s="2">
        <f>ABS(Данные[[#This Row],[days_birth]])/365.2425</f>
        <v>67.839859819161248</v>
      </c>
      <c r="S6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684" s="2">
        <f>IF(Данные[[#This Row],[ interest_rate]]&gt;$T$1,Данные[[#This Row],[days_birth4]]*$T$2,Данные[[#This Row],[days_birth4]])</f>
        <v>378000</v>
      </c>
      <c r="U684" s="2">
        <f>IF(Данные[[#This Row],[Проверка отказа]]="отказ",0,MAX(Данные[[#This Row],[interest_rate]],$C$1))</f>
        <v>378000</v>
      </c>
      <c r="V684" s="2">
        <f>MROUND(Данные[[#This Row],[Минимум 20000]], 100)</f>
        <v>378000</v>
      </c>
    </row>
    <row r="685" spans="1:22" x14ac:dyDescent="0.25">
      <c r="A685" s="2">
        <f>'1000_заявлений'!A679</f>
        <v>677</v>
      </c>
      <c r="B685" s="4">
        <f>VALUE(SUBSTITUTE('1000_заявлений'!B679, ".", ","))</f>
        <v>0.12564204399294099</v>
      </c>
      <c r="C685" s="4">
        <f>VALUE(SUBSTITUTE('1000_заявлений'!C679, ".", ","))</f>
        <v>0.73353907121998796</v>
      </c>
      <c r="D685" s="4">
        <f>VALUE(SUBSTITUTE('1000_заявлений'!D679, ".", ","))</f>
        <v>0.6910212</v>
      </c>
      <c r="E685" s="4">
        <f>VALUE(SUBSTITUTE('1000_заявлений'!E679, ".", ","))</f>
        <v>0.59671280000000004</v>
      </c>
      <c r="F685" s="5">
        <f>VALUE(SUBSTITUTE('1000_заявлений'!F679, ".", ","))</f>
        <v>-1309</v>
      </c>
      <c r="G685" s="5">
        <f>VALUE(SUBSTITUTE('1000_заявлений'!G679, ".", ","))</f>
        <v>-23494</v>
      </c>
      <c r="H685" s="5">
        <f>VALUE(SUBSTITUTE('1000_заявлений'!H679, ".", ","))</f>
        <v>-1983</v>
      </c>
      <c r="I685" s="4">
        <f>VALUE(SUBSTITUTE('1000_заявлений'!I679, ".", ","))</f>
        <v>0.163636363636363</v>
      </c>
      <c r="J685" s="4">
        <f>VALUE(SUBSTITUTE('1000_заявлений'!J679, ".", ","))</f>
        <v>10.6209759779781</v>
      </c>
      <c r="K685" s="5">
        <f>VALUE(SUBSTITUTE('1000_заявлений'!K679, ".", ","))</f>
        <v>365243</v>
      </c>
      <c r="L685" s="6">
        <f>VALUE(SUBSTITUTE('1000_заявлений'!L679, ".", ","))</f>
        <v>40500</v>
      </c>
      <c r="M685" s="2" t="str">
        <f>IF(Данные[[#This Row],[proba]]&gt;$C$6, "отказ", "одобрение")</f>
        <v>одобрение</v>
      </c>
      <c r="N685" s="7">
        <f>IF(Данные[[#This Row],[proba]]&lt;$D$2,$C$2,IF(Данные[[#This Row],[proba]]&lt;$D$3,$C$3,IF(Данные[[#This Row],[proba]]&gt;$C$6,0,$C$4)))</f>
        <v>300000</v>
      </c>
      <c r="O685" s="2">
        <f>IF(Данные[[#This Row],[weighted_ext_score]]&gt;$O$1,MIN(Данные[[#This Row],[Базовая сумма]]*$O$2,$C$2),IF(Данные[[#This Row],[weighted_ext_score]]&lt;$O$3,Данные[[#This Row],[Базовая сумма]]*$O$4,N685))</f>
        <v>360000</v>
      </c>
      <c r="P6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6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685" s="2">
        <f>ABS(Данные[[#This Row],[days_birth]])/365.2425</f>
        <v>64.324387222187994</v>
      </c>
      <c r="S6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685" s="2">
        <f>IF(Данные[[#This Row],[ interest_rate]]&gt;$T$1,Данные[[#This Row],[days_birth4]]*$T$2,Данные[[#This Row],[days_birth4]])</f>
        <v>453600</v>
      </c>
      <c r="U685" s="2">
        <f>IF(Данные[[#This Row],[Проверка отказа]]="отказ",0,MAX(Данные[[#This Row],[interest_rate]],$C$1))</f>
        <v>453600</v>
      </c>
      <c r="V685" s="2">
        <f>MROUND(Данные[[#This Row],[Минимум 20000]], 100)</f>
        <v>453600</v>
      </c>
    </row>
    <row r="686" spans="1:22" x14ac:dyDescent="0.25">
      <c r="A686" s="2">
        <f>'1000_заявлений'!A680</f>
        <v>678</v>
      </c>
      <c r="B686" s="4">
        <f>VALUE(SUBSTITUTE('1000_заявлений'!B680, ".", ","))</f>
        <v>0.76580236376305599</v>
      </c>
      <c r="C686" s="4">
        <f>VALUE(SUBSTITUTE('1000_заявлений'!C680, ".", ","))</f>
        <v>0.253373816218323</v>
      </c>
      <c r="D686" s="4">
        <f>VALUE(SUBSTITUTE('1000_заявлений'!D680, ".", ","))</f>
        <v>0.17982176</v>
      </c>
      <c r="E686" s="4">
        <f>VALUE(SUBSTITUTE('1000_заявлений'!E680, ".", ","))</f>
        <v>0.33364356000000001</v>
      </c>
      <c r="F686" s="5">
        <f>VALUE(SUBSTITUTE('1000_заявлений'!F680, ".", ","))</f>
        <v>-979</v>
      </c>
      <c r="G686" s="5">
        <f>VALUE(SUBSTITUTE('1000_заявлений'!G680, ".", ","))</f>
        <v>-11686</v>
      </c>
      <c r="H686" s="5">
        <f>VALUE(SUBSTITUTE('1000_заявлений'!H680, ".", ","))</f>
        <v>-3036</v>
      </c>
      <c r="I686" s="4">
        <f>VALUE(SUBSTITUTE('1000_заявлений'!I680, ".", ","))</f>
        <v>0.156142857142857</v>
      </c>
      <c r="J686" s="4">
        <f>VALUE(SUBSTITUTE('1000_заявлений'!J680, ".", ","))</f>
        <v>6.7529529522816798</v>
      </c>
      <c r="K686" s="5">
        <f>VALUE(SUBSTITUTE('1000_заявлений'!K680, ".", ","))</f>
        <v>-1000</v>
      </c>
      <c r="L686" s="6">
        <f>VALUE(SUBSTITUTE('1000_заявлений'!L680, ".", ","))</f>
        <v>24592.5</v>
      </c>
      <c r="M686" s="2" t="str">
        <f>IF(Данные[[#This Row],[proba]]&gt;$C$6, "отказ", "одобрение")</f>
        <v>отказ</v>
      </c>
      <c r="N686" s="7">
        <f>IF(Данные[[#This Row],[proba]]&lt;$D$2,$C$2,IF(Данные[[#This Row],[proba]]&lt;$D$3,$C$3,IF(Данные[[#This Row],[proba]]&gt;$C$6,0,$C$4)))</f>
        <v>0</v>
      </c>
      <c r="O686" s="2">
        <f>IF(Данные[[#This Row],[weighted_ext_score]]&gt;$O$1,MIN(Данные[[#This Row],[Базовая сумма]]*$O$2,$C$2),IF(Данные[[#This Row],[weighted_ext_score]]&lt;$O$3,Данные[[#This Row],[Базовая сумма]]*$O$4,N686))</f>
        <v>0</v>
      </c>
      <c r="P6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6" s="2">
        <f>ABS(Данные[[#This Row],[days_birth]])/365.2425</f>
        <v>31.995181283667698</v>
      </c>
      <c r="S6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6" s="2">
        <f>IF(Данные[[#This Row],[ interest_rate]]&gt;$T$1,Данные[[#This Row],[days_birth4]]*$T$2,Данные[[#This Row],[days_birth4]])</f>
        <v>0</v>
      </c>
      <c r="U686" s="2">
        <f>IF(Данные[[#This Row],[Проверка отказа]]="отказ",0,MAX(Данные[[#This Row],[interest_rate]],$C$1))</f>
        <v>0</v>
      </c>
      <c r="V686" s="2">
        <f>MROUND(Данные[[#This Row],[Минимум 20000]], 100)</f>
        <v>0</v>
      </c>
    </row>
    <row r="687" spans="1:22" x14ac:dyDescent="0.25">
      <c r="A687" s="2">
        <f>'1000_заявлений'!A681</f>
        <v>679</v>
      </c>
      <c r="B687" s="4">
        <f>VALUE(SUBSTITUTE('1000_заявлений'!B681, ".", ","))</f>
        <v>0.71831257289462802</v>
      </c>
      <c r="C687" s="4">
        <f>VALUE(SUBSTITUTE('1000_заявлений'!C681, ".", ","))</f>
        <v>0.24864282971659599</v>
      </c>
      <c r="D687" s="4">
        <f>VALUE(SUBSTITUTE('1000_заявлений'!D681, ".", ","))</f>
        <v>0.54781049999999998</v>
      </c>
      <c r="E687" s="4">
        <f>VALUE(SUBSTITUTE('1000_заявлений'!E681, ".", ","))</f>
        <v>0.15574045</v>
      </c>
      <c r="F687" s="5">
        <f>VALUE(SUBSTITUTE('1000_заявлений'!F681, ".", ","))</f>
        <v>-5115</v>
      </c>
      <c r="G687" s="5">
        <f>VALUE(SUBSTITUTE('1000_заявлений'!G681, ".", ","))</f>
        <v>-12767</v>
      </c>
      <c r="H687" s="5">
        <f>VALUE(SUBSTITUTE('1000_заявлений'!H681, ".", ","))</f>
        <v>-4271</v>
      </c>
      <c r="I687" s="4">
        <f>VALUE(SUBSTITUTE('1000_заявлений'!I681, ".", ","))</f>
        <v>0.35799999999999998</v>
      </c>
      <c r="J687" s="4">
        <f>VALUE(SUBSTITUTE('1000_заявлений'!J681, ".", ","))</f>
        <v>0.63712055850906302</v>
      </c>
      <c r="K687" s="5">
        <f>VALUE(SUBSTITUTE('1000_заявлений'!K681, ".", ","))</f>
        <v>-848</v>
      </c>
      <c r="L687" s="6">
        <f>VALUE(SUBSTITUTE('1000_заявлений'!L681, ".", ","))</f>
        <v>27387</v>
      </c>
      <c r="M687" s="2" t="str">
        <f>IF(Данные[[#This Row],[proba]]&gt;$C$6, "отказ", "одобрение")</f>
        <v>отказ</v>
      </c>
      <c r="N687" s="7">
        <f>IF(Данные[[#This Row],[proba]]&lt;$D$2,$C$2,IF(Данные[[#This Row],[proba]]&lt;$D$3,$C$3,IF(Данные[[#This Row],[proba]]&gt;$C$6,0,$C$4)))</f>
        <v>0</v>
      </c>
      <c r="O687" s="2">
        <f>IF(Данные[[#This Row],[weighted_ext_score]]&gt;$O$1,MIN(Данные[[#This Row],[Базовая сумма]]*$O$2,$C$2),IF(Данные[[#This Row],[weighted_ext_score]]&lt;$O$3,Данные[[#This Row],[Базовая сумма]]*$O$4,N687))</f>
        <v>0</v>
      </c>
      <c r="P6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7" s="2">
        <f>ABS(Данные[[#This Row],[days_birth]])/365.2425</f>
        <v>34.954858758222279</v>
      </c>
      <c r="S6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7" s="2">
        <f>IF(Данные[[#This Row],[ interest_rate]]&gt;$T$1,Данные[[#This Row],[days_birth4]]*$T$2,Данные[[#This Row],[days_birth4]])</f>
        <v>0</v>
      </c>
      <c r="U687" s="2">
        <f>IF(Данные[[#This Row],[Проверка отказа]]="отказ",0,MAX(Данные[[#This Row],[interest_rate]],$C$1))</f>
        <v>0</v>
      </c>
      <c r="V687" s="2">
        <f>MROUND(Данные[[#This Row],[Минимум 20000]], 100)</f>
        <v>0</v>
      </c>
    </row>
    <row r="688" spans="1:22" x14ac:dyDescent="0.25">
      <c r="A688" s="2">
        <f>'1000_заявлений'!A682</f>
        <v>680</v>
      </c>
      <c r="B688" s="4">
        <f>VALUE(SUBSTITUTE('1000_заявлений'!B682, ".", ","))</f>
        <v>0.55162951910896496</v>
      </c>
      <c r="C688" s="4">
        <f>VALUE(SUBSTITUTE('1000_заявлений'!C682, ".", ","))</f>
        <v>0.30683626501837702</v>
      </c>
      <c r="D688" s="4">
        <f>VALUE(SUBSTITUTE('1000_заявлений'!D682, ".", ","))</f>
        <v>0.59197664000000005</v>
      </c>
      <c r="E688" s="4">
        <f>VALUE(SUBSTITUTE('1000_заявлений'!E682, ".", ","))</f>
        <v>0.28589787999999999</v>
      </c>
      <c r="F688" s="5">
        <f>VALUE(SUBSTITUTE('1000_заявлений'!F682, ".", ","))</f>
        <v>-12162</v>
      </c>
      <c r="G688" s="5">
        <f>VALUE(SUBSTITUTE('1000_заявлений'!G682, ".", ","))</f>
        <v>-17630</v>
      </c>
      <c r="H688" s="5">
        <f>VALUE(SUBSTITUTE('1000_заявлений'!H682, ".", ","))</f>
        <v>-1173</v>
      </c>
      <c r="I688" s="4">
        <f>VALUE(SUBSTITUTE('1000_заявлений'!I682, ".", ","))</f>
        <v>0.21357499999999999</v>
      </c>
      <c r="J688" s="4">
        <f>VALUE(SUBSTITUTE('1000_заявлений'!J682, ".", ","))</f>
        <v>1.7860355393922001</v>
      </c>
      <c r="K688" s="5">
        <f>VALUE(SUBSTITUTE('1000_заявлений'!K682, ".", ","))</f>
        <v>-1580</v>
      </c>
      <c r="L688" s="6">
        <f>VALUE(SUBSTITUTE('1000_заявлений'!L682, ".", ","))</f>
        <v>38443.5</v>
      </c>
      <c r="M688" s="2" t="str">
        <f>IF(Данные[[#This Row],[proba]]&gt;$C$6, "отказ", "одобрение")</f>
        <v>отказ</v>
      </c>
      <c r="N688" s="7">
        <f>IF(Данные[[#This Row],[proba]]&lt;$D$2,$C$2,IF(Данные[[#This Row],[proba]]&lt;$D$3,$C$3,IF(Данные[[#This Row],[proba]]&gt;$C$6,0,$C$4)))</f>
        <v>0</v>
      </c>
      <c r="O688" s="2">
        <f>IF(Данные[[#This Row],[weighted_ext_score]]&gt;$O$1,MIN(Данные[[#This Row],[Базовая сумма]]*$O$2,$C$2),IF(Данные[[#This Row],[weighted_ext_score]]&lt;$O$3,Данные[[#This Row],[Базовая сумма]]*$O$4,N688))</f>
        <v>0</v>
      </c>
      <c r="P6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8" s="2">
        <f>ABS(Данные[[#This Row],[days_birth]])/365.2425</f>
        <v>48.269300533207385</v>
      </c>
      <c r="S6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8" s="2">
        <f>IF(Данные[[#This Row],[ interest_rate]]&gt;$T$1,Данные[[#This Row],[days_birth4]]*$T$2,Данные[[#This Row],[days_birth4]])</f>
        <v>0</v>
      </c>
      <c r="U688" s="2">
        <f>IF(Данные[[#This Row],[Проверка отказа]]="отказ",0,MAX(Данные[[#This Row],[interest_rate]],$C$1))</f>
        <v>0</v>
      </c>
      <c r="V688" s="2">
        <f>MROUND(Данные[[#This Row],[Минимум 20000]], 100)</f>
        <v>0</v>
      </c>
    </row>
    <row r="689" spans="1:22" x14ac:dyDescent="0.25">
      <c r="A689" s="2">
        <f>'1000_заявлений'!A683</f>
        <v>681</v>
      </c>
      <c r="B689" s="4">
        <f>VALUE(SUBSTITUTE('1000_заявлений'!B683, ".", ","))</f>
        <v>0.66003567052994105</v>
      </c>
      <c r="C689" s="4">
        <f>VALUE(SUBSTITUTE('1000_заявлений'!C683, ".", ","))</f>
        <v>0.25380356200838</v>
      </c>
      <c r="D689" s="4">
        <f>VALUE(SUBSTITUTE('1000_заявлений'!D683, ".", ","))</f>
        <v>0.54781049999999998</v>
      </c>
      <c r="E689" s="4">
        <f>VALUE(SUBSTITUTE('1000_заявлений'!E683, ".", ","))</f>
        <v>0.17165013000000001</v>
      </c>
      <c r="F689" s="5">
        <f>VALUE(SUBSTITUTE('1000_заявлений'!F683, ".", ","))</f>
        <v>-7893</v>
      </c>
      <c r="G689" s="5">
        <f>VALUE(SUBSTITUTE('1000_заявлений'!G683, ".", ","))</f>
        <v>-8656</v>
      </c>
      <c r="H689" s="5">
        <f>VALUE(SUBSTITUTE('1000_заявлений'!H683, ".", ","))</f>
        <v>-1327</v>
      </c>
      <c r="I689" s="4">
        <f>VALUE(SUBSTITUTE('1000_заявлений'!I683, ".", ","))</f>
        <v>0.11033333333333301</v>
      </c>
      <c r="J689" s="4">
        <f>VALUE(SUBSTITUTE('1000_заявлений'!J683, ".", ","))</f>
        <v>8.5341464511093008</v>
      </c>
      <c r="K689" s="5">
        <f>VALUE(SUBSTITUTE('1000_заявлений'!K683, ".", ","))</f>
        <v>-612</v>
      </c>
      <c r="L689" s="6">
        <f>VALUE(SUBSTITUTE('1000_заявлений'!L683, ".", ","))</f>
        <v>14895</v>
      </c>
      <c r="M689" s="2" t="str">
        <f>IF(Данные[[#This Row],[proba]]&gt;$C$6, "отказ", "одобрение")</f>
        <v>отказ</v>
      </c>
      <c r="N689" s="7">
        <f>IF(Данные[[#This Row],[proba]]&lt;$D$2,$C$2,IF(Данные[[#This Row],[proba]]&lt;$D$3,$C$3,IF(Данные[[#This Row],[proba]]&gt;$C$6,0,$C$4)))</f>
        <v>0</v>
      </c>
      <c r="O689" s="2">
        <f>IF(Данные[[#This Row],[weighted_ext_score]]&gt;$O$1,MIN(Данные[[#This Row],[Базовая сумма]]*$O$2,$C$2),IF(Данные[[#This Row],[weighted_ext_score]]&lt;$O$3,Данные[[#This Row],[Базовая сумма]]*$O$4,N689))</f>
        <v>0</v>
      </c>
      <c r="P6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89" s="2">
        <f>ABS(Данные[[#This Row],[days_birth]])/365.2425</f>
        <v>23.69932305249252</v>
      </c>
      <c r="S6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89" s="2">
        <f>IF(Данные[[#This Row],[ interest_rate]]&gt;$T$1,Данные[[#This Row],[days_birth4]]*$T$2,Данные[[#This Row],[days_birth4]])</f>
        <v>0</v>
      </c>
      <c r="U689" s="2">
        <f>IF(Данные[[#This Row],[Проверка отказа]]="отказ",0,MAX(Данные[[#This Row],[interest_rate]],$C$1))</f>
        <v>0</v>
      </c>
      <c r="V689" s="2">
        <f>MROUND(Данные[[#This Row],[Минимум 20000]], 100)</f>
        <v>0</v>
      </c>
    </row>
    <row r="690" spans="1:22" x14ac:dyDescent="0.25">
      <c r="A690" s="2">
        <f>'1000_заявлений'!A684</f>
        <v>682</v>
      </c>
      <c r="B690" s="4">
        <f>VALUE(SUBSTITUTE('1000_заявлений'!B684, ".", ","))</f>
        <v>0.75723347111462402</v>
      </c>
      <c r="C690" s="4">
        <f>VALUE(SUBSTITUTE('1000_заявлений'!C684, ".", ","))</f>
        <v>0.219744193121406</v>
      </c>
      <c r="D690" s="4">
        <f>VALUE(SUBSTITUTE('1000_заявлений'!D684, ".", ","))</f>
        <v>0.20442262</v>
      </c>
      <c r="E690" s="4">
        <f>VALUE(SUBSTITUTE('1000_заявлений'!E684, ".", ","))</f>
        <v>0.44951279999999999</v>
      </c>
      <c r="F690" s="5">
        <f>VALUE(SUBSTITUTE('1000_заявлений'!F684, ".", ","))</f>
        <v>-1735</v>
      </c>
      <c r="G690" s="5">
        <f>VALUE(SUBSTITUTE('1000_заявлений'!G684, ".", ","))</f>
        <v>-13426</v>
      </c>
      <c r="H690" s="5">
        <f>VALUE(SUBSTITUTE('1000_заявлений'!H684, ".", ","))</f>
        <v>-4151</v>
      </c>
      <c r="I690" s="4">
        <f>VALUE(SUBSTITUTE('1000_заявлений'!I684, ".", ","))</f>
        <v>0.3681875</v>
      </c>
      <c r="J690" s="4">
        <f>VALUE(SUBSTITUTE('1000_заявлений'!J684, ".", ","))</f>
        <v>7.3980757530384098</v>
      </c>
      <c r="K690" s="5">
        <f>VALUE(SUBSTITUTE('1000_заявлений'!K684, ".", ","))</f>
        <v>-2540</v>
      </c>
      <c r="L690" s="6">
        <f>VALUE(SUBSTITUTE('1000_заявлений'!L684, ".", ","))</f>
        <v>26509.5</v>
      </c>
      <c r="M690" s="2" t="str">
        <f>IF(Данные[[#This Row],[proba]]&gt;$C$6, "отказ", "одобрение")</f>
        <v>отказ</v>
      </c>
      <c r="N690" s="7">
        <f>IF(Данные[[#This Row],[proba]]&lt;$D$2,$C$2,IF(Данные[[#This Row],[proba]]&lt;$D$3,$C$3,IF(Данные[[#This Row],[proba]]&gt;$C$6,0,$C$4)))</f>
        <v>0</v>
      </c>
      <c r="O690" s="2">
        <f>IF(Данные[[#This Row],[weighted_ext_score]]&gt;$O$1,MIN(Данные[[#This Row],[Базовая сумма]]*$O$2,$C$2),IF(Данные[[#This Row],[weighted_ext_score]]&lt;$O$3,Данные[[#This Row],[Базовая сумма]]*$O$4,N690))</f>
        <v>0</v>
      </c>
      <c r="P6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0" s="2">
        <f>ABS(Данные[[#This Row],[days_birth]])/365.2425</f>
        <v>36.759139475827702</v>
      </c>
      <c r="S6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0" s="2">
        <f>IF(Данные[[#This Row],[ interest_rate]]&gt;$T$1,Данные[[#This Row],[days_birth4]]*$T$2,Данные[[#This Row],[days_birth4]])</f>
        <v>0</v>
      </c>
      <c r="U690" s="2">
        <f>IF(Данные[[#This Row],[Проверка отказа]]="отказ",0,MAX(Данные[[#This Row],[interest_rate]],$C$1))</f>
        <v>0</v>
      </c>
      <c r="V690" s="2">
        <f>MROUND(Данные[[#This Row],[Минимум 20000]], 100)</f>
        <v>0</v>
      </c>
    </row>
    <row r="691" spans="1:22" x14ac:dyDescent="0.25">
      <c r="A691" s="2">
        <f>'1000_заявлений'!A685</f>
        <v>683</v>
      </c>
      <c r="B691" s="4">
        <f>VALUE(SUBSTITUTE('1000_заявлений'!B685, ".", ","))</f>
        <v>0.29168016237482303</v>
      </c>
      <c r="C691" s="4">
        <f>VALUE(SUBSTITUTE('1000_заявлений'!C685, ".", ","))</f>
        <v>0.534226691967152</v>
      </c>
      <c r="D691" s="4">
        <f>VALUE(SUBSTITUTE('1000_заявлений'!D685, ".", ","))</f>
        <v>0.53348165999999997</v>
      </c>
      <c r="E691" s="4">
        <f>VALUE(SUBSTITUTE('1000_заявлений'!E685, ".", ","))</f>
        <v>0.68001676</v>
      </c>
      <c r="F691" s="5">
        <f>VALUE(SUBSTITUTE('1000_заявлений'!F685, ".", ","))</f>
        <v>-9249</v>
      </c>
      <c r="G691" s="5">
        <f>VALUE(SUBSTITUTE('1000_заявлений'!G685, ".", ","))</f>
        <v>-10296</v>
      </c>
      <c r="H691" s="5">
        <f>VALUE(SUBSTITUTE('1000_заявлений'!H685, ".", ","))</f>
        <v>-2943</v>
      </c>
      <c r="I691" s="4">
        <f>VALUE(SUBSTITUTE('1000_заявлений'!I685, ".", ","))</f>
        <v>0.1</v>
      </c>
      <c r="J691" s="4">
        <f>VALUE(SUBSTITUTE('1000_заявлений'!J685, ".", ","))</f>
        <v>10.6209759779781</v>
      </c>
      <c r="K691" s="5">
        <f>VALUE(SUBSTITUTE('1000_заявлений'!K685, ".", ","))</f>
        <v>-2599</v>
      </c>
      <c r="L691" s="6">
        <f>VALUE(SUBSTITUTE('1000_заявлений'!L685, ".", ","))</f>
        <v>13500</v>
      </c>
      <c r="M691" s="2" t="str">
        <f>IF(Данные[[#This Row],[proba]]&gt;$C$6, "отказ", "одобрение")</f>
        <v>одобрение</v>
      </c>
      <c r="N691" s="7">
        <f>IF(Данные[[#This Row],[proba]]&lt;$D$2,$C$2,IF(Данные[[#This Row],[proba]]&lt;$D$3,$C$3,IF(Данные[[#This Row],[proba]]&gt;$C$6,0,$C$4)))</f>
        <v>100000</v>
      </c>
      <c r="O691" s="2">
        <f>IF(Данные[[#This Row],[weighted_ext_score]]&gt;$O$1,MIN(Данные[[#This Row],[Базовая сумма]]*$O$2,$C$2),IF(Данные[[#This Row],[weighted_ext_score]]&lt;$O$3,Данные[[#This Row],[Базовая сумма]]*$O$4,N691))</f>
        <v>100000</v>
      </c>
      <c r="P6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91" s="2">
        <f>ABS(Данные[[#This Row],[days_birth]])/365.2425</f>
        <v>28.189490543953674</v>
      </c>
      <c r="S6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91" s="2">
        <f>IF(Данные[[#This Row],[ interest_rate]]&gt;$T$1,Данные[[#This Row],[days_birth4]]*$T$2,Данные[[#This Row],[days_birth4]])</f>
        <v>144000</v>
      </c>
      <c r="U691" s="2">
        <f>IF(Данные[[#This Row],[Проверка отказа]]="отказ",0,MAX(Данные[[#This Row],[interest_rate]],$C$1))</f>
        <v>144000</v>
      </c>
      <c r="V691" s="2">
        <f>MROUND(Данные[[#This Row],[Минимум 20000]], 100)</f>
        <v>144000</v>
      </c>
    </row>
    <row r="692" spans="1:22" x14ac:dyDescent="0.25">
      <c r="A692" s="2">
        <f>'1000_заявлений'!A686</f>
        <v>684</v>
      </c>
      <c r="B692" s="4">
        <f>VALUE(SUBSTITUTE('1000_заявлений'!B686, ".", ","))</f>
        <v>0.31253223011265302</v>
      </c>
      <c r="C692" s="4">
        <f>VALUE(SUBSTITUTE('1000_заявлений'!C686, ".", ","))</f>
        <v>0.56679635723788602</v>
      </c>
      <c r="D692" s="4">
        <f>VALUE(SUBSTITUTE('1000_заявлений'!D686, ".", ","))</f>
        <v>0.71215516000000001</v>
      </c>
      <c r="E692" s="4">
        <f>VALUE(SUBSTITUTE('1000_заявлений'!E686, ".", ","))</f>
        <v>0.44121072</v>
      </c>
      <c r="F692" s="5">
        <f>VALUE(SUBSTITUTE('1000_заявлений'!F686, ".", ","))</f>
        <v>-7278</v>
      </c>
      <c r="G692" s="5">
        <f>VALUE(SUBSTITUTE('1000_заявлений'!G686, ".", ","))</f>
        <v>-16431</v>
      </c>
      <c r="H692" s="5">
        <f>VALUE(SUBSTITUTE('1000_заявлений'!H686, ".", ","))</f>
        <v>-4435</v>
      </c>
      <c r="I692" s="4">
        <f>VALUE(SUBSTITUTE('1000_заявлений'!I686, ".", ","))</f>
        <v>0.35299999999999998</v>
      </c>
      <c r="J692" s="4">
        <f>VALUE(SUBSTITUTE('1000_заявлений'!J686, ".", ","))</f>
        <v>5.4389373942866204</v>
      </c>
      <c r="K692" s="5">
        <f>VALUE(SUBSTITUTE('1000_заявлений'!K686, ".", ","))</f>
        <v>-3721</v>
      </c>
      <c r="L692" s="6">
        <f>VALUE(SUBSTITUTE('1000_заявлений'!L686, ".", ","))</f>
        <v>31770</v>
      </c>
      <c r="M692" s="2" t="str">
        <f>IF(Данные[[#This Row],[proba]]&gt;$C$6, "отказ", "одобрение")</f>
        <v>отказ</v>
      </c>
      <c r="N692" s="7">
        <f>IF(Данные[[#This Row],[proba]]&lt;$D$2,$C$2,IF(Данные[[#This Row],[proba]]&lt;$D$3,$C$3,IF(Данные[[#This Row],[proba]]&gt;$C$6,0,$C$4)))</f>
        <v>0</v>
      </c>
      <c r="O692" s="2">
        <f>IF(Данные[[#This Row],[weighted_ext_score]]&gt;$O$1,MIN(Данные[[#This Row],[Базовая сумма]]*$O$2,$C$2),IF(Данные[[#This Row],[weighted_ext_score]]&lt;$O$3,Данные[[#This Row],[Базовая сумма]]*$O$4,N692))</f>
        <v>0</v>
      </c>
      <c r="P6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2" s="2">
        <f>ABS(Данные[[#This Row],[days_birth]])/365.2425</f>
        <v>44.986550031828166</v>
      </c>
      <c r="S6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2" s="2">
        <f>IF(Данные[[#This Row],[ interest_rate]]&gt;$T$1,Данные[[#This Row],[days_birth4]]*$T$2,Данные[[#This Row],[days_birth4]])</f>
        <v>0</v>
      </c>
      <c r="U692" s="2">
        <f>IF(Данные[[#This Row],[Проверка отказа]]="отказ",0,MAX(Данные[[#This Row],[interest_rate]],$C$1))</f>
        <v>0</v>
      </c>
      <c r="V692" s="2">
        <f>MROUND(Данные[[#This Row],[Минимум 20000]], 100)</f>
        <v>0</v>
      </c>
    </row>
    <row r="693" spans="1:22" x14ac:dyDescent="0.25">
      <c r="A693" s="2">
        <f>'1000_заявлений'!A687</f>
        <v>685</v>
      </c>
      <c r="B693" s="4">
        <f>VALUE(SUBSTITUTE('1000_заявлений'!B687, ".", ","))</f>
        <v>0.60220768420390602</v>
      </c>
      <c r="C693" s="4">
        <f>VALUE(SUBSTITUTE('1000_заявлений'!C687, ".", ","))</f>
        <v>0.29093557736404102</v>
      </c>
      <c r="D693" s="4">
        <f>VALUE(SUBSTITUTE('1000_заявлений'!D687, ".", ","))</f>
        <v>0.33125088000000003</v>
      </c>
      <c r="E693" s="4">
        <f>VALUE(SUBSTITUTE('1000_заявлений'!E687, ".", ","))</f>
        <v>0.52757620000000005</v>
      </c>
      <c r="F693" s="5">
        <f>VALUE(SUBSTITUTE('1000_заявлений'!F687, ".", ","))</f>
        <v>-2360</v>
      </c>
      <c r="G693" s="5">
        <f>VALUE(SUBSTITUTE('1000_заявлений'!G687, ".", ","))</f>
        <v>-16676</v>
      </c>
      <c r="H693" s="5">
        <f>VALUE(SUBSTITUTE('1000_заявлений'!H687, ".", ","))</f>
        <v>-227</v>
      </c>
      <c r="I693" s="4">
        <f>VALUE(SUBSTITUTE('1000_заявлений'!I687, ".", ","))</f>
        <v>0.24199999999999999</v>
      </c>
      <c r="J693" s="4">
        <f>VALUE(SUBSTITUTE('1000_заявлений'!J687, ".", ","))</f>
        <v>1.14997718293541</v>
      </c>
      <c r="K693" s="5">
        <f>VALUE(SUBSTITUTE('1000_заявлений'!K687, ".", ","))</f>
        <v>365243</v>
      </c>
      <c r="L693" s="6">
        <f>VALUE(SUBSTITUTE('1000_заявлений'!L687, ".", ","))</f>
        <v>32670</v>
      </c>
      <c r="M693" s="2" t="str">
        <f>IF(Данные[[#This Row],[proba]]&gt;$C$6, "отказ", "одобрение")</f>
        <v>отказ</v>
      </c>
      <c r="N693" s="7">
        <f>IF(Данные[[#This Row],[proba]]&lt;$D$2,$C$2,IF(Данные[[#This Row],[proba]]&lt;$D$3,$C$3,IF(Данные[[#This Row],[proba]]&gt;$C$6,0,$C$4)))</f>
        <v>0</v>
      </c>
      <c r="O693" s="2">
        <f>IF(Данные[[#This Row],[weighted_ext_score]]&gt;$O$1,MIN(Данные[[#This Row],[Базовая сумма]]*$O$2,$C$2),IF(Данные[[#This Row],[weighted_ext_score]]&lt;$O$3,Данные[[#This Row],[Базовая сумма]]*$O$4,N693))</f>
        <v>0</v>
      </c>
      <c r="P6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3" s="2">
        <f>ABS(Данные[[#This Row],[days_birth]])/365.2425</f>
        <v>45.657337248540351</v>
      </c>
      <c r="S6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3" s="2">
        <f>IF(Данные[[#This Row],[ interest_rate]]&gt;$T$1,Данные[[#This Row],[days_birth4]]*$T$2,Данные[[#This Row],[days_birth4]])</f>
        <v>0</v>
      </c>
      <c r="U693" s="2">
        <f>IF(Данные[[#This Row],[Проверка отказа]]="отказ",0,MAX(Данные[[#This Row],[interest_rate]],$C$1))</f>
        <v>0</v>
      </c>
      <c r="V693" s="2">
        <f>MROUND(Данные[[#This Row],[Минимум 20000]], 100)</f>
        <v>0</v>
      </c>
    </row>
    <row r="694" spans="1:22" x14ac:dyDescent="0.25">
      <c r="A694" s="2">
        <f>'1000_заявлений'!A688</f>
        <v>686</v>
      </c>
      <c r="B694" s="4">
        <f>VALUE(SUBSTITUTE('1000_заявлений'!B688, ".", ","))</f>
        <v>0.12227380931820001</v>
      </c>
      <c r="C694" s="4">
        <f>VALUE(SUBSTITUTE('1000_заявлений'!C688, ".", ","))</f>
        <v>0.74876280881205104</v>
      </c>
      <c r="D694" s="4">
        <f>VALUE(SUBSTITUTE('1000_заявлений'!D688, ".", ","))</f>
        <v>0.82459499999999997</v>
      </c>
      <c r="E694" s="4">
        <f>VALUE(SUBSTITUTE('1000_заявлений'!E688, ".", ","))</f>
        <v>0.66059369999999995</v>
      </c>
      <c r="F694" s="5">
        <f>VALUE(SUBSTITUTE('1000_заявлений'!F688, ".", ","))</f>
        <v>-13244</v>
      </c>
      <c r="G694" s="5">
        <f>VALUE(SUBSTITUTE('1000_заявлений'!G688, ".", ","))</f>
        <v>-19586</v>
      </c>
      <c r="H694" s="5">
        <f>VALUE(SUBSTITUTE('1000_заявлений'!H688, ".", ","))</f>
        <v>-3121</v>
      </c>
      <c r="I694" s="4">
        <f>VALUE(SUBSTITUTE('1000_заявлений'!I688, ".", ","))</f>
        <v>0.16814705882352901</v>
      </c>
      <c r="J694" s="4">
        <f>VALUE(SUBSTITUTE('1000_заявлений'!J688, ".", ","))</f>
        <v>2.11706988758722</v>
      </c>
      <c r="K694" s="5">
        <f>VALUE(SUBSTITUTE('1000_заявлений'!K688, ".", ","))</f>
        <v>-4542</v>
      </c>
      <c r="L694" s="6">
        <f>VALUE(SUBSTITUTE('1000_заявлений'!L688, ".", ","))</f>
        <v>25726.5</v>
      </c>
      <c r="M694" s="2" t="str">
        <f>IF(Данные[[#This Row],[proba]]&gt;$C$6, "отказ", "одобрение")</f>
        <v>одобрение</v>
      </c>
      <c r="N694" s="7">
        <f>IF(Данные[[#This Row],[proba]]&lt;$D$2,$C$2,IF(Данные[[#This Row],[proba]]&lt;$D$3,$C$3,IF(Данные[[#This Row],[proba]]&gt;$C$6,0,$C$4)))</f>
        <v>300000</v>
      </c>
      <c r="O694" s="2">
        <f>IF(Данные[[#This Row],[weighted_ext_score]]&gt;$O$1,MIN(Данные[[#This Row],[Базовая сумма]]*$O$2,$C$2),IF(Данные[[#This Row],[weighted_ext_score]]&lt;$O$3,Данные[[#This Row],[Базовая сумма]]*$O$4,N694))</f>
        <v>360000</v>
      </c>
      <c r="P6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6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694" s="2">
        <f>ABS(Данные[[#This Row],[days_birth]])/365.2425</f>
        <v>53.624646638876911</v>
      </c>
      <c r="S6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694" s="2">
        <f>IF(Данные[[#This Row],[ interest_rate]]&gt;$T$1,Данные[[#This Row],[days_birth4]]*$T$2,Данные[[#This Row],[days_birth4]])</f>
        <v>500000</v>
      </c>
      <c r="U694" s="2">
        <f>IF(Данные[[#This Row],[Проверка отказа]]="отказ",0,MAX(Данные[[#This Row],[interest_rate]],$C$1))</f>
        <v>500000</v>
      </c>
      <c r="V694" s="2">
        <f>MROUND(Данные[[#This Row],[Минимум 20000]], 100)</f>
        <v>500000</v>
      </c>
    </row>
    <row r="695" spans="1:22" x14ac:dyDescent="0.25">
      <c r="A695" s="2">
        <f>'1000_заявлений'!A689</f>
        <v>687</v>
      </c>
      <c r="B695" s="4">
        <f>VALUE(SUBSTITUTE('1000_заявлений'!B689, ".", ","))</f>
        <v>0.2117030256254</v>
      </c>
      <c r="C695" s="4">
        <f>VALUE(SUBSTITUTE('1000_заявлений'!C689, ".", ","))</f>
        <v>0.45688485080247998</v>
      </c>
      <c r="D695" s="4">
        <f>VALUE(SUBSTITUTE('1000_заявлений'!D689, ".", ","))</f>
        <v>0.81391745999999998</v>
      </c>
      <c r="E695" s="4">
        <f>VALUE(SUBSTITUTE('1000_заявлений'!E689, ".", ","))</f>
        <v>0.50101870000000004</v>
      </c>
      <c r="F695" s="5">
        <f>VALUE(SUBSTITUTE('1000_заявлений'!F689, ".", ","))</f>
        <v>-4403</v>
      </c>
      <c r="G695" s="5">
        <f>VALUE(SUBSTITUTE('1000_заявлений'!G689, ".", ","))</f>
        <v>-21737</v>
      </c>
      <c r="H695" s="5">
        <f>VALUE(SUBSTITUTE('1000_заявлений'!H689, ".", ","))</f>
        <v>-4949</v>
      </c>
      <c r="I695" s="4">
        <f>VALUE(SUBSTITUTE('1000_заявлений'!I689, ".", ","))</f>
        <v>0.256533333333333</v>
      </c>
      <c r="J695" s="4">
        <f>VALUE(SUBSTITUTE('1000_заявлений'!J689, ".", ","))</f>
        <v>1.8684821377263201</v>
      </c>
      <c r="K695" s="5">
        <f>VALUE(SUBSTITUTE('1000_заявлений'!K689, ".", ","))</f>
        <v>365243</v>
      </c>
      <c r="L695" s="6">
        <f>VALUE(SUBSTITUTE('1000_заявлений'!L689, ".", ","))</f>
        <v>51948</v>
      </c>
      <c r="M695" s="2" t="str">
        <f>IF(Данные[[#This Row],[proba]]&gt;$C$6, "отказ", "одобрение")</f>
        <v>одобрение</v>
      </c>
      <c r="N695" s="7">
        <f>IF(Данные[[#This Row],[proba]]&lt;$D$2,$C$2,IF(Данные[[#This Row],[proba]]&lt;$D$3,$C$3,IF(Данные[[#This Row],[proba]]&gt;$C$6,0,$C$4)))</f>
        <v>100000</v>
      </c>
      <c r="O695" s="2">
        <f>IF(Данные[[#This Row],[weighted_ext_score]]&gt;$O$1,MIN(Данные[[#This Row],[Базовая сумма]]*$O$2,$C$2),IF(Данные[[#This Row],[weighted_ext_score]]&lt;$O$3,Данные[[#This Row],[Базовая сумма]]*$O$4,N695))</f>
        <v>100000</v>
      </c>
      <c r="P6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6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695" s="2">
        <f>ABS(Данные[[#This Row],[days_birth]])/365.2425</f>
        <v>59.513884610909187</v>
      </c>
      <c r="S6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695" s="2">
        <f>IF(Данные[[#This Row],[ interest_rate]]&gt;$T$1,Данные[[#This Row],[days_birth4]]*$T$2,Данные[[#This Row],[days_birth4]])</f>
        <v>105000</v>
      </c>
      <c r="U695" s="2">
        <f>IF(Данные[[#This Row],[Проверка отказа]]="отказ",0,MAX(Данные[[#This Row],[interest_rate]],$C$1))</f>
        <v>105000</v>
      </c>
      <c r="V695" s="2">
        <f>MROUND(Данные[[#This Row],[Минимум 20000]], 100)</f>
        <v>105000</v>
      </c>
    </row>
    <row r="696" spans="1:22" x14ac:dyDescent="0.25">
      <c r="A696" s="2">
        <f>'1000_заявлений'!A690</f>
        <v>688</v>
      </c>
      <c r="B696" s="4">
        <f>VALUE(SUBSTITUTE('1000_заявлений'!B690, ".", ","))</f>
        <v>0.35412221713941999</v>
      </c>
      <c r="C696" s="4">
        <f>VALUE(SUBSTITUTE('1000_заявлений'!C690, ".", ","))</f>
        <v>0.59660700535399203</v>
      </c>
      <c r="D696" s="4">
        <f>VALUE(SUBSTITUTE('1000_заявлений'!D690, ".", ","))</f>
        <v>0.42589290000000002</v>
      </c>
      <c r="E696" s="4">
        <f>VALUE(SUBSTITUTE('1000_заявлений'!E690, ".", ","))</f>
        <v>0.59586006000000002</v>
      </c>
      <c r="F696" s="5">
        <f>VALUE(SUBSTITUTE('1000_заявлений'!F690, ".", ","))</f>
        <v>-7077</v>
      </c>
      <c r="G696" s="5">
        <f>VALUE(SUBSTITUTE('1000_заявлений'!G690, ".", ","))</f>
        <v>-12954</v>
      </c>
      <c r="H696" s="5">
        <f>VALUE(SUBSTITUTE('1000_заявлений'!H690, ".", ","))</f>
        <v>-4747</v>
      </c>
      <c r="I696" s="4">
        <f>VALUE(SUBSTITUTE('1000_заявлений'!I690, ".", ","))</f>
        <v>0.145711864406779</v>
      </c>
      <c r="J696" s="4">
        <f>VALUE(SUBSTITUTE('1000_заявлений'!J690, ".", ","))</f>
        <v>2.8211127982831998</v>
      </c>
      <c r="K696" s="5">
        <f>VALUE(SUBSTITUTE('1000_заявлений'!K690, ".", ","))</f>
        <v>-1608</v>
      </c>
      <c r="L696" s="6">
        <f>VALUE(SUBSTITUTE('1000_заявлений'!L690, ".", ","))</f>
        <v>38686.5</v>
      </c>
      <c r="M696" s="2" t="str">
        <f>IF(Данные[[#This Row],[proba]]&gt;$C$6, "отказ", "одобрение")</f>
        <v>отказ</v>
      </c>
      <c r="N696" s="7">
        <f>IF(Данные[[#This Row],[proba]]&lt;$D$2,$C$2,IF(Данные[[#This Row],[proba]]&lt;$D$3,$C$3,IF(Данные[[#This Row],[proba]]&gt;$C$6,0,$C$4)))</f>
        <v>0</v>
      </c>
      <c r="O696" s="2">
        <f>IF(Данные[[#This Row],[weighted_ext_score]]&gt;$O$1,MIN(Данные[[#This Row],[Базовая сумма]]*$O$2,$C$2),IF(Данные[[#This Row],[weighted_ext_score]]&lt;$O$3,Данные[[#This Row],[Базовая сумма]]*$O$4,N696))</f>
        <v>0</v>
      </c>
      <c r="P6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6" s="2">
        <f>ABS(Данные[[#This Row],[days_birth]])/365.2425</f>
        <v>35.46684736852913</v>
      </c>
      <c r="S6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6" s="2">
        <f>IF(Данные[[#This Row],[ interest_rate]]&gt;$T$1,Данные[[#This Row],[days_birth4]]*$T$2,Данные[[#This Row],[days_birth4]])</f>
        <v>0</v>
      </c>
      <c r="U696" s="2">
        <f>IF(Данные[[#This Row],[Проверка отказа]]="отказ",0,MAX(Данные[[#This Row],[interest_rate]],$C$1))</f>
        <v>0</v>
      </c>
      <c r="V696" s="2">
        <f>MROUND(Данные[[#This Row],[Минимум 20000]], 100)</f>
        <v>0</v>
      </c>
    </row>
    <row r="697" spans="1:22" x14ac:dyDescent="0.25">
      <c r="A697" s="2">
        <f>'1000_заявлений'!A691</f>
        <v>689</v>
      </c>
      <c r="B697" s="4">
        <f>VALUE(SUBSTITUTE('1000_заявлений'!B691, ".", ","))</f>
        <v>0.27626205668403703</v>
      </c>
      <c r="C697" s="4">
        <f>VALUE(SUBSTITUTE('1000_заявлений'!C691, ".", ","))</f>
        <v>0.46011774273477402</v>
      </c>
      <c r="D697" s="4">
        <f>VALUE(SUBSTITUTE('1000_заявлений'!D691, ".", ","))</f>
        <v>0.73662269999999996</v>
      </c>
      <c r="E697" s="4">
        <f>VALUE(SUBSTITUTE('1000_заявлений'!E691, ".", ","))</f>
        <v>0.59716535000000004</v>
      </c>
      <c r="F697" s="5">
        <f>VALUE(SUBSTITUTE('1000_заявлений'!F691, ".", ","))</f>
        <v>-2986</v>
      </c>
      <c r="G697" s="5">
        <f>VALUE(SUBSTITUTE('1000_заявлений'!G691, ".", ","))</f>
        <v>-13581</v>
      </c>
      <c r="H697" s="5">
        <f>VALUE(SUBSTITUTE('1000_заявлений'!H691, ".", ","))</f>
        <v>-1065</v>
      </c>
      <c r="I697" s="4">
        <f>VALUE(SUBSTITUTE('1000_заявлений'!I691, ".", ","))</f>
        <v>0.13894000000000001</v>
      </c>
      <c r="J697" s="4">
        <f>VALUE(SUBSTITUTE('1000_заявлений'!J691, ".", ","))</f>
        <v>7.8744259631260096</v>
      </c>
      <c r="K697" s="5">
        <f>VALUE(SUBSTITUTE('1000_заявлений'!K691, ".", ","))</f>
        <v>-2180</v>
      </c>
      <c r="L697" s="6">
        <f>VALUE(SUBSTITUTE('1000_заявлений'!L691, ".", ","))</f>
        <v>31261.5</v>
      </c>
      <c r="M697" s="2" t="str">
        <f>IF(Данные[[#This Row],[proba]]&gt;$C$6, "отказ", "одобрение")</f>
        <v>одобрение</v>
      </c>
      <c r="N697" s="7">
        <f>IF(Данные[[#This Row],[proba]]&lt;$D$2,$C$2,IF(Данные[[#This Row],[proba]]&lt;$D$3,$C$3,IF(Данные[[#This Row],[proba]]&gt;$C$6,0,$C$4)))</f>
        <v>100000</v>
      </c>
      <c r="O697" s="2">
        <f>IF(Данные[[#This Row],[weighted_ext_score]]&gt;$O$1,MIN(Данные[[#This Row],[Базовая сумма]]*$O$2,$C$2),IF(Данные[[#This Row],[weighted_ext_score]]&lt;$O$3,Данные[[#This Row],[Базовая сумма]]*$O$4,N697))</f>
        <v>100000</v>
      </c>
      <c r="P6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6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697" s="2">
        <f>ABS(Данные[[#This Row],[days_birth]])/365.2425</f>
        <v>37.183515061910924</v>
      </c>
      <c r="S6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697" s="2">
        <f>IF(Данные[[#This Row],[ interest_rate]]&gt;$T$1,Данные[[#This Row],[days_birth4]]*$T$2,Данные[[#This Row],[days_birth4]])</f>
        <v>144000</v>
      </c>
      <c r="U697" s="2">
        <f>IF(Данные[[#This Row],[Проверка отказа]]="отказ",0,MAX(Данные[[#This Row],[interest_rate]],$C$1))</f>
        <v>144000</v>
      </c>
      <c r="V697" s="2">
        <f>MROUND(Данные[[#This Row],[Минимум 20000]], 100)</f>
        <v>144000</v>
      </c>
    </row>
    <row r="698" spans="1:22" x14ac:dyDescent="0.25">
      <c r="A698" s="2">
        <f>'1000_заявлений'!A692</f>
        <v>690</v>
      </c>
      <c r="B698" s="4">
        <f>VALUE(SUBSTITUTE('1000_заявлений'!B692, ".", ","))</f>
        <v>0.69709567505028902</v>
      </c>
      <c r="C698" s="4">
        <f>VALUE(SUBSTITUTE('1000_заявлений'!C692, ".", ","))</f>
        <v>0.25692680092472903</v>
      </c>
      <c r="D698" s="4">
        <f>VALUE(SUBSTITUTE('1000_заявлений'!D692, ".", ","))</f>
        <v>0.24451639</v>
      </c>
      <c r="E698" s="4">
        <f>VALUE(SUBSTITUTE('1000_заявлений'!E692, ".", ","))</f>
        <v>0.51943784999999998</v>
      </c>
      <c r="F698" s="5">
        <f>VALUE(SUBSTITUTE('1000_заявлений'!F692, ".", ","))</f>
        <v>-8288</v>
      </c>
      <c r="G698" s="5">
        <f>VALUE(SUBSTITUTE('1000_заявлений'!G692, ".", ","))</f>
        <v>-8935</v>
      </c>
      <c r="H698" s="5">
        <f>VALUE(SUBSTITUTE('1000_заявлений'!H692, ".", ","))</f>
        <v>-1620</v>
      </c>
      <c r="I698" s="4">
        <f>VALUE(SUBSTITUTE('1000_заявлений'!I692, ".", ","))</f>
        <v>0.20752473862722401</v>
      </c>
      <c r="J698" s="4">
        <f>VALUE(SUBSTITUTE('1000_заявлений'!J692, ".", ","))</f>
        <v>6.8476229924627097</v>
      </c>
      <c r="K698" s="5">
        <f>VALUE(SUBSTITUTE('1000_заявлений'!K692, ".", ","))</f>
        <v>-539</v>
      </c>
      <c r="L698" s="6">
        <f>VALUE(SUBSTITUTE('1000_заявлений'!L692, ".", ","))</f>
        <v>26707.5</v>
      </c>
      <c r="M698" s="2" t="str">
        <f>IF(Данные[[#This Row],[proba]]&gt;$C$6, "отказ", "одобрение")</f>
        <v>отказ</v>
      </c>
      <c r="N698" s="7">
        <f>IF(Данные[[#This Row],[proba]]&lt;$D$2,$C$2,IF(Данные[[#This Row],[proba]]&lt;$D$3,$C$3,IF(Данные[[#This Row],[proba]]&gt;$C$6,0,$C$4)))</f>
        <v>0</v>
      </c>
      <c r="O698" s="2">
        <f>IF(Данные[[#This Row],[weighted_ext_score]]&gt;$O$1,MIN(Данные[[#This Row],[Базовая сумма]]*$O$2,$C$2),IF(Данные[[#This Row],[weighted_ext_score]]&lt;$O$3,Данные[[#This Row],[Базовая сумма]]*$O$4,N698))</f>
        <v>0</v>
      </c>
      <c r="P6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8" s="2">
        <f>ABS(Данные[[#This Row],[days_birth]])/365.2425</f>
        <v>24.463199107442314</v>
      </c>
      <c r="S6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8" s="2">
        <f>IF(Данные[[#This Row],[ interest_rate]]&gt;$T$1,Данные[[#This Row],[days_birth4]]*$T$2,Данные[[#This Row],[days_birth4]])</f>
        <v>0</v>
      </c>
      <c r="U698" s="2">
        <f>IF(Данные[[#This Row],[Проверка отказа]]="отказ",0,MAX(Данные[[#This Row],[interest_rate]],$C$1))</f>
        <v>0</v>
      </c>
      <c r="V698" s="2">
        <f>MROUND(Данные[[#This Row],[Минимум 20000]], 100)</f>
        <v>0</v>
      </c>
    </row>
    <row r="699" spans="1:22" x14ac:dyDescent="0.25">
      <c r="A699" s="2">
        <f>'1000_заявлений'!A693</f>
        <v>691</v>
      </c>
      <c r="B699" s="4">
        <f>VALUE(SUBSTITUTE('1000_заявлений'!B693, ".", ","))</f>
        <v>0.54211523344160195</v>
      </c>
      <c r="C699" s="4">
        <f>VALUE(SUBSTITUTE('1000_заявлений'!C693, ".", ","))</f>
        <v>0.25894072154608599</v>
      </c>
      <c r="D699" s="4">
        <f>VALUE(SUBSTITUTE('1000_заявлений'!D693, ".", ","))</f>
        <v>0.53168610000000005</v>
      </c>
      <c r="E699" s="4">
        <f>VALUE(SUBSTITUTE('1000_заявлений'!E693, ".", ","))</f>
        <v>0.20546512</v>
      </c>
      <c r="F699" s="5">
        <f>VALUE(SUBSTITUTE('1000_заявлений'!F693, ".", ","))</f>
        <v>-10584</v>
      </c>
      <c r="G699" s="5">
        <f>VALUE(SUBSTITUTE('1000_заявлений'!G693, ".", ","))</f>
        <v>-22278</v>
      </c>
      <c r="H699" s="5">
        <f>VALUE(SUBSTITUTE('1000_заявлений'!H693, ".", ","))</f>
        <v>-5079</v>
      </c>
      <c r="I699" s="4">
        <f>VALUE(SUBSTITUTE('1000_заявлений'!I693, ".", ","))</f>
        <v>0.191647058823529</v>
      </c>
      <c r="J699" s="4">
        <f>VALUE(SUBSTITUTE('1000_заявлений'!J693, ".", ","))</f>
        <v>2.3462351916581499</v>
      </c>
      <c r="K699" s="5">
        <f>VALUE(SUBSTITUTE('1000_заявлений'!K693, ".", ","))</f>
        <v>365243</v>
      </c>
      <c r="L699" s="6">
        <f>VALUE(SUBSTITUTE('1000_заявлений'!L693, ".", ","))</f>
        <v>14661</v>
      </c>
      <c r="M699" s="2" t="str">
        <f>IF(Данные[[#This Row],[proba]]&gt;$C$6, "отказ", "одобрение")</f>
        <v>отказ</v>
      </c>
      <c r="N699" s="7">
        <f>IF(Данные[[#This Row],[proba]]&lt;$D$2,$C$2,IF(Данные[[#This Row],[proba]]&lt;$D$3,$C$3,IF(Данные[[#This Row],[proba]]&gt;$C$6,0,$C$4)))</f>
        <v>0</v>
      </c>
      <c r="O699" s="2">
        <f>IF(Данные[[#This Row],[weighted_ext_score]]&gt;$O$1,MIN(Данные[[#This Row],[Базовая сумма]]*$O$2,$C$2),IF(Данные[[#This Row],[weighted_ext_score]]&lt;$O$3,Данные[[#This Row],[Базовая сумма]]*$O$4,N699))</f>
        <v>0</v>
      </c>
      <c r="P6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6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699" s="2">
        <f>ABS(Данные[[#This Row],[days_birth]])/365.2425</f>
        <v>60.995092301689972</v>
      </c>
      <c r="S6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699" s="2">
        <f>IF(Данные[[#This Row],[ interest_rate]]&gt;$T$1,Данные[[#This Row],[days_birth4]]*$T$2,Данные[[#This Row],[days_birth4]])</f>
        <v>0</v>
      </c>
      <c r="U699" s="2">
        <f>IF(Данные[[#This Row],[Проверка отказа]]="отказ",0,MAX(Данные[[#This Row],[interest_rate]],$C$1))</f>
        <v>0</v>
      </c>
      <c r="V699" s="2">
        <f>MROUND(Данные[[#This Row],[Минимум 20000]], 100)</f>
        <v>0</v>
      </c>
    </row>
    <row r="700" spans="1:22" x14ac:dyDescent="0.25">
      <c r="A700" s="2">
        <f>'1000_заявлений'!A694</f>
        <v>692</v>
      </c>
      <c r="B700" s="4">
        <f>VALUE(SUBSTITUTE('1000_заявлений'!B694, ".", ","))</f>
        <v>0.53817123387459698</v>
      </c>
      <c r="C700" s="4">
        <f>VALUE(SUBSTITUTE('1000_заявлений'!C694, ".", ","))</f>
        <v>0.332569653344441</v>
      </c>
      <c r="D700" s="4">
        <f>VALUE(SUBSTITUTE('1000_заявлений'!D694, ".", ","))</f>
        <v>0.54423474999999999</v>
      </c>
      <c r="E700" s="4">
        <f>VALUE(SUBSTITUTE('1000_заявлений'!E694, ".", ","))</f>
        <v>0.41845969999999999</v>
      </c>
      <c r="F700" s="5">
        <f>VALUE(SUBSTITUTE('1000_заявлений'!F694, ".", ","))</f>
        <v>-8713</v>
      </c>
      <c r="G700" s="5">
        <f>VALUE(SUBSTITUTE('1000_заявлений'!G694, ".", ","))</f>
        <v>-10156</v>
      </c>
      <c r="H700" s="5">
        <f>VALUE(SUBSTITUTE('1000_заявлений'!H694, ".", ","))</f>
        <v>-1133</v>
      </c>
      <c r="I700" s="4">
        <f>VALUE(SUBSTITUTE('1000_заявлений'!I694, ".", ","))</f>
        <v>0.14688888888888799</v>
      </c>
      <c r="J700" s="4">
        <f>VALUE(SUBSTITUTE('1000_заявлений'!J694, ".", ","))</f>
        <v>4.1948317763984297</v>
      </c>
      <c r="K700" s="5">
        <f>VALUE(SUBSTITUTE('1000_заявлений'!K694, ".", ","))</f>
        <v>-1801</v>
      </c>
      <c r="L700" s="6">
        <f>VALUE(SUBSTITUTE('1000_заявлений'!L694, ".", ","))</f>
        <v>29745</v>
      </c>
      <c r="M700" s="2" t="str">
        <f>IF(Данные[[#This Row],[proba]]&gt;$C$6, "отказ", "одобрение")</f>
        <v>отказ</v>
      </c>
      <c r="N700" s="7">
        <f>IF(Данные[[#This Row],[proba]]&lt;$D$2,$C$2,IF(Данные[[#This Row],[proba]]&lt;$D$3,$C$3,IF(Данные[[#This Row],[proba]]&gt;$C$6,0,$C$4)))</f>
        <v>0</v>
      </c>
      <c r="O700" s="2">
        <f>IF(Данные[[#This Row],[weighted_ext_score]]&gt;$O$1,MIN(Данные[[#This Row],[Базовая сумма]]*$O$2,$C$2),IF(Данные[[#This Row],[weighted_ext_score]]&lt;$O$3,Данные[[#This Row],[Базовая сумма]]*$O$4,N700))</f>
        <v>0</v>
      </c>
      <c r="P7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00" s="2">
        <f>ABS(Данные[[#This Row],[days_birth]])/365.2425</f>
        <v>27.806183562975281</v>
      </c>
      <c r="S7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00" s="2">
        <f>IF(Данные[[#This Row],[ interest_rate]]&gt;$T$1,Данные[[#This Row],[days_birth4]]*$T$2,Данные[[#This Row],[days_birth4]])</f>
        <v>0</v>
      </c>
      <c r="U700" s="2">
        <f>IF(Данные[[#This Row],[Проверка отказа]]="отказ",0,MAX(Данные[[#This Row],[interest_rate]],$C$1))</f>
        <v>0</v>
      </c>
      <c r="V700" s="2">
        <f>MROUND(Данные[[#This Row],[Минимум 20000]], 100)</f>
        <v>0</v>
      </c>
    </row>
    <row r="701" spans="1:22" x14ac:dyDescent="0.25">
      <c r="A701" s="2">
        <f>'1000_заявлений'!A695</f>
        <v>693</v>
      </c>
      <c r="B701" s="4">
        <f>VALUE(SUBSTITUTE('1000_заявлений'!B695, ".", ","))</f>
        <v>0.176167510142582</v>
      </c>
      <c r="C701" s="4">
        <f>VALUE(SUBSTITUTE('1000_заявлений'!C695, ".", ","))</f>
        <v>0.50699880376982098</v>
      </c>
      <c r="D701" s="4">
        <f>VALUE(SUBSTITUTE('1000_заявлений'!D695, ".", ","))</f>
        <v>0.832785</v>
      </c>
      <c r="E701" s="4">
        <f>VALUE(SUBSTITUTE('1000_заявлений'!E695, ".", ","))</f>
        <v>0.63447522999999995</v>
      </c>
      <c r="F701" s="5">
        <f>VALUE(SUBSTITUTE('1000_заявлений'!F695, ".", ","))</f>
        <v>-4153</v>
      </c>
      <c r="G701" s="5">
        <f>VALUE(SUBSTITUTE('1000_заявлений'!G695, ".", ","))</f>
        <v>-18618</v>
      </c>
      <c r="H701" s="5">
        <f>VALUE(SUBSTITUTE('1000_заявлений'!H695, ".", ","))</f>
        <v>-2161</v>
      </c>
      <c r="I701" s="4">
        <f>VALUE(SUBSTITUTE('1000_заявлений'!I695, ".", ","))</f>
        <v>0.31902702702702701</v>
      </c>
      <c r="J701" s="4">
        <f>VALUE(SUBSTITUTE('1000_заявлений'!J695, ".", ","))</f>
        <v>15.568113826180999</v>
      </c>
      <c r="K701" s="5">
        <f>VALUE(SUBSTITUTE('1000_заявлений'!K695, ".", ","))</f>
        <v>-2632</v>
      </c>
      <c r="L701" s="6">
        <f>VALUE(SUBSTITUTE('1000_заявлений'!L695, ".", ","))</f>
        <v>53118</v>
      </c>
      <c r="M701" s="2" t="str">
        <f>IF(Данные[[#This Row],[proba]]&gt;$C$6, "отказ", "одобрение")</f>
        <v>одобрение</v>
      </c>
      <c r="N701" s="7">
        <f>IF(Данные[[#This Row],[proba]]&lt;$D$2,$C$2,IF(Данные[[#This Row],[proba]]&lt;$D$3,$C$3,IF(Данные[[#This Row],[proba]]&gt;$C$6,0,$C$4)))</f>
        <v>300000</v>
      </c>
      <c r="O701" s="2">
        <f>IF(Данные[[#This Row],[weighted_ext_score]]&gt;$O$1,MIN(Данные[[#This Row],[Базовая сумма]]*$O$2,$C$2),IF(Данные[[#This Row],[weighted_ext_score]]&lt;$O$3,Данные[[#This Row],[Базовая сумма]]*$O$4,N701))</f>
        <v>300000</v>
      </c>
      <c r="P7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7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01" s="2">
        <f>ABS(Данные[[#This Row],[days_birth]])/365.2425</f>
        <v>50.974352656112032</v>
      </c>
      <c r="S7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01" s="2">
        <f>IF(Данные[[#This Row],[ interest_rate]]&gt;$T$1,Данные[[#This Row],[days_birth4]]*$T$2,Данные[[#This Row],[days_birth4]])</f>
        <v>378000</v>
      </c>
      <c r="U701" s="2">
        <f>IF(Данные[[#This Row],[Проверка отказа]]="отказ",0,MAX(Данные[[#This Row],[interest_rate]],$C$1))</f>
        <v>378000</v>
      </c>
      <c r="V701" s="2">
        <f>MROUND(Данные[[#This Row],[Минимум 20000]], 100)</f>
        <v>378000</v>
      </c>
    </row>
    <row r="702" spans="1:22" x14ac:dyDescent="0.25">
      <c r="A702" s="2">
        <f>'1000_заявлений'!A696</f>
        <v>694</v>
      </c>
      <c r="B702" s="4">
        <f>VALUE(SUBSTITUTE('1000_заявлений'!B696, ".", ","))</f>
        <v>0.14026526442990001</v>
      </c>
      <c r="C702" s="4">
        <f>VALUE(SUBSTITUTE('1000_заявлений'!C696, ".", ","))</f>
        <v>0.51158072636108398</v>
      </c>
      <c r="D702" s="4">
        <f>VALUE(SUBSTITUTE('1000_заявлений'!D696, ".", ","))</f>
        <v>0.80839360000000005</v>
      </c>
      <c r="E702" s="4">
        <f>VALUE(SUBSTITUTE('1000_заявлений'!E696, ".", ","))</f>
        <v>0.67579584999999998</v>
      </c>
      <c r="F702" s="5">
        <f>VALUE(SUBSTITUTE('1000_заявлений'!F696, ".", ","))</f>
        <v>-11403</v>
      </c>
      <c r="G702" s="5">
        <f>VALUE(SUBSTITUTE('1000_заявлений'!G696, ".", ","))</f>
        <v>-20924</v>
      </c>
      <c r="H702" s="5">
        <f>VALUE(SUBSTITUTE('1000_заявлений'!H696, ".", ","))</f>
        <v>-4325</v>
      </c>
      <c r="I702" s="4">
        <f>VALUE(SUBSTITUTE('1000_заявлений'!I696, ".", ","))</f>
        <v>0.1988</v>
      </c>
      <c r="J702" s="4">
        <f>VALUE(SUBSTITUTE('1000_заявлений'!J696, ".", ","))</f>
        <v>6.6204342716436404</v>
      </c>
      <c r="K702" s="5">
        <f>VALUE(SUBSTITUTE('1000_заявлений'!K696, ".", ","))</f>
        <v>365243</v>
      </c>
      <c r="L702" s="6">
        <f>VALUE(SUBSTITUTE('1000_заявлений'!L696, ".", ","))</f>
        <v>26838</v>
      </c>
      <c r="M702" s="2" t="str">
        <f>IF(Данные[[#This Row],[proba]]&gt;$C$6, "отказ", "одобрение")</f>
        <v>одобрение</v>
      </c>
      <c r="N702" s="7">
        <f>IF(Данные[[#This Row],[proba]]&lt;$D$2,$C$2,IF(Данные[[#This Row],[proba]]&lt;$D$3,$C$3,IF(Данные[[#This Row],[proba]]&gt;$C$6,0,$C$4)))</f>
        <v>300000</v>
      </c>
      <c r="O702" s="2">
        <f>IF(Данные[[#This Row],[weighted_ext_score]]&gt;$O$1,MIN(Данные[[#This Row],[Базовая сумма]]*$O$2,$C$2),IF(Данные[[#This Row],[weighted_ext_score]]&lt;$O$3,Данные[[#This Row],[Базовая сумма]]*$O$4,N702))</f>
        <v>300000</v>
      </c>
      <c r="P7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02" s="2">
        <f>ABS(Данные[[#This Row],[days_birth]])/365.2425</f>
        <v>57.287966214227531</v>
      </c>
      <c r="S7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02" s="2">
        <f>IF(Данные[[#This Row],[ interest_rate]]&gt;$T$1,Данные[[#This Row],[days_birth4]]*$T$2,Данные[[#This Row],[days_birth4]])</f>
        <v>378000</v>
      </c>
      <c r="U702" s="2">
        <f>IF(Данные[[#This Row],[Проверка отказа]]="отказ",0,MAX(Данные[[#This Row],[interest_rate]],$C$1))</f>
        <v>378000</v>
      </c>
      <c r="V702" s="2">
        <f>MROUND(Данные[[#This Row],[Минимум 20000]], 100)</f>
        <v>378000</v>
      </c>
    </row>
    <row r="703" spans="1:22" x14ac:dyDescent="0.25">
      <c r="A703" s="2">
        <f>'1000_заявлений'!A697</f>
        <v>695</v>
      </c>
      <c r="B703" s="4">
        <f>VALUE(SUBSTITUTE('1000_заявлений'!B697, ".", ","))</f>
        <v>0.26458851352426099</v>
      </c>
      <c r="C703" s="4">
        <f>VALUE(SUBSTITUTE('1000_заявлений'!C697, ".", ","))</f>
        <v>0.64750587587533903</v>
      </c>
      <c r="D703" s="4">
        <f>VALUE(SUBSTITUTE('1000_заявлений'!D697, ".", ","))</f>
        <v>0.62799084000000005</v>
      </c>
      <c r="E703" s="4">
        <f>VALUE(SUBSTITUTE('1000_заявлений'!E697, ".", ","))</f>
        <v>0.66822890000000001</v>
      </c>
      <c r="F703" s="5">
        <f>VALUE(SUBSTITUTE('1000_заявлений'!F697, ".", ","))</f>
        <v>-2147</v>
      </c>
      <c r="G703" s="5">
        <f>VALUE(SUBSTITUTE('1000_заявлений'!G697, ".", ","))</f>
        <v>-11675</v>
      </c>
      <c r="H703" s="5">
        <f>VALUE(SUBSTITUTE('1000_заявлений'!H697, ".", ","))</f>
        <v>-4046</v>
      </c>
      <c r="I703" s="4">
        <f>VALUE(SUBSTITUTE('1000_заявлений'!I697, ".", ","))</f>
        <v>0.37326666666666602</v>
      </c>
      <c r="J703" s="4">
        <f>VALUE(SUBSTITUTE('1000_заявлений'!J697, ".", ","))</f>
        <v>6.0867631954587296</v>
      </c>
      <c r="K703" s="5">
        <f>VALUE(SUBSTITUTE('1000_заявлений'!K697, ".", ","))</f>
        <v>-2288</v>
      </c>
      <c r="L703" s="6">
        <f>VALUE(SUBSTITUTE('1000_заявлений'!L697, ".", ","))</f>
        <v>50391</v>
      </c>
      <c r="M703" s="2" t="str">
        <f>IF(Данные[[#This Row],[proba]]&gt;$C$6, "отказ", "одобрение")</f>
        <v>одобрение</v>
      </c>
      <c r="N703" s="7">
        <f>IF(Данные[[#This Row],[proba]]&lt;$D$2,$C$2,IF(Данные[[#This Row],[proba]]&lt;$D$3,$C$3,IF(Данные[[#This Row],[proba]]&gt;$C$6,0,$C$4)))</f>
        <v>100000</v>
      </c>
      <c r="O703" s="2">
        <f>IF(Данные[[#This Row],[weighted_ext_score]]&gt;$O$1,MIN(Данные[[#This Row],[Базовая сумма]]*$O$2,$C$2),IF(Данные[[#This Row],[weighted_ext_score]]&lt;$O$3,Данные[[#This Row],[Базовая сумма]]*$O$4,N703))</f>
        <v>100000</v>
      </c>
      <c r="P7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03" s="2">
        <f>ABS(Данные[[#This Row],[days_birth]])/365.2425</f>
        <v>31.965064306590826</v>
      </c>
      <c r="S7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703" s="2">
        <f>IF(Данные[[#This Row],[ interest_rate]]&gt;$T$1,Данные[[#This Row],[days_birth4]]*$T$2,Данные[[#This Row],[days_birth4]])</f>
        <v>120000</v>
      </c>
      <c r="U703" s="2">
        <f>IF(Данные[[#This Row],[Проверка отказа]]="отказ",0,MAX(Данные[[#This Row],[interest_rate]],$C$1))</f>
        <v>120000</v>
      </c>
      <c r="V703" s="2">
        <f>MROUND(Данные[[#This Row],[Минимум 20000]], 100)</f>
        <v>120000</v>
      </c>
    </row>
    <row r="704" spans="1:22" x14ac:dyDescent="0.25">
      <c r="A704" s="2">
        <f>'1000_заявлений'!A698</f>
        <v>696</v>
      </c>
      <c r="B704" s="4">
        <f>VALUE(SUBSTITUTE('1000_заявлений'!B698, ".", ","))</f>
        <v>0.47499255477848301</v>
      </c>
      <c r="C704" s="4">
        <f>VALUE(SUBSTITUTE('1000_заявлений'!C698, ".", ","))</f>
        <v>0.37721126891439799</v>
      </c>
      <c r="D704" s="4">
        <f>VALUE(SUBSTITUTE('1000_заявлений'!D698, ".", ","))</f>
        <v>0.55138129999999996</v>
      </c>
      <c r="E704" s="4">
        <f>VALUE(SUBSTITUTE('1000_заявлений'!E698, ".", ","))</f>
        <v>0.54811430000000005</v>
      </c>
      <c r="F704" s="5">
        <f>VALUE(SUBSTITUTE('1000_заявлений'!F698, ".", ","))</f>
        <v>-8000</v>
      </c>
      <c r="G704" s="5">
        <f>VALUE(SUBSTITUTE('1000_заявлений'!G698, ".", ","))</f>
        <v>-17280</v>
      </c>
      <c r="H704" s="5">
        <f>VALUE(SUBSTITUTE('1000_заявлений'!H698, ".", ","))</f>
        <v>-840</v>
      </c>
      <c r="I704" s="4">
        <f>VALUE(SUBSTITUTE('1000_заявлений'!I698, ".", ","))</f>
        <v>0.46288000000000001</v>
      </c>
      <c r="J704" s="4">
        <f>VALUE(SUBSTITUTE('1000_заявлений'!J698, ".", ","))</f>
        <v>6.7806974495320604</v>
      </c>
      <c r="K704" s="5">
        <f>VALUE(SUBSTITUTE('1000_заявлений'!K698, ".", ","))</f>
        <v>-254</v>
      </c>
      <c r="L704" s="6">
        <f>VALUE(SUBSTITUTE('1000_заявлений'!L698, ".", ","))</f>
        <v>52074</v>
      </c>
      <c r="M704" s="2" t="str">
        <f>IF(Данные[[#This Row],[proba]]&gt;$C$6, "отказ", "одобрение")</f>
        <v>отказ</v>
      </c>
      <c r="N704" s="7">
        <f>IF(Данные[[#This Row],[proba]]&lt;$D$2,$C$2,IF(Данные[[#This Row],[proba]]&lt;$D$3,$C$3,IF(Данные[[#This Row],[proba]]&gt;$C$6,0,$C$4)))</f>
        <v>0</v>
      </c>
      <c r="O704" s="2">
        <f>IF(Данные[[#This Row],[weighted_ext_score]]&gt;$O$1,MIN(Данные[[#This Row],[Базовая сумма]]*$O$2,$C$2),IF(Данные[[#This Row],[weighted_ext_score]]&lt;$O$3,Данные[[#This Row],[Базовая сумма]]*$O$4,N704))</f>
        <v>0</v>
      </c>
      <c r="P7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04" s="2">
        <f>ABS(Данные[[#This Row],[days_birth]])/365.2425</f>
        <v>47.311033080761412</v>
      </c>
      <c r="S7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04" s="2">
        <f>IF(Данные[[#This Row],[ interest_rate]]&gt;$T$1,Данные[[#This Row],[days_birth4]]*$T$2,Данные[[#This Row],[days_birth4]])</f>
        <v>0</v>
      </c>
      <c r="U704" s="2">
        <f>IF(Данные[[#This Row],[Проверка отказа]]="отказ",0,MAX(Данные[[#This Row],[interest_rate]],$C$1))</f>
        <v>0</v>
      </c>
      <c r="V704" s="2">
        <f>MROUND(Данные[[#This Row],[Минимум 20000]], 100)</f>
        <v>0</v>
      </c>
    </row>
    <row r="705" spans="1:22" x14ac:dyDescent="0.25">
      <c r="A705" s="2">
        <f>'1000_заявлений'!A699</f>
        <v>697</v>
      </c>
      <c r="B705" s="4">
        <f>VALUE(SUBSTITUTE('1000_заявлений'!B699, ".", ","))</f>
        <v>0.27331661984315597</v>
      </c>
      <c r="C705" s="4">
        <f>VALUE(SUBSTITUTE('1000_заявлений'!C699, ".", ","))</f>
        <v>0.55129389286615404</v>
      </c>
      <c r="D705" s="4">
        <f>VALUE(SUBSTITUTE('1000_заявлений'!D699, ".", ","))</f>
        <v>0.33606150000000001</v>
      </c>
      <c r="E705" s="4">
        <f>VALUE(SUBSTITUTE('1000_заявлений'!E699, ".", ","))</f>
        <v>0.5377499</v>
      </c>
      <c r="F705" s="5">
        <f>VALUE(SUBSTITUTE('1000_заявлений'!F699, ".", ","))</f>
        <v>-7274</v>
      </c>
      <c r="G705" s="5">
        <f>VALUE(SUBSTITUTE('1000_заявлений'!G699, ".", ","))</f>
        <v>-23105</v>
      </c>
      <c r="H705" s="5">
        <f>VALUE(SUBSTITUTE('1000_заявлений'!H699, ".", ","))</f>
        <v>-4601</v>
      </c>
      <c r="I705" s="4">
        <f>VALUE(SUBSTITUTE('1000_заявлений'!I699, ".", ","))</f>
        <v>0.138333333333333</v>
      </c>
      <c r="J705" s="4">
        <f>VALUE(SUBSTITUTE('1000_заявлений'!J699, ".", ","))</f>
        <v>19.093475644659701</v>
      </c>
      <c r="K705" s="5">
        <f>VALUE(SUBSTITUTE('1000_заявлений'!K699, ".", ","))</f>
        <v>365243</v>
      </c>
      <c r="L705" s="6">
        <f>VALUE(SUBSTITUTE('1000_заявлений'!L699, ".", ","))</f>
        <v>20542.5</v>
      </c>
      <c r="M705" s="2" t="str">
        <f>IF(Данные[[#This Row],[proba]]&gt;$C$6, "отказ", "одобрение")</f>
        <v>одобрение</v>
      </c>
      <c r="N705" s="7">
        <f>IF(Данные[[#This Row],[proba]]&lt;$D$2,$C$2,IF(Данные[[#This Row],[proba]]&lt;$D$3,$C$3,IF(Данные[[#This Row],[proba]]&gt;$C$6,0,$C$4)))</f>
        <v>100000</v>
      </c>
      <c r="O705" s="2">
        <f>IF(Данные[[#This Row],[weighted_ext_score]]&gt;$O$1,MIN(Данные[[#This Row],[Базовая сумма]]*$O$2,$C$2),IF(Данные[[#This Row],[weighted_ext_score]]&lt;$O$3,Данные[[#This Row],[Базовая сумма]]*$O$4,N705))</f>
        <v>100000</v>
      </c>
      <c r="P7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05" s="2">
        <f>ABS(Данные[[#This Row],[days_birth]])/365.2425</f>
        <v>63.259341396469466</v>
      </c>
      <c r="S7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705" s="2">
        <f>IF(Данные[[#This Row],[ interest_rate]]&gt;$T$1,Данные[[#This Row],[days_birth4]]*$T$2,Данные[[#This Row],[days_birth4]])</f>
        <v>126000</v>
      </c>
      <c r="U705" s="2">
        <f>IF(Данные[[#This Row],[Проверка отказа]]="отказ",0,MAX(Данные[[#This Row],[interest_rate]],$C$1))</f>
        <v>126000</v>
      </c>
      <c r="V705" s="2">
        <f>MROUND(Данные[[#This Row],[Минимум 20000]], 100)</f>
        <v>126000</v>
      </c>
    </row>
    <row r="706" spans="1:22" x14ac:dyDescent="0.25">
      <c r="A706" s="2">
        <f>'1000_заявлений'!A700</f>
        <v>698</v>
      </c>
      <c r="B706" s="4">
        <f>VALUE(SUBSTITUTE('1000_заявлений'!B700, ".", ","))</f>
        <v>0.30727031984513797</v>
      </c>
      <c r="C706" s="4">
        <f>VALUE(SUBSTITUTE('1000_заявлений'!C700, ".", ","))</f>
        <v>0.51121691087473198</v>
      </c>
      <c r="D706" s="4">
        <f>VALUE(SUBSTITUTE('1000_заявлений'!D700, ".", ","))</f>
        <v>0.67383009999999999</v>
      </c>
      <c r="E706" s="4">
        <f>VALUE(SUBSTITUTE('1000_заявлений'!E700, ".", ","))</f>
        <v>0.62106280000000003</v>
      </c>
      <c r="F706" s="5">
        <f>VALUE(SUBSTITUTE('1000_заявлений'!F700, ".", ","))</f>
        <v>-3596</v>
      </c>
      <c r="G706" s="5">
        <f>VALUE(SUBSTITUTE('1000_заявлений'!G700, ".", ","))</f>
        <v>-8711</v>
      </c>
      <c r="H706" s="5">
        <f>VALUE(SUBSTITUTE('1000_заявлений'!H700, ".", ","))</f>
        <v>-1181</v>
      </c>
      <c r="I706" s="4">
        <f>VALUE(SUBSTITUTE('1000_заявлений'!I700, ".", ","))</f>
        <v>0.12275999999999999</v>
      </c>
      <c r="J706" s="4">
        <f>VALUE(SUBSTITUTE('1000_заявлений'!J700, ".", ","))</f>
        <v>5.7188056341743003</v>
      </c>
      <c r="K706" s="5">
        <f>VALUE(SUBSTITUTE('1000_заявлений'!K700, ".", ","))</f>
        <v>-882</v>
      </c>
      <c r="L706" s="6">
        <f>VALUE(SUBSTITUTE('1000_заявлений'!L700, ".", ","))</f>
        <v>27621</v>
      </c>
      <c r="M706" s="2" t="str">
        <f>IF(Данные[[#This Row],[proba]]&gt;$C$6, "отказ", "одобрение")</f>
        <v>отказ</v>
      </c>
      <c r="N706" s="7">
        <f>IF(Данные[[#This Row],[proba]]&lt;$D$2,$C$2,IF(Данные[[#This Row],[proba]]&lt;$D$3,$C$3,IF(Данные[[#This Row],[proba]]&gt;$C$6,0,$C$4)))</f>
        <v>0</v>
      </c>
      <c r="O706" s="2">
        <f>IF(Данные[[#This Row],[weighted_ext_score]]&gt;$O$1,MIN(Данные[[#This Row],[Базовая сумма]]*$O$2,$C$2),IF(Данные[[#This Row],[weighted_ext_score]]&lt;$O$3,Данные[[#This Row],[Базовая сумма]]*$O$4,N706))</f>
        <v>0</v>
      </c>
      <c r="P7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06" s="2">
        <f>ABS(Данные[[#This Row],[days_birth]])/365.2425</f>
        <v>23.849907937876889</v>
      </c>
      <c r="S7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06" s="2">
        <f>IF(Данные[[#This Row],[ interest_rate]]&gt;$T$1,Данные[[#This Row],[days_birth4]]*$T$2,Данные[[#This Row],[days_birth4]])</f>
        <v>0</v>
      </c>
      <c r="U706" s="2">
        <f>IF(Данные[[#This Row],[Проверка отказа]]="отказ",0,MAX(Данные[[#This Row],[interest_rate]],$C$1))</f>
        <v>0</v>
      </c>
      <c r="V706" s="2">
        <f>MROUND(Данные[[#This Row],[Минимум 20000]], 100)</f>
        <v>0</v>
      </c>
    </row>
    <row r="707" spans="1:22" x14ac:dyDescent="0.25">
      <c r="A707" s="2">
        <f>'1000_заявлений'!A701</f>
        <v>699</v>
      </c>
      <c r="B707" s="4">
        <f>VALUE(SUBSTITUTE('1000_заявлений'!B701, ".", ","))</f>
        <v>0.32144178952354902</v>
      </c>
      <c r="C707" s="4">
        <f>VALUE(SUBSTITUTE('1000_заявлений'!C701, ".", ","))</f>
        <v>0.398793379559087</v>
      </c>
      <c r="D707" s="4">
        <f>VALUE(SUBSTITUTE('1000_заявлений'!D701, ".", ","))</f>
        <v>0.58674000000000004</v>
      </c>
      <c r="E707" s="4">
        <f>VALUE(SUBSTITUTE('1000_заявлений'!E701, ".", ","))</f>
        <v>0.57522499999999999</v>
      </c>
      <c r="F707" s="5">
        <f>VALUE(SUBSTITUTE('1000_заявлений'!F701, ".", ","))</f>
        <v>-1786</v>
      </c>
      <c r="G707" s="5">
        <f>VALUE(SUBSTITUTE('1000_заявлений'!G701, ".", ","))</f>
        <v>-22590</v>
      </c>
      <c r="H707" s="5">
        <f>VALUE(SUBSTITUTE('1000_заявлений'!H701, ".", ","))</f>
        <v>-1866</v>
      </c>
      <c r="I707" s="4">
        <f>VALUE(SUBSTITUTE('1000_заявлений'!I701, ".", ","))</f>
        <v>0.18895555555555499</v>
      </c>
      <c r="J707" s="4">
        <f>VALUE(SUBSTITUTE('1000_заявлений'!J701, ".", ","))</f>
        <v>1.9599044997106601</v>
      </c>
      <c r="K707" s="5">
        <f>VALUE(SUBSTITUTE('1000_заявлений'!K701, ".", ","))</f>
        <v>365243</v>
      </c>
      <c r="L707" s="6">
        <f>VALUE(SUBSTITUTE('1000_заявлений'!L701, ".", ","))</f>
        <v>38263.5</v>
      </c>
      <c r="M707" s="2" t="str">
        <f>IF(Данные[[#This Row],[proba]]&gt;$C$6, "отказ", "одобрение")</f>
        <v>отказ</v>
      </c>
      <c r="N707" s="7">
        <f>IF(Данные[[#This Row],[proba]]&lt;$D$2,$C$2,IF(Данные[[#This Row],[proba]]&lt;$D$3,$C$3,IF(Данные[[#This Row],[proba]]&gt;$C$6,0,$C$4)))</f>
        <v>0</v>
      </c>
      <c r="O707" s="2">
        <f>IF(Данные[[#This Row],[weighted_ext_score]]&gt;$O$1,MIN(Данные[[#This Row],[Базовая сумма]]*$O$2,$C$2),IF(Данные[[#This Row],[weighted_ext_score]]&lt;$O$3,Данные[[#This Row],[Базовая сумма]]*$O$4,N707))</f>
        <v>0</v>
      </c>
      <c r="P7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07" s="2">
        <f>ABS(Данные[[#This Row],[days_birth]])/365.2425</f>
        <v>61.849319287870387</v>
      </c>
      <c r="S7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07" s="2">
        <f>IF(Данные[[#This Row],[ interest_rate]]&gt;$T$1,Данные[[#This Row],[days_birth4]]*$T$2,Данные[[#This Row],[days_birth4]])</f>
        <v>0</v>
      </c>
      <c r="U707" s="2">
        <f>IF(Данные[[#This Row],[Проверка отказа]]="отказ",0,MAX(Данные[[#This Row],[interest_rate]],$C$1))</f>
        <v>0</v>
      </c>
      <c r="V707" s="2">
        <f>MROUND(Данные[[#This Row],[Минимум 20000]], 100)</f>
        <v>0</v>
      </c>
    </row>
    <row r="708" spans="1:22" x14ac:dyDescent="0.25">
      <c r="A708" s="2">
        <f>'1000_заявлений'!A702</f>
        <v>700</v>
      </c>
      <c r="B708" s="4">
        <f>VALUE(SUBSTITUTE('1000_заявлений'!B702, ".", ","))</f>
        <v>0.256207351344935</v>
      </c>
      <c r="C708" s="4">
        <f>VALUE(SUBSTITUTE('1000_заявлений'!C702, ".", ","))</f>
        <v>0.66006457353221604</v>
      </c>
      <c r="D708" s="4">
        <f>VALUE(SUBSTITUTE('1000_заявлений'!D702, ".", ","))</f>
        <v>0.71803284000000001</v>
      </c>
      <c r="E708" s="4">
        <f>VALUE(SUBSTITUTE('1000_заявлений'!E702, ".", ","))</f>
        <v>0.51499309999999998</v>
      </c>
      <c r="F708" s="5">
        <f>VALUE(SUBSTITUTE('1000_заявлений'!F702, ".", ","))</f>
        <v>-1291</v>
      </c>
      <c r="G708" s="5">
        <f>VALUE(SUBSTITUTE('1000_заявлений'!G702, ".", ","))</f>
        <v>-14677</v>
      </c>
      <c r="H708" s="5">
        <f>VALUE(SUBSTITUTE('1000_заявлений'!H702, ".", ","))</f>
        <v>-2929</v>
      </c>
      <c r="I708" s="4">
        <f>VALUE(SUBSTITUTE('1000_заявлений'!I702, ".", ","))</f>
        <v>0.194085714285714</v>
      </c>
      <c r="J708" s="4">
        <f>VALUE(SUBSTITUTE('1000_заявлений'!J702, ".", ","))</f>
        <v>1.85123560947084</v>
      </c>
      <c r="K708" s="5">
        <f>VALUE(SUBSTITUTE('1000_заявлений'!K702, ".", ","))</f>
        <v>-2659</v>
      </c>
      <c r="L708" s="6">
        <f>VALUE(SUBSTITUTE('1000_заявлений'!L702, ".", ","))</f>
        <v>30568.5</v>
      </c>
      <c r="M708" s="2" t="str">
        <f>IF(Данные[[#This Row],[proba]]&gt;$C$6, "отказ", "одобрение")</f>
        <v>одобрение</v>
      </c>
      <c r="N708" s="7">
        <f>IF(Данные[[#This Row],[proba]]&lt;$D$2,$C$2,IF(Данные[[#This Row],[proba]]&lt;$D$3,$C$3,IF(Данные[[#This Row],[proba]]&gt;$C$6,0,$C$4)))</f>
        <v>100000</v>
      </c>
      <c r="O708" s="2">
        <f>IF(Данные[[#This Row],[weighted_ext_score]]&gt;$O$1,MIN(Данные[[#This Row],[Базовая сумма]]*$O$2,$C$2),IF(Данные[[#This Row],[weighted_ext_score]]&lt;$O$3,Данные[[#This Row],[Базовая сумма]]*$O$4,N708))</f>
        <v>100000</v>
      </c>
      <c r="P7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08" s="2">
        <f>ABS(Данные[[#This Row],[days_birth]])/365.2425</f>
        <v>40.184261141570325</v>
      </c>
      <c r="S7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08" s="2">
        <f>IF(Данные[[#This Row],[ interest_rate]]&gt;$T$1,Данные[[#This Row],[days_birth4]]*$T$2,Данные[[#This Row],[days_birth4]])</f>
        <v>144000</v>
      </c>
      <c r="U708" s="2">
        <f>IF(Данные[[#This Row],[Проверка отказа]]="отказ",0,MAX(Данные[[#This Row],[interest_rate]],$C$1))</f>
        <v>144000</v>
      </c>
      <c r="V708" s="2">
        <f>MROUND(Данные[[#This Row],[Минимум 20000]], 100)</f>
        <v>144000</v>
      </c>
    </row>
    <row r="709" spans="1:22" x14ac:dyDescent="0.25">
      <c r="A709" s="2">
        <f>'1000_заявлений'!A703</f>
        <v>701</v>
      </c>
      <c r="B709" s="4">
        <f>VALUE(SUBSTITUTE('1000_заявлений'!B703, ".", ","))</f>
        <v>0.14668786273357701</v>
      </c>
      <c r="C709" s="4">
        <f>VALUE(SUBSTITUTE('1000_заявлений'!C703, ".", ","))</f>
        <v>0.49707599747203701</v>
      </c>
      <c r="D709" s="4">
        <f>VALUE(SUBSTITUTE('1000_заявлений'!D703, ".", ","))</f>
        <v>0.72956670000000001</v>
      </c>
      <c r="E709" s="4">
        <f>VALUE(SUBSTITUTE('1000_заявлений'!E703, ".", ","))</f>
        <v>0.71896863</v>
      </c>
      <c r="F709" s="5">
        <f>VALUE(SUBSTITUTE('1000_заявлений'!F703, ".", ","))</f>
        <v>-4548</v>
      </c>
      <c r="G709" s="5">
        <f>VALUE(SUBSTITUTE('1000_заявлений'!G703, ".", ","))</f>
        <v>-23570</v>
      </c>
      <c r="H709" s="5">
        <f>VALUE(SUBSTITUTE('1000_заявлений'!H703, ".", ","))</f>
        <v>-4047</v>
      </c>
      <c r="I709" s="4">
        <f>VALUE(SUBSTITUTE('1000_заявлений'!I703, ".", ","))</f>
        <v>0.13855000000000001</v>
      </c>
      <c r="J709" s="4">
        <f>VALUE(SUBSTITUTE('1000_заявлений'!J703, ".", ","))</f>
        <v>16.188849297297001</v>
      </c>
      <c r="K709" s="5">
        <f>VALUE(SUBSTITUTE('1000_заявлений'!K703, ".", ","))</f>
        <v>-9793</v>
      </c>
      <c r="L709" s="6">
        <f>VALUE(SUBSTITUTE('1000_заявлений'!L703, ".", ","))</f>
        <v>24939</v>
      </c>
      <c r="M709" s="2" t="str">
        <f>IF(Данные[[#This Row],[proba]]&gt;$C$6, "отказ", "одобрение")</f>
        <v>одобрение</v>
      </c>
      <c r="N709" s="7">
        <f>IF(Данные[[#This Row],[proba]]&lt;$D$2,$C$2,IF(Данные[[#This Row],[proba]]&lt;$D$3,$C$3,IF(Данные[[#This Row],[proba]]&gt;$C$6,0,$C$4)))</f>
        <v>300000</v>
      </c>
      <c r="O709" s="2">
        <f>IF(Данные[[#This Row],[weighted_ext_score]]&gt;$O$1,MIN(Данные[[#This Row],[Базовая сумма]]*$O$2,$C$2),IF(Данные[[#This Row],[weighted_ext_score]]&lt;$O$3,Данные[[#This Row],[Базовая сумма]]*$O$4,N709))</f>
        <v>300000</v>
      </c>
      <c r="P7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709" s="2">
        <f>ABS(Данные[[#This Row],[days_birth]])/365.2425</f>
        <v>64.532468154719126</v>
      </c>
      <c r="S7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709" s="2">
        <f>IF(Данные[[#This Row],[ interest_rate]]&gt;$T$1,Данные[[#This Row],[days_birth4]]*$T$2,Данные[[#This Row],[days_birth4]])</f>
        <v>453600</v>
      </c>
      <c r="U709" s="2">
        <f>IF(Данные[[#This Row],[Проверка отказа]]="отказ",0,MAX(Данные[[#This Row],[interest_rate]],$C$1))</f>
        <v>453600</v>
      </c>
      <c r="V709" s="2">
        <f>MROUND(Данные[[#This Row],[Минимум 20000]], 100)</f>
        <v>453600</v>
      </c>
    </row>
    <row r="710" spans="1:22" x14ac:dyDescent="0.25">
      <c r="A710" s="2">
        <f>'1000_заявлений'!A704</f>
        <v>702</v>
      </c>
      <c r="B710" s="4">
        <f>VALUE(SUBSTITUTE('1000_заявлений'!B704, ".", ","))</f>
        <v>0.57036667083403303</v>
      </c>
      <c r="C710" s="4">
        <f>VALUE(SUBSTITUTE('1000_заявлений'!C704, ".", ","))</f>
        <v>0.30121039473831102</v>
      </c>
      <c r="D710" s="4">
        <f>VALUE(SUBSTITUTE('1000_заявлений'!D704, ".", ","))</f>
        <v>0.74079907</v>
      </c>
      <c r="E710" s="4">
        <f>VALUE(SUBSTITUTE('1000_заявлений'!E704, ".", ","))</f>
        <v>0.10262394</v>
      </c>
      <c r="F710" s="5">
        <f>VALUE(SUBSTITUTE('1000_заявлений'!F704, ".", ","))</f>
        <v>-7204</v>
      </c>
      <c r="G710" s="5">
        <f>VALUE(SUBSTITUTE('1000_заявлений'!G704, ".", ","))</f>
        <v>-13155</v>
      </c>
      <c r="H710" s="5">
        <f>VALUE(SUBSTITUTE('1000_заявлений'!H704, ".", ","))</f>
        <v>-3962</v>
      </c>
      <c r="I710" s="4">
        <f>VALUE(SUBSTITUTE('1000_заявлений'!I704, ".", ","))</f>
        <v>0.24294285714285699</v>
      </c>
      <c r="J710" s="4">
        <f>VALUE(SUBSTITUTE('1000_заявлений'!J704, ".", ","))</f>
        <v>1.9599044997106601</v>
      </c>
      <c r="K710" s="5">
        <f>VALUE(SUBSTITUTE('1000_заявлений'!K704, ".", ","))</f>
        <v>-4863</v>
      </c>
      <c r="L710" s="6">
        <f>VALUE(SUBSTITUTE('1000_заявлений'!L704, ".", ","))</f>
        <v>38263.5</v>
      </c>
      <c r="M710" s="2" t="str">
        <f>IF(Данные[[#This Row],[proba]]&gt;$C$6, "отказ", "одобрение")</f>
        <v>отказ</v>
      </c>
      <c r="N710" s="7">
        <f>IF(Данные[[#This Row],[proba]]&lt;$D$2,$C$2,IF(Данные[[#This Row],[proba]]&lt;$D$3,$C$3,IF(Данные[[#This Row],[proba]]&gt;$C$6,0,$C$4)))</f>
        <v>0</v>
      </c>
      <c r="O710" s="2">
        <f>IF(Данные[[#This Row],[weighted_ext_score]]&gt;$O$1,MIN(Данные[[#This Row],[Базовая сумма]]*$O$2,$C$2),IF(Данные[[#This Row],[weighted_ext_score]]&lt;$O$3,Данные[[#This Row],[Базовая сумма]]*$O$4,N710))</f>
        <v>0</v>
      </c>
      <c r="P7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0" s="2">
        <f>ABS(Данные[[#This Row],[days_birth]])/365.2425</f>
        <v>36.017166676933819</v>
      </c>
      <c r="S7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0" s="2">
        <f>IF(Данные[[#This Row],[ interest_rate]]&gt;$T$1,Данные[[#This Row],[days_birth4]]*$T$2,Данные[[#This Row],[days_birth4]])</f>
        <v>0</v>
      </c>
      <c r="U710" s="2">
        <f>IF(Данные[[#This Row],[Проверка отказа]]="отказ",0,MAX(Данные[[#This Row],[interest_rate]],$C$1))</f>
        <v>0</v>
      </c>
      <c r="V710" s="2">
        <f>MROUND(Данные[[#This Row],[Минимум 20000]], 100)</f>
        <v>0</v>
      </c>
    </row>
    <row r="711" spans="1:22" x14ac:dyDescent="0.25">
      <c r="A711" s="2">
        <f>'1000_заявлений'!A705</f>
        <v>703</v>
      </c>
      <c r="B711" s="4">
        <f>VALUE(SUBSTITUTE('1000_заявлений'!B705, ".", ","))</f>
        <v>0.41331612020952602</v>
      </c>
      <c r="C711" s="4">
        <f>VALUE(SUBSTITUTE('1000_заявлений'!C705, ".", ","))</f>
        <v>0.38198159162287498</v>
      </c>
      <c r="D711" s="4">
        <f>VALUE(SUBSTITUTE('1000_заявлений'!D705, ".", ","))</f>
        <v>0.53527623000000002</v>
      </c>
      <c r="E711" s="4">
        <f>VALUE(SUBSTITUTE('1000_заявлений'!E705, ".", ","))</f>
        <v>0.66874750000000005</v>
      </c>
      <c r="F711" s="5">
        <f>VALUE(SUBSTITUTE('1000_заявлений'!F705, ".", ","))</f>
        <v>-103</v>
      </c>
      <c r="G711" s="5">
        <f>VALUE(SUBSTITUTE('1000_заявлений'!G705, ".", ","))</f>
        <v>-11946</v>
      </c>
      <c r="H711" s="5">
        <f>VALUE(SUBSTITUTE('1000_заявлений'!H705, ".", ","))</f>
        <v>-98</v>
      </c>
      <c r="I711" s="4">
        <f>VALUE(SUBSTITUTE('1000_заявлений'!I705, ".", ","))</f>
        <v>0.11498999999999999</v>
      </c>
      <c r="J711" s="4">
        <f>VALUE(SUBSTITUTE('1000_заявлений'!J705, ".", ","))</f>
        <v>2.3098223213537699</v>
      </c>
      <c r="K711" s="5">
        <f>VALUE(SUBSTITUTE('1000_заявлений'!K705, ".", ","))</f>
        <v>-2598</v>
      </c>
      <c r="L711" s="6">
        <f>VALUE(SUBSTITUTE('1000_заявлений'!L705, ".", ","))</f>
        <v>51745.5</v>
      </c>
      <c r="M711" s="2" t="str">
        <f>IF(Данные[[#This Row],[proba]]&gt;$C$6, "отказ", "одобрение")</f>
        <v>отказ</v>
      </c>
      <c r="N711" s="7">
        <f>IF(Данные[[#This Row],[proba]]&lt;$D$2,$C$2,IF(Данные[[#This Row],[proba]]&lt;$D$3,$C$3,IF(Данные[[#This Row],[proba]]&gt;$C$6,0,$C$4)))</f>
        <v>0</v>
      </c>
      <c r="O711" s="2">
        <f>IF(Данные[[#This Row],[weighted_ext_score]]&gt;$O$1,MIN(Данные[[#This Row],[Базовая сумма]]*$O$2,$C$2),IF(Данные[[#This Row],[weighted_ext_score]]&lt;$O$3,Данные[[#This Row],[Базовая сумма]]*$O$4,N711))</f>
        <v>0</v>
      </c>
      <c r="P7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1" s="2">
        <f>ABS(Данные[[#This Row],[days_birth]])/365.2425</f>
        <v>32.707037105484709</v>
      </c>
      <c r="S7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1" s="2">
        <f>IF(Данные[[#This Row],[ interest_rate]]&gt;$T$1,Данные[[#This Row],[days_birth4]]*$T$2,Данные[[#This Row],[days_birth4]])</f>
        <v>0</v>
      </c>
      <c r="U711" s="2">
        <f>IF(Данные[[#This Row],[Проверка отказа]]="отказ",0,MAX(Данные[[#This Row],[interest_rate]],$C$1))</f>
        <v>0</v>
      </c>
      <c r="V711" s="2">
        <f>MROUND(Данные[[#This Row],[Минимум 20000]], 100)</f>
        <v>0</v>
      </c>
    </row>
    <row r="712" spans="1:22" x14ac:dyDescent="0.25">
      <c r="A712" s="2">
        <f>'1000_заявлений'!A706</f>
        <v>704</v>
      </c>
      <c r="B712" s="4">
        <f>VALUE(SUBSTITUTE('1000_заявлений'!B706, ".", ","))</f>
        <v>0.77264989382499005</v>
      </c>
      <c r="C712" s="4">
        <f>VALUE(SUBSTITUTE('1000_заявлений'!C706, ".", ","))</f>
        <v>9.3662611415067404E-2</v>
      </c>
      <c r="D712" s="4">
        <f>VALUE(SUBSTITUTE('1000_заявлений'!D706, ".", ","))</f>
        <v>0.53527623000000002</v>
      </c>
      <c r="E712" s="4">
        <f>VALUE(SUBSTITUTE('1000_заявлений'!E706, ".", ","))</f>
        <v>5.1009733000000002E-2</v>
      </c>
      <c r="F712" s="5">
        <f>VALUE(SUBSTITUTE('1000_заявлений'!F706, ".", ","))</f>
        <v>-3035</v>
      </c>
      <c r="G712" s="5">
        <f>VALUE(SUBSTITUTE('1000_заявлений'!G706, ".", ","))</f>
        <v>-8152</v>
      </c>
      <c r="H712" s="5">
        <f>VALUE(SUBSTITUTE('1000_заявлений'!H706, ".", ","))</f>
        <v>-817</v>
      </c>
      <c r="I712" s="4">
        <f>VALUE(SUBSTITUTE('1000_заявлений'!I706, ".", ","))</f>
        <v>0.08</v>
      </c>
      <c r="J712" s="4">
        <f>VALUE(SUBSTITUTE('1000_заявлений'!J706, ".", ","))</f>
        <v>10.6209759779781</v>
      </c>
      <c r="K712" s="5">
        <f>VALUE(SUBSTITUTE('1000_заявлений'!K706, ".", ","))</f>
        <v>-655</v>
      </c>
      <c r="L712" s="6">
        <f>VALUE(SUBSTITUTE('1000_заявлений'!L706, ".", ","))</f>
        <v>9000</v>
      </c>
      <c r="M712" s="2" t="str">
        <f>IF(Данные[[#This Row],[proba]]&gt;$C$6, "отказ", "одобрение")</f>
        <v>отказ</v>
      </c>
      <c r="N712" s="7">
        <f>IF(Данные[[#This Row],[proba]]&lt;$D$2,$C$2,IF(Данные[[#This Row],[proba]]&lt;$D$3,$C$3,IF(Данные[[#This Row],[proba]]&gt;$C$6,0,$C$4)))</f>
        <v>0</v>
      </c>
      <c r="O712" s="2">
        <f>IF(Данные[[#This Row],[weighted_ext_score]]&gt;$O$1,MIN(Данные[[#This Row],[Базовая сумма]]*$O$2,$C$2),IF(Данные[[#This Row],[weighted_ext_score]]&lt;$O$3,Данные[[#This Row],[Базовая сумма]]*$O$4,N712))</f>
        <v>0</v>
      </c>
      <c r="P7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2" s="2">
        <f>ABS(Данные[[#This Row],[days_birth]])/365.2425</f>
        <v>22.319417920970313</v>
      </c>
      <c r="S7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2" s="2">
        <f>IF(Данные[[#This Row],[ interest_rate]]&gt;$T$1,Данные[[#This Row],[days_birth4]]*$T$2,Данные[[#This Row],[days_birth4]])</f>
        <v>0</v>
      </c>
      <c r="U712" s="2">
        <f>IF(Данные[[#This Row],[Проверка отказа]]="отказ",0,MAX(Данные[[#This Row],[interest_rate]],$C$1))</f>
        <v>0</v>
      </c>
      <c r="V712" s="2">
        <f>MROUND(Данные[[#This Row],[Минимум 20000]], 100)</f>
        <v>0</v>
      </c>
    </row>
    <row r="713" spans="1:22" x14ac:dyDescent="0.25">
      <c r="A713" s="2">
        <f>'1000_заявлений'!A707</f>
        <v>705</v>
      </c>
      <c r="B713" s="4">
        <f>VALUE(SUBSTITUTE('1000_заявлений'!B707, ".", ","))</f>
        <v>0.654966792388331</v>
      </c>
      <c r="C713" s="4">
        <f>VALUE(SUBSTITUTE('1000_заявлений'!C707, ".", ","))</f>
        <v>0.242487078789903</v>
      </c>
      <c r="D713" s="4">
        <f>VALUE(SUBSTITUTE('1000_заявлений'!D707, ".", ","))</f>
        <v>0.45789953999999999</v>
      </c>
      <c r="E713" s="4">
        <f>VALUE(SUBSTITUTE('1000_заявлений'!E707, ".", ","))</f>
        <v>0.23700996999999999</v>
      </c>
      <c r="F713" s="5">
        <f>VALUE(SUBSTITUTE('1000_заявлений'!F707, ".", ","))</f>
        <v>-9592</v>
      </c>
      <c r="G713" s="5">
        <f>VALUE(SUBSTITUTE('1000_заявлений'!G707, ".", ","))</f>
        <v>-12757</v>
      </c>
      <c r="H713" s="5">
        <f>VALUE(SUBSTITUTE('1000_заявлений'!H707, ".", ","))</f>
        <v>-4745</v>
      </c>
      <c r="I713" s="4">
        <f>VALUE(SUBSTITUTE('1000_заявлений'!I707, ".", ","))</f>
        <v>9.6346938775510205E-2</v>
      </c>
      <c r="J713" s="4">
        <f>VALUE(SUBSTITUTE('1000_заявлений'!J707, ".", ","))</f>
        <v>2.1938214425792899</v>
      </c>
      <c r="K713" s="5">
        <f>VALUE(SUBSTITUTE('1000_заявлений'!K707, ".", ","))</f>
        <v>-862</v>
      </c>
      <c r="L713" s="6">
        <f>VALUE(SUBSTITUTE('1000_заявлений'!L707, ".", ","))</f>
        <v>21244.5</v>
      </c>
      <c r="M713" s="2" t="str">
        <f>IF(Данные[[#This Row],[proba]]&gt;$C$6, "отказ", "одобрение")</f>
        <v>отказ</v>
      </c>
      <c r="N713" s="7">
        <f>IF(Данные[[#This Row],[proba]]&lt;$D$2,$C$2,IF(Данные[[#This Row],[proba]]&lt;$D$3,$C$3,IF(Данные[[#This Row],[proba]]&gt;$C$6,0,$C$4)))</f>
        <v>0</v>
      </c>
      <c r="O713" s="2">
        <f>IF(Данные[[#This Row],[weighted_ext_score]]&gt;$O$1,MIN(Данные[[#This Row],[Базовая сумма]]*$O$2,$C$2),IF(Данные[[#This Row],[weighted_ext_score]]&lt;$O$3,Данные[[#This Row],[Базовая сумма]]*$O$4,N713))</f>
        <v>0</v>
      </c>
      <c r="P7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3" s="2">
        <f>ABS(Данные[[#This Row],[days_birth]])/365.2425</f>
        <v>34.927479688152388</v>
      </c>
      <c r="S7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3" s="2">
        <f>IF(Данные[[#This Row],[ interest_rate]]&gt;$T$1,Данные[[#This Row],[days_birth4]]*$T$2,Данные[[#This Row],[days_birth4]])</f>
        <v>0</v>
      </c>
      <c r="U713" s="2">
        <f>IF(Данные[[#This Row],[Проверка отказа]]="отказ",0,MAX(Данные[[#This Row],[interest_rate]],$C$1))</f>
        <v>0</v>
      </c>
      <c r="V713" s="2">
        <f>MROUND(Данные[[#This Row],[Минимум 20000]], 100)</f>
        <v>0</v>
      </c>
    </row>
    <row r="714" spans="1:22" x14ac:dyDescent="0.25">
      <c r="A714" s="2">
        <f>'1000_заявлений'!A708</f>
        <v>706</v>
      </c>
      <c r="B714" s="4">
        <f>VALUE(SUBSTITUTE('1000_заявлений'!B708, ".", ","))</f>
        <v>0.49140702448456097</v>
      </c>
      <c r="C714" s="4">
        <f>VALUE(SUBSTITUTE('1000_заявлений'!C708, ".", ","))</f>
        <v>0.32963897774164802</v>
      </c>
      <c r="D714" s="4">
        <f>VALUE(SUBSTITUTE('1000_заявлений'!D708, ".", ","))</f>
        <v>0.78505199999999997</v>
      </c>
      <c r="E714" s="4">
        <f>VALUE(SUBSTITUTE('1000_заявлений'!E708, ".", ","))</f>
        <v>0.14092451</v>
      </c>
      <c r="F714" s="5">
        <f>VALUE(SUBSTITUTE('1000_заявлений'!F708, ".", ","))</f>
        <v>-8226</v>
      </c>
      <c r="G714" s="5">
        <f>VALUE(SUBSTITUTE('1000_заявлений'!G708, ".", ","))</f>
        <v>-19670</v>
      </c>
      <c r="H714" s="5">
        <f>VALUE(SUBSTITUTE('1000_заявлений'!H708, ".", ","))</f>
        <v>-3174</v>
      </c>
      <c r="I714" s="4">
        <f>VALUE(SUBSTITUTE('1000_заявлений'!I708, ".", ","))</f>
        <v>0.28000000000000003</v>
      </c>
      <c r="J714" s="4">
        <f>VALUE(SUBSTITUTE('1000_заявлений'!J708, ".", ","))</f>
        <v>1.7926354583625901</v>
      </c>
      <c r="K714" s="5">
        <f>VALUE(SUBSTITUTE('1000_заявлений'!K708, ".", ","))</f>
        <v>-1523</v>
      </c>
      <c r="L714" s="6">
        <f>VALUE(SUBSTITUTE('1000_заявлений'!L708, ".", ","))</f>
        <v>37800</v>
      </c>
      <c r="M714" s="2" t="str">
        <f>IF(Данные[[#This Row],[proba]]&gt;$C$6, "отказ", "одобрение")</f>
        <v>отказ</v>
      </c>
      <c r="N714" s="7">
        <f>IF(Данные[[#This Row],[proba]]&lt;$D$2,$C$2,IF(Данные[[#This Row],[proba]]&lt;$D$3,$C$3,IF(Данные[[#This Row],[proba]]&gt;$C$6,0,$C$4)))</f>
        <v>0</v>
      </c>
      <c r="O714" s="2">
        <f>IF(Данные[[#This Row],[weighted_ext_score]]&gt;$O$1,MIN(Данные[[#This Row],[Базовая сумма]]*$O$2,$C$2),IF(Данные[[#This Row],[weighted_ext_score]]&lt;$O$3,Данные[[#This Row],[Базовая сумма]]*$O$4,N714))</f>
        <v>0</v>
      </c>
      <c r="P7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4" s="2">
        <f>ABS(Данные[[#This Row],[days_birth]])/365.2425</f>
        <v>53.854630827463943</v>
      </c>
      <c r="S7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4" s="2">
        <f>IF(Данные[[#This Row],[ interest_rate]]&gt;$T$1,Данные[[#This Row],[days_birth4]]*$T$2,Данные[[#This Row],[days_birth4]])</f>
        <v>0</v>
      </c>
      <c r="U714" s="2">
        <f>IF(Данные[[#This Row],[Проверка отказа]]="отказ",0,MAX(Данные[[#This Row],[interest_rate]],$C$1))</f>
        <v>0</v>
      </c>
      <c r="V714" s="2">
        <f>MROUND(Данные[[#This Row],[Минимум 20000]], 100)</f>
        <v>0</v>
      </c>
    </row>
    <row r="715" spans="1:22" x14ac:dyDescent="0.25">
      <c r="A715" s="2">
        <f>'1000_заявлений'!A709</f>
        <v>707</v>
      </c>
      <c r="B715" s="4">
        <f>VALUE(SUBSTITUTE('1000_заявлений'!B709, ".", ","))</f>
        <v>0.53490460930946004</v>
      </c>
      <c r="C715" s="4">
        <f>VALUE(SUBSTITUTE('1000_заявлений'!C709, ".", ","))</f>
        <v>0.41141062537974199</v>
      </c>
      <c r="D715" s="4">
        <f>VALUE(SUBSTITUTE('1000_заявлений'!D709, ".", ","))</f>
        <v>0.28078957999999998</v>
      </c>
      <c r="E715" s="4">
        <f>VALUE(SUBSTITUTE('1000_заявлений'!E709, ".", ","))</f>
        <v>0.56394060000000001</v>
      </c>
      <c r="F715" s="5">
        <f>VALUE(SUBSTITUTE('1000_заявлений'!F709, ".", ","))</f>
        <v>-9020</v>
      </c>
      <c r="G715" s="5">
        <f>VALUE(SUBSTITUTE('1000_заявлений'!G709, ".", ","))</f>
        <v>-19967</v>
      </c>
      <c r="H715" s="5">
        <f>VALUE(SUBSTITUTE('1000_заявлений'!H709, ".", ","))</f>
        <v>-3434</v>
      </c>
      <c r="I715" s="4">
        <f>VALUE(SUBSTITUTE('1000_заявлений'!I709, ".", ","))</f>
        <v>0.23917142857142801</v>
      </c>
      <c r="J715" s="4">
        <f>VALUE(SUBSTITUTE('1000_заявлений'!J709, ".", ","))</f>
        <v>1.55636528603708</v>
      </c>
      <c r="K715" s="5">
        <f>VALUE(SUBSTITUTE('1000_заявлений'!K709, ".", ","))</f>
        <v>-2964</v>
      </c>
      <c r="L715" s="6">
        <f>VALUE(SUBSTITUTE('1000_заявлений'!L709, ".", ","))</f>
        <v>37669.5</v>
      </c>
      <c r="M715" s="2" t="str">
        <f>IF(Данные[[#This Row],[proba]]&gt;$C$6, "отказ", "одобрение")</f>
        <v>отказ</v>
      </c>
      <c r="N715" s="7">
        <f>IF(Данные[[#This Row],[proba]]&lt;$D$2,$C$2,IF(Данные[[#This Row],[proba]]&lt;$D$3,$C$3,IF(Данные[[#This Row],[proba]]&gt;$C$6,0,$C$4)))</f>
        <v>0</v>
      </c>
      <c r="O715" s="2">
        <f>IF(Данные[[#This Row],[weighted_ext_score]]&gt;$O$1,MIN(Данные[[#This Row],[Базовая сумма]]*$O$2,$C$2),IF(Данные[[#This Row],[weighted_ext_score]]&lt;$O$3,Данные[[#This Row],[Базовая сумма]]*$O$4,N715))</f>
        <v>0</v>
      </c>
      <c r="P7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5" s="2">
        <f>ABS(Данные[[#This Row],[days_birth]])/365.2425</f>
        <v>54.667789208539531</v>
      </c>
      <c r="S7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5" s="2">
        <f>IF(Данные[[#This Row],[ interest_rate]]&gt;$T$1,Данные[[#This Row],[days_birth4]]*$T$2,Данные[[#This Row],[days_birth4]])</f>
        <v>0</v>
      </c>
      <c r="U715" s="2">
        <f>IF(Данные[[#This Row],[Проверка отказа]]="отказ",0,MAX(Данные[[#This Row],[interest_rate]],$C$1))</f>
        <v>0</v>
      </c>
      <c r="V715" s="2">
        <f>MROUND(Данные[[#This Row],[Минимум 20000]], 100)</f>
        <v>0</v>
      </c>
    </row>
    <row r="716" spans="1:22" x14ac:dyDescent="0.25">
      <c r="A716" s="2">
        <f>'1000_заявлений'!A710</f>
        <v>708</v>
      </c>
      <c r="B716" s="4">
        <f>VALUE(SUBSTITUTE('1000_заявлений'!B710, ".", ","))</f>
        <v>0.31077824546791</v>
      </c>
      <c r="C716" s="4">
        <f>VALUE(SUBSTITUTE('1000_заявлений'!C710, ".", ","))</f>
        <v>0.453271599468486</v>
      </c>
      <c r="D716" s="4">
        <f>VALUE(SUBSTITUTE('1000_заявлений'!D710, ".", ","))</f>
        <v>0.76102639999999999</v>
      </c>
      <c r="E716" s="4">
        <f>VALUE(SUBSTITUTE('1000_заявлений'!E710, ".", ","))</f>
        <v>0.54885079999999997</v>
      </c>
      <c r="F716" s="5">
        <f>VALUE(SUBSTITUTE('1000_заявлений'!F710, ".", ","))</f>
        <v>-4802</v>
      </c>
      <c r="G716" s="5">
        <f>VALUE(SUBSTITUTE('1000_заявлений'!G710, ".", ","))</f>
        <v>-16645</v>
      </c>
      <c r="H716" s="5">
        <f>VALUE(SUBSTITUTE('1000_заявлений'!H710, ".", ","))</f>
        <v>-182</v>
      </c>
      <c r="I716" s="4">
        <f>VALUE(SUBSTITUTE('1000_заявлений'!I710, ".", ","))</f>
        <v>0.20275000000000001</v>
      </c>
      <c r="J716" s="4">
        <f>VALUE(SUBSTITUTE('1000_заявлений'!J710, ".", ","))</f>
        <v>0.54915441240441698</v>
      </c>
      <c r="K716" s="5">
        <f>VALUE(SUBSTITUTE('1000_заявлений'!K710, ".", ","))</f>
        <v>-1721</v>
      </c>
      <c r="L716" s="6">
        <f>VALUE(SUBSTITUTE('1000_заявлений'!L710, ".", ","))</f>
        <v>47443.5</v>
      </c>
      <c r="M716" s="2" t="str">
        <f>IF(Данные[[#This Row],[proba]]&gt;$C$6, "отказ", "одобрение")</f>
        <v>отказ</v>
      </c>
      <c r="N716" s="7">
        <f>IF(Данные[[#This Row],[proba]]&lt;$D$2,$C$2,IF(Данные[[#This Row],[proba]]&lt;$D$3,$C$3,IF(Данные[[#This Row],[proba]]&gt;$C$6,0,$C$4)))</f>
        <v>0</v>
      </c>
      <c r="O716" s="2">
        <f>IF(Данные[[#This Row],[weighted_ext_score]]&gt;$O$1,MIN(Данные[[#This Row],[Базовая сумма]]*$O$2,$C$2),IF(Данные[[#This Row],[weighted_ext_score]]&lt;$O$3,Данные[[#This Row],[Базовая сумма]]*$O$4,N716))</f>
        <v>0</v>
      </c>
      <c r="P7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6" s="2">
        <f>ABS(Данные[[#This Row],[days_birth]])/365.2425</f>
        <v>45.572462131323711</v>
      </c>
      <c r="S7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6" s="2">
        <f>IF(Данные[[#This Row],[ interest_rate]]&gt;$T$1,Данные[[#This Row],[days_birth4]]*$T$2,Данные[[#This Row],[days_birth4]])</f>
        <v>0</v>
      </c>
      <c r="U716" s="2">
        <f>IF(Данные[[#This Row],[Проверка отказа]]="отказ",0,MAX(Данные[[#This Row],[interest_rate]],$C$1))</f>
        <v>0</v>
      </c>
      <c r="V716" s="2">
        <f>MROUND(Данные[[#This Row],[Минимум 20000]], 100)</f>
        <v>0</v>
      </c>
    </row>
    <row r="717" spans="1:22" x14ac:dyDescent="0.25">
      <c r="A717" s="2">
        <f>'1000_заявлений'!A711</f>
        <v>709</v>
      </c>
      <c r="B717" s="4">
        <f>VALUE(SUBSTITUTE('1000_заявлений'!B711, ".", ","))</f>
        <v>0.69946397916805303</v>
      </c>
      <c r="C717" s="4">
        <f>VALUE(SUBSTITUTE('1000_заявлений'!C711, ".", ","))</f>
        <v>0.17986046100905401</v>
      </c>
      <c r="D717" s="4">
        <f>VALUE(SUBSTITUTE('1000_заявлений'!D711, ".", ","))</f>
        <v>0.35895124</v>
      </c>
      <c r="E717" s="4">
        <f>VALUE(SUBSTITUTE('1000_заявлений'!E711, ".", ","))</f>
        <v>0.15426541999999999</v>
      </c>
      <c r="F717" s="5">
        <f>VALUE(SUBSTITUTE('1000_заявлений'!F711, ".", ","))</f>
        <v>-9569</v>
      </c>
      <c r="G717" s="5">
        <f>VALUE(SUBSTITUTE('1000_заявлений'!G711, ".", ","))</f>
        <v>-23193</v>
      </c>
      <c r="H717" s="5">
        <f>VALUE(SUBSTITUTE('1000_заявлений'!H711, ".", ","))</f>
        <v>-4723</v>
      </c>
      <c r="I717" s="4">
        <f>VALUE(SUBSTITUTE('1000_заявлений'!I711, ".", ","))</f>
        <v>0.26719999999999999</v>
      </c>
      <c r="J717" s="4">
        <f>VALUE(SUBSTITUTE('1000_заявлений'!J711, ".", ","))</f>
        <v>1.7530391856589</v>
      </c>
      <c r="K717" s="5">
        <f>VALUE(SUBSTITUTE('1000_заявлений'!K711, ".", ","))</f>
        <v>365243</v>
      </c>
      <c r="L717" s="6">
        <f>VALUE(SUBSTITUTE('1000_заявлений'!L711, ".", ","))</f>
        <v>30060</v>
      </c>
      <c r="M717" s="2" t="str">
        <f>IF(Данные[[#This Row],[proba]]&gt;$C$6, "отказ", "одобрение")</f>
        <v>отказ</v>
      </c>
      <c r="N717" s="7">
        <f>IF(Данные[[#This Row],[proba]]&lt;$D$2,$C$2,IF(Данные[[#This Row],[proba]]&lt;$D$3,$C$3,IF(Данные[[#This Row],[proba]]&gt;$C$6,0,$C$4)))</f>
        <v>0</v>
      </c>
      <c r="O717" s="2">
        <f>IF(Данные[[#This Row],[weighted_ext_score]]&gt;$O$1,MIN(Данные[[#This Row],[Базовая сумма]]*$O$2,$C$2),IF(Данные[[#This Row],[weighted_ext_score]]&lt;$O$3,Данные[[#This Row],[Базовая сумма]]*$O$4,N717))</f>
        <v>0</v>
      </c>
      <c r="P7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7" s="2">
        <f>ABS(Данные[[#This Row],[days_birth]])/365.2425</f>
        <v>63.500277213084459</v>
      </c>
      <c r="S7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7" s="2">
        <f>IF(Данные[[#This Row],[ interest_rate]]&gt;$T$1,Данные[[#This Row],[days_birth4]]*$T$2,Данные[[#This Row],[days_birth4]])</f>
        <v>0</v>
      </c>
      <c r="U717" s="2">
        <f>IF(Данные[[#This Row],[Проверка отказа]]="отказ",0,MAX(Данные[[#This Row],[interest_rate]],$C$1))</f>
        <v>0</v>
      </c>
      <c r="V717" s="2">
        <f>MROUND(Данные[[#This Row],[Минимум 20000]], 100)</f>
        <v>0</v>
      </c>
    </row>
    <row r="718" spans="1:22" x14ac:dyDescent="0.25">
      <c r="A718" s="2">
        <f>'1000_заявлений'!A712</f>
        <v>710</v>
      </c>
      <c r="B718" s="4">
        <f>VALUE(SUBSTITUTE('1000_заявлений'!B712, ".", ","))</f>
        <v>0.200705332769814</v>
      </c>
      <c r="C718" s="4">
        <f>VALUE(SUBSTITUTE('1000_заявлений'!C712, ".", ","))</f>
        <v>0.51092161944028003</v>
      </c>
      <c r="D718" s="4">
        <f>VALUE(SUBSTITUTE('1000_заявлений'!D712, ".", ","))</f>
        <v>0.6986675</v>
      </c>
      <c r="E718" s="4">
        <f>VALUE(SUBSTITUTE('1000_заявлений'!E712, ".", ","))</f>
        <v>0.79610360000000002</v>
      </c>
      <c r="F718" s="5">
        <f>VALUE(SUBSTITUTE('1000_заявлений'!F712, ".", ","))</f>
        <v>-5209</v>
      </c>
      <c r="G718" s="5">
        <f>VALUE(SUBSTITUTE('1000_заявлений'!G712, ".", ","))</f>
        <v>-11245</v>
      </c>
      <c r="H718" s="5">
        <f>VALUE(SUBSTITUTE('1000_заявлений'!H712, ".", ","))</f>
        <v>-3659</v>
      </c>
      <c r="I718" s="4">
        <f>VALUE(SUBSTITUTE('1000_заявлений'!I712, ".", ","))</f>
        <v>0.15</v>
      </c>
      <c r="J718" s="4">
        <f>VALUE(SUBSTITUTE('1000_заявлений'!J712, ".", ","))</f>
        <v>10.6209759779781</v>
      </c>
      <c r="K718" s="5">
        <f>VALUE(SUBSTITUTE('1000_заявлений'!K712, ".", ","))</f>
        <v>-1853</v>
      </c>
      <c r="L718" s="6">
        <f>VALUE(SUBSTITUTE('1000_заявлений'!L712, ".", ","))</f>
        <v>20250</v>
      </c>
      <c r="M718" s="2" t="str">
        <f>IF(Данные[[#This Row],[proba]]&gt;$C$6, "отказ", "одобрение")</f>
        <v>одобрение</v>
      </c>
      <c r="N718" s="7">
        <f>IF(Данные[[#This Row],[proba]]&lt;$D$2,$C$2,IF(Данные[[#This Row],[proba]]&lt;$D$3,$C$3,IF(Данные[[#This Row],[proba]]&gt;$C$6,0,$C$4)))</f>
        <v>100000</v>
      </c>
      <c r="O718" s="2">
        <f>IF(Данные[[#This Row],[weighted_ext_score]]&gt;$O$1,MIN(Данные[[#This Row],[Базовая сумма]]*$O$2,$C$2),IF(Данные[[#This Row],[weighted_ext_score]]&lt;$O$3,Данные[[#This Row],[Базовая сумма]]*$O$4,N718))</f>
        <v>100000</v>
      </c>
      <c r="P7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718" s="2">
        <f>ABS(Данные[[#This Row],[days_birth]])/365.2425</f>
        <v>30.787764293585766</v>
      </c>
      <c r="S7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718" s="2">
        <f>IF(Данные[[#This Row],[ interest_rate]]&gt;$T$1,Данные[[#This Row],[days_birth4]]*$T$2,Данные[[#This Row],[days_birth4]])</f>
        <v>84000</v>
      </c>
      <c r="U718" s="2">
        <f>IF(Данные[[#This Row],[Проверка отказа]]="отказ",0,MAX(Данные[[#This Row],[interest_rate]],$C$1))</f>
        <v>84000</v>
      </c>
      <c r="V718" s="2">
        <f>MROUND(Данные[[#This Row],[Минимум 20000]], 100)</f>
        <v>84000</v>
      </c>
    </row>
    <row r="719" spans="1:22" x14ac:dyDescent="0.25">
      <c r="A719" s="2">
        <f>'1000_заявлений'!A713</f>
        <v>711</v>
      </c>
      <c r="B719" s="4">
        <f>VALUE(SUBSTITUTE('1000_заявлений'!B713, ".", ","))</f>
        <v>0.63631064465785103</v>
      </c>
      <c r="C719" s="4">
        <f>VALUE(SUBSTITUTE('1000_заявлений'!C713, ".", ","))</f>
        <v>0.35548437168816999</v>
      </c>
      <c r="D719" s="4">
        <f>VALUE(SUBSTITUTE('1000_заявлений'!D713, ".", ","))</f>
        <v>0.42765736999999998</v>
      </c>
      <c r="E719" s="4">
        <f>VALUE(SUBSTITUTE('1000_заявлений'!E713, ".", ","))</f>
        <v>0.45182445999999998</v>
      </c>
      <c r="F719" s="5">
        <f>VALUE(SUBSTITUTE('1000_заявлений'!F713, ".", ","))</f>
        <v>-4000</v>
      </c>
      <c r="G719" s="5">
        <f>VALUE(SUBSTITUTE('1000_заявлений'!G713, ".", ","))</f>
        <v>-9282</v>
      </c>
      <c r="H719" s="5">
        <f>VALUE(SUBSTITUTE('1000_заявлений'!H713, ".", ","))</f>
        <v>-1958</v>
      </c>
      <c r="I719" s="4">
        <f>VALUE(SUBSTITUTE('1000_заявлений'!I713, ".", ","))</f>
        <v>0.27847619047618999</v>
      </c>
      <c r="J719" s="4">
        <f>VALUE(SUBSTITUTE('1000_заявлений'!J713, ".", ","))</f>
        <v>1.55972200073934</v>
      </c>
      <c r="K719" s="5">
        <f>VALUE(SUBSTITUTE('1000_заявлений'!K713, ".", ","))</f>
        <v>-205</v>
      </c>
      <c r="L719" s="6">
        <f>VALUE(SUBSTITUTE('1000_заявлений'!L713, ".", ","))</f>
        <v>26316</v>
      </c>
      <c r="M719" s="2" t="str">
        <f>IF(Данные[[#This Row],[proba]]&gt;$C$6, "отказ", "одобрение")</f>
        <v>отказ</v>
      </c>
      <c r="N719" s="7">
        <f>IF(Данные[[#This Row],[proba]]&lt;$D$2,$C$2,IF(Данные[[#This Row],[proba]]&lt;$D$3,$C$3,IF(Данные[[#This Row],[proba]]&gt;$C$6,0,$C$4)))</f>
        <v>0</v>
      </c>
      <c r="O719" s="2">
        <f>IF(Данные[[#This Row],[weighted_ext_score]]&gt;$O$1,MIN(Данные[[#This Row],[Базовая сумма]]*$O$2,$C$2),IF(Данные[[#This Row],[weighted_ext_score]]&lt;$O$3,Данные[[#This Row],[Базовая сумма]]*$O$4,N719))</f>
        <v>0</v>
      </c>
      <c r="P7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19" s="2">
        <f>ABS(Данные[[#This Row],[days_birth]])/365.2425</f>
        <v>25.413252838867326</v>
      </c>
      <c r="S7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19" s="2">
        <f>IF(Данные[[#This Row],[ interest_rate]]&gt;$T$1,Данные[[#This Row],[days_birth4]]*$T$2,Данные[[#This Row],[days_birth4]])</f>
        <v>0</v>
      </c>
      <c r="U719" s="2">
        <f>IF(Данные[[#This Row],[Проверка отказа]]="отказ",0,MAX(Данные[[#This Row],[interest_rate]],$C$1))</f>
        <v>0</v>
      </c>
      <c r="V719" s="2">
        <f>MROUND(Данные[[#This Row],[Минимум 20000]], 100)</f>
        <v>0</v>
      </c>
    </row>
    <row r="720" spans="1:22" x14ac:dyDescent="0.25">
      <c r="A720" s="2">
        <f>'1000_заявлений'!A714</f>
        <v>712</v>
      </c>
      <c r="B720" s="4">
        <f>VALUE(SUBSTITUTE('1000_заявлений'!B714, ".", ","))</f>
        <v>0.41539352805027702</v>
      </c>
      <c r="C720" s="4">
        <f>VALUE(SUBSTITUTE('1000_заявлений'!C714, ".", ","))</f>
        <v>0.34975730492477503</v>
      </c>
      <c r="D720" s="4">
        <f>VALUE(SUBSTITUTE('1000_заявлений'!D714, ".", ","))</f>
        <v>0.30010775000000001</v>
      </c>
      <c r="E720" s="4">
        <f>VALUE(SUBSTITUTE('1000_заявлений'!E714, ".", ","))</f>
        <v>0.74363699999999999</v>
      </c>
      <c r="F720" s="5">
        <f>VALUE(SUBSTITUTE('1000_заявлений'!F714, ".", ","))</f>
        <v>-5472</v>
      </c>
      <c r="G720" s="5">
        <f>VALUE(SUBSTITUTE('1000_заявлений'!G714, ".", ","))</f>
        <v>-21517</v>
      </c>
      <c r="H720" s="5">
        <f>VALUE(SUBSTITUTE('1000_заявлений'!H714, ".", ","))</f>
        <v>-2395</v>
      </c>
      <c r="I720" s="4">
        <f>VALUE(SUBSTITUTE('1000_заявлений'!I714, ".", ","))</f>
        <v>0.1125</v>
      </c>
      <c r="J720" s="4">
        <f>VALUE(SUBSTITUTE('1000_заявлений'!J714, ".", ","))</f>
        <v>2.1181403334651701</v>
      </c>
      <c r="K720" s="5">
        <f>VALUE(SUBSTITUTE('1000_заявлений'!K714, ".", ","))</f>
        <v>365243</v>
      </c>
      <c r="L720" s="6">
        <f>VALUE(SUBSTITUTE('1000_заявлений'!L714, ".", ","))</f>
        <v>16200</v>
      </c>
      <c r="M720" s="2" t="str">
        <f>IF(Данные[[#This Row],[proba]]&gt;$C$6, "отказ", "одобрение")</f>
        <v>отказ</v>
      </c>
      <c r="N720" s="7">
        <f>IF(Данные[[#This Row],[proba]]&lt;$D$2,$C$2,IF(Данные[[#This Row],[proba]]&lt;$D$3,$C$3,IF(Данные[[#This Row],[proba]]&gt;$C$6,0,$C$4)))</f>
        <v>0</v>
      </c>
      <c r="O720" s="2">
        <f>IF(Данные[[#This Row],[weighted_ext_score]]&gt;$O$1,MIN(Данные[[#This Row],[Базовая сумма]]*$O$2,$C$2),IF(Данные[[#This Row],[weighted_ext_score]]&lt;$O$3,Данные[[#This Row],[Базовая сумма]]*$O$4,N720))</f>
        <v>0</v>
      </c>
      <c r="P7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0" s="2">
        <f>ABS(Данные[[#This Row],[days_birth]])/365.2425</f>
        <v>58.911545069371719</v>
      </c>
      <c r="S7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0" s="2">
        <f>IF(Данные[[#This Row],[ interest_rate]]&gt;$T$1,Данные[[#This Row],[days_birth4]]*$T$2,Данные[[#This Row],[days_birth4]])</f>
        <v>0</v>
      </c>
      <c r="U720" s="2">
        <f>IF(Данные[[#This Row],[Проверка отказа]]="отказ",0,MAX(Данные[[#This Row],[interest_rate]],$C$1))</f>
        <v>0</v>
      </c>
      <c r="V720" s="2">
        <f>MROUND(Данные[[#This Row],[Минимум 20000]], 100)</f>
        <v>0</v>
      </c>
    </row>
    <row r="721" spans="1:22" x14ac:dyDescent="0.25">
      <c r="A721" s="2">
        <f>'1000_заявлений'!A715</f>
        <v>713</v>
      </c>
      <c r="B721" s="4">
        <f>VALUE(SUBSTITUTE('1000_заявлений'!B715, ".", ","))</f>
        <v>0.65738109166667003</v>
      </c>
      <c r="C721" s="4">
        <f>VALUE(SUBSTITUTE('1000_заявлений'!C715, ".", ","))</f>
        <v>0.26083240192784801</v>
      </c>
      <c r="D721" s="4">
        <f>VALUE(SUBSTITUTE('1000_заявлений'!D715, ".", ","))</f>
        <v>0.43650650000000002</v>
      </c>
      <c r="E721" s="4">
        <f>VALUE(SUBSTITUTE('1000_заявлений'!E715, ".", ","))</f>
        <v>0.31741783000000001</v>
      </c>
      <c r="F721" s="5">
        <f>VALUE(SUBSTITUTE('1000_заявлений'!F715, ".", ","))</f>
        <v>-6416</v>
      </c>
      <c r="G721" s="5">
        <f>VALUE(SUBSTITUTE('1000_заявлений'!G715, ".", ","))</f>
        <v>-16420</v>
      </c>
      <c r="H721" s="5">
        <f>VALUE(SUBSTITUTE('1000_заявлений'!H715, ".", ","))</f>
        <v>-4278</v>
      </c>
      <c r="I721" s="4">
        <f>VALUE(SUBSTITUTE('1000_заявлений'!I715, ".", ","))</f>
        <v>0.25655</v>
      </c>
      <c r="J721" s="4">
        <f>VALUE(SUBSTITUTE('1000_заявлений'!J715, ".", ","))</f>
        <v>1.88126997763014</v>
      </c>
      <c r="K721" s="5">
        <f>VALUE(SUBSTITUTE('1000_заявлений'!K715, ".", ","))</f>
        <v>-1066</v>
      </c>
      <c r="L721" s="6">
        <f>VALUE(SUBSTITUTE('1000_заявлений'!L715, ".", ","))</f>
        <v>23089.5</v>
      </c>
      <c r="M721" s="2" t="str">
        <f>IF(Данные[[#This Row],[proba]]&gt;$C$6, "отказ", "одобрение")</f>
        <v>отказ</v>
      </c>
      <c r="N721" s="7">
        <f>IF(Данные[[#This Row],[proba]]&lt;$D$2,$C$2,IF(Данные[[#This Row],[proba]]&lt;$D$3,$C$3,IF(Данные[[#This Row],[proba]]&gt;$C$6,0,$C$4)))</f>
        <v>0</v>
      </c>
      <c r="O721" s="2">
        <f>IF(Данные[[#This Row],[weighted_ext_score]]&gt;$O$1,MIN(Данные[[#This Row],[Базовая сумма]]*$O$2,$C$2),IF(Данные[[#This Row],[weighted_ext_score]]&lt;$O$3,Данные[[#This Row],[Базовая сумма]]*$O$4,N721))</f>
        <v>0</v>
      </c>
      <c r="P7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1" s="2">
        <f>ABS(Данные[[#This Row],[days_birth]])/365.2425</f>
        <v>44.956433054751294</v>
      </c>
      <c r="S7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1" s="2">
        <f>IF(Данные[[#This Row],[ interest_rate]]&gt;$T$1,Данные[[#This Row],[days_birth4]]*$T$2,Данные[[#This Row],[days_birth4]])</f>
        <v>0</v>
      </c>
      <c r="U721" s="2">
        <f>IF(Данные[[#This Row],[Проверка отказа]]="отказ",0,MAX(Данные[[#This Row],[interest_rate]],$C$1))</f>
        <v>0</v>
      </c>
      <c r="V721" s="2">
        <f>MROUND(Данные[[#This Row],[Минимум 20000]], 100)</f>
        <v>0</v>
      </c>
    </row>
    <row r="722" spans="1:22" x14ac:dyDescent="0.25">
      <c r="A722" s="2">
        <f>'1000_заявлений'!A716</f>
        <v>714</v>
      </c>
      <c r="B722" s="4">
        <f>VALUE(SUBSTITUTE('1000_заявлений'!B716, ".", ","))</f>
        <v>0.50432955925390199</v>
      </c>
      <c r="C722" s="4">
        <f>VALUE(SUBSTITUTE('1000_заявлений'!C716, ".", ","))</f>
        <v>0.426850898028315</v>
      </c>
      <c r="D722" s="4">
        <f>VALUE(SUBSTITUTE('1000_заявлений'!D716, ".", ","))</f>
        <v>0.67065173</v>
      </c>
      <c r="E722" s="4">
        <f>VALUE(SUBSTITUTE('1000_заявлений'!E716, ".", ","))</f>
        <v>0.14798786</v>
      </c>
      <c r="F722" s="5">
        <f>VALUE(SUBSTITUTE('1000_заявлений'!F716, ".", ","))</f>
        <v>-653</v>
      </c>
      <c r="G722" s="5">
        <f>VALUE(SUBSTITUTE('1000_заявлений'!G716, ".", ","))</f>
        <v>-12288</v>
      </c>
      <c r="H722" s="5">
        <f>VALUE(SUBSTITUTE('1000_заявлений'!H716, ".", ","))</f>
        <v>-4019</v>
      </c>
      <c r="I722" s="4">
        <f>VALUE(SUBSTITUTE('1000_заявлений'!I716, ".", ","))</f>
        <v>0.185</v>
      </c>
      <c r="J722" s="4">
        <f>VALUE(SUBSTITUTE('1000_заявлений'!J716, ".", ","))</f>
        <v>7.9620143797618903</v>
      </c>
      <c r="K722" s="5">
        <f>VALUE(SUBSTITUTE('1000_заявлений'!K716, ".", ","))</f>
        <v>-3775</v>
      </c>
      <c r="L722" s="6">
        <f>VALUE(SUBSTITUTE('1000_заявлений'!L716, ".", ","))</f>
        <v>26640</v>
      </c>
      <c r="M722" s="2" t="str">
        <f>IF(Данные[[#This Row],[proba]]&gt;$C$6, "отказ", "одобрение")</f>
        <v>отказ</v>
      </c>
      <c r="N722" s="7">
        <f>IF(Данные[[#This Row],[proba]]&lt;$D$2,$C$2,IF(Данные[[#This Row],[proba]]&lt;$D$3,$C$3,IF(Данные[[#This Row],[proba]]&gt;$C$6,0,$C$4)))</f>
        <v>0</v>
      </c>
      <c r="O722" s="2">
        <f>IF(Данные[[#This Row],[weighted_ext_score]]&gt;$O$1,MIN(Данные[[#This Row],[Базовая сумма]]*$O$2,$C$2),IF(Данные[[#This Row],[weighted_ext_score]]&lt;$O$3,Данные[[#This Row],[Базовая сумма]]*$O$4,N722))</f>
        <v>0</v>
      </c>
      <c r="P7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2" s="2">
        <f>ABS(Данные[[#This Row],[days_birth]])/365.2425</f>
        <v>33.643401301874782</v>
      </c>
      <c r="S7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2" s="2">
        <f>IF(Данные[[#This Row],[ interest_rate]]&gt;$T$1,Данные[[#This Row],[days_birth4]]*$T$2,Данные[[#This Row],[days_birth4]])</f>
        <v>0</v>
      </c>
      <c r="U722" s="2">
        <f>IF(Данные[[#This Row],[Проверка отказа]]="отказ",0,MAX(Данные[[#This Row],[interest_rate]],$C$1))</f>
        <v>0</v>
      </c>
      <c r="V722" s="2">
        <f>MROUND(Данные[[#This Row],[Минимум 20000]], 100)</f>
        <v>0</v>
      </c>
    </row>
    <row r="723" spans="1:22" x14ac:dyDescent="0.25">
      <c r="A723" s="2">
        <f>'1000_заявлений'!A717</f>
        <v>715</v>
      </c>
      <c r="B723" s="4">
        <f>VALUE(SUBSTITUTE('1000_заявлений'!B717, ".", ","))</f>
        <v>0.41497232401795697</v>
      </c>
      <c r="C723" s="4">
        <f>VALUE(SUBSTITUTE('1000_заявлений'!C717, ".", ","))</f>
        <v>0.44404385434433902</v>
      </c>
      <c r="D723" s="4">
        <f>VALUE(SUBSTITUTE('1000_заявлений'!D717, ".", ","))</f>
        <v>0.35563869999999997</v>
      </c>
      <c r="E723" s="4">
        <f>VALUE(SUBSTITUTE('1000_заявлений'!E717, ".", ","))</f>
        <v>0.60908839999999997</v>
      </c>
      <c r="F723" s="5">
        <f>VALUE(SUBSTITUTE('1000_заявлений'!F717, ".", ","))</f>
        <v>-6184</v>
      </c>
      <c r="G723" s="5">
        <f>VALUE(SUBSTITUTE('1000_заявлений'!G717, ".", ","))</f>
        <v>-13607</v>
      </c>
      <c r="H723" s="5">
        <f>VALUE(SUBSTITUTE('1000_заявлений'!H717, ".", ","))</f>
        <v>-3296</v>
      </c>
      <c r="I723" s="4">
        <f>VALUE(SUBSTITUTE('1000_заявлений'!I717, ".", ","))</f>
        <v>2.5000000000000001E-2</v>
      </c>
      <c r="J723" s="4">
        <f>VALUE(SUBSTITUTE('1000_заявлений'!J717, ".", ","))</f>
        <v>10.6209759779781</v>
      </c>
      <c r="K723" s="5">
        <f>VALUE(SUBSTITUTE('1000_заявлений'!K717, ".", ","))</f>
        <v>-4518</v>
      </c>
      <c r="L723" s="6">
        <f>VALUE(SUBSTITUTE('1000_заявлений'!L717, ".", ","))</f>
        <v>11250</v>
      </c>
      <c r="M723" s="2" t="str">
        <f>IF(Данные[[#This Row],[proba]]&gt;$C$6, "отказ", "одобрение")</f>
        <v>отказ</v>
      </c>
      <c r="N723" s="7">
        <f>IF(Данные[[#This Row],[proba]]&lt;$D$2,$C$2,IF(Данные[[#This Row],[proba]]&lt;$D$3,$C$3,IF(Данные[[#This Row],[proba]]&gt;$C$6,0,$C$4)))</f>
        <v>0</v>
      </c>
      <c r="O723" s="2">
        <f>IF(Данные[[#This Row],[weighted_ext_score]]&gt;$O$1,MIN(Данные[[#This Row],[Базовая сумма]]*$O$2,$C$2),IF(Данные[[#This Row],[weighted_ext_score]]&lt;$O$3,Данные[[#This Row],[Базовая сумма]]*$O$4,N723))</f>
        <v>0</v>
      </c>
      <c r="P7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3" s="2">
        <f>ABS(Данные[[#This Row],[days_birth]])/365.2425</f>
        <v>37.254700644092622</v>
      </c>
      <c r="S7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3" s="2">
        <f>IF(Данные[[#This Row],[ interest_rate]]&gt;$T$1,Данные[[#This Row],[days_birth4]]*$T$2,Данные[[#This Row],[days_birth4]])</f>
        <v>0</v>
      </c>
      <c r="U723" s="2">
        <f>IF(Данные[[#This Row],[Проверка отказа]]="отказ",0,MAX(Данные[[#This Row],[interest_rate]],$C$1))</f>
        <v>0</v>
      </c>
      <c r="V723" s="2">
        <f>MROUND(Данные[[#This Row],[Минимум 20000]], 100)</f>
        <v>0</v>
      </c>
    </row>
    <row r="724" spans="1:22" x14ac:dyDescent="0.25">
      <c r="A724" s="2">
        <f>'1000_заявлений'!A718</f>
        <v>716</v>
      </c>
      <c r="B724" s="4">
        <f>VALUE(SUBSTITUTE('1000_заявлений'!B718, ".", ","))</f>
        <v>0.42468791291234398</v>
      </c>
      <c r="C724" s="4">
        <f>VALUE(SUBSTITUTE('1000_заявлений'!C718, ".", ","))</f>
        <v>0.52798213480692102</v>
      </c>
      <c r="D724" s="4">
        <f>VALUE(SUBSTITUTE('1000_заявлений'!D718, ".", ","))</f>
        <v>0.3217353</v>
      </c>
      <c r="E724" s="4">
        <f>VALUE(SUBSTITUTE('1000_заявлений'!E718, ".", ","))</f>
        <v>0.56590235</v>
      </c>
      <c r="F724" s="5">
        <f>VALUE(SUBSTITUTE('1000_заявлений'!F718, ".", ","))</f>
        <v>-1710</v>
      </c>
      <c r="G724" s="5">
        <f>VALUE(SUBSTITUTE('1000_заявлений'!G718, ".", ","))</f>
        <v>-20803</v>
      </c>
      <c r="H724" s="5">
        <f>VALUE(SUBSTITUTE('1000_заявлений'!H718, ".", ","))</f>
        <v>-156</v>
      </c>
      <c r="I724" s="4">
        <f>VALUE(SUBSTITUTE('1000_заявлений'!I718, ".", ","))</f>
        <v>0.166457142857142</v>
      </c>
      <c r="J724" s="4">
        <f>VALUE(SUBSTITUTE('1000_заявлений'!J718, ".", ","))</f>
        <v>2.7268436150310298</v>
      </c>
      <c r="K724" s="5">
        <f>VALUE(SUBSTITUTE('1000_заявлений'!K718, ".", ","))</f>
        <v>365243</v>
      </c>
      <c r="L724" s="6">
        <f>VALUE(SUBSTITUTE('1000_заявлений'!L718, ".", ","))</f>
        <v>26217</v>
      </c>
      <c r="M724" s="2" t="str">
        <f>IF(Данные[[#This Row],[proba]]&gt;$C$6, "отказ", "одобрение")</f>
        <v>отказ</v>
      </c>
      <c r="N724" s="7">
        <f>IF(Данные[[#This Row],[proba]]&lt;$D$2,$C$2,IF(Данные[[#This Row],[proba]]&lt;$D$3,$C$3,IF(Данные[[#This Row],[proba]]&gt;$C$6,0,$C$4)))</f>
        <v>0</v>
      </c>
      <c r="O724" s="2">
        <f>IF(Данные[[#This Row],[weighted_ext_score]]&gt;$O$1,MIN(Данные[[#This Row],[Базовая сумма]]*$O$2,$C$2),IF(Данные[[#This Row],[weighted_ext_score]]&lt;$O$3,Данные[[#This Row],[Базовая сумма]]*$O$4,N724))</f>
        <v>0</v>
      </c>
      <c r="P7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4" s="2">
        <f>ABS(Данные[[#This Row],[days_birth]])/365.2425</f>
        <v>56.956679466381921</v>
      </c>
      <c r="S7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4" s="2">
        <f>IF(Данные[[#This Row],[ interest_rate]]&gt;$T$1,Данные[[#This Row],[days_birth4]]*$T$2,Данные[[#This Row],[days_birth4]])</f>
        <v>0</v>
      </c>
      <c r="U724" s="2">
        <f>IF(Данные[[#This Row],[Проверка отказа]]="отказ",0,MAX(Данные[[#This Row],[interest_rate]],$C$1))</f>
        <v>0</v>
      </c>
      <c r="V724" s="2">
        <f>MROUND(Данные[[#This Row],[Минимум 20000]], 100)</f>
        <v>0</v>
      </c>
    </row>
    <row r="725" spans="1:22" x14ac:dyDescent="0.25">
      <c r="A725" s="2">
        <f>'1000_заявлений'!A719</f>
        <v>717</v>
      </c>
      <c r="B725" s="4">
        <f>VALUE(SUBSTITUTE('1000_заявлений'!B719, ".", ","))</f>
        <v>0.22964863099278601</v>
      </c>
      <c r="C725" s="4">
        <f>VALUE(SUBSTITUTE('1000_заявлений'!C719, ".", ","))</f>
        <v>0.55088225908191502</v>
      </c>
      <c r="D725" s="4">
        <f>VALUE(SUBSTITUTE('1000_заявлений'!D719, ".", ","))</f>
        <v>0.80614929999999996</v>
      </c>
      <c r="E725" s="4">
        <f>VALUE(SUBSTITUTE('1000_заявлений'!E719, ".", ","))</f>
        <v>0.57994663999999996</v>
      </c>
      <c r="F725" s="5">
        <f>VALUE(SUBSTITUTE('1000_заявлений'!F719, ".", ","))</f>
        <v>-797</v>
      </c>
      <c r="G725" s="5">
        <f>VALUE(SUBSTITUTE('1000_заявлений'!G719, ".", ","))</f>
        <v>-13441</v>
      </c>
      <c r="H725" s="5">
        <f>VALUE(SUBSTITUTE('1000_заявлений'!H719, ".", ","))</f>
        <v>-4181</v>
      </c>
      <c r="I725" s="4">
        <f>VALUE(SUBSTITUTE('1000_заявлений'!I719, ".", ","))</f>
        <v>0.18648000000000001</v>
      </c>
      <c r="J725" s="4">
        <f>VALUE(SUBSTITUTE('1000_заявлений'!J719, ".", ","))</f>
        <v>5.0755928561322596</v>
      </c>
      <c r="K725" s="5">
        <f>VALUE(SUBSTITUTE('1000_заявлений'!K719, ".", ","))</f>
        <v>-2748</v>
      </c>
      <c r="L725" s="6">
        <f>VALUE(SUBSTITUTE('1000_заявлений'!L719, ".", ","))</f>
        <v>20979</v>
      </c>
      <c r="M725" s="2" t="str">
        <f>IF(Данные[[#This Row],[proba]]&gt;$C$6, "отказ", "одобрение")</f>
        <v>одобрение</v>
      </c>
      <c r="N725" s="7">
        <f>IF(Данные[[#This Row],[proba]]&lt;$D$2,$C$2,IF(Данные[[#This Row],[proba]]&lt;$D$3,$C$3,IF(Данные[[#This Row],[proba]]&gt;$C$6,0,$C$4)))</f>
        <v>100000</v>
      </c>
      <c r="O725" s="2">
        <f>IF(Данные[[#This Row],[weighted_ext_score]]&gt;$O$1,MIN(Данные[[#This Row],[Базовая сумма]]*$O$2,$C$2),IF(Данные[[#This Row],[weighted_ext_score]]&lt;$O$3,Данные[[#This Row],[Базовая сумма]]*$O$4,N725))</f>
        <v>100000</v>
      </c>
      <c r="P7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25" s="2">
        <f>ABS(Данные[[#This Row],[days_birth]])/365.2425</f>
        <v>36.800208080932528</v>
      </c>
      <c r="S7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25" s="2">
        <f>IF(Данные[[#This Row],[ interest_rate]]&gt;$T$1,Данные[[#This Row],[days_birth4]]*$T$2,Данные[[#This Row],[days_birth4]])</f>
        <v>144000</v>
      </c>
      <c r="U725" s="2">
        <f>IF(Данные[[#This Row],[Проверка отказа]]="отказ",0,MAX(Данные[[#This Row],[interest_rate]],$C$1))</f>
        <v>144000</v>
      </c>
      <c r="V725" s="2">
        <f>MROUND(Данные[[#This Row],[Минимум 20000]], 100)</f>
        <v>144000</v>
      </c>
    </row>
    <row r="726" spans="1:22" x14ac:dyDescent="0.25">
      <c r="A726" s="2">
        <f>'1000_заявлений'!A720</f>
        <v>718</v>
      </c>
      <c r="B726" s="4">
        <f>VALUE(SUBSTITUTE('1000_заявлений'!B720, ".", ","))</f>
        <v>0.59501306107434204</v>
      </c>
      <c r="C726" s="4">
        <f>VALUE(SUBSTITUTE('1000_заявлений'!C720, ".", ","))</f>
        <v>0.42142941704849801</v>
      </c>
      <c r="D726" s="4">
        <f>VALUE(SUBSTITUTE('1000_заявлений'!D720, ".", ","))</f>
        <v>0.14644207000000001</v>
      </c>
      <c r="E726" s="4">
        <f>VALUE(SUBSTITUTE('1000_заявлений'!E720, ".", ","))</f>
        <v>0.55571769999999998</v>
      </c>
      <c r="F726" s="5">
        <f>VALUE(SUBSTITUTE('1000_заявлений'!F720, ".", ","))</f>
        <v>-6896</v>
      </c>
      <c r="G726" s="5">
        <f>VALUE(SUBSTITUTE('1000_заявлений'!G720, ".", ","))</f>
        <v>-17196</v>
      </c>
      <c r="H726" s="5">
        <f>VALUE(SUBSTITUTE('1000_заявлений'!H720, ".", ","))</f>
        <v>-733</v>
      </c>
      <c r="I726" s="4">
        <f>VALUE(SUBSTITUTE('1000_заявлений'!I720, ".", ","))</f>
        <v>0.122325</v>
      </c>
      <c r="J726" s="4">
        <f>VALUE(SUBSTITUTE('1000_заявлений'!J720, ".", ","))</f>
        <v>8.0866443678889492</v>
      </c>
      <c r="K726" s="5">
        <f>VALUE(SUBSTITUTE('1000_заявлений'!K720, ".", ","))</f>
        <v>-5815</v>
      </c>
      <c r="L726" s="6">
        <f>VALUE(SUBSTITUTE('1000_заявлений'!L720, ".", ","))</f>
        <v>22018.5</v>
      </c>
      <c r="M726" s="2" t="str">
        <f>IF(Данные[[#This Row],[proba]]&gt;$C$6, "отказ", "одобрение")</f>
        <v>отказ</v>
      </c>
      <c r="N726" s="7">
        <f>IF(Данные[[#This Row],[proba]]&lt;$D$2,$C$2,IF(Данные[[#This Row],[proba]]&lt;$D$3,$C$3,IF(Данные[[#This Row],[proba]]&gt;$C$6,0,$C$4)))</f>
        <v>0</v>
      </c>
      <c r="O726" s="2">
        <f>IF(Данные[[#This Row],[weighted_ext_score]]&gt;$O$1,MIN(Данные[[#This Row],[Базовая сумма]]*$O$2,$C$2),IF(Данные[[#This Row],[weighted_ext_score]]&lt;$O$3,Данные[[#This Row],[Базовая сумма]]*$O$4,N726))</f>
        <v>0</v>
      </c>
      <c r="P7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6" s="2">
        <f>ABS(Данные[[#This Row],[days_birth]])/365.2425</f>
        <v>47.08104889217438</v>
      </c>
      <c r="S7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6" s="2">
        <f>IF(Данные[[#This Row],[ interest_rate]]&gt;$T$1,Данные[[#This Row],[days_birth4]]*$T$2,Данные[[#This Row],[days_birth4]])</f>
        <v>0</v>
      </c>
      <c r="U726" s="2">
        <f>IF(Данные[[#This Row],[Проверка отказа]]="отказ",0,MAX(Данные[[#This Row],[interest_rate]],$C$1))</f>
        <v>0</v>
      </c>
      <c r="V726" s="2">
        <f>MROUND(Данные[[#This Row],[Минимум 20000]], 100)</f>
        <v>0</v>
      </c>
    </row>
    <row r="727" spans="1:22" x14ac:dyDescent="0.25">
      <c r="A727" s="2">
        <f>'1000_заявлений'!A721</f>
        <v>719</v>
      </c>
      <c r="B727" s="4">
        <f>VALUE(SUBSTITUTE('1000_заявлений'!B721, ".", ","))</f>
        <v>0.49509187564707002</v>
      </c>
      <c r="C727" s="4">
        <f>VALUE(SUBSTITUTE('1000_заявлений'!C721, ".", ","))</f>
        <v>0.31478270769887601</v>
      </c>
      <c r="D727" s="4">
        <f>VALUE(SUBSTITUTE('1000_заявлений'!D721, ".", ","))</f>
        <v>0.51549535999999996</v>
      </c>
      <c r="E727" s="4">
        <f>VALUE(SUBSTITUTE('1000_заявлений'!E721, ".", ","))</f>
        <v>0.39566863000000002</v>
      </c>
      <c r="F727" s="5">
        <f>VALUE(SUBSTITUTE('1000_заявлений'!F721, ".", ","))</f>
        <v>-4869</v>
      </c>
      <c r="G727" s="5">
        <f>VALUE(SUBSTITUTE('1000_заявлений'!G721, ".", ","))</f>
        <v>-17593</v>
      </c>
      <c r="H727" s="5">
        <f>VALUE(SUBSTITUTE('1000_заявлений'!H721, ".", ","))</f>
        <v>-1076</v>
      </c>
      <c r="I727" s="4">
        <f>VALUE(SUBSTITUTE('1000_заявлений'!I721, ".", ","))</f>
        <v>0.115266666666666</v>
      </c>
      <c r="J727" s="4">
        <f>VALUE(SUBSTITUTE('1000_заявлений'!J721, ".", ","))</f>
        <v>8.2262930470872799</v>
      </c>
      <c r="K727" s="5">
        <f>VALUE(SUBSTITUTE('1000_заявлений'!K721, ".", ","))</f>
        <v>-2370</v>
      </c>
      <c r="L727" s="6">
        <f>VALUE(SUBSTITUTE('1000_заявлений'!L721, ".", ","))</f>
        <v>38902.5</v>
      </c>
      <c r="M727" s="2" t="str">
        <f>IF(Данные[[#This Row],[proba]]&gt;$C$6, "отказ", "одобрение")</f>
        <v>отказ</v>
      </c>
      <c r="N727" s="7">
        <f>IF(Данные[[#This Row],[proba]]&lt;$D$2,$C$2,IF(Данные[[#This Row],[proba]]&lt;$D$3,$C$3,IF(Данные[[#This Row],[proba]]&gt;$C$6,0,$C$4)))</f>
        <v>0</v>
      </c>
      <c r="O727" s="2">
        <f>IF(Данные[[#This Row],[weighted_ext_score]]&gt;$O$1,MIN(Данные[[#This Row],[Базовая сумма]]*$O$2,$C$2),IF(Данные[[#This Row],[weighted_ext_score]]&lt;$O$3,Данные[[#This Row],[Базовая сумма]]*$O$4,N727))</f>
        <v>0</v>
      </c>
      <c r="P7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7" s="2">
        <f>ABS(Данные[[#This Row],[days_birth]])/365.2425</f>
        <v>48.167997973948815</v>
      </c>
      <c r="S7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7" s="2">
        <f>IF(Данные[[#This Row],[ interest_rate]]&gt;$T$1,Данные[[#This Row],[days_birth4]]*$T$2,Данные[[#This Row],[days_birth4]])</f>
        <v>0</v>
      </c>
      <c r="U727" s="2">
        <f>IF(Данные[[#This Row],[Проверка отказа]]="отказ",0,MAX(Данные[[#This Row],[interest_rate]],$C$1))</f>
        <v>0</v>
      </c>
      <c r="V727" s="2">
        <f>MROUND(Данные[[#This Row],[Минимум 20000]], 100)</f>
        <v>0</v>
      </c>
    </row>
    <row r="728" spans="1:22" x14ac:dyDescent="0.25">
      <c r="A728" s="2">
        <f>'1000_заявлений'!A722</f>
        <v>720</v>
      </c>
      <c r="B728" s="4">
        <f>VALUE(SUBSTITUTE('1000_заявлений'!B722, ".", ","))</f>
        <v>0.25737949366302798</v>
      </c>
      <c r="C728" s="4">
        <f>VALUE(SUBSTITUTE('1000_заявлений'!C722, ".", ","))</f>
        <v>0.53076106326441397</v>
      </c>
      <c r="D728" s="4">
        <f>VALUE(SUBSTITUTE('1000_заявлений'!D722, ".", ","))</f>
        <v>0.65778380000000003</v>
      </c>
      <c r="E728" s="4">
        <f>VALUE(SUBSTITUTE('1000_заявлений'!E722, ".", ","))</f>
        <v>0.58815413999999999</v>
      </c>
      <c r="F728" s="5">
        <f>VALUE(SUBSTITUTE('1000_заявлений'!F722, ".", ","))</f>
        <v>-6031</v>
      </c>
      <c r="G728" s="5">
        <f>VALUE(SUBSTITUTE('1000_заявлений'!G722, ".", ","))</f>
        <v>-11225</v>
      </c>
      <c r="H728" s="5">
        <f>VALUE(SUBSTITUTE('1000_заявлений'!H722, ".", ","))</f>
        <v>-3862</v>
      </c>
      <c r="I728" s="4">
        <f>VALUE(SUBSTITUTE('1000_заявлений'!I722, ".", ","))</f>
        <v>7.4999999999999997E-2</v>
      </c>
      <c r="J728" s="4">
        <f>VALUE(SUBSTITUTE('1000_заявлений'!J722, ".", ","))</f>
        <v>10.6209759779781</v>
      </c>
      <c r="K728" s="5">
        <f>VALUE(SUBSTITUTE('1000_заявлений'!K722, ".", ","))</f>
        <v>-2476</v>
      </c>
      <c r="L728" s="6">
        <f>VALUE(SUBSTITUTE('1000_заявлений'!L722, ".", ","))</f>
        <v>13500</v>
      </c>
      <c r="M728" s="2" t="str">
        <f>IF(Данные[[#This Row],[proba]]&gt;$C$6, "отказ", "одобрение")</f>
        <v>одобрение</v>
      </c>
      <c r="N728" s="7">
        <f>IF(Данные[[#This Row],[proba]]&lt;$D$2,$C$2,IF(Данные[[#This Row],[proba]]&lt;$D$3,$C$3,IF(Данные[[#This Row],[proba]]&gt;$C$6,0,$C$4)))</f>
        <v>100000</v>
      </c>
      <c r="O728" s="2">
        <f>IF(Данные[[#This Row],[weighted_ext_score]]&gt;$O$1,MIN(Данные[[#This Row],[Базовая сумма]]*$O$2,$C$2),IF(Данные[[#This Row],[weighted_ext_score]]&lt;$O$3,Данные[[#This Row],[Базовая сумма]]*$O$4,N728))</f>
        <v>100000</v>
      </c>
      <c r="P7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28" s="2">
        <f>ABS(Данные[[#This Row],[days_birth]])/365.2425</f>
        <v>30.733006153445999</v>
      </c>
      <c r="S7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728" s="2">
        <f>IF(Данные[[#This Row],[ interest_rate]]&gt;$T$1,Данные[[#This Row],[days_birth4]]*$T$2,Данные[[#This Row],[days_birth4]])</f>
        <v>144000</v>
      </c>
      <c r="U728" s="2">
        <f>IF(Данные[[#This Row],[Проверка отказа]]="отказ",0,MAX(Данные[[#This Row],[interest_rate]],$C$1))</f>
        <v>144000</v>
      </c>
      <c r="V728" s="2">
        <f>MROUND(Данные[[#This Row],[Минимум 20000]], 100)</f>
        <v>144000</v>
      </c>
    </row>
    <row r="729" spans="1:22" x14ac:dyDescent="0.25">
      <c r="A729" s="2">
        <f>'1000_заявлений'!A723</f>
        <v>721</v>
      </c>
      <c r="B729" s="4">
        <f>VALUE(SUBSTITUTE('1000_заявлений'!B723, ".", ","))</f>
        <v>0.56502943007214301</v>
      </c>
      <c r="C729" s="4">
        <f>VALUE(SUBSTITUTE('1000_заявлений'!C723, ".", ","))</f>
        <v>0.29342742402292499</v>
      </c>
      <c r="D729" s="4">
        <f>VALUE(SUBSTITUTE('1000_заявлений'!D723, ".", ","))</f>
        <v>0.21155076</v>
      </c>
      <c r="E729" s="4">
        <f>VALUE(SUBSTITUTE('1000_заявлений'!E723, ".", ","))</f>
        <v>0.66871840000000005</v>
      </c>
      <c r="F729" s="5">
        <f>VALUE(SUBSTITUTE('1000_заявлений'!F723, ".", ","))</f>
        <v>-5564</v>
      </c>
      <c r="G729" s="5">
        <f>VALUE(SUBSTITUTE('1000_заявлений'!G723, ".", ","))</f>
        <v>-19800</v>
      </c>
      <c r="H729" s="5">
        <f>VALUE(SUBSTITUTE('1000_заявлений'!H723, ".", ","))</f>
        <v>-3351</v>
      </c>
      <c r="I729" s="4">
        <f>VALUE(SUBSTITUTE('1000_заявлений'!I723, ".", ","))</f>
        <v>0.1095</v>
      </c>
      <c r="J729" s="4">
        <f>VALUE(SUBSTITUTE('1000_заявлений'!J723, ".", ","))</f>
        <v>3.6354244931648001</v>
      </c>
      <c r="K729" s="5">
        <f>VALUE(SUBSTITUTE('1000_заявлений'!K723, ".", ","))</f>
        <v>-1155</v>
      </c>
      <c r="L729" s="6">
        <f>VALUE(SUBSTITUTE('1000_заявлений'!L723, ".", ","))</f>
        <v>15768</v>
      </c>
      <c r="M729" s="2" t="str">
        <f>IF(Данные[[#This Row],[proba]]&gt;$C$6, "отказ", "одобрение")</f>
        <v>отказ</v>
      </c>
      <c r="N729" s="7">
        <f>IF(Данные[[#This Row],[proba]]&lt;$D$2,$C$2,IF(Данные[[#This Row],[proba]]&lt;$D$3,$C$3,IF(Данные[[#This Row],[proba]]&gt;$C$6,0,$C$4)))</f>
        <v>0</v>
      </c>
      <c r="O729" s="2">
        <f>IF(Данные[[#This Row],[weighted_ext_score]]&gt;$O$1,MIN(Данные[[#This Row],[Базовая сумма]]*$O$2,$C$2),IF(Данные[[#This Row],[weighted_ext_score]]&lt;$O$3,Данные[[#This Row],[Базовая сумма]]*$O$4,N729))</f>
        <v>0</v>
      </c>
      <c r="P7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29" s="2">
        <f>ABS(Данные[[#This Row],[days_birth]])/365.2425</f>
        <v>54.210558738372448</v>
      </c>
      <c r="S7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29" s="2">
        <f>IF(Данные[[#This Row],[ interest_rate]]&gt;$T$1,Данные[[#This Row],[days_birth4]]*$T$2,Данные[[#This Row],[days_birth4]])</f>
        <v>0</v>
      </c>
      <c r="U729" s="2">
        <f>IF(Данные[[#This Row],[Проверка отказа]]="отказ",0,MAX(Данные[[#This Row],[interest_rate]],$C$1))</f>
        <v>0</v>
      </c>
      <c r="V729" s="2">
        <f>MROUND(Данные[[#This Row],[Минимум 20000]], 100)</f>
        <v>0</v>
      </c>
    </row>
    <row r="730" spans="1:22" x14ac:dyDescent="0.25">
      <c r="A730" s="2">
        <f>'1000_заявлений'!A724</f>
        <v>722</v>
      </c>
      <c r="B730" s="4">
        <f>VALUE(SUBSTITUTE('1000_заявлений'!B724, ".", ","))</f>
        <v>0.164765022653941</v>
      </c>
      <c r="C730" s="4">
        <f>VALUE(SUBSTITUTE('1000_заявлений'!C724, ".", ","))</f>
        <v>0.47804398187820102</v>
      </c>
      <c r="D730" s="4">
        <f>VALUE(SUBSTITUTE('1000_заявлений'!D724, ".", ","))</f>
        <v>0.76880760000000004</v>
      </c>
      <c r="E730" s="4">
        <f>VALUE(SUBSTITUTE('1000_заявлений'!E724, ".", ","))</f>
        <v>0.61654425000000002</v>
      </c>
      <c r="F730" s="5">
        <f>VALUE(SUBSTITUTE('1000_заявлений'!F724, ".", ","))</f>
        <v>-5140</v>
      </c>
      <c r="G730" s="5">
        <f>VALUE(SUBSTITUTE('1000_заявлений'!G724, ".", ","))</f>
        <v>-23698</v>
      </c>
      <c r="H730" s="5">
        <f>VALUE(SUBSTITUTE('1000_заявлений'!H724, ".", ","))</f>
        <v>-4459</v>
      </c>
      <c r="I730" s="4">
        <f>VALUE(SUBSTITUTE('1000_заявлений'!I724, ".", ","))</f>
        <v>0.19911111111111099</v>
      </c>
      <c r="J730" s="4">
        <f>VALUE(SUBSTITUTE('1000_заявлений'!J724, ".", ","))</f>
        <v>6.52340447126877</v>
      </c>
      <c r="K730" s="5">
        <f>VALUE(SUBSTITUTE('1000_заявлений'!K724, ".", ","))</f>
        <v>365243</v>
      </c>
      <c r="L730" s="6">
        <f>VALUE(SUBSTITUTE('1000_заявлений'!L724, ".", ","))</f>
        <v>40320</v>
      </c>
      <c r="M730" s="2" t="str">
        <f>IF(Данные[[#This Row],[proba]]&gt;$C$6, "отказ", "одобрение")</f>
        <v>одобрение</v>
      </c>
      <c r="N730" s="7">
        <f>IF(Данные[[#This Row],[proba]]&lt;$D$2,$C$2,IF(Данные[[#This Row],[proba]]&lt;$D$3,$C$3,IF(Данные[[#This Row],[proba]]&gt;$C$6,0,$C$4)))</f>
        <v>300000</v>
      </c>
      <c r="O730" s="2">
        <f>IF(Данные[[#This Row],[weighted_ext_score]]&gt;$O$1,MIN(Данные[[#This Row],[Базовая сумма]]*$O$2,$C$2),IF(Данные[[#This Row],[weighted_ext_score]]&lt;$O$3,Данные[[#This Row],[Базовая сумма]]*$O$4,N730))</f>
        <v>300000</v>
      </c>
      <c r="P7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30" s="2">
        <f>ABS(Данные[[#This Row],[days_birth]])/365.2425</f>
        <v>64.882920251613655</v>
      </c>
      <c r="S7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30" s="2">
        <f>IF(Данные[[#This Row],[ interest_rate]]&gt;$T$1,Данные[[#This Row],[days_birth4]]*$T$2,Данные[[#This Row],[days_birth4]])</f>
        <v>378000</v>
      </c>
      <c r="U730" s="2">
        <f>IF(Данные[[#This Row],[Проверка отказа]]="отказ",0,MAX(Данные[[#This Row],[interest_rate]],$C$1))</f>
        <v>378000</v>
      </c>
      <c r="V730" s="2">
        <f>MROUND(Данные[[#This Row],[Минимум 20000]], 100)</f>
        <v>378000</v>
      </c>
    </row>
    <row r="731" spans="1:22" x14ac:dyDescent="0.25">
      <c r="A731" s="2">
        <f>'1000_заявлений'!A725</f>
        <v>723</v>
      </c>
      <c r="B731" s="4">
        <f>VALUE(SUBSTITUTE('1000_заявлений'!B725, ".", ","))</f>
        <v>0.44094729697304502</v>
      </c>
      <c r="C731" s="4">
        <f>VALUE(SUBSTITUTE('1000_заявлений'!C725, ".", ","))</f>
        <v>0.38827883596881901</v>
      </c>
      <c r="D731" s="4">
        <f>VALUE(SUBSTITUTE('1000_заявлений'!D725, ".", ","))</f>
        <v>0.52269730000000003</v>
      </c>
      <c r="E731" s="4">
        <f>VALUE(SUBSTITUTE('1000_заявлений'!E725, ".", ","))</f>
        <v>0.61421513999999999</v>
      </c>
      <c r="F731" s="5">
        <f>VALUE(SUBSTITUTE('1000_заявлений'!F725, ".", ","))</f>
        <v>-8630</v>
      </c>
      <c r="G731" s="5">
        <f>VALUE(SUBSTITUTE('1000_заявлений'!G725, ".", ","))</f>
        <v>-10922</v>
      </c>
      <c r="H731" s="5">
        <f>VALUE(SUBSTITUTE('1000_заявлений'!H725, ".", ","))</f>
        <v>-3598</v>
      </c>
      <c r="I731" s="4">
        <f>VALUE(SUBSTITUTE('1000_заявлений'!I725, ".", ","))</f>
        <v>0.21429999999999999</v>
      </c>
      <c r="J731" s="4">
        <f>VALUE(SUBSTITUTE('1000_заявлений'!J725, ".", ","))</f>
        <v>4.1971081343415699</v>
      </c>
      <c r="K731" s="5">
        <f>VALUE(SUBSTITUTE('1000_заявлений'!K725, ".", ","))</f>
        <v>-1114</v>
      </c>
      <c r="L731" s="6">
        <f>VALUE(SUBSTITUTE('1000_заявлений'!L725, ".", ","))</f>
        <v>19287</v>
      </c>
      <c r="M731" s="2" t="str">
        <f>IF(Данные[[#This Row],[proba]]&gt;$C$6, "отказ", "одобрение")</f>
        <v>отказ</v>
      </c>
      <c r="N731" s="7">
        <f>IF(Данные[[#This Row],[proba]]&lt;$D$2,$C$2,IF(Данные[[#This Row],[proba]]&lt;$D$3,$C$3,IF(Данные[[#This Row],[proba]]&gt;$C$6,0,$C$4)))</f>
        <v>0</v>
      </c>
      <c r="O731" s="2">
        <f>IF(Данные[[#This Row],[weighted_ext_score]]&gt;$O$1,MIN(Данные[[#This Row],[Базовая сумма]]*$O$2,$C$2),IF(Данные[[#This Row],[weighted_ext_score]]&lt;$O$3,Данные[[#This Row],[Базовая сумма]]*$O$4,N731))</f>
        <v>0</v>
      </c>
      <c r="P7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1" s="2">
        <f>ABS(Данные[[#This Row],[days_birth]])/365.2425</f>
        <v>29.90342033032848</v>
      </c>
      <c r="S7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1" s="2">
        <f>IF(Данные[[#This Row],[ interest_rate]]&gt;$T$1,Данные[[#This Row],[days_birth4]]*$T$2,Данные[[#This Row],[days_birth4]])</f>
        <v>0</v>
      </c>
      <c r="U731" s="2">
        <f>IF(Данные[[#This Row],[Проверка отказа]]="отказ",0,MAX(Данные[[#This Row],[interest_rate]],$C$1))</f>
        <v>0</v>
      </c>
      <c r="V731" s="2">
        <f>MROUND(Данные[[#This Row],[Минимум 20000]], 100)</f>
        <v>0</v>
      </c>
    </row>
    <row r="732" spans="1:22" x14ac:dyDescent="0.25">
      <c r="A732" s="2">
        <f>'1000_заявлений'!A726</f>
        <v>724</v>
      </c>
      <c r="B732" s="4">
        <f>VALUE(SUBSTITUTE('1000_заявлений'!B726, ".", ","))</f>
        <v>0.27053356642157</v>
      </c>
      <c r="C732" s="4">
        <f>VALUE(SUBSTITUTE('1000_заявлений'!C726, ".", ","))</f>
        <v>0.37456806483877803</v>
      </c>
      <c r="D732" s="4">
        <f>VALUE(SUBSTITUTE('1000_заявлений'!D726, ".", ","))</f>
        <v>0.78868079999999996</v>
      </c>
      <c r="E732" s="4">
        <f>VALUE(SUBSTITUTE('1000_заявлений'!E726, ".", ","))</f>
        <v>0.27538747000000002</v>
      </c>
      <c r="F732" s="5">
        <f>VALUE(SUBSTITUTE('1000_заявлений'!F726, ".", ","))</f>
        <v>-10318</v>
      </c>
      <c r="G732" s="5">
        <f>VALUE(SUBSTITUTE('1000_заявлений'!G726, ".", ","))</f>
        <v>-20654</v>
      </c>
      <c r="H732" s="5">
        <f>VALUE(SUBSTITUTE('1000_заявлений'!H726, ".", ","))</f>
        <v>-4097</v>
      </c>
      <c r="I732" s="4">
        <f>VALUE(SUBSTITUTE('1000_заявлений'!I726, ".", ","))</f>
        <v>6.4102564102564097E-2</v>
      </c>
      <c r="J732" s="4">
        <f>VALUE(SUBSTITUTE('1000_заявлений'!J726, ".", ","))</f>
        <v>10.6209759779781</v>
      </c>
      <c r="K732" s="5">
        <f>VALUE(SUBSTITUTE('1000_заявлений'!K726, ".", ","))</f>
        <v>365243</v>
      </c>
      <c r="L732" s="6">
        <f>VALUE(SUBSTITUTE('1000_заявлений'!L726, ".", ","))</f>
        <v>11250</v>
      </c>
      <c r="M732" s="2" t="str">
        <f>IF(Данные[[#This Row],[proba]]&gt;$C$6, "отказ", "одобрение")</f>
        <v>одобрение</v>
      </c>
      <c r="N732" s="7">
        <f>IF(Данные[[#This Row],[proba]]&lt;$D$2,$C$2,IF(Данные[[#This Row],[proba]]&lt;$D$3,$C$3,IF(Данные[[#This Row],[proba]]&gt;$C$6,0,$C$4)))</f>
        <v>100000</v>
      </c>
      <c r="O732" s="2">
        <f>IF(Данные[[#This Row],[weighted_ext_score]]&gt;$O$1,MIN(Данные[[#This Row],[Базовая сумма]]*$O$2,$C$2),IF(Данные[[#This Row],[weighted_ext_score]]&lt;$O$3,Данные[[#This Row],[Базовая сумма]]*$O$4,N732))</f>
        <v>100000</v>
      </c>
      <c r="P7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32" s="2">
        <f>ABS(Данные[[#This Row],[days_birth]])/365.2425</f>
        <v>56.548731322340636</v>
      </c>
      <c r="S7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732" s="2">
        <f>IF(Данные[[#This Row],[ interest_rate]]&gt;$T$1,Данные[[#This Row],[days_birth4]]*$T$2,Данные[[#This Row],[days_birth4]])</f>
        <v>126000</v>
      </c>
      <c r="U732" s="2">
        <f>IF(Данные[[#This Row],[Проверка отказа]]="отказ",0,MAX(Данные[[#This Row],[interest_rate]],$C$1))</f>
        <v>126000</v>
      </c>
      <c r="V732" s="2">
        <f>MROUND(Данные[[#This Row],[Минимум 20000]], 100)</f>
        <v>126000</v>
      </c>
    </row>
    <row r="733" spans="1:22" x14ac:dyDescent="0.25">
      <c r="A733" s="2">
        <f>'1000_заявлений'!A727</f>
        <v>725</v>
      </c>
      <c r="B733" s="4">
        <f>VALUE(SUBSTITUTE('1000_заявлений'!B727, ".", ","))</f>
        <v>0.60377399100433304</v>
      </c>
      <c r="C733" s="4">
        <f>VALUE(SUBSTITUTE('1000_заявлений'!C727, ".", ","))</f>
        <v>0.274230194255972</v>
      </c>
      <c r="D733" s="4">
        <f>VALUE(SUBSTITUTE('1000_заявлений'!D727, ".", ","))</f>
        <v>0.22383131000000001</v>
      </c>
      <c r="E733" s="4">
        <f>VALUE(SUBSTITUTE('1000_заявлений'!E727, ".", ","))</f>
        <v>0.59584426999999995</v>
      </c>
      <c r="F733" s="5">
        <f>VALUE(SUBSTITUTE('1000_заявлений'!F727, ".", ","))</f>
        <v>-485</v>
      </c>
      <c r="G733" s="5">
        <f>VALUE(SUBSTITUTE('1000_заявлений'!G727, ".", ","))</f>
        <v>-19865</v>
      </c>
      <c r="H733" s="5">
        <f>VALUE(SUBSTITUTE('1000_заявлений'!H727, ".", ","))</f>
        <v>-3395</v>
      </c>
      <c r="I733" s="4">
        <f>VALUE(SUBSTITUTE('1000_заявлений'!I727, ".", ","))</f>
        <v>0.10444000000000001</v>
      </c>
      <c r="J733" s="4">
        <f>VALUE(SUBSTITUTE('1000_заявлений'!J727, ".", ","))</f>
        <v>2.84740809799204</v>
      </c>
      <c r="K733" s="5">
        <f>VALUE(SUBSTITUTE('1000_заявлений'!K727, ".", ","))</f>
        <v>-2228</v>
      </c>
      <c r="L733" s="6">
        <f>VALUE(SUBSTITUTE('1000_заявлений'!L727, ".", ","))</f>
        <v>23499</v>
      </c>
      <c r="M733" s="2" t="str">
        <f>IF(Данные[[#This Row],[proba]]&gt;$C$6, "отказ", "одобрение")</f>
        <v>отказ</v>
      </c>
      <c r="N733" s="7">
        <f>IF(Данные[[#This Row],[proba]]&lt;$D$2,$C$2,IF(Данные[[#This Row],[proba]]&lt;$D$3,$C$3,IF(Данные[[#This Row],[proba]]&gt;$C$6,0,$C$4)))</f>
        <v>0</v>
      </c>
      <c r="O733" s="2">
        <f>IF(Данные[[#This Row],[weighted_ext_score]]&gt;$O$1,MIN(Данные[[#This Row],[Базовая сумма]]*$O$2,$C$2),IF(Данные[[#This Row],[weighted_ext_score]]&lt;$O$3,Данные[[#This Row],[Базовая сумма]]*$O$4,N733))</f>
        <v>0</v>
      </c>
      <c r="P7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3" s="2">
        <f>ABS(Данные[[#This Row],[days_birth]])/365.2425</f>
        <v>54.388522693826701</v>
      </c>
      <c r="S7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3" s="2">
        <f>IF(Данные[[#This Row],[ interest_rate]]&gt;$T$1,Данные[[#This Row],[days_birth4]]*$T$2,Данные[[#This Row],[days_birth4]])</f>
        <v>0</v>
      </c>
      <c r="U733" s="2">
        <f>IF(Данные[[#This Row],[Проверка отказа]]="отказ",0,MAX(Данные[[#This Row],[interest_rate]],$C$1))</f>
        <v>0</v>
      </c>
      <c r="V733" s="2">
        <f>MROUND(Данные[[#This Row],[Минимум 20000]], 100)</f>
        <v>0</v>
      </c>
    </row>
    <row r="734" spans="1:22" x14ac:dyDescent="0.25">
      <c r="A734" s="2">
        <f>'1000_заявлений'!A728</f>
        <v>726</v>
      </c>
      <c r="B734" s="4">
        <f>VALUE(SUBSTITUTE('1000_заявлений'!B728, ".", ","))</f>
        <v>0.76514554455072104</v>
      </c>
      <c r="C734" s="4">
        <f>VALUE(SUBSTITUTE('1000_заявлений'!C728, ".", ","))</f>
        <v>0.19854852122029201</v>
      </c>
      <c r="D734" s="4">
        <f>VALUE(SUBSTITUTE('1000_заявлений'!D728, ".", ","))</f>
        <v>0.28665247999999999</v>
      </c>
      <c r="E734" s="4">
        <f>VALUE(SUBSTITUTE('1000_заявлений'!E728, ".", ","))</f>
        <v>0.29248747000000003</v>
      </c>
      <c r="F734" s="5">
        <f>VALUE(SUBSTITUTE('1000_заявлений'!F728, ".", ","))</f>
        <v>-10186</v>
      </c>
      <c r="G734" s="5">
        <f>VALUE(SUBSTITUTE('1000_заявлений'!G728, ".", ","))</f>
        <v>-11100</v>
      </c>
      <c r="H734" s="5">
        <f>VALUE(SUBSTITUTE('1000_заявлений'!H728, ".", ","))</f>
        <v>-3574</v>
      </c>
      <c r="I734" s="4">
        <f>VALUE(SUBSTITUTE('1000_заявлений'!I728, ".", ","))</f>
        <v>0.2898</v>
      </c>
      <c r="J734" s="4">
        <f>VALUE(SUBSTITUTE('1000_заявлений'!J728, ".", ","))</f>
        <v>6.6044539963728299</v>
      </c>
      <c r="K734" s="5">
        <f>VALUE(SUBSTITUTE('1000_заявлений'!K728, ".", ","))</f>
        <v>-728</v>
      </c>
      <c r="L734" s="6">
        <f>VALUE(SUBSTITUTE('1000_заявлений'!L728, ".", ","))</f>
        <v>32602.5</v>
      </c>
      <c r="M734" s="2" t="str">
        <f>IF(Данные[[#This Row],[proba]]&gt;$C$6, "отказ", "одобрение")</f>
        <v>отказ</v>
      </c>
      <c r="N734" s="7">
        <f>IF(Данные[[#This Row],[proba]]&lt;$D$2,$C$2,IF(Данные[[#This Row],[proba]]&lt;$D$3,$C$3,IF(Данные[[#This Row],[proba]]&gt;$C$6,0,$C$4)))</f>
        <v>0</v>
      </c>
      <c r="O734" s="2">
        <f>IF(Данные[[#This Row],[weighted_ext_score]]&gt;$O$1,MIN(Данные[[#This Row],[Базовая сумма]]*$O$2,$C$2),IF(Данные[[#This Row],[weighted_ext_score]]&lt;$O$3,Данные[[#This Row],[Базовая сумма]]*$O$4,N734))</f>
        <v>0</v>
      </c>
      <c r="P7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4" s="2">
        <f>ABS(Данные[[#This Row],[days_birth]])/365.2425</f>
        <v>30.390767777572435</v>
      </c>
      <c r="S7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4" s="2">
        <f>IF(Данные[[#This Row],[ interest_rate]]&gt;$T$1,Данные[[#This Row],[days_birth4]]*$T$2,Данные[[#This Row],[days_birth4]])</f>
        <v>0</v>
      </c>
      <c r="U734" s="2">
        <f>IF(Данные[[#This Row],[Проверка отказа]]="отказ",0,MAX(Данные[[#This Row],[interest_rate]],$C$1))</f>
        <v>0</v>
      </c>
      <c r="V734" s="2">
        <f>MROUND(Данные[[#This Row],[Минимум 20000]], 100)</f>
        <v>0</v>
      </c>
    </row>
    <row r="735" spans="1:22" x14ac:dyDescent="0.25">
      <c r="A735" s="2">
        <f>'1000_заявлений'!A729</f>
        <v>727</v>
      </c>
      <c r="B735" s="4">
        <f>VALUE(SUBSTITUTE('1000_заявлений'!B729, ".", ","))</f>
        <v>0.59245704002718302</v>
      </c>
      <c r="C735" s="4">
        <f>VALUE(SUBSTITUTE('1000_заявлений'!C729, ".", ","))</f>
        <v>0.269292775980494</v>
      </c>
      <c r="D735" s="4">
        <f>VALUE(SUBSTITUTE('1000_заявлений'!D729, ".", ","))</f>
        <v>0.22383131000000001</v>
      </c>
      <c r="E735" s="4">
        <f>VALUE(SUBSTITUTE('1000_заявлений'!E729, ".", ","))</f>
        <v>0.58062303000000004</v>
      </c>
      <c r="F735" s="5">
        <f>VALUE(SUBSTITUTE('1000_заявлений'!F729, ".", ","))</f>
        <v>-2093</v>
      </c>
      <c r="G735" s="5">
        <f>VALUE(SUBSTITUTE('1000_заявлений'!G729, ".", ","))</f>
        <v>-20404</v>
      </c>
      <c r="H735" s="5">
        <f>VALUE(SUBSTITUTE('1000_заявлений'!H729, ".", ","))</f>
        <v>-3866</v>
      </c>
      <c r="I735" s="4">
        <f>VALUE(SUBSTITUTE('1000_заявлений'!I729, ".", ","))</f>
        <v>0.30339285714285702</v>
      </c>
      <c r="J735" s="4">
        <f>VALUE(SUBSTITUTE('1000_заявлений'!J729, ".", ","))</f>
        <v>3.9520465250563999</v>
      </c>
      <c r="K735" s="5">
        <f>VALUE(SUBSTITUTE('1000_заявлений'!K729, ".", ","))</f>
        <v>365243</v>
      </c>
      <c r="L735" s="6">
        <f>VALUE(SUBSTITUTE('1000_заявлений'!L729, ".", ","))</f>
        <v>38227.5</v>
      </c>
      <c r="M735" s="2" t="str">
        <f>IF(Данные[[#This Row],[proba]]&gt;$C$6, "отказ", "одобрение")</f>
        <v>отказ</v>
      </c>
      <c r="N735" s="7">
        <f>IF(Данные[[#This Row],[proba]]&lt;$D$2,$C$2,IF(Данные[[#This Row],[proba]]&lt;$D$3,$C$3,IF(Данные[[#This Row],[proba]]&gt;$C$6,0,$C$4)))</f>
        <v>0</v>
      </c>
      <c r="O735" s="2">
        <f>IF(Данные[[#This Row],[weighted_ext_score]]&gt;$O$1,MIN(Данные[[#This Row],[Базовая сумма]]*$O$2,$C$2),IF(Данные[[#This Row],[weighted_ext_score]]&lt;$O$3,Данные[[#This Row],[Базовая сумма]]*$O$4,N735))</f>
        <v>0</v>
      </c>
      <c r="P7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5" s="2">
        <f>ABS(Данные[[#This Row],[days_birth]])/365.2425</f>
        <v>55.864254570593509</v>
      </c>
      <c r="S7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5" s="2">
        <f>IF(Данные[[#This Row],[ interest_rate]]&gt;$T$1,Данные[[#This Row],[days_birth4]]*$T$2,Данные[[#This Row],[days_birth4]])</f>
        <v>0</v>
      </c>
      <c r="U735" s="2">
        <f>IF(Данные[[#This Row],[Проверка отказа]]="отказ",0,MAX(Данные[[#This Row],[interest_rate]],$C$1))</f>
        <v>0</v>
      </c>
      <c r="V735" s="2">
        <f>MROUND(Данные[[#This Row],[Минимум 20000]], 100)</f>
        <v>0</v>
      </c>
    </row>
    <row r="736" spans="1:22" x14ac:dyDescent="0.25">
      <c r="A736" s="2">
        <f>'1000_заявлений'!A730</f>
        <v>728</v>
      </c>
      <c r="B736" s="4">
        <f>VALUE(SUBSTITUTE('1000_заявлений'!B730, ".", ","))</f>
        <v>0.20384533489741399</v>
      </c>
      <c r="C736" s="4">
        <f>VALUE(SUBSTITUTE('1000_заявлений'!C730, ".", ","))</f>
        <v>0.62517191740354205</v>
      </c>
      <c r="D736" s="4">
        <f>VALUE(SUBSTITUTE('1000_заявлений'!D730, ".", ","))</f>
        <v>0.39621958000000002</v>
      </c>
      <c r="E736" s="4">
        <f>VALUE(SUBSTITUTE('1000_заявлений'!E730, ".", ","))</f>
        <v>0.68641540000000001</v>
      </c>
      <c r="F736" s="5">
        <f>VALUE(SUBSTITUTE('1000_заявлений'!F730, ".", ","))</f>
        <v>-3304</v>
      </c>
      <c r="G736" s="5">
        <f>VALUE(SUBSTITUTE('1000_заявлений'!G730, ".", ","))</f>
        <v>-22845</v>
      </c>
      <c r="H736" s="5">
        <f>VALUE(SUBSTITUTE('1000_заявлений'!H730, ".", ","))</f>
        <v>-3533</v>
      </c>
      <c r="I736" s="4">
        <f>VALUE(SUBSTITUTE('1000_заявлений'!I730, ".", ","))</f>
        <v>0.23244444444444401</v>
      </c>
      <c r="J736" s="4">
        <f>VALUE(SUBSTITUTE('1000_заявлений'!J730, ".", ","))</f>
        <v>19.7106874140466</v>
      </c>
      <c r="K736" s="5">
        <f>VALUE(SUBSTITUTE('1000_заявлений'!K730, ".", ","))</f>
        <v>365243</v>
      </c>
      <c r="L736" s="6">
        <f>VALUE(SUBSTITUTE('1000_заявлений'!L730, ".", ","))</f>
        <v>28242</v>
      </c>
      <c r="M736" s="2" t="str">
        <f>IF(Данные[[#This Row],[proba]]&gt;$C$6, "отказ", "одобрение")</f>
        <v>одобрение</v>
      </c>
      <c r="N736" s="7">
        <f>IF(Данные[[#This Row],[proba]]&lt;$D$2,$C$2,IF(Данные[[#This Row],[proba]]&lt;$D$3,$C$3,IF(Данные[[#This Row],[proba]]&gt;$C$6,0,$C$4)))</f>
        <v>100000</v>
      </c>
      <c r="O736" s="2">
        <f>IF(Данные[[#This Row],[weighted_ext_score]]&gt;$O$1,MIN(Данные[[#This Row],[Базовая сумма]]*$O$2,$C$2),IF(Данные[[#This Row],[weighted_ext_score]]&lt;$O$3,Данные[[#This Row],[Базовая сумма]]*$O$4,N736))</f>
        <v>100000</v>
      </c>
      <c r="P7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736" s="2">
        <f>ABS(Данные[[#This Row],[days_birth]])/365.2425</f>
        <v>62.547485574652455</v>
      </c>
      <c r="S7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736" s="2">
        <f>IF(Данные[[#This Row],[ interest_rate]]&gt;$T$1,Данные[[#This Row],[days_birth4]]*$T$2,Данные[[#This Row],[days_birth4]])</f>
        <v>105000</v>
      </c>
      <c r="U736" s="2">
        <f>IF(Данные[[#This Row],[Проверка отказа]]="отказ",0,MAX(Данные[[#This Row],[interest_rate]],$C$1))</f>
        <v>105000</v>
      </c>
      <c r="V736" s="2">
        <f>MROUND(Данные[[#This Row],[Минимум 20000]], 100)</f>
        <v>105000</v>
      </c>
    </row>
    <row r="737" spans="1:22" x14ac:dyDescent="0.25">
      <c r="A737" s="2">
        <f>'1000_заявлений'!A731</f>
        <v>729</v>
      </c>
      <c r="B737" s="4">
        <f>VALUE(SUBSTITUTE('1000_заявлений'!B731, ".", ","))</f>
        <v>0.39939260091114398</v>
      </c>
      <c r="C737" s="4">
        <f>VALUE(SUBSTITUTE('1000_заявлений'!C731, ".", ","))</f>
        <v>0.39647205854911699</v>
      </c>
      <c r="D737" s="4">
        <f>VALUE(SUBSTITUTE('1000_заявлений'!D731, ".", ","))</f>
        <v>0.47045611999999998</v>
      </c>
      <c r="E737" s="4">
        <f>VALUE(SUBSTITUTE('1000_заявлений'!E731, ".", ","))</f>
        <v>0.69772005000000004</v>
      </c>
      <c r="F737" s="5">
        <f>VALUE(SUBSTITUTE('1000_заявлений'!F731, ".", ","))</f>
        <v>-8350</v>
      </c>
      <c r="G737" s="5">
        <f>VALUE(SUBSTITUTE('1000_заявлений'!G731, ".", ","))</f>
        <v>-18381</v>
      </c>
      <c r="H737" s="5">
        <f>VALUE(SUBSTITUTE('1000_заявлений'!H731, ".", ","))</f>
        <v>-1914</v>
      </c>
      <c r="I737" s="4">
        <f>VALUE(SUBSTITUTE('1000_заявлений'!I731, ".", ","))</f>
        <v>0.17749999999999999</v>
      </c>
      <c r="J737" s="4">
        <f>VALUE(SUBSTITUTE('1000_заявлений'!J731, ".", ","))</f>
        <v>3.1874551089236598</v>
      </c>
      <c r="K737" s="5">
        <f>VALUE(SUBSTITUTE('1000_заявлений'!K731, ".", ","))</f>
        <v>-2451</v>
      </c>
      <c r="L737" s="6">
        <f>VALUE(SUBSTITUTE('1000_заявлений'!L731, ".", ","))</f>
        <v>14377.5</v>
      </c>
      <c r="M737" s="2" t="str">
        <f>IF(Данные[[#This Row],[proba]]&gt;$C$6, "отказ", "одобрение")</f>
        <v>отказ</v>
      </c>
      <c r="N737" s="7">
        <f>IF(Данные[[#This Row],[proba]]&lt;$D$2,$C$2,IF(Данные[[#This Row],[proba]]&lt;$D$3,$C$3,IF(Данные[[#This Row],[proba]]&gt;$C$6,0,$C$4)))</f>
        <v>0</v>
      </c>
      <c r="O737" s="2">
        <f>IF(Данные[[#This Row],[weighted_ext_score]]&gt;$O$1,MIN(Данные[[#This Row],[Базовая сумма]]*$O$2,$C$2),IF(Данные[[#This Row],[weighted_ext_score]]&lt;$O$3,Данные[[#This Row],[Базовая сумма]]*$O$4,N737))</f>
        <v>0</v>
      </c>
      <c r="P7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7" s="2">
        <f>ABS(Данные[[#This Row],[days_birth]])/365.2425</f>
        <v>50.325468695455761</v>
      </c>
      <c r="S7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7" s="2">
        <f>IF(Данные[[#This Row],[ interest_rate]]&gt;$T$1,Данные[[#This Row],[days_birth4]]*$T$2,Данные[[#This Row],[days_birth4]])</f>
        <v>0</v>
      </c>
      <c r="U737" s="2">
        <f>IF(Данные[[#This Row],[Проверка отказа]]="отказ",0,MAX(Данные[[#This Row],[interest_rate]],$C$1))</f>
        <v>0</v>
      </c>
      <c r="V737" s="2">
        <f>MROUND(Данные[[#This Row],[Минимум 20000]], 100)</f>
        <v>0</v>
      </c>
    </row>
    <row r="738" spans="1:22" x14ac:dyDescent="0.25">
      <c r="A738" s="2">
        <f>'1000_заявлений'!A732</f>
        <v>730</v>
      </c>
      <c r="B738" s="4">
        <f>VALUE(SUBSTITUTE('1000_заявлений'!B732, ".", ","))</f>
        <v>0.65355634443979704</v>
      </c>
      <c r="C738" s="4">
        <f>VALUE(SUBSTITUTE('1000_заявлений'!C732, ".", ","))</f>
        <v>0.285159967618212</v>
      </c>
      <c r="D738" s="4">
        <f>VALUE(SUBSTITUTE('1000_заявлений'!D732, ".", ","))</f>
        <v>0.37064964</v>
      </c>
      <c r="E738" s="4">
        <f>VALUE(SUBSTITUTE('1000_заявлений'!E732, ".", ","))</f>
        <v>0.17801584000000001</v>
      </c>
      <c r="F738" s="5">
        <f>VALUE(SUBSTITUTE('1000_заявлений'!F732, ".", ","))</f>
        <v>-1301</v>
      </c>
      <c r="G738" s="5">
        <f>VALUE(SUBSTITUTE('1000_заявлений'!G732, ".", ","))</f>
        <v>-22104</v>
      </c>
      <c r="H738" s="5">
        <f>VALUE(SUBSTITUTE('1000_заявлений'!H732, ".", ","))</f>
        <v>-4908</v>
      </c>
      <c r="I738" s="4">
        <f>VALUE(SUBSTITUTE('1000_заявлений'!I732, ".", ","))</f>
        <v>0.320815384615384</v>
      </c>
      <c r="J738" s="4">
        <f>VALUE(SUBSTITUTE('1000_заявлений'!J732, ".", ","))</f>
        <v>5.17302065389873</v>
      </c>
      <c r="K738" s="5">
        <f>VALUE(SUBSTITUTE('1000_заявлений'!K732, ".", ","))</f>
        <v>-3702</v>
      </c>
      <c r="L738" s="6">
        <f>VALUE(SUBSTITUTE('1000_заявлений'!L732, ".", ","))</f>
        <v>93838.5</v>
      </c>
      <c r="M738" s="2" t="str">
        <f>IF(Данные[[#This Row],[proba]]&gt;$C$6, "отказ", "одобрение")</f>
        <v>отказ</v>
      </c>
      <c r="N738" s="7">
        <f>IF(Данные[[#This Row],[proba]]&lt;$D$2,$C$2,IF(Данные[[#This Row],[proba]]&lt;$D$3,$C$3,IF(Данные[[#This Row],[proba]]&gt;$C$6,0,$C$4)))</f>
        <v>0</v>
      </c>
      <c r="O738" s="2">
        <f>IF(Данные[[#This Row],[weighted_ext_score]]&gt;$O$1,MIN(Данные[[#This Row],[Базовая сумма]]*$O$2,$C$2),IF(Данные[[#This Row],[weighted_ext_score]]&lt;$O$3,Данные[[#This Row],[Базовая сумма]]*$O$4,N738))</f>
        <v>0</v>
      </c>
      <c r="P7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38" s="2">
        <f>ABS(Данные[[#This Row],[days_birth]])/365.2425</f>
        <v>60.51869648247397</v>
      </c>
      <c r="S7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38" s="2">
        <f>IF(Данные[[#This Row],[ interest_rate]]&gt;$T$1,Данные[[#This Row],[days_birth4]]*$T$2,Данные[[#This Row],[days_birth4]])</f>
        <v>0</v>
      </c>
      <c r="U738" s="2">
        <f>IF(Данные[[#This Row],[Проверка отказа]]="отказ",0,MAX(Данные[[#This Row],[interest_rate]],$C$1))</f>
        <v>0</v>
      </c>
      <c r="V738" s="2">
        <f>MROUND(Данные[[#This Row],[Минимум 20000]], 100)</f>
        <v>0</v>
      </c>
    </row>
    <row r="739" spans="1:22" x14ac:dyDescent="0.25">
      <c r="A739" s="2">
        <f>'1000_заявлений'!A733</f>
        <v>731</v>
      </c>
      <c r="B739" s="4">
        <f>VALUE(SUBSTITUTE('1000_заявлений'!B733, ".", ","))</f>
        <v>0.23738377613779499</v>
      </c>
      <c r="C739" s="4">
        <f>VALUE(SUBSTITUTE('1000_заявлений'!C733, ".", ","))</f>
        <v>0.45639161820069701</v>
      </c>
      <c r="D739" s="4">
        <f>VALUE(SUBSTITUTE('1000_заявлений'!D733, ".", ","))</f>
        <v>0.74630019999999997</v>
      </c>
      <c r="E739" s="4">
        <f>VALUE(SUBSTITUTE('1000_заявлений'!E733, ".", ","))</f>
        <v>0.57488835000000005</v>
      </c>
      <c r="F739" s="5">
        <f>VALUE(SUBSTITUTE('1000_заявлений'!F733, ".", ","))</f>
        <v>-8822</v>
      </c>
      <c r="G739" s="5">
        <f>VALUE(SUBSTITUTE('1000_заявлений'!G733, ".", ","))</f>
        <v>-16229</v>
      </c>
      <c r="H739" s="5">
        <f>VALUE(SUBSTITUTE('1000_заявлений'!H733, ".", ","))</f>
        <v>-4426</v>
      </c>
      <c r="I739" s="4">
        <f>VALUE(SUBSTITUTE('1000_заявлений'!I733, ".", ","))</f>
        <v>0.15</v>
      </c>
      <c r="J739" s="4">
        <f>VALUE(SUBSTITUTE('1000_заявлений'!J733, ".", ","))</f>
        <v>10.6209759779781</v>
      </c>
      <c r="K739" s="5">
        <f>VALUE(SUBSTITUTE('1000_заявлений'!K733, ".", ","))</f>
        <v>-534</v>
      </c>
      <c r="L739" s="6">
        <f>VALUE(SUBSTITUTE('1000_заявлений'!L733, ".", ","))</f>
        <v>13500</v>
      </c>
      <c r="M739" s="2" t="str">
        <f>IF(Данные[[#This Row],[proba]]&gt;$C$6, "отказ", "одобрение")</f>
        <v>одобрение</v>
      </c>
      <c r="N739" s="7">
        <f>IF(Данные[[#This Row],[proba]]&lt;$D$2,$C$2,IF(Данные[[#This Row],[proba]]&lt;$D$3,$C$3,IF(Данные[[#This Row],[proba]]&gt;$C$6,0,$C$4)))</f>
        <v>100000</v>
      </c>
      <c r="O739" s="2">
        <f>IF(Данные[[#This Row],[weighted_ext_score]]&gt;$O$1,MIN(Данные[[#This Row],[Базовая сумма]]*$O$2,$C$2),IF(Данные[[#This Row],[weighted_ext_score]]&lt;$O$3,Данные[[#This Row],[Базовая сумма]]*$O$4,N739))</f>
        <v>100000</v>
      </c>
      <c r="P7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739" s="2">
        <f>ABS(Данные[[#This Row],[days_birth]])/365.2425</f>
        <v>44.433492816416489</v>
      </c>
      <c r="S7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739" s="2">
        <f>IF(Данные[[#This Row],[ interest_rate]]&gt;$T$1,Данные[[#This Row],[days_birth4]]*$T$2,Данные[[#This Row],[days_birth4]])</f>
        <v>84000</v>
      </c>
      <c r="U739" s="2">
        <f>IF(Данные[[#This Row],[Проверка отказа]]="отказ",0,MAX(Данные[[#This Row],[interest_rate]],$C$1))</f>
        <v>84000</v>
      </c>
      <c r="V739" s="2">
        <f>MROUND(Данные[[#This Row],[Минимум 20000]], 100)</f>
        <v>84000</v>
      </c>
    </row>
    <row r="740" spans="1:22" x14ac:dyDescent="0.25">
      <c r="A740" s="2">
        <f>'1000_заявлений'!A734</f>
        <v>732</v>
      </c>
      <c r="B740" s="4">
        <f>VALUE(SUBSTITUTE('1000_заявлений'!B734, ".", ","))</f>
        <v>0.45739482358425498</v>
      </c>
      <c r="C740" s="4">
        <f>VALUE(SUBSTITUTE('1000_заявлений'!C734, ".", ","))</f>
        <v>0.21525730565659101</v>
      </c>
      <c r="D740" s="4">
        <f>VALUE(SUBSTITUTE('1000_заявлений'!D734, ".", ","))</f>
        <v>0.53527623000000002</v>
      </c>
      <c r="E740" s="4">
        <f>VALUE(SUBSTITUTE('1000_заявлений'!E734, ".", ","))</f>
        <v>0.66360249999999998</v>
      </c>
      <c r="F740" s="5">
        <f>VALUE(SUBSTITUTE('1000_заявлений'!F734, ".", ","))</f>
        <v>-8661</v>
      </c>
      <c r="G740" s="5">
        <f>VALUE(SUBSTITUTE('1000_заявлений'!G734, ".", ","))</f>
        <v>-16007</v>
      </c>
      <c r="H740" s="5">
        <f>VALUE(SUBSTITUTE('1000_заявлений'!H734, ".", ","))</f>
        <v>-4426</v>
      </c>
      <c r="I740" s="4">
        <f>VALUE(SUBSTITUTE('1000_заявлений'!I734, ".", ","))</f>
        <v>0.19420000000000001</v>
      </c>
      <c r="J740" s="4">
        <f>VALUE(SUBSTITUTE('1000_заявлений'!J734, ".", ","))</f>
        <v>2.7268436150310298</v>
      </c>
      <c r="K740" s="5">
        <f>VALUE(SUBSTITUTE('1000_заявлений'!K734, ".", ","))</f>
        <v>-1192</v>
      </c>
      <c r="L740" s="6">
        <f>VALUE(SUBSTITUTE('1000_заявлений'!L734, ".", ","))</f>
        <v>26217</v>
      </c>
      <c r="M740" s="2" t="str">
        <f>IF(Данные[[#This Row],[proba]]&gt;$C$6, "отказ", "одобрение")</f>
        <v>отказ</v>
      </c>
      <c r="N740" s="7">
        <f>IF(Данные[[#This Row],[proba]]&lt;$D$2,$C$2,IF(Данные[[#This Row],[proba]]&lt;$D$3,$C$3,IF(Данные[[#This Row],[proba]]&gt;$C$6,0,$C$4)))</f>
        <v>0</v>
      </c>
      <c r="O740" s="2">
        <f>IF(Данные[[#This Row],[weighted_ext_score]]&gt;$O$1,MIN(Данные[[#This Row],[Базовая сумма]]*$O$2,$C$2),IF(Данные[[#This Row],[weighted_ext_score]]&lt;$O$3,Данные[[#This Row],[Базовая сумма]]*$O$4,N740))</f>
        <v>0</v>
      </c>
      <c r="P7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0" s="2">
        <f>ABS(Данные[[#This Row],[days_birth]])/365.2425</f>
        <v>43.825677460865037</v>
      </c>
      <c r="S7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0" s="2">
        <f>IF(Данные[[#This Row],[ interest_rate]]&gt;$T$1,Данные[[#This Row],[days_birth4]]*$T$2,Данные[[#This Row],[days_birth4]])</f>
        <v>0</v>
      </c>
      <c r="U740" s="2">
        <f>IF(Данные[[#This Row],[Проверка отказа]]="отказ",0,MAX(Данные[[#This Row],[interest_rate]],$C$1))</f>
        <v>0</v>
      </c>
      <c r="V740" s="2">
        <f>MROUND(Данные[[#This Row],[Минимум 20000]], 100)</f>
        <v>0</v>
      </c>
    </row>
    <row r="741" spans="1:22" x14ac:dyDescent="0.25">
      <c r="A741" s="2">
        <f>'1000_заявлений'!A735</f>
        <v>733</v>
      </c>
      <c r="B741" s="4">
        <f>VALUE(SUBSTITUTE('1000_заявлений'!B735, ".", ","))</f>
        <v>0.43144124170225001</v>
      </c>
      <c r="C741" s="4">
        <f>VALUE(SUBSTITUTE('1000_заявлений'!C735, ".", ","))</f>
        <v>0.38880885998043402</v>
      </c>
      <c r="D741" s="4">
        <f>VALUE(SUBSTITUTE('1000_заявлений'!D735, ".", ","))</f>
        <v>0.35729327999999999</v>
      </c>
      <c r="E741" s="4">
        <f>VALUE(SUBSTITUTE('1000_заявлений'!E735, ".", ","))</f>
        <v>0.80026715999999998</v>
      </c>
      <c r="F741" s="5">
        <f>VALUE(SUBSTITUTE('1000_заявлений'!F735, ".", ","))</f>
        <v>-9223</v>
      </c>
      <c r="G741" s="5">
        <f>VALUE(SUBSTITUTE('1000_заявлений'!G735, ".", ","))</f>
        <v>-16767</v>
      </c>
      <c r="H741" s="5">
        <f>VALUE(SUBSTITUTE('1000_заявлений'!H735, ".", ","))</f>
        <v>-314</v>
      </c>
      <c r="I741" s="4">
        <f>VALUE(SUBSTITUTE('1000_заявлений'!I735, ".", ","))</f>
        <v>0.16500000000000001</v>
      </c>
      <c r="J741" s="4">
        <f>VALUE(SUBSTITUTE('1000_заявлений'!J735, ".", ","))</f>
        <v>2.3444577000926299</v>
      </c>
      <c r="K741" s="5">
        <f>VALUE(SUBSTITUTE('1000_заявлений'!K735, ".", ","))</f>
        <v>-10090</v>
      </c>
      <c r="L741" s="6">
        <f>VALUE(SUBSTITUTE('1000_заявлений'!L735, ".", ","))</f>
        <v>33412.5</v>
      </c>
      <c r="M741" s="2" t="str">
        <f>IF(Данные[[#This Row],[proba]]&gt;$C$6, "отказ", "одобрение")</f>
        <v>отказ</v>
      </c>
      <c r="N741" s="7">
        <f>IF(Данные[[#This Row],[proba]]&lt;$D$2,$C$2,IF(Данные[[#This Row],[proba]]&lt;$D$3,$C$3,IF(Данные[[#This Row],[proba]]&gt;$C$6,0,$C$4)))</f>
        <v>0</v>
      </c>
      <c r="O741" s="2">
        <f>IF(Данные[[#This Row],[weighted_ext_score]]&gt;$O$1,MIN(Данные[[#This Row],[Базовая сумма]]*$O$2,$C$2),IF(Данные[[#This Row],[weighted_ext_score]]&lt;$O$3,Данные[[#This Row],[Базовая сумма]]*$O$4,N741))</f>
        <v>0</v>
      </c>
      <c r="P7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1" s="2">
        <f>ABS(Данные[[#This Row],[days_birth]])/365.2425</f>
        <v>45.906486786176309</v>
      </c>
      <c r="S7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1" s="2">
        <f>IF(Данные[[#This Row],[ interest_rate]]&gt;$T$1,Данные[[#This Row],[days_birth4]]*$T$2,Данные[[#This Row],[days_birth4]])</f>
        <v>0</v>
      </c>
      <c r="U741" s="2">
        <f>IF(Данные[[#This Row],[Проверка отказа]]="отказ",0,MAX(Данные[[#This Row],[interest_rate]],$C$1))</f>
        <v>0</v>
      </c>
      <c r="V741" s="2">
        <f>MROUND(Данные[[#This Row],[Минимум 20000]], 100)</f>
        <v>0</v>
      </c>
    </row>
    <row r="742" spans="1:22" x14ac:dyDescent="0.25">
      <c r="A742" s="2">
        <f>'1000_заявлений'!A736</f>
        <v>734</v>
      </c>
      <c r="B742" s="4">
        <f>VALUE(SUBSTITUTE('1000_заявлений'!B736, ".", ","))</f>
        <v>0.625232110388242</v>
      </c>
      <c r="C742" s="4">
        <f>VALUE(SUBSTITUTE('1000_заявлений'!C736, ".", ","))</f>
        <v>0.28123210008335497</v>
      </c>
      <c r="D742" s="4">
        <f>VALUE(SUBSTITUTE('1000_заявлений'!D736, ".", ","))</f>
        <v>0.13937578</v>
      </c>
      <c r="E742" s="4">
        <f>VALUE(SUBSTITUTE('1000_заявлений'!E736, ".", ","))</f>
        <v>0.71159410000000001</v>
      </c>
      <c r="F742" s="5">
        <f>VALUE(SUBSTITUTE('1000_заявлений'!F736, ".", ","))</f>
        <v>-772</v>
      </c>
      <c r="G742" s="5">
        <f>VALUE(SUBSTITUTE('1000_заявлений'!G736, ".", ","))</f>
        <v>-13234</v>
      </c>
      <c r="H742" s="5">
        <f>VALUE(SUBSTITUTE('1000_заявлений'!H736, ".", ","))</f>
        <v>-2460</v>
      </c>
      <c r="I742" s="4">
        <f>VALUE(SUBSTITUTE('1000_заявлений'!I736, ".", ","))</f>
        <v>5.9276923076922998E-2</v>
      </c>
      <c r="J742" s="4">
        <f>VALUE(SUBSTITUTE('1000_заявлений'!J736, ".", ","))</f>
        <v>5.25208506702592</v>
      </c>
      <c r="K742" s="5">
        <f>VALUE(SUBSTITUTE('1000_заявлений'!K736, ".", ","))</f>
        <v>-3111</v>
      </c>
      <c r="L742" s="6">
        <f>VALUE(SUBSTITUTE('1000_заявлений'!L736, ".", ","))</f>
        <v>17338.5</v>
      </c>
      <c r="M742" s="2" t="str">
        <f>IF(Данные[[#This Row],[proba]]&gt;$C$6, "отказ", "одобрение")</f>
        <v>отказ</v>
      </c>
      <c r="N742" s="7">
        <f>IF(Данные[[#This Row],[proba]]&lt;$D$2,$C$2,IF(Данные[[#This Row],[proba]]&lt;$D$3,$C$3,IF(Данные[[#This Row],[proba]]&gt;$C$6,0,$C$4)))</f>
        <v>0</v>
      </c>
      <c r="O742" s="2">
        <f>IF(Данные[[#This Row],[weighted_ext_score]]&gt;$O$1,MIN(Данные[[#This Row],[Базовая сумма]]*$O$2,$C$2),IF(Данные[[#This Row],[weighted_ext_score]]&lt;$O$3,Данные[[#This Row],[Базовая сумма]]*$O$4,N742))</f>
        <v>0</v>
      </c>
      <c r="P7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2" s="2">
        <f>ABS(Данные[[#This Row],[days_birth]])/365.2425</f>
        <v>36.233461330485909</v>
      </c>
      <c r="S7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2" s="2">
        <f>IF(Данные[[#This Row],[ interest_rate]]&gt;$T$1,Данные[[#This Row],[days_birth4]]*$T$2,Данные[[#This Row],[days_birth4]])</f>
        <v>0</v>
      </c>
      <c r="U742" s="2">
        <f>IF(Данные[[#This Row],[Проверка отказа]]="отказ",0,MAX(Данные[[#This Row],[interest_rate]],$C$1))</f>
        <v>0</v>
      </c>
      <c r="V742" s="2">
        <f>MROUND(Данные[[#This Row],[Минимум 20000]], 100)</f>
        <v>0</v>
      </c>
    </row>
    <row r="743" spans="1:22" x14ac:dyDescent="0.25">
      <c r="A743" s="2">
        <f>'1000_заявлений'!A737</f>
        <v>735</v>
      </c>
      <c r="B743" s="4">
        <f>VALUE(SUBSTITUTE('1000_заявлений'!B737, ".", ","))</f>
        <v>0.56239088869165199</v>
      </c>
      <c r="C743" s="4">
        <f>VALUE(SUBSTITUTE('1000_заявлений'!C737, ".", ","))</f>
        <v>0.28933124094962698</v>
      </c>
      <c r="D743" s="4">
        <f>VALUE(SUBSTITUTE('1000_заявлений'!D737, ".", ","))</f>
        <v>0.13851288</v>
      </c>
      <c r="E743" s="4">
        <f>VALUE(SUBSTITUTE('1000_заявлений'!E737, ".", ","))</f>
        <v>0.73752450000000003</v>
      </c>
      <c r="F743" s="5">
        <f>VALUE(SUBSTITUTE('1000_заявлений'!F737, ".", ","))</f>
        <v>-6659</v>
      </c>
      <c r="G743" s="5">
        <f>VALUE(SUBSTITUTE('1000_заявлений'!G737, ".", ","))</f>
        <v>-16856</v>
      </c>
      <c r="H743" s="5">
        <f>VALUE(SUBSTITUTE('1000_заявлений'!H737, ".", ","))</f>
        <v>-399</v>
      </c>
      <c r="I743" s="4">
        <f>VALUE(SUBSTITUTE('1000_заявлений'!I737, ".", ","))</f>
        <v>0.23830000000000001</v>
      </c>
      <c r="J743" s="4">
        <f>VALUE(SUBSTITUTE('1000_заявлений'!J737, ".", ","))</f>
        <v>18.459392406573102</v>
      </c>
      <c r="K743" s="5">
        <f>VALUE(SUBSTITUTE('1000_заявлений'!K737, ".", ","))</f>
        <v>-934</v>
      </c>
      <c r="L743" s="6">
        <f>VALUE(SUBSTITUTE('1000_заявлений'!L737, ".", ","))</f>
        <v>32170.5</v>
      </c>
      <c r="M743" s="2" t="str">
        <f>IF(Данные[[#This Row],[proba]]&gt;$C$6, "отказ", "одобрение")</f>
        <v>отказ</v>
      </c>
      <c r="N743" s="7">
        <f>IF(Данные[[#This Row],[proba]]&lt;$D$2,$C$2,IF(Данные[[#This Row],[proba]]&lt;$D$3,$C$3,IF(Данные[[#This Row],[proba]]&gt;$C$6,0,$C$4)))</f>
        <v>0</v>
      </c>
      <c r="O743" s="2">
        <f>IF(Данные[[#This Row],[weighted_ext_score]]&gt;$O$1,MIN(Данные[[#This Row],[Базовая сумма]]*$O$2,$C$2),IF(Данные[[#This Row],[weighted_ext_score]]&lt;$O$3,Данные[[#This Row],[Базовая сумма]]*$O$4,N743))</f>
        <v>0</v>
      </c>
      <c r="P7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3" s="2">
        <f>ABS(Данные[[#This Row],[days_birth]])/365.2425</f>
        <v>46.150160509798283</v>
      </c>
      <c r="S7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3" s="2">
        <f>IF(Данные[[#This Row],[ interest_rate]]&gt;$T$1,Данные[[#This Row],[days_birth4]]*$T$2,Данные[[#This Row],[days_birth4]])</f>
        <v>0</v>
      </c>
      <c r="U743" s="2">
        <f>IF(Данные[[#This Row],[Проверка отказа]]="отказ",0,MAX(Данные[[#This Row],[interest_rate]],$C$1))</f>
        <v>0</v>
      </c>
      <c r="V743" s="2">
        <f>MROUND(Данные[[#This Row],[Минимум 20000]], 100)</f>
        <v>0</v>
      </c>
    </row>
    <row r="744" spans="1:22" x14ac:dyDescent="0.25">
      <c r="A744" s="2">
        <f>'1000_заявлений'!A738</f>
        <v>736</v>
      </c>
      <c r="B744" s="4">
        <f>VALUE(SUBSTITUTE('1000_заявлений'!B738, ".", ","))</f>
        <v>0.46791173617031601</v>
      </c>
      <c r="C744" s="4">
        <f>VALUE(SUBSTITUTE('1000_заявлений'!C738, ".", ","))</f>
        <v>0.34992685369878601</v>
      </c>
      <c r="D744" s="4">
        <f>VALUE(SUBSTITUTE('1000_заявлений'!D738, ".", ","))</f>
        <v>0.62630427</v>
      </c>
      <c r="E744" s="4">
        <f>VALUE(SUBSTITUTE('1000_заявлений'!E738, ".", ","))</f>
        <v>0.38046523999999998</v>
      </c>
      <c r="F744" s="5">
        <f>VALUE(SUBSTITUTE('1000_заявлений'!F738, ".", ","))</f>
        <v>-8434</v>
      </c>
      <c r="G744" s="5">
        <f>VALUE(SUBSTITUTE('1000_заявлений'!G738, ".", ","))</f>
        <v>-16182</v>
      </c>
      <c r="H744" s="5">
        <f>VALUE(SUBSTITUTE('1000_заявлений'!H738, ".", ","))</f>
        <v>-4705</v>
      </c>
      <c r="I744" s="4">
        <f>VALUE(SUBSTITUTE('1000_заявлений'!I738, ".", ","))</f>
        <v>0.28860000000000002</v>
      </c>
      <c r="J744" s="4">
        <f>VALUE(SUBSTITUTE('1000_заявлений'!J738, ".", ","))</f>
        <v>1.8684821377263201</v>
      </c>
      <c r="K744" s="5">
        <f>VALUE(SUBSTITUTE('1000_заявлений'!K738, ".", ","))</f>
        <v>-9275</v>
      </c>
      <c r="L744" s="6">
        <f>VALUE(SUBSTITUTE('1000_заявлений'!L738, ".", ","))</f>
        <v>51948</v>
      </c>
      <c r="M744" s="2" t="str">
        <f>IF(Данные[[#This Row],[proba]]&gt;$C$6, "отказ", "одобрение")</f>
        <v>отказ</v>
      </c>
      <c r="N744" s="7">
        <f>IF(Данные[[#This Row],[proba]]&lt;$D$2,$C$2,IF(Данные[[#This Row],[proba]]&lt;$D$3,$C$3,IF(Данные[[#This Row],[proba]]&gt;$C$6,0,$C$4)))</f>
        <v>0</v>
      </c>
      <c r="O744" s="2">
        <f>IF(Данные[[#This Row],[weighted_ext_score]]&gt;$O$1,MIN(Данные[[#This Row],[Базовая сумма]]*$O$2,$C$2),IF(Данные[[#This Row],[weighted_ext_score]]&lt;$O$3,Данные[[#This Row],[Базовая сумма]]*$O$4,N744))</f>
        <v>0</v>
      </c>
      <c r="P7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4" s="2">
        <f>ABS(Данные[[#This Row],[days_birth]])/365.2425</f>
        <v>44.304811187088028</v>
      </c>
      <c r="S7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4" s="2">
        <f>IF(Данные[[#This Row],[ interest_rate]]&gt;$T$1,Данные[[#This Row],[days_birth4]]*$T$2,Данные[[#This Row],[days_birth4]])</f>
        <v>0</v>
      </c>
      <c r="U744" s="2">
        <f>IF(Данные[[#This Row],[Проверка отказа]]="отказ",0,MAX(Данные[[#This Row],[interest_rate]],$C$1))</f>
        <v>0</v>
      </c>
      <c r="V744" s="2">
        <f>MROUND(Данные[[#This Row],[Минимум 20000]], 100)</f>
        <v>0</v>
      </c>
    </row>
    <row r="745" spans="1:22" x14ac:dyDescent="0.25">
      <c r="A745" s="2">
        <f>'1000_заявлений'!A739</f>
        <v>737</v>
      </c>
      <c r="B745" s="4">
        <f>VALUE(SUBSTITUTE('1000_заявлений'!B739, ".", ","))</f>
        <v>0.67135282818277797</v>
      </c>
      <c r="C745" s="4">
        <f>VALUE(SUBSTITUTE('1000_заявлений'!C739, ".", ","))</f>
        <v>0.36316122833888398</v>
      </c>
      <c r="D745" s="4">
        <f>VALUE(SUBSTITUTE('1000_заявлений'!D739, ".", ","))</f>
        <v>0.15100753</v>
      </c>
      <c r="E745" s="4">
        <f>VALUE(SUBSTITUTE('1000_заявлений'!E739, ".", ","))</f>
        <v>0.42468785999999997</v>
      </c>
      <c r="F745" s="5">
        <f>VALUE(SUBSTITUTE('1000_заявлений'!F739, ".", ","))</f>
        <v>-6002</v>
      </c>
      <c r="G745" s="5">
        <f>VALUE(SUBSTITUTE('1000_заявлений'!G739, ".", ","))</f>
        <v>-18431</v>
      </c>
      <c r="H745" s="5">
        <f>VALUE(SUBSTITUTE('1000_заявлений'!H739, ".", ","))</f>
        <v>-1774</v>
      </c>
      <c r="I745" s="4">
        <f>VALUE(SUBSTITUTE('1000_заявлений'!I739, ".", ","))</f>
        <v>0.12144000000000001</v>
      </c>
      <c r="J745" s="4">
        <f>VALUE(SUBSTITUTE('1000_заявлений'!J739, ".", ","))</f>
        <v>4.3425486746510904</v>
      </c>
      <c r="K745" s="5">
        <f>VALUE(SUBSTITUTE('1000_заявлений'!K739, ".", ","))</f>
        <v>-1022</v>
      </c>
      <c r="L745" s="6">
        <f>VALUE(SUBSTITUTE('1000_заявлений'!L739, ".", ","))</f>
        <v>27324</v>
      </c>
      <c r="M745" s="2" t="str">
        <f>IF(Данные[[#This Row],[proba]]&gt;$C$6, "отказ", "одобрение")</f>
        <v>отказ</v>
      </c>
      <c r="N745" s="7">
        <f>IF(Данные[[#This Row],[proba]]&lt;$D$2,$C$2,IF(Данные[[#This Row],[proba]]&lt;$D$3,$C$3,IF(Данные[[#This Row],[proba]]&gt;$C$6,0,$C$4)))</f>
        <v>0</v>
      </c>
      <c r="O745" s="2">
        <f>IF(Данные[[#This Row],[weighted_ext_score]]&gt;$O$1,MIN(Данные[[#This Row],[Базовая сумма]]*$O$2,$C$2),IF(Данные[[#This Row],[weighted_ext_score]]&lt;$O$3,Данные[[#This Row],[Базовая сумма]]*$O$4,N745))</f>
        <v>0</v>
      </c>
      <c r="P7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5" s="2">
        <f>ABS(Данные[[#This Row],[days_birth]])/365.2425</f>
        <v>50.462364045805181</v>
      </c>
      <c r="S7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5" s="2">
        <f>IF(Данные[[#This Row],[ interest_rate]]&gt;$T$1,Данные[[#This Row],[days_birth4]]*$T$2,Данные[[#This Row],[days_birth4]])</f>
        <v>0</v>
      </c>
      <c r="U745" s="2">
        <f>IF(Данные[[#This Row],[Проверка отказа]]="отказ",0,MAX(Данные[[#This Row],[interest_rate]],$C$1))</f>
        <v>0</v>
      </c>
      <c r="V745" s="2">
        <f>MROUND(Данные[[#This Row],[Минимум 20000]], 100)</f>
        <v>0</v>
      </c>
    </row>
    <row r="746" spans="1:22" x14ac:dyDescent="0.25">
      <c r="A746" s="2">
        <f>'1000_заявлений'!A740</f>
        <v>738</v>
      </c>
      <c r="B746" s="4">
        <f>VALUE(SUBSTITUTE('1000_заявлений'!B740, ".", ","))</f>
        <v>0.27354832032085802</v>
      </c>
      <c r="C746" s="4">
        <f>VALUE(SUBSTITUTE('1000_заявлений'!C740, ".", ","))</f>
        <v>0.42797220189900897</v>
      </c>
      <c r="D746" s="4">
        <f>VALUE(SUBSTITUTE('1000_заявлений'!D740, ".", ","))</f>
        <v>0.63470554000000001</v>
      </c>
      <c r="E746" s="4">
        <f>VALUE(SUBSTITUTE('1000_заявлений'!E740, ".", ","))</f>
        <v>0.61169903999999997</v>
      </c>
      <c r="F746" s="5">
        <f>VALUE(SUBSTITUTE('1000_заявлений'!F740, ".", ","))</f>
        <v>-9305</v>
      </c>
      <c r="G746" s="5">
        <f>VALUE(SUBSTITUTE('1000_заявлений'!G740, ".", ","))</f>
        <v>-23284</v>
      </c>
      <c r="H746" s="5">
        <f>VALUE(SUBSTITUTE('1000_заявлений'!H740, ".", ","))</f>
        <v>-4651</v>
      </c>
      <c r="I746" s="4">
        <f>VALUE(SUBSTITUTE('1000_заявлений'!I740, ".", ","))</f>
        <v>0.31972727272727203</v>
      </c>
      <c r="J746" s="4">
        <f>VALUE(SUBSTITUTE('1000_заявлений'!J740, ".", ","))</f>
        <v>1.83324182632016</v>
      </c>
      <c r="K746" s="5">
        <f>VALUE(SUBSTITUTE('1000_заявлений'!K740, ".", ","))</f>
        <v>365243</v>
      </c>
      <c r="L746" s="6">
        <f>VALUE(SUBSTITUTE('1000_заявлений'!L740, ".", ","))</f>
        <v>31653</v>
      </c>
      <c r="M746" s="2" t="str">
        <f>IF(Данные[[#This Row],[proba]]&gt;$C$6, "отказ", "одобрение")</f>
        <v>одобрение</v>
      </c>
      <c r="N746" s="7">
        <f>IF(Данные[[#This Row],[proba]]&lt;$D$2,$C$2,IF(Данные[[#This Row],[proba]]&lt;$D$3,$C$3,IF(Данные[[#This Row],[proba]]&gt;$C$6,0,$C$4)))</f>
        <v>100000</v>
      </c>
      <c r="O746" s="2">
        <f>IF(Данные[[#This Row],[weighted_ext_score]]&gt;$O$1,MIN(Данные[[#This Row],[Базовая сумма]]*$O$2,$C$2),IF(Данные[[#This Row],[weighted_ext_score]]&lt;$O$3,Данные[[#This Row],[Базовая сумма]]*$O$4,N746))</f>
        <v>100000</v>
      </c>
      <c r="P7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746" s="2">
        <f>ABS(Данные[[#This Row],[days_birth]])/365.2425</f>
        <v>63.74942675072041</v>
      </c>
      <c r="S7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746" s="2">
        <f>IF(Данные[[#This Row],[ interest_rate]]&gt;$T$1,Данные[[#This Row],[days_birth4]]*$T$2,Данные[[#This Row],[days_birth4]])</f>
        <v>105000</v>
      </c>
      <c r="U746" s="2">
        <f>IF(Данные[[#This Row],[Проверка отказа]]="отказ",0,MAX(Данные[[#This Row],[interest_rate]],$C$1))</f>
        <v>105000</v>
      </c>
      <c r="V746" s="2">
        <f>MROUND(Данные[[#This Row],[Минимум 20000]], 100)</f>
        <v>105000</v>
      </c>
    </row>
    <row r="747" spans="1:22" x14ac:dyDescent="0.25">
      <c r="A747" s="2">
        <f>'1000_заявлений'!A741</f>
        <v>739</v>
      </c>
      <c r="B747" s="4">
        <f>VALUE(SUBSTITUTE('1000_заявлений'!B741, ".", ","))</f>
        <v>0.52994253062838603</v>
      </c>
      <c r="C747" s="4">
        <f>VALUE(SUBSTITUTE('1000_заявлений'!C741, ".", ","))</f>
        <v>0.332062563068932</v>
      </c>
      <c r="D747" s="4">
        <f>VALUE(SUBSTITUTE('1000_заявлений'!D741, ".", ","))</f>
        <v>0.62461465999999999</v>
      </c>
      <c r="E747" s="4">
        <f>VALUE(SUBSTITUTE('1000_заявлений'!E741, ".", ","))</f>
        <v>0.32727644</v>
      </c>
      <c r="F747" s="5">
        <f>VALUE(SUBSTITUTE('1000_заявлений'!F741, ".", ","))</f>
        <v>-4999</v>
      </c>
      <c r="G747" s="5">
        <f>VALUE(SUBSTITUTE('1000_заявлений'!G741, ".", ","))</f>
        <v>-18986</v>
      </c>
      <c r="H747" s="5">
        <f>VALUE(SUBSTITUTE('1000_заявлений'!H741, ".", ","))</f>
        <v>-2495</v>
      </c>
      <c r="I747" s="4">
        <f>VALUE(SUBSTITUTE('1000_заявлений'!I741, ".", ","))</f>
        <v>0.33023449950671602</v>
      </c>
      <c r="J747" s="4">
        <f>VALUE(SUBSTITUTE('1000_заявлений'!J741, ".", ","))</f>
        <v>1.94269357945608</v>
      </c>
      <c r="K747" s="5">
        <f>VALUE(SUBSTITUTE('1000_заявлений'!K741, ".", ","))</f>
        <v>-2331</v>
      </c>
      <c r="L747" s="6">
        <f>VALUE(SUBSTITUTE('1000_заявлений'!L741, ".", ","))</f>
        <v>39163.5</v>
      </c>
      <c r="M747" s="2" t="str">
        <f>IF(Данные[[#This Row],[proba]]&gt;$C$6, "отказ", "одобрение")</f>
        <v>отказ</v>
      </c>
      <c r="N747" s="7">
        <f>IF(Данные[[#This Row],[proba]]&lt;$D$2,$C$2,IF(Данные[[#This Row],[proba]]&lt;$D$3,$C$3,IF(Данные[[#This Row],[proba]]&gt;$C$6,0,$C$4)))</f>
        <v>0</v>
      </c>
      <c r="O747" s="2">
        <f>IF(Данные[[#This Row],[weighted_ext_score]]&gt;$O$1,MIN(Данные[[#This Row],[Базовая сумма]]*$O$2,$C$2),IF(Данные[[#This Row],[weighted_ext_score]]&lt;$O$3,Данные[[#This Row],[Базовая сумма]]*$O$4,N747))</f>
        <v>0</v>
      </c>
      <c r="P7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7" s="2">
        <f>ABS(Данные[[#This Row],[days_birth]])/365.2425</f>
        <v>51.981902434683803</v>
      </c>
      <c r="S7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7" s="2">
        <f>IF(Данные[[#This Row],[ interest_rate]]&gt;$T$1,Данные[[#This Row],[days_birth4]]*$T$2,Данные[[#This Row],[days_birth4]])</f>
        <v>0</v>
      </c>
      <c r="U747" s="2">
        <f>IF(Данные[[#This Row],[Проверка отказа]]="отказ",0,MAX(Данные[[#This Row],[interest_rate]],$C$1))</f>
        <v>0</v>
      </c>
      <c r="V747" s="2">
        <f>MROUND(Данные[[#This Row],[Минимум 20000]], 100)</f>
        <v>0</v>
      </c>
    </row>
    <row r="748" spans="1:22" x14ac:dyDescent="0.25">
      <c r="A748" s="2">
        <f>'1000_заявлений'!A742</f>
        <v>740</v>
      </c>
      <c r="B748" s="4">
        <f>VALUE(SUBSTITUTE('1000_заявлений'!B742, ".", ","))</f>
        <v>0.52398763558959205</v>
      </c>
      <c r="C748" s="4">
        <f>VALUE(SUBSTITUTE('1000_заявлений'!C742, ".", ","))</f>
        <v>0.31117259288411198</v>
      </c>
      <c r="D748" s="4">
        <f>VALUE(SUBSTITUTE('1000_заявлений'!D742, ".", ","))</f>
        <v>0.3944954</v>
      </c>
      <c r="E748" s="4">
        <f>VALUE(SUBSTITUTE('1000_заявлений'!E742, ".", ","))</f>
        <v>0.51944875999999995</v>
      </c>
      <c r="F748" s="5">
        <f>VALUE(SUBSTITUTE('1000_заявлений'!F742, ".", ","))</f>
        <v>-6531</v>
      </c>
      <c r="G748" s="5">
        <f>VALUE(SUBSTITUTE('1000_заявлений'!G742, ".", ","))</f>
        <v>-19907</v>
      </c>
      <c r="H748" s="5">
        <f>VALUE(SUBSTITUTE('1000_заявлений'!H742, ".", ","))</f>
        <v>-3444</v>
      </c>
      <c r="I748" s="4">
        <f>VALUE(SUBSTITUTE('1000_заявлений'!I742, ".", ","))</f>
        <v>0.114489795918367</v>
      </c>
      <c r="J748" s="4">
        <f>VALUE(SUBSTITUTE('1000_заявлений'!J742, ".", ","))</f>
        <v>0.905065991676124</v>
      </c>
      <c r="K748" s="5">
        <f>VALUE(SUBSTITUTE('1000_заявлений'!K742, ".", ","))</f>
        <v>-1569</v>
      </c>
      <c r="L748" s="6">
        <f>VALUE(SUBSTITUTE('1000_заявлений'!L742, ".", ","))</f>
        <v>25245</v>
      </c>
      <c r="M748" s="2" t="str">
        <f>IF(Данные[[#This Row],[proba]]&gt;$C$6, "отказ", "одобрение")</f>
        <v>отказ</v>
      </c>
      <c r="N748" s="7">
        <f>IF(Данные[[#This Row],[proba]]&lt;$D$2,$C$2,IF(Данные[[#This Row],[proba]]&lt;$D$3,$C$3,IF(Данные[[#This Row],[proba]]&gt;$C$6,0,$C$4)))</f>
        <v>0</v>
      </c>
      <c r="O748" s="2">
        <f>IF(Данные[[#This Row],[weighted_ext_score]]&gt;$O$1,MIN(Данные[[#This Row],[Базовая сумма]]*$O$2,$C$2),IF(Данные[[#This Row],[weighted_ext_score]]&lt;$O$3,Данные[[#This Row],[Базовая сумма]]*$O$4,N748))</f>
        <v>0</v>
      </c>
      <c r="P7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48" s="2">
        <f>ABS(Данные[[#This Row],[days_birth]])/365.2425</f>
        <v>54.503514788120221</v>
      </c>
      <c r="S7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48" s="2">
        <f>IF(Данные[[#This Row],[ interest_rate]]&gt;$T$1,Данные[[#This Row],[days_birth4]]*$T$2,Данные[[#This Row],[days_birth4]])</f>
        <v>0</v>
      </c>
      <c r="U748" s="2">
        <f>IF(Данные[[#This Row],[Проверка отказа]]="отказ",0,MAX(Данные[[#This Row],[interest_rate]],$C$1))</f>
        <v>0</v>
      </c>
      <c r="V748" s="2">
        <f>MROUND(Данные[[#This Row],[Минимум 20000]], 100)</f>
        <v>0</v>
      </c>
    </row>
    <row r="749" spans="1:22" x14ac:dyDescent="0.25">
      <c r="A749" s="2">
        <f>'1000_заявлений'!A743</f>
        <v>741</v>
      </c>
      <c r="B749" s="4">
        <f>VALUE(SUBSTITUTE('1000_заявлений'!B743, ".", ","))</f>
        <v>0.103519943951089</v>
      </c>
      <c r="C749" s="4">
        <f>VALUE(SUBSTITUTE('1000_заявлений'!C743, ".", ","))</f>
        <v>0.66970204496074404</v>
      </c>
      <c r="D749" s="4">
        <f>VALUE(SUBSTITUTE('1000_заявлений'!D743, ".", ","))</f>
        <v>0.72814129999999999</v>
      </c>
      <c r="E749" s="4">
        <f>VALUE(SUBSTITUTE('1000_заявлений'!E743, ".", ","))</f>
        <v>0.58326710000000004</v>
      </c>
      <c r="F749" s="5">
        <f>VALUE(SUBSTITUTE('1000_заявлений'!F743, ".", ","))</f>
        <v>-3678</v>
      </c>
      <c r="G749" s="5">
        <f>VALUE(SUBSTITUTE('1000_заявлений'!G743, ".", ","))</f>
        <v>-24822</v>
      </c>
      <c r="H749" s="5">
        <f>VALUE(SUBSTITUTE('1000_заявлений'!H743, ".", ","))</f>
        <v>-4342</v>
      </c>
      <c r="I749" s="4">
        <f>VALUE(SUBSTITUTE('1000_заявлений'!I743, ".", ","))</f>
        <v>0.1658</v>
      </c>
      <c r="J749" s="4">
        <f>VALUE(SUBSTITUTE('1000_заявлений'!J743, ".", ","))</f>
        <v>20.022106645230298</v>
      </c>
      <c r="K749" s="5">
        <f>VALUE(SUBSTITUTE('1000_заявлений'!K743, ".", ","))</f>
        <v>365243</v>
      </c>
      <c r="L749" s="6">
        <f>VALUE(SUBSTITUTE('1000_заявлений'!L743, ".", ","))</f>
        <v>22383</v>
      </c>
      <c r="M749" s="2" t="str">
        <f>IF(Данные[[#This Row],[proba]]&gt;$C$6, "отказ", "одобрение")</f>
        <v>одобрение</v>
      </c>
      <c r="N749" s="7">
        <f>IF(Данные[[#This Row],[proba]]&lt;$D$2,$C$2,IF(Данные[[#This Row],[proba]]&lt;$D$3,$C$3,IF(Данные[[#This Row],[proba]]&gt;$C$6,0,$C$4)))</f>
        <v>300000</v>
      </c>
      <c r="O749" s="2">
        <f>IF(Данные[[#This Row],[weighted_ext_score]]&gt;$O$1,MIN(Данные[[#This Row],[Базовая сумма]]*$O$2,$C$2),IF(Данные[[#This Row],[weighted_ext_score]]&lt;$O$3,Данные[[#This Row],[Базовая сумма]]*$O$4,N749))</f>
        <v>300000</v>
      </c>
      <c r="P7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49" s="2">
        <f>ABS(Данные[[#This Row],[days_birth]])/365.2425</f>
        <v>67.960327727468737</v>
      </c>
      <c r="S7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49" s="2">
        <f>IF(Данные[[#This Row],[ interest_rate]]&gt;$T$1,Данные[[#This Row],[days_birth4]]*$T$2,Данные[[#This Row],[days_birth4]])</f>
        <v>302400</v>
      </c>
      <c r="U749" s="2">
        <f>IF(Данные[[#This Row],[Проверка отказа]]="отказ",0,MAX(Данные[[#This Row],[interest_rate]],$C$1))</f>
        <v>302400</v>
      </c>
      <c r="V749" s="2">
        <f>MROUND(Данные[[#This Row],[Минимум 20000]], 100)</f>
        <v>302400</v>
      </c>
    </row>
    <row r="750" spans="1:22" x14ac:dyDescent="0.25">
      <c r="A750" s="2">
        <f>'1000_заявлений'!A744</f>
        <v>742</v>
      </c>
      <c r="B750" s="4">
        <f>VALUE(SUBSTITUTE('1000_заявлений'!B744, ".", ","))</f>
        <v>0.36389218554542402</v>
      </c>
      <c r="C750" s="4">
        <f>VALUE(SUBSTITUTE('1000_заявлений'!C744, ".", ","))</f>
        <v>0.22372147583165899</v>
      </c>
      <c r="D750" s="4">
        <f>VALUE(SUBSTITUTE('1000_заявлений'!D744, ".", ","))</f>
        <v>0.53527623000000002</v>
      </c>
      <c r="E750" s="4">
        <f>VALUE(SUBSTITUTE('1000_заявлений'!E744, ".", ","))</f>
        <v>0.68969612999999996</v>
      </c>
      <c r="F750" s="5">
        <f>VALUE(SUBSTITUTE('1000_заявлений'!F744, ".", ","))</f>
        <v>-1519</v>
      </c>
      <c r="G750" s="5">
        <f>VALUE(SUBSTITUTE('1000_заявлений'!G744, ".", ","))</f>
        <v>-21795</v>
      </c>
      <c r="H750" s="5">
        <f>VALUE(SUBSTITUTE('1000_заявлений'!H744, ".", ","))</f>
        <v>-4985</v>
      </c>
      <c r="I750" s="4">
        <f>VALUE(SUBSTITUTE('1000_заявлений'!I744, ".", ","))</f>
        <v>0.111657142857142</v>
      </c>
      <c r="J750" s="4">
        <f>VALUE(SUBSTITUTE('1000_заявлений'!J744, ".", ","))</f>
        <v>0.69234147334795704</v>
      </c>
      <c r="K750" s="5">
        <f>VALUE(SUBSTITUTE('1000_заявлений'!K744, ".", ","))</f>
        <v>365243</v>
      </c>
      <c r="L750" s="6">
        <f>VALUE(SUBSTITUTE('1000_заявлений'!L744, ".", ","))</f>
        <v>17586</v>
      </c>
      <c r="M750" s="2" t="str">
        <f>IF(Данные[[#This Row],[proba]]&gt;$C$6, "отказ", "одобрение")</f>
        <v>отказ</v>
      </c>
      <c r="N750" s="7">
        <f>IF(Данные[[#This Row],[proba]]&lt;$D$2,$C$2,IF(Данные[[#This Row],[proba]]&lt;$D$3,$C$3,IF(Данные[[#This Row],[proba]]&gt;$C$6,0,$C$4)))</f>
        <v>0</v>
      </c>
      <c r="O750" s="2">
        <f>IF(Данные[[#This Row],[weighted_ext_score]]&gt;$O$1,MIN(Данные[[#This Row],[Базовая сумма]]*$O$2,$C$2),IF(Данные[[#This Row],[weighted_ext_score]]&lt;$O$3,Данные[[#This Row],[Базовая сумма]]*$O$4,N750))</f>
        <v>0</v>
      </c>
      <c r="P7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0" s="2">
        <f>ABS(Данные[[#This Row],[days_birth]])/365.2425</f>
        <v>59.672683217314521</v>
      </c>
      <c r="S7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0" s="2">
        <f>IF(Данные[[#This Row],[ interest_rate]]&gt;$T$1,Данные[[#This Row],[days_birth4]]*$T$2,Данные[[#This Row],[days_birth4]])</f>
        <v>0</v>
      </c>
      <c r="U750" s="2">
        <f>IF(Данные[[#This Row],[Проверка отказа]]="отказ",0,MAX(Данные[[#This Row],[interest_rate]],$C$1))</f>
        <v>0</v>
      </c>
      <c r="V750" s="2">
        <f>MROUND(Данные[[#This Row],[Минимум 20000]], 100)</f>
        <v>0</v>
      </c>
    </row>
    <row r="751" spans="1:22" x14ac:dyDescent="0.25">
      <c r="A751" s="2">
        <f>'1000_заявлений'!A745</f>
        <v>743</v>
      </c>
      <c r="B751" s="4">
        <f>VALUE(SUBSTITUTE('1000_заявлений'!B745, ".", ","))</f>
        <v>0.76822076884070001</v>
      </c>
      <c r="C751" s="4">
        <f>VALUE(SUBSTITUTE('1000_заявлений'!C745, ".", ","))</f>
        <v>0.1869448451472</v>
      </c>
      <c r="D751" s="4">
        <f>VALUE(SUBSTITUTE('1000_заявлений'!D745, ".", ","))</f>
        <v>0.42061095999999998</v>
      </c>
      <c r="E751" s="4">
        <f>VALUE(SUBSTITUTE('1000_заявлений'!E745, ".", ","))</f>
        <v>0.10735758400000001</v>
      </c>
      <c r="F751" s="5">
        <f>VALUE(SUBSTITUTE('1000_заявлений'!F745, ".", ","))</f>
        <v>-389</v>
      </c>
      <c r="G751" s="5">
        <f>VALUE(SUBSTITUTE('1000_заявлений'!G745, ".", ","))</f>
        <v>-10882</v>
      </c>
      <c r="H751" s="5">
        <f>VALUE(SUBSTITUTE('1000_заявлений'!H745, ".", ","))</f>
        <v>-1910</v>
      </c>
      <c r="I751" s="4">
        <f>VALUE(SUBSTITUTE('1000_заявлений'!I745, ".", ","))</f>
        <v>0.15578947368421001</v>
      </c>
      <c r="J751" s="4">
        <f>VALUE(SUBSTITUTE('1000_заявлений'!J745, ".", ","))</f>
        <v>7.9620143797618903</v>
      </c>
      <c r="K751" s="5">
        <f>VALUE(SUBSTITUTE('1000_заявлений'!K745, ".", ","))</f>
        <v>-669</v>
      </c>
      <c r="L751" s="6">
        <f>VALUE(SUBSTITUTE('1000_заявлений'!L745, ".", ","))</f>
        <v>26640</v>
      </c>
      <c r="M751" s="2" t="str">
        <f>IF(Данные[[#This Row],[proba]]&gt;$C$6, "отказ", "одобрение")</f>
        <v>отказ</v>
      </c>
      <c r="N751" s="7">
        <f>IF(Данные[[#This Row],[proba]]&lt;$D$2,$C$2,IF(Данные[[#This Row],[proba]]&lt;$D$3,$C$3,IF(Данные[[#This Row],[proba]]&gt;$C$6,0,$C$4)))</f>
        <v>0</v>
      </c>
      <c r="O751" s="2">
        <f>IF(Данные[[#This Row],[weighted_ext_score]]&gt;$O$1,MIN(Данные[[#This Row],[Базовая сумма]]*$O$2,$C$2),IF(Данные[[#This Row],[weighted_ext_score]]&lt;$O$3,Данные[[#This Row],[Базовая сумма]]*$O$4,N751))</f>
        <v>0</v>
      </c>
      <c r="P7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1" s="2">
        <f>ABS(Данные[[#This Row],[days_birth]])/365.2425</f>
        <v>29.79390405004894</v>
      </c>
      <c r="S7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1" s="2">
        <f>IF(Данные[[#This Row],[ interest_rate]]&gt;$T$1,Данные[[#This Row],[days_birth4]]*$T$2,Данные[[#This Row],[days_birth4]])</f>
        <v>0</v>
      </c>
      <c r="U751" s="2">
        <f>IF(Данные[[#This Row],[Проверка отказа]]="отказ",0,MAX(Данные[[#This Row],[interest_rate]],$C$1))</f>
        <v>0</v>
      </c>
      <c r="V751" s="2">
        <f>MROUND(Данные[[#This Row],[Минимум 20000]], 100)</f>
        <v>0</v>
      </c>
    </row>
    <row r="752" spans="1:22" x14ac:dyDescent="0.25">
      <c r="A752" s="2">
        <f>'1000_заявлений'!A746</f>
        <v>744</v>
      </c>
      <c r="B752" s="4">
        <f>VALUE(SUBSTITUTE('1000_заявлений'!B746, ".", ","))</f>
        <v>0.49837313276795298</v>
      </c>
      <c r="C752" s="4">
        <f>VALUE(SUBSTITUTE('1000_заявлений'!C746, ".", ","))</f>
        <v>0.35394914615842599</v>
      </c>
      <c r="D752" s="4">
        <f>VALUE(SUBSTITUTE('1000_заявлений'!D746, ".", ","))</f>
        <v>0.61952770000000001</v>
      </c>
      <c r="E752" s="4">
        <f>VALUE(SUBSTITUTE('1000_заявлений'!E746, ".", ","))</f>
        <v>0.40042086999999998</v>
      </c>
      <c r="F752" s="5">
        <f>VALUE(SUBSTITUTE('1000_заявлений'!F746, ".", ","))</f>
        <v>-3361</v>
      </c>
      <c r="G752" s="5">
        <f>VALUE(SUBSTITUTE('1000_заявлений'!G746, ".", ","))</f>
        <v>-13835</v>
      </c>
      <c r="H752" s="5">
        <f>VALUE(SUBSTITUTE('1000_заявлений'!H746, ".", ","))</f>
        <v>-3921</v>
      </c>
      <c r="I752" s="4">
        <f>VALUE(SUBSTITUTE('1000_заявлений'!I746, ".", ","))</f>
        <v>0.233625</v>
      </c>
      <c r="J752" s="4">
        <f>VALUE(SUBSTITUTE('1000_заявлений'!J746, ".", ","))</f>
        <v>2.9218723618718201</v>
      </c>
      <c r="K752" s="5">
        <f>VALUE(SUBSTITUTE('1000_заявлений'!K746, ".", ","))</f>
        <v>-1202</v>
      </c>
      <c r="L752" s="6">
        <f>VALUE(SUBSTITUTE('1000_заявлений'!L746, ".", ","))</f>
        <v>16821</v>
      </c>
      <c r="M752" s="2" t="str">
        <f>IF(Данные[[#This Row],[proba]]&gt;$C$6, "отказ", "одобрение")</f>
        <v>отказ</v>
      </c>
      <c r="N752" s="7">
        <f>IF(Данные[[#This Row],[proba]]&lt;$D$2,$C$2,IF(Данные[[#This Row],[proba]]&lt;$D$3,$C$3,IF(Данные[[#This Row],[proba]]&gt;$C$6,0,$C$4)))</f>
        <v>0</v>
      </c>
      <c r="O752" s="2">
        <f>IF(Данные[[#This Row],[weighted_ext_score]]&gt;$O$1,MIN(Данные[[#This Row],[Базовая сумма]]*$O$2,$C$2),IF(Данные[[#This Row],[weighted_ext_score]]&lt;$O$3,Данные[[#This Row],[Базовая сумма]]*$O$4,N752))</f>
        <v>0</v>
      </c>
      <c r="P7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2" s="2">
        <f>ABS(Данные[[#This Row],[days_birth]])/365.2425</f>
        <v>37.878943441686005</v>
      </c>
      <c r="S7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2" s="2">
        <f>IF(Данные[[#This Row],[ interest_rate]]&gt;$T$1,Данные[[#This Row],[days_birth4]]*$T$2,Данные[[#This Row],[days_birth4]])</f>
        <v>0</v>
      </c>
      <c r="U752" s="2">
        <f>IF(Данные[[#This Row],[Проверка отказа]]="отказ",0,MAX(Данные[[#This Row],[interest_rate]],$C$1))</f>
        <v>0</v>
      </c>
      <c r="V752" s="2">
        <f>MROUND(Данные[[#This Row],[Минимум 20000]], 100)</f>
        <v>0</v>
      </c>
    </row>
    <row r="753" spans="1:22" x14ac:dyDescent="0.25">
      <c r="A753" s="2">
        <f>'1000_заявлений'!A747</f>
        <v>745</v>
      </c>
      <c r="B753" s="4">
        <f>VALUE(SUBSTITUTE('1000_заявлений'!B747, ".", ","))</f>
        <v>0.45733335073095799</v>
      </c>
      <c r="C753" s="4">
        <f>VALUE(SUBSTITUTE('1000_заявлений'!C747, ".", ","))</f>
        <v>0.40674491347588099</v>
      </c>
      <c r="D753" s="4">
        <f>VALUE(SUBSTITUTE('1000_заявлений'!D747, ".", ","))</f>
        <v>0.32965505000000001</v>
      </c>
      <c r="E753" s="4">
        <f>VALUE(SUBSTITUTE('1000_заявлений'!E747, ".", ","))</f>
        <v>0.58984809999999999</v>
      </c>
      <c r="F753" s="5">
        <f>VALUE(SUBSTITUTE('1000_заявлений'!F747, ".", ","))</f>
        <v>-4248</v>
      </c>
      <c r="G753" s="5">
        <f>VALUE(SUBSTITUTE('1000_заявлений'!G747, ".", ","))</f>
        <v>-21535</v>
      </c>
      <c r="H753" s="5">
        <f>VALUE(SUBSTITUTE('1000_заявлений'!H747, ".", ","))</f>
        <v>-5070</v>
      </c>
      <c r="I753" s="4">
        <f>VALUE(SUBSTITUTE('1000_заявлений'!I747, ".", ","))</f>
        <v>0.17808333333333301</v>
      </c>
      <c r="J753" s="4">
        <f>VALUE(SUBSTITUTE('1000_заявлений'!J747, ".", ","))</f>
        <v>1.8158375382876399</v>
      </c>
      <c r="K753" s="5">
        <f>VALUE(SUBSTITUTE('1000_заявлений'!K747, ".", ","))</f>
        <v>-3359</v>
      </c>
      <c r="L753" s="6">
        <f>VALUE(SUBSTITUTE('1000_заявлений'!L747, ".", ","))</f>
        <v>48082.5</v>
      </c>
      <c r="M753" s="2" t="str">
        <f>IF(Данные[[#This Row],[proba]]&gt;$C$6, "отказ", "одобрение")</f>
        <v>отказ</v>
      </c>
      <c r="N753" s="7">
        <f>IF(Данные[[#This Row],[proba]]&lt;$D$2,$C$2,IF(Данные[[#This Row],[proba]]&lt;$D$3,$C$3,IF(Данные[[#This Row],[proba]]&gt;$C$6,0,$C$4)))</f>
        <v>0</v>
      </c>
      <c r="O753" s="2">
        <f>IF(Данные[[#This Row],[weighted_ext_score]]&gt;$O$1,MIN(Данные[[#This Row],[Базовая сумма]]*$O$2,$C$2),IF(Данные[[#This Row],[weighted_ext_score]]&lt;$O$3,Данные[[#This Row],[Базовая сумма]]*$O$4,N753))</f>
        <v>0</v>
      </c>
      <c r="P7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3" s="2">
        <f>ABS(Данные[[#This Row],[days_birth]])/365.2425</f>
        <v>58.96082739549751</v>
      </c>
      <c r="S7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3" s="2">
        <f>IF(Данные[[#This Row],[ interest_rate]]&gt;$T$1,Данные[[#This Row],[days_birth4]]*$T$2,Данные[[#This Row],[days_birth4]])</f>
        <v>0</v>
      </c>
      <c r="U753" s="2">
        <f>IF(Данные[[#This Row],[Проверка отказа]]="отказ",0,MAX(Данные[[#This Row],[interest_rate]],$C$1))</f>
        <v>0</v>
      </c>
      <c r="V753" s="2">
        <f>MROUND(Данные[[#This Row],[Минимум 20000]], 100)</f>
        <v>0</v>
      </c>
    </row>
    <row r="754" spans="1:22" x14ac:dyDescent="0.25">
      <c r="A754" s="2">
        <f>'1000_заявлений'!A748</f>
        <v>746</v>
      </c>
      <c r="B754" s="4">
        <f>VALUE(SUBSTITUTE('1000_заявлений'!B748, ".", ","))</f>
        <v>0.68950455268863398</v>
      </c>
      <c r="C754" s="4">
        <f>VALUE(SUBSTITUTE('1000_заявлений'!C748, ".", ","))</f>
        <v>0.24105890244580599</v>
      </c>
      <c r="D754" s="4">
        <f>VALUE(SUBSTITUTE('1000_заявлений'!D748, ".", ","))</f>
        <v>0.24054141000000001</v>
      </c>
      <c r="E754" s="4">
        <f>VALUE(SUBSTITUTE('1000_заявлений'!E748, ".", ","))</f>
        <v>0.47495167999999999</v>
      </c>
      <c r="F754" s="5">
        <f>VALUE(SUBSTITUTE('1000_заявлений'!F748, ".", ","))</f>
        <v>-9152</v>
      </c>
      <c r="G754" s="5">
        <f>VALUE(SUBSTITUTE('1000_заявлений'!G748, ".", ","))</f>
        <v>-15869</v>
      </c>
      <c r="H754" s="5">
        <f>VALUE(SUBSTITUTE('1000_заявлений'!H748, ".", ","))</f>
        <v>-3260</v>
      </c>
      <c r="I754" s="4">
        <f>VALUE(SUBSTITUTE('1000_заявлений'!I748, ".", ","))</f>
        <v>0.20776666666666599</v>
      </c>
      <c r="J754" s="4">
        <f>VALUE(SUBSTITUTE('1000_заявлений'!J748, ".", ","))</f>
        <v>2.6810148158052902</v>
      </c>
      <c r="K754" s="5">
        <f>VALUE(SUBSTITUTE('1000_заявлений'!K748, ".", ","))</f>
        <v>-1068</v>
      </c>
      <c r="L754" s="6">
        <f>VALUE(SUBSTITUTE('1000_заявлений'!L748, ".", ","))</f>
        <v>28048.5</v>
      </c>
      <c r="M754" s="2" t="str">
        <f>IF(Данные[[#This Row],[proba]]&gt;$C$6, "отказ", "одобрение")</f>
        <v>отказ</v>
      </c>
      <c r="N754" s="7">
        <f>IF(Данные[[#This Row],[proba]]&lt;$D$2,$C$2,IF(Данные[[#This Row],[proba]]&lt;$D$3,$C$3,IF(Данные[[#This Row],[proba]]&gt;$C$6,0,$C$4)))</f>
        <v>0</v>
      </c>
      <c r="O754" s="2">
        <f>IF(Данные[[#This Row],[weighted_ext_score]]&gt;$O$1,MIN(Данные[[#This Row],[Базовая сумма]]*$O$2,$C$2),IF(Данные[[#This Row],[weighted_ext_score]]&lt;$O$3,Данные[[#This Row],[Базовая сумма]]*$O$4,N754))</f>
        <v>0</v>
      </c>
      <c r="P7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4" s="2">
        <f>ABS(Данные[[#This Row],[days_birth]])/365.2425</f>
        <v>43.447846293900625</v>
      </c>
      <c r="S7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4" s="2">
        <f>IF(Данные[[#This Row],[ interest_rate]]&gt;$T$1,Данные[[#This Row],[days_birth4]]*$T$2,Данные[[#This Row],[days_birth4]])</f>
        <v>0</v>
      </c>
      <c r="U754" s="2">
        <f>IF(Данные[[#This Row],[Проверка отказа]]="отказ",0,MAX(Данные[[#This Row],[interest_rate]],$C$1))</f>
        <v>0</v>
      </c>
      <c r="V754" s="2">
        <f>MROUND(Данные[[#This Row],[Минимум 20000]], 100)</f>
        <v>0</v>
      </c>
    </row>
    <row r="755" spans="1:22" x14ac:dyDescent="0.25">
      <c r="A755" s="2">
        <f>'1000_заявлений'!A749</f>
        <v>747</v>
      </c>
      <c r="B755" s="4">
        <f>VALUE(SUBSTITUTE('1000_заявлений'!B749, ".", ","))</f>
        <v>0.136230275033666</v>
      </c>
      <c r="C755" s="4">
        <f>VALUE(SUBSTITUTE('1000_заявлений'!C749, ".", ","))</f>
        <v>0.68333905277108997</v>
      </c>
      <c r="D755" s="4">
        <f>VALUE(SUBSTITUTE('1000_заявлений'!D749, ".", ","))</f>
        <v>0.76102639999999999</v>
      </c>
      <c r="E755" s="4">
        <f>VALUE(SUBSTITUTE('1000_заявлений'!E749, ".", ","))</f>
        <v>0.70044799999999996</v>
      </c>
      <c r="F755" s="5">
        <f>VALUE(SUBSTITUTE('1000_заявлений'!F749, ".", ","))</f>
        <v>-3790</v>
      </c>
      <c r="G755" s="5">
        <f>VALUE(SUBSTITUTE('1000_заявлений'!G749, ".", ","))</f>
        <v>-15993</v>
      </c>
      <c r="H755" s="5">
        <f>VALUE(SUBSTITUTE('1000_заявлений'!H749, ".", ","))</f>
        <v>-4145</v>
      </c>
      <c r="I755" s="4">
        <f>VALUE(SUBSTITUTE('1000_заявлений'!I749, ".", ","))</f>
        <v>0.125</v>
      </c>
      <c r="J755" s="4">
        <f>VALUE(SUBSTITUTE('1000_заявлений'!J749, ".", ","))</f>
        <v>10.6209759779781</v>
      </c>
      <c r="K755" s="5">
        <f>VALUE(SUBSTITUTE('1000_заявлений'!K749, ".", ","))</f>
        <v>-6227</v>
      </c>
      <c r="L755" s="6">
        <f>VALUE(SUBSTITUTE('1000_заявлений'!L749, ".", ","))</f>
        <v>16875</v>
      </c>
      <c r="M755" s="2" t="str">
        <f>IF(Данные[[#This Row],[proba]]&gt;$C$6, "отказ", "одобрение")</f>
        <v>одобрение</v>
      </c>
      <c r="N755" s="7">
        <f>IF(Данные[[#This Row],[proba]]&lt;$D$2,$C$2,IF(Данные[[#This Row],[proba]]&lt;$D$3,$C$3,IF(Данные[[#This Row],[proba]]&gt;$C$6,0,$C$4)))</f>
        <v>300000</v>
      </c>
      <c r="O755" s="2">
        <f>IF(Данные[[#This Row],[weighted_ext_score]]&gt;$O$1,MIN(Данные[[#This Row],[Базовая сумма]]*$O$2,$C$2),IF(Данные[[#This Row],[weighted_ext_score]]&lt;$O$3,Данные[[#This Row],[Базовая сумма]]*$O$4,N755))</f>
        <v>300000</v>
      </c>
      <c r="P7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755" s="2">
        <f>ABS(Данные[[#This Row],[days_birth]])/365.2425</f>
        <v>43.7873467627672</v>
      </c>
      <c r="S7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755" s="2">
        <f>IF(Данные[[#This Row],[ interest_rate]]&gt;$T$1,Данные[[#This Row],[days_birth4]]*$T$2,Данные[[#This Row],[days_birth4]])</f>
        <v>432000</v>
      </c>
      <c r="U755" s="2">
        <f>IF(Данные[[#This Row],[Проверка отказа]]="отказ",0,MAX(Данные[[#This Row],[interest_rate]],$C$1))</f>
        <v>432000</v>
      </c>
      <c r="V755" s="2">
        <f>MROUND(Данные[[#This Row],[Минимум 20000]], 100)</f>
        <v>432000</v>
      </c>
    </row>
    <row r="756" spans="1:22" x14ac:dyDescent="0.25">
      <c r="A756" s="2">
        <f>'1000_заявлений'!A750</f>
        <v>748</v>
      </c>
      <c r="B756" s="4">
        <f>VALUE(SUBSTITUTE('1000_заявлений'!B750, ".", ","))</f>
        <v>0.49297389737527803</v>
      </c>
      <c r="C756" s="4">
        <f>VALUE(SUBSTITUTE('1000_заявлений'!C750, ".", ","))</f>
        <v>0.40410679415052397</v>
      </c>
      <c r="D756" s="4">
        <f>VALUE(SUBSTITUTE('1000_заявлений'!D750, ".", ","))</f>
        <v>0.44717857</v>
      </c>
      <c r="E756" s="4">
        <f>VALUE(SUBSTITUTE('1000_заявлений'!E750, ".", ","))</f>
        <v>0.54813060000000002</v>
      </c>
      <c r="F756" s="5">
        <f>VALUE(SUBSTITUTE('1000_заявлений'!F750, ".", ","))</f>
        <v>-542</v>
      </c>
      <c r="G756" s="5">
        <f>VALUE(SUBSTITUTE('1000_заявлений'!G750, ".", ","))</f>
        <v>-10791</v>
      </c>
      <c r="H756" s="5">
        <f>VALUE(SUBSTITUTE('1000_заявлений'!H750, ".", ","))</f>
        <v>-3447</v>
      </c>
      <c r="I756" s="4">
        <f>VALUE(SUBSTITUTE('1000_заявлений'!I750, ".", ","))</f>
        <v>0.140086956521739</v>
      </c>
      <c r="J756" s="4">
        <f>VALUE(SUBSTITUTE('1000_заявлений'!J750, ".", ","))</f>
        <v>6.0422431545830602</v>
      </c>
      <c r="K756" s="5">
        <f>VALUE(SUBSTITUTE('1000_заявлений'!K750, ".", ","))</f>
        <v>-2323</v>
      </c>
      <c r="L756" s="6">
        <f>VALUE(SUBSTITUTE('1000_заявлений'!L750, ".", ","))</f>
        <v>14499</v>
      </c>
      <c r="M756" s="2" t="str">
        <f>IF(Данные[[#This Row],[proba]]&gt;$C$6, "отказ", "одобрение")</f>
        <v>отказ</v>
      </c>
      <c r="N756" s="7">
        <f>IF(Данные[[#This Row],[proba]]&lt;$D$2,$C$2,IF(Данные[[#This Row],[proba]]&lt;$D$3,$C$3,IF(Данные[[#This Row],[proba]]&gt;$C$6,0,$C$4)))</f>
        <v>0</v>
      </c>
      <c r="O756" s="2">
        <f>IF(Данные[[#This Row],[weighted_ext_score]]&gt;$O$1,MIN(Данные[[#This Row],[Базовая сумма]]*$O$2,$C$2),IF(Данные[[#This Row],[weighted_ext_score]]&lt;$O$3,Данные[[#This Row],[Базовая сумма]]*$O$4,N756))</f>
        <v>0</v>
      </c>
      <c r="P7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6" s="2">
        <f>ABS(Данные[[#This Row],[days_birth]])/365.2425</f>
        <v>29.544754512412986</v>
      </c>
      <c r="S7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6" s="2">
        <f>IF(Данные[[#This Row],[ interest_rate]]&gt;$T$1,Данные[[#This Row],[days_birth4]]*$T$2,Данные[[#This Row],[days_birth4]])</f>
        <v>0</v>
      </c>
      <c r="U756" s="2">
        <f>IF(Данные[[#This Row],[Проверка отказа]]="отказ",0,MAX(Данные[[#This Row],[interest_rate]],$C$1))</f>
        <v>0</v>
      </c>
      <c r="V756" s="2">
        <f>MROUND(Данные[[#This Row],[Минимум 20000]], 100)</f>
        <v>0</v>
      </c>
    </row>
    <row r="757" spans="1:22" x14ac:dyDescent="0.25">
      <c r="A757" s="2">
        <f>'1000_заявлений'!A751</f>
        <v>749</v>
      </c>
      <c r="B757" s="4">
        <f>VALUE(SUBSTITUTE('1000_заявлений'!B751, ".", ","))</f>
        <v>0.192479484132735</v>
      </c>
      <c r="C757" s="4">
        <f>VALUE(SUBSTITUTE('1000_заявлений'!C751, ".", ","))</f>
        <v>0.67128943324262103</v>
      </c>
      <c r="D757" s="4">
        <f>VALUE(SUBSTITUTE('1000_заявлений'!D751, ".", ","))</f>
        <v>0.44005783999999998</v>
      </c>
      <c r="E757" s="4">
        <f>VALUE(SUBSTITUTE('1000_заявлений'!E751, ".", ","))</f>
        <v>0.75385880000000005</v>
      </c>
      <c r="F757" s="5">
        <f>VALUE(SUBSTITUTE('1000_заявлений'!F751, ".", ","))</f>
        <v>-5832</v>
      </c>
      <c r="G757" s="5">
        <f>VALUE(SUBSTITUTE('1000_заявлений'!G751, ".", ","))</f>
        <v>-22131</v>
      </c>
      <c r="H757" s="5">
        <f>VALUE(SUBSTITUTE('1000_заявлений'!H751, ".", ","))</f>
        <v>-4267</v>
      </c>
      <c r="I757" s="4">
        <f>VALUE(SUBSTITUTE('1000_заявлений'!I751, ".", ","))</f>
        <v>0.14405454545454499</v>
      </c>
      <c r="J757" s="4">
        <f>VALUE(SUBSTITUTE('1000_заявлений'!J751, ".", ","))</f>
        <v>2.4956952408497299</v>
      </c>
      <c r="K757" s="5">
        <f>VALUE(SUBSTITUTE('1000_заявлений'!K751, ".", ","))</f>
        <v>365243</v>
      </c>
      <c r="L757" s="6">
        <f>VALUE(SUBSTITUTE('1000_заявлений'!L751, ".", ","))</f>
        <v>35653.5</v>
      </c>
      <c r="M757" s="2" t="str">
        <f>IF(Данные[[#This Row],[proba]]&gt;$C$6, "отказ", "одобрение")</f>
        <v>одобрение</v>
      </c>
      <c r="N757" s="7">
        <f>IF(Данные[[#This Row],[proba]]&lt;$D$2,$C$2,IF(Данные[[#This Row],[proba]]&lt;$D$3,$C$3,IF(Данные[[#This Row],[proba]]&gt;$C$6,0,$C$4)))</f>
        <v>300000</v>
      </c>
      <c r="O757" s="2">
        <f>IF(Данные[[#This Row],[weighted_ext_score]]&gt;$O$1,MIN(Данные[[#This Row],[Базовая сумма]]*$O$2,$C$2),IF(Данные[[#This Row],[weighted_ext_score]]&lt;$O$3,Данные[[#This Row],[Базовая сумма]]*$O$4,N757))</f>
        <v>300000</v>
      </c>
      <c r="P7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757" s="2">
        <f>ABS(Данные[[#This Row],[days_birth]])/365.2425</f>
        <v>60.592619971662664</v>
      </c>
      <c r="S7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757" s="2">
        <f>IF(Данные[[#This Row],[ interest_rate]]&gt;$T$1,Данные[[#This Row],[days_birth4]]*$T$2,Данные[[#This Row],[days_birth4]])</f>
        <v>378000</v>
      </c>
      <c r="U757" s="2">
        <f>IF(Данные[[#This Row],[Проверка отказа]]="отказ",0,MAX(Данные[[#This Row],[interest_rate]],$C$1))</f>
        <v>378000</v>
      </c>
      <c r="V757" s="2">
        <f>MROUND(Данные[[#This Row],[Минимум 20000]], 100)</f>
        <v>378000</v>
      </c>
    </row>
    <row r="758" spans="1:22" x14ac:dyDescent="0.25">
      <c r="A758" s="2">
        <f>'1000_заявлений'!A752</f>
        <v>750</v>
      </c>
      <c r="B758" s="4">
        <f>VALUE(SUBSTITUTE('1000_заявлений'!B752, ".", ","))</f>
        <v>0.32122494436405102</v>
      </c>
      <c r="C758" s="4">
        <f>VALUE(SUBSTITUTE('1000_заявлений'!C752, ".", ","))</f>
        <v>0.43744932652292601</v>
      </c>
      <c r="D758" s="4">
        <f>VALUE(SUBSTITUTE('1000_заявлений'!D752, ".", ","))</f>
        <v>0.63303167000000005</v>
      </c>
      <c r="E758" s="4">
        <f>VALUE(SUBSTITUTE('1000_заявлений'!E752, ".", ","))</f>
        <v>0.64278173000000005</v>
      </c>
      <c r="F758" s="5">
        <f>VALUE(SUBSTITUTE('1000_заявлений'!F752, ".", ","))</f>
        <v>-4689</v>
      </c>
      <c r="G758" s="5">
        <f>VALUE(SUBSTITUTE('1000_заявлений'!G752, ".", ","))</f>
        <v>-9981</v>
      </c>
      <c r="H758" s="5">
        <f>VALUE(SUBSTITUTE('1000_заявлений'!H752, ".", ","))</f>
        <v>-2574</v>
      </c>
      <c r="I758" s="4">
        <f>VALUE(SUBSTITUTE('1000_заявлений'!I752, ".", ","))</f>
        <v>0.141473684210526</v>
      </c>
      <c r="J758" s="4">
        <f>VALUE(SUBSTITUTE('1000_заявлений'!J752, ".", ","))</f>
        <v>9.2208727512573105</v>
      </c>
      <c r="K758" s="5">
        <f>VALUE(SUBSTITUTE('1000_заявлений'!K752, ".", ","))</f>
        <v>-206</v>
      </c>
      <c r="L758" s="6">
        <f>VALUE(SUBSTITUTE('1000_заявлений'!L752, ".", ","))</f>
        <v>24192</v>
      </c>
      <c r="M758" s="2" t="str">
        <f>IF(Данные[[#This Row],[proba]]&gt;$C$6, "отказ", "одобрение")</f>
        <v>отказ</v>
      </c>
      <c r="N758" s="7">
        <f>IF(Данные[[#This Row],[proba]]&lt;$D$2,$C$2,IF(Данные[[#This Row],[proba]]&lt;$D$3,$C$3,IF(Данные[[#This Row],[proba]]&gt;$C$6,0,$C$4)))</f>
        <v>0</v>
      </c>
      <c r="O758" s="2">
        <f>IF(Данные[[#This Row],[weighted_ext_score]]&gt;$O$1,MIN(Данные[[#This Row],[Базовая сумма]]*$O$2,$C$2),IF(Данные[[#This Row],[weighted_ext_score]]&lt;$O$3,Данные[[#This Row],[Базовая сумма]]*$O$4,N758))</f>
        <v>0</v>
      </c>
      <c r="P7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8" s="2">
        <f>ABS(Данные[[#This Row],[days_birth]])/365.2425</f>
        <v>27.327049836752295</v>
      </c>
      <c r="S7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8" s="2">
        <f>IF(Данные[[#This Row],[ interest_rate]]&gt;$T$1,Данные[[#This Row],[days_birth4]]*$T$2,Данные[[#This Row],[days_birth4]])</f>
        <v>0</v>
      </c>
      <c r="U758" s="2">
        <f>IF(Данные[[#This Row],[Проверка отказа]]="отказ",0,MAX(Данные[[#This Row],[interest_rate]],$C$1))</f>
        <v>0</v>
      </c>
      <c r="V758" s="2">
        <f>MROUND(Данные[[#This Row],[Минимум 20000]], 100)</f>
        <v>0</v>
      </c>
    </row>
    <row r="759" spans="1:22" x14ac:dyDescent="0.25">
      <c r="A759" s="2">
        <f>'1000_заявлений'!A753</f>
        <v>751</v>
      </c>
      <c r="B759" s="4">
        <f>VALUE(SUBSTITUTE('1000_заявлений'!B753, ".", ","))</f>
        <v>0.62502866277041202</v>
      </c>
      <c r="C759" s="4">
        <f>VALUE(SUBSTITUTE('1000_заявлений'!C753, ".", ","))</f>
        <v>0.242789242791667</v>
      </c>
      <c r="D759" s="4">
        <f>VALUE(SUBSTITUTE('1000_заявлений'!D753, ".", ","))</f>
        <v>0.52809273999999995</v>
      </c>
      <c r="E759" s="4">
        <f>VALUE(SUBSTITUTE('1000_заявлений'!E753, ".", ","))</f>
        <v>0.15967923000000001</v>
      </c>
      <c r="F759" s="5">
        <f>VALUE(SUBSTITUTE('1000_заявлений'!F753, ".", ","))</f>
        <v>-10975</v>
      </c>
      <c r="G759" s="5">
        <f>VALUE(SUBSTITUTE('1000_заявлений'!G753, ".", ","))</f>
        <v>-21317</v>
      </c>
      <c r="H759" s="5">
        <f>VALUE(SUBSTITUTE('1000_заявлений'!H753, ".", ","))</f>
        <v>-3917</v>
      </c>
      <c r="I759" s="4">
        <f>VALUE(SUBSTITUTE('1000_заявлений'!I753, ".", ","))</f>
        <v>0.23852000000000001</v>
      </c>
      <c r="J759" s="4">
        <f>VALUE(SUBSTITUTE('1000_заявлений'!J753, ".", ","))</f>
        <v>4.56936519568431</v>
      </c>
      <c r="K759" s="5">
        <f>VALUE(SUBSTITUTE('1000_заявлений'!K753, ".", ","))</f>
        <v>-1666</v>
      </c>
      <c r="L759" s="6">
        <f>VALUE(SUBSTITUTE('1000_заявлений'!L753, ".", ","))</f>
        <v>26833.5</v>
      </c>
      <c r="M759" s="2" t="str">
        <f>IF(Данные[[#This Row],[proba]]&gt;$C$6, "отказ", "одобрение")</f>
        <v>отказ</v>
      </c>
      <c r="N759" s="7">
        <f>IF(Данные[[#This Row],[proba]]&lt;$D$2,$C$2,IF(Данные[[#This Row],[proba]]&lt;$D$3,$C$3,IF(Данные[[#This Row],[proba]]&gt;$C$6,0,$C$4)))</f>
        <v>0</v>
      </c>
      <c r="O759" s="2">
        <f>IF(Данные[[#This Row],[weighted_ext_score]]&gt;$O$1,MIN(Данные[[#This Row],[Базовая сумма]]*$O$2,$C$2),IF(Данные[[#This Row],[weighted_ext_score]]&lt;$O$3,Данные[[#This Row],[Базовая сумма]]*$O$4,N759))</f>
        <v>0</v>
      </c>
      <c r="P7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59" s="2">
        <f>ABS(Данные[[#This Row],[days_birth]])/365.2425</f>
        <v>58.363963667974019</v>
      </c>
      <c r="S7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59" s="2">
        <f>IF(Данные[[#This Row],[ interest_rate]]&gt;$T$1,Данные[[#This Row],[days_birth4]]*$T$2,Данные[[#This Row],[days_birth4]])</f>
        <v>0</v>
      </c>
      <c r="U759" s="2">
        <f>IF(Данные[[#This Row],[Проверка отказа]]="отказ",0,MAX(Данные[[#This Row],[interest_rate]],$C$1))</f>
        <v>0</v>
      </c>
      <c r="V759" s="2">
        <f>MROUND(Данные[[#This Row],[Минимум 20000]], 100)</f>
        <v>0</v>
      </c>
    </row>
    <row r="760" spans="1:22" x14ac:dyDescent="0.25">
      <c r="A760" s="2">
        <f>'1000_заявлений'!A754</f>
        <v>752</v>
      </c>
      <c r="B760" s="4">
        <f>VALUE(SUBSTITUTE('1000_заявлений'!B754, ".", ","))</f>
        <v>0.46925589189585698</v>
      </c>
      <c r="C760" s="4">
        <f>VALUE(SUBSTITUTE('1000_заявлений'!C754, ".", ","))</f>
        <v>0.358366231645808</v>
      </c>
      <c r="D760" s="4">
        <f>VALUE(SUBSTITUTE('1000_заявлений'!D754, ".", ","))</f>
        <v>0.42765736999999998</v>
      </c>
      <c r="E760" s="4">
        <f>VALUE(SUBSTITUTE('1000_заявлений'!E754, ".", ","))</f>
        <v>0.62796479999999999</v>
      </c>
      <c r="F760" s="5">
        <f>VALUE(SUBSTITUTE('1000_заявлений'!F754, ".", ","))</f>
        <v>-11861</v>
      </c>
      <c r="G760" s="5">
        <f>VALUE(SUBSTITUTE('1000_заявлений'!G754, ".", ","))</f>
        <v>-11990</v>
      </c>
      <c r="H760" s="5">
        <f>VALUE(SUBSTITUTE('1000_заявлений'!H754, ".", ","))</f>
        <v>-2797</v>
      </c>
      <c r="I760" s="4">
        <f>VALUE(SUBSTITUTE('1000_заявлений'!I754, ".", ","))</f>
        <v>9.7600000000000006E-2</v>
      </c>
      <c r="J760" s="4">
        <f>VALUE(SUBSTITUTE('1000_заявлений'!J754, ".", ","))</f>
        <v>3.5822909386149702</v>
      </c>
      <c r="K760" s="5">
        <f>VALUE(SUBSTITUTE('1000_заявлений'!K754, ".", ","))</f>
        <v>-550</v>
      </c>
      <c r="L760" s="6">
        <f>VALUE(SUBSTITUTE('1000_заявлений'!L754, ".", ","))</f>
        <v>15372</v>
      </c>
      <c r="M760" s="2" t="str">
        <f>IF(Данные[[#This Row],[proba]]&gt;$C$6, "отказ", "одобрение")</f>
        <v>отказ</v>
      </c>
      <c r="N760" s="7">
        <f>IF(Данные[[#This Row],[proba]]&lt;$D$2,$C$2,IF(Данные[[#This Row],[proba]]&lt;$D$3,$C$3,IF(Данные[[#This Row],[proba]]&gt;$C$6,0,$C$4)))</f>
        <v>0</v>
      </c>
      <c r="O760" s="2">
        <f>IF(Данные[[#This Row],[weighted_ext_score]]&gt;$O$1,MIN(Данные[[#This Row],[Базовая сумма]]*$O$2,$C$2),IF(Данные[[#This Row],[weighted_ext_score]]&lt;$O$3,Данные[[#This Row],[Базовая сумма]]*$O$4,N760))</f>
        <v>0</v>
      </c>
      <c r="P7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0" s="2">
        <f>ABS(Данные[[#This Row],[days_birth]])/365.2425</f>
        <v>32.827505013792205</v>
      </c>
      <c r="S7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0" s="2">
        <f>IF(Данные[[#This Row],[ interest_rate]]&gt;$T$1,Данные[[#This Row],[days_birth4]]*$T$2,Данные[[#This Row],[days_birth4]])</f>
        <v>0</v>
      </c>
      <c r="U760" s="2">
        <f>IF(Данные[[#This Row],[Проверка отказа]]="отказ",0,MAX(Данные[[#This Row],[interest_rate]],$C$1))</f>
        <v>0</v>
      </c>
      <c r="V760" s="2">
        <f>MROUND(Данные[[#This Row],[Минимум 20000]], 100)</f>
        <v>0</v>
      </c>
    </row>
    <row r="761" spans="1:22" x14ac:dyDescent="0.25">
      <c r="A761" s="2">
        <f>'1000_заявлений'!A755</f>
        <v>753</v>
      </c>
      <c r="B761" s="4">
        <f>VALUE(SUBSTITUTE('1000_заявлений'!B755, ".", ","))</f>
        <v>0.43221391062980502</v>
      </c>
      <c r="C761" s="4">
        <f>VALUE(SUBSTITUTE('1000_заявлений'!C755, ".", ","))</f>
        <v>0.37186387766201301</v>
      </c>
      <c r="D761" s="4">
        <f>VALUE(SUBSTITUTE('1000_заявлений'!D755, ".", ","))</f>
        <v>0.59545619999999999</v>
      </c>
      <c r="E761" s="4">
        <f>VALUE(SUBSTITUTE('1000_заявлений'!E755, ".", ","))</f>
        <v>0.48248764999999999</v>
      </c>
      <c r="F761" s="5">
        <f>VALUE(SUBSTITUTE('1000_заявлений'!F755, ".", ","))</f>
        <v>-3624</v>
      </c>
      <c r="G761" s="5">
        <f>VALUE(SUBSTITUTE('1000_заявлений'!G755, ".", ","))</f>
        <v>-12002</v>
      </c>
      <c r="H761" s="5">
        <f>VALUE(SUBSTITUTE('1000_заявлений'!H755, ".", ","))</f>
        <v>-3168</v>
      </c>
      <c r="I761" s="4">
        <f>VALUE(SUBSTITUTE('1000_заявлений'!I755, ".", ","))</f>
        <v>0.14505000000000001</v>
      </c>
      <c r="J761" s="4">
        <f>VALUE(SUBSTITUTE('1000_заявлений'!J755, ".", ","))</f>
        <v>6.7218200832274801</v>
      </c>
      <c r="K761" s="5">
        <f>VALUE(SUBSTITUTE('1000_заявлений'!K755, ".", ","))</f>
        <v>-1251</v>
      </c>
      <c r="L761" s="6">
        <f>VALUE(SUBSTITUTE('1000_заявлений'!L755, ".", ","))</f>
        <v>26109</v>
      </c>
      <c r="M761" s="2" t="str">
        <f>IF(Данные[[#This Row],[proba]]&gt;$C$6, "отказ", "одобрение")</f>
        <v>отказ</v>
      </c>
      <c r="N761" s="7">
        <f>IF(Данные[[#This Row],[proba]]&lt;$D$2,$C$2,IF(Данные[[#This Row],[proba]]&lt;$D$3,$C$3,IF(Данные[[#This Row],[proba]]&gt;$C$6,0,$C$4)))</f>
        <v>0</v>
      </c>
      <c r="O761" s="2">
        <f>IF(Данные[[#This Row],[weighted_ext_score]]&gt;$O$1,MIN(Данные[[#This Row],[Базовая сумма]]*$O$2,$C$2),IF(Данные[[#This Row],[weighted_ext_score]]&lt;$O$3,Данные[[#This Row],[Базовая сумма]]*$O$4,N761))</f>
        <v>0</v>
      </c>
      <c r="P7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1" s="2">
        <f>ABS(Данные[[#This Row],[days_birth]])/365.2425</f>
        <v>32.860359897876066</v>
      </c>
      <c r="S7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1" s="2">
        <f>IF(Данные[[#This Row],[ interest_rate]]&gt;$T$1,Данные[[#This Row],[days_birth4]]*$T$2,Данные[[#This Row],[days_birth4]])</f>
        <v>0</v>
      </c>
      <c r="U761" s="2">
        <f>IF(Данные[[#This Row],[Проверка отказа]]="отказ",0,MAX(Данные[[#This Row],[interest_rate]],$C$1))</f>
        <v>0</v>
      </c>
      <c r="V761" s="2">
        <f>MROUND(Данные[[#This Row],[Минимум 20000]], 100)</f>
        <v>0</v>
      </c>
    </row>
    <row r="762" spans="1:22" x14ac:dyDescent="0.25">
      <c r="A762" s="2">
        <f>'1000_заявлений'!A756</f>
        <v>754</v>
      </c>
      <c r="B762" s="4">
        <f>VALUE(SUBSTITUTE('1000_заявлений'!B756, ".", ","))</f>
        <v>0.64584113785789998</v>
      </c>
      <c r="C762" s="4">
        <f>VALUE(SUBSTITUTE('1000_заявлений'!C756, ".", ","))</f>
        <v>0.24455287128529399</v>
      </c>
      <c r="D762" s="4">
        <f>VALUE(SUBSTITUTE('1000_заявлений'!D756, ".", ","))</f>
        <v>0.67065173</v>
      </c>
      <c r="E762" s="4">
        <f>VALUE(SUBSTITUTE('1000_заявлений'!E756, ".", ","))</f>
        <v>6.1693405999999999E-3</v>
      </c>
      <c r="F762" s="5">
        <f>VALUE(SUBSTITUTE('1000_заявлений'!F756, ".", ","))</f>
        <v>-1335</v>
      </c>
      <c r="G762" s="5">
        <f>VALUE(SUBSTITUTE('1000_заявлений'!G756, ".", ","))</f>
        <v>-19100</v>
      </c>
      <c r="H762" s="5">
        <f>VALUE(SUBSTITUTE('1000_заявлений'!H756, ".", ","))</f>
        <v>-2564</v>
      </c>
      <c r="I762" s="4">
        <f>VALUE(SUBSTITUTE('1000_заявлений'!I756, ".", ","))</f>
        <v>0.10892</v>
      </c>
      <c r="J762" s="4">
        <f>VALUE(SUBSTITUTE('1000_заявлений'!J756, ".", ","))</f>
        <v>1.37428054275117</v>
      </c>
      <c r="K762" s="5">
        <f>VALUE(SUBSTITUTE('1000_заявлений'!K756, ".", ","))</f>
        <v>-239</v>
      </c>
      <c r="L762" s="6">
        <f>VALUE(SUBSTITUTE('1000_заявлений'!L756, ".", ","))</f>
        <v>12253.5</v>
      </c>
      <c r="M762" s="2" t="str">
        <f>IF(Данные[[#This Row],[proba]]&gt;$C$6, "отказ", "одобрение")</f>
        <v>отказ</v>
      </c>
      <c r="N762" s="7">
        <f>IF(Данные[[#This Row],[proba]]&lt;$D$2,$C$2,IF(Данные[[#This Row],[proba]]&lt;$D$3,$C$3,IF(Данные[[#This Row],[proba]]&gt;$C$6,0,$C$4)))</f>
        <v>0</v>
      </c>
      <c r="O762" s="2">
        <f>IF(Данные[[#This Row],[weighted_ext_score]]&gt;$O$1,MIN(Данные[[#This Row],[Базовая сумма]]*$O$2,$C$2),IF(Данные[[#This Row],[weighted_ext_score]]&lt;$O$3,Данные[[#This Row],[Базовая сумма]]*$O$4,N762))</f>
        <v>0</v>
      </c>
      <c r="P7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2" s="2">
        <f>ABS(Данные[[#This Row],[days_birth]])/365.2425</f>
        <v>52.294023833480495</v>
      </c>
      <c r="S7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2" s="2">
        <f>IF(Данные[[#This Row],[ interest_rate]]&gt;$T$1,Данные[[#This Row],[days_birth4]]*$T$2,Данные[[#This Row],[days_birth4]])</f>
        <v>0</v>
      </c>
      <c r="U762" s="2">
        <f>IF(Данные[[#This Row],[Проверка отказа]]="отказ",0,MAX(Данные[[#This Row],[interest_rate]],$C$1))</f>
        <v>0</v>
      </c>
      <c r="V762" s="2">
        <f>MROUND(Данные[[#This Row],[Минимум 20000]], 100)</f>
        <v>0</v>
      </c>
    </row>
    <row r="763" spans="1:22" x14ac:dyDescent="0.25">
      <c r="A763" s="2">
        <f>'1000_заявлений'!A757</f>
        <v>755</v>
      </c>
      <c r="B763" s="4">
        <f>VALUE(SUBSTITUTE('1000_заявлений'!B757, ".", ","))</f>
        <v>9.6826010357133396E-2</v>
      </c>
      <c r="C763" s="4">
        <f>VALUE(SUBSTITUTE('1000_заявлений'!C757, ".", ","))</f>
        <v>0.55377146451886705</v>
      </c>
      <c r="D763" s="4">
        <f>VALUE(SUBSTITUTE('1000_заявлений'!D757, ".", ","))</f>
        <v>0.832785</v>
      </c>
      <c r="E763" s="4">
        <f>VALUE(SUBSTITUTE('1000_заявлений'!E757, ".", ","))</f>
        <v>0.77866756999999998</v>
      </c>
      <c r="F763" s="5">
        <f>VALUE(SUBSTITUTE('1000_заявлений'!F757, ".", ","))</f>
        <v>-10551</v>
      </c>
      <c r="G763" s="5">
        <f>VALUE(SUBSTITUTE('1000_заявлений'!G757, ".", ","))</f>
        <v>-21988</v>
      </c>
      <c r="H763" s="5">
        <f>VALUE(SUBSTITUTE('1000_заявлений'!H757, ".", ","))</f>
        <v>-4806</v>
      </c>
      <c r="I763" s="4">
        <f>VALUE(SUBSTITUTE('1000_заявлений'!I757, ".", ","))</f>
        <v>0.1875</v>
      </c>
      <c r="J763" s="4">
        <f>VALUE(SUBSTITUTE('1000_заявлений'!J757, ".", ","))</f>
        <v>10.6209759779781</v>
      </c>
      <c r="K763" s="5">
        <f>VALUE(SUBSTITUTE('1000_заявлений'!K757, ".", ","))</f>
        <v>365243</v>
      </c>
      <c r="L763" s="6">
        <f>VALUE(SUBSTITUTE('1000_заявлений'!L757, ".", ","))</f>
        <v>16875</v>
      </c>
      <c r="M763" s="2" t="str">
        <f>IF(Данные[[#This Row],[proba]]&gt;$C$6, "отказ", "одобрение")</f>
        <v>одобрение</v>
      </c>
      <c r="N763" s="7">
        <f>IF(Данные[[#This Row],[proba]]&lt;$D$2,$C$2,IF(Данные[[#This Row],[proba]]&lt;$D$3,$C$3,IF(Данные[[#This Row],[proba]]&gt;$C$6,0,$C$4)))</f>
        <v>500000</v>
      </c>
      <c r="O763" s="2">
        <f>IF(Данные[[#This Row],[weighted_ext_score]]&gt;$O$1,MIN(Данные[[#This Row],[Базовая сумма]]*$O$2,$C$2),IF(Данные[[#This Row],[weighted_ext_score]]&lt;$O$3,Данные[[#This Row],[Базовая сумма]]*$O$4,N763))</f>
        <v>500000</v>
      </c>
      <c r="P7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500000</v>
      </c>
      <c r="Q7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763" s="2">
        <f>ABS(Данные[[#This Row],[days_birth]])/365.2425</f>
        <v>60.201099269663302</v>
      </c>
      <c r="S7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763" s="2">
        <f>IF(Данные[[#This Row],[ interest_rate]]&gt;$T$1,Данные[[#This Row],[days_birth4]]*$T$2,Данные[[#This Row],[days_birth4]])</f>
        <v>500000</v>
      </c>
      <c r="U763" s="2">
        <f>IF(Данные[[#This Row],[Проверка отказа]]="отказ",0,MAX(Данные[[#This Row],[interest_rate]],$C$1))</f>
        <v>500000</v>
      </c>
      <c r="V763" s="2">
        <f>MROUND(Данные[[#This Row],[Минимум 20000]], 100)</f>
        <v>500000</v>
      </c>
    </row>
    <row r="764" spans="1:22" x14ac:dyDescent="0.25">
      <c r="A764" s="2">
        <f>'1000_заявлений'!A758</f>
        <v>756</v>
      </c>
      <c r="B764" s="4">
        <f>VALUE(SUBSTITUTE('1000_заявлений'!B758, ".", ","))</f>
        <v>0.75780248214596901</v>
      </c>
      <c r="C764" s="4">
        <f>VALUE(SUBSTITUTE('1000_заявлений'!C758, ".", ","))</f>
        <v>0.23753022079404301</v>
      </c>
      <c r="D764" s="4">
        <f>VALUE(SUBSTITUTE('1000_заявлений'!D758, ".", ","))</f>
        <v>0.13595104</v>
      </c>
      <c r="E764" s="4">
        <f>VALUE(SUBSTITUTE('1000_заявлений'!E758, ".", ","))</f>
        <v>0.58068690000000001</v>
      </c>
      <c r="F764" s="5">
        <f>VALUE(SUBSTITUTE('1000_заявлений'!F758, ".", ","))</f>
        <v>-2280</v>
      </c>
      <c r="G764" s="5">
        <f>VALUE(SUBSTITUTE('1000_заявлений'!G758, ".", ","))</f>
        <v>-11802</v>
      </c>
      <c r="H764" s="5">
        <f>VALUE(SUBSTITUTE('1000_заявлений'!H758, ".", ","))</f>
        <v>-4045</v>
      </c>
      <c r="I764" s="4">
        <f>VALUE(SUBSTITUTE('1000_заявлений'!I758, ".", ","))</f>
        <v>0.38937777777777699</v>
      </c>
      <c r="J764" s="4">
        <f>VALUE(SUBSTITUTE('1000_заявлений'!J758, ".", ","))</f>
        <v>3.5736040808111298</v>
      </c>
      <c r="K764" s="5">
        <f>VALUE(SUBSTITUTE('1000_заявлений'!K758, ".", ","))</f>
        <v>-411</v>
      </c>
      <c r="L764" s="6">
        <f>VALUE(SUBSTITUTE('1000_заявлений'!L758, ".", ","))</f>
        <v>39424.5</v>
      </c>
      <c r="M764" s="2" t="str">
        <f>IF(Данные[[#This Row],[proba]]&gt;$C$6, "отказ", "одобрение")</f>
        <v>отказ</v>
      </c>
      <c r="N764" s="7">
        <f>IF(Данные[[#This Row],[proba]]&lt;$D$2,$C$2,IF(Данные[[#This Row],[proba]]&lt;$D$3,$C$3,IF(Данные[[#This Row],[proba]]&gt;$C$6,0,$C$4)))</f>
        <v>0</v>
      </c>
      <c r="O764" s="2">
        <f>IF(Данные[[#This Row],[weighted_ext_score]]&gt;$O$1,MIN(Данные[[#This Row],[Базовая сумма]]*$O$2,$C$2),IF(Данные[[#This Row],[weighted_ext_score]]&lt;$O$3,Данные[[#This Row],[Базовая сумма]]*$O$4,N764))</f>
        <v>0</v>
      </c>
      <c r="P7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4" s="2">
        <f>ABS(Данные[[#This Row],[days_birth]])/365.2425</f>
        <v>32.312778496478366</v>
      </c>
      <c r="S7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4" s="2">
        <f>IF(Данные[[#This Row],[ interest_rate]]&gt;$T$1,Данные[[#This Row],[days_birth4]]*$T$2,Данные[[#This Row],[days_birth4]])</f>
        <v>0</v>
      </c>
      <c r="U764" s="2">
        <f>IF(Данные[[#This Row],[Проверка отказа]]="отказ",0,MAX(Данные[[#This Row],[interest_rate]],$C$1))</f>
        <v>0</v>
      </c>
      <c r="V764" s="2">
        <f>MROUND(Данные[[#This Row],[Минимум 20000]], 100)</f>
        <v>0</v>
      </c>
    </row>
    <row r="765" spans="1:22" x14ac:dyDescent="0.25">
      <c r="A765" s="2">
        <f>'1000_заявлений'!A759</f>
        <v>757</v>
      </c>
      <c r="B765" s="4">
        <f>VALUE(SUBSTITUTE('1000_заявлений'!B759, ".", ","))</f>
        <v>0.56594001674894401</v>
      </c>
      <c r="C765" s="4">
        <f>VALUE(SUBSTITUTE('1000_заявлений'!C759, ".", ","))</f>
        <v>0.35719337869369899</v>
      </c>
      <c r="D765" s="4">
        <f>VALUE(SUBSTITUTE('1000_заявлений'!D759, ".", ","))</f>
        <v>0.53527623000000002</v>
      </c>
      <c r="E765" s="4">
        <f>VALUE(SUBSTITUTE('1000_заявлений'!E759, ".", ","))</f>
        <v>0.50435890000000005</v>
      </c>
      <c r="F765" s="5">
        <f>VALUE(SUBSTITUTE('1000_заявлений'!F759, ".", ","))</f>
        <v>-3633</v>
      </c>
      <c r="G765" s="5">
        <f>VALUE(SUBSTITUTE('1000_заявлений'!G759, ".", ","))</f>
        <v>-18959</v>
      </c>
      <c r="H765" s="5">
        <f>VALUE(SUBSTITUTE('1000_заявлений'!H759, ".", ","))</f>
        <v>-2511</v>
      </c>
      <c r="I765" s="4">
        <f>VALUE(SUBSTITUTE('1000_заявлений'!I759, ".", ","))</f>
        <v>0.55400000000000005</v>
      </c>
      <c r="J765" s="4">
        <f>VALUE(SUBSTITUTE('1000_заявлений'!J759, ".", ","))</f>
        <v>1.61189629649765</v>
      </c>
      <c r="K765" s="5">
        <f>VALUE(SUBSTITUTE('1000_заявлений'!K759, ".", ","))</f>
        <v>-58</v>
      </c>
      <c r="L765" s="6">
        <f>VALUE(SUBSTITUTE('1000_заявлений'!L759, ".", ","))</f>
        <v>32409</v>
      </c>
      <c r="M765" s="2" t="str">
        <f>IF(Данные[[#This Row],[proba]]&gt;$C$6, "отказ", "одобрение")</f>
        <v>отказ</v>
      </c>
      <c r="N765" s="7">
        <f>IF(Данные[[#This Row],[proba]]&lt;$D$2,$C$2,IF(Данные[[#This Row],[proba]]&lt;$D$3,$C$3,IF(Данные[[#This Row],[proba]]&gt;$C$6,0,$C$4)))</f>
        <v>0</v>
      </c>
      <c r="O765" s="2">
        <f>IF(Данные[[#This Row],[weighted_ext_score]]&gt;$O$1,MIN(Данные[[#This Row],[Базовая сумма]]*$O$2,$C$2),IF(Данные[[#This Row],[weighted_ext_score]]&lt;$O$3,Данные[[#This Row],[Базовая сумма]]*$O$4,N765))</f>
        <v>0</v>
      </c>
      <c r="P7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5" s="2">
        <f>ABS(Данные[[#This Row],[days_birth]])/365.2425</f>
        <v>51.907978945495117</v>
      </c>
      <c r="S7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5" s="2">
        <f>IF(Данные[[#This Row],[ interest_rate]]&gt;$T$1,Данные[[#This Row],[days_birth4]]*$T$2,Данные[[#This Row],[days_birth4]])</f>
        <v>0</v>
      </c>
      <c r="U765" s="2">
        <f>IF(Данные[[#This Row],[Проверка отказа]]="отказ",0,MAX(Данные[[#This Row],[interest_rate]],$C$1))</f>
        <v>0</v>
      </c>
      <c r="V765" s="2">
        <f>MROUND(Данные[[#This Row],[Минимум 20000]], 100)</f>
        <v>0</v>
      </c>
    </row>
    <row r="766" spans="1:22" x14ac:dyDescent="0.25">
      <c r="A766" s="2">
        <f>'1000_заявлений'!A760</f>
        <v>758</v>
      </c>
      <c r="B766" s="4">
        <f>VALUE(SUBSTITUTE('1000_заявлений'!B760, ".", ","))</f>
        <v>0.44974305771885498</v>
      </c>
      <c r="C766" s="4">
        <f>VALUE(SUBSTITUTE('1000_заявлений'!C760, ".", ","))</f>
        <v>0.52031812790545495</v>
      </c>
      <c r="D766" s="4">
        <f>VALUE(SUBSTITUTE('1000_заявлений'!D760, ".", ","))</f>
        <v>0.15008518000000001</v>
      </c>
      <c r="E766" s="4">
        <f>VALUE(SUBSTITUTE('1000_заявлений'!E760, ".", ","))</f>
        <v>0.72033190000000002</v>
      </c>
      <c r="F766" s="5">
        <f>VALUE(SUBSTITUTE('1000_заявлений'!F760, ".", ","))</f>
        <v>-5409</v>
      </c>
      <c r="G766" s="5">
        <f>VALUE(SUBSTITUTE('1000_заявлений'!G760, ".", ","))</f>
        <v>-20246</v>
      </c>
      <c r="H766" s="5">
        <f>VALUE(SUBSTITUTE('1000_заявлений'!H760, ".", ","))</f>
        <v>-3804</v>
      </c>
      <c r="I766" s="4">
        <f>VALUE(SUBSTITUTE('1000_заявлений'!I760, ".", ","))</f>
        <v>7.1840000000000001E-2</v>
      </c>
      <c r="J766" s="4">
        <f>VALUE(SUBSTITUTE('1000_заявлений'!J760, ".", ","))</f>
        <v>1.9221929010054299</v>
      </c>
      <c r="K766" s="5">
        <f>VALUE(SUBSTITUTE('1000_заявлений'!K760, ".", ","))</f>
        <v>-5076</v>
      </c>
      <c r="L766" s="6">
        <f>VALUE(SUBSTITUTE('1000_заявлений'!L760, ".", ","))</f>
        <v>24246</v>
      </c>
      <c r="M766" s="2" t="str">
        <f>IF(Данные[[#This Row],[proba]]&gt;$C$6, "отказ", "одобрение")</f>
        <v>отказ</v>
      </c>
      <c r="N766" s="7">
        <f>IF(Данные[[#This Row],[proba]]&lt;$D$2,$C$2,IF(Данные[[#This Row],[proba]]&lt;$D$3,$C$3,IF(Данные[[#This Row],[proba]]&gt;$C$6,0,$C$4)))</f>
        <v>0</v>
      </c>
      <c r="O766" s="2">
        <f>IF(Данные[[#This Row],[weighted_ext_score]]&gt;$O$1,MIN(Данные[[#This Row],[Базовая сумма]]*$O$2,$C$2),IF(Данные[[#This Row],[weighted_ext_score]]&lt;$O$3,Данные[[#This Row],[Базовая сумма]]*$O$4,N766))</f>
        <v>0</v>
      </c>
      <c r="P7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6" s="2">
        <f>ABS(Данные[[#This Row],[days_birth]])/365.2425</f>
        <v>55.431665263489322</v>
      </c>
      <c r="S7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6" s="2">
        <f>IF(Данные[[#This Row],[ interest_rate]]&gt;$T$1,Данные[[#This Row],[days_birth4]]*$T$2,Данные[[#This Row],[days_birth4]])</f>
        <v>0</v>
      </c>
      <c r="U766" s="2">
        <f>IF(Данные[[#This Row],[Проверка отказа]]="отказ",0,MAX(Данные[[#This Row],[interest_rate]],$C$1))</f>
        <v>0</v>
      </c>
      <c r="V766" s="2">
        <f>MROUND(Данные[[#This Row],[Минимум 20000]], 100)</f>
        <v>0</v>
      </c>
    </row>
    <row r="767" spans="1:22" x14ac:dyDescent="0.25">
      <c r="A767" s="2">
        <f>'1000_заявлений'!A761</f>
        <v>759</v>
      </c>
      <c r="B767" s="4">
        <f>VALUE(SUBSTITUTE('1000_заявлений'!B761, ".", ","))</f>
        <v>0.43539016515843199</v>
      </c>
      <c r="C767" s="4">
        <f>VALUE(SUBSTITUTE('1000_заявлений'!C761, ".", ","))</f>
        <v>0.31826502639864601</v>
      </c>
      <c r="D767" s="4">
        <f>VALUE(SUBSTITUTE('1000_заявлений'!D761, ".", ","))</f>
        <v>0.41010257999999999</v>
      </c>
      <c r="E767" s="4">
        <f>VALUE(SUBSTITUTE('1000_заявлений'!E761, ".", ","))</f>
        <v>0.52391224999999997</v>
      </c>
      <c r="F767" s="5">
        <f>VALUE(SUBSTITUTE('1000_заявлений'!F761, ".", ","))</f>
        <v>-3136</v>
      </c>
      <c r="G767" s="5">
        <f>VALUE(SUBSTITUTE('1000_заявлений'!G761, ".", ","))</f>
        <v>-22505</v>
      </c>
      <c r="H767" s="5">
        <f>VALUE(SUBSTITUTE('1000_заявлений'!H761, ".", ","))</f>
        <v>-1107</v>
      </c>
      <c r="I767" s="4">
        <f>VALUE(SUBSTITUTE('1000_заявлений'!I761, ".", ","))</f>
        <v>0.15591025641025599</v>
      </c>
      <c r="J767" s="4">
        <f>VALUE(SUBSTITUTE('1000_заявлений'!J761, ".", ","))</f>
        <v>5.4996752110272498</v>
      </c>
      <c r="K767" s="5">
        <f>VALUE(SUBSTITUTE('1000_заявлений'!K761, ".", ","))</f>
        <v>365243</v>
      </c>
      <c r="L767" s="6">
        <f>VALUE(SUBSTITUTE('1000_заявлений'!L761, ".", ","))</f>
        <v>54724.5</v>
      </c>
      <c r="M767" s="2" t="str">
        <f>IF(Данные[[#This Row],[proba]]&gt;$C$6, "отказ", "одобрение")</f>
        <v>отказ</v>
      </c>
      <c r="N767" s="7">
        <f>IF(Данные[[#This Row],[proba]]&lt;$D$2,$C$2,IF(Данные[[#This Row],[proba]]&lt;$D$3,$C$3,IF(Данные[[#This Row],[proba]]&gt;$C$6,0,$C$4)))</f>
        <v>0</v>
      </c>
      <c r="O767" s="2">
        <f>IF(Данные[[#This Row],[weighted_ext_score]]&gt;$O$1,MIN(Данные[[#This Row],[Базовая сумма]]*$O$2,$C$2),IF(Данные[[#This Row],[weighted_ext_score]]&lt;$O$3,Данные[[#This Row],[Базовая сумма]]*$O$4,N767))</f>
        <v>0</v>
      </c>
      <c r="P7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7" s="2">
        <f>ABS(Данные[[#This Row],[days_birth]])/365.2425</f>
        <v>61.616597192276366</v>
      </c>
      <c r="S7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7" s="2">
        <f>IF(Данные[[#This Row],[ interest_rate]]&gt;$T$1,Данные[[#This Row],[days_birth4]]*$T$2,Данные[[#This Row],[days_birth4]])</f>
        <v>0</v>
      </c>
      <c r="U767" s="2">
        <f>IF(Данные[[#This Row],[Проверка отказа]]="отказ",0,MAX(Данные[[#This Row],[interest_rate]],$C$1))</f>
        <v>0</v>
      </c>
      <c r="V767" s="2">
        <f>MROUND(Данные[[#This Row],[Минимум 20000]], 100)</f>
        <v>0</v>
      </c>
    </row>
    <row r="768" spans="1:22" x14ac:dyDescent="0.25">
      <c r="A768" s="2">
        <f>'1000_заявлений'!A762</f>
        <v>760</v>
      </c>
      <c r="B768" s="4">
        <f>VALUE(SUBSTITUTE('1000_заявлений'!B762, ".", ","))</f>
        <v>0.81117143459181495</v>
      </c>
      <c r="C768" s="4">
        <f>VALUE(SUBSTITUTE('1000_заявлений'!C762, ".", ","))</f>
        <v>0.14774607082616001</v>
      </c>
      <c r="D768" s="4">
        <f>VALUE(SUBSTITUTE('1000_заявлений'!D762, ".", ","))</f>
        <v>0.34252887999999998</v>
      </c>
      <c r="E768" s="4">
        <f>VALUE(SUBSTITUTE('1000_заявлений'!E762, ".", ","))</f>
        <v>7.3572285000000001E-2</v>
      </c>
      <c r="F768" s="5">
        <f>VALUE(SUBSTITUTE('1000_заявлений'!F762, ".", ","))</f>
        <v>-3342</v>
      </c>
      <c r="G768" s="5">
        <f>VALUE(SUBSTITUTE('1000_заявлений'!G762, ".", ","))</f>
        <v>-14837</v>
      </c>
      <c r="H768" s="5">
        <f>VALUE(SUBSTITUTE('1000_заявлений'!H762, ".", ","))</f>
        <v>-3943</v>
      </c>
      <c r="I768" s="4">
        <f>VALUE(SUBSTITUTE('1000_заявлений'!I762, ".", ","))</f>
        <v>0.12356666666666601</v>
      </c>
      <c r="J768" s="4">
        <f>VALUE(SUBSTITUTE('1000_заявлений'!J762, ".", ","))</f>
        <v>1.1186364039436201</v>
      </c>
      <c r="K768" s="5">
        <f>VALUE(SUBSTITUTE('1000_заявлений'!K762, ".", ","))</f>
        <v>-612</v>
      </c>
      <c r="L768" s="6">
        <f>VALUE(SUBSTITUTE('1000_заявлений'!L762, ".", ","))</f>
        <v>16681.5</v>
      </c>
      <c r="M768" s="2" t="str">
        <f>IF(Данные[[#This Row],[proba]]&gt;$C$6, "отказ", "одобрение")</f>
        <v>отказ</v>
      </c>
      <c r="N768" s="7">
        <f>IF(Данные[[#This Row],[proba]]&lt;$D$2,$C$2,IF(Данные[[#This Row],[proba]]&lt;$D$3,$C$3,IF(Данные[[#This Row],[proba]]&gt;$C$6,0,$C$4)))</f>
        <v>0</v>
      </c>
      <c r="O768" s="2">
        <f>IF(Данные[[#This Row],[weighted_ext_score]]&gt;$O$1,MIN(Данные[[#This Row],[Базовая сумма]]*$O$2,$C$2),IF(Данные[[#This Row],[weighted_ext_score]]&lt;$O$3,Данные[[#This Row],[Базовая сумма]]*$O$4,N768))</f>
        <v>0</v>
      </c>
      <c r="P7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68" s="2">
        <f>ABS(Данные[[#This Row],[days_birth]])/365.2425</f>
        <v>40.622326262688489</v>
      </c>
      <c r="S7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68" s="2">
        <f>IF(Данные[[#This Row],[ interest_rate]]&gt;$T$1,Данные[[#This Row],[days_birth4]]*$T$2,Данные[[#This Row],[days_birth4]])</f>
        <v>0</v>
      </c>
      <c r="U768" s="2">
        <f>IF(Данные[[#This Row],[Проверка отказа]]="отказ",0,MAX(Данные[[#This Row],[interest_rate]],$C$1))</f>
        <v>0</v>
      </c>
      <c r="V768" s="2">
        <f>MROUND(Данные[[#This Row],[Минимум 20000]], 100)</f>
        <v>0</v>
      </c>
    </row>
    <row r="769" spans="1:22" x14ac:dyDescent="0.25">
      <c r="A769" s="2">
        <f>'1000_заявлений'!A763</f>
        <v>761</v>
      </c>
      <c r="B769" s="4">
        <f>VALUE(SUBSTITUTE('1000_заявлений'!B763, ".", ","))</f>
        <v>0.13697022664029501</v>
      </c>
      <c r="C769" s="4">
        <f>VALUE(SUBSTITUTE('1000_заявлений'!C763, ".", ","))</f>
        <v>0.76632174544932397</v>
      </c>
      <c r="D769" s="4">
        <f>VALUE(SUBSTITUTE('1000_заявлений'!D763, ".", ","))</f>
        <v>0.82459499999999997</v>
      </c>
      <c r="E769" s="4">
        <f>VALUE(SUBSTITUTE('1000_заявлений'!E763, ".", ","))</f>
        <v>0.5945587</v>
      </c>
      <c r="F769" s="5">
        <f>VALUE(SUBSTITUTE('1000_заявлений'!F763, ".", ","))</f>
        <v>-10303</v>
      </c>
      <c r="G769" s="5">
        <f>VALUE(SUBSTITUTE('1000_заявлений'!G763, ".", ","))</f>
        <v>-19180</v>
      </c>
      <c r="H769" s="5">
        <f>VALUE(SUBSTITUTE('1000_заявлений'!H763, ".", ","))</f>
        <v>-2687</v>
      </c>
      <c r="I769" s="4">
        <f>VALUE(SUBSTITUTE('1000_заявлений'!I763, ".", ","))</f>
        <v>0.16370000000000001</v>
      </c>
      <c r="J769" s="4">
        <f>VALUE(SUBSTITUTE('1000_заявлений'!J763, ".", ","))</f>
        <v>2.1960270245411802</v>
      </c>
      <c r="K769" s="5">
        <f>VALUE(SUBSTITUTE('1000_заявлений'!K763, ".", ","))</f>
        <v>-5371</v>
      </c>
      <c r="L769" s="6">
        <f>VALUE(SUBSTITUTE('1000_заявлений'!L763, ".", ","))</f>
        <v>22099.5</v>
      </c>
      <c r="M769" s="2" t="str">
        <f>IF(Данные[[#This Row],[proba]]&gt;$C$6, "отказ", "одобрение")</f>
        <v>одобрение</v>
      </c>
      <c r="N769" s="7">
        <f>IF(Данные[[#This Row],[proba]]&lt;$D$2,$C$2,IF(Данные[[#This Row],[proba]]&lt;$D$3,$C$3,IF(Данные[[#This Row],[proba]]&gt;$C$6,0,$C$4)))</f>
        <v>300000</v>
      </c>
      <c r="O769" s="2">
        <f>IF(Данные[[#This Row],[weighted_ext_score]]&gt;$O$1,MIN(Данные[[#This Row],[Базовая сумма]]*$O$2,$C$2),IF(Данные[[#This Row],[weighted_ext_score]]&lt;$O$3,Данные[[#This Row],[Базовая сумма]]*$O$4,N769))</f>
        <v>360000</v>
      </c>
      <c r="P7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7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769" s="2">
        <f>ABS(Данные[[#This Row],[days_birth]])/365.2425</f>
        <v>52.513056394039573</v>
      </c>
      <c r="S7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769" s="2">
        <f>IF(Данные[[#This Row],[ interest_rate]]&gt;$T$1,Данные[[#This Row],[days_birth4]]*$T$2,Данные[[#This Row],[days_birth4]])</f>
        <v>500000</v>
      </c>
      <c r="U769" s="2">
        <f>IF(Данные[[#This Row],[Проверка отказа]]="отказ",0,MAX(Данные[[#This Row],[interest_rate]],$C$1))</f>
        <v>500000</v>
      </c>
      <c r="V769" s="2">
        <f>MROUND(Данные[[#This Row],[Минимум 20000]], 100)</f>
        <v>500000</v>
      </c>
    </row>
    <row r="770" spans="1:22" x14ac:dyDescent="0.25">
      <c r="A770" s="2">
        <f>'1000_заявлений'!A764</f>
        <v>762</v>
      </c>
      <c r="B770" s="4">
        <f>VALUE(SUBSTITUTE('1000_заявлений'!B764, ".", ","))</f>
        <v>0.27220680556853799</v>
      </c>
      <c r="C770" s="4">
        <f>VALUE(SUBSTITUTE('1000_заявлений'!C764, ".", ","))</f>
        <v>0.41475041481115998</v>
      </c>
      <c r="D770" s="4">
        <f>VALUE(SUBSTITUTE('1000_заявлений'!D764, ".", ","))</f>
        <v>0.68947919999999996</v>
      </c>
      <c r="E770" s="4">
        <f>VALUE(SUBSTITUTE('1000_заявлений'!E764, ".", ","))</f>
        <v>0.50986830000000005</v>
      </c>
      <c r="F770" s="5">
        <f>VALUE(SUBSTITUTE('1000_заявлений'!F764, ".", ","))</f>
        <v>-10395</v>
      </c>
      <c r="G770" s="5">
        <f>VALUE(SUBSTITUTE('1000_заявлений'!G764, ".", ","))</f>
        <v>-22813</v>
      </c>
      <c r="H770" s="5">
        <f>VALUE(SUBSTITUTE('1000_заявлений'!H764, ".", ","))</f>
        <v>-4467</v>
      </c>
      <c r="I770" s="4">
        <f>VALUE(SUBSTITUTE('1000_заявлений'!I764, ".", ","))</f>
        <v>0.21156</v>
      </c>
      <c r="J770" s="4">
        <f>VALUE(SUBSTITUTE('1000_заявлений'!J764, ".", ","))</f>
        <v>1.55382250415887</v>
      </c>
      <c r="K770" s="5">
        <f>VALUE(SUBSTITUTE('1000_заявлений'!K764, ".", ","))</f>
        <v>365243</v>
      </c>
      <c r="L770" s="6">
        <f>VALUE(SUBSTITUTE('1000_заявлений'!L764, ".", ","))</f>
        <v>23800.5</v>
      </c>
      <c r="M770" s="2" t="str">
        <f>IF(Данные[[#This Row],[proba]]&gt;$C$6, "отказ", "одобрение")</f>
        <v>одобрение</v>
      </c>
      <c r="N770" s="7">
        <f>IF(Данные[[#This Row],[proba]]&lt;$D$2,$C$2,IF(Данные[[#This Row],[proba]]&lt;$D$3,$C$3,IF(Данные[[#This Row],[proba]]&gt;$C$6,0,$C$4)))</f>
        <v>100000</v>
      </c>
      <c r="O770" s="2">
        <f>IF(Данные[[#This Row],[weighted_ext_score]]&gt;$O$1,MIN(Данные[[#This Row],[Базовая сумма]]*$O$2,$C$2),IF(Данные[[#This Row],[weighted_ext_score]]&lt;$O$3,Данные[[#This Row],[Базовая сумма]]*$O$4,N770))</f>
        <v>100000</v>
      </c>
      <c r="P7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770" s="2">
        <f>ABS(Данные[[#This Row],[days_birth]])/365.2425</f>
        <v>62.459872550428827</v>
      </c>
      <c r="S7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770" s="2">
        <f>IF(Данные[[#This Row],[ interest_rate]]&gt;$T$1,Данные[[#This Row],[days_birth4]]*$T$2,Данные[[#This Row],[days_birth4]])</f>
        <v>105000</v>
      </c>
      <c r="U770" s="2">
        <f>IF(Данные[[#This Row],[Проверка отказа]]="отказ",0,MAX(Данные[[#This Row],[interest_rate]],$C$1))</f>
        <v>105000</v>
      </c>
      <c r="V770" s="2">
        <f>MROUND(Данные[[#This Row],[Минимум 20000]], 100)</f>
        <v>105000</v>
      </c>
    </row>
    <row r="771" spans="1:22" x14ac:dyDescent="0.25">
      <c r="A771" s="2">
        <f>'1000_заявлений'!A765</f>
        <v>763</v>
      </c>
      <c r="B771" s="4">
        <f>VALUE(SUBSTITUTE('1000_заявлений'!B765, ".", ","))</f>
        <v>0.19315309099193601</v>
      </c>
      <c r="C771" s="4">
        <f>VALUE(SUBSTITUTE('1000_заявлений'!C765, ".", ","))</f>
        <v>0.75543279595272095</v>
      </c>
      <c r="D771" s="4">
        <f>VALUE(SUBSTITUTE('1000_заявлений'!D765, ".", ","))</f>
        <v>0.6910212</v>
      </c>
      <c r="E771" s="4">
        <f>VALUE(SUBSTITUTE('1000_заявлений'!E765, ".", ","))</f>
        <v>0.69416164999999996</v>
      </c>
      <c r="F771" s="5">
        <f>VALUE(SUBSTITUTE('1000_заявлений'!F765, ".", ","))</f>
        <v>-4060</v>
      </c>
      <c r="G771" s="5">
        <f>VALUE(SUBSTITUTE('1000_заявлений'!G765, ".", ","))</f>
        <v>-16708</v>
      </c>
      <c r="H771" s="5">
        <f>VALUE(SUBSTITUTE('1000_заявлений'!H765, ".", ","))</f>
        <v>-246</v>
      </c>
      <c r="I771" s="4">
        <f>VALUE(SUBSTITUTE('1000_заявлений'!I765, ".", ","))</f>
        <v>0.263066666666666</v>
      </c>
      <c r="J771" s="4">
        <f>VALUE(SUBSTITUTE('1000_заявлений'!J765, ".", ","))</f>
        <v>2.7613330217712302</v>
      </c>
      <c r="K771" s="5">
        <f>VALUE(SUBSTITUTE('1000_заявлений'!K765, ".", ","))</f>
        <v>-9551</v>
      </c>
      <c r="L771" s="6">
        <f>VALUE(SUBSTITUTE('1000_заявлений'!L765, ".", ","))</f>
        <v>35514</v>
      </c>
      <c r="M771" s="2" t="str">
        <f>IF(Данные[[#This Row],[proba]]&gt;$C$6, "отказ", "одобрение")</f>
        <v>одобрение</v>
      </c>
      <c r="N771" s="7">
        <f>IF(Данные[[#This Row],[proba]]&lt;$D$2,$C$2,IF(Данные[[#This Row],[proba]]&lt;$D$3,$C$3,IF(Данные[[#This Row],[proba]]&gt;$C$6,0,$C$4)))</f>
        <v>300000</v>
      </c>
      <c r="O771" s="2">
        <f>IF(Данные[[#This Row],[weighted_ext_score]]&gt;$O$1,MIN(Данные[[#This Row],[Базовая сумма]]*$O$2,$C$2),IF(Данные[[#This Row],[weighted_ext_score]]&lt;$O$3,Данные[[#This Row],[Базовая сумма]]*$O$4,N771))</f>
        <v>360000</v>
      </c>
      <c r="P7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771" s="2">
        <f>ABS(Данные[[#This Row],[days_birth]])/365.2425</f>
        <v>45.744950272763987</v>
      </c>
      <c r="S7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771" s="2">
        <f>IF(Данные[[#This Row],[ interest_rate]]&gt;$T$1,Данные[[#This Row],[days_birth4]]*$T$2,Данные[[#This Row],[days_birth4]])</f>
        <v>432000</v>
      </c>
      <c r="U771" s="2">
        <f>IF(Данные[[#This Row],[Проверка отказа]]="отказ",0,MAX(Данные[[#This Row],[interest_rate]],$C$1))</f>
        <v>432000</v>
      </c>
      <c r="V771" s="2">
        <f>MROUND(Данные[[#This Row],[Минимум 20000]], 100)</f>
        <v>432000</v>
      </c>
    </row>
    <row r="772" spans="1:22" x14ac:dyDescent="0.25">
      <c r="A772" s="2">
        <f>'1000_заявлений'!A766</f>
        <v>764</v>
      </c>
      <c r="B772" s="4">
        <f>VALUE(SUBSTITUTE('1000_заявлений'!B766, ".", ","))</f>
        <v>0.45108819595701299</v>
      </c>
      <c r="C772" s="4">
        <f>VALUE(SUBSTITUTE('1000_заявлений'!C766, ".", ","))</f>
        <v>0.44928763541759498</v>
      </c>
      <c r="D772" s="4">
        <f>VALUE(SUBSTITUTE('1000_заявлений'!D766, ".", ","))</f>
        <v>0.65126019999999996</v>
      </c>
      <c r="E772" s="4">
        <f>VALUE(SUBSTITUTE('1000_заявлений'!E766, ".", ","))</f>
        <v>0.31179259999999998</v>
      </c>
      <c r="F772" s="5">
        <f>VALUE(SUBSTITUTE('1000_заявлений'!F766, ".", ","))</f>
        <v>-5003</v>
      </c>
      <c r="G772" s="5">
        <f>VALUE(SUBSTITUTE('1000_заявлений'!G766, ".", ","))</f>
        <v>-11987</v>
      </c>
      <c r="H772" s="5">
        <f>VALUE(SUBSTITUTE('1000_заявлений'!H766, ".", ","))</f>
        <v>-1357</v>
      </c>
      <c r="I772" s="4">
        <f>VALUE(SUBSTITUTE('1000_заявлений'!I766, ".", ","))</f>
        <v>9.35E-2</v>
      </c>
      <c r="J772" s="4">
        <f>VALUE(SUBSTITUTE('1000_заявлений'!J766, ".", ","))</f>
        <v>5.4514243735080701</v>
      </c>
      <c r="K772" s="5">
        <f>VALUE(SUBSTITUTE('1000_заявлений'!K766, ".", ","))</f>
        <v>-415</v>
      </c>
      <c r="L772" s="6">
        <f>VALUE(SUBSTITUTE('1000_заявлений'!L766, ".", ","))</f>
        <v>11781</v>
      </c>
      <c r="M772" s="2" t="str">
        <f>IF(Данные[[#This Row],[proba]]&gt;$C$6, "отказ", "одобрение")</f>
        <v>отказ</v>
      </c>
      <c r="N772" s="7">
        <f>IF(Данные[[#This Row],[proba]]&lt;$D$2,$C$2,IF(Данные[[#This Row],[proba]]&lt;$D$3,$C$3,IF(Данные[[#This Row],[proba]]&gt;$C$6,0,$C$4)))</f>
        <v>0</v>
      </c>
      <c r="O772" s="2">
        <f>IF(Данные[[#This Row],[weighted_ext_score]]&gt;$O$1,MIN(Данные[[#This Row],[Базовая сумма]]*$O$2,$C$2),IF(Данные[[#This Row],[weighted_ext_score]]&lt;$O$3,Данные[[#This Row],[Базовая сумма]]*$O$4,N772))</f>
        <v>0</v>
      </c>
      <c r="P7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2" s="2">
        <f>ABS(Данные[[#This Row],[days_birth]])/365.2425</f>
        <v>32.81929129277124</v>
      </c>
      <c r="S7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2" s="2">
        <f>IF(Данные[[#This Row],[ interest_rate]]&gt;$T$1,Данные[[#This Row],[days_birth4]]*$T$2,Данные[[#This Row],[days_birth4]])</f>
        <v>0</v>
      </c>
      <c r="U772" s="2">
        <f>IF(Данные[[#This Row],[Проверка отказа]]="отказ",0,MAX(Данные[[#This Row],[interest_rate]],$C$1))</f>
        <v>0</v>
      </c>
      <c r="V772" s="2">
        <f>MROUND(Данные[[#This Row],[Минимум 20000]], 100)</f>
        <v>0</v>
      </c>
    </row>
    <row r="773" spans="1:22" x14ac:dyDescent="0.25">
      <c r="A773" s="2">
        <f>'1000_заявлений'!A767</f>
        <v>765</v>
      </c>
      <c r="B773" s="4">
        <f>VALUE(SUBSTITUTE('1000_заявлений'!B767, ".", ","))</f>
        <v>0.14649360178767701</v>
      </c>
      <c r="C773" s="4">
        <f>VALUE(SUBSTITUTE('1000_заявлений'!C767, ".", ","))</f>
        <v>0.69657903053907599</v>
      </c>
      <c r="D773" s="4">
        <f>VALUE(SUBSTITUTE('1000_заявлений'!D767, ".", ","))</f>
        <v>0.71215516000000001</v>
      </c>
      <c r="E773" s="4">
        <f>VALUE(SUBSTITUTE('1000_заявлений'!E767, ".", ","))</f>
        <v>0.69238540000000004</v>
      </c>
      <c r="F773" s="5">
        <f>VALUE(SUBSTITUTE('1000_заявлений'!F767, ".", ","))</f>
        <v>-7526</v>
      </c>
      <c r="G773" s="5">
        <f>VALUE(SUBSTITUTE('1000_заявлений'!G767, ".", ","))</f>
        <v>-13389</v>
      </c>
      <c r="H773" s="5">
        <f>VALUE(SUBSTITUTE('1000_заявлений'!H767, ".", ","))</f>
        <v>-4281</v>
      </c>
      <c r="I773" s="4">
        <f>VALUE(SUBSTITUTE('1000_заявлений'!I767, ".", ","))</f>
        <v>9.9485714285714205E-2</v>
      </c>
      <c r="J773" s="4">
        <f>VALUE(SUBSTITUTE('1000_заявлений'!J767, ".", ","))</f>
        <v>11.2670102341412</v>
      </c>
      <c r="K773" s="5">
        <f>VALUE(SUBSTITUTE('1000_заявлений'!K767, ".", ","))</f>
        <v>-4278</v>
      </c>
      <c r="L773" s="6">
        <f>VALUE(SUBSTITUTE('1000_заявлений'!L767, ".", ","))</f>
        <v>15669</v>
      </c>
      <c r="M773" s="2" t="str">
        <f>IF(Данные[[#This Row],[proba]]&gt;$C$6, "отказ", "одобрение")</f>
        <v>одобрение</v>
      </c>
      <c r="N773" s="7">
        <f>IF(Данные[[#This Row],[proba]]&lt;$D$2,$C$2,IF(Данные[[#This Row],[proba]]&lt;$D$3,$C$3,IF(Данные[[#This Row],[proba]]&gt;$C$6,0,$C$4)))</f>
        <v>300000</v>
      </c>
      <c r="O773" s="2">
        <f>IF(Данные[[#This Row],[weighted_ext_score]]&gt;$O$1,MIN(Данные[[#This Row],[Базовая сумма]]*$O$2,$C$2),IF(Данные[[#This Row],[weighted_ext_score]]&lt;$O$3,Данные[[#This Row],[Базовая сумма]]*$O$4,N773))</f>
        <v>300000</v>
      </c>
      <c r="P7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7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773" s="2">
        <f>ABS(Данные[[#This Row],[days_birth]])/365.2425</f>
        <v>36.657836916569131</v>
      </c>
      <c r="S7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773" s="2">
        <f>IF(Данные[[#This Row],[ interest_rate]]&gt;$T$1,Данные[[#This Row],[days_birth4]]*$T$2,Данные[[#This Row],[days_birth4]])</f>
        <v>432000</v>
      </c>
      <c r="U773" s="2">
        <f>IF(Данные[[#This Row],[Проверка отказа]]="отказ",0,MAX(Данные[[#This Row],[interest_rate]],$C$1))</f>
        <v>432000</v>
      </c>
      <c r="V773" s="2">
        <f>MROUND(Данные[[#This Row],[Минимум 20000]], 100)</f>
        <v>432000</v>
      </c>
    </row>
    <row r="774" spans="1:22" x14ac:dyDescent="0.25">
      <c r="A774" s="2">
        <f>'1000_заявлений'!A768</f>
        <v>766</v>
      </c>
      <c r="B774" s="4">
        <f>VALUE(SUBSTITUTE('1000_заявлений'!B768, ".", ","))</f>
        <v>0.76036594647700995</v>
      </c>
      <c r="C774" s="4">
        <f>VALUE(SUBSTITUTE('1000_заявлений'!C768, ".", ","))</f>
        <v>0.19103382907695099</v>
      </c>
      <c r="D774" s="4">
        <f>VALUE(SUBSTITUTE('1000_заявлений'!D768, ".", ","))</f>
        <v>0.35563869999999997</v>
      </c>
      <c r="E774" s="4">
        <f>VALUE(SUBSTITUTE('1000_заявлений'!E768, ".", ","))</f>
        <v>0.19240439000000001</v>
      </c>
      <c r="F774" s="5">
        <f>VALUE(SUBSTITUTE('1000_заявлений'!F768, ".", ","))</f>
        <v>-1556</v>
      </c>
      <c r="G774" s="5">
        <f>VALUE(SUBSTITUTE('1000_заявлений'!G768, ".", ","))</f>
        <v>-14646</v>
      </c>
      <c r="H774" s="5">
        <f>VALUE(SUBSTITUTE('1000_заявлений'!H768, ".", ","))</f>
        <v>-3987</v>
      </c>
      <c r="I774" s="4">
        <f>VALUE(SUBSTITUTE('1000_заявлений'!I768, ".", ","))</f>
        <v>0.15815000000000001</v>
      </c>
      <c r="J774" s="4">
        <f>VALUE(SUBSTITUTE('1000_заявлений'!J768, ".", ","))</f>
        <v>3.4952491230592</v>
      </c>
      <c r="K774" s="5">
        <f>VALUE(SUBSTITUTE('1000_заявлений'!K768, ".", ","))</f>
        <v>-2291</v>
      </c>
      <c r="L774" s="6">
        <f>VALUE(SUBSTITUTE('1000_заявлений'!L768, ".", ","))</f>
        <v>14233.5</v>
      </c>
      <c r="M774" s="2" t="str">
        <f>IF(Данные[[#This Row],[proba]]&gt;$C$6, "отказ", "одобрение")</f>
        <v>отказ</v>
      </c>
      <c r="N774" s="7">
        <f>IF(Данные[[#This Row],[proba]]&lt;$D$2,$C$2,IF(Данные[[#This Row],[proba]]&lt;$D$3,$C$3,IF(Данные[[#This Row],[proba]]&gt;$C$6,0,$C$4)))</f>
        <v>0</v>
      </c>
      <c r="O774" s="2">
        <f>IF(Данные[[#This Row],[weighted_ext_score]]&gt;$O$1,MIN(Данные[[#This Row],[Базовая сумма]]*$O$2,$C$2),IF(Данные[[#This Row],[weighted_ext_score]]&lt;$O$3,Данные[[#This Row],[Базовая сумма]]*$O$4,N774))</f>
        <v>0</v>
      </c>
      <c r="P7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4" s="2">
        <f>ABS(Данные[[#This Row],[days_birth]])/365.2425</f>
        <v>40.099386024353684</v>
      </c>
      <c r="S7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4" s="2">
        <f>IF(Данные[[#This Row],[ interest_rate]]&gt;$T$1,Данные[[#This Row],[days_birth4]]*$T$2,Данные[[#This Row],[days_birth4]])</f>
        <v>0</v>
      </c>
      <c r="U774" s="2">
        <f>IF(Данные[[#This Row],[Проверка отказа]]="отказ",0,MAX(Данные[[#This Row],[interest_rate]],$C$1))</f>
        <v>0</v>
      </c>
      <c r="V774" s="2">
        <f>MROUND(Данные[[#This Row],[Минимум 20000]], 100)</f>
        <v>0</v>
      </c>
    </row>
    <row r="775" spans="1:22" x14ac:dyDescent="0.25">
      <c r="A775" s="2">
        <f>'1000_заявлений'!A769</f>
        <v>767</v>
      </c>
      <c r="B775" s="4">
        <f>VALUE(SUBSTITUTE('1000_заявлений'!B769, ".", ","))</f>
        <v>0.24282598149332299</v>
      </c>
      <c r="C775" s="4">
        <f>VALUE(SUBSTITUTE('1000_заявлений'!C769, ".", ","))</f>
        <v>0.443479778691654</v>
      </c>
      <c r="D775" s="4">
        <f>VALUE(SUBSTITUTE('1000_заявлений'!D769, ".", ","))</f>
        <v>0.65778380000000003</v>
      </c>
      <c r="E775" s="4">
        <f>VALUE(SUBSTITUTE('1000_заявлений'!E769, ".", ","))</f>
        <v>0.63377510000000004</v>
      </c>
      <c r="F775" s="5">
        <f>VALUE(SUBSTITUTE('1000_заявлений'!F769, ".", ","))</f>
        <v>-2391</v>
      </c>
      <c r="G775" s="5">
        <f>VALUE(SUBSTITUTE('1000_заявлений'!G769, ".", ","))</f>
        <v>-22870</v>
      </c>
      <c r="H775" s="5">
        <f>VALUE(SUBSTITUTE('1000_заявлений'!H769, ".", ","))</f>
        <v>-4388</v>
      </c>
      <c r="I775" s="4">
        <f>VALUE(SUBSTITUTE('1000_заявлений'!I769, ".", ","))</f>
        <v>0.1968</v>
      </c>
      <c r="J775" s="4">
        <f>VALUE(SUBSTITUTE('1000_заявлений'!J769, ".", ","))</f>
        <v>2.0827548004397101</v>
      </c>
      <c r="K775" s="5">
        <f>VALUE(SUBSTITUTE('1000_заявлений'!K769, ".", ","))</f>
        <v>365243</v>
      </c>
      <c r="L775" s="6">
        <f>VALUE(SUBSTITUTE('1000_заявлений'!L769, ".", ","))</f>
        <v>22140</v>
      </c>
      <c r="M775" s="2" t="str">
        <f>IF(Данные[[#This Row],[proba]]&gt;$C$6, "отказ", "одобрение")</f>
        <v>одобрение</v>
      </c>
      <c r="N775" s="7">
        <f>IF(Данные[[#This Row],[proba]]&lt;$D$2,$C$2,IF(Данные[[#This Row],[proba]]&lt;$D$3,$C$3,IF(Данные[[#This Row],[proba]]&gt;$C$6,0,$C$4)))</f>
        <v>100000</v>
      </c>
      <c r="O775" s="2">
        <f>IF(Данные[[#This Row],[weighted_ext_score]]&gt;$O$1,MIN(Данные[[#This Row],[Базовая сумма]]*$O$2,$C$2),IF(Данные[[#This Row],[weighted_ext_score]]&lt;$O$3,Данные[[#This Row],[Базовая сумма]]*$O$4,N775))</f>
        <v>100000</v>
      </c>
      <c r="P7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75" s="2">
        <f>ABS(Данные[[#This Row],[days_birth]])/365.2425</f>
        <v>62.615933249827165</v>
      </c>
      <c r="S7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775" s="2">
        <f>IF(Данные[[#This Row],[ interest_rate]]&gt;$T$1,Данные[[#This Row],[days_birth4]]*$T$2,Данные[[#This Row],[days_birth4]])</f>
        <v>126000</v>
      </c>
      <c r="U775" s="2">
        <f>IF(Данные[[#This Row],[Проверка отказа]]="отказ",0,MAX(Данные[[#This Row],[interest_rate]],$C$1))</f>
        <v>126000</v>
      </c>
      <c r="V775" s="2">
        <f>MROUND(Данные[[#This Row],[Минимум 20000]], 100)</f>
        <v>126000</v>
      </c>
    </row>
    <row r="776" spans="1:22" x14ac:dyDescent="0.25">
      <c r="A776" s="2">
        <f>'1000_заявлений'!A770</f>
        <v>768</v>
      </c>
      <c r="B776" s="4">
        <f>VALUE(SUBSTITUTE('1000_заявлений'!B770, ".", ","))</f>
        <v>0.80430601827631998</v>
      </c>
      <c r="C776" s="4">
        <f>VALUE(SUBSTITUTE('1000_заявлений'!C770, ".", ","))</f>
        <v>0.340519765757338</v>
      </c>
      <c r="D776" s="4">
        <f>VALUE(SUBSTITUTE('1000_заявлений'!D770, ".", ","))</f>
        <v>0.20559815000000001</v>
      </c>
      <c r="E776" s="4">
        <f>VALUE(SUBSTITUTE('1000_заявлений'!E770, ".", ","))</f>
        <v>0.17312895</v>
      </c>
      <c r="F776" s="5">
        <f>VALUE(SUBSTITUTE('1000_заявлений'!F770, ".", ","))</f>
        <v>-1863</v>
      </c>
      <c r="G776" s="5">
        <f>VALUE(SUBSTITUTE('1000_заявлений'!G770, ".", ","))</f>
        <v>-12161</v>
      </c>
      <c r="H776" s="5">
        <f>VALUE(SUBSTITUTE('1000_заявлений'!H770, ".", ","))</f>
        <v>-4078</v>
      </c>
      <c r="I776" s="4">
        <f>VALUE(SUBSTITUTE('1000_заявлений'!I770, ".", ","))</f>
        <v>0.29239999999999999</v>
      </c>
      <c r="J776" s="4">
        <f>VALUE(SUBSTITUTE('1000_заявлений'!J770, ".", ","))</f>
        <v>1.55972200073934</v>
      </c>
      <c r="K776" s="5">
        <f>VALUE(SUBSTITUTE('1000_заявлений'!K770, ".", ","))</f>
        <v>-1918</v>
      </c>
      <c r="L776" s="6">
        <f>VALUE(SUBSTITUTE('1000_заявлений'!L770, ".", ","))</f>
        <v>32895</v>
      </c>
      <c r="M776" s="2" t="str">
        <f>IF(Данные[[#This Row],[proba]]&gt;$C$6, "отказ", "одобрение")</f>
        <v>отказ</v>
      </c>
      <c r="N776" s="7">
        <f>IF(Данные[[#This Row],[proba]]&lt;$D$2,$C$2,IF(Данные[[#This Row],[proba]]&lt;$D$3,$C$3,IF(Данные[[#This Row],[proba]]&gt;$C$6,0,$C$4)))</f>
        <v>0</v>
      </c>
      <c r="O776" s="2">
        <f>IF(Данные[[#This Row],[weighted_ext_score]]&gt;$O$1,MIN(Данные[[#This Row],[Базовая сумма]]*$O$2,$C$2),IF(Данные[[#This Row],[weighted_ext_score]]&lt;$O$3,Данные[[#This Row],[Базовая сумма]]*$O$4,N776))</f>
        <v>0</v>
      </c>
      <c r="P7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6" s="2">
        <f>ABS(Данные[[#This Row],[days_birth]])/365.2425</f>
        <v>33.295687111987242</v>
      </c>
      <c r="S7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6" s="2">
        <f>IF(Данные[[#This Row],[ interest_rate]]&gt;$T$1,Данные[[#This Row],[days_birth4]]*$T$2,Данные[[#This Row],[days_birth4]])</f>
        <v>0</v>
      </c>
      <c r="U776" s="2">
        <f>IF(Данные[[#This Row],[Проверка отказа]]="отказ",0,MAX(Данные[[#This Row],[interest_rate]],$C$1))</f>
        <v>0</v>
      </c>
      <c r="V776" s="2">
        <f>MROUND(Данные[[#This Row],[Минимум 20000]], 100)</f>
        <v>0</v>
      </c>
    </row>
    <row r="777" spans="1:22" x14ac:dyDescent="0.25">
      <c r="A777" s="2">
        <f>'1000_заявлений'!A771</f>
        <v>769</v>
      </c>
      <c r="B777" s="4">
        <f>VALUE(SUBSTITUTE('1000_заявлений'!B771, ".", ","))</f>
        <v>0.485217457085728</v>
      </c>
      <c r="C777" s="4">
        <f>VALUE(SUBSTITUTE('1000_заявлений'!C771, ".", ","))</f>
        <v>0.34626215654798898</v>
      </c>
      <c r="D777" s="4">
        <f>VALUE(SUBSTITUTE('1000_заявлений'!D771, ".", ","))</f>
        <v>0.46506920000000002</v>
      </c>
      <c r="E777" s="4">
        <f>VALUE(SUBSTITUTE('1000_заявлений'!E771, ".", ","))</f>
        <v>0.54893744</v>
      </c>
      <c r="F777" s="5">
        <f>VALUE(SUBSTITUTE('1000_заявлений'!F771, ".", ","))</f>
        <v>-958</v>
      </c>
      <c r="G777" s="5">
        <f>VALUE(SUBSTITUTE('1000_заявлений'!G771, ".", ","))</f>
        <v>-15607</v>
      </c>
      <c r="H777" s="5">
        <f>VALUE(SUBSTITUTE('1000_заявлений'!H771, ".", ","))</f>
        <v>-4879</v>
      </c>
      <c r="I777" s="4">
        <f>VALUE(SUBSTITUTE('1000_заявлений'!I771, ".", ","))</f>
        <v>0.101388888888888</v>
      </c>
      <c r="J777" s="4">
        <f>VALUE(SUBSTITUTE('1000_заявлений'!J771, ".", ","))</f>
        <v>1.82350016999419</v>
      </c>
      <c r="K777" s="5">
        <f>VALUE(SUBSTITUTE('1000_заявлений'!K771, ".", ","))</f>
        <v>-2185</v>
      </c>
      <c r="L777" s="6">
        <f>VALUE(SUBSTITUTE('1000_заявлений'!L771, ".", ","))</f>
        <v>8212.5</v>
      </c>
      <c r="M777" s="2" t="str">
        <f>IF(Данные[[#This Row],[proba]]&gt;$C$6, "отказ", "одобрение")</f>
        <v>отказ</v>
      </c>
      <c r="N777" s="7">
        <f>IF(Данные[[#This Row],[proba]]&lt;$D$2,$C$2,IF(Данные[[#This Row],[proba]]&lt;$D$3,$C$3,IF(Данные[[#This Row],[proba]]&gt;$C$6,0,$C$4)))</f>
        <v>0</v>
      </c>
      <c r="O777" s="2">
        <f>IF(Данные[[#This Row],[weighted_ext_score]]&gt;$O$1,MIN(Данные[[#This Row],[Базовая сумма]]*$O$2,$C$2),IF(Данные[[#This Row],[weighted_ext_score]]&lt;$O$3,Данные[[#This Row],[Базовая сумма]]*$O$4,N777))</f>
        <v>0</v>
      </c>
      <c r="P7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7" s="2">
        <f>ABS(Данные[[#This Row],[days_birth]])/365.2425</f>
        <v>42.730514658069637</v>
      </c>
      <c r="S7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7" s="2">
        <f>IF(Данные[[#This Row],[ interest_rate]]&gt;$T$1,Данные[[#This Row],[days_birth4]]*$T$2,Данные[[#This Row],[days_birth4]])</f>
        <v>0</v>
      </c>
      <c r="U777" s="2">
        <f>IF(Данные[[#This Row],[Проверка отказа]]="отказ",0,MAX(Данные[[#This Row],[interest_rate]],$C$1))</f>
        <v>0</v>
      </c>
      <c r="V777" s="2">
        <f>MROUND(Данные[[#This Row],[Минимум 20000]], 100)</f>
        <v>0</v>
      </c>
    </row>
    <row r="778" spans="1:22" x14ac:dyDescent="0.25">
      <c r="A778" s="2">
        <f>'1000_заявлений'!A772</f>
        <v>770</v>
      </c>
      <c r="B778" s="4">
        <f>VALUE(SUBSTITUTE('1000_заявлений'!B772, ".", ","))</f>
        <v>0.344128375809997</v>
      </c>
      <c r="C778" s="4">
        <f>VALUE(SUBSTITUTE('1000_заявлений'!C772, ".", ","))</f>
        <v>0.5761292593117</v>
      </c>
      <c r="D778" s="4">
        <f>VALUE(SUBSTITUTE('1000_заявлений'!D772, ".", ","))</f>
        <v>0.27500036</v>
      </c>
      <c r="E778" s="4">
        <f>VALUE(SUBSTITUTE('1000_заявлений'!E772, ".", ","))</f>
        <v>0.74882979999999999</v>
      </c>
      <c r="F778" s="5">
        <f>VALUE(SUBSTITUTE('1000_заявлений'!F772, ".", ","))</f>
        <v>-3678</v>
      </c>
      <c r="G778" s="5">
        <f>VALUE(SUBSTITUTE('1000_заявлений'!G772, ".", ","))</f>
        <v>-12064</v>
      </c>
      <c r="H778" s="5">
        <f>VALUE(SUBSTITUTE('1000_заявлений'!H772, ".", ","))</f>
        <v>-2241</v>
      </c>
      <c r="I778" s="4">
        <f>VALUE(SUBSTITUTE('1000_заявлений'!I772, ".", ","))</f>
        <v>0.13462499999999999</v>
      </c>
      <c r="J778" s="4">
        <f>VALUE(SUBSTITUTE('1000_заявлений'!J772, ".", ","))</f>
        <v>17.764514855092202</v>
      </c>
      <c r="K778" s="5">
        <f>VALUE(SUBSTITUTE('1000_заявлений'!K772, ".", ","))</f>
        <v>-2645</v>
      </c>
      <c r="L778" s="6">
        <f>VALUE(SUBSTITUTE('1000_заявлений'!L772, ".", ","))</f>
        <v>24232.5</v>
      </c>
      <c r="M778" s="2" t="str">
        <f>IF(Данные[[#This Row],[proba]]&gt;$C$6, "отказ", "одобрение")</f>
        <v>отказ</v>
      </c>
      <c r="N778" s="7">
        <f>IF(Данные[[#This Row],[proba]]&lt;$D$2,$C$2,IF(Данные[[#This Row],[proba]]&lt;$D$3,$C$3,IF(Данные[[#This Row],[proba]]&gt;$C$6,0,$C$4)))</f>
        <v>0</v>
      </c>
      <c r="O778" s="2">
        <f>IF(Данные[[#This Row],[weighted_ext_score]]&gt;$O$1,MIN(Данные[[#This Row],[Базовая сумма]]*$O$2,$C$2),IF(Данные[[#This Row],[weighted_ext_score]]&lt;$O$3,Данные[[#This Row],[Базовая сумма]]*$O$4,N778))</f>
        <v>0</v>
      </c>
      <c r="P7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8" s="2">
        <f>ABS(Данные[[#This Row],[days_birth]])/365.2425</f>
        <v>33.030110132309353</v>
      </c>
      <c r="S7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8" s="2">
        <f>IF(Данные[[#This Row],[ interest_rate]]&gt;$T$1,Данные[[#This Row],[days_birth4]]*$T$2,Данные[[#This Row],[days_birth4]])</f>
        <v>0</v>
      </c>
      <c r="U778" s="2">
        <f>IF(Данные[[#This Row],[Проверка отказа]]="отказ",0,MAX(Данные[[#This Row],[interest_rate]],$C$1))</f>
        <v>0</v>
      </c>
      <c r="V778" s="2">
        <f>MROUND(Данные[[#This Row],[Минимум 20000]], 100)</f>
        <v>0</v>
      </c>
    </row>
    <row r="779" spans="1:22" x14ac:dyDescent="0.25">
      <c r="A779" s="2">
        <f>'1000_заявлений'!A773</f>
        <v>771</v>
      </c>
      <c r="B779" s="4">
        <f>VALUE(SUBSTITUTE('1000_заявлений'!B773, ".", ","))</f>
        <v>0.46291444387470398</v>
      </c>
      <c r="C779" s="4">
        <f>VALUE(SUBSTITUTE('1000_заявлений'!C773, ".", ","))</f>
        <v>0.38147021194743203</v>
      </c>
      <c r="D779" s="4">
        <f>VALUE(SUBSTITUTE('1000_заявлений'!D773, ".", ","))</f>
        <v>0.7223929</v>
      </c>
      <c r="E779" s="4">
        <f>VALUE(SUBSTITUTE('1000_заявлений'!E773, ".", ","))</f>
        <v>0.37057367000000002</v>
      </c>
      <c r="F779" s="5">
        <f>VALUE(SUBSTITUTE('1000_заявлений'!F773, ".", ","))</f>
        <v>-2125</v>
      </c>
      <c r="G779" s="5">
        <f>VALUE(SUBSTITUTE('1000_заявлений'!G773, ".", ","))</f>
        <v>-18289</v>
      </c>
      <c r="H779" s="5">
        <f>VALUE(SUBSTITUTE('1000_заявлений'!H773, ".", ","))</f>
        <v>-1623</v>
      </c>
      <c r="I779" s="4">
        <f>VALUE(SUBSTITUTE('1000_заявлений'!I773, ".", ","))</f>
        <v>0.35888135593220299</v>
      </c>
      <c r="J779" s="4">
        <f>VALUE(SUBSTITUTE('1000_заявлений'!J773, ".", ","))</f>
        <v>0.14964386528943899</v>
      </c>
      <c r="K779" s="5">
        <f>VALUE(SUBSTITUTE('1000_заявлений'!K773, ".", ","))</f>
        <v>-4986</v>
      </c>
      <c r="L779" s="6">
        <f>VALUE(SUBSTITUTE('1000_заявлений'!L773, ".", ","))</f>
        <v>47641.5</v>
      </c>
      <c r="M779" s="2" t="str">
        <f>IF(Данные[[#This Row],[proba]]&gt;$C$6, "отказ", "одобрение")</f>
        <v>отказ</v>
      </c>
      <c r="N779" s="7">
        <f>IF(Данные[[#This Row],[proba]]&lt;$D$2,$C$2,IF(Данные[[#This Row],[proba]]&lt;$D$3,$C$3,IF(Данные[[#This Row],[proba]]&gt;$C$6,0,$C$4)))</f>
        <v>0</v>
      </c>
      <c r="O779" s="2">
        <f>IF(Данные[[#This Row],[weighted_ext_score]]&gt;$O$1,MIN(Данные[[#This Row],[Базовая сумма]]*$O$2,$C$2),IF(Данные[[#This Row],[weighted_ext_score]]&lt;$O$3,Данные[[#This Row],[Базовая сумма]]*$O$4,N779))</f>
        <v>0</v>
      </c>
      <c r="P7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79" s="2">
        <f>ABS(Данные[[#This Row],[days_birth]])/365.2425</f>
        <v>50.073581250812815</v>
      </c>
      <c r="S7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79" s="2">
        <f>IF(Данные[[#This Row],[ interest_rate]]&gt;$T$1,Данные[[#This Row],[days_birth4]]*$T$2,Данные[[#This Row],[days_birth4]])</f>
        <v>0</v>
      </c>
      <c r="U779" s="2">
        <f>IF(Данные[[#This Row],[Проверка отказа]]="отказ",0,MAX(Данные[[#This Row],[interest_rate]],$C$1))</f>
        <v>0</v>
      </c>
      <c r="V779" s="2">
        <f>MROUND(Данные[[#This Row],[Минимум 20000]], 100)</f>
        <v>0</v>
      </c>
    </row>
    <row r="780" spans="1:22" x14ac:dyDescent="0.25">
      <c r="A780" s="2">
        <f>'1000_заявлений'!A774</f>
        <v>772</v>
      </c>
      <c r="B780" s="4">
        <f>VALUE(SUBSTITUTE('1000_заявлений'!B774, ".", ","))</f>
        <v>0.35669832387827299</v>
      </c>
      <c r="C780" s="4">
        <f>VALUE(SUBSTITUTE('1000_заявлений'!C774, ".", ","))</f>
        <v>0.47420347536336099</v>
      </c>
      <c r="D780" s="4">
        <f>VALUE(SUBSTITUTE('1000_заявлений'!D774, ".", ","))</f>
        <v>0.53527623000000002</v>
      </c>
      <c r="E780" s="4">
        <f>VALUE(SUBSTITUTE('1000_заявлений'!E774, ".", ","))</f>
        <v>0.71710914000000003</v>
      </c>
      <c r="F780" s="5">
        <f>VALUE(SUBSTITUTE('1000_заявлений'!F774, ".", ","))</f>
        <v>-6077</v>
      </c>
      <c r="G780" s="5">
        <f>VALUE(SUBSTITUTE('1000_заявлений'!G774, ".", ","))</f>
        <v>-12129</v>
      </c>
      <c r="H780" s="5">
        <f>VALUE(SUBSTITUTE('1000_заявлений'!H774, ".", ","))</f>
        <v>-4317</v>
      </c>
      <c r="I780" s="4">
        <f>VALUE(SUBSTITUTE('1000_заявлений'!I774, ".", ","))</f>
        <v>0.34320000000000001</v>
      </c>
      <c r="J780" s="4">
        <f>VALUE(SUBSTITUTE('1000_заявлений'!J774, ".", ","))</f>
        <v>6.6234424906962097</v>
      </c>
      <c r="K780" s="5">
        <f>VALUE(SUBSTITUTE('1000_заявлений'!K774, ".", ","))</f>
        <v>-472</v>
      </c>
      <c r="L780" s="6">
        <f>VALUE(SUBSTITUTE('1000_заявлений'!L774, ".", ","))</f>
        <v>30888</v>
      </c>
      <c r="M780" s="2" t="str">
        <f>IF(Данные[[#This Row],[proba]]&gt;$C$6, "отказ", "одобрение")</f>
        <v>отказ</v>
      </c>
      <c r="N780" s="7">
        <f>IF(Данные[[#This Row],[proba]]&lt;$D$2,$C$2,IF(Данные[[#This Row],[proba]]&lt;$D$3,$C$3,IF(Данные[[#This Row],[proba]]&gt;$C$6,0,$C$4)))</f>
        <v>0</v>
      </c>
      <c r="O780" s="2">
        <f>IF(Данные[[#This Row],[weighted_ext_score]]&gt;$O$1,MIN(Данные[[#This Row],[Базовая сумма]]*$O$2,$C$2),IF(Данные[[#This Row],[weighted_ext_score]]&lt;$O$3,Данные[[#This Row],[Базовая сумма]]*$O$4,N780))</f>
        <v>0</v>
      </c>
      <c r="P7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0" s="2">
        <f>ABS(Данные[[#This Row],[days_birth]])/365.2425</f>
        <v>33.208074087763606</v>
      </c>
      <c r="S7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0" s="2">
        <f>IF(Данные[[#This Row],[ interest_rate]]&gt;$T$1,Данные[[#This Row],[days_birth4]]*$T$2,Данные[[#This Row],[days_birth4]])</f>
        <v>0</v>
      </c>
      <c r="U780" s="2">
        <f>IF(Данные[[#This Row],[Проверка отказа]]="отказ",0,MAX(Данные[[#This Row],[interest_rate]],$C$1))</f>
        <v>0</v>
      </c>
      <c r="V780" s="2">
        <f>MROUND(Данные[[#This Row],[Минимум 20000]], 100)</f>
        <v>0</v>
      </c>
    </row>
    <row r="781" spans="1:22" x14ac:dyDescent="0.25">
      <c r="A781" s="2">
        <f>'1000_заявлений'!A775</f>
        <v>773</v>
      </c>
      <c r="B781" s="4">
        <f>VALUE(SUBSTITUTE('1000_заявлений'!B775, ".", ","))</f>
        <v>0.384602041763628</v>
      </c>
      <c r="C781" s="4">
        <f>VALUE(SUBSTITUTE('1000_заявлений'!C775, ".", ","))</f>
        <v>0.43952803390901601</v>
      </c>
      <c r="D781" s="4">
        <f>VALUE(SUBSTITUTE('1000_заявлений'!D775, ".", ","))</f>
        <v>0.49566581999999998</v>
      </c>
      <c r="E781" s="4">
        <f>VALUE(SUBSTITUTE('1000_заявлений'!E775, ".", ","))</f>
        <v>0.60272859999999995</v>
      </c>
      <c r="F781" s="5">
        <f>VALUE(SUBSTITUTE('1000_заявлений'!F775, ".", ","))</f>
        <v>-3416</v>
      </c>
      <c r="G781" s="5">
        <f>VALUE(SUBSTITUTE('1000_заявлений'!G775, ".", ","))</f>
        <v>-11639</v>
      </c>
      <c r="H781" s="5">
        <f>VALUE(SUBSTITUTE('1000_заявлений'!H775, ".", ","))</f>
        <v>-3430</v>
      </c>
      <c r="I781" s="4">
        <f>VALUE(SUBSTITUTE('1000_заявлений'!I775, ".", ","))</f>
        <v>0.10425</v>
      </c>
      <c r="J781" s="4">
        <f>VALUE(SUBSTITUTE('1000_заявлений'!J775, ".", ","))</f>
        <v>7.92413870877024</v>
      </c>
      <c r="K781" s="5">
        <f>VALUE(SUBSTITUTE('1000_заявлений'!K775, ".", ","))</f>
        <v>-416</v>
      </c>
      <c r="L781" s="6">
        <f>VALUE(SUBSTITUTE('1000_заявлений'!L775, ".", ","))</f>
        <v>28147.5</v>
      </c>
      <c r="M781" s="2" t="str">
        <f>IF(Данные[[#This Row],[proba]]&gt;$C$6, "отказ", "одобрение")</f>
        <v>отказ</v>
      </c>
      <c r="N781" s="7">
        <f>IF(Данные[[#This Row],[proba]]&lt;$D$2,$C$2,IF(Данные[[#This Row],[proba]]&lt;$D$3,$C$3,IF(Данные[[#This Row],[proba]]&gt;$C$6,0,$C$4)))</f>
        <v>0</v>
      </c>
      <c r="O781" s="2">
        <f>IF(Данные[[#This Row],[weighted_ext_score]]&gt;$O$1,MIN(Данные[[#This Row],[Базовая сумма]]*$O$2,$C$2),IF(Данные[[#This Row],[weighted_ext_score]]&lt;$O$3,Данные[[#This Row],[Базовая сумма]]*$O$4,N781))</f>
        <v>0</v>
      </c>
      <c r="P7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1" s="2">
        <f>ABS(Данные[[#This Row],[days_birth]])/365.2425</f>
        <v>31.86649965433924</v>
      </c>
      <c r="S7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1" s="2">
        <f>IF(Данные[[#This Row],[ interest_rate]]&gt;$T$1,Данные[[#This Row],[days_birth4]]*$T$2,Данные[[#This Row],[days_birth4]])</f>
        <v>0</v>
      </c>
      <c r="U781" s="2">
        <f>IF(Данные[[#This Row],[Проверка отказа]]="отказ",0,MAX(Данные[[#This Row],[interest_rate]],$C$1))</f>
        <v>0</v>
      </c>
      <c r="V781" s="2">
        <f>MROUND(Данные[[#This Row],[Минимум 20000]], 100)</f>
        <v>0</v>
      </c>
    </row>
    <row r="782" spans="1:22" x14ac:dyDescent="0.25">
      <c r="A782" s="2">
        <f>'1000_заявлений'!A776</f>
        <v>774</v>
      </c>
      <c r="B782" s="4">
        <f>VALUE(SUBSTITUTE('1000_заявлений'!B776, ".", ","))</f>
        <v>0.30048556098377299</v>
      </c>
      <c r="C782" s="4">
        <f>VALUE(SUBSTITUTE('1000_заявлений'!C776, ".", ","))</f>
        <v>0.55172454287175299</v>
      </c>
      <c r="D782" s="4">
        <f>VALUE(SUBSTITUTE('1000_заявлений'!D776, ".", ","))</f>
        <v>0.58499000000000001</v>
      </c>
      <c r="E782" s="4">
        <f>VALUE(SUBSTITUTE('1000_заявлений'!E776, ".", ","))</f>
        <v>0.57043593999999997</v>
      </c>
      <c r="F782" s="5">
        <f>VALUE(SUBSTITUTE('1000_заявлений'!F776, ".", ","))</f>
        <v>-3920</v>
      </c>
      <c r="G782" s="5">
        <f>VALUE(SUBSTITUTE('1000_заявлений'!G776, ".", ","))</f>
        <v>-10860</v>
      </c>
      <c r="H782" s="5">
        <f>VALUE(SUBSTITUTE('1000_заявлений'!H776, ".", ","))</f>
        <v>-3528</v>
      </c>
      <c r="I782" s="4">
        <f>VALUE(SUBSTITUTE('1000_заявлений'!I776, ".", ","))</f>
        <v>0.1</v>
      </c>
      <c r="J782" s="4">
        <f>VALUE(SUBSTITUTE('1000_заявлений'!J776, ".", ","))</f>
        <v>10.6209759779781</v>
      </c>
      <c r="K782" s="5">
        <f>VALUE(SUBSTITUTE('1000_заявлений'!K776, ".", ","))</f>
        <v>-951</v>
      </c>
      <c r="L782" s="6">
        <f>VALUE(SUBSTITUTE('1000_заявлений'!L776, ".", ","))</f>
        <v>13500</v>
      </c>
      <c r="M782" s="2" t="str">
        <f>IF(Данные[[#This Row],[proba]]&gt;$C$6, "отказ", "одобрение")</f>
        <v>отказ</v>
      </c>
      <c r="N782" s="7">
        <f>IF(Данные[[#This Row],[proba]]&lt;$D$2,$C$2,IF(Данные[[#This Row],[proba]]&lt;$D$3,$C$3,IF(Данные[[#This Row],[proba]]&gt;$C$6,0,$C$4)))</f>
        <v>0</v>
      </c>
      <c r="O782" s="2">
        <f>IF(Данные[[#This Row],[weighted_ext_score]]&gt;$O$1,MIN(Данные[[#This Row],[Базовая сумма]]*$O$2,$C$2),IF(Данные[[#This Row],[weighted_ext_score]]&lt;$O$3,Данные[[#This Row],[Базовая сумма]]*$O$4,N782))</f>
        <v>0</v>
      </c>
      <c r="P7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2" s="2">
        <f>ABS(Данные[[#This Row],[days_birth]])/365.2425</f>
        <v>29.733670095895192</v>
      </c>
      <c r="S7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2" s="2">
        <f>IF(Данные[[#This Row],[ interest_rate]]&gt;$T$1,Данные[[#This Row],[days_birth4]]*$T$2,Данные[[#This Row],[days_birth4]])</f>
        <v>0</v>
      </c>
      <c r="U782" s="2">
        <f>IF(Данные[[#This Row],[Проверка отказа]]="отказ",0,MAX(Данные[[#This Row],[interest_rate]],$C$1))</f>
        <v>0</v>
      </c>
      <c r="V782" s="2">
        <f>MROUND(Данные[[#This Row],[Минимум 20000]], 100)</f>
        <v>0</v>
      </c>
    </row>
    <row r="783" spans="1:22" x14ac:dyDescent="0.25">
      <c r="A783" s="2">
        <f>'1000_заявлений'!A777</f>
        <v>775</v>
      </c>
      <c r="B783" s="4">
        <f>VALUE(SUBSTITUTE('1000_заявлений'!B777, ".", ","))</f>
        <v>0.46769498457143699</v>
      </c>
      <c r="C783" s="4">
        <f>VALUE(SUBSTITUTE('1000_заявлений'!C777, ".", ","))</f>
        <v>0.44580729560786703</v>
      </c>
      <c r="D783" s="4">
        <f>VALUE(SUBSTITUTE('1000_заявлений'!D777, ".", ","))</f>
        <v>0.33285058000000001</v>
      </c>
      <c r="E783" s="4">
        <f>VALUE(SUBSTITUTE('1000_заявлений'!E777, ".", ","))</f>
        <v>0.68206876999999999</v>
      </c>
      <c r="F783" s="5">
        <f>VALUE(SUBSTITUTE('1000_заявлений'!F777, ".", ","))</f>
        <v>-2603</v>
      </c>
      <c r="G783" s="5">
        <f>VALUE(SUBSTITUTE('1000_заявлений'!G777, ".", ","))</f>
        <v>-12660</v>
      </c>
      <c r="H783" s="5">
        <f>VALUE(SUBSTITUTE('1000_заявлений'!H777, ".", ","))</f>
        <v>-4376</v>
      </c>
      <c r="I783" s="4">
        <f>VALUE(SUBSTITUTE('1000_заявлений'!I777, ".", ","))</f>
        <v>0.119675</v>
      </c>
      <c r="J783" s="4">
        <f>VALUE(SUBSTITUTE('1000_заявлений'!J777, ".", ","))</f>
        <v>1.60842675300341</v>
      </c>
      <c r="K783" s="5">
        <f>VALUE(SUBSTITUTE('1000_заявлений'!K777, ".", ","))</f>
        <v>-463</v>
      </c>
      <c r="L783" s="6">
        <f>VALUE(SUBSTITUTE('1000_заявлений'!L777, ".", ","))</f>
        <v>21541.5</v>
      </c>
      <c r="M783" s="2" t="str">
        <f>IF(Данные[[#This Row],[proba]]&gt;$C$6, "отказ", "одобрение")</f>
        <v>отказ</v>
      </c>
      <c r="N783" s="7">
        <f>IF(Данные[[#This Row],[proba]]&lt;$D$2,$C$2,IF(Данные[[#This Row],[proba]]&lt;$D$3,$C$3,IF(Данные[[#This Row],[proba]]&gt;$C$6,0,$C$4)))</f>
        <v>0</v>
      </c>
      <c r="O783" s="2">
        <f>IF(Данные[[#This Row],[weighted_ext_score]]&gt;$O$1,MIN(Данные[[#This Row],[Базовая сумма]]*$O$2,$C$2),IF(Данные[[#This Row],[weighted_ext_score]]&lt;$O$3,Данные[[#This Row],[Базовая сумма]]*$O$4,N783))</f>
        <v>0</v>
      </c>
      <c r="P7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3" s="2">
        <f>ABS(Данные[[#This Row],[days_birth]])/365.2425</f>
        <v>34.661902708474507</v>
      </c>
      <c r="S7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3" s="2">
        <f>IF(Данные[[#This Row],[ interest_rate]]&gt;$T$1,Данные[[#This Row],[days_birth4]]*$T$2,Данные[[#This Row],[days_birth4]])</f>
        <v>0</v>
      </c>
      <c r="U783" s="2">
        <f>IF(Данные[[#This Row],[Проверка отказа]]="отказ",0,MAX(Данные[[#This Row],[interest_rate]],$C$1))</f>
        <v>0</v>
      </c>
      <c r="V783" s="2">
        <f>MROUND(Данные[[#This Row],[Минимум 20000]], 100)</f>
        <v>0</v>
      </c>
    </row>
    <row r="784" spans="1:22" x14ac:dyDescent="0.25">
      <c r="A784" s="2">
        <f>'1000_заявлений'!A778</f>
        <v>776</v>
      </c>
      <c r="B784" s="4">
        <f>VALUE(SUBSTITUTE('1000_заявлений'!B778, ".", ","))</f>
        <v>0.269703377500978</v>
      </c>
      <c r="C784" s="4">
        <f>VALUE(SUBSTITUTE('1000_заявлений'!C778, ".", ","))</f>
        <v>0.492314780292752</v>
      </c>
      <c r="D784" s="4">
        <f>VALUE(SUBSTITUTE('1000_заявлений'!D778, ".", ","))</f>
        <v>0.78626660000000004</v>
      </c>
      <c r="E784" s="4">
        <f>VALUE(SUBSTITUTE('1000_заявлений'!E778, ".", ","))</f>
        <v>0.64107274999999997</v>
      </c>
      <c r="F784" s="5">
        <f>VALUE(SUBSTITUTE('1000_заявлений'!F778, ".", ","))</f>
        <v>-8140</v>
      </c>
      <c r="G784" s="5">
        <f>VALUE(SUBSTITUTE('1000_заявлений'!G778, ".", ","))</f>
        <v>-13944</v>
      </c>
      <c r="H784" s="5">
        <f>VALUE(SUBSTITUTE('1000_заявлений'!H778, ".", ","))</f>
        <v>-4669</v>
      </c>
      <c r="I784" s="4">
        <f>VALUE(SUBSTITUTE('1000_заявлений'!I778, ".", ","))</f>
        <v>0.36975000000000002</v>
      </c>
      <c r="J784" s="4">
        <f>VALUE(SUBSTITUTE('1000_заявлений'!J778, ".", ","))</f>
        <v>1.82040973632977</v>
      </c>
      <c r="K784" s="5">
        <f>VALUE(SUBSTITUTE('1000_заявлений'!K778, ".", ","))</f>
        <v>-2560</v>
      </c>
      <c r="L784" s="6">
        <f>VALUE(SUBSTITUTE('1000_заявлений'!L778, ".", ","))</f>
        <v>33277.5</v>
      </c>
      <c r="M784" s="2" t="str">
        <f>IF(Данные[[#This Row],[proba]]&gt;$C$6, "отказ", "одобрение")</f>
        <v>одобрение</v>
      </c>
      <c r="N784" s="7">
        <f>IF(Данные[[#This Row],[proba]]&lt;$D$2,$C$2,IF(Данные[[#This Row],[proba]]&lt;$D$3,$C$3,IF(Данные[[#This Row],[proba]]&gt;$C$6,0,$C$4)))</f>
        <v>100000</v>
      </c>
      <c r="O784" s="2">
        <f>IF(Данные[[#This Row],[weighted_ext_score]]&gt;$O$1,MIN(Данные[[#This Row],[Базовая сумма]]*$O$2,$C$2),IF(Данные[[#This Row],[weighted_ext_score]]&lt;$O$3,Данные[[#This Row],[Базовая сумма]]*$O$4,N784))</f>
        <v>100000</v>
      </c>
      <c r="P7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84" s="2">
        <f>ABS(Данные[[#This Row],[days_birth]])/365.2425</f>
        <v>38.177375305447747</v>
      </c>
      <c r="S7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784" s="2">
        <f>IF(Данные[[#This Row],[ interest_rate]]&gt;$T$1,Данные[[#This Row],[days_birth4]]*$T$2,Данные[[#This Row],[days_birth4]])</f>
        <v>120000</v>
      </c>
      <c r="U784" s="2">
        <f>IF(Данные[[#This Row],[Проверка отказа]]="отказ",0,MAX(Данные[[#This Row],[interest_rate]],$C$1))</f>
        <v>120000</v>
      </c>
      <c r="V784" s="2">
        <f>MROUND(Данные[[#This Row],[Минимум 20000]], 100)</f>
        <v>120000</v>
      </c>
    </row>
    <row r="785" spans="1:22" x14ac:dyDescent="0.25">
      <c r="A785" s="2">
        <f>'1000_заявлений'!A779</f>
        <v>777</v>
      </c>
      <c r="B785" s="4">
        <f>VALUE(SUBSTITUTE('1000_заявлений'!B779, ".", ","))</f>
        <v>0.42188451257118098</v>
      </c>
      <c r="C785" s="4">
        <f>VALUE(SUBSTITUTE('1000_заявлений'!C779, ".", ","))</f>
        <v>0.53162081995841803</v>
      </c>
      <c r="D785" s="4">
        <f>VALUE(SUBSTITUTE('1000_заявлений'!D779, ".", ","))</f>
        <v>0.25259870000000001</v>
      </c>
      <c r="E785" s="4">
        <f>VALUE(SUBSTITUTE('1000_заявлений'!E779, ".", ","))</f>
        <v>0.62923090000000004</v>
      </c>
      <c r="F785" s="5">
        <f>VALUE(SUBSTITUTE('1000_заявлений'!F779, ".", ","))</f>
        <v>-12420</v>
      </c>
      <c r="G785" s="5">
        <f>VALUE(SUBSTITUTE('1000_заявлений'!G779, ".", ","))</f>
        <v>-20516</v>
      </c>
      <c r="H785" s="5">
        <f>VALUE(SUBSTITUTE('1000_заявлений'!H779, ".", ","))</f>
        <v>-4080</v>
      </c>
      <c r="I785" s="4">
        <f>VALUE(SUBSTITUTE('1000_заявлений'!I779, ".", ","))</f>
        <v>0.12368</v>
      </c>
      <c r="J785" s="4">
        <f>VALUE(SUBSTITUTE('1000_заявлений'!J779, ".", ","))</f>
        <v>3.5287995537941201</v>
      </c>
      <c r="K785" s="5">
        <f>VALUE(SUBSTITUTE('1000_заявлений'!K779, ".", ","))</f>
        <v>-3770</v>
      </c>
      <c r="L785" s="6">
        <f>VALUE(SUBSTITUTE('1000_заявлений'!L779, ".", ","))</f>
        <v>13914</v>
      </c>
      <c r="M785" s="2" t="str">
        <f>IF(Данные[[#This Row],[proba]]&gt;$C$6, "отказ", "одобрение")</f>
        <v>отказ</v>
      </c>
      <c r="N785" s="7">
        <f>IF(Данные[[#This Row],[proba]]&lt;$D$2,$C$2,IF(Данные[[#This Row],[proba]]&lt;$D$3,$C$3,IF(Данные[[#This Row],[proba]]&gt;$C$6,0,$C$4)))</f>
        <v>0</v>
      </c>
      <c r="O785" s="2">
        <f>IF(Данные[[#This Row],[weighted_ext_score]]&gt;$O$1,MIN(Данные[[#This Row],[Базовая сумма]]*$O$2,$C$2),IF(Данные[[#This Row],[weighted_ext_score]]&lt;$O$3,Данные[[#This Row],[Базовая сумма]]*$O$4,N785))</f>
        <v>0</v>
      </c>
      <c r="P7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5" s="2">
        <f>ABS(Данные[[#This Row],[days_birth]])/365.2425</f>
        <v>56.170900155376223</v>
      </c>
      <c r="S7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5" s="2">
        <f>IF(Данные[[#This Row],[ interest_rate]]&gt;$T$1,Данные[[#This Row],[days_birth4]]*$T$2,Данные[[#This Row],[days_birth4]])</f>
        <v>0</v>
      </c>
      <c r="U785" s="2">
        <f>IF(Данные[[#This Row],[Проверка отказа]]="отказ",0,MAX(Данные[[#This Row],[interest_rate]],$C$1))</f>
        <v>0</v>
      </c>
      <c r="V785" s="2">
        <f>MROUND(Данные[[#This Row],[Минимум 20000]], 100)</f>
        <v>0</v>
      </c>
    </row>
    <row r="786" spans="1:22" x14ac:dyDescent="0.25">
      <c r="A786" s="2">
        <f>'1000_заявлений'!A780</f>
        <v>778</v>
      </c>
      <c r="B786" s="4">
        <f>VALUE(SUBSTITUTE('1000_заявлений'!B780, ".", ","))</f>
        <v>0.67870459395856497</v>
      </c>
      <c r="C786" s="4">
        <f>VALUE(SUBSTITUTE('1000_заявлений'!C780, ".", ","))</f>
        <v>0.20314350805126399</v>
      </c>
      <c r="D786" s="4">
        <f>VALUE(SUBSTITUTE('1000_заявлений'!D780, ".", ","))</f>
        <v>0.48305019999999999</v>
      </c>
      <c r="E786" s="4">
        <f>VALUE(SUBSTITUTE('1000_заявлений'!E780, ".", ","))</f>
        <v>8.7678425000000004E-2</v>
      </c>
      <c r="F786" s="5">
        <f>VALUE(SUBSTITUTE('1000_заявлений'!F780, ".", ","))</f>
        <v>-2153</v>
      </c>
      <c r="G786" s="5">
        <f>VALUE(SUBSTITUTE('1000_заявлений'!G780, ".", ","))</f>
        <v>-22299</v>
      </c>
      <c r="H786" s="5">
        <f>VALUE(SUBSTITUTE('1000_заявлений'!H780, ".", ","))</f>
        <v>-1628</v>
      </c>
      <c r="I786" s="4">
        <f>VALUE(SUBSTITUTE('1000_заявлений'!I780, ".", ","))</f>
        <v>0.18333333333333299</v>
      </c>
      <c r="J786" s="4">
        <f>VALUE(SUBSTITUTE('1000_заявлений'!J780, ".", ","))</f>
        <v>10.6209759779781</v>
      </c>
      <c r="K786" s="5">
        <f>VALUE(SUBSTITUTE('1000_заявлений'!K780, ".", ","))</f>
        <v>-2742</v>
      </c>
      <c r="L786" s="6">
        <f>VALUE(SUBSTITUTE('1000_заявлений'!L780, ".", ","))</f>
        <v>24750</v>
      </c>
      <c r="M786" s="2" t="str">
        <f>IF(Данные[[#This Row],[proba]]&gt;$C$6, "отказ", "одобрение")</f>
        <v>отказ</v>
      </c>
      <c r="N786" s="7">
        <f>IF(Данные[[#This Row],[proba]]&lt;$D$2,$C$2,IF(Данные[[#This Row],[proba]]&lt;$D$3,$C$3,IF(Данные[[#This Row],[proba]]&gt;$C$6,0,$C$4)))</f>
        <v>0</v>
      </c>
      <c r="O786" s="2">
        <f>IF(Данные[[#This Row],[weighted_ext_score]]&gt;$O$1,MIN(Данные[[#This Row],[Базовая сумма]]*$O$2,$C$2),IF(Данные[[#This Row],[weighted_ext_score]]&lt;$O$3,Данные[[#This Row],[Базовая сумма]]*$O$4,N786))</f>
        <v>0</v>
      </c>
      <c r="P7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6" s="2">
        <f>ABS(Данные[[#This Row],[days_birth]])/365.2425</f>
        <v>61.052588348836728</v>
      </c>
      <c r="S7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6" s="2">
        <f>IF(Данные[[#This Row],[ interest_rate]]&gt;$T$1,Данные[[#This Row],[days_birth4]]*$T$2,Данные[[#This Row],[days_birth4]])</f>
        <v>0</v>
      </c>
      <c r="U786" s="2">
        <f>IF(Данные[[#This Row],[Проверка отказа]]="отказ",0,MAX(Данные[[#This Row],[interest_rate]],$C$1))</f>
        <v>0</v>
      </c>
      <c r="V786" s="2">
        <f>MROUND(Данные[[#This Row],[Минимум 20000]], 100)</f>
        <v>0</v>
      </c>
    </row>
    <row r="787" spans="1:22" x14ac:dyDescent="0.25">
      <c r="A787" s="2">
        <f>'1000_заявлений'!A781</f>
        <v>779</v>
      </c>
      <c r="B787" s="4">
        <f>VALUE(SUBSTITUTE('1000_заявлений'!B781, ".", ","))</f>
        <v>0.16095921049565201</v>
      </c>
      <c r="C787" s="4">
        <f>VALUE(SUBSTITUTE('1000_заявлений'!C781, ".", ","))</f>
        <v>0.69447386604163297</v>
      </c>
      <c r="D787" s="4">
        <f>VALUE(SUBSTITUTE('1000_заявлений'!D781, ".", ","))</f>
        <v>0.71363140000000003</v>
      </c>
      <c r="E787" s="4">
        <f>VALUE(SUBSTITUTE('1000_заявлений'!E781, ".", ","))</f>
        <v>0.58603369999999999</v>
      </c>
      <c r="F787" s="5">
        <f>VALUE(SUBSTITUTE('1000_заявлений'!F781, ".", ","))</f>
        <v>-3304</v>
      </c>
      <c r="G787" s="5">
        <f>VALUE(SUBSTITUTE('1000_заявлений'!G781, ".", ","))</f>
        <v>-22029</v>
      </c>
      <c r="H787" s="5">
        <f>VALUE(SUBSTITUTE('1000_заявлений'!H781, ".", ","))</f>
        <v>-4212</v>
      </c>
      <c r="I787" s="4">
        <f>VALUE(SUBSTITUTE('1000_заявлений'!I781, ".", ","))</f>
        <v>0.22750000000000001</v>
      </c>
      <c r="J787" s="4">
        <f>VALUE(SUBSTITUTE('1000_заявлений'!J781, ".", ","))</f>
        <v>1.8346578859793401</v>
      </c>
      <c r="K787" s="5">
        <f>VALUE(SUBSTITUTE('1000_заявлений'!K781, ".", ","))</f>
        <v>365243</v>
      </c>
      <c r="L787" s="6">
        <f>VALUE(SUBSTITUTE('1000_заявлений'!L781, ".", ","))</f>
        <v>30712.5</v>
      </c>
      <c r="M787" s="2" t="str">
        <f>IF(Данные[[#This Row],[proba]]&gt;$C$6, "отказ", "одобрение")</f>
        <v>одобрение</v>
      </c>
      <c r="N787" s="7">
        <f>IF(Данные[[#This Row],[proba]]&lt;$D$2,$C$2,IF(Данные[[#This Row],[proba]]&lt;$D$3,$C$3,IF(Данные[[#This Row],[proba]]&gt;$C$6,0,$C$4)))</f>
        <v>300000</v>
      </c>
      <c r="O787" s="2">
        <f>IF(Данные[[#This Row],[weighted_ext_score]]&gt;$O$1,MIN(Данные[[#This Row],[Базовая сумма]]*$O$2,$C$2),IF(Данные[[#This Row],[weighted_ext_score]]&lt;$O$3,Данные[[#This Row],[Базовая сумма]]*$O$4,N787))</f>
        <v>300000</v>
      </c>
      <c r="P7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7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787" s="2">
        <f>ABS(Данные[[#This Row],[days_birth]])/365.2425</f>
        <v>60.313353456949834</v>
      </c>
      <c r="S7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787" s="2">
        <f>IF(Данные[[#This Row],[ interest_rate]]&gt;$T$1,Данные[[#This Row],[days_birth4]]*$T$2,Данные[[#This Row],[days_birth4]])</f>
        <v>315000</v>
      </c>
      <c r="U787" s="2">
        <f>IF(Данные[[#This Row],[Проверка отказа]]="отказ",0,MAX(Данные[[#This Row],[interest_rate]],$C$1))</f>
        <v>315000</v>
      </c>
      <c r="V787" s="2">
        <f>MROUND(Данные[[#This Row],[Минимум 20000]], 100)</f>
        <v>315000</v>
      </c>
    </row>
    <row r="788" spans="1:22" x14ac:dyDescent="0.25">
      <c r="A788" s="2">
        <f>'1000_заявлений'!A782</f>
        <v>780</v>
      </c>
      <c r="B788" s="4">
        <f>VALUE(SUBSTITUTE('1000_заявлений'!B782, ".", ","))</f>
        <v>0.27643025566713397</v>
      </c>
      <c r="C788" s="4">
        <f>VALUE(SUBSTITUTE('1000_заявлений'!C782, ".", ","))</f>
        <v>0.64535227044134003</v>
      </c>
      <c r="D788" s="4">
        <f>VALUE(SUBSTITUTE('1000_заявлений'!D782, ".", ","))</f>
        <v>0.59023329999999996</v>
      </c>
      <c r="E788" s="4">
        <f>VALUE(SUBSTITUTE('1000_заявлений'!E782, ".", ","))</f>
        <v>0.55645186000000002</v>
      </c>
      <c r="F788" s="5">
        <f>VALUE(SUBSTITUTE('1000_заявлений'!F782, ".", ","))</f>
        <v>-4139</v>
      </c>
      <c r="G788" s="5">
        <f>VALUE(SUBSTITUTE('1000_заявлений'!G782, ".", ","))</f>
        <v>-14376</v>
      </c>
      <c r="H788" s="5">
        <f>VALUE(SUBSTITUTE('1000_заявлений'!H782, ".", ","))</f>
        <v>-4640</v>
      </c>
      <c r="I788" s="4">
        <f>VALUE(SUBSTITUTE('1000_заявлений'!I782, ".", ","))</f>
        <v>0.103433333333333</v>
      </c>
      <c r="J788" s="4">
        <f>VALUE(SUBSTITUTE('1000_заявлений'!J782, ".", ","))</f>
        <v>2.2556233504269199</v>
      </c>
      <c r="K788" s="5">
        <f>VALUE(SUBSTITUTE('1000_заявлений'!K782, ".", ","))</f>
        <v>-295</v>
      </c>
      <c r="L788" s="6">
        <f>VALUE(SUBSTITUTE('1000_заявлений'!L782, ".", ","))</f>
        <v>13963.5</v>
      </c>
      <c r="M788" s="2" t="str">
        <f>IF(Данные[[#This Row],[proba]]&gt;$C$6, "отказ", "одобрение")</f>
        <v>одобрение</v>
      </c>
      <c r="N788" s="7">
        <f>IF(Данные[[#This Row],[proba]]&lt;$D$2,$C$2,IF(Данные[[#This Row],[proba]]&lt;$D$3,$C$3,IF(Данные[[#This Row],[proba]]&gt;$C$6,0,$C$4)))</f>
        <v>100000</v>
      </c>
      <c r="O788" s="2">
        <f>IF(Данные[[#This Row],[weighted_ext_score]]&gt;$O$1,MIN(Данные[[#This Row],[Базовая сумма]]*$O$2,$C$2),IF(Данные[[#This Row],[weighted_ext_score]]&lt;$O$3,Данные[[#This Row],[Базовая сумма]]*$O$4,N788))</f>
        <v>100000</v>
      </c>
      <c r="P7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788" s="2">
        <f>ABS(Данные[[#This Row],[days_birth]])/365.2425</f>
        <v>39.360151132466783</v>
      </c>
      <c r="S7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788" s="2">
        <f>IF(Данные[[#This Row],[ interest_rate]]&gt;$T$1,Данные[[#This Row],[days_birth4]]*$T$2,Данные[[#This Row],[days_birth4]])</f>
        <v>120000</v>
      </c>
      <c r="U788" s="2">
        <f>IF(Данные[[#This Row],[Проверка отказа]]="отказ",0,MAX(Данные[[#This Row],[interest_rate]],$C$1))</f>
        <v>120000</v>
      </c>
      <c r="V788" s="2">
        <f>MROUND(Данные[[#This Row],[Минимум 20000]], 100)</f>
        <v>120000</v>
      </c>
    </row>
    <row r="789" spans="1:22" x14ac:dyDescent="0.25">
      <c r="A789" s="2">
        <f>'1000_заявлений'!A783</f>
        <v>781</v>
      </c>
      <c r="B789" s="4">
        <f>VALUE(SUBSTITUTE('1000_заявлений'!B783, ".", ","))</f>
        <v>0.51337664496826396</v>
      </c>
      <c r="C789" s="4">
        <f>VALUE(SUBSTITUTE('1000_заявлений'!C783, ".", ","))</f>
        <v>0.36769503246175</v>
      </c>
      <c r="D789" s="4">
        <f>VALUE(SUBSTITUTE('1000_заявлений'!D783, ".", ","))</f>
        <v>0.24054141000000001</v>
      </c>
      <c r="E789" s="4">
        <f>VALUE(SUBSTITUTE('1000_заявлений'!E783, ".", ","))</f>
        <v>0.70491594000000002</v>
      </c>
      <c r="F789" s="5">
        <f>VALUE(SUBSTITUTE('1000_заявлений'!F783, ".", ","))</f>
        <v>-2251</v>
      </c>
      <c r="G789" s="5">
        <f>VALUE(SUBSTITUTE('1000_заявлений'!G783, ".", ","))</f>
        <v>-14095</v>
      </c>
      <c r="H789" s="5">
        <f>VALUE(SUBSTITUTE('1000_заявлений'!H783, ".", ","))</f>
        <v>-4900</v>
      </c>
      <c r="I789" s="4">
        <f>VALUE(SUBSTITUTE('1000_заявлений'!I783, ".", ","))</f>
        <v>6.3825000000000007E-2</v>
      </c>
      <c r="J789" s="4">
        <f>VALUE(SUBSTITUTE('1000_заявлений'!J783, ".", ","))</f>
        <v>2.43432218179806</v>
      </c>
      <c r="K789" s="5">
        <f>VALUE(SUBSTITUTE('1000_заявлений'!K783, ".", ","))</f>
        <v>-320</v>
      </c>
      <c r="L789" s="6">
        <f>VALUE(SUBSTITUTE('1000_заявлений'!L783, ".", ","))</f>
        <v>22977</v>
      </c>
      <c r="M789" s="2" t="str">
        <f>IF(Данные[[#This Row],[proba]]&gt;$C$6, "отказ", "одобрение")</f>
        <v>отказ</v>
      </c>
      <c r="N789" s="7">
        <f>IF(Данные[[#This Row],[proba]]&lt;$D$2,$C$2,IF(Данные[[#This Row],[proba]]&lt;$D$3,$C$3,IF(Данные[[#This Row],[proba]]&gt;$C$6,0,$C$4)))</f>
        <v>0</v>
      </c>
      <c r="O789" s="2">
        <f>IF(Данные[[#This Row],[weighted_ext_score]]&gt;$O$1,MIN(Данные[[#This Row],[Базовая сумма]]*$O$2,$C$2),IF(Данные[[#This Row],[weighted_ext_score]]&lt;$O$3,Данные[[#This Row],[Базовая сумма]]*$O$4,N789))</f>
        <v>0</v>
      </c>
      <c r="P7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89" s="2">
        <f>ABS(Данные[[#This Row],[days_birth]])/365.2425</f>
        <v>38.590799263503015</v>
      </c>
      <c r="S7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89" s="2">
        <f>IF(Данные[[#This Row],[ interest_rate]]&gt;$T$1,Данные[[#This Row],[days_birth4]]*$T$2,Данные[[#This Row],[days_birth4]])</f>
        <v>0</v>
      </c>
      <c r="U789" s="2">
        <f>IF(Данные[[#This Row],[Проверка отказа]]="отказ",0,MAX(Данные[[#This Row],[interest_rate]],$C$1))</f>
        <v>0</v>
      </c>
      <c r="V789" s="2">
        <f>MROUND(Данные[[#This Row],[Минимум 20000]], 100)</f>
        <v>0</v>
      </c>
    </row>
    <row r="790" spans="1:22" x14ac:dyDescent="0.25">
      <c r="A790" s="2">
        <f>'1000_заявлений'!A784</f>
        <v>782</v>
      </c>
      <c r="B790" s="4">
        <f>VALUE(SUBSTITUTE('1000_заявлений'!B784, ".", ","))</f>
        <v>0.20499432438448301</v>
      </c>
      <c r="C790" s="4">
        <f>VALUE(SUBSTITUTE('1000_заявлений'!C784, ".", ","))</f>
        <v>0.45587123894385201</v>
      </c>
      <c r="D790" s="4">
        <f>VALUE(SUBSTITUTE('1000_заявлений'!D784, ".", ","))</f>
        <v>0.69409262999999999</v>
      </c>
      <c r="E790" s="4">
        <f>VALUE(SUBSTITUTE('1000_заявлений'!E784, ".", ","))</f>
        <v>0.63149319999999998</v>
      </c>
      <c r="F790" s="5">
        <f>VALUE(SUBSTITUTE('1000_заявлений'!F784, ".", ","))</f>
        <v>-10587</v>
      </c>
      <c r="G790" s="5">
        <f>VALUE(SUBSTITUTE('1000_заявлений'!G784, ".", ","))</f>
        <v>-24669</v>
      </c>
      <c r="H790" s="5">
        <f>VALUE(SUBSTITUTE('1000_заявлений'!H784, ".", ","))</f>
        <v>-1174</v>
      </c>
      <c r="I790" s="4">
        <f>VALUE(SUBSTITUTE('1000_заявлений'!I784, ".", ","))</f>
        <v>0.34613333333333302</v>
      </c>
      <c r="J790" s="4">
        <f>VALUE(SUBSTITUTE('1000_заявлений'!J784, ".", ","))</f>
        <v>14.970708609582299</v>
      </c>
      <c r="K790" s="5">
        <f>VALUE(SUBSTITUTE('1000_заявлений'!K784, ".", ","))</f>
        <v>365243</v>
      </c>
      <c r="L790" s="6">
        <f>VALUE(SUBSTITUTE('1000_заявлений'!L784, ".", ","))</f>
        <v>23364</v>
      </c>
      <c r="M790" s="2" t="str">
        <f>IF(Данные[[#This Row],[proba]]&gt;$C$6, "отказ", "одобрение")</f>
        <v>одобрение</v>
      </c>
      <c r="N790" s="7">
        <f>IF(Данные[[#This Row],[proba]]&lt;$D$2,$C$2,IF(Данные[[#This Row],[proba]]&lt;$D$3,$C$3,IF(Данные[[#This Row],[proba]]&gt;$C$6,0,$C$4)))</f>
        <v>100000</v>
      </c>
      <c r="O790" s="2">
        <f>IF(Данные[[#This Row],[weighted_ext_score]]&gt;$O$1,MIN(Данные[[#This Row],[Базовая сумма]]*$O$2,$C$2),IF(Данные[[#This Row],[weighted_ext_score]]&lt;$O$3,Данные[[#This Row],[Базовая сумма]]*$O$4,N790))</f>
        <v>100000</v>
      </c>
      <c r="P7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7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790" s="2">
        <f>ABS(Данные[[#This Row],[days_birth]])/365.2425</f>
        <v>67.541427955399499</v>
      </c>
      <c r="S7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790" s="2">
        <f>IF(Данные[[#This Row],[ interest_rate]]&gt;$T$1,Данные[[#This Row],[days_birth4]]*$T$2,Данные[[#This Row],[days_birth4]])</f>
        <v>105000</v>
      </c>
      <c r="U790" s="2">
        <f>IF(Данные[[#This Row],[Проверка отказа]]="отказ",0,MAX(Данные[[#This Row],[interest_rate]],$C$1))</f>
        <v>105000</v>
      </c>
      <c r="V790" s="2">
        <f>MROUND(Данные[[#This Row],[Минимум 20000]], 100)</f>
        <v>105000</v>
      </c>
    </row>
    <row r="791" spans="1:22" x14ac:dyDescent="0.25">
      <c r="A791" s="2">
        <f>'1000_заявлений'!A785</f>
        <v>783</v>
      </c>
      <c r="B791" s="4">
        <f>VALUE(SUBSTITUTE('1000_заявлений'!B785, ".", ","))</f>
        <v>0.71897439995021495</v>
      </c>
      <c r="C791" s="4">
        <f>VALUE(SUBSTITUTE('1000_заявлений'!C785, ".", ","))</f>
        <v>1.970358693291E-4</v>
      </c>
      <c r="D791" s="4">
        <f>VALUE(SUBSTITUTE('1000_заявлений'!D785, ".", ","))</f>
        <v>0.53527623000000002</v>
      </c>
      <c r="E791" s="4">
        <f>VALUE(SUBSTITUTE('1000_заявлений'!E785, ".", ","))</f>
        <v>6.0742884000000003E-4</v>
      </c>
      <c r="F791" s="5">
        <f>VALUE(SUBSTITUTE('1000_заявлений'!F785, ".", ","))</f>
        <v>-5605</v>
      </c>
      <c r="G791" s="5">
        <f>VALUE(SUBSTITUTE('1000_заявлений'!G785, ".", ","))</f>
        <v>-24266</v>
      </c>
      <c r="H791" s="5">
        <f>VALUE(SUBSTITUTE('1000_заявлений'!H785, ".", ","))</f>
        <v>-4383</v>
      </c>
      <c r="I791" s="4">
        <f>VALUE(SUBSTITUTE('1000_заявлений'!I785, ".", ","))</f>
        <v>0.16389999999999999</v>
      </c>
      <c r="J791" s="4">
        <f>VALUE(SUBSTITUTE('1000_заявлений'!J785, ".", ","))</f>
        <v>5.42953660278868</v>
      </c>
      <c r="K791" s="5">
        <f>VALUE(SUBSTITUTE('1000_заявлений'!K785, ".", ","))</f>
        <v>365243</v>
      </c>
      <c r="L791" s="6">
        <f>VALUE(SUBSTITUTE('1000_заявлений'!L785, ".", ","))</f>
        <v>14751</v>
      </c>
      <c r="M791" s="2" t="str">
        <f>IF(Данные[[#This Row],[proba]]&gt;$C$6, "отказ", "одобрение")</f>
        <v>отказ</v>
      </c>
      <c r="N791" s="7">
        <f>IF(Данные[[#This Row],[proba]]&lt;$D$2,$C$2,IF(Данные[[#This Row],[proba]]&lt;$D$3,$C$3,IF(Данные[[#This Row],[proba]]&gt;$C$6,0,$C$4)))</f>
        <v>0</v>
      </c>
      <c r="O791" s="2">
        <f>IF(Данные[[#This Row],[weighted_ext_score]]&gt;$O$1,MIN(Данные[[#This Row],[Базовая сумма]]*$O$2,$C$2),IF(Данные[[#This Row],[weighted_ext_score]]&lt;$O$3,Данные[[#This Row],[Базовая сумма]]*$O$4,N791))</f>
        <v>0</v>
      </c>
      <c r="P7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1" s="2">
        <f>ABS(Данные[[#This Row],[days_birth]])/365.2425</f>
        <v>66.438051431583119</v>
      </c>
      <c r="S7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1" s="2">
        <f>IF(Данные[[#This Row],[ interest_rate]]&gt;$T$1,Данные[[#This Row],[days_birth4]]*$T$2,Данные[[#This Row],[days_birth4]])</f>
        <v>0</v>
      </c>
      <c r="U791" s="2">
        <f>IF(Данные[[#This Row],[Проверка отказа]]="отказ",0,MAX(Данные[[#This Row],[interest_rate]],$C$1))</f>
        <v>0</v>
      </c>
      <c r="V791" s="2">
        <f>MROUND(Данные[[#This Row],[Минимум 20000]], 100)</f>
        <v>0</v>
      </c>
    </row>
    <row r="792" spans="1:22" x14ac:dyDescent="0.25">
      <c r="A792" s="2">
        <f>'1000_заявлений'!A786</f>
        <v>784</v>
      </c>
      <c r="B792" s="4">
        <f>VALUE(SUBSTITUTE('1000_заявлений'!B786, ".", ","))</f>
        <v>0.56805119507625701</v>
      </c>
      <c r="C792" s="4">
        <f>VALUE(SUBSTITUTE('1000_заявлений'!C786, ".", ","))</f>
        <v>0.498968250621387</v>
      </c>
      <c r="D792" s="4">
        <f>VALUE(SUBSTITUTE('1000_заявлений'!D786, ".", ","))</f>
        <v>0.17044613</v>
      </c>
      <c r="E792" s="4">
        <f>VALUE(SUBSTITUTE('1000_заявлений'!E786, ".", ","))</f>
        <v>0.66313370000000005</v>
      </c>
      <c r="F792" s="5">
        <f>VALUE(SUBSTITUTE('1000_заявлений'!F786, ".", ","))</f>
        <v>-1100</v>
      </c>
      <c r="G792" s="5">
        <f>VALUE(SUBSTITUTE('1000_заявлений'!G786, ".", ","))</f>
        <v>-9704</v>
      </c>
      <c r="H792" s="5">
        <f>VALUE(SUBSTITUTE('1000_заявлений'!H786, ".", ","))</f>
        <v>-2317</v>
      </c>
      <c r="I792" s="4">
        <f>VALUE(SUBSTITUTE('1000_заявлений'!I786, ".", ","))</f>
        <v>0.201133333333333</v>
      </c>
      <c r="J792" s="4">
        <f>VALUE(SUBSTITUTE('1000_заявлений'!J786, ".", ","))</f>
        <v>3.0275459574706298</v>
      </c>
      <c r="K792" s="5">
        <f>VALUE(SUBSTITUTE('1000_заявлений'!K786, ".", ","))</f>
        <v>-2583</v>
      </c>
      <c r="L792" s="6">
        <f>VALUE(SUBSTITUTE('1000_заявлений'!L786, ".", ","))</f>
        <v>54306</v>
      </c>
      <c r="M792" s="2" t="str">
        <f>IF(Данные[[#This Row],[proba]]&gt;$C$6, "отказ", "одобрение")</f>
        <v>отказ</v>
      </c>
      <c r="N792" s="7">
        <f>IF(Данные[[#This Row],[proba]]&lt;$D$2,$C$2,IF(Данные[[#This Row],[proba]]&lt;$D$3,$C$3,IF(Данные[[#This Row],[proba]]&gt;$C$6,0,$C$4)))</f>
        <v>0</v>
      </c>
      <c r="O792" s="2">
        <f>IF(Данные[[#This Row],[weighted_ext_score]]&gt;$O$1,MIN(Данные[[#This Row],[Базовая сумма]]*$O$2,$C$2),IF(Данные[[#This Row],[weighted_ext_score]]&lt;$O$3,Данные[[#This Row],[Базовая сумма]]*$O$4,N792))</f>
        <v>0</v>
      </c>
      <c r="P7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2" s="2">
        <f>ABS(Данные[[#This Row],[days_birth]])/365.2425</f>
        <v>26.568649595816478</v>
      </c>
      <c r="S7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2" s="2">
        <f>IF(Данные[[#This Row],[ interest_rate]]&gt;$T$1,Данные[[#This Row],[days_birth4]]*$T$2,Данные[[#This Row],[days_birth4]])</f>
        <v>0</v>
      </c>
      <c r="U792" s="2">
        <f>IF(Данные[[#This Row],[Проверка отказа]]="отказ",0,MAX(Данные[[#This Row],[interest_rate]],$C$1))</f>
        <v>0</v>
      </c>
      <c r="V792" s="2">
        <f>MROUND(Данные[[#This Row],[Минимум 20000]], 100)</f>
        <v>0</v>
      </c>
    </row>
    <row r="793" spans="1:22" x14ac:dyDescent="0.25">
      <c r="A793" s="2">
        <f>'1000_заявлений'!A787</f>
        <v>785</v>
      </c>
      <c r="B793" s="4">
        <f>VALUE(SUBSTITUTE('1000_заявлений'!B787, ".", ","))</f>
        <v>0.48991601131218199</v>
      </c>
      <c r="C793" s="4">
        <f>VALUE(SUBSTITUTE('1000_заявлений'!C787, ".", ","))</f>
        <v>0.52487276950174899</v>
      </c>
      <c r="D793" s="4">
        <f>VALUE(SUBSTITUTE('1000_заявлений'!D787, ".", ","))</f>
        <v>0.44717857</v>
      </c>
      <c r="E793" s="4">
        <f>VALUE(SUBSTITUTE('1000_заявлений'!E787, ".", ","))</f>
        <v>0.48784043999999999</v>
      </c>
      <c r="F793" s="5">
        <f>VALUE(SUBSTITUTE('1000_заявлений'!F787, ".", ","))</f>
        <v>-11749</v>
      </c>
      <c r="G793" s="5">
        <f>VALUE(SUBSTITUTE('1000_заявлений'!G787, ".", ","))</f>
        <v>-11777</v>
      </c>
      <c r="H793" s="5">
        <f>VALUE(SUBSTITUTE('1000_заявлений'!H787, ".", ","))</f>
        <v>-3834</v>
      </c>
      <c r="I793" s="4">
        <f>VALUE(SUBSTITUTE('1000_заявлений'!I787, ".", ","))</f>
        <v>0.39695999999999998</v>
      </c>
      <c r="J793" s="4">
        <f>VALUE(SUBSTITUTE('1000_заявлений'!J787, ".", ","))</f>
        <v>3.5008794567390402</v>
      </c>
      <c r="K793" s="5">
        <f>VALUE(SUBSTITUTE('1000_заявлений'!K787, ".", ","))</f>
        <v>-5071</v>
      </c>
      <c r="L793" s="6">
        <f>VALUE(SUBSTITUTE('1000_заявлений'!L787, ".", ","))</f>
        <v>44658</v>
      </c>
      <c r="M793" s="2" t="str">
        <f>IF(Данные[[#This Row],[proba]]&gt;$C$6, "отказ", "одобрение")</f>
        <v>отказ</v>
      </c>
      <c r="N793" s="7">
        <f>IF(Данные[[#This Row],[proba]]&lt;$D$2,$C$2,IF(Данные[[#This Row],[proba]]&lt;$D$3,$C$3,IF(Данные[[#This Row],[proba]]&gt;$C$6,0,$C$4)))</f>
        <v>0</v>
      </c>
      <c r="O793" s="2">
        <f>IF(Данные[[#This Row],[weighted_ext_score]]&gt;$O$1,MIN(Данные[[#This Row],[Базовая сумма]]*$O$2,$C$2),IF(Данные[[#This Row],[weighted_ext_score]]&lt;$O$3,Данные[[#This Row],[Базовая сумма]]*$O$4,N793))</f>
        <v>0</v>
      </c>
      <c r="P7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3" s="2">
        <f>ABS(Данные[[#This Row],[days_birth]])/365.2425</f>
        <v>32.244330821303656</v>
      </c>
      <c r="S7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3" s="2">
        <f>IF(Данные[[#This Row],[ interest_rate]]&gt;$T$1,Данные[[#This Row],[days_birth4]]*$T$2,Данные[[#This Row],[days_birth4]])</f>
        <v>0</v>
      </c>
      <c r="U793" s="2">
        <f>IF(Данные[[#This Row],[Проверка отказа]]="отказ",0,MAX(Данные[[#This Row],[interest_rate]],$C$1))</f>
        <v>0</v>
      </c>
      <c r="V793" s="2">
        <f>MROUND(Данные[[#This Row],[Минимум 20000]], 100)</f>
        <v>0</v>
      </c>
    </row>
    <row r="794" spans="1:22" x14ac:dyDescent="0.25">
      <c r="A794" s="2">
        <f>'1000_заявлений'!A788</f>
        <v>786</v>
      </c>
      <c r="B794" s="4">
        <f>VALUE(SUBSTITUTE('1000_заявлений'!B788, ".", ","))</f>
        <v>0.22860174012784101</v>
      </c>
      <c r="C794" s="4">
        <f>VALUE(SUBSTITUTE('1000_заявлений'!C788, ".", ","))</f>
        <v>0.42526405868329298</v>
      </c>
      <c r="D794" s="4">
        <f>VALUE(SUBSTITUTE('1000_заявлений'!D788, ".", ","))</f>
        <v>0.50107515000000002</v>
      </c>
      <c r="E794" s="4">
        <f>VALUE(SUBSTITUTE('1000_заявлений'!E788, ".", ","))</f>
        <v>0.75234215999999998</v>
      </c>
      <c r="F794" s="5">
        <f>VALUE(SUBSTITUTE('1000_заявлений'!F788, ".", ","))</f>
        <v>-6058</v>
      </c>
      <c r="G794" s="5">
        <f>VALUE(SUBSTITUTE('1000_заявлений'!G788, ".", ","))</f>
        <v>-21159</v>
      </c>
      <c r="H794" s="5">
        <f>VALUE(SUBSTITUTE('1000_заявлений'!H788, ".", ","))</f>
        <v>-4340</v>
      </c>
      <c r="I794" s="4">
        <f>VALUE(SUBSTITUTE('1000_заявлений'!I788, ".", ","))</f>
        <v>9.0133333333333301E-2</v>
      </c>
      <c r="J794" s="4">
        <f>VALUE(SUBSTITUTE('1000_заявлений'!J788, ".", ","))</f>
        <v>20.143103748934699</v>
      </c>
      <c r="K794" s="5">
        <f>VALUE(SUBSTITUTE('1000_заявлений'!K788, ".", ","))</f>
        <v>-5623</v>
      </c>
      <c r="L794" s="6">
        <f>VALUE(SUBSTITUTE('1000_заявлений'!L788, ".", ","))</f>
        <v>6084</v>
      </c>
      <c r="M794" s="2" t="str">
        <f>IF(Данные[[#This Row],[proba]]&gt;$C$6, "отказ", "одобрение")</f>
        <v>одобрение</v>
      </c>
      <c r="N794" s="7">
        <f>IF(Данные[[#This Row],[proba]]&lt;$D$2,$C$2,IF(Данные[[#This Row],[proba]]&lt;$D$3,$C$3,IF(Данные[[#This Row],[proba]]&gt;$C$6,0,$C$4)))</f>
        <v>100000</v>
      </c>
      <c r="O794" s="2">
        <f>IF(Данные[[#This Row],[weighted_ext_score]]&gt;$O$1,MIN(Данные[[#This Row],[Базовая сумма]]*$O$2,$C$2),IF(Данные[[#This Row],[weighted_ext_score]]&lt;$O$3,Данные[[#This Row],[Базовая сумма]]*$O$4,N794))</f>
        <v>100000</v>
      </c>
      <c r="P7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7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794" s="2">
        <f>ABS(Данные[[#This Row],[days_birth]])/365.2425</f>
        <v>57.931374360869832</v>
      </c>
      <c r="S7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794" s="2">
        <f>IF(Данные[[#This Row],[ interest_rate]]&gt;$T$1,Данные[[#This Row],[days_birth4]]*$T$2,Данные[[#This Row],[days_birth4]])</f>
        <v>120960</v>
      </c>
      <c r="U794" s="2">
        <f>IF(Данные[[#This Row],[Проверка отказа]]="отказ",0,MAX(Данные[[#This Row],[interest_rate]],$C$1))</f>
        <v>120960</v>
      </c>
      <c r="V794" s="2">
        <f>MROUND(Данные[[#This Row],[Минимум 20000]], 100)</f>
        <v>121000</v>
      </c>
    </row>
    <row r="795" spans="1:22" x14ac:dyDescent="0.25">
      <c r="A795" s="2">
        <f>'1000_заявлений'!A789</f>
        <v>787</v>
      </c>
      <c r="B795" s="4">
        <f>VALUE(SUBSTITUTE('1000_заявлений'!B789, ".", ","))</f>
        <v>0.85230991778885601</v>
      </c>
      <c r="C795" s="4">
        <f>VALUE(SUBSTITUTE('1000_заявлений'!C789, ".", ","))</f>
        <v>0.13249298790257699</v>
      </c>
      <c r="D795" s="4">
        <f>VALUE(SUBSTITUTE('1000_заявлений'!D789, ".", ","))</f>
        <v>0.10684194399999999</v>
      </c>
      <c r="E795" s="4">
        <f>VALUE(SUBSTITUTE('1000_заявлений'!E789, ".", ","))</f>
        <v>0.28932989999999997</v>
      </c>
      <c r="F795" s="5">
        <f>VALUE(SUBSTITUTE('1000_заявлений'!F789, ".", ","))</f>
        <v>-1270</v>
      </c>
      <c r="G795" s="5">
        <f>VALUE(SUBSTITUTE('1000_заявлений'!G789, ".", ","))</f>
        <v>-12834</v>
      </c>
      <c r="H795" s="5">
        <f>VALUE(SUBSTITUTE('1000_заявлений'!H789, ".", ","))</f>
        <v>-396</v>
      </c>
      <c r="I795" s="4">
        <f>VALUE(SUBSTITUTE('1000_заявлений'!I789, ".", ","))</f>
        <v>0.196366666666666</v>
      </c>
      <c r="J795" s="4">
        <f>VALUE(SUBSTITUTE('1000_заявлений'!J789, ".", ","))</f>
        <v>7.3980757530384098</v>
      </c>
      <c r="K795" s="5">
        <f>VALUE(SUBSTITUTE('1000_заявлений'!K789, ".", ","))</f>
        <v>-1378</v>
      </c>
      <c r="L795" s="6">
        <f>VALUE(SUBSTITUTE('1000_заявлений'!L789, ".", ","))</f>
        <v>26509.5</v>
      </c>
      <c r="M795" s="2" t="str">
        <f>IF(Данные[[#This Row],[proba]]&gt;$C$6, "отказ", "одобрение")</f>
        <v>отказ</v>
      </c>
      <c r="N795" s="7">
        <f>IF(Данные[[#This Row],[proba]]&lt;$D$2,$C$2,IF(Данные[[#This Row],[proba]]&lt;$D$3,$C$3,IF(Данные[[#This Row],[proba]]&gt;$C$6,0,$C$4)))</f>
        <v>0</v>
      </c>
      <c r="O795" s="2">
        <f>IF(Данные[[#This Row],[weighted_ext_score]]&gt;$O$1,MIN(Данные[[#This Row],[Базовая сумма]]*$O$2,$C$2),IF(Данные[[#This Row],[weighted_ext_score]]&lt;$O$3,Данные[[#This Row],[Базовая сумма]]*$O$4,N795))</f>
        <v>0</v>
      </c>
      <c r="P7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5" s="2">
        <f>ABS(Данные[[#This Row],[days_birth]])/365.2425</f>
        <v>35.138298527690509</v>
      </c>
      <c r="S7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5" s="2">
        <f>IF(Данные[[#This Row],[ interest_rate]]&gt;$T$1,Данные[[#This Row],[days_birth4]]*$T$2,Данные[[#This Row],[days_birth4]])</f>
        <v>0</v>
      </c>
      <c r="U795" s="2">
        <f>IF(Данные[[#This Row],[Проверка отказа]]="отказ",0,MAX(Данные[[#This Row],[interest_rate]],$C$1))</f>
        <v>0</v>
      </c>
      <c r="V795" s="2">
        <f>MROUND(Данные[[#This Row],[Минимум 20000]], 100)</f>
        <v>0</v>
      </c>
    </row>
    <row r="796" spans="1:22" x14ac:dyDescent="0.25">
      <c r="A796" s="2">
        <f>'1000_заявлений'!A790</f>
        <v>788</v>
      </c>
      <c r="B796" s="4">
        <f>VALUE(SUBSTITUTE('1000_заявлений'!B790, ".", ","))</f>
        <v>0.48607831067138402</v>
      </c>
      <c r="C796" s="4">
        <f>VALUE(SUBSTITUTE('1000_заявлений'!C790, ".", ","))</f>
        <v>0.379273869595392</v>
      </c>
      <c r="D796" s="4">
        <f>VALUE(SUBSTITUTE('1000_заявлений'!D790, ".", ","))</f>
        <v>0.63135450000000004</v>
      </c>
      <c r="E796" s="4">
        <f>VALUE(SUBSTITUTE('1000_заявлений'!E790, ".", ","))</f>
        <v>0.33976277999999999</v>
      </c>
      <c r="F796" s="5">
        <f>VALUE(SUBSTITUTE('1000_заявлений'!F790, ".", ","))</f>
        <v>-4432</v>
      </c>
      <c r="G796" s="5">
        <f>VALUE(SUBSTITUTE('1000_заявлений'!G790, ".", ","))</f>
        <v>-10960</v>
      </c>
      <c r="H796" s="5">
        <f>VALUE(SUBSTITUTE('1000_заявлений'!H790, ".", ","))</f>
        <v>-3625</v>
      </c>
      <c r="I796" s="4">
        <f>VALUE(SUBSTITUTE('1000_заявлений'!I790, ".", ","))</f>
        <v>0.20933333333333301</v>
      </c>
      <c r="J796" s="4">
        <f>VALUE(SUBSTITUTE('1000_заявлений'!J790, ".", ","))</f>
        <v>6.6678802249720004</v>
      </c>
      <c r="K796" s="5">
        <f>VALUE(SUBSTITUTE('1000_заявлений'!K790, ".", ","))</f>
        <v>-200</v>
      </c>
      <c r="L796" s="6">
        <f>VALUE(SUBSTITUTE('1000_заявлений'!L790, ".", ","))</f>
        <v>28260</v>
      </c>
      <c r="M796" s="2" t="str">
        <f>IF(Данные[[#This Row],[proba]]&gt;$C$6, "отказ", "одобрение")</f>
        <v>отказ</v>
      </c>
      <c r="N796" s="7">
        <f>IF(Данные[[#This Row],[proba]]&lt;$D$2,$C$2,IF(Данные[[#This Row],[proba]]&lt;$D$3,$C$3,IF(Данные[[#This Row],[proba]]&gt;$C$6,0,$C$4)))</f>
        <v>0</v>
      </c>
      <c r="O796" s="2">
        <f>IF(Данные[[#This Row],[weighted_ext_score]]&gt;$O$1,MIN(Данные[[#This Row],[Базовая сумма]]*$O$2,$C$2),IF(Данные[[#This Row],[weighted_ext_score]]&lt;$O$3,Данные[[#This Row],[Базовая сумма]]*$O$4,N796))</f>
        <v>0</v>
      </c>
      <c r="P7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6" s="2">
        <f>ABS(Данные[[#This Row],[days_birth]])/365.2425</f>
        <v>30.007460796594042</v>
      </c>
      <c r="S7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6" s="2">
        <f>IF(Данные[[#This Row],[ interest_rate]]&gt;$T$1,Данные[[#This Row],[days_birth4]]*$T$2,Данные[[#This Row],[days_birth4]])</f>
        <v>0</v>
      </c>
      <c r="U796" s="2">
        <f>IF(Данные[[#This Row],[Проверка отказа]]="отказ",0,MAX(Данные[[#This Row],[interest_rate]],$C$1))</f>
        <v>0</v>
      </c>
      <c r="V796" s="2">
        <f>MROUND(Данные[[#This Row],[Минимум 20000]], 100)</f>
        <v>0</v>
      </c>
    </row>
    <row r="797" spans="1:22" x14ac:dyDescent="0.25">
      <c r="A797" s="2">
        <f>'1000_заявлений'!A791</f>
        <v>789</v>
      </c>
      <c r="B797" s="4">
        <f>VALUE(SUBSTITUTE('1000_заявлений'!B791, ".", ","))</f>
        <v>0.67935582131554595</v>
      </c>
      <c r="C797" s="4">
        <f>VALUE(SUBSTITUTE('1000_заявлений'!C791, ".", ","))</f>
        <v>0.23169318046308199</v>
      </c>
      <c r="D797" s="4">
        <f>VALUE(SUBSTITUTE('1000_заявлений'!D791, ".", ","))</f>
        <v>0.5797274</v>
      </c>
      <c r="E797" s="4">
        <f>VALUE(SUBSTITUTE('1000_заявлений'!E791, ".", ","))</f>
        <v>6.7901589999999998E-2</v>
      </c>
      <c r="F797" s="5">
        <f>VALUE(SUBSTITUTE('1000_заявлений'!F791, ".", ","))</f>
        <v>-4223</v>
      </c>
      <c r="G797" s="5">
        <f>VALUE(SUBSTITUTE('1000_заявлений'!G791, ".", ","))</f>
        <v>-12235</v>
      </c>
      <c r="H797" s="5">
        <f>VALUE(SUBSTITUTE('1000_заявлений'!H791, ".", ","))</f>
        <v>-4344</v>
      </c>
      <c r="I797" s="4">
        <f>VALUE(SUBSTITUTE('1000_заявлений'!I791, ".", ","))</f>
        <v>0.31108695652173901</v>
      </c>
      <c r="J797" s="4">
        <f>VALUE(SUBSTITUTE('1000_заявлений'!J791, ".", ","))</f>
        <v>2.84182928379879</v>
      </c>
      <c r="K797" s="5">
        <f>VALUE(SUBSTITUTE('1000_заявлений'!K791, ".", ","))</f>
        <v>365243</v>
      </c>
      <c r="L797" s="6">
        <f>VALUE(SUBSTITUTE('1000_заявлений'!L791, ".", ","))</f>
        <v>32197.5</v>
      </c>
      <c r="M797" s="2" t="str">
        <f>IF(Данные[[#This Row],[proba]]&gt;$C$6, "отказ", "одобрение")</f>
        <v>отказ</v>
      </c>
      <c r="N797" s="7">
        <f>IF(Данные[[#This Row],[proba]]&lt;$D$2,$C$2,IF(Данные[[#This Row],[proba]]&lt;$D$3,$C$3,IF(Данные[[#This Row],[proba]]&gt;$C$6,0,$C$4)))</f>
        <v>0</v>
      </c>
      <c r="O797" s="2">
        <f>IF(Данные[[#This Row],[weighted_ext_score]]&gt;$O$1,MIN(Данные[[#This Row],[Базовая сумма]]*$O$2,$C$2),IF(Данные[[#This Row],[weighted_ext_score]]&lt;$O$3,Данные[[#This Row],[Базовая сумма]]*$O$4,N797))</f>
        <v>0</v>
      </c>
      <c r="P7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7" s="2">
        <f>ABS(Данные[[#This Row],[days_birth]])/365.2425</f>
        <v>33.49829223050439</v>
      </c>
      <c r="S7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7" s="2">
        <f>IF(Данные[[#This Row],[ interest_rate]]&gt;$T$1,Данные[[#This Row],[days_birth4]]*$T$2,Данные[[#This Row],[days_birth4]])</f>
        <v>0</v>
      </c>
      <c r="U797" s="2">
        <f>IF(Данные[[#This Row],[Проверка отказа]]="отказ",0,MAX(Данные[[#This Row],[interest_rate]],$C$1))</f>
        <v>0</v>
      </c>
      <c r="V797" s="2">
        <f>MROUND(Данные[[#This Row],[Минимум 20000]], 100)</f>
        <v>0</v>
      </c>
    </row>
    <row r="798" spans="1:22" x14ac:dyDescent="0.25">
      <c r="A798" s="2">
        <f>'1000_заявлений'!A792</f>
        <v>790</v>
      </c>
      <c r="B798" s="4">
        <f>VALUE(SUBSTITUTE('1000_заявлений'!B792, ".", ","))</f>
        <v>0.73461841476474798</v>
      </c>
      <c r="C798" s="4">
        <f>VALUE(SUBSTITUTE('1000_заявлений'!C792, ".", ","))</f>
        <v>0.23554177015646099</v>
      </c>
      <c r="D798" s="4">
        <f>VALUE(SUBSTITUTE('1000_заявлений'!D792, ".", ","))</f>
        <v>9.3225089999999997E-2</v>
      </c>
      <c r="E798" s="4">
        <f>VALUE(SUBSTITUTE('1000_заявлений'!E792, ".", ","))</f>
        <v>0.62219435000000001</v>
      </c>
      <c r="F798" s="5">
        <f>VALUE(SUBSTITUTE('1000_заявлений'!F792, ".", ","))</f>
        <v>-9781</v>
      </c>
      <c r="G798" s="5">
        <f>VALUE(SUBSTITUTE('1000_заявлений'!G792, ".", ","))</f>
        <v>-18354</v>
      </c>
      <c r="H798" s="5">
        <f>VALUE(SUBSTITUTE('1000_заявлений'!H792, ".", ","))</f>
        <v>-1905</v>
      </c>
      <c r="I798" s="4">
        <f>VALUE(SUBSTITUTE('1000_заявлений'!I792, ".", ","))</f>
        <v>0.34110526315789402</v>
      </c>
      <c r="J798" s="4">
        <f>VALUE(SUBSTITUTE('1000_заявлений'!J792, ".", ","))</f>
        <v>2.6902382765873201</v>
      </c>
      <c r="K798" s="5">
        <f>VALUE(SUBSTITUTE('1000_заявлений'!K792, ".", ","))</f>
        <v>-2931</v>
      </c>
      <c r="L798" s="6">
        <f>VALUE(SUBSTITUTE('1000_заявлений'!L792, ".", ","))</f>
        <v>29164.5</v>
      </c>
      <c r="M798" s="2" t="str">
        <f>IF(Данные[[#This Row],[proba]]&gt;$C$6, "отказ", "одобрение")</f>
        <v>отказ</v>
      </c>
      <c r="N798" s="7">
        <f>IF(Данные[[#This Row],[proba]]&lt;$D$2,$C$2,IF(Данные[[#This Row],[proba]]&lt;$D$3,$C$3,IF(Данные[[#This Row],[proba]]&gt;$C$6,0,$C$4)))</f>
        <v>0</v>
      </c>
      <c r="O798" s="2">
        <f>IF(Данные[[#This Row],[weighted_ext_score]]&gt;$O$1,MIN(Данные[[#This Row],[Базовая сумма]]*$O$2,$C$2),IF(Данные[[#This Row],[weighted_ext_score]]&lt;$O$3,Данные[[#This Row],[Базовая сумма]]*$O$4,N798))</f>
        <v>0</v>
      </c>
      <c r="P7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8" s="2">
        <f>ABS(Данные[[#This Row],[days_birth]])/365.2425</f>
        <v>50.251545206267068</v>
      </c>
      <c r="S7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8" s="2">
        <f>IF(Данные[[#This Row],[ interest_rate]]&gt;$T$1,Данные[[#This Row],[days_birth4]]*$T$2,Данные[[#This Row],[days_birth4]])</f>
        <v>0</v>
      </c>
      <c r="U798" s="2">
        <f>IF(Данные[[#This Row],[Проверка отказа]]="отказ",0,MAX(Данные[[#This Row],[interest_rate]],$C$1))</f>
        <v>0</v>
      </c>
      <c r="V798" s="2">
        <f>MROUND(Данные[[#This Row],[Минимум 20000]], 100)</f>
        <v>0</v>
      </c>
    </row>
    <row r="799" spans="1:22" x14ac:dyDescent="0.25">
      <c r="A799" s="2">
        <f>'1000_заявлений'!A793</f>
        <v>791</v>
      </c>
      <c r="B799" s="4">
        <f>VALUE(SUBSTITUTE('1000_заявлений'!B793, ".", ","))</f>
        <v>0.65670303323802204</v>
      </c>
      <c r="C799" s="4">
        <f>VALUE(SUBSTITUTE('1000_заявлений'!C793, ".", ","))</f>
        <v>0.27058719192380298</v>
      </c>
      <c r="D799" s="4">
        <f>VALUE(SUBSTITUTE('1000_заявлений'!D793, ".", ","))</f>
        <v>0.23922628000000001</v>
      </c>
      <c r="E799" s="4">
        <f>VALUE(SUBSTITUTE('1000_заявлений'!E793, ".", ","))</f>
        <v>0.56744879999999998</v>
      </c>
      <c r="F799" s="5">
        <f>VALUE(SUBSTITUTE('1000_заявлений'!F793, ".", ","))</f>
        <v>-1542</v>
      </c>
      <c r="G799" s="5">
        <f>VALUE(SUBSTITUTE('1000_заявлений'!G793, ".", ","))</f>
        <v>-12250</v>
      </c>
      <c r="H799" s="5">
        <f>VALUE(SUBSTITUTE('1000_заявлений'!H793, ".", ","))</f>
        <v>-4098</v>
      </c>
      <c r="I799" s="4">
        <f>VALUE(SUBSTITUTE('1000_заявлений'!I793, ".", ","))</f>
        <v>0.20088</v>
      </c>
      <c r="J799" s="4">
        <f>VALUE(SUBSTITUTE('1000_заявлений'!J793, ".", ","))</f>
        <v>5.7522817474071397</v>
      </c>
      <c r="K799" s="5">
        <f>VALUE(SUBSTITUTE('1000_заявлений'!K793, ".", ","))</f>
        <v>-256</v>
      </c>
      <c r="L799" s="6">
        <f>VALUE(SUBSTITUTE('1000_заявлений'!L793, ".", ","))</f>
        <v>22599</v>
      </c>
      <c r="M799" s="2" t="str">
        <f>IF(Данные[[#This Row],[proba]]&gt;$C$6, "отказ", "одобрение")</f>
        <v>отказ</v>
      </c>
      <c r="N799" s="7">
        <f>IF(Данные[[#This Row],[proba]]&lt;$D$2,$C$2,IF(Данные[[#This Row],[proba]]&lt;$D$3,$C$3,IF(Данные[[#This Row],[proba]]&gt;$C$6,0,$C$4)))</f>
        <v>0</v>
      </c>
      <c r="O799" s="2">
        <f>IF(Данные[[#This Row],[weighted_ext_score]]&gt;$O$1,MIN(Данные[[#This Row],[Базовая сумма]]*$O$2,$C$2),IF(Данные[[#This Row],[weighted_ext_score]]&lt;$O$3,Данные[[#This Row],[Базовая сумма]]*$O$4,N799))</f>
        <v>0</v>
      </c>
      <c r="P7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7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799" s="2">
        <f>ABS(Данные[[#This Row],[days_birth]])/365.2425</f>
        <v>33.539360835609216</v>
      </c>
      <c r="S7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799" s="2">
        <f>IF(Данные[[#This Row],[ interest_rate]]&gt;$T$1,Данные[[#This Row],[days_birth4]]*$T$2,Данные[[#This Row],[days_birth4]])</f>
        <v>0</v>
      </c>
      <c r="U799" s="2">
        <f>IF(Данные[[#This Row],[Проверка отказа]]="отказ",0,MAX(Данные[[#This Row],[interest_rate]],$C$1))</f>
        <v>0</v>
      </c>
      <c r="V799" s="2">
        <f>MROUND(Данные[[#This Row],[Минимум 20000]], 100)</f>
        <v>0</v>
      </c>
    </row>
    <row r="800" spans="1:22" x14ac:dyDescent="0.25">
      <c r="A800" s="2">
        <f>'1000_заявлений'!A794</f>
        <v>792</v>
      </c>
      <c r="B800" s="4">
        <f>VALUE(SUBSTITUTE('1000_заявлений'!B794, ".", ","))</f>
        <v>0.467863141345568</v>
      </c>
      <c r="C800" s="4">
        <f>VALUE(SUBSTITUTE('1000_заявлений'!C794, ".", ","))</f>
        <v>0.46542107168534802</v>
      </c>
      <c r="D800" s="4">
        <f>VALUE(SUBSTITUTE('1000_заявлений'!D794, ".", ","))</f>
        <v>0.33125088000000003</v>
      </c>
      <c r="E800" s="4">
        <f>VALUE(SUBSTITUTE('1000_заявлений'!E794, ".", ","))</f>
        <v>0.66282094000000003</v>
      </c>
      <c r="F800" s="5">
        <f>VALUE(SUBSTITUTE('1000_заявлений'!F794, ".", ","))</f>
        <v>-3117</v>
      </c>
      <c r="G800" s="5">
        <f>VALUE(SUBSTITUTE('1000_заявлений'!G794, ".", ","))</f>
        <v>-13609</v>
      </c>
      <c r="H800" s="5">
        <f>VALUE(SUBSTITUTE('1000_заявлений'!H794, ".", ","))</f>
        <v>-3754</v>
      </c>
      <c r="I800" s="4">
        <f>VALUE(SUBSTITUTE('1000_заявлений'!I794, ".", ","))</f>
        <v>0.16980000000000001</v>
      </c>
      <c r="J800" s="4">
        <f>VALUE(SUBSTITUTE('1000_заявлений'!J794, ".", ","))</f>
        <v>2.9968347320520499</v>
      </c>
      <c r="K800" s="5">
        <f>VALUE(SUBSTITUTE('1000_заявлений'!K794, ".", ","))</f>
        <v>-301</v>
      </c>
      <c r="L800" s="6">
        <f>VALUE(SUBSTITUTE('1000_заявлений'!L794, ".", ","))</f>
        <v>26743.5</v>
      </c>
      <c r="M800" s="2" t="str">
        <f>IF(Данные[[#This Row],[proba]]&gt;$C$6, "отказ", "одобрение")</f>
        <v>отказ</v>
      </c>
      <c r="N800" s="7">
        <f>IF(Данные[[#This Row],[proba]]&lt;$D$2,$C$2,IF(Данные[[#This Row],[proba]]&lt;$D$3,$C$3,IF(Данные[[#This Row],[proba]]&gt;$C$6,0,$C$4)))</f>
        <v>0</v>
      </c>
      <c r="O800" s="2">
        <f>IF(Данные[[#This Row],[weighted_ext_score]]&gt;$O$1,MIN(Данные[[#This Row],[Базовая сумма]]*$O$2,$C$2),IF(Данные[[#This Row],[weighted_ext_score]]&lt;$O$3,Данные[[#This Row],[Базовая сумма]]*$O$4,N800))</f>
        <v>0</v>
      </c>
      <c r="P8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0" s="2">
        <f>ABS(Данные[[#This Row],[days_birth]])/365.2425</f>
        <v>37.260176458106599</v>
      </c>
      <c r="S8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0" s="2">
        <f>IF(Данные[[#This Row],[ interest_rate]]&gt;$T$1,Данные[[#This Row],[days_birth4]]*$T$2,Данные[[#This Row],[days_birth4]])</f>
        <v>0</v>
      </c>
      <c r="U800" s="2">
        <f>IF(Данные[[#This Row],[Проверка отказа]]="отказ",0,MAX(Данные[[#This Row],[interest_rate]],$C$1))</f>
        <v>0</v>
      </c>
      <c r="V800" s="2">
        <f>MROUND(Данные[[#This Row],[Минимум 20000]], 100)</f>
        <v>0</v>
      </c>
    </row>
    <row r="801" spans="1:22" x14ac:dyDescent="0.25">
      <c r="A801" s="2">
        <f>'1000_заявлений'!A795</f>
        <v>793</v>
      </c>
      <c r="B801" s="4">
        <f>VALUE(SUBSTITUTE('1000_заявлений'!B795, ".", ","))</f>
        <v>0.389037747299119</v>
      </c>
      <c r="C801" s="4">
        <f>VALUE(SUBSTITUTE('1000_заявлений'!C795, ".", ","))</f>
        <v>0.37689022844390402</v>
      </c>
      <c r="D801" s="4">
        <f>VALUE(SUBSTITUTE('1000_заявлений'!D795, ".", ","))</f>
        <v>0.60927564000000001</v>
      </c>
      <c r="E801" s="4">
        <f>VALUE(SUBSTITUTE('1000_заявлений'!E795, ".", ","))</f>
        <v>0.48257499999999998</v>
      </c>
      <c r="F801" s="5">
        <f>VALUE(SUBSTITUTE('1000_заявлений'!F795, ".", ","))</f>
        <v>-451</v>
      </c>
      <c r="G801" s="5">
        <f>VALUE(SUBSTITUTE('1000_заявлений'!G795, ".", ","))</f>
        <v>-15089</v>
      </c>
      <c r="H801" s="5">
        <f>VALUE(SUBSTITUTE('1000_заявлений'!H795, ".", ","))</f>
        <v>-4471</v>
      </c>
      <c r="I801" s="4">
        <f>VALUE(SUBSTITUTE('1000_заявлений'!I795, ".", ","))</f>
        <v>0.13836000000000001</v>
      </c>
      <c r="J801" s="4">
        <f>VALUE(SUBSTITUTE('1000_заявлений'!J795, ".", ","))</f>
        <v>7.3942951079285004</v>
      </c>
      <c r="K801" s="5">
        <f>VALUE(SUBSTITUTE('1000_заявлений'!K795, ".", ","))</f>
        <v>-1294</v>
      </c>
      <c r="L801" s="6">
        <f>VALUE(SUBSTITUTE('1000_заявлений'!L795, ".", ","))</f>
        <v>31131</v>
      </c>
      <c r="M801" s="2" t="str">
        <f>IF(Данные[[#This Row],[proba]]&gt;$C$6, "отказ", "одобрение")</f>
        <v>отказ</v>
      </c>
      <c r="N801" s="7">
        <f>IF(Данные[[#This Row],[proba]]&lt;$D$2,$C$2,IF(Данные[[#This Row],[proba]]&lt;$D$3,$C$3,IF(Данные[[#This Row],[proba]]&gt;$C$6,0,$C$4)))</f>
        <v>0</v>
      </c>
      <c r="O801" s="2">
        <f>IF(Данные[[#This Row],[weighted_ext_score]]&gt;$O$1,MIN(Данные[[#This Row],[Базовая сумма]]*$O$2,$C$2),IF(Данные[[#This Row],[weighted_ext_score]]&lt;$O$3,Данные[[#This Row],[Базовая сумма]]*$O$4,N801))</f>
        <v>0</v>
      </c>
      <c r="P8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1" s="2">
        <f>ABS(Данные[[#This Row],[days_birth]])/365.2425</f>
        <v>41.312278828449593</v>
      </c>
      <c r="S8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1" s="2">
        <f>IF(Данные[[#This Row],[ interest_rate]]&gt;$T$1,Данные[[#This Row],[days_birth4]]*$T$2,Данные[[#This Row],[days_birth4]])</f>
        <v>0</v>
      </c>
      <c r="U801" s="2">
        <f>IF(Данные[[#This Row],[Проверка отказа]]="отказ",0,MAX(Данные[[#This Row],[interest_rate]],$C$1))</f>
        <v>0</v>
      </c>
      <c r="V801" s="2">
        <f>MROUND(Данные[[#This Row],[Минимум 20000]], 100)</f>
        <v>0</v>
      </c>
    </row>
    <row r="802" spans="1:22" x14ac:dyDescent="0.25">
      <c r="A802" s="2">
        <f>'1000_заявлений'!A796</f>
        <v>794</v>
      </c>
      <c r="B802" s="4">
        <f>VALUE(SUBSTITUTE('1000_заявлений'!B796, ".", ","))</f>
        <v>0.42724356664848001</v>
      </c>
      <c r="C802" s="4">
        <f>VALUE(SUBSTITUTE('1000_заявлений'!C796, ".", ","))</f>
        <v>0.34039930243834798</v>
      </c>
      <c r="D802" s="4">
        <f>VALUE(SUBSTITUTE('1000_заявлений'!D796, ".", ","))</f>
        <v>0.71363140000000003</v>
      </c>
      <c r="E802" s="4">
        <f>VALUE(SUBSTITUTE('1000_заявлений'!E796, ".", ","))</f>
        <v>0.25372756000000002</v>
      </c>
      <c r="F802" s="5">
        <f>VALUE(SUBSTITUTE('1000_заявлений'!F796, ".", ","))</f>
        <v>-5593</v>
      </c>
      <c r="G802" s="5">
        <f>VALUE(SUBSTITUTE('1000_заявлений'!G796, ".", ","))</f>
        <v>-18050</v>
      </c>
      <c r="H802" s="5">
        <f>VALUE(SUBSTITUTE('1000_заявлений'!H796, ".", ","))</f>
        <v>-15</v>
      </c>
      <c r="I802" s="4">
        <f>VALUE(SUBSTITUTE('1000_заявлений'!I796, ".", ","))</f>
        <v>0.2596</v>
      </c>
      <c r="J802" s="4">
        <f>VALUE(SUBSTITUTE('1000_заявлений'!J796, ".", ","))</f>
        <v>18.922475419418699</v>
      </c>
      <c r="K802" s="5">
        <f>VALUE(SUBSTITUTE('1000_заявлений'!K796, ".", ","))</f>
        <v>-123</v>
      </c>
      <c r="L802" s="6">
        <f>VALUE(SUBSTITUTE('1000_заявлений'!L796, ".", ","))</f>
        <v>29205</v>
      </c>
      <c r="M802" s="2" t="str">
        <f>IF(Данные[[#This Row],[proba]]&gt;$C$6, "отказ", "одобрение")</f>
        <v>отказ</v>
      </c>
      <c r="N802" s="7">
        <f>IF(Данные[[#This Row],[proba]]&lt;$D$2,$C$2,IF(Данные[[#This Row],[proba]]&lt;$D$3,$C$3,IF(Данные[[#This Row],[proba]]&gt;$C$6,0,$C$4)))</f>
        <v>0</v>
      </c>
      <c r="O802" s="2">
        <f>IF(Данные[[#This Row],[weighted_ext_score]]&gt;$O$1,MIN(Данные[[#This Row],[Базовая сумма]]*$O$2,$C$2),IF(Данные[[#This Row],[weighted_ext_score]]&lt;$O$3,Данные[[#This Row],[Базовая сумма]]*$O$4,N802))</f>
        <v>0</v>
      </c>
      <c r="P8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2" s="2">
        <f>ABS(Данные[[#This Row],[days_birth]])/365.2425</f>
        <v>49.41922147614256</v>
      </c>
      <c r="S8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2" s="2">
        <f>IF(Данные[[#This Row],[ interest_rate]]&gt;$T$1,Данные[[#This Row],[days_birth4]]*$T$2,Данные[[#This Row],[days_birth4]])</f>
        <v>0</v>
      </c>
      <c r="U802" s="2">
        <f>IF(Данные[[#This Row],[Проверка отказа]]="отказ",0,MAX(Данные[[#This Row],[interest_rate]],$C$1))</f>
        <v>0</v>
      </c>
      <c r="V802" s="2">
        <f>MROUND(Данные[[#This Row],[Минимум 20000]], 100)</f>
        <v>0</v>
      </c>
    </row>
    <row r="803" spans="1:22" x14ac:dyDescent="0.25">
      <c r="A803" s="2">
        <f>'1000_заявлений'!A797</f>
        <v>795</v>
      </c>
      <c r="B803" s="4">
        <f>VALUE(SUBSTITUTE('1000_заявлений'!B797, ".", ","))</f>
        <v>0.33259025166149903</v>
      </c>
      <c r="C803" s="4">
        <f>VALUE(SUBSTITUTE('1000_заявлений'!C797, ".", ","))</f>
        <v>0.53387747127813101</v>
      </c>
      <c r="D803" s="4">
        <f>VALUE(SUBSTITUTE('1000_заявлений'!D797, ".", ","))</f>
        <v>0.52449643999999995</v>
      </c>
      <c r="E803" s="4">
        <f>VALUE(SUBSTITUTE('1000_заявлений'!E797, ".", ","))</f>
        <v>0.67817724000000001</v>
      </c>
      <c r="F803" s="5">
        <f>VALUE(SUBSTITUTE('1000_заявлений'!F797, ".", ","))</f>
        <v>-2457</v>
      </c>
      <c r="G803" s="5">
        <f>VALUE(SUBSTITUTE('1000_заявлений'!G797, ".", ","))</f>
        <v>-11581</v>
      </c>
      <c r="H803" s="5">
        <f>VALUE(SUBSTITUTE('1000_заявлений'!H797, ".", ","))</f>
        <v>-3984</v>
      </c>
      <c r="I803" s="4">
        <f>VALUE(SUBSTITUTE('1000_заявлений'!I797, ".", ","))</f>
        <v>0.13367999999999999</v>
      </c>
      <c r="J803" s="4">
        <f>VALUE(SUBSTITUTE('1000_заявлений'!J797, ".", ","))</f>
        <v>1.85066239734372</v>
      </c>
      <c r="K803" s="5">
        <f>VALUE(SUBSTITUTE('1000_заявлений'!K797, ".", ","))</f>
        <v>-1870</v>
      </c>
      <c r="L803" s="6">
        <f>VALUE(SUBSTITUTE('1000_заявлений'!L797, ".", ","))</f>
        <v>30078</v>
      </c>
      <c r="M803" s="2" t="str">
        <f>IF(Данные[[#This Row],[proba]]&gt;$C$6, "отказ", "одобрение")</f>
        <v>отказ</v>
      </c>
      <c r="N803" s="7">
        <f>IF(Данные[[#This Row],[proba]]&lt;$D$2,$C$2,IF(Данные[[#This Row],[proba]]&lt;$D$3,$C$3,IF(Данные[[#This Row],[proba]]&gt;$C$6,0,$C$4)))</f>
        <v>0</v>
      </c>
      <c r="O803" s="2">
        <f>IF(Данные[[#This Row],[weighted_ext_score]]&gt;$O$1,MIN(Данные[[#This Row],[Базовая сумма]]*$O$2,$C$2),IF(Данные[[#This Row],[weighted_ext_score]]&lt;$O$3,Данные[[#This Row],[Базовая сумма]]*$O$4,N803))</f>
        <v>0</v>
      </c>
      <c r="P8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3" s="2">
        <f>ABS(Данные[[#This Row],[days_birth]])/365.2425</f>
        <v>31.707701047933906</v>
      </c>
      <c r="S8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3" s="2">
        <f>IF(Данные[[#This Row],[ interest_rate]]&gt;$T$1,Данные[[#This Row],[days_birth4]]*$T$2,Данные[[#This Row],[days_birth4]])</f>
        <v>0</v>
      </c>
      <c r="U803" s="2">
        <f>IF(Данные[[#This Row],[Проверка отказа]]="отказ",0,MAX(Данные[[#This Row],[interest_rate]],$C$1))</f>
        <v>0</v>
      </c>
      <c r="V803" s="2">
        <f>MROUND(Данные[[#This Row],[Минимум 20000]], 100)</f>
        <v>0</v>
      </c>
    </row>
    <row r="804" spans="1:22" x14ac:dyDescent="0.25">
      <c r="A804" s="2">
        <f>'1000_заявлений'!A798</f>
        <v>796</v>
      </c>
      <c r="B804" s="4">
        <f>VALUE(SUBSTITUTE('1000_заявлений'!B798, ".", ","))</f>
        <v>0.32748762703689099</v>
      </c>
      <c r="C804" s="4">
        <f>VALUE(SUBSTITUTE('1000_заявлений'!C798, ".", ","))</f>
        <v>0.42199131517952199</v>
      </c>
      <c r="D804" s="4">
        <f>VALUE(SUBSTITUTE('1000_заявлений'!D798, ".", ","))</f>
        <v>0.51549535999999996</v>
      </c>
      <c r="E804" s="4">
        <f>VALUE(SUBSTITUTE('1000_заявлений'!E798, ".", ","))</f>
        <v>0.72617494999999999</v>
      </c>
      <c r="F804" s="5">
        <f>VALUE(SUBSTITUTE('1000_заявлений'!F798, ".", ","))</f>
        <v>-4099</v>
      </c>
      <c r="G804" s="5">
        <f>VALUE(SUBSTITUTE('1000_заявлений'!G798, ".", ","))</f>
        <v>-19851</v>
      </c>
      <c r="H804" s="5">
        <f>VALUE(SUBSTITUTE('1000_заявлений'!H798, ".", ","))</f>
        <v>-3328</v>
      </c>
      <c r="I804" s="4">
        <f>VALUE(SUBSTITUTE('1000_заявлений'!I798, ".", ","))</f>
        <v>0.15204000000000001</v>
      </c>
      <c r="J804" s="4">
        <f>VALUE(SUBSTITUTE('1000_заявлений'!J798, ".", ","))</f>
        <v>1.70105108569402</v>
      </c>
      <c r="K804" s="5">
        <f>VALUE(SUBSTITUTE('1000_заявлений'!K798, ".", ","))</f>
        <v>-1845</v>
      </c>
      <c r="L804" s="6">
        <f>VALUE(SUBSTITUTE('1000_заявлений'!L798, ".", ","))</f>
        <v>34209</v>
      </c>
      <c r="M804" s="2" t="str">
        <f>IF(Данные[[#This Row],[proba]]&gt;$C$6, "отказ", "одобрение")</f>
        <v>отказ</v>
      </c>
      <c r="N804" s="7">
        <f>IF(Данные[[#This Row],[proba]]&lt;$D$2,$C$2,IF(Данные[[#This Row],[proba]]&lt;$D$3,$C$3,IF(Данные[[#This Row],[proba]]&gt;$C$6,0,$C$4)))</f>
        <v>0</v>
      </c>
      <c r="O804" s="2">
        <f>IF(Данные[[#This Row],[weighted_ext_score]]&gt;$O$1,MIN(Данные[[#This Row],[Базовая сумма]]*$O$2,$C$2),IF(Данные[[#This Row],[weighted_ext_score]]&lt;$O$3,Данные[[#This Row],[Базовая сумма]]*$O$4,N804))</f>
        <v>0</v>
      </c>
      <c r="P8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4" s="2">
        <f>ABS(Данные[[#This Row],[days_birth]])/365.2425</f>
        <v>54.350191995728864</v>
      </c>
      <c r="S8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4" s="2">
        <f>IF(Данные[[#This Row],[ interest_rate]]&gt;$T$1,Данные[[#This Row],[days_birth4]]*$T$2,Данные[[#This Row],[days_birth4]])</f>
        <v>0</v>
      </c>
      <c r="U804" s="2">
        <f>IF(Данные[[#This Row],[Проверка отказа]]="отказ",0,MAX(Данные[[#This Row],[interest_rate]],$C$1))</f>
        <v>0</v>
      </c>
      <c r="V804" s="2">
        <f>MROUND(Данные[[#This Row],[Минимум 20000]], 100)</f>
        <v>0</v>
      </c>
    </row>
    <row r="805" spans="1:22" x14ac:dyDescent="0.25">
      <c r="A805" s="2">
        <f>'1000_заявлений'!A799</f>
        <v>797</v>
      </c>
      <c r="B805" s="4">
        <f>VALUE(SUBSTITUTE('1000_заявлений'!B799, ".", ","))</f>
        <v>0.41178702495703801</v>
      </c>
      <c r="C805" s="4">
        <f>VALUE(SUBSTITUTE('1000_заявлений'!C799, ".", ","))</f>
        <v>0.51047460215677898</v>
      </c>
      <c r="D805" s="4">
        <f>VALUE(SUBSTITUTE('1000_заявлений'!D799, ".", ","))</f>
        <v>0.47584989999999999</v>
      </c>
      <c r="E805" s="4">
        <f>VALUE(SUBSTITUTE('1000_заявлений'!E799, ".", ","))</f>
        <v>0.52340496000000003</v>
      </c>
      <c r="F805" s="5">
        <f>VALUE(SUBSTITUTE('1000_заявлений'!F799, ".", ","))</f>
        <v>-8687</v>
      </c>
      <c r="G805" s="5">
        <f>VALUE(SUBSTITUTE('1000_заявлений'!G799, ".", ","))</f>
        <v>-15944</v>
      </c>
      <c r="H805" s="5">
        <f>VALUE(SUBSTITUTE('1000_заявлений'!H799, ".", ","))</f>
        <v>-5104</v>
      </c>
      <c r="I805" s="4">
        <f>VALUE(SUBSTITUTE('1000_заявлений'!I799, ".", ","))</f>
        <v>0.27992592592592502</v>
      </c>
      <c r="J805" s="4">
        <f>VALUE(SUBSTITUTE('1000_заявлений'!J799, ".", ","))</f>
        <v>3.19759587096764</v>
      </c>
      <c r="K805" s="5">
        <f>VALUE(SUBSTITUTE('1000_заявлений'!K799, ".", ","))</f>
        <v>-1585</v>
      </c>
      <c r="L805" s="6">
        <f>VALUE(SUBSTITUTE('1000_заявлений'!L799, ".", ","))</f>
        <v>34011</v>
      </c>
      <c r="M805" s="2" t="str">
        <f>IF(Данные[[#This Row],[proba]]&gt;$C$6, "отказ", "одобрение")</f>
        <v>отказ</v>
      </c>
      <c r="N805" s="7">
        <f>IF(Данные[[#This Row],[proba]]&lt;$D$2,$C$2,IF(Данные[[#This Row],[proba]]&lt;$D$3,$C$3,IF(Данные[[#This Row],[proba]]&gt;$C$6,0,$C$4)))</f>
        <v>0</v>
      </c>
      <c r="O805" s="2">
        <f>IF(Данные[[#This Row],[weighted_ext_score]]&gt;$O$1,MIN(Данные[[#This Row],[Базовая сумма]]*$O$2,$C$2),IF(Данные[[#This Row],[weighted_ext_score]]&lt;$O$3,Данные[[#This Row],[Базовая сумма]]*$O$4,N805))</f>
        <v>0</v>
      </c>
      <c r="P8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5" s="2">
        <f>ABS(Данные[[#This Row],[days_birth]])/365.2425</f>
        <v>43.653189319424762</v>
      </c>
      <c r="S8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5" s="2">
        <f>IF(Данные[[#This Row],[ interest_rate]]&gt;$T$1,Данные[[#This Row],[days_birth4]]*$T$2,Данные[[#This Row],[days_birth4]])</f>
        <v>0</v>
      </c>
      <c r="U805" s="2">
        <f>IF(Данные[[#This Row],[Проверка отказа]]="отказ",0,MAX(Данные[[#This Row],[interest_rate]],$C$1))</f>
        <v>0</v>
      </c>
      <c r="V805" s="2">
        <f>MROUND(Данные[[#This Row],[Минимум 20000]], 100)</f>
        <v>0</v>
      </c>
    </row>
    <row r="806" spans="1:22" x14ac:dyDescent="0.25">
      <c r="A806" s="2">
        <f>'1000_заявлений'!A800</f>
        <v>798</v>
      </c>
      <c r="B806" s="4">
        <f>VALUE(SUBSTITUTE('1000_заявлений'!B800, ".", ","))</f>
        <v>0.175226021806799</v>
      </c>
      <c r="C806" s="4">
        <f>VALUE(SUBSTITUTE('1000_заявлений'!C800, ".", ","))</f>
        <v>0.47676812571141403</v>
      </c>
      <c r="D806" s="4">
        <f>VALUE(SUBSTITUTE('1000_заявлений'!D800, ".", ","))</f>
        <v>0.79344904000000005</v>
      </c>
      <c r="E806" s="4">
        <f>VALUE(SUBSTITUTE('1000_заявлений'!E800, ".", ","))</f>
        <v>0.58513689999999996</v>
      </c>
      <c r="F806" s="5">
        <f>VALUE(SUBSTITUTE('1000_заявлений'!F800, ".", ","))</f>
        <v>-13119</v>
      </c>
      <c r="G806" s="5">
        <f>VALUE(SUBSTITUTE('1000_заявлений'!G800, ".", ","))</f>
        <v>-23531</v>
      </c>
      <c r="H806" s="5">
        <f>VALUE(SUBSTITUTE('1000_заявлений'!H800, ".", ","))</f>
        <v>-4329</v>
      </c>
      <c r="I806" s="4">
        <f>VALUE(SUBSTITUTE('1000_заявлений'!I800, ".", ","))</f>
        <v>0.20590909090908999</v>
      </c>
      <c r="J806" s="4">
        <f>VALUE(SUBSTITUTE('1000_заявлений'!J800, ".", ","))</f>
        <v>5.4031861003399104</v>
      </c>
      <c r="K806" s="5">
        <f>VALUE(SUBSTITUTE('1000_заявлений'!K800, ".", ","))</f>
        <v>365243</v>
      </c>
      <c r="L806" s="6">
        <f>VALUE(SUBSTITUTE('1000_заявлений'!L800, ".", ","))</f>
        <v>10192.5</v>
      </c>
      <c r="M806" s="2" t="str">
        <f>IF(Данные[[#This Row],[proba]]&gt;$C$6, "отказ", "одобрение")</f>
        <v>одобрение</v>
      </c>
      <c r="N806" s="7">
        <f>IF(Данные[[#This Row],[proba]]&lt;$D$2,$C$2,IF(Данные[[#This Row],[proba]]&lt;$D$3,$C$3,IF(Данные[[#This Row],[proba]]&gt;$C$6,0,$C$4)))</f>
        <v>300000</v>
      </c>
      <c r="O806" s="2">
        <f>IF(Данные[[#This Row],[weighted_ext_score]]&gt;$O$1,MIN(Данные[[#This Row],[Базовая сумма]]*$O$2,$C$2),IF(Данные[[#This Row],[weighted_ext_score]]&lt;$O$3,Данные[[#This Row],[Базовая сумма]]*$O$4,N806))</f>
        <v>300000</v>
      </c>
      <c r="P8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8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806" s="2">
        <f>ABS(Данные[[#This Row],[days_birth]])/365.2425</f>
        <v>64.425689781446579</v>
      </c>
      <c r="S8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806" s="2">
        <f>IF(Данные[[#This Row],[ interest_rate]]&gt;$T$1,Данные[[#This Row],[days_birth4]]*$T$2,Данные[[#This Row],[days_birth4]])</f>
        <v>315000</v>
      </c>
      <c r="U806" s="2">
        <f>IF(Данные[[#This Row],[Проверка отказа]]="отказ",0,MAX(Данные[[#This Row],[interest_rate]],$C$1))</f>
        <v>315000</v>
      </c>
      <c r="V806" s="2">
        <f>MROUND(Данные[[#This Row],[Минимум 20000]], 100)</f>
        <v>315000</v>
      </c>
    </row>
    <row r="807" spans="1:22" x14ac:dyDescent="0.25">
      <c r="A807" s="2">
        <f>'1000_заявлений'!A801</f>
        <v>799</v>
      </c>
      <c r="B807" s="4">
        <f>VALUE(SUBSTITUTE('1000_заявлений'!B801, ".", ","))</f>
        <v>0.45958891127600998</v>
      </c>
      <c r="C807" s="4">
        <f>VALUE(SUBSTITUTE('1000_заявлений'!C801, ".", ","))</f>
        <v>0.49847088950139901</v>
      </c>
      <c r="D807" s="4">
        <f>VALUE(SUBSTITUTE('1000_заявлений'!D801, ".", ","))</f>
        <v>0.13680053</v>
      </c>
      <c r="E807" s="4">
        <f>VALUE(SUBSTITUTE('1000_заявлений'!E801, ".", ","))</f>
        <v>0.61052454</v>
      </c>
      <c r="F807" s="5">
        <f>VALUE(SUBSTITUTE('1000_заявлений'!F801, ".", ","))</f>
        <v>-9144</v>
      </c>
      <c r="G807" s="5">
        <f>VALUE(SUBSTITUTE('1000_заявлений'!G801, ".", ","))</f>
        <v>-22271</v>
      </c>
      <c r="H807" s="5">
        <f>VALUE(SUBSTITUTE('1000_заявлений'!H801, ".", ","))</f>
        <v>-4001</v>
      </c>
      <c r="I807" s="4">
        <f>VALUE(SUBSTITUTE('1000_заявлений'!I801, ".", ","))</f>
        <v>0.113</v>
      </c>
      <c r="J807" s="4">
        <f>VALUE(SUBSTITUTE('1000_заявлений'!J801, ".", ","))</f>
        <v>2.6277948857579698</v>
      </c>
      <c r="K807" s="5">
        <f>VALUE(SUBSTITUTE('1000_заявлений'!K801, ".", ","))</f>
        <v>365243</v>
      </c>
      <c r="L807" s="6">
        <f>VALUE(SUBSTITUTE('1000_заявлений'!L801, ".", ","))</f>
        <v>12712.5</v>
      </c>
      <c r="M807" s="2" t="str">
        <f>IF(Данные[[#This Row],[proba]]&gt;$C$6, "отказ", "одобрение")</f>
        <v>отказ</v>
      </c>
      <c r="N807" s="7">
        <f>IF(Данные[[#This Row],[proba]]&lt;$D$2,$C$2,IF(Данные[[#This Row],[proba]]&lt;$D$3,$C$3,IF(Данные[[#This Row],[proba]]&gt;$C$6,0,$C$4)))</f>
        <v>0</v>
      </c>
      <c r="O807" s="2">
        <f>IF(Данные[[#This Row],[weighted_ext_score]]&gt;$O$1,MIN(Данные[[#This Row],[Базовая сумма]]*$O$2,$C$2),IF(Данные[[#This Row],[weighted_ext_score]]&lt;$O$3,Данные[[#This Row],[Базовая сумма]]*$O$4,N807))</f>
        <v>0</v>
      </c>
      <c r="P8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7" s="2">
        <f>ABS(Данные[[#This Row],[days_birth]])/365.2425</f>
        <v>60.975926952641053</v>
      </c>
      <c r="S8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7" s="2">
        <f>IF(Данные[[#This Row],[ interest_rate]]&gt;$T$1,Данные[[#This Row],[days_birth4]]*$T$2,Данные[[#This Row],[days_birth4]])</f>
        <v>0</v>
      </c>
      <c r="U807" s="2">
        <f>IF(Данные[[#This Row],[Проверка отказа]]="отказ",0,MAX(Данные[[#This Row],[interest_rate]],$C$1))</f>
        <v>0</v>
      </c>
      <c r="V807" s="2">
        <f>MROUND(Данные[[#This Row],[Минимум 20000]], 100)</f>
        <v>0</v>
      </c>
    </row>
    <row r="808" spans="1:22" x14ac:dyDescent="0.25">
      <c r="A808" s="2">
        <f>'1000_заявлений'!A802</f>
        <v>800</v>
      </c>
      <c r="B808" s="4">
        <f>VALUE(SUBSTITUTE('1000_заявлений'!B802, ".", ","))</f>
        <v>0.218422129535986</v>
      </c>
      <c r="C808" s="4">
        <f>VALUE(SUBSTITUTE('1000_заявлений'!C802, ".", ","))</f>
        <v>0.46945606591912398</v>
      </c>
      <c r="D808" s="4">
        <f>VALUE(SUBSTITUTE('1000_заявлений'!D802, ".", ","))</f>
        <v>0.66905669999999995</v>
      </c>
      <c r="E808" s="4">
        <f>VALUE(SUBSTITUTE('1000_заявлений'!E802, ".", ","))</f>
        <v>0.70128690000000005</v>
      </c>
      <c r="F808" s="5">
        <f>VALUE(SUBSTITUTE('1000_заявлений'!F802, ".", ","))</f>
        <v>-8986</v>
      </c>
      <c r="G808" s="5">
        <f>VALUE(SUBSTITUTE('1000_заявлений'!G802, ".", ","))</f>
        <v>-20457</v>
      </c>
      <c r="H808" s="5">
        <f>VALUE(SUBSTITUTE('1000_заявлений'!H802, ".", ","))</f>
        <v>-3901</v>
      </c>
      <c r="I808" s="4">
        <f>VALUE(SUBSTITUTE('1000_заявлений'!I802, ".", ","))</f>
        <v>0.22468571428571399</v>
      </c>
      <c r="J808" s="4">
        <f>VALUE(SUBSTITUTE('1000_заявлений'!J802, ".", ","))</f>
        <v>2.9033515753932502</v>
      </c>
      <c r="K808" s="5">
        <f>VALUE(SUBSTITUTE('1000_заявлений'!K802, ".", ","))</f>
        <v>365243</v>
      </c>
      <c r="L808" s="6">
        <f>VALUE(SUBSTITUTE('1000_заявлений'!L802, ".", ","))</f>
        <v>17694</v>
      </c>
      <c r="M808" s="2" t="str">
        <f>IF(Данные[[#This Row],[proba]]&gt;$C$6, "отказ", "одобрение")</f>
        <v>одобрение</v>
      </c>
      <c r="N808" s="7">
        <f>IF(Данные[[#This Row],[proba]]&lt;$D$2,$C$2,IF(Данные[[#This Row],[proba]]&lt;$D$3,$C$3,IF(Данные[[#This Row],[proba]]&gt;$C$6,0,$C$4)))</f>
        <v>100000</v>
      </c>
      <c r="O808" s="2">
        <f>IF(Данные[[#This Row],[weighted_ext_score]]&gt;$O$1,MIN(Данные[[#This Row],[Базовая сумма]]*$O$2,$C$2),IF(Данные[[#This Row],[weighted_ext_score]]&lt;$O$3,Данные[[#This Row],[Базовая сумма]]*$O$4,N808))</f>
        <v>100000</v>
      </c>
      <c r="P8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08" s="2">
        <f>ABS(Данные[[#This Row],[days_birth]])/365.2425</f>
        <v>56.009363641963901</v>
      </c>
      <c r="S8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808" s="2">
        <f>IF(Данные[[#This Row],[ interest_rate]]&gt;$T$1,Данные[[#This Row],[days_birth4]]*$T$2,Данные[[#This Row],[days_birth4]])</f>
        <v>105000</v>
      </c>
      <c r="U808" s="2">
        <f>IF(Данные[[#This Row],[Проверка отказа]]="отказ",0,MAX(Данные[[#This Row],[interest_rate]],$C$1))</f>
        <v>105000</v>
      </c>
      <c r="V808" s="2">
        <f>MROUND(Данные[[#This Row],[Минимум 20000]], 100)</f>
        <v>105000</v>
      </c>
    </row>
    <row r="809" spans="1:22" x14ac:dyDescent="0.25">
      <c r="A809" s="2">
        <f>'1000_заявлений'!A803</f>
        <v>801</v>
      </c>
      <c r="B809" s="4">
        <f>VALUE(SUBSTITUTE('1000_заявлений'!B803, ".", ","))</f>
        <v>0.72292131966032702</v>
      </c>
      <c r="C809" s="4">
        <f>VALUE(SUBSTITUTE('1000_заявлений'!C803, ".", ","))</f>
        <v>0.217952999338826</v>
      </c>
      <c r="D809" s="4">
        <f>VALUE(SUBSTITUTE('1000_заявлений'!D803, ".", ","))</f>
        <v>0.21396684999999999</v>
      </c>
      <c r="E809" s="4">
        <f>VALUE(SUBSTITUTE('1000_заявлений'!E803, ".", ","))</f>
        <v>0.43334946000000002</v>
      </c>
      <c r="F809" s="5">
        <f>VALUE(SUBSTITUTE('1000_заявлений'!F803, ".", ","))</f>
        <v>-4606</v>
      </c>
      <c r="G809" s="5">
        <f>VALUE(SUBSTITUTE('1000_заявлений'!G803, ".", ","))</f>
        <v>-21253</v>
      </c>
      <c r="H809" s="5">
        <f>VALUE(SUBSTITUTE('1000_заявлений'!H803, ".", ","))</f>
        <v>-1346</v>
      </c>
      <c r="I809" s="4">
        <f>VALUE(SUBSTITUTE('1000_заявлений'!I803, ".", ","))</f>
        <v>0.38840000000000002</v>
      </c>
      <c r="J809" s="4">
        <f>VALUE(SUBSTITUTE('1000_заявлений'!J803, ".", ","))</f>
        <v>2.7268436150310298</v>
      </c>
      <c r="K809" s="5">
        <f>VALUE(SUBSTITUTE('1000_заявлений'!K803, ".", ","))</f>
        <v>365243</v>
      </c>
      <c r="L809" s="6">
        <f>VALUE(SUBSTITUTE('1000_заявлений'!L803, ".", ","))</f>
        <v>26217</v>
      </c>
      <c r="M809" s="2" t="str">
        <f>IF(Данные[[#This Row],[proba]]&gt;$C$6, "отказ", "одобрение")</f>
        <v>отказ</v>
      </c>
      <c r="N809" s="7">
        <f>IF(Данные[[#This Row],[proba]]&lt;$D$2,$C$2,IF(Данные[[#This Row],[proba]]&lt;$D$3,$C$3,IF(Данные[[#This Row],[proba]]&gt;$C$6,0,$C$4)))</f>
        <v>0</v>
      </c>
      <c r="O809" s="2">
        <f>IF(Данные[[#This Row],[weighted_ext_score]]&gt;$O$1,MIN(Данные[[#This Row],[Базовая сумма]]*$O$2,$C$2),IF(Данные[[#This Row],[weighted_ext_score]]&lt;$O$3,Данные[[#This Row],[Базовая сумма]]*$O$4,N809))</f>
        <v>0</v>
      </c>
      <c r="P8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09" s="2">
        <f>ABS(Данные[[#This Row],[days_birth]])/365.2425</f>
        <v>58.188737619526755</v>
      </c>
      <c r="S8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09" s="2">
        <f>IF(Данные[[#This Row],[ interest_rate]]&gt;$T$1,Данные[[#This Row],[days_birth4]]*$T$2,Данные[[#This Row],[days_birth4]])</f>
        <v>0</v>
      </c>
      <c r="U809" s="2">
        <f>IF(Данные[[#This Row],[Проверка отказа]]="отказ",0,MAX(Данные[[#This Row],[interest_rate]],$C$1))</f>
        <v>0</v>
      </c>
      <c r="V809" s="2">
        <f>MROUND(Данные[[#This Row],[Минимум 20000]], 100)</f>
        <v>0</v>
      </c>
    </row>
    <row r="810" spans="1:22" x14ac:dyDescent="0.25">
      <c r="A810" s="2">
        <f>'1000_заявлений'!A804</f>
        <v>802</v>
      </c>
      <c r="B810" s="4">
        <f>VALUE(SUBSTITUTE('1000_заявлений'!B804, ".", ","))</f>
        <v>0.71772358026452499</v>
      </c>
      <c r="C810" s="4">
        <f>VALUE(SUBSTITUTE('1000_заявлений'!C804, ".", ","))</f>
        <v>0.24654801208982199</v>
      </c>
      <c r="D810" s="4">
        <f>VALUE(SUBSTITUTE('1000_заявлений'!D804, ".", ","))</f>
        <v>0.26085589999999997</v>
      </c>
      <c r="E810" s="4">
        <f>VALUE(SUBSTITUTE('1000_заявлений'!E804, ".", ","))</f>
        <v>0.46922395</v>
      </c>
      <c r="F810" s="5">
        <f>VALUE(SUBSTITUTE('1000_заявлений'!F804, ".", ","))</f>
        <v>-1967</v>
      </c>
      <c r="G810" s="5">
        <f>VALUE(SUBSTITUTE('1000_заявлений'!G804, ".", ","))</f>
        <v>-10468</v>
      </c>
      <c r="H810" s="5">
        <f>VALUE(SUBSTITUTE('1000_заявлений'!H804, ".", ","))</f>
        <v>-175</v>
      </c>
      <c r="I810" s="4">
        <f>VALUE(SUBSTITUTE('1000_заявлений'!I804, ".", ","))</f>
        <v>7.8666666666666593E-2</v>
      </c>
      <c r="J810" s="4">
        <f>VALUE(SUBSTITUTE('1000_заявлений'!J804, ".", ","))</f>
        <v>4.0339859383813703</v>
      </c>
      <c r="K810" s="5">
        <f>VALUE(SUBSTITUTE('1000_заявлений'!K804, ".", ","))</f>
        <v>-1707</v>
      </c>
      <c r="L810" s="6">
        <f>VALUE(SUBSTITUTE('1000_заявлений'!L804, ".", ","))</f>
        <v>10620</v>
      </c>
      <c r="M810" s="2" t="str">
        <f>IF(Данные[[#This Row],[proba]]&gt;$C$6, "отказ", "одобрение")</f>
        <v>отказ</v>
      </c>
      <c r="N810" s="7">
        <f>IF(Данные[[#This Row],[proba]]&lt;$D$2,$C$2,IF(Данные[[#This Row],[proba]]&lt;$D$3,$C$3,IF(Данные[[#This Row],[proba]]&gt;$C$6,0,$C$4)))</f>
        <v>0</v>
      </c>
      <c r="O810" s="2">
        <f>IF(Данные[[#This Row],[weighted_ext_score]]&gt;$O$1,MIN(Данные[[#This Row],[Базовая сумма]]*$O$2,$C$2),IF(Данные[[#This Row],[weighted_ext_score]]&lt;$O$3,Данные[[#This Row],[Базовая сумма]]*$O$4,N810))</f>
        <v>0</v>
      </c>
      <c r="P8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0" s="2">
        <f>ABS(Данные[[#This Row],[days_birth]])/365.2425</f>
        <v>28.660410549155696</v>
      </c>
      <c r="S8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0" s="2">
        <f>IF(Данные[[#This Row],[ interest_rate]]&gt;$T$1,Данные[[#This Row],[days_birth4]]*$T$2,Данные[[#This Row],[days_birth4]])</f>
        <v>0</v>
      </c>
      <c r="U810" s="2">
        <f>IF(Данные[[#This Row],[Проверка отказа]]="отказ",0,MAX(Данные[[#This Row],[interest_rate]],$C$1))</f>
        <v>0</v>
      </c>
      <c r="V810" s="2">
        <f>MROUND(Данные[[#This Row],[Минимум 20000]], 100)</f>
        <v>0</v>
      </c>
    </row>
    <row r="811" spans="1:22" x14ac:dyDescent="0.25">
      <c r="A811" s="2">
        <f>'1000_заявлений'!A805</f>
        <v>803</v>
      </c>
      <c r="B811" s="4">
        <f>VALUE(SUBSTITUTE('1000_заявлений'!B805, ".", ","))</f>
        <v>0.60939322963735498</v>
      </c>
      <c r="C811" s="4">
        <f>VALUE(SUBSTITUTE('1000_заявлений'!C805, ".", ","))</f>
        <v>0.377849621345275</v>
      </c>
      <c r="D811" s="4">
        <f>VALUE(SUBSTITUTE('1000_заявлений'!D805, ".", ","))</f>
        <v>0.41709964999999999</v>
      </c>
      <c r="E811" s="4">
        <f>VALUE(SUBSTITUTE('1000_заявлений'!E805, ".", ","))</f>
        <v>0.35424974999999997</v>
      </c>
      <c r="F811" s="5">
        <f>VALUE(SUBSTITUTE('1000_заявлений'!F805, ".", ","))</f>
        <v>-2610</v>
      </c>
      <c r="G811" s="5">
        <f>VALUE(SUBSTITUTE('1000_заявлений'!G805, ".", ","))</f>
        <v>-11560</v>
      </c>
      <c r="H811" s="5">
        <f>VALUE(SUBSTITUTE('1000_заявлений'!H805, ".", ","))</f>
        <v>-1867</v>
      </c>
      <c r="I811" s="4">
        <f>VALUE(SUBSTITUTE('1000_заявлений'!I805, ".", ","))</f>
        <v>8.616E-2</v>
      </c>
      <c r="J811" s="4">
        <f>VALUE(SUBSTITUTE('1000_заявлений'!J805, ".", ","))</f>
        <v>2.2808241542254302</v>
      </c>
      <c r="K811" s="5">
        <f>VALUE(SUBSTITUTE('1000_заявлений'!K805, ".", ","))</f>
        <v>-2987</v>
      </c>
      <c r="L811" s="6">
        <f>VALUE(SUBSTITUTE('1000_заявлений'!L805, ".", ","))</f>
        <v>19386</v>
      </c>
      <c r="M811" s="2" t="str">
        <f>IF(Данные[[#This Row],[proba]]&gt;$C$6, "отказ", "одобрение")</f>
        <v>отказ</v>
      </c>
      <c r="N811" s="7">
        <f>IF(Данные[[#This Row],[proba]]&lt;$D$2,$C$2,IF(Данные[[#This Row],[proba]]&lt;$D$3,$C$3,IF(Данные[[#This Row],[proba]]&gt;$C$6,0,$C$4)))</f>
        <v>0</v>
      </c>
      <c r="O811" s="2">
        <f>IF(Данные[[#This Row],[weighted_ext_score]]&gt;$O$1,MIN(Данные[[#This Row],[Базовая сумма]]*$O$2,$C$2),IF(Данные[[#This Row],[weighted_ext_score]]&lt;$O$3,Данные[[#This Row],[Базовая сумма]]*$O$4,N811))</f>
        <v>0</v>
      </c>
      <c r="P8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1" s="2">
        <f>ABS(Данные[[#This Row],[days_birth]])/365.2425</f>
        <v>31.650205000787146</v>
      </c>
      <c r="S8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1" s="2">
        <f>IF(Данные[[#This Row],[ interest_rate]]&gt;$T$1,Данные[[#This Row],[days_birth4]]*$T$2,Данные[[#This Row],[days_birth4]])</f>
        <v>0</v>
      </c>
      <c r="U811" s="2">
        <f>IF(Данные[[#This Row],[Проверка отказа]]="отказ",0,MAX(Данные[[#This Row],[interest_rate]],$C$1))</f>
        <v>0</v>
      </c>
      <c r="V811" s="2">
        <f>MROUND(Данные[[#This Row],[Минимум 20000]], 100)</f>
        <v>0</v>
      </c>
    </row>
    <row r="812" spans="1:22" x14ac:dyDescent="0.25">
      <c r="A812" s="2">
        <f>'1000_заявлений'!A806</f>
        <v>804</v>
      </c>
      <c r="B812" s="4">
        <f>VALUE(SUBSTITUTE('1000_заявлений'!B806, ".", ","))</f>
        <v>0.22371370836426699</v>
      </c>
      <c r="C812" s="4">
        <f>VALUE(SUBSTITUTE('1000_заявлений'!C806, ".", ","))</f>
        <v>0.44141768655410701</v>
      </c>
      <c r="D812" s="4">
        <f>VALUE(SUBSTITUTE('1000_заявлений'!D806, ".", ","))</f>
        <v>0.69409262999999999</v>
      </c>
      <c r="E812" s="4">
        <f>VALUE(SUBSTITUTE('1000_заявлений'!E806, ".", ","))</f>
        <v>0.58693530000000005</v>
      </c>
      <c r="F812" s="5">
        <f>VALUE(SUBSTITUTE('1000_заявлений'!F806, ".", ","))</f>
        <v>-20452</v>
      </c>
      <c r="G812" s="5">
        <f>VALUE(SUBSTITUTE('1000_заявлений'!G806, ".", ","))</f>
        <v>-20453</v>
      </c>
      <c r="H812" s="5">
        <f>VALUE(SUBSTITUTE('1000_заявлений'!H806, ".", ","))</f>
        <v>-3590</v>
      </c>
      <c r="I812" s="4">
        <f>VALUE(SUBSTITUTE('1000_заявлений'!I806, ".", ","))</f>
        <v>0.126533333333333</v>
      </c>
      <c r="J812" s="4">
        <f>VALUE(SUBSTITUTE('1000_заявлений'!J806, ".", ","))</f>
        <v>5.5245413448300003</v>
      </c>
      <c r="K812" s="5">
        <f>VALUE(SUBSTITUTE('1000_заявлений'!K806, ".", ","))</f>
        <v>-2582</v>
      </c>
      <c r="L812" s="6">
        <f>VALUE(SUBSTITUTE('1000_заявлений'!L806, ".", ","))</f>
        <v>51246</v>
      </c>
      <c r="M812" s="2" t="str">
        <f>IF(Данные[[#This Row],[proba]]&gt;$C$6, "отказ", "одобрение")</f>
        <v>одобрение</v>
      </c>
      <c r="N812" s="7">
        <f>IF(Данные[[#This Row],[proba]]&lt;$D$2,$C$2,IF(Данные[[#This Row],[proba]]&lt;$D$3,$C$3,IF(Данные[[#This Row],[proba]]&gt;$C$6,0,$C$4)))</f>
        <v>100000</v>
      </c>
      <c r="O812" s="2">
        <f>IF(Данные[[#This Row],[weighted_ext_score]]&gt;$O$1,MIN(Данные[[#This Row],[Базовая сумма]]*$O$2,$C$2),IF(Данные[[#This Row],[weighted_ext_score]]&lt;$O$3,Данные[[#This Row],[Базовая сумма]]*$O$4,N812))</f>
        <v>100000</v>
      </c>
      <c r="P8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12" s="2">
        <f>ABS(Данные[[#This Row],[days_birth]])/365.2425</f>
        <v>55.998412013935948</v>
      </c>
      <c r="S8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812" s="2">
        <f>IF(Данные[[#This Row],[ interest_rate]]&gt;$T$1,Данные[[#This Row],[days_birth4]]*$T$2,Данные[[#This Row],[days_birth4]])</f>
        <v>151200</v>
      </c>
      <c r="U812" s="2">
        <f>IF(Данные[[#This Row],[Проверка отказа]]="отказ",0,MAX(Данные[[#This Row],[interest_rate]],$C$1))</f>
        <v>151200</v>
      </c>
      <c r="V812" s="2">
        <f>MROUND(Данные[[#This Row],[Минимум 20000]], 100)</f>
        <v>151200</v>
      </c>
    </row>
    <row r="813" spans="1:22" x14ac:dyDescent="0.25">
      <c r="A813" s="2">
        <f>'1000_заявлений'!A807</f>
        <v>805</v>
      </c>
      <c r="B813" s="4">
        <f>VALUE(SUBSTITUTE('1000_заявлений'!B807, ".", ","))</f>
        <v>0.56224563909744996</v>
      </c>
      <c r="C813" s="4">
        <f>VALUE(SUBSTITUTE('1000_заявлений'!C807, ".", ","))</f>
        <v>0.35443837833699998</v>
      </c>
      <c r="D813" s="4">
        <f>VALUE(SUBSTITUTE('1000_заявлений'!D807, ".", ","))</f>
        <v>0.57091652999999998</v>
      </c>
      <c r="E813" s="4">
        <f>VALUE(SUBSTITUTE('1000_заявлений'!E807, ".", ","))</f>
        <v>0.45612836000000001</v>
      </c>
      <c r="F813" s="5">
        <f>VALUE(SUBSTITUTE('1000_заявлений'!F807, ".", ","))</f>
        <v>-8669</v>
      </c>
      <c r="G813" s="5">
        <f>VALUE(SUBSTITUTE('1000_заявлений'!G807, ".", ","))</f>
        <v>-17619</v>
      </c>
      <c r="H813" s="5">
        <f>VALUE(SUBSTITUTE('1000_заявлений'!H807, ".", ","))</f>
        <v>-729</v>
      </c>
      <c r="I813" s="4">
        <f>VALUE(SUBSTITUTE('1000_заявлений'!I807, ".", ","))</f>
        <v>0.55374999999999996</v>
      </c>
      <c r="J813" s="4">
        <f>VALUE(SUBSTITUTE('1000_заявлений'!J807, ".", ","))</f>
        <v>2.74366808572772</v>
      </c>
      <c r="K813" s="5">
        <f>VALUE(SUBSTITUTE('1000_заявлений'!K807, ".", ","))</f>
        <v>-1873</v>
      </c>
      <c r="L813" s="6">
        <f>VALUE(SUBSTITUTE('1000_заявлений'!L807, ".", ","))</f>
        <v>49837.5</v>
      </c>
      <c r="M813" s="2" t="str">
        <f>IF(Данные[[#This Row],[proba]]&gt;$C$6, "отказ", "одобрение")</f>
        <v>отказ</v>
      </c>
      <c r="N813" s="7">
        <f>IF(Данные[[#This Row],[proba]]&lt;$D$2,$C$2,IF(Данные[[#This Row],[proba]]&lt;$D$3,$C$3,IF(Данные[[#This Row],[proba]]&gt;$C$6,0,$C$4)))</f>
        <v>0</v>
      </c>
      <c r="O813" s="2">
        <f>IF(Данные[[#This Row],[weighted_ext_score]]&gt;$O$1,MIN(Данные[[#This Row],[Базовая сумма]]*$O$2,$C$2),IF(Данные[[#This Row],[weighted_ext_score]]&lt;$O$3,Данные[[#This Row],[Базовая сумма]]*$O$4,N813))</f>
        <v>0</v>
      </c>
      <c r="P8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3" s="2">
        <f>ABS(Данные[[#This Row],[days_birth]])/365.2425</f>
        <v>48.239183556130513</v>
      </c>
      <c r="S8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3" s="2">
        <f>IF(Данные[[#This Row],[ interest_rate]]&gt;$T$1,Данные[[#This Row],[days_birth4]]*$T$2,Данные[[#This Row],[days_birth4]])</f>
        <v>0</v>
      </c>
      <c r="U813" s="2">
        <f>IF(Данные[[#This Row],[Проверка отказа]]="отказ",0,MAX(Данные[[#This Row],[interest_rate]],$C$1))</f>
        <v>0</v>
      </c>
      <c r="V813" s="2">
        <f>MROUND(Данные[[#This Row],[Минимум 20000]], 100)</f>
        <v>0</v>
      </c>
    </row>
    <row r="814" spans="1:22" x14ac:dyDescent="0.25">
      <c r="A814" s="2">
        <f>'1000_заявлений'!A808</f>
        <v>806</v>
      </c>
      <c r="B814" s="4">
        <f>VALUE(SUBSTITUTE('1000_заявлений'!B808, ".", ","))</f>
        <v>0.41202975505338801</v>
      </c>
      <c r="C814" s="4">
        <f>VALUE(SUBSTITUTE('1000_заявлений'!C808, ".", ","))</f>
        <v>0.38957230940111098</v>
      </c>
      <c r="D814" s="4">
        <f>VALUE(SUBSTITUTE('1000_заявлений'!D808, ".", ","))</f>
        <v>0.46686401999999999</v>
      </c>
      <c r="E814" s="4">
        <f>VALUE(SUBSTITUTE('1000_заявлений'!E808, ".", ","))</f>
        <v>0.68045429999999996</v>
      </c>
      <c r="F814" s="5">
        <f>VALUE(SUBSTITUTE('1000_заявлений'!F808, ".", ","))</f>
        <v>-4049</v>
      </c>
      <c r="G814" s="5">
        <f>VALUE(SUBSTITUTE('1000_заявлений'!G808, ".", ","))</f>
        <v>-12973</v>
      </c>
      <c r="H814" s="5">
        <f>VALUE(SUBSTITUTE('1000_заявлений'!H808, ".", ","))</f>
        <v>-94</v>
      </c>
      <c r="I814" s="4">
        <f>VALUE(SUBSTITUTE('1000_заявлений'!I808, ".", ","))</f>
        <v>5.7033333333333297E-2</v>
      </c>
      <c r="J814" s="4">
        <f>VALUE(SUBSTITUTE('1000_заявлений'!J808, ".", ","))</f>
        <v>7.3022363406432804</v>
      </c>
      <c r="K814" s="5">
        <f>VALUE(SUBSTITUTE('1000_заявлений'!K808, ".", ","))</f>
        <v>-962</v>
      </c>
      <c r="L814" s="6">
        <f>VALUE(SUBSTITUTE('1000_заявлений'!L808, ".", ","))</f>
        <v>15399</v>
      </c>
      <c r="M814" s="2" t="str">
        <f>IF(Данные[[#This Row],[proba]]&gt;$C$6, "отказ", "одобрение")</f>
        <v>отказ</v>
      </c>
      <c r="N814" s="7">
        <f>IF(Данные[[#This Row],[proba]]&lt;$D$2,$C$2,IF(Данные[[#This Row],[proba]]&lt;$D$3,$C$3,IF(Данные[[#This Row],[proba]]&gt;$C$6,0,$C$4)))</f>
        <v>0</v>
      </c>
      <c r="O814" s="2">
        <f>IF(Данные[[#This Row],[weighted_ext_score]]&gt;$O$1,MIN(Данные[[#This Row],[Базовая сумма]]*$O$2,$C$2),IF(Данные[[#This Row],[weighted_ext_score]]&lt;$O$3,Данные[[#This Row],[Базовая сумма]]*$O$4,N814))</f>
        <v>0</v>
      </c>
      <c r="P8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4" s="2">
        <f>ABS(Данные[[#This Row],[days_birth]])/365.2425</f>
        <v>35.51886760166191</v>
      </c>
      <c r="S8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4" s="2">
        <f>IF(Данные[[#This Row],[ interest_rate]]&gt;$T$1,Данные[[#This Row],[days_birth4]]*$T$2,Данные[[#This Row],[days_birth4]])</f>
        <v>0</v>
      </c>
      <c r="U814" s="2">
        <f>IF(Данные[[#This Row],[Проверка отказа]]="отказ",0,MAX(Данные[[#This Row],[interest_rate]],$C$1))</f>
        <v>0</v>
      </c>
      <c r="V814" s="2">
        <f>MROUND(Данные[[#This Row],[Минимум 20000]], 100)</f>
        <v>0</v>
      </c>
    </row>
    <row r="815" spans="1:22" x14ac:dyDescent="0.25">
      <c r="A815" s="2">
        <f>'1000_заявлений'!A809</f>
        <v>807</v>
      </c>
      <c r="B815" s="4">
        <f>VALUE(SUBSTITUTE('1000_заявлений'!B809, ".", ","))</f>
        <v>0.237557543608376</v>
      </c>
      <c r="C815" s="4">
        <f>VALUE(SUBSTITUTE('1000_заявлений'!C809, ".", ","))</f>
        <v>0.42077400003638399</v>
      </c>
      <c r="D815" s="4">
        <f>VALUE(SUBSTITUTE('1000_заявлений'!D809, ".", ","))</f>
        <v>0.58674000000000004</v>
      </c>
      <c r="E815" s="4">
        <f>VALUE(SUBSTITUTE('1000_заявлений'!E809, ".", ","))</f>
        <v>0.64298759999999999</v>
      </c>
      <c r="F815" s="5">
        <f>VALUE(SUBSTITUTE('1000_заявлений'!F809, ".", ","))</f>
        <v>-10124</v>
      </c>
      <c r="G815" s="5">
        <f>VALUE(SUBSTITUTE('1000_заявлений'!G809, ".", ","))</f>
        <v>-23325</v>
      </c>
      <c r="H815" s="5">
        <f>VALUE(SUBSTITUTE('1000_заявлений'!H809, ".", ","))</f>
        <v>-4910</v>
      </c>
      <c r="I815" s="4">
        <f>VALUE(SUBSTITUTE('1000_заявлений'!I809, ".", ","))</f>
        <v>0.18933333333333299</v>
      </c>
      <c r="J815" s="4">
        <f>VALUE(SUBSTITUTE('1000_заявлений'!J809, ".", ","))</f>
        <v>6.7244601860445696</v>
      </c>
      <c r="K815" s="5">
        <f>VALUE(SUBSTITUTE('1000_заявлений'!K809, ".", ","))</f>
        <v>365243</v>
      </c>
      <c r="L815" s="6">
        <f>VALUE(SUBSTITUTE('1000_заявлений'!L809, ".", ","))</f>
        <v>25560</v>
      </c>
      <c r="M815" s="2" t="str">
        <f>IF(Данные[[#This Row],[proba]]&gt;$C$6, "отказ", "одобрение")</f>
        <v>одобрение</v>
      </c>
      <c r="N815" s="7">
        <f>IF(Данные[[#This Row],[proba]]&lt;$D$2,$C$2,IF(Данные[[#This Row],[proba]]&lt;$D$3,$C$3,IF(Данные[[#This Row],[proba]]&gt;$C$6,0,$C$4)))</f>
        <v>100000</v>
      </c>
      <c r="O815" s="2">
        <f>IF(Данные[[#This Row],[weighted_ext_score]]&gt;$O$1,MIN(Данные[[#This Row],[Базовая сумма]]*$O$2,$C$2),IF(Данные[[#This Row],[weighted_ext_score]]&lt;$O$3,Данные[[#This Row],[Базовая сумма]]*$O$4,N815))</f>
        <v>100000</v>
      </c>
      <c r="P8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15" s="2">
        <f>ABS(Данные[[#This Row],[days_birth]])/365.2425</f>
        <v>63.861680938006941</v>
      </c>
      <c r="S8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815" s="2">
        <f>IF(Данные[[#This Row],[ interest_rate]]&gt;$T$1,Данные[[#This Row],[days_birth4]]*$T$2,Данные[[#This Row],[days_birth4]])</f>
        <v>126000</v>
      </c>
      <c r="U815" s="2">
        <f>IF(Данные[[#This Row],[Проверка отказа]]="отказ",0,MAX(Данные[[#This Row],[interest_rate]],$C$1))</f>
        <v>126000</v>
      </c>
      <c r="V815" s="2">
        <f>MROUND(Данные[[#This Row],[Минимум 20000]], 100)</f>
        <v>126000</v>
      </c>
    </row>
    <row r="816" spans="1:22" x14ac:dyDescent="0.25">
      <c r="A816" s="2">
        <f>'1000_заявлений'!A810</f>
        <v>808</v>
      </c>
      <c r="B816" s="4">
        <f>VALUE(SUBSTITUTE('1000_заявлений'!B810, ".", ","))</f>
        <v>0.31500202903068703</v>
      </c>
      <c r="C816" s="4">
        <f>VALUE(SUBSTITUTE('1000_заявлений'!C810, ".", ","))</f>
        <v>0.59285334012305102</v>
      </c>
      <c r="D816" s="4">
        <f>VALUE(SUBSTITUTE('1000_заявлений'!D810, ".", ","))</f>
        <v>0.60755729999999997</v>
      </c>
      <c r="E816" s="4">
        <f>VALUE(SUBSTITUTE('1000_заявлений'!E810, ".", ","))</f>
        <v>0.51662059999999999</v>
      </c>
      <c r="F816" s="5">
        <f>VALUE(SUBSTITUTE('1000_заявлений'!F810, ".", ","))</f>
        <v>-2534</v>
      </c>
      <c r="G816" s="5">
        <f>VALUE(SUBSTITUTE('1000_заявлений'!G810, ".", ","))</f>
        <v>-15484</v>
      </c>
      <c r="H816" s="5">
        <f>VALUE(SUBSTITUTE('1000_заявлений'!H810, ".", ","))</f>
        <v>-4333</v>
      </c>
      <c r="I816" s="4">
        <f>VALUE(SUBSTITUTE('1000_заявлений'!I810, ".", ","))</f>
        <v>0.25574000000000002</v>
      </c>
      <c r="J816" s="4">
        <f>VALUE(SUBSTITUTE('1000_заявлений'!J810, ".", ","))</f>
        <v>1.4810525792484199</v>
      </c>
      <c r="K816" s="5">
        <f>VALUE(SUBSTITUTE('1000_заявлений'!K810, ".", ","))</f>
        <v>-2042</v>
      </c>
      <c r="L816" s="6">
        <f>VALUE(SUBSTITUTE('1000_заявлений'!L810, ".", ","))</f>
        <v>57541.5</v>
      </c>
      <c r="M816" s="2" t="str">
        <f>IF(Данные[[#This Row],[proba]]&gt;$C$6, "отказ", "одобрение")</f>
        <v>отказ</v>
      </c>
      <c r="N816" s="7">
        <f>IF(Данные[[#This Row],[proba]]&lt;$D$2,$C$2,IF(Данные[[#This Row],[proba]]&lt;$D$3,$C$3,IF(Данные[[#This Row],[proba]]&gt;$C$6,0,$C$4)))</f>
        <v>0</v>
      </c>
      <c r="O816" s="2">
        <f>IF(Данные[[#This Row],[weighted_ext_score]]&gt;$O$1,MIN(Данные[[#This Row],[Базовая сумма]]*$O$2,$C$2),IF(Данные[[#This Row],[weighted_ext_score]]&lt;$O$3,Данные[[#This Row],[Базовая сумма]]*$O$4,N816))</f>
        <v>0</v>
      </c>
      <c r="P8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6" s="2">
        <f>ABS(Данные[[#This Row],[days_birth]])/365.2425</f>
        <v>42.393752096210051</v>
      </c>
      <c r="S8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6" s="2">
        <f>IF(Данные[[#This Row],[ interest_rate]]&gt;$T$1,Данные[[#This Row],[days_birth4]]*$T$2,Данные[[#This Row],[days_birth4]])</f>
        <v>0</v>
      </c>
      <c r="U816" s="2">
        <f>IF(Данные[[#This Row],[Проверка отказа]]="отказ",0,MAX(Данные[[#This Row],[interest_rate]],$C$1))</f>
        <v>0</v>
      </c>
      <c r="V816" s="2">
        <f>MROUND(Данные[[#This Row],[Минимум 20000]], 100)</f>
        <v>0</v>
      </c>
    </row>
    <row r="817" spans="1:22" x14ac:dyDescent="0.25">
      <c r="A817" s="2">
        <f>'1000_заявлений'!A811</f>
        <v>809</v>
      </c>
      <c r="B817" s="4">
        <f>VALUE(SUBSTITUTE('1000_заявлений'!B811, ".", ","))</f>
        <v>0.18752450346109301</v>
      </c>
      <c r="C817" s="4">
        <f>VALUE(SUBSTITUTE('1000_заявлений'!C811, ".", ","))</f>
        <v>0.71360598951004295</v>
      </c>
      <c r="D817" s="4">
        <f>VALUE(SUBSTITUTE('1000_заявлений'!D811, ".", ","))</f>
        <v>0.51729654999999997</v>
      </c>
      <c r="E817" s="4">
        <f>VALUE(SUBSTITUTE('1000_заявлений'!E811, ".", ","))</f>
        <v>0.74823289999999998</v>
      </c>
      <c r="F817" s="5">
        <f>VALUE(SUBSTITUTE('1000_заявлений'!F811, ".", ","))</f>
        <v>-8775</v>
      </c>
      <c r="G817" s="5">
        <f>VALUE(SUBSTITUTE('1000_заявлений'!G811, ".", ","))</f>
        <v>-17980</v>
      </c>
      <c r="H817" s="5">
        <f>VALUE(SUBSTITUTE('1000_заявлений'!H811, ".", ","))</f>
        <v>-1312</v>
      </c>
      <c r="I817" s="4">
        <f>VALUE(SUBSTITUTE('1000_заявлений'!I811, ".", ","))</f>
        <v>0.15</v>
      </c>
      <c r="J817" s="4">
        <f>VALUE(SUBSTITUTE('1000_заявлений'!J811, ".", ","))</f>
        <v>10.6209759779781</v>
      </c>
      <c r="K817" s="5">
        <f>VALUE(SUBSTITUTE('1000_заявлений'!K811, ".", ","))</f>
        <v>-1121</v>
      </c>
      <c r="L817" s="6">
        <f>VALUE(SUBSTITUTE('1000_заявлений'!L811, ".", ","))</f>
        <v>33750</v>
      </c>
      <c r="M817" s="2" t="str">
        <f>IF(Данные[[#This Row],[proba]]&gt;$C$6, "отказ", "одобрение")</f>
        <v>одобрение</v>
      </c>
      <c r="N817" s="7">
        <f>IF(Данные[[#This Row],[proba]]&lt;$D$2,$C$2,IF(Данные[[#This Row],[proba]]&lt;$D$3,$C$3,IF(Данные[[#This Row],[proba]]&gt;$C$6,0,$C$4)))</f>
        <v>300000</v>
      </c>
      <c r="O817" s="2">
        <f>IF(Данные[[#This Row],[weighted_ext_score]]&gt;$O$1,MIN(Данные[[#This Row],[Базовая сумма]]*$O$2,$C$2),IF(Данные[[#This Row],[weighted_ext_score]]&lt;$O$3,Данные[[#This Row],[Базовая сумма]]*$O$4,N817))</f>
        <v>360000</v>
      </c>
      <c r="P8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8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302400</v>
      </c>
      <c r="R817" s="2">
        <f>ABS(Данные[[#This Row],[days_birth]])/365.2425</f>
        <v>49.227567985653366</v>
      </c>
      <c r="S8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302400</v>
      </c>
      <c r="T817" s="2">
        <f>IF(Данные[[#This Row],[ interest_rate]]&gt;$T$1,Данные[[#This Row],[days_birth4]]*$T$2,Данные[[#This Row],[days_birth4]])</f>
        <v>302400</v>
      </c>
      <c r="U817" s="2">
        <f>IF(Данные[[#This Row],[Проверка отказа]]="отказ",0,MAX(Данные[[#This Row],[interest_rate]],$C$1))</f>
        <v>302400</v>
      </c>
      <c r="V817" s="2">
        <f>MROUND(Данные[[#This Row],[Минимум 20000]], 100)</f>
        <v>302400</v>
      </c>
    </row>
    <row r="818" spans="1:22" x14ac:dyDescent="0.25">
      <c r="A818" s="2">
        <f>'1000_заявлений'!A812</f>
        <v>810</v>
      </c>
      <c r="B818" s="4">
        <f>VALUE(SUBSTITUTE('1000_заявлений'!B812, ".", ","))</f>
        <v>0.35194295256795299</v>
      </c>
      <c r="C818" s="4">
        <f>VALUE(SUBSTITUTE('1000_заявлений'!C812, ".", ","))</f>
        <v>0.41614406135093002</v>
      </c>
      <c r="D818" s="4">
        <f>VALUE(SUBSTITUTE('1000_заявлений'!D812, ".", ","))</f>
        <v>0.54065439999999998</v>
      </c>
      <c r="E818" s="4">
        <f>VALUE(SUBSTITUTE('1000_заявлений'!E812, ".", ","))</f>
        <v>0.68009763999999995</v>
      </c>
      <c r="F818" s="5">
        <f>VALUE(SUBSTITUTE('1000_заявлений'!F812, ".", ","))</f>
        <v>-2552</v>
      </c>
      <c r="G818" s="5">
        <f>VALUE(SUBSTITUTE('1000_заявлений'!G812, ".", ","))</f>
        <v>-12347</v>
      </c>
      <c r="H818" s="5">
        <f>VALUE(SUBSTITUTE('1000_заявлений'!H812, ".", ","))</f>
        <v>-966</v>
      </c>
      <c r="I818" s="4">
        <f>VALUE(SUBSTITUTE('1000_заявлений'!I812, ".", ","))</f>
        <v>8.5714285714285701E-2</v>
      </c>
      <c r="J818" s="4">
        <f>VALUE(SUBSTITUTE('1000_заявлений'!J812, ".", ","))</f>
        <v>10.6209759779781</v>
      </c>
      <c r="K818" s="5">
        <f>VALUE(SUBSTITUTE('1000_заявлений'!K812, ".", ","))</f>
        <v>-92</v>
      </c>
      <c r="L818" s="6">
        <f>VALUE(SUBSTITUTE('1000_заявлений'!L812, ".", ","))</f>
        <v>13500</v>
      </c>
      <c r="M818" s="2" t="str">
        <f>IF(Данные[[#This Row],[proba]]&gt;$C$6, "отказ", "одобрение")</f>
        <v>отказ</v>
      </c>
      <c r="N818" s="7">
        <f>IF(Данные[[#This Row],[proba]]&lt;$D$2,$C$2,IF(Данные[[#This Row],[proba]]&lt;$D$3,$C$3,IF(Данные[[#This Row],[proba]]&gt;$C$6,0,$C$4)))</f>
        <v>0</v>
      </c>
      <c r="O818" s="2">
        <f>IF(Данные[[#This Row],[weighted_ext_score]]&gt;$O$1,MIN(Данные[[#This Row],[Базовая сумма]]*$O$2,$C$2),IF(Данные[[#This Row],[weighted_ext_score]]&lt;$O$3,Данные[[#This Row],[Базовая сумма]]*$O$4,N818))</f>
        <v>0</v>
      </c>
      <c r="P8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8" s="2">
        <f>ABS(Данные[[#This Row],[days_birth]])/365.2425</f>
        <v>33.804937815287104</v>
      </c>
      <c r="S8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8" s="2">
        <f>IF(Данные[[#This Row],[ interest_rate]]&gt;$T$1,Данные[[#This Row],[days_birth4]]*$T$2,Данные[[#This Row],[days_birth4]])</f>
        <v>0</v>
      </c>
      <c r="U818" s="2">
        <f>IF(Данные[[#This Row],[Проверка отказа]]="отказ",0,MAX(Данные[[#This Row],[interest_rate]],$C$1))</f>
        <v>0</v>
      </c>
      <c r="V818" s="2">
        <f>MROUND(Данные[[#This Row],[Минимум 20000]], 100)</f>
        <v>0</v>
      </c>
    </row>
    <row r="819" spans="1:22" x14ac:dyDescent="0.25">
      <c r="A819" s="2">
        <f>'1000_заявлений'!A813</f>
        <v>811</v>
      </c>
      <c r="B819" s="4">
        <f>VALUE(SUBSTITUTE('1000_заявлений'!B813, ".", ","))</f>
        <v>0.46731525282814002</v>
      </c>
      <c r="C819" s="4">
        <f>VALUE(SUBSTITUTE('1000_заявлений'!C813, ".", ","))</f>
        <v>0.44394187501653298</v>
      </c>
      <c r="D819" s="4">
        <f>VALUE(SUBSTITUTE('1000_заявлений'!D813, ".", ","))</f>
        <v>0.30927536</v>
      </c>
      <c r="E819" s="4">
        <f>VALUE(SUBSTITUTE('1000_заявлений'!E813, ".", ","))</f>
        <v>0.76873320000000001</v>
      </c>
      <c r="F819" s="5">
        <f>VALUE(SUBSTITUTE('1000_заявлений'!F813, ".", ","))</f>
        <v>-2354</v>
      </c>
      <c r="G819" s="5">
        <f>VALUE(SUBSTITUTE('1000_заявлений'!G813, ".", ","))</f>
        <v>-17325</v>
      </c>
      <c r="H819" s="5">
        <f>VALUE(SUBSTITUTE('1000_заявлений'!H813, ".", ","))</f>
        <v>-862</v>
      </c>
      <c r="I819" s="4">
        <f>VALUE(SUBSTITUTE('1000_заявлений'!I813, ".", ","))</f>
        <v>0.17671428571428499</v>
      </c>
      <c r="J819" s="4">
        <f>VALUE(SUBSTITUTE('1000_заявлений'!J813, ".", ","))</f>
        <v>0.96586851051461098</v>
      </c>
      <c r="K819" s="5">
        <f>VALUE(SUBSTITUTE('1000_заявлений'!K813, ".", ","))</f>
        <v>-1351</v>
      </c>
      <c r="L819" s="6">
        <f>VALUE(SUBSTITUTE('1000_заявлений'!L813, ".", ","))</f>
        <v>22266</v>
      </c>
      <c r="M819" s="2" t="str">
        <f>IF(Данные[[#This Row],[proba]]&gt;$C$6, "отказ", "одобрение")</f>
        <v>отказ</v>
      </c>
      <c r="N819" s="7">
        <f>IF(Данные[[#This Row],[proba]]&lt;$D$2,$C$2,IF(Данные[[#This Row],[proba]]&lt;$D$3,$C$3,IF(Данные[[#This Row],[proba]]&gt;$C$6,0,$C$4)))</f>
        <v>0</v>
      </c>
      <c r="O819" s="2">
        <f>IF(Данные[[#This Row],[weighted_ext_score]]&gt;$O$1,MIN(Данные[[#This Row],[Базовая сумма]]*$O$2,$C$2),IF(Данные[[#This Row],[weighted_ext_score]]&lt;$O$3,Данные[[#This Row],[Базовая сумма]]*$O$4,N819))</f>
        <v>0</v>
      </c>
      <c r="P8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19" s="2">
        <f>ABS(Данные[[#This Row],[days_birth]])/365.2425</f>
        <v>47.434238896075897</v>
      </c>
      <c r="S8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19" s="2">
        <f>IF(Данные[[#This Row],[ interest_rate]]&gt;$T$1,Данные[[#This Row],[days_birth4]]*$T$2,Данные[[#This Row],[days_birth4]])</f>
        <v>0</v>
      </c>
      <c r="U819" s="2">
        <f>IF(Данные[[#This Row],[Проверка отказа]]="отказ",0,MAX(Данные[[#This Row],[interest_rate]],$C$1))</f>
        <v>0</v>
      </c>
      <c r="V819" s="2">
        <f>MROUND(Данные[[#This Row],[Минимум 20000]], 100)</f>
        <v>0</v>
      </c>
    </row>
    <row r="820" spans="1:22" x14ac:dyDescent="0.25">
      <c r="A820" s="2">
        <f>'1000_заявлений'!A814</f>
        <v>812</v>
      </c>
      <c r="B820" s="4">
        <f>VALUE(SUBSTITUTE('1000_заявлений'!B814, ".", ","))</f>
        <v>0.26690576457348503</v>
      </c>
      <c r="C820" s="4">
        <f>VALUE(SUBSTITUTE('1000_заявлений'!C814, ".", ","))</f>
        <v>0.37602622042810302</v>
      </c>
      <c r="D820" s="4">
        <f>VALUE(SUBSTITUTE('1000_заявлений'!D814, ".", ","))</f>
        <v>0.40487837999999998</v>
      </c>
      <c r="E820" s="4">
        <f>VALUE(SUBSTITUTE('1000_заявлений'!E814, ".", ","))</f>
        <v>0.70780516000000004</v>
      </c>
      <c r="F820" s="5">
        <f>VALUE(SUBSTITUTE('1000_заявлений'!F814, ".", ","))</f>
        <v>-12468</v>
      </c>
      <c r="G820" s="5">
        <f>VALUE(SUBSTITUTE('1000_заявлений'!G814, ".", ","))</f>
        <v>-24767</v>
      </c>
      <c r="H820" s="5">
        <f>VALUE(SUBSTITUTE('1000_заявлений'!H814, ".", ","))</f>
        <v>-4040</v>
      </c>
      <c r="I820" s="4">
        <f>VALUE(SUBSTITUTE('1000_заявлений'!I814, ".", ","))</f>
        <v>0.26500000000000001</v>
      </c>
      <c r="J820" s="4">
        <f>VALUE(SUBSTITUTE('1000_заявлений'!J814, ".", ","))</f>
        <v>19.916048564726399</v>
      </c>
      <c r="K820" s="5">
        <f>VALUE(SUBSTITUTE('1000_заявлений'!K814, ".", ","))</f>
        <v>365243</v>
      </c>
      <c r="L820" s="6">
        <f>VALUE(SUBSTITUTE('1000_заявлений'!L814, ".", ","))</f>
        <v>23850</v>
      </c>
      <c r="M820" s="2" t="str">
        <f>IF(Данные[[#This Row],[proba]]&gt;$C$6, "отказ", "одобрение")</f>
        <v>одобрение</v>
      </c>
      <c r="N820" s="7">
        <f>IF(Данные[[#This Row],[proba]]&lt;$D$2,$C$2,IF(Данные[[#This Row],[proba]]&lt;$D$3,$C$3,IF(Данные[[#This Row],[proba]]&gt;$C$6,0,$C$4)))</f>
        <v>100000</v>
      </c>
      <c r="O820" s="2">
        <f>IF(Данные[[#This Row],[weighted_ext_score]]&gt;$O$1,MIN(Данные[[#This Row],[Базовая сумма]]*$O$2,$C$2),IF(Данные[[#This Row],[weighted_ext_score]]&lt;$O$3,Данные[[#This Row],[Базовая сумма]]*$O$4,N820))</f>
        <v>100000</v>
      </c>
      <c r="P8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20" s="2">
        <f>ABS(Данные[[#This Row],[days_birth]])/365.2425</f>
        <v>67.809742842084361</v>
      </c>
      <c r="S8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820" s="2">
        <f>IF(Данные[[#This Row],[ interest_rate]]&gt;$T$1,Данные[[#This Row],[days_birth4]]*$T$2,Данные[[#This Row],[days_birth4]])</f>
        <v>105000</v>
      </c>
      <c r="U820" s="2">
        <f>IF(Данные[[#This Row],[Проверка отказа]]="отказ",0,MAX(Данные[[#This Row],[interest_rate]],$C$1))</f>
        <v>105000</v>
      </c>
      <c r="V820" s="2">
        <f>MROUND(Данные[[#This Row],[Минимум 20000]], 100)</f>
        <v>105000</v>
      </c>
    </row>
    <row r="821" spans="1:22" x14ac:dyDescent="0.25">
      <c r="A821" s="2">
        <f>'1000_заявлений'!A815</f>
        <v>813</v>
      </c>
      <c r="B821" s="4">
        <f>VALUE(SUBSTITUTE('1000_заявлений'!B815, ".", ","))</f>
        <v>0.55618180228284397</v>
      </c>
      <c r="C821" s="4">
        <f>VALUE(SUBSTITUTE('1000_заявлений'!C815, ".", ","))</f>
        <v>0.30810154235089099</v>
      </c>
      <c r="D821" s="4">
        <f>VALUE(SUBSTITUTE('1000_заявлений'!D815, ".", ","))</f>
        <v>0.54959650000000004</v>
      </c>
      <c r="E821" s="4">
        <f>VALUE(SUBSTITUTE('1000_заявлений'!E815, ".", ","))</f>
        <v>0.33705046999999999</v>
      </c>
      <c r="F821" s="5">
        <f>VALUE(SUBSTITUTE('1000_заявлений'!F815, ".", ","))</f>
        <v>-6350</v>
      </c>
      <c r="G821" s="5">
        <f>VALUE(SUBSTITUTE('1000_заявлений'!G815, ".", ","))</f>
        <v>-14145</v>
      </c>
      <c r="H821" s="5">
        <f>VALUE(SUBSTITUTE('1000_заявлений'!H815, ".", ","))</f>
        <v>-278</v>
      </c>
      <c r="I821" s="4">
        <f>VALUE(SUBSTITUTE('1000_заявлений'!I815, ".", ","))</f>
        <v>6.7636363636363606E-2</v>
      </c>
      <c r="J821" s="4">
        <f>VALUE(SUBSTITUTE('1000_заявлений'!J815, ".", ","))</f>
        <v>5.1544191333250797</v>
      </c>
      <c r="K821" s="5">
        <f>VALUE(SUBSTITUTE('1000_заявлений'!K815, ".", ","))</f>
        <v>-935</v>
      </c>
      <c r="L821" s="6">
        <f>VALUE(SUBSTITUTE('1000_заявлений'!L815, ".", ","))</f>
        <v>10044</v>
      </c>
      <c r="M821" s="2" t="str">
        <f>IF(Данные[[#This Row],[proba]]&gt;$C$6, "отказ", "одобрение")</f>
        <v>отказ</v>
      </c>
      <c r="N821" s="7">
        <f>IF(Данные[[#This Row],[proba]]&lt;$D$2,$C$2,IF(Данные[[#This Row],[proba]]&lt;$D$3,$C$3,IF(Данные[[#This Row],[proba]]&gt;$C$6,0,$C$4)))</f>
        <v>0</v>
      </c>
      <c r="O821" s="2">
        <f>IF(Данные[[#This Row],[weighted_ext_score]]&gt;$O$1,MIN(Данные[[#This Row],[Базовая сумма]]*$O$2,$C$2),IF(Данные[[#This Row],[weighted_ext_score]]&lt;$O$3,Данные[[#This Row],[Базовая сумма]]*$O$4,N821))</f>
        <v>0</v>
      </c>
      <c r="P8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1" s="2">
        <f>ABS(Данные[[#This Row],[days_birth]])/365.2425</f>
        <v>38.727694613852442</v>
      </c>
      <c r="S8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1" s="2">
        <f>IF(Данные[[#This Row],[ interest_rate]]&gt;$T$1,Данные[[#This Row],[days_birth4]]*$T$2,Данные[[#This Row],[days_birth4]])</f>
        <v>0</v>
      </c>
      <c r="U821" s="2">
        <f>IF(Данные[[#This Row],[Проверка отказа]]="отказ",0,MAX(Данные[[#This Row],[interest_rate]],$C$1))</f>
        <v>0</v>
      </c>
      <c r="V821" s="2">
        <f>MROUND(Данные[[#This Row],[Минимум 20000]], 100)</f>
        <v>0</v>
      </c>
    </row>
    <row r="822" spans="1:22" x14ac:dyDescent="0.25">
      <c r="A822" s="2">
        <f>'1000_заявлений'!A816</f>
        <v>814</v>
      </c>
      <c r="B822" s="4">
        <f>VALUE(SUBSTITUTE('1000_заявлений'!B816, ".", ","))</f>
        <v>0.31487693082247598</v>
      </c>
      <c r="C822" s="4">
        <f>VALUE(SUBSTITUTE('1000_заявлений'!C816, ".", ","))</f>
        <v>0.45410094145740998</v>
      </c>
      <c r="D822" s="4">
        <f>VALUE(SUBSTITUTE('1000_заявлений'!D816, ".", ","))</f>
        <v>0.62630427</v>
      </c>
      <c r="E822" s="4">
        <f>VALUE(SUBSTITUTE('1000_заявлений'!E816, ".", ","))</f>
        <v>0.70161664000000001</v>
      </c>
      <c r="F822" s="5">
        <f>VALUE(SUBSTITUTE('1000_заявлений'!F816, ".", ","))</f>
        <v>-6560</v>
      </c>
      <c r="G822" s="5">
        <f>VALUE(SUBSTITUTE('1000_заявлений'!G816, ".", ","))</f>
        <v>-14216</v>
      </c>
      <c r="H822" s="5">
        <f>VALUE(SUBSTITUTE('1000_заявлений'!H816, ".", ","))</f>
        <v>-4277</v>
      </c>
      <c r="I822" s="4">
        <f>VALUE(SUBSTITUTE('1000_заявлений'!I816, ".", ","))</f>
        <v>0.23391999999999999</v>
      </c>
      <c r="J822" s="4">
        <f>VALUE(SUBSTITUTE('1000_заявлений'!J816, ".", ","))</f>
        <v>1.55972200073934</v>
      </c>
      <c r="K822" s="5">
        <f>VALUE(SUBSTITUTE('1000_заявлений'!K816, ".", ","))</f>
        <v>-444</v>
      </c>
      <c r="L822" s="6">
        <f>VALUE(SUBSTITUTE('1000_заявлений'!L816, ".", ","))</f>
        <v>26316</v>
      </c>
      <c r="M822" s="2" t="str">
        <f>IF(Данные[[#This Row],[proba]]&gt;$C$6, "отказ", "одобрение")</f>
        <v>отказ</v>
      </c>
      <c r="N822" s="7">
        <f>IF(Данные[[#This Row],[proba]]&lt;$D$2,$C$2,IF(Данные[[#This Row],[proba]]&lt;$D$3,$C$3,IF(Данные[[#This Row],[proba]]&gt;$C$6,0,$C$4)))</f>
        <v>0</v>
      </c>
      <c r="O822" s="2">
        <f>IF(Данные[[#This Row],[weighted_ext_score]]&gt;$O$1,MIN(Данные[[#This Row],[Базовая сумма]]*$O$2,$C$2),IF(Данные[[#This Row],[weighted_ext_score]]&lt;$O$3,Данные[[#This Row],[Базовая сумма]]*$O$4,N822))</f>
        <v>0</v>
      </c>
      <c r="P8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2" s="2">
        <f>ABS(Данные[[#This Row],[days_birth]])/365.2425</f>
        <v>38.922086011348625</v>
      </c>
      <c r="S8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2" s="2">
        <f>IF(Данные[[#This Row],[ interest_rate]]&gt;$T$1,Данные[[#This Row],[days_birth4]]*$T$2,Данные[[#This Row],[days_birth4]])</f>
        <v>0</v>
      </c>
      <c r="U822" s="2">
        <f>IF(Данные[[#This Row],[Проверка отказа]]="отказ",0,MAX(Данные[[#This Row],[interest_rate]],$C$1))</f>
        <v>0</v>
      </c>
      <c r="V822" s="2">
        <f>MROUND(Данные[[#This Row],[Минимум 20000]], 100)</f>
        <v>0</v>
      </c>
    </row>
    <row r="823" spans="1:22" x14ac:dyDescent="0.25">
      <c r="A823" s="2">
        <f>'1000_заявлений'!A817</f>
        <v>815</v>
      </c>
      <c r="B823" s="4">
        <f>VALUE(SUBSTITUTE('1000_заявлений'!B817, ".", ","))</f>
        <v>0.42199577318444698</v>
      </c>
      <c r="C823" s="4">
        <f>VALUE(SUBSTITUTE('1000_заявлений'!C817, ".", ","))</f>
        <v>0.33521168319028599</v>
      </c>
      <c r="D823" s="4">
        <f>VALUE(SUBSTITUTE('1000_заявлений'!D817, ".", ","))</f>
        <v>0.76752310000000001</v>
      </c>
      <c r="E823" s="4">
        <f>VALUE(SUBSTITUTE('1000_заявлений'!E817, ".", ","))</f>
        <v>0.17764816999999999</v>
      </c>
      <c r="F823" s="5">
        <f>VALUE(SUBSTITUTE('1000_заявлений'!F817, ".", ","))</f>
        <v>-6005</v>
      </c>
      <c r="G823" s="5">
        <f>VALUE(SUBSTITUTE('1000_заявлений'!G817, ".", ","))</f>
        <v>-16323</v>
      </c>
      <c r="H823" s="5">
        <f>VALUE(SUBSTITUTE('1000_заявлений'!H817, ".", ","))</f>
        <v>-4202</v>
      </c>
      <c r="I823" s="4">
        <f>VALUE(SUBSTITUTE('1000_заявлений'!I817, ".", ","))</f>
        <v>0.204038461538461</v>
      </c>
      <c r="J823" s="4">
        <f>VALUE(SUBSTITUTE('1000_заявлений'!J817, ".", ","))</f>
        <v>13.911280549916301</v>
      </c>
      <c r="K823" s="5">
        <f>VALUE(SUBSTITUTE('1000_заявлений'!K817, ".", ","))</f>
        <v>-7195</v>
      </c>
      <c r="L823" s="6">
        <f>VALUE(SUBSTITUTE('1000_заявлений'!L817, ".", ","))</f>
        <v>23872.5</v>
      </c>
      <c r="M823" s="2" t="str">
        <f>IF(Данные[[#This Row],[proba]]&gt;$C$6, "отказ", "одобрение")</f>
        <v>отказ</v>
      </c>
      <c r="N823" s="7">
        <f>IF(Данные[[#This Row],[proba]]&lt;$D$2,$C$2,IF(Данные[[#This Row],[proba]]&lt;$D$3,$C$3,IF(Данные[[#This Row],[proba]]&gt;$C$6,0,$C$4)))</f>
        <v>0</v>
      </c>
      <c r="O823" s="2">
        <f>IF(Данные[[#This Row],[weighted_ext_score]]&gt;$O$1,MIN(Данные[[#This Row],[Базовая сумма]]*$O$2,$C$2),IF(Данные[[#This Row],[weighted_ext_score]]&lt;$O$3,Данные[[#This Row],[Базовая сумма]]*$O$4,N823))</f>
        <v>0</v>
      </c>
      <c r="P8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3" s="2">
        <f>ABS(Данные[[#This Row],[days_birth]])/365.2425</f>
        <v>44.690856075073413</v>
      </c>
      <c r="S8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3" s="2">
        <f>IF(Данные[[#This Row],[ interest_rate]]&gt;$T$1,Данные[[#This Row],[days_birth4]]*$T$2,Данные[[#This Row],[days_birth4]])</f>
        <v>0</v>
      </c>
      <c r="U823" s="2">
        <f>IF(Данные[[#This Row],[Проверка отказа]]="отказ",0,MAX(Данные[[#This Row],[interest_rate]],$C$1))</f>
        <v>0</v>
      </c>
      <c r="V823" s="2">
        <f>MROUND(Данные[[#This Row],[Минимум 20000]], 100)</f>
        <v>0</v>
      </c>
    </row>
    <row r="824" spans="1:22" x14ac:dyDescent="0.25">
      <c r="A824" s="2">
        <f>'1000_заявлений'!A818</f>
        <v>816</v>
      </c>
      <c r="B824" s="4">
        <f>VALUE(SUBSTITUTE('1000_заявлений'!B818, ".", ","))</f>
        <v>0.49509369142975901</v>
      </c>
      <c r="C824" s="4">
        <f>VALUE(SUBSTITUTE('1000_заявлений'!C818, ".", ","))</f>
        <v>0.333738557524209</v>
      </c>
      <c r="D824" s="4">
        <f>VALUE(SUBSTITUTE('1000_заявлений'!D818, ".", ","))</f>
        <v>0.67383009999999999</v>
      </c>
      <c r="E824" s="4">
        <f>VALUE(SUBSTITUTE('1000_заявлений'!E818, ".", ","))</f>
        <v>0.27757025000000002</v>
      </c>
      <c r="F824" s="5">
        <f>VALUE(SUBSTITUTE('1000_заявлений'!F818, ".", ","))</f>
        <v>-5610</v>
      </c>
      <c r="G824" s="5">
        <f>VALUE(SUBSTITUTE('1000_заявлений'!G818, ".", ","))</f>
        <v>-18293</v>
      </c>
      <c r="H824" s="5">
        <f>VALUE(SUBSTITUTE('1000_заявлений'!H818, ".", ","))</f>
        <v>-1825</v>
      </c>
      <c r="I824" s="4">
        <f>VALUE(SUBSTITUTE('1000_заявлений'!I818, ".", ","))</f>
        <v>0.13330434782608599</v>
      </c>
      <c r="J824" s="4">
        <f>VALUE(SUBSTITUTE('1000_заявлений'!J818, ".", ","))</f>
        <v>0.142931503684118</v>
      </c>
      <c r="K824" s="5">
        <f>VALUE(SUBSTITUTE('1000_заявлений'!K818, ".", ","))</f>
        <v>-6140</v>
      </c>
      <c r="L824" s="6">
        <f>VALUE(SUBSTITUTE('1000_заявлений'!L818, ".", ","))</f>
        <v>27594</v>
      </c>
      <c r="M824" s="2" t="str">
        <f>IF(Данные[[#This Row],[proba]]&gt;$C$6, "отказ", "одобрение")</f>
        <v>отказ</v>
      </c>
      <c r="N824" s="7">
        <f>IF(Данные[[#This Row],[proba]]&lt;$D$2,$C$2,IF(Данные[[#This Row],[proba]]&lt;$D$3,$C$3,IF(Данные[[#This Row],[proba]]&gt;$C$6,0,$C$4)))</f>
        <v>0</v>
      </c>
      <c r="O824" s="2">
        <f>IF(Данные[[#This Row],[weighted_ext_score]]&gt;$O$1,MIN(Данные[[#This Row],[Базовая сумма]]*$O$2,$C$2),IF(Данные[[#This Row],[weighted_ext_score]]&lt;$O$3,Данные[[#This Row],[Базовая сумма]]*$O$4,N824))</f>
        <v>0</v>
      </c>
      <c r="P8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4" s="2">
        <f>ABS(Данные[[#This Row],[days_birth]])/365.2425</f>
        <v>50.084532878840768</v>
      </c>
      <c r="S8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4" s="2">
        <f>IF(Данные[[#This Row],[ interest_rate]]&gt;$T$1,Данные[[#This Row],[days_birth4]]*$T$2,Данные[[#This Row],[days_birth4]])</f>
        <v>0</v>
      </c>
      <c r="U824" s="2">
        <f>IF(Данные[[#This Row],[Проверка отказа]]="отказ",0,MAX(Данные[[#This Row],[interest_rate]],$C$1))</f>
        <v>0</v>
      </c>
      <c r="V824" s="2">
        <f>MROUND(Данные[[#This Row],[Минимум 20000]], 100)</f>
        <v>0</v>
      </c>
    </row>
    <row r="825" spans="1:22" x14ac:dyDescent="0.25">
      <c r="A825" s="2">
        <f>'1000_заявлений'!A819</f>
        <v>817</v>
      </c>
      <c r="B825" s="4">
        <f>VALUE(SUBSTITUTE('1000_заявлений'!B819, ".", ","))</f>
        <v>0.19676094810592401</v>
      </c>
      <c r="C825" s="4">
        <f>VALUE(SUBSTITUTE('1000_заявлений'!C819, ".", ","))</f>
        <v>0.58358237363687304</v>
      </c>
      <c r="D825" s="4">
        <f>VALUE(SUBSTITUTE('1000_заявлений'!D819, ".", ","))</f>
        <v>0.59197664000000005</v>
      </c>
      <c r="E825" s="4">
        <f>VALUE(SUBSTITUTE('1000_заявлений'!E819, ".", ","))</f>
        <v>0.65303259999999996</v>
      </c>
      <c r="F825" s="5">
        <f>VALUE(SUBSTITUTE('1000_заявлений'!F819, ".", ","))</f>
        <v>-4021</v>
      </c>
      <c r="G825" s="5">
        <f>VALUE(SUBSTITUTE('1000_заявлений'!G819, ".", ","))</f>
        <v>-18053</v>
      </c>
      <c r="H825" s="5">
        <f>VALUE(SUBSTITUTE('1000_заявлений'!H819, ".", ","))</f>
        <v>-1615</v>
      </c>
      <c r="I825" s="4">
        <f>VALUE(SUBSTITUTE('1000_заявлений'!I819, ".", ","))</f>
        <v>0.10938000000000001</v>
      </c>
      <c r="J825" s="4">
        <f>VALUE(SUBSTITUTE('1000_заявлений'!J819, ".", ","))</f>
        <v>19.914107299959898</v>
      </c>
      <c r="K825" s="5">
        <f>VALUE(SUBSTITUTE('1000_заявлений'!K819, ".", ","))</f>
        <v>-6924</v>
      </c>
      <c r="L825" s="6">
        <f>VALUE(SUBSTITUTE('1000_заявлений'!L819, ".", ","))</f>
        <v>24610.5</v>
      </c>
      <c r="M825" s="2" t="str">
        <f>IF(Данные[[#This Row],[proba]]&gt;$C$6, "отказ", "одобрение")</f>
        <v>одобрение</v>
      </c>
      <c r="N825" s="7">
        <f>IF(Данные[[#This Row],[proba]]&lt;$D$2,$C$2,IF(Данные[[#This Row],[proba]]&lt;$D$3,$C$3,IF(Данные[[#This Row],[proba]]&gt;$C$6,0,$C$4)))</f>
        <v>300000</v>
      </c>
      <c r="O825" s="2">
        <f>IF(Данные[[#This Row],[weighted_ext_score]]&gt;$O$1,MIN(Данные[[#This Row],[Базовая сумма]]*$O$2,$C$2),IF(Данные[[#This Row],[weighted_ext_score]]&lt;$O$3,Данные[[#This Row],[Базовая сумма]]*$O$4,N825))</f>
        <v>300000</v>
      </c>
      <c r="P8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8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825" s="2">
        <f>ABS(Данные[[#This Row],[days_birth]])/365.2425</f>
        <v>49.427435197163526</v>
      </c>
      <c r="S8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432000</v>
      </c>
      <c r="T825" s="2">
        <f>IF(Данные[[#This Row],[ interest_rate]]&gt;$T$1,Данные[[#This Row],[days_birth4]]*$T$2,Данные[[#This Row],[days_birth4]])</f>
        <v>432000</v>
      </c>
      <c r="U825" s="2">
        <f>IF(Данные[[#This Row],[Проверка отказа]]="отказ",0,MAX(Данные[[#This Row],[interest_rate]],$C$1))</f>
        <v>432000</v>
      </c>
      <c r="V825" s="2">
        <f>MROUND(Данные[[#This Row],[Минимум 20000]], 100)</f>
        <v>432000</v>
      </c>
    </row>
    <row r="826" spans="1:22" x14ac:dyDescent="0.25">
      <c r="A826" s="2">
        <f>'1000_заявлений'!A820</f>
        <v>818</v>
      </c>
      <c r="B826" s="4">
        <f>VALUE(SUBSTITUTE('1000_заявлений'!B820, ".", ","))</f>
        <v>0.72616718402436797</v>
      </c>
      <c r="C826" s="4">
        <f>VALUE(SUBSTITUTE('1000_заявлений'!C820, ".", ","))</f>
        <v>0.23395615739092501</v>
      </c>
      <c r="D826" s="4">
        <f>VALUE(SUBSTITUTE('1000_заявлений'!D820, ".", ","))</f>
        <v>0.41184854999999998</v>
      </c>
      <c r="E826" s="4">
        <f>VALUE(SUBSTITUTE('1000_заявлений'!E820, ".", ","))</f>
        <v>0.26205534000000003</v>
      </c>
      <c r="F826" s="5">
        <f>VALUE(SUBSTITUTE('1000_заявлений'!F820, ".", ","))</f>
        <v>-4490</v>
      </c>
      <c r="G826" s="5">
        <f>VALUE(SUBSTITUTE('1000_заявлений'!G820, ".", ","))</f>
        <v>-10358</v>
      </c>
      <c r="H826" s="5">
        <f>VALUE(SUBSTITUTE('1000_заявлений'!H820, ".", ","))</f>
        <v>-3028</v>
      </c>
      <c r="I826" s="4">
        <f>VALUE(SUBSTITUTE('1000_заявлений'!I820, ".", ","))</f>
        <v>0.13871428571428501</v>
      </c>
      <c r="J826" s="4">
        <f>VALUE(SUBSTITUTE('1000_заявлений'!J820, ".", ","))</f>
        <v>0.120066022004938</v>
      </c>
      <c r="K826" s="5">
        <f>VALUE(SUBSTITUTE('1000_заявлений'!K820, ".", ","))</f>
        <v>-2741</v>
      </c>
      <c r="L826" s="6">
        <f>VALUE(SUBSTITUTE('1000_заявлений'!L820, ".", ","))</f>
        <v>21847.5</v>
      </c>
      <c r="M826" s="2" t="str">
        <f>IF(Данные[[#This Row],[proba]]&gt;$C$6, "отказ", "одобрение")</f>
        <v>отказ</v>
      </c>
      <c r="N826" s="7">
        <f>IF(Данные[[#This Row],[proba]]&lt;$D$2,$C$2,IF(Данные[[#This Row],[proba]]&lt;$D$3,$C$3,IF(Данные[[#This Row],[proba]]&gt;$C$6,0,$C$4)))</f>
        <v>0</v>
      </c>
      <c r="O826" s="2">
        <f>IF(Данные[[#This Row],[weighted_ext_score]]&gt;$O$1,MIN(Данные[[#This Row],[Базовая сумма]]*$O$2,$C$2),IF(Данные[[#This Row],[weighted_ext_score]]&lt;$O$3,Данные[[#This Row],[Базовая сумма]]*$O$4,N826))</f>
        <v>0</v>
      </c>
      <c r="P8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6" s="2">
        <f>ABS(Данные[[#This Row],[days_birth]])/365.2425</f>
        <v>28.359240778386962</v>
      </c>
      <c r="S8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6" s="2">
        <f>IF(Данные[[#This Row],[ interest_rate]]&gt;$T$1,Данные[[#This Row],[days_birth4]]*$T$2,Данные[[#This Row],[days_birth4]])</f>
        <v>0</v>
      </c>
      <c r="U826" s="2">
        <f>IF(Данные[[#This Row],[Проверка отказа]]="отказ",0,MAX(Данные[[#This Row],[interest_rate]],$C$1))</f>
        <v>0</v>
      </c>
      <c r="V826" s="2">
        <f>MROUND(Данные[[#This Row],[Минимум 20000]], 100)</f>
        <v>0</v>
      </c>
    </row>
    <row r="827" spans="1:22" x14ac:dyDescent="0.25">
      <c r="A827" s="2">
        <f>'1000_заявлений'!A821</f>
        <v>819</v>
      </c>
      <c r="B827" s="4">
        <f>VALUE(SUBSTITUTE('1000_заявлений'!B821, ".", ","))</f>
        <v>0.53524461349698405</v>
      </c>
      <c r="C827" s="4">
        <f>VALUE(SUBSTITUTE('1000_заявлений'!C821, ".", ","))</f>
        <v>0.48219451395512403</v>
      </c>
      <c r="D827" s="4">
        <f>VALUE(SUBSTITUTE('1000_заявлений'!D821, ".", ","))</f>
        <v>0.29859498000000001</v>
      </c>
      <c r="E827" s="4">
        <f>VALUE(SUBSTITUTE('1000_заявлений'!E821, ".", ","))</f>
        <v>0.6309129</v>
      </c>
      <c r="F827" s="5">
        <f>VALUE(SUBSTITUTE('1000_заявлений'!F821, ".", ","))</f>
        <v>-1028</v>
      </c>
      <c r="G827" s="5">
        <f>VALUE(SUBSTITUTE('1000_заявлений'!G821, ".", ","))</f>
        <v>-10556</v>
      </c>
      <c r="H827" s="5">
        <f>VALUE(SUBSTITUTE('1000_заявлений'!H821, ".", ","))</f>
        <v>-2421</v>
      </c>
      <c r="I827" s="4">
        <f>VALUE(SUBSTITUTE('1000_заявлений'!I821, ".", ","))</f>
        <v>0.22313953488371999</v>
      </c>
      <c r="J827" s="4">
        <f>VALUE(SUBSTITUTE('1000_заявлений'!J821, ".", ","))</f>
        <v>1.8469862410156199</v>
      </c>
      <c r="K827" s="5">
        <f>VALUE(SUBSTITUTE('1000_заявлений'!K821, ".", ","))</f>
        <v>-2561</v>
      </c>
      <c r="L827" s="6">
        <f>VALUE(SUBSTITUTE('1000_заявлений'!L821, ".", ","))</f>
        <v>43177.5</v>
      </c>
      <c r="M827" s="2" t="str">
        <f>IF(Данные[[#This Row],[proba]]&gt;$C$6, "отказ", "одобрение")</f>
        <v>отказ</v>
      </c>
      <c r="N827" s="7">
        <f>IF(Данные[[#This Row],[proba]]&lt;$D$2,$C$2,IF(Данные[[#This Row],[proba]]&lt;$D$3,$C$3,IF(Данные[[#This Row],[proba]]&gt;$C$6,0,$C$4)))</f>
        <v>0</v>
      </c>
      <c r="O827" s="2">
        <f>IF(Данные[[#This Row],[weighted_ext_score]]&gt;$O$1,MIN(Данные[[#This Row],[Базовая сумма]]*$O$2,$C$2),IF(Данные[[#This Row],[weighted_ext_score]]&lt;$O$3,Данные[[#This Row],[Базовая сумма]]*$O$4,N827))</f>
        <v>0</v>
      </c>
      <c r="P8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7" s="2">
        <f>ABS(Данные[[#This Row],[days_birth]])/365.2425</f>
        <v>28.901346365770685</v>
      </c>
      <c r="S8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7" s="2">
        <f>IF(Данные[[#This Row],[ interest_rate]]&gt;$T$1,Данные[[#This Row],[days_birth4]]*$T$2,Данные[[#This Row],[days_birth4]])</f>
        <v>0</v>
      </c>
      <c r="U827" s="2">
        <f>IF(Данные[[#This Row],[Проверка отказа]]="отказ",0,MAX(Данные[[#This Row],[interest_rate]],$C$1))</f>
        <v>0</v>
      </c>
      <c r="V827" s="2">
        <f>MROUND(Данные[[#This Row],[Минимум 20000]], 100)</f>
        <v>0</v>
      </c>
    </row>
    <row r="828" spans="1:22" x14ac:dyDescent="0.25">
      <c r="A828" s="2">
        <f>'1000_заявлений'!A822</f>
        <v>820</v>
      </c>
      <c r="B828" s="4">
        <f>VALUE(SUBSTITUTE('1000_заявлений'!B822, ".", ","))</f>
        <v>0.60550876257530495</v>
      </c>
      <c r="C828" s="4">
        <f>VALUE(SUBSTITUTE('1000_заявлений'!C822, ".", ","))</f>
        <v>0.24337079773255699</v>
      </c>
      <c r="D828" s="4">
        <f>VALUE(SUBSTITUTE('1000_заявлений'!D822, ".", ","))</f>
        <v>0.56560796000000002</v>
      </c>
      <c r="E828" s="4">
        <f>VALUE(SUBSTITUTE('1000_заявлений'!E822, ".", ","))</f>
        <v>0.119644284</v>
      </c>
      <c r="F828" s="5">
        <f>VALUE(SUBSTITUTE('1000_заявлений'!F822, ".", ","))</f>
        <v>-7881</v>
      </c>
      <c r="G828" s="5">
        <f>VALUE(SUBSTITUTE('1000_заявлений'!G822, ".", ","))</f>
        <v>-20643</v>
      </c>
      <c r="H828" s="5">
        <f>VALUE(SUBSTITUTE('1000_заявлений'!H822, ".", ","))</f>
        <v>-3394</v>
      </c>
      <c r="I828" s="4">
        <f>VALUE(SUBSTITUTE('1000_заявлений'!I822, ".", ","))</f>
        <v>0.22105</v>
      </c>
      <c r="J828" s="4">
        <f>VALUE(SUBSTITUTE('1000_заявлений'!J822, ".", ","))</f>
        <v>1.5342064087895599</v>
      </c>
      <c r="K828" s="5">
        <f>VALUE(SUBSTITUTE('1000_заявлений'!K822, ".", ","))</f>
        <v>365243</v>
      </c>
      <c r="L828" s="6">
        <f>VALUE(SUBSTITUTE('1000_заявлений'!L822, ".", ","))</f>
        <v>19894.5</v>
      </c>
      <c r="M828" s="2" t="str">
        <f>IF(Данные[[#This Row],[proba]]&gt;$C$6, "отказ", "одобрение")</f>
        <v>отказ</v>
      </c>
      <c r="N828" s="7">
        <f>IF(Данные[[#This Row],[proba]]&lt;$D$2,$C$2,IF(Данные[[#This Row],[proba]]&lt;$D$3,$C$3,IF(Данные[[#This Row],[proba]]&gt;$C$6,0,$C$4)))</f>
        <v>0</v>
      </c>
      <c r="O828" s="2">
        <f>IF(Данные[[#This Row],[weighted_ext_score]]&gt;$O$1,MIN(Данные[[#This Row],[Базовая сумма]]*$O$2,$C$2),IF(Данные[[#This Row],[weighted_ext_score]]&lt;$O$3,Данные[[#This Row],[Базовая сумма]]*$O$4,N828))</f>
        <v>0</v>
      </c>
      <c r="P8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28" s="2">
        <f>ABS(Данные[[#This Row],[days_birth]])/365.2425</f>
        <v>56.518614345263764</v>
      </c>
      <c r="S8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28" s="2">
        <f>IF(Данные[[#This Row],[ interest_rate]]&gt;$T$1,Данные[[#This Row],[days_birth4]]*$T$2,Данные[[#This Row],[days_birth4]])</f>
        <v>0</v>
      </c>
      <c r="U828" s="2">
        <f>IF(Данные[[#This Row],[Проверка отказа]]="отказ",0,MAX(Данные[[#This Row],[interest_rate]],$C$1))</f>
        <v>0</v>
      </c>
      <c r="V828" s="2">
        <f>MROUND(Данные[[#This Row],[Минимум 20000]], 100)</f>
        <v>0</v>
      </c>
    </row>
    <row r="829" spans="1:22" x14ac:dyDescent="0.25">
      <c r="A829" s="2">
        <f>'1000_заявлений'!A823</f>
        <v>821</v>
      </c>
      <c r="B829" s="4">
        <f>VALUE(SUBSTITUTE('1000_заявлений'!B823, ".", ","))</f>
        <v>0.27445128813706499</v>
      </c>
      <c r="C829" s="4">
        <f>VALUE(SUBSTITUTE('1000_заявлений'!C823, ".", ","))</f>
        <v>0.45612969886434401</v>
      </c>
      <c r="D829" s="4">
        <f>VALUE(SUBSTITUTE('1000_заявлений'!D823, ".", ","))</f>
        <v>0.7421816</v>
      </c>
      <c r="E829" s="4">
        <f>VALUE(SUBSTITUTE('1000_заявлений'!E823, ".", ","))</f>
        <v>0.57867294999999996</v>
      </c>
      <c r="F829" s="5">
        <f>VALUE(SUBSTITUTE('1000_заявлений'!F823, ".", ","))</f>
        <v>-6525</v>
      </c>
      <c r="G829" s="5">
        <f>VALUE(SUBSTITUTE('1000_заявлений'!G823, ".", ","))</f>
        <v>-19799</v>
      </c>
      <c r="H829" s="5">
        <f>VALUE(SUBSTITUTE('1000_заявлений'!H823, ".", ","))</f>
        <v>-3186</v>
      </c>
      <c r="I829" s="4">
        <f>VALUE(SUBSTITUTE('1000_заявлений'!I823, ".", ","))</f>
        <v>0.21653125000000001</v>
      </c>
      <c r="J829" s="4">
        <f>VALUE(SUBSTITUTE('1000_заявлений'!J823, ".", ","))</f>
        <v>1.8382822994224799</v>
      </c>
      <c r="K829" s="5">
        <f>VALUE(SUBSTITUTE('1000_заявлений'!K823, ".", ","))</f>
        <v>-3809</v>
      </c>
      <c r="L829" s="6">
        <f>VALUE(SUBSTITUTE('1000_заявлений'!L823, ".", ","))</f>
        <v>31180.5</v>
      </c>
      <c r="M829" s="2" t="str">
        <f>IF(Данные[[#This Row],[proba]]&gt;$C$6, "отказ", "одобрение")</f>
        <v>одобрение</v>
      </c>
      <c r="N829" s="7">
        <f>IF(Данные[[#This Row],[proba]]&lt;$D$2,$C$2,IF(Данные[[#This Row],[proba]]&lt;$D$3,$C$3,IF(Данные[[#This Row],[proba]]&gt;$C$6,0,$C$4)))</f>
        <v>100000</v>
      </c>
      <c r="O829" s="2">
        <f>IF(Данные[[#This Row],[weighted_ext_score]]&gt;$O$1,MIN(Данные[[#This Row],[Базовая сумма]]*$O$2,$C$2),IF(Данные[[#This Row],[weighted_ext_score]]&lt;$O$3,Данные[[#This Row],[Базовая сумма]]*$O$4,N829))</f>
        <v>100000</v>
      </c>
      <c r="P8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29" s="2">
        <f>ABS(Данные[[#This Row],[days_birth]])/365.2425</f>
        <v>54.20782083136546</v>
      </c>
      <c r="S8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829" s="2">
        <f>IF(Данные[[#This Row],[ interest_rate]]&gt;$T$1,Данные[[#This Row],[days_birth4]]*$T$2,Данные[[#This Row],[days_birth4]])</f>
        <v>126000</v>
      </c>
      <c r="U829" s="2">
        <f>IF(Данные[[#This Row],[Проверка отказа]]="отказ",0,MAX(Данные[[#This Row],[interest_rate]],$C$1))</f>
        <v>126000</v>
      </c>
      <c r="V829" s="2">
        <f>MROUND(Данные[[#This Row],[Минимум 20000]], 100)</f>
        <v>126000</v>
      </c>
    </row>
    <row r="830" spans="1:22" x14ac:dyDescent="0.25">
      <c r="A830" s="2">
        <f>'1000_заявлений'!A824</f>
        <v>822</v>
      </c>
      <c r="B830" s="4">
        <f>VALUE(SUBSTITUTE('1000_заявлений'!B824, ".", ","))</f>
        <v>0.35712080959390702</v>
      </c>
      <c r="C830" s="4">
        <f>VALUE(SUBSTITUTE('1000_заявлений'!C824, ".", ","))</f>
        <v>0.60023412407898002</v>
      </c>
      <c r="D830" s="4">
        <f>VALUE(SUBSTITUTE('1000_заявлений'!D824, ".", ","))</f>
        <v>0.46506920000000002</v>
      </c>
      <c r="E830" s="4">
        <f>VALUE(SUBSTITUTE('1000_заявлений'!E824, ".", ","))</f>
        <v>0.57121812999999999</v>
      </c>
      <c r="F830" s="5">
        <f>VALUE(SUBSTITUTE('1000_заявлений'!F824, ".", ","))</f>
        <v>-7961</v>
      </c>
      <c r="G830" s="5">
        <f>VALUE(SUBSTITUTE('1000_заявлений'!G824, ".", ","))</f>
        <v>-14295</v>
      </c>
      <c r="H830" s="5">
        <f>VALUE(SUBSTITUTE('1000_заявлений'!H824, ".", ","))</f>
        <v>-1488</v>
      </c>
      <c r="I830" s="4">
        <f>VALUE(SUBSTITUTE('1000_заявлений'!I824, ".", ","))</f>
        <v>9.6920000000000006E-2</v>
      </c>
      <c r="J830" s="4">
        <f>VALUE(SUBSTITUTE('1000_заявлений'!J824, ".", ","))</f>
        <v>3.1821297950472598</v>
      </c>
      <c r="K830" s="5">
        <f>VALUE(SUBSTITUTE('1000_заявлений'!K824, ".", ","))</f>
        <v>-2083</v>
      </c>
      <c r="L830" s="6">
        <f>VALUE(SUBSTITUTE('1000_заявлений'!L824, ".", ","))</f>
        <v>21807</v>
      </c>
      <c r="M830" s="2" t="str">
        <f>IF(Данные[[#This Row],[proba]]&gt;$C$6, "отказ", "одобрение")</f>
        <v>отказ</v>
      </c>
      <c r="N830" s="7">
        <f>IF(Данные[[#This Row],[proba]]&lt;$D$2,$C$2,IF(Данные[[#This Row],[proba]]&lt;$D$3,$C$3,IF(Данные[[#This Row],[proba]]&gt;$C$6,0,$C$4)))</f>
        <v>0</v>
      </c>
      <c r="O830" s="2">
        <f>IF(Данные[[#This Row],[weighted_ext_score]]&gt;$O$1,MIN(Данные[[#This Row],[Базовая сумма]]*$O$2,$C$2),IF(Данные[[#This Row],[weighted_ext_score]]&lt;$O$3,Данные[[#This Row],[Базовая сумма]]*$O$4,N830))</f>
        <v>0</v>
      </c>
      <c r="P8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0" s="2">
        <f>ABS(Данные[[#This Row],[days_birth]])/365.2425</f>
        <v>39.138380664900716</v>
      </c>
      <c r="S8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0" s="2">
        <f>IF(Данные[[#This Row],[ interest_rate]]&gt;$T$1,Данные[[#This Row],[days_birth4]]*$T$2,Данные[[#This Row],[days_birth4]])</f>
        <v>0</v>
      </c>
      <c r="U830" s="2">
        <f>IF(Данные[[#This Row],[Проверка отказа]]="отказ",0,MAX(Данные[[#This Row],[interest_rate]],$C$1))</f>
        <v>0</v>
      </c>
      <c r="V830" s="2">
        <f>MROUND(Данные[[#This Row],[Минимум 20000]], 100)</f>
        <v>0</v>
      </c>
    </row>
    <row r="831" spans="1:22" x14ac:dyDescent="0.25">
      <c r="A831" s="2">
        <f>'1000_заявлений'!A825</f>
        <v>823</v>
      </c>
      <c r="B831" s="4">
        <f>VALUE(SUBSTITUTE('1000_заявлений'!B825, ".", ","))</f>
        <v>0.52079634815174702</v>
      </c>
      <c r="C831" s="4">
        <f>VALUE(SUBSTITUTE('1000_заявлений'!C825, ".", ","))</f>
        <v>0.33507325353412798</v>
      </c>
      <c r="D831" s="4">
        <f>VALUE(SUBSTITUTE('1000_заявлений'!D825, ".", ","))</f>
        <v>0.61952770000000001</v>
      </c>
      <c r="E831" s="4">
        <f>VALUE(SUBSTITUTE('1000_заявлений'!E825, ".", ","))</f>
        <v>0.34222963000000001</v>
      </c>
      <c r="F831" s="5">
        <f>VALUE(SUBSTITUTE('1000_заявлений'!F825, ".", ","))</f>
        <v>-1829</v>
      </c>
      <c r="G831" s="5">
        <f>VALUE(SUBSTITUTE('1000_заявлений'!G825, ".", ","))</f>
        <v>-13891</v>
      </c>
      <c r="H831" s="5">
        <f>VALUE(SUBSTITUTE('1000_заявлений'!H825, ".", ","))</f>
        <v>-2967</v>
      </c>
      <c r="I831" s="4">
        <f>VALUE(SUBSTITUTE('1000_заявлений'!I825, ".", ","))</f>
        <v>0.169825</v>
      </c>
      <c r="J831" s="4">
        <f>VALUE(SUBSTITUTE('1000_заявлений'!J825, ".", ","))</f>
        <v>1.85123560947084</v>
      </c>
      <c r="K831" s="5">
        <f>VALUE(SUBSTITUTE('1000_заявлений'!K825, ".", ","))</f>
        <v>-4850</v>
      </c>
      <c r="L831" s="6">
        <f>VALUE(SUBSTITUTE('1000_заявлений'!L825, ".", ","))</f>
        <v>30568.5</v>
      </c>
      <c r="M831" s="2" t="str">
        <f>IF(Данные[[#This Row],[proba]]&gt;$C$6, "отказ", "одобрение")</f>
        <v>отказ</v>
      </c>
      <c r="N831" s="7">
        <f>IF(Данные[[#This Row],[proba]]&lt;$D$2,$C$2,IF(Данные[[#This Row],[proba]]&lt;$D$3,$C$3,IF(Данные[[#This Row],[proba]]&gt;$C$6,0,$C$4)))</f>
        <v>0</v>
      </c>
      <c r="O831" s="2">
        <f>IF(Данные[[#This Row],[weighted_ext_score]]&gt;$O$1,MIN(Данные[[#This Row],[Базовая сумма]]*$O$2,$C$2),IF(Данные[[#This Row],[weighted_ext_score]]&lt;$O$3,Данные[[#This Row],[Базовая сумма]]*$O$4,N831))</f>
        <v>0</v>
      </c>
      <c r="P8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1" s="2">
        <f>ABS(Данные[[#This Row],[days_birth]])/365.2425</f>
        <v>38.032266234077362</v>
      </c>
      <c r="S8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1" s="2">
        <f>IF(Данные[[#This Row],[ interest_rate]]&gt;$T$1,Данные[[#This Row],[days_birth4]]*$T$2,Данные[[#This Row],[days_birth4]])</f>
        <v>0</v>
      </c>
      <c r="U831" s="2">
        <f>IF(Данные[[#This Row],[Проверка отказа]]="отказ",0,MAX(Данные[[#This Row],[interest_rate]],$C$1))</f>
        <v>0</v>
      </c>
      <c r="V831" s="2">
        <f>MROUND(Данные[[#This Row],[Минимум 20000]], 100)</f>
        <v>0</v>
      </c>
    </row>
    <row r="832" spans="1:22" x14ac:dyDescent="0.25">
      <c r="A832" s="2">
        <f>'1000_заявлений'!A826</f>
        <v>824</v>
      </c>
      <c r="B832" s="4">
        <f>VALUE(SUBSTITUTE('1000_заявлений'!B826, ".", ","))</f>
        <v>0.37964255863348401</v>
      </c>
      <c r="C832" s="4">
        <f>VALUE(SUBSTITUTE('1000_заявлений'!C826, ".", ","))</f>
        <v>0.400545672802185</v>
      </c>
      <c r="D832" s="4">
        <f>VALUE(SUBSTITUTE('1000_заявлений'!D826, ".", ","))</f>
        <v>0.66102355999999995</v>
      </c>
      <c r="E832" s="4">
        <f>VALUE(SUBSTITUTE('1000_заявлений'!E826, ".", ","))</f>
        <v>0.49780419999999997</v>
      </c>
      <c r="F832" s="5">
        <f>VALUE(SUBSTITUTE('1000_заявлений'!F826, ".", ","))</f>
        <v>-6876</v>
      </c>
      <c r="G832" s="5">
        <f>VALUE(SUBSTITUTE('1000_заявлений'!G826, ".", ","))</f>
        <v>-13998</v>
      </c>
      <c r="H832" s="5">
        <f>VALUE(SUBSTITUTE('1000_заявлений'!H826, ".", ","))</f>
        <v>-4559</v>
      </c>
      <c r="I832" s="4">
        <f>VALUE(SUBSTITUTE('1000_заявлений'!I826, ".", ","))</f>
        <v>0.24399999999999999</v>
      </c>
      <c r="J832" s="4">
        <f>VALUE(SUBSTITUTE('1000_заявлений'!J826, ".", ","))</f>
        <v>3.9497532929523498</v>
      </c>
      <c r="K832" s="5">
        <f>VALUE(SUBSTITUTE('1000_заявлений'!K826, ".", ","))</f>
        <v>-625</v>
      </c>
      <c r="L832" s="6">
        <f>VALUE(SUBSTITUTE('1000_заявлений'!L826, ".", ","))</f>
        <v>38430</v>
      </c>
      <c r="M832" s="2" t="str">
        <f>IF(Данные[[#This Row],[proba]]&gt;$C$6, "отказ", "одобрение")</f>
        <v>отказ</v>
      </c>
      <c r="N832" s="7">
        <f>IF(Данные[[#This Row],[proba]]&lt;$D$2,$C$2,IF(Данные[[#This Row],[proba]]&lt;$D$3,$C$3,IF(Данные[[#This Row],[proba]]&gt;$C$6,0,$C$4)))</f>
        <v>0</v>
      </c>
      <c r="O832" s="2">
        <f>IF(Данные[[#This Row],[weighted_ext_score]]&gt;$O$1,MIN(Данные[[#This Row],[Базовая сумма]]*$O$2,$C$2),IF(Данные[[#This Row],[weighted_ext_score]]&lt;$O$3,Данные[[#This Row],[Базовая сумма]]*$O$4,N832))</f>
        <v>0</v>
      </c>
      <c r="P8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2" s="2">
        <f>ABS(Данные[[#This Row],[days_birth]])/365.2425</f>
        <v>38.325222283825127</v>
      </c>
      <c r="S8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2" s="2">
        <f>IF(Данные[[#This Row],[ interest_rate]]&gt;$T$1,Данные[[#This Row],[days_birth4]]*$T$2,Данные[[#This Row],[days_birth4]])</f>
        <v>0</v>
      </c>
      <c r="U832" s="2">
        <f>IF(Данные[[#This Row],[Проверка отказа]]="отказ",0,MAX(Данные[[#This Row],[interest_rate]],$C$1))</f>
        <v>0</v>
      </c>
      <c r="V832" s="2">
        <f>MROUND(Данные[[#This Row],[Минимум 20000]], 100)</f>
        <v>0</v>
      </c>
    </row>
    <row r="833" spans="1:22" x14ac:dyDescent="0.25">
      <c r="A833" s="2">
        <f>'1000_заявлений'!A827</f>
        <v>825</v>
      </c>
      <c r="B833" s="4">
        <f>VALUE(SUBSTITUTE('1000_заявлений'!B827, ".", ","))</f>
        <v>0.265708123487846</v>
      </c>
      <c r="C833" s="4">
        <f>VALUE(SUBSTITUTE('1000_заявлений'!C827, ".", ","))</f>
        <v>0.57236613965031402</v>
      </c>
      <c r="D833" s="4">
        <f>VALUE(SUBSTITUTE('1000_заявлений'!D827, ".", ","))</f>
        <v>0.61952770000000001</v>
      </c>
      <c r="E833" s="4">
        <f>VALUE(SUBSTITUTE('1000_заявлений'!E827, ".", ","))</f>
        <v>0.7298597</v>
      </c>
      <c r="F833" s="5">
        <f>VALUE(SUBSTITUTE('1000_заявлений'!F827, ".", ","))</f>
        <v>-631</v>
      </c>
      <c r="G833" s="5">
        <f>VALUE(SUBSTITUTE('1000_заявлений'!G827, ".", ","))</f>
        <v>-13625</v>
      </c>
      <c r="H833" s="5">
        <f>VALUE(SUBSTITUTE('1000_заявлений'!H827, ".", ","))</f>
        <v>-4333</v>
      </c>
      <c r="I833" s="4">
        <f>VALUE(SUBSTITUTE('1000_заявлений'!I827, ".", ","))</f>
        <v>0.24579999999999999</v>
      </c>
      <c r="J833" s="4">
        <f>VALUE(SUBSTITUTE('1000_заявлений'!J827, ".", ","))</f>
        <v>0.14939418728954201</v>
      </c>
      <c r="K833" s="5">
        <f>VALUE(SUBSTITUTE('1000_заявлений'!K827, ".", ","))</f>
        <v>-66</v>
      </c>
      <c r="L833" s="6">
        <f>VALUE(SUBSTITUTE('1000_заявлений'!L827, ".", ","))</f>
        <v>49774.5</v>
      </c>
      <c r="M833" s="2" t="str">
        <f>IF(Данные[[#This Row],[proba]]&gt;$C$6, "отказ", "одобрение")</f>
        <v>одобрение</v>
      </c>
      <c r="N833" s="7">
        <f>IF(Данные[[#This Row],[proba]]&lt;$D$2,$C$2,IF(Данные[[#This Row],[proba]]&lt;$D$3,$C$3,IF(Данные[[#This Row],[proba]]&gt;$C$6,0,$C$4)))</f>
        <v>100000</v>
      </c>
      <c r="O833" s="2">
        <f>IF(Данные[[#This Row],[weighted_ext_score]]&gt;$O$1,MIN(Данные[[#This Row],[Базовая сумма]]*$O$2,$C$2),IF(Данные[[#This Row],[weighted_ext_score]]&lt;$O$3,Данные[[#This Row],[Базовая сумма]]*$O$4,N833))</f>
        <v>100000</v>
      </c>
      <c r="P8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33" s="2">
        <f>ABS(Данные[[#This Row],[days_birth]])/365.2425</f>
        <v>37.303982970218414</v>
      </c>
      <c r="S8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100000</v>
      </c>
      <c r="T833" s="2">
        <f>IF(Данные[[#This Row],[ interest_rate]]&gt;$T$1,Данные[[#This Row],[days_birth4]]*$T$2,Данные[[#This Row],[days_birth4]])</f>
        <v>100000</v>
      </c>
      <c r="U833" s="2">
        <f>IF(Данные[[#This Row],[Проверка отказа]]="отказ",0,MAX(Данные[[#This Row],[interest_rate]],$C$1))</f>
        <v>100000</v>
      </c>
      <c r="V833" s="2">
        <f>MROUND(Данные[[#This Row],[Минимум 20000]], 100)</f>
        <v>100000</v>
      </c>
    </row>
    <row r="834" spans="1:22" x14ac:dyDescent="0.25">
      <c r="A834" s="2">
        <f>'1000_заявлений'!A828</f>
        <v>826</v>
      </c>
      <c r="B834" s="4">
        <f>VALUE(SUBSTITUTE('1000_заявлений'!B828, ".", ","))</f>
        <v>0.28732717543105302</v>
      </c>
      <c r="C834" s="4">
        <f>VALUE(SUBSTITUTE('1000_заявлений'!C828, ".", ","))</f>
        <v>0.441431794602204</v>
      </c>
      <c r="D834" s="4">
        <f>VALUE(SUBSTITUTE('1000_заявлений'!D828, ".", ","))</f>
        <v>0.74630019999999997</v>
      </c>
      <c r="E834" s="4">
        <f>VALUE(SUBSTITUTE('1000_заявлений'!E828, ".", ","))</f>
        <v>0.52876970000000001</v>
      </c>
      <c r="F834" s="5">
        <f>VALUE(SUBSTITUTE('1000_заявлений'!F828, ".", ","))</f>
        <v>-6443</v>
      </c>
      <c r="G834" s="5">
        <f>VALUE(SUBSTITUTE('1000_заявлений'!G828, ".", ","))</f>
        <v>-14831</v>
      </c>
      <c r="H834" s="5">
        <f>VALUE(SUBSTITUTE('1000_заявлений'!H828, ".", ","))</f>
        <v>-5047</v>
      </c>
      <c r="I834" s="4">
        <f>VALUE(SUBSTITUTE('1000_заявлений'!I828, ".", ","))</f>
        <v>0.18850909090908999</v>
      </c>
      <c r="J834" s="4">
        <f>VALUE(SUBSTITUTE('1000_заявлений'!J828, ".", ","))</f>
        <v>2.7623651991585301</v>
      </c>
      <c r="K834" s="5">
        <f>VALUE(SUBSTITUTE('1000_заявлений'!K828, ".", ","))</f>
        <v>-7771</v>
      </c>
      <c r="L834" s="6">
        <f>VALUE(SUBSTITUTE('1000_заявлений'!L828, ".", ","))</f>
        <v>46656</v>
      </c>
      <c r="M834" s="2" t="str">
        <f>IF(Данные[[#This Row],[proba]]&gt;$C$6, "отказ", "одобрение")</f>
        <v>одобрение</v>
      </c>
      <c r="N834" s="7">
        <f>IF(Данные[[#This Row],[proba]]&lt;$D$2,$C$2,IF(Данные[[#This Row],[proba]]&lt;$D$3,$C$3,IF(Данные[[#This Row],[proba]]&gt;$C$6,0,$C$4)))</f>
        <v>100000</v>
      </c>
      <c r="O834" s="2">
        <f>IF(Данные[[#This Row],[weighted_ext_score]]&gt;$O$1,MIN(Данные[[#This Row],[Базовая сумма]]*$O$2,$C$2),IF(Данные[[#This Row],[weighted_ext_score]]&lt;$O$3,Данные[[#This Row],[Базовая сумма]]*$O$4,N834))</f>
        <v>100000</v>
      </c>
      <c r="P8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34" s="2">
        <f>ABS(Данные[[#This Row],[days_birth]])/365.2425</f>
        <v>40.605898820646559</v>
      </c>
      <c r="S8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834" s="2">
        <f>IF(Данные[[#This Row],[ interest_rate]]&gt;$T$1,Данные[[#This Row],[days_birth4]]*$T$2,Данные[[#This Row],[days_birth4]])</f>
        <v>144000</v>
      </c>
      <c r="U834" s="2">
        <f>IF(Данные[[#This Row],[Проверка отказа]]="отказ",0,MAX(Данные[[#This Row],[interest_rate]],$C$1))</f>
        <v>144000</v>
      </c>
      <c r="V834" s="2">
        <f>MROUND(Данные[[#This Row],[Минимум 20000]], 100)</f>
        <v>144000</v>
      </c>
    </row>
    <row r="835" spans="1:22" x14ac:dyDescent="0.25">
      <c r="A835" s="2">
        <f>'1000_заявлений'!A829</f>
        <v>827</v>
      </c>
      <c r="B835" s="4">
        <f>VALUE(SUBSTITUTE('1000_заявлений'!B829, ".", ","))</f>
        <v>0.52736310423718602</v>
      </c>
      <c r="C835" s="4">
        <f>VALUE(SUBSTITUTE('1000_заявлений'!C829, ".", ","))</f>
        <v>0.34187725768634802</v>
      </c>
      <c r="D835" s="4">
        <f>VALUE(SUBSTITUTE('1000_заявлений'!D829, ".", ","))</f>
        <v>0.37233368</v>
      </c>
      <c r="E835" s="4">
        <f>VALUE(SUBSTITUTE('1000_заявлений'!E829, ".", ","))</f>
        <v>0.63881546</v>
      </c>
      <c r="F835" s="5">
        <f>VALUE(SUBSTITUTE('1000_заявлений'!F829, ".", ","))</f>
        <v>-823</v>
      </c>
      <c r="G835" s="5">
        <f>VALUE(SUBSTITUTE('1000_заявлений'!G829, ".", ","))</f>
        <v>-12065</v>
      </c>
      <c r="H835" s="5">
        <f>VALUE(SUBSTITUTE('1000_заявлений'!H829, ".", ","))</f>
        <v>-2384</v>
      </c>
      <c r="I835" s="4">
        <f>VALUE(SUBSTITUTE('1000_заявлений'!I829, ".", ","))</f>
        <v>0.11577999999999999</v>
      </c>
      <c r="J835" s="4">
        <f>VALUE(SUBSTITUTE('1000_заявлений'!J829, ".", ","))</f>
        <v>3.2915090857940701</v>
      </c>
      <c r="K835" s="5">
        <f>VALUE(SUBSTITUTE('1000_заявлений'!K829, ".", ","))</f>
        <v>-827</v>
      </c>
      <c r="L835" s="6">
        <f>VALUE(SUBSTITUTE('1000_заявлений'!L829, ".", ","))</f>
        <v>26050.5</v>
      </c>
      <c r="M835" s="2" t="str">
        <f>IF(Данные[[#This Row],[proba]]&gt;$C$6, "отказ", "одобрение")</f>
        <v>отказ</v>
      </c>
      <c r="N835" s="7">
        <f>IF(Данные[[#This Row],[proba]]&lt;$D$2,$C$2,IF(Данные[[#This Row],[proba]]&lt;$D$3,$C$3,IF(Данные[[#This Row],[proba]]&gt;$C$6,0,$C$4)))</f>
        <v>0</v>
      </c>
      <c r="O835" s="2">
        <f>IF(Данные[[#This Row],[weighted_ext_score]]&gt;$O$1,MIN(Данные[[#This Row],[Базовая сумма]]*$O$2,$C$2),IF(Данные[[#This Row],[weighted_ext_score]]&lt;$O$3,Данные[[#This Row],[Базовая сумма]]*$O$4,N835))</f>
        <v>0</v>
      </c>
      <c r="P8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5" s="2">
        <f>ABS(Данные[[#This Row],[days_birth]])/365.2425</f>
        <v>33.032848039316342</v>
      </c>
      <c r="S8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5" s="2">
        <f>IF(Данные[[#This Row],[ interest_rate]]&gt;$T$1,Данные[[#This Row],[days_birth4]]*$T$2,Данные[[#This Row],[days_birth4]])</f>
        <v>0</v>
      </c>
      <c r="U835" s="2">
        <f>IF(Данные[[#This Row],[Проверка отказа]]="отказ",0,MAX(Данные[[#This Row],[interest_rate]],$C$1))</f>
        <v>0</v>
      </c>
      <c r="V835" s="2">
        <f>MROUND(Данные[[#This Row],[Минимум 20000]], 100)</f>
        <v>0</v>
      </c>
    </row>
    <row r="836" spans="1:22" x14ac:dyDescent="0.25">
      <c r="A836" s="2">
        <f>'1000_заявлений'!A830</f>
        <v>828</v>
      </c>
      <c r="B836" s="4">
        <f>VALUE(SUBSTITUTE('1000_заявлений'!B830, ".", ","))</f>
        <v>0.84608693659737899</v>
      </c>
      <c r="C836" s="4">
        <f>VALUE(SUBSTITUTE('1000_заявлений'!C830, ".", ","))</f>
        <v>0.16652881703264399</v>
      </c>
      <c r="D836" s="4">
        <f>VALUE(SUBSTITUTE('1000_заявлений'!D830, ".", ","))</f>
        <v>0.43296167000000002</v>
      </c>
      <c r="E836" s="4">
        <f>VALUE(SUBSTITUTE('1000_заявлений'!E830, ".", ","))</f>
        <v>3.0647876000000001E-2</v>
      </c>
      <c r="F836" s="5">
        <f>VALUE(SUBSTITUTE('1000_заявлений'!F830, ".", ","))</f>
        <v>-7223</v>
      </c>
      <c r="G836" s="5">
        <f>VALUE(SUBSTITUTE('1000_заявлений'!G830, ".", ","))</f>
        <v>-10073</v>
      </c>
      <c r="H836" s="5">
        <f>VALUE(SUBSTITUTE('1000_заявлений'!H830, ".", ","))</f>
        <v>-2735</v>
      </c>
      <c r="I836" s="4">
        <f>VALUE(SUBSTITUTE('1000_заявлений'!I830, ".", ","))</f>
        <v>0.50700000000000001</v>
      </c>
      <c r="J836" s="4">
        <f>VALUE(SUBSTITUTE('1000_заявлений'!J830, ".", ","))</f>
        <v>4.2554005282094298</v>
      </c>
      <c r="K836" s="5">
        <f>VALUE(SUBSTITUTE('1000_заявлений'!K830, ".", ","))</f>
        <v>-1337</v>
      </c>
      <c r="L836" s="6">
        <f>VALUE(SUBSTITUTE('1000_заявлений'!L830, ".", ","))</f>
        <v>45630</v>
      </c>
      <c r="M836" s="2" t="str">
        <f>IF(Данные[[#This Row],[proba]]&gt;$C$6, "отказ", "одобрение")</f>
        <v>отказ</v>
      </c>
      <c r="N836" s="7">
        <f>IF(Данные[[#This Row],[proba]]&lt;$D$2,$C$2,IF(Данные[[#This Row],[proba]]&lt;$D$3,$C$3,IF(Данные[[#This Row],[proba]]&gt;$C$6,0,$C$4)))</f>
        <v>0</v>
      </c>
      <c r="O836" s="2">
        <f>IF(Данные[[#This Row],[weighted_ext_score]]&gt;$O$1,MIN(Данные[[#This Row],[Базовая сумма]]*$O$2,$C$2),IF(Данные[[#This Row],[weighted_ext_score]]&lt;$O$3,Данные[[#This Row],[Базовая сумма]]*$O$4,N836))</f>
        <v>0</v>
      </c>
      <c r="P8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6" s="2">
        <f>ABS(Данные[[#This Row],[days_birth]])/365.2425</f>
        <v>27.578937281395238</v>
      </c>
      <c r="S8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6" s="2">
        <f>IF(Данные[[#This Row],[ interest_rate]]&gt;$T$1,Данные[[#This Row],[days_birth4]]*$T$2,Данные[[#This Row],[days_birth4]])</f>
        <v>0</v>
      </c>
      <c r="U836" s="2">
        <f>IF(Данные[[#This Row],[Проверка отказа]]="отказ",0,MAX(Данные[[#This Row],[interest_rate]],$C$1))</f>
        <v>0</v>
      </c>
      <c r="V836" s="2">
        <f>MROUND(Данные[[#This Row],[Минимум 20000]], 100)</f>
        <v>0</v>
      </c>
    </row>
    <row r="837" spans="1:22" x14ac:dyDescent="0.25">
      <c r="A837" s="2">
        <f>'1000_заявлений'!A831</f>
        <v>829</v>
      </c>
      <c r="B837" s="4">
        <f>VALUE(SUBSTITUTE('1000_заявлений'!B831, ".", ","))</f>
        <v>0.29743470701295399</v>
      </c>
      <c r="C837" s="4">
        <f>VALUE(SUBSTITUTE('1000_заявлений'!C831, ".", ","))</f>
        <v>0.46578655132538199</v>
      </c>
      <c r="D837" s="4">
        <f>VALUE(SUBSTITUTE('1000_заявлений'!D831, ".", ","))</f>
        <v>0.67383009999999999</v>
      </c>
      <c r="E837" s="4">
        <f>VALUE(SUBSTITUTE('1000_заявлений'!E831, ".", ","))</f>
        <v>0.68465226999999995</v>
      </c>
      <c r="F837" s="5">
        <f>VALUE(SUBSTITUTE('1000_заявлений'!F831, ".", ","))</f>
        <v>-212</v>
      </c>
      <c r="G837" s="5">
        <f>VALUE(SUBSTITUTE('1000_заявлений'!G831, ".", ","))</f>
        <v>-10203</v>
      </c>
      <c r="H837" s="5">
        <f>VALUE(SUBSTITUTE('1000_заявлений'!H831, ".", ","))</f>
        <v>-2551</v>
      </c>
      <c r="I837" s="4">
        <f>VALUE(SUBSTITUTE('1000_заявлений'!I831, ".", ","))</f>
        <v>0.15235000000000001</v>
      </c>
      <c r="J837" s="4">
        <f>VALUE(SUBSTITUTE('1000_заявлений'!J831, ".", ","))</f>
        <v>6.0287566229870304</v>
      </c>
      <c r="K837" s="5">
        <f>VALUE(SUBSTITUTE('1000_заявлений'!K831, ".", ","))</f>
        <v>-2227</v>
      </c>
      <c r="L837" s="6">
        <f>VALUE(SUBSTITUTE('1000_заявлений'!L831, ".", ","))</f>
        <v>27423</v>
      </c>
      <c r="M837" s="2" t="str">
        <f>IF(Данные[[#This Row],[proba]]&gt;$C$6, "отказ", "одобрение")</f>
        <v>одобрение</v>
      </c>
      <c r="N837" s="7">
        <f>IF(Данные[[#This Row],[proba]]&lt;$D$2,$C$2,IF(Данные[[#This Row],[proba]]&lt;$D$3,$C$3,IF(Данные[[#This Row],[proba]]&gt;$C$6,0,$C$4)))</f>
        <v>100000</v>
      </c>
      <c r="O837" s="2">
        <f>IF(Данные[[#This Row],[weighted_ext_score]]&gt;$O$1,MIN(Данные[[#This Row],[Базовая сумма]]*$O$2,$C$2),IF(Данные[[#This Row],[weighted_ext_score]]&lt;$O$3,Данные[[#This Row],[Базовая сумма]]*$O$4,N837))</f>
        <v>100000</v>
      </c>
      <c r="P8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37" s="2">
        <f>ABS(Данные[[#This Row],[days_birth]])/365.2425</f>
        <v>27.934865192303743</v>
      </c>
      <c r="S8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837" s="2">
        <f>IF(Данные[[#This Row],[ interest_rate]]&gt;$T$1,Данные[[#This Row],[days_birth4]]*$T$2,Данные[[#This Row],[days_birth4]])</f>
        <v>144000</v>
      </c>
      <c r="U837" s="2">
        <f>IF(Данные[[#This Row],[Проверка отказа]]="отказ",0,MAX(Данные[[#This Row],[interest_rate]],$C$1))</f>
        <v>144000</v>
      </c>
      <c r="V837" s="2">
        <f>MROUND(Данные[[#This Row],[Минимум 20000]], 100)</f>
        <v>144000</v>
      </c>
    </row>
    <row r="838" spans="1:22" x14ac:dyDescent="0.25">
      <c r="A838" s="2">
        <f>'1000_заявлений'!A832</f>
        <v>830</v>
      </c>
      <c r="B838" s="4">
        <f>VALUE(SUBSTITUTE('1000_заявлений'!B832, ".", ","))</f>
        <v>0.62906763777299302</v>
      </c>
      <c r="C838" s="4">
        <f>VALUE(SUBSTITUTE('1000_заявлений'!C832, ".", ","))</f>
        <v>0.42506562767391998</v>
      </c>
      <c r="D838" s="4">
        <f>VALUE(SUBSTITUTE('1000_заявлений'!D832, ".", ","))</f>
        <v>0.36227724</v>
      </c>
      <c r="E838" s="4">
        <f>VALUE(SUBSTITUTE('1000_заявлений'!E832, ".", ","))</f>
        <v>0.29672733000000001</v>
      </c>
      <c r="F838" s="5">
        <f>VALUE(SUBSTITUTE('1000_заявлений'!F832, ".", ","))</f>
        <v>-252</v>
      </c>
      <c r="G838" s="5">
        <f>VALUE(SUBSTITUTE('1000_заявлений'!G832, ".", ","))</f>
        <v>-11770</v>
      </c>
      <c r="H838" s="5">
        <f>VALUE(SUBSTITUTE('1000_заявлений'!H832, ".", ","))</f>
        <v>-3696</v>
      </c>
      <c r="I838" s="4">
        <f>VALUE(SUBSTITUTE('1000_заявлений'!I832, ".", ","))</f>
        <v>0.128581395348837</v>
      </c>
      <c r="J838" s="4">
        <f>VALUE(SUBSTITUTE('1000_заявлений'!J832, ".", ","))</f>
        <v>3.1035405933708802</v>
      </c>
      <c r="K838" s="5">
        <f>VALUE(SUBSTITUTE('1000_заявлений'!K832, ".", ","))</f>
        <v>-1868</v>
      </c>
      <c r="L838" s="6">
        <f>VALUE(SUBSTITUTE('1000_заявлений'!L832, ".", ","))</f>
        <v>24880.5</v>
      </c>
      <c r="M838" s="2" t="str">
        <f>IF(Данные[[#This Row],[proba]]&gt;$C$6, "отказ", "одобрение")</f>
        <v>отказ</v>
      </c>
      <c r="N838" s="7">
        <f>IF(Данные[[#This Row],[proba]]&lt;$D$2,$C$2,IF(Данные[[#This Row],[proba]]&lt;$D$3,$C$3,IF(Данные[[#This Row],[proba]]&gt;$C$6,0,$C$4)))</f>
        <v>0</v>
      </c>
      <c r="O838" s="2">
        <f>IF(Данные[[#This Row],[weighted_ext_score]]&gt;$O$1,MIN(Данные[[#This Row],[Базовая сумма]]*$O$2,$C$2),IF(Данные[[#This Row],[weighted_ext_score]]&lt;$O$3,Данные[[#This Row],[Базовая сумма]]*$O$4,N838))</f>
        <v>0</v>
      </c>
      <c r="P8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8" s="2">
        <f>ABS(Данные[[#This Row],[days_birth]])/365.2425</f>
        <v>32.225165472254737</v>
      </c>
      <c r="S8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8" s="2">
        <f>IF(Данные[[#This Row],[ interest_rate]]&gt;$T$1,Данные[[#This Row],[days_birth4]]*$T$2,Данные[[#This Row],[days_birth4]])</f>
        <v>0</v>
      </c>
      <c r="U838" s="2">
        <f>IF(Данные[[#This Row],[Проверка отказа]]="отказ",0,MAX(Данные[[#This Row],[interest_rate]],$C$1))</f>
        <v>0</v>
      </c>
      <c r="V838" s="2">
        <f>MROUND(Данные[[#This Row],[Минимум 20000]], 100)</f>
        <v>0</v>
      </c>
    </row>
    <row r="839" spans="1:22" x14ac:dyDescent="0.25">
      <c r="A839" s="2">
        <f>'1000_заявлений'!A833</f>
        <v>831</v>
      </c>
      <c r="B839" s="4">
        <f>VALUE(SUBSTITUTE('1000_заявлений'!B833, ".", ","))</f>
        <v>0.435783189167047</v>
      </c>
      <c r="C839" s="4">
        <f>VALUE(SUBSTITUTE('1000_заявлений'!C833, ".", ","))</f>
        <v>0.38825604486237703</v>
      </c>
      <c r="D839" s="4">
        <f>VALUE(SUBSTITUTE('1000_заявлений'!D833, ".", ","))</f>
        <v>0.38762533999999998</v>
      </c>
      <c r="E839" s="4">
        <f>VALUE(SUBSTITUTE('1000_заявлений'!E833, ".", ","))</f>
        <v>0.76474403999999996</v>
      </c>
      <c r="F839" s="5">
        <f>VALUE(SUBSTITUTE('1000_заявлений'!F833, ".", ","))</f>
        <v>-19</v>
      </c>
      <c r="G839" s="5">
        <f>VALUE(SUBSTITUTE('1000_заявлений'!G833, ".", ","))</f>
        <v>-16519</v>
      </c>
      <c r="H839" s="5">
        <f>VALUE(SUBSTITUTE('1000_заявлений'!H833, ".", ","))</f>
        <v>-17</v>
      </c>
      <c r="I839" s="4">
        <f>VALUE(SUBSTITUTE('1000_заявлений'!I833, ".", ","))</f>
        <v>0.112</v>
      </c>
      <c r="J839" s="4">
        <f>VALUE(SUBSTITUTE('1000_заявлений'!J833, ".", ","))</f>
        <v>1.7926354583625901</v>
      </c>
      <c r="K839" s="5">
        <f>VALUE(SUBSTITUTE('1000_заявлений'!K833, ".", ","))</f>
        <v>-1313</v>
      </c>
      <c r="L839" s="6">
        <f>VALUE(SUBSTITUTE('1000_заявлений'!L833, ".", ","))</f>
        <v>37800</v>
      </c>
      <c r="M839" s="2" t="str">
        <f>IF(Данные[[#This Row],[proba]]&gt;$C$6, "отказ", "одобрение")</f>
        <v>отказ</v>
      </c>
      <c r="N839" s="7">
        <f>IF(Данные[[#This Row],[proba]]&lt;$D$2,$C$2,IF(Данные[[#This Row],[proba]]&lt;$D$3,$C$3,IF(Данные[[#This Row],[proba]]&gt;$C$6,0,$C$4)))</f>
        <v>0</v>
      </c>
      <c r="O839" s="2">
        <f>IF(Данные[[#This Row],[weighted_ext_score]]&gt;$O$1,MIN(Данные[[#This Row],[Базовая сумма]]*$O$2,$C$2),IF(Данные[[#This Row],[weighted_ext_score]]&lt;$O$3,Данные[[#This Row],[Базовая сумма]]*$O$4,N839))</f>
        <v>0</v>
      </c>
      <c r="P8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39" s="2">
        <f>ABS(Данные[[#This Row],[days_birth]])/365.2425</f>
        <v>45.227485848443159</v>
      </c>
      <c r="S8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39" s="2">
        <f>IF(Данные[[#This Row],[ interest_rate]]&gt;$T$1,Данные[[#This Row],[days_birth4]]*$T$2,Данные[[#This Row],[days_birth4]])</f>
        <v>0</v>
      </c>
      <c r="U839" s="2">
        <f>IF(Данные[[#This Row],[Проверка отказа]]="отказ",0,MAX(Данные[[#This Row],[interest_rate]],$C$1))</f>
        <v>0</v>
      </c>
      <c r="V839" s="2">
        <f>MROUND(Данные[[#This Row],[Минимум 20000]], 100)</f>
        <v>0</v>
      </c>
    </row>
    <row r="840" spans="1:22" x14ac:dyDescent="0.25">
      <c r="A840" s="2">
        <f>'1000_заявлений'!A834</f>
        <v>832</v>
      </c>
      <c r="B840" s="4">
        <f>VALUE(SUBSTITUTE('1000_заявлений'!B834, ".", ","))</f>
        <v>0.34964807764969402</v>
      </c>
      <c r="C840" s="4">
        <f>VALUE(SUBSTITUTE('1000_заявлений'!C834, ".", ","))</f>
        <v>0.55716366915526205</v>
      </c>
      <c r="D840" s="4">
        <f>VALUE(SUBSTITUTE('1000_заявлений'!D834, ".", ","))</f>
        <v>0.41885430000000001</v>
      </c>
      <c r="E840" s="4">
        <f>VALUE(SUBSTITUTE('1000_заявлений'!E834, ".", ","))</f>
        <v>0.67430889999999999</v>
      </c>
      <c r="F840" s="5">
        <f>VALUE(SUBSTITUTE('1000_заявлений'!F834, ".", ","))</f>
        <v>-6285</v>
      </c>
      <c r="G840" s="5">
        <f>VALUE(SUBSTITUTE('1000_заявлений'!G834, ".", ","))</f>
        <v>-15002</v>
      </c>
      <c r="H840" s="5">
        <f>VALUE(SUBSTITUTE('1000_заявлений'!H834, ".", ","))</f>
        <v>-4696</v>
      </c>
      <c r="I840" s="4">
        <f>VALUE(SUBSTITUTE('1000_заявлений'!I834, ".", ","))</f>
        <v>0.12864999999999999</v>
      </c>
      <c r="J840" s="4">
        <f>VALUE(SUBSTITUTE('1000_заявлений'!J834, ".", ","))</f>
        <v>1.5565411951107899</v>
      </c>
      <c r="K840" s="5">
        <f>VALUE(SUBSTITUTE('1000_заявлений'!K834, ".", ","))</f>
        <v>-7128</v>
      </c>
      <c r="L840" s="6">
        <f>VALUE(SUBSTITUTE('1000_заявлений'!L834, ".", ","))</f>
        <v>23157</v>
      </c>
      <c r="M840" s="2" t="str">
        <f>IF(Данные[[#This Row],[proba]]&gt;$C$6, "отказ", "одобрение")</f>
        <v>отказ</v>
      </c>
      <c r="N840" s="7">
        <f>IF(Данные[[#This Row],[proba]]&lt;$D$2,$C$2,IF(Данные[[#This Row],[proba]]&lt;$D$3,$C$3,IF(Данные[[#This Row],[proba]]&gt;$C$6,0,$C$4)))</f>
        <v>0</v>
      </c>
      <c r="O840" s="2">
        <f>IF(Данные[[#This Row],[weighted_ext_score]]&gt;$O$1,MIN(Данные[[#This Row],[Базовая сумма]]*$O$2,$C$2),IF(Данные[[#This Row],[weighted_ext_score]]&lt;$O$3,Данные[[#This Row],[Базовая сумма]]*$O$4,N840))</f>
        <v>0</v>
      </c>
      <c r="P8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0" s="2">
        <f>ABS(Данные[[#This Row],[days_birth]])/365.2425</f>
        <v>41.074080918841588</v>
      </c>
      <c r="S8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0" s="2">
        <f>IF(Данные[[#This Row],[ interest_rate]]&gt;$T$1,Данные[[#This Row],[days_birth4]]*$T$2,Данные[[#This Row],[days_birth4]])</f>
        <v>0</v>
      </c>
      <c r="U840" s="2">
        <f>IF(Данные[[#This Row],[Проверка отказа]]="отказ",0,MAX(Данные[[#This Row],[interest_rate]],$C$1))</f>
        <v>0</v>
      </c>
      <c r="V840" s="2">
        <f>MROUND(Данные[[#This Row],[Минимум 20000]], 100)</f>
        <v>0</v>
      </c>
    </row>
    <row r="841" spans="1:22" x14ac:dyDescent="0.25">
      <c r="A841" s="2">
        <f>'1000_заявлений'!A835</f>
        <v>833</v>
      </c>
      <c r="B841" s="4">
        <f>VALUE(SUBSTITUTE('1000_заявлений'!B835, ".", ","))</f>
        <v>0.39915279861267</v>
      </c>
      <c r="C841" s="4">
        <f>VALUE(SUBSTITUTE('1000_заявлений'!C835, ".", ","))</f>
        <v>0.40860938505873301</v>
      </c>
      <c r="D841" s="4">
        <f>VALUE(SUBSTITUTE('1000_заявлений'!D835, ".", ","))</f>
        <v>0.62122630000000001</v>
      </c>
      <c r="E841" s="4">
        <f>VALUE(SUBSTITUTE('1000_заявлений'!E835, ".", ","))</f>
        <v>0.56703543999999995</v>
      </c>
      <c r="F841" s="5">
        <f>VALUE(SUBSTITUTE('1000_заявлений'!F835, ".", ","))</f>
        <v>-9409</v>
      </c>
      <c r="G841" s="5">
        <f>VALUE(SUBSTITUTE('1000_заявлений'!G835, ".", ","))</f>
        <v>-19311</v>
      </c>
      <c r="H841" s="5">
        <f>VALUE(SUBSTITUTE('1000_заявлений'!H835, ".", ","))</f>
        <v>-2838</v>
      </c>
      <c r="I841" s="4">
        <f>VALUE(SUBSTITUTE('1000_заявлений'!I835, ".", ","))</f>
        <v>0.369764705882352</v>
      </c>
      <c r="J841" s="4">
        <f>VALUE(SUBSTITUTE('1000_заявлений'!J835, ".", ","))</f>
        <v>2.0744323074349098</v>
      </c>
      <c r="K841" s="5">
        <f>VALUE(SUBSTITUTE('1000_заявлений'!K835, ".", ","))</f>
        <v>-1851</v>
      </c>
      <c r="L841" s="6">
        <f>VALUE(SUBSTITUTE('1000_заявлений'!L835, ".", ","))</f>
        <v>28287</v>
      </c>
      <c r="M841" s="2" t="str">
        <f>IF(Данные[[#This Row],[proba]]&gt;$C$6, "отказ", "одобрение")</f>
        <v>отказ</v>
      </c>
      <c r="N841" s="7">
        <f>IF(Данные[[#This Row],[proba]]&lt;$D$2,$C$2,IF(Данные[[#This Row],[proba]]&lt;$D$3,$C$3,IF(Данные[[#This Row],[proba]]&gt;$C$6,0,$C$4)))</f>
        <v>0</v>
      </c>
      <c r="O841" s="2">
        <f>IF(Данные[[#This Row],[weighted_ext_score]]&gt;$O$1,MIN(Данные[[#This Row],[Базовая сумма]]*$O$2,$C$2),IF(Данные[[#This Row],[weighted_ext_score]]&lt;$O$3,Данные[[#This Row],[Базовая сумма]]*$O$4,N841))</f>
        <v>0</v>
      </c>
      <c r="P8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1" s="2">
        <f>ABS(Данные[[#This Row],[days_birth]])/365.2425</f>
        <v>52.871722211955067</v>
      </c>
      <c r="S8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1" s="2">
        <f>IF(Данные[[#This Row],[ interest_rate]]&gt;$T$1,Данные[[#This Row],[days_birth4]]*$T$2,Данные[[#This Row],[days_birth4]])</f>
        <v>0</v>
      </c>
      <c r="U841" s="2">
        <f>IF(Данные[[#This Row],[Проверка отказа]]="отказ",0,MAX(Данные[[#This Row],[interest_rate]],$C$1))</f>
        <v>0</v>
      </c>
      <c r="V841" s="2">
        <f>MROUND(Данные[[#This Row],[Минимум 20000]], 100)</f>
        <v>0</v>
      </c>
    </row>
    <row r="842" spans="1:22" x14ac:dyDescent="0.25">
      <c r="A842" s="2">
        <f>'1000_заявлений'!A836</f>
        <v>834</v>
      </c>
      <c r="B842" s="4">
        <f>VALUE(SUBSTITUTE('1000_заявлений'!B836, ".", ","))</f>
        <v>0.35908196290389499</v>
      </c>
      <c r="C842" s="4">
        <f>VALUE(SUBSTITUTE('1000_заявлений'!C836, ".", ","))</f>
        <v>0.56388342424117299</v>
      </c>
      <c r="D842" s="4">
        <f>VALUE(SUBSTITUTE('1000_заявлений'!D836, ".", ","))</f>
        <v>0.53527623000000002</v>
      </c>
      <c r="E842" s="4">
        <f>VALUE(SUBSTITUTE('1000_заявлений'!E836, ".", ","))</f>
        <v>0.57681112999999995</v>
      </c>
      <c r="F842" s="5">
        <f>VALUE(SUBSTITUTE('1000_заявлений'!F836, ".", ","))</f>
        <v>-755</v>
      </c>
      <c r="G842" s="5">
        <f>VALUE(SUBSTITUTE('1000_заявлений'!G836, ".", ","))</f>
        <v>-16813</v>
      </c>
      <c r="H842" s="5">
        <f>VALUE(SUBSTITUTE('1000_заявлений'!H836, ".", ","))</f>
        <v>-361</v>
      </c>
      <c r="I842" s="4">
        <f>VALUE(SUBSTITUTE('1000_заявлений'!I836, ".", ","))</f>
        <v>4.7079999999999997E-2</v>
      </c>
      <c r="J842" s="4">
        <f>VALUE(SUBSTITUTE('1000_заявлений'!J836, ".", ","))</f>
        <v>0.120066022004938</v>
      </c>
      <c r="K842" s="5">
        <f>VALUE(SUBSTITUTE('1000_заявлений'!K836, ".", ","))</f>
        <v>-4619</v>
      </c>
      <c r="L842" s="6">
        <f>VALUE(SUBSTITUTE('1000_заявлений'!L836, ".", ","))</f>
        <v>5296.5</v>
      </c>
      <c r="M842" s="2" t="str">
        <f>IF(Данные[[#This Row],[proba]]&gt;$C$6, "отказ", "одобрение")</f>
        <v>отказ</v>
      </c>
      <c r="N842" s="7">
        <f>IF(Данные[[#This Row],[proba]]&lt;$D$2,$C$2,IF(Данные[[#This Row],[proba]]&lt;$D$3,$C$3,IF(Данные[[#This Row],[proba]]&gt;$C$6,0,$C$4)))</f>
        <v>0</v>
      </c>
      <c r="O842" s="2">
        <f>IF(Данные[[#This Row],[weighted_ext_score]]&gt;$O$1,MIN(Данные[[#This Row],[Базовая сумма]]*$O$2,$C$2),IF(Данные[[#This Row],[weighted_ext_score]]&lt;$O$3,Данные[[#This Row],[Базовая сумма]]*$O$4,N842))</f>
        <v>0</v>
      </c>
      <c r="P8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2" s="2">
        <f>ABS(Данные[[#This Row],[days_birth]])/365.2425</f>
        <v>46.032430508497775</v>
      </c>
      <c r="S8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2" s="2">
        <f>IF(Данные[[#This Row],[ interest_rate]]&gt;$T$1,Данные[[#This Row],[days_birth4]]*$T$2,Данные[[#This Row],[days_birth4]])</f>
        <v>0</v>
      </c>
      <c r="U842" s="2">
        <f>IF(Данные[[#This Row],[Проверка отказа]]="отказ",0,MAX(Данные[[#This Row],[interest_rate]],$C$1))</f>
        <v>0</v>
      </c>
      <c r="V842" s="2">
        <f>MROUND(Данные[[#This Row],[Минимум 20000]], 100)</f>
        <v>0</v>
      </c>
    </row>
    <row r="843" spans="1:22" x14ac:dyDescent="0.25">
      <c r="A843" s="2">
        <f>'1000_заявлений'!A837</f>
        <v>835</v>
      </c>
      <c r="B843" s="4">
        <f>VALUE(SUBSTITUTE('1000_заявлений'!B837, ".", ","))</f>
        <v>0.66955502066044403</v>
      </c>
      <c r="C843" s="4">
        <f>VALUE(SUBSTITUTE('1000_заявлений'!C837, ".", ","))</f>
        <v>0.25549583742118598</v>
      </c>
      <c r="D843" s="4">
        <f>VALUE(SUBSTITUTE('1000_заявлений'!D837, ".", ","))</f>
        <v>0.43119180000000001</v>
      </c>
      <c r="E843" s="4">
        <f>VALUE(SUBSTITUTE('1000_заявлений'!E837, ".", ","))</f>
        <v>0.30689174000000002</v>
      </c>
      <c r="F843" s="5">
        <f>VALUE(SUBSTITUTE('1000_заявлений'!F837, ".", ","))</f>
        <v>-606</v>
      </c>
      <c r="G843" s="5">
        <f>VALUE(SUBSTITUTE('1000_заявлений'!G837, ".", ","))</f>
        <v>-12944</v>
      </c>
      <c r="H843" s="5">
        <f>VALUE(SUBSTITUTE('1000_заявлений'!H837, ".", ","))</f>
        <v>-4439</v>
      </c>
      <c r="I843" s="4">
        <f>VALUE(SUBSTITUTE('1000_заявлений'!I837, ".", ","))</f>
        <v>0.249355555555555</v>
      </c>
      <c r="J843" s="4">
        <f>VALUE(SUBSTITUTE('1000_заявлений'!J837, ".", ","))</f>
        <v>2.73390147863612</v>
      </c>
      <c r="K843" s="5">
        <f>VALUE(SUBSTITUTE('1000_заявлений'!K837, ".", ","))</f>
        <v>-1047</v>
      </c>
      <c r="L843" s="6">
        <f>VALUE(SUBSTITUTE('1000_заявлений'!L837, ".", ","))</f>
        <v>50494.5</v>
      </c>
      <c r="M843" s="2" t="str">
        <f>IF(Данные[[#This Row],[proba]]&gt;$C$6, "отказ", "одобрение")</f>
        <v>отказ</v>
      </c>
      <c r="N843" s="7">
        <f>IF(Данные[[#This Row],[proba]]&lt;$D$2,$C$2,IF(Данные[[#This Row],[proba]]&lt;$D$3,$C$3,IF(Данные[[#This Row],[proba]]&gt;$C$6,0,$C$4)))</f>
        <v>0</v>
      </c>
      <c r="O843" s="2">
        <f>IF(Данные[[#This Row],[weighted_ext_score]]&gt;$O$1,MIN(Данные[[#This Row],[Базовая сумма]]*$O$2,$C$2),IF(Данные[[#This Row],[weighted_ext_score]]&lt;$O$3,Данные[[#This Row],[Базовая сумма]]*$O$4,N843))</f>
        <v>0</v>
      </c>
      <c r="P8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3" s="2">
        <f>ABS(Данные[[#This Row],[days_birth]])/365.2425</f>
        <v>35.439468298459239</v>
      </c>
      <c r="S8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3" s="2">
        <f>IF(Данные[[#This Row],[ interest_rate]]&gt;$T$1,Данные[[#This Row],[days_birth4]]*$T$2,Данные[[#This Row],[days_birth4]])</f>
        <v>0</v>
      </c>
      <c r="U843" s="2">
        <f>IF(Данные[[#This Row],[Проверка отказа]]="отказ",0,MAX(Данные[[#This Row],[interest_rate]],$C$1))</f>
        <v>0</v>
      </c>
      <c r="V843" s="2">
        <f>MROUND(Данные[[#This Row],[Минимум 20000]], 100)</f>
        <v>0</v>
      </c>
    </row>
    <row r="844" spans="1:22" x14ac:dyDescent="0.25">
      <c r="A844" s="2">
        <f>'1000_заявлений'!A838</f>
        <v>836</v>
      </c>
      <c r="B844" s="4">
        <f>VALUE(SUBSTITUTE('1000_заявлений'!B838, ".", ","))</f>
        <v>0.670681654291997</v>
      </c>
      <c r="C844" s="4">
        <f>VALUE(SUBSTITUTE('1000_заявлений'!C838, ".", ","))</f>
        <v>0.35132661790978698</v>
      </c>
      <c r="D844" s="4">
        <f>VALUE(SUBSTITUTE('1000_заявлений'!D838, ".", ","))</f>
        <v>0.15380258999999999</v>
      </c>
      <c r="E844" s="4">
        <f>VALUE(SUBSTITUTE('1000_заявлений'!E838, ".", ","))</f>
        <v>0.58146940000000003</v>
      </c>
      <c r="F844" s="5">
        <f>VALUE(SUBSTITUTE('1000_заявлений'!F838, ".", ","))</f>
        <v>-381</v>
      </c>
      <c r="G844" s="5">
        <f>VALUE(SUBSTITUTE('1000_заявлений'!G838, ".", ","))</f>
        <v>-10808</v>
      </c>
      <c r="H844" s="5">
        <f>VALUE(SUBSTITUTE('1000_заявлений'!H838, ".", ","))</f>
        <v>-2544</v>
      </c>
      <c r="I844" s="4">
        <f>VALUE(SUBSTITUTE('1000_заявлений'!I838, ".", ","))</f>
        <v>0.11382222222222201</v>
      </c>
      <c r="J844" s="4">
        <f>VALUE(SUBSTITUTE('1000_заявлений'!J838, ".", ","))</f>
        <v>3.0806770969613102</v>
      </c>
      <c r="K844" s="5">
        <f>VALUE(SUBSTITUTE('1000_заявлений'!K838, ".", ","))</f>
        <v>-668</v>
      </c>
      <c r="L844" s="6">
        <f>VALUE(SUBSTITUTE('1000_заявлений'!L838, ".", ","))</f>
        <v>23049</v>
      </c>
      <c r="M844" s="2" t="str">
        <f>IF(Данные[[#This Row],[proba]]&gt;$C$6, "отказ", "одобрение")</f>
        <v>отказ</v>
      </c>
      <c r="N844" s="7">
        <f>IF(Данные[[#This Row],[proba]]&lt;$D$2,$C$2,IF(Данные[[#This Row],[proba]]&lt;$D$3,$C$3,IF(Данные[[#This Row],[proba]]&gt;$C$6,0,$C$4)))</f>
        <v>0</v>
      </c>
      <c r="O844" s="2">
        <f>IF(Данные[[#This Row],[weighted_ext_score]]&gt;$O$1,MIN(Данные[[#This Row],[Базовая сумма]]*$O$2,$C$2),IF(Данные[[#This Row],[weighted_ext_score]]&lt;$O$3,Данные[[#This Row],[Базовая сумма]]*$O$4,N844))</f>
        <v>0</v>
      </c>
      <c r="P8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4" s="2">
        <f>ABS(Данные[[#This Row],[days_birth]])/365.2425</f>
        <v>29.591298931531789</v>
      </c>
      <c r="S8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4" s="2">
        <f>IF(Данные[[#This Row],[ interest_rate]]&gt;$T$1,Данные[[#This Row],[days_birth4]]*$T$2,Данные[[#This Row],[days_birth4]])</f>
        <v>0</v>
      </c>
      <c r="U844" s="2">
        <f>IF(Данные[[#This Row],[Проверка отказа]]="отказ",0,MAX(Данные[[#This Row],[interest_rate]],$C$1))</f>
        <v>0</v>
      </c>
      <c r="V844" s="2">
        <f>MROUND(Данные[[#This Row],[Минимум 20000]], 100)</f>
        <v>0</v>
      </c>
    </row>
    <row r="845" spans="1:22" x14ac:dyDescent="0.25">
      <c r="A845" s="2">
        <f>'1000_заявлений'!A839</f>
        <v>837</v>
      </c>
      <c r="B845" s="4">
        <f>VALUE(SUBSTITUTE('1000_заявлений'!B839, ".", ","))</f>
        <v>0.869130619441705</v>
      </c>
      <c r="C845" s="4">
        <f>VALUE(SUBSTITUTE('1000_заявлений'!C839, ".", ","))</f>
        <v>0.13145825143560699</v>
      </c>
      <c r="D845" s="4">
        <f>VALUE(SUBSTITUTE('1000_заявлений'!D839, ".", ","))</f>
        <v>6.0035379999999999E-2</v>
      </c>
      <c r="E845" s="4">
        <f>VALUE(SUBSTITUTE('1000_заявлений'!E839, ".", ","))</f>
        <v>0.26233030000000002</v>
      </c>
      <c r="F845" s="5">
        <f>VALUE(SUBSTITUTE('1000_заявлений'!F839, ".", ","))</f>
        <v>-2411</v>
      </c>
      <c r="G845" s="5">
        <f>VALUE(SUBSTITUTE('1000_заявлений'!G839, ".", ","))</f>
        <v>-7885</v>
      </c>
      <c r="H845" s="5">
        <f>VALUE(SUBSTITUTE('1000_заявлений'!H839, ".", ","))</f>
        <v>-551</v>
      </c>
      <c r="I845" s="4">
        <f>VALUE(SUBSTITUTE('1000_заявлений'!I839, ".", ","))</f>
        <v>0.1</v>
      </c>
      <c r="J845" s="4">
        <f>VALUE(SUBSTITUTE('1000_заявлений'!J839, ".", ","))</f>
        <v>10.6209759779781</v>
      </c>
      <c r="K845" s="5">
        <f>VALUE(SUBSTITUTE('1000_заявлений'!K839, ".", ","))</f>
        <v>-811</v>
      </c>
      <c r="L845" s="6">
        <f>VALUE(SUBSTITUTE('1000_заявлений'!L839, ".", ","))</f>
        <v>6750</v>
      </c>
      <c r="M845" s="2" t="str">
        <f>IF(Данные[[#This Row],[proba]]&gt;$C$6, "отказ", "одобрение")</f>
        <v>отказ</v>
      </c>
      <c r="N845" s="7">
        <f>IF(Данные[[#This Row],[proba]]&lt;$D$2,$C$2,IF(Данные[[#This Row],[proba]]&lt;$D$3,$C$3,IF(Данные[[#This Row],[proba]]&gt;$C$6,0,$C$4)))</f>
        <v>0</v>
      </c>
      <c r="O845" s="2">
        <f>IF(Данные[[#This Row],[weighted_ext_score]]&gt;$O$1,MIN(Данные[[#This Row],[Базовая сумма]]*$O$2,$C$2),IF(Данные[[#This Row],[weighted_ext_score]]&lt;$O$3,Данные[[#This Row],[Базовая сумма]]*$O$4,N845))</f>
        <v>0</v>
      </c>
      <c r="P8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5" s="2">
        <f>ABS(Данные[[#This Row],[days_birth]])/365.2425</f>
        <v>21.588396750104383</v>
      </c>
      <c r="S8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5" s="2">
        <f>IF(Данные[[#This Row],[ interest_rate]]&gt;$T$1,Данные[[#This Row],[days_birth4]]*$T$2,Данные[[#This Row],[days_birth4]])</f>
        <v>0</v>
      </c>
      <c r="U845" s="2">
        <f>IF(Данные[[#This Row],[Проверка отказа]]="отказ",0,MAX(Данные[[#This Row],[interest_rate]],$C$1))</f>
        <v>0</v>
      </c>
      <c r="V845" s="2">
        <f>MROUND(Данные[[#This Row],[Минимум 20000]], 100)</f>
        <v>0</v>
      </c>
    </row>
    <row r="846" spans="1:22" x14ac:dyDescent="0.25">
      <c r="A846" s="2">
        <f>'1000_заявлений'!A840</f>
        <v>838</v>
      </c>
      <c r="B846" s="4">
        <f>VALUE(SUBSTITUTE('1000_заявлений'!B840, ".", ","))</f>
        <v>0.40648084756071601</v>
      </c>
      <c r="C846" s="4">
        <f>VALUE(SUBSTITUTE('1000_заявлений'!C840, ".", ","))</f>
        <v>0.49953993707042199</v>
      </c>
      <c r="D846" s="4">
        <f>VALUE(SUBSTITUTE('1000_заявлений'!D840, ".", ","))</f>
        <v>0.51189180000000001</v>
      </c>
      <c r="E846" s="4">
        <f>VALUE(SUBSTITUTE('1000_заявлений'!E840, ".", ","))</f>
        <v>0.55842630000000004</v>
      </c>
      <c r="F846" s="5">
        <f>VALUE(SUBSTITUTE('1000_заявлений'!F840, ".", ","))</f>
        <v>-4814</v>
      </c>
      <c r="G846" s="5">
        <f>VALUE(SUBSTITUTE('1000_заявлений'!G840, ".", ","))</f>
        <v>-11051</v>
      </c>
      <c r="H846" s="5">
        <f>VALUE(SUBSTITUTE('1000_заявлений'!H840, ".", ","))</f>
        <v>-3624</v>
      </c>
      <c r="I846" s="4">
        <f>VALUE(SUBSTITUTE('1000_заявлений'!I840, ".", ","))</f>
        <v>0.154233333333333</v>
      </c>
      <c r="J846" s="4">
        <f>VALUE(SUBSTITUTE('1000_заявлений'!J840, ".", ","))</f>
        <v>3.6293301537581399</v>
      </c>
      <c r="K846" s="5">
        <f>VALUE(SUBSTITUTE('1000_заявлений'!K840, ".", ","))</f>
        <v>-193</v>
      </c>
      <c r="L846" s="6">
        <f>VALUE(SUBSTITUTE('1000_заявлений'!L840, ".", ","))</f>
        <v>20821.5</v>
      </c>
      <c r="M846" s="2" t="str">
        <f>IF(Данные[[#This Row],[proba]]&gt;$C$6, "отказ", "одобрение")</f>
        <v>отказ</v>
      </c>
      <c r="N846" s="7">
        <f>IF(Данные[[#This Row],[proba]]&lt;$D$2,$C$2,IF(Данные[[#This Row],[proba]]&lt;$D$3,$C$3,IF(Данные[[#This Row],[proba]]&gt;$C$6,0,$C$4)))</f>
        <v>0</v>
      </c>
      <c r="O846" s="2">
        <f>IF(Данные[[#This Row],[weighted_ext_score]]&gt;$O$1,MIN(Данные[[#This Row],[Базовая сумма]]*$O$2,$C$2),IF(Данные[[#This Row],[weighted_ext_score]]&lt;$O$3,Данные[[#This Row],[Базовая сумма]]*$O$4,N846))</f>
        <v>0</v>
      </c>
      <c r="P8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46" s="2">
        <f>ABS(Данные[[#This Row],[days_birth]])/365.2425</f>
        <v>30.256610334229997</v>
      </c>
      <c r="S8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46" s="2">
        <f>IF(Данные[[#This Row],[ interest_rate]]&gt;$T$1,Данные[[#This Row],[days_birth4]]*$T$2,Данные[[#This Row],[days_birth4]])</f>
        <v>0</v>
      </c>
      <c r="U846" s="2">
        <f>IF(Данные[[#This Row],[Проверка отказа]]="отказ",0,MAX(Данные[[#This Row],[interest_rate]],$C$1))</f>
        <v>0</v>
      </c>
      <c r="V846" s="2">
        <f>MROUND(Данные[[#This Row],[Минимум 20000]], 100)</f>
        <v>0</v>
      </c>
    </row>
    <row r="847" spans="1:22" x14ac:dyDescent="0.25">
      <c r="A847" s="2">
        <f>'1000_заявлений'!A841</f>
        <v>839</v>
      </c>
      <c r="B847" s="4">
        <f>VALUE(SUBSTITUTE('1000_заявлений'!B841, ".", ","))</f>
        <v>0.29057777464325202</v>
      </c>
      <c r="C847" s="4">
        <f>VALUE(SUBSTITUTE('1000_заявлений'!C841, ".", ","))</f>
        <v>0.43062116662596001</v>
      </c>
      <c r="D847" s="4">
        <f>VALUE(SUBSTITUTE('1000_заявлений'!D841, ".", ","))</f>
        <v>0.59197664000000005</v>
      </c>
      <c r="E847" s="4">
        <f>VALUE(SUBSTITUTE('1000_заявлений'!E841, ".", ","))</f>
        <v>0.66750615999999996</v>
      </c>
      <c r="F847" s="5">
        <f>VALUE(SUBSTITUTE('1000_заявлений'!F841, ".", ","))</f>
        <v>-1119</v>
      </c>
      <c r="G847" s="5">
        <f>VALUE(SUBSTITUTE('1000_заявлений'!G841, ".", ","))</f>
        <v>-20361</v>
      </c>
      <c r="H847" s="5">
        <f>VALUE(SUBSTITUTE('1000_заявлений'!H841, ".", ","))</f>
        <v>-1986</v>
      </c>
      <c r="I847" s="4">
        <f>VALUE(SUBSTITUTE('1000_заявлений'!I841, ".", ","))</f>
        <v>0.13894000000000001</v>
      </c>
      <c r="J847" s="4">
        <f>VALUE(SUBSTITUTE('1000_заявлений'!J841, ".", ","))</f>
        <v>7.8744259631260096</v>
      </c>
      <c r="K847" s="5">
        <f>VALUE(SUBSTITUTE('1000_заявлений'!K841, ".", ","))</f>
        <v>-525</v>
      </c>
      <c r="L847" s="6">
        <f>VALUE(SUBSTITUTE('1000_заявлений'!L841, ".", ","))</f>
        <v>31261.5</v>
      </c>
      <c r="M847" s="2" t="str">
        <f>IF(Данные[[#This Row],[proba]]&gt;$C$6, "отказ", "одобрение")</f>
        <v>одобрение</v>
      </c>
      <c r="N847" s="7">
        <f>IF(Данные[[#This Row],[proba]]&lt;$D$2,$C$2,IF(Данные[[#This Row],[proba]]&lt;$D$3,$C$3,IF(Данные[[#This Row],[proba]]&gt;$C$6,0,$C$4)))</f>
        <v>100000</v>
      </c>
      <c r="O847" s="2">
        <f>IF(Данные[[#This Row],[weighted_ext_score]]&gt;$O$1,MIN(Данные[[#This Row],[Базовая сумма]]*$O$2,$C$2),IF(Данные[[#This Row],[weighted_ext_score]]&lt;$O$3,Данные[[#This Row],[Базовая сумма]]*$O$4,N847))</f>
        <v>100000</v>
      </c>
      <c r="P8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847" s="2">
        <f>ABS(Данные[[#This Row],[days_birth]])/365.2425</f>
        <v>55.746524569293001</v>
      </c>
      <c r="S8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847" s="2">
        <f>IF(Данные[[#This Row],[ interest_rate]]&gt;$T$1,Данные[[#This Row],[days_birth4]]*$T$2,Данные[[#This Row],[days_birth4]])</f>
        <v>88200</v>
      </c>
      <c r="U847" s="2">
        <f>IF(Данные[[#This Row],[Проверка отказа]]="отказ",0,MAX(Данные[[#This Row],[interest_rate]],$C$1))</f>
        <v>88200</v>
      </c>
      <c r="V847" s="2">
        <f>MROUND(Данные[[#This Row],[Минимум 20000]], 100)</f>
        <v>88200</v>
      </c>
    </row>
    <row r="848" spans="1:22" x14ac:dyDescent="0.25">
      <c r="A848" s="2">
        <f>'1000_заявлений'!A842</f>
        <v>840</v>
      </c>
      <c r="B848" s="4">
        <f>VALUE(SUBSTITUTE('1000_заявлений'!B842, ".", ","))</f>
        <v>0.18411695311309201</v>
      </c>
      <c r="C848" s="4">
        <f>VALUE(SUBSTITUTE('1000_заявлений'!C842, ".", ","))</f>
        <v>0.47587311945486699</v>
      </c>
      <c r="D848" s="4">
        <f>VALUE(SUBSTITUTE('1000_заявлений'!D842, ".", ","))</f>
        <v>0.76102639999999999</v>
      </c>
      <c r="E848" s="4">
        <f>VALUE(SUBSTITUTE('1000_заявлений'!E842, ".", ","))</f>
        <v>0.61852753000000005</v>
      </c>
      <c r="F848" s="5">
        <f>VALUE(SUBSTITUTE('1000_заявлений'!F842, ".", ","))</f>
        <v>-5489</v>
      </c>
      <c r="G848" s="5">
        <f>VALUE(SUBSTITUTE('1000_заявлений'!G842, ".", ","))</f>
        <v>-22476</v>
      </c>
      <c r="H848" s="5">
        <f>VALUE(SUBSTITUTE('1000_заявлений'!H842, ".", ","))</f>
        <v>-4555</v>
      </c>
      <c r="I848" s="4">
        <f>VALUE(SUBSTITUTE('1000_заявлений'!I842, ".", ","))</f>
        <v>0.15519642857142801</v>
      </c>
      <c r="J848" s="4">
        <f>VALUE(SUBSTITUTE('1000_заявлений'!J842, ".", ","))</f>
        <v>0.34264011090443502</v>
      </c>
      <c r="K848" s="5">
        <f>VALUE(SUBSTITUTE('1000_заявлений'!K842, ".", ","))</f>
        <v>365243</v>
      </c>
      <c r="L848" s="6">
        <f>VALUE(SUBSTITUTE('1000_заявлений'!L842, ".", ","))</f>
        <v>39109.5</v>
      </c>
      <c r="M848" s="2" t="str">
        <f>IF(Данные[[#This Row],[proba]]&gt;$C$6, "отказ", "одобрение")</f>
        <v>одобрение</v>
      </c>
      <c r="N848" s="7">
        <f>IF(Данные[[#This Row],[proba]]&lt;$D$2,$C$2,IF(Данные[[#This Row],[proba]]&lt;$D$3,$C$3,IF(Данные[[#This Row],[proba]]&gt;$C$6,0,$C$4)))</f>
        <v>300000</v>
      </c>
      <c r="O848" s="2">
        <f>IF(Данные[[#This Row],[weighted_ext_score]]&gt;$O$1,MIN(Данные[[#This Row],[Базовая сумма]]*$O$2,$C$2),IF(Данные[[#This Row],[weighted_ext_score]]&lt;$O$3,Данные[[#This Row],[Базовая сумма]]*$O$4,N848))</f>
        <v>300000</v>
      </c>
      <c r="P8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8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848" s="2">
        <f>ABS(Данные[[#This Row],[days_birth]])/365.2425</f>
        <v>61.537197889073695</v>
      </c>
      <c r="S8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848" s="2">
        <f>IF(Данные[[#This Row],[ interest_rate]]&gt;$T$1,Данные[[#This Row],[days_birth4]]*$T$2,Данные[[#This Row],[days_birth4]])</f>
        <v>378000</v>
      </c>
      <c r="U848" s="2">
        <f>IF(Данные[[#This Row],[Проверка отказа]]="отказ",0,MAX(Данные[[#This Row],[interest_rate]],$C$1))</f>
        <v>378000</v>
      </c>
      <c r="V848" s="2">
        <f>MROUND(Данные[[#This Row],[Минимум 20000]], 100)</f>
        <v>378000</v>
      </c>
    </row>
    <row r="849" spans="1:22" x14ac:dyDescent="0.25">
      <c r="A849" s="2">
        <f>'1000_заявлений'!A843</f>
        <v>841</v>
      </c>
      <c r="B849" s="4">
        <f>VALUE(SUBSTITUTE('1000_заявлений'!B843, ".", ","))</f>
        <v>0.22601265773496201</v>
      </c>
      <c r="C849" s="4">
        <f>VALUE(SUBSTITUTE('1000_заявлений'!C843, ".", ","))</f>
        <v>0.56532698547712701</v>
      </c>
      <c r="D849" s="4">
        <f>VALUE(SUBSTITUTE('1000_заявлений'!D843, ".", ","))</f>
        <v>0.5797274</v>
      </c>
      <c r="E849" s="4">
        <f>VALUE(SUBSTITUTE('1000_заявлений'!E843, ".", ","))</f>
        <v>0.71786269999999996</v>
      </c>
      <c r="F849" s="5">
        <f>VALUE(SUBSTITUTE('1000_заявлений'!F843, ".", ","))</f>
        <v>-2345</v>
      </c>
      <c r="G849" s="5">
        <f>VALUE(SUBSTITUTE('1000_заявлений'!G843, ".", ","))</f>
        <v>-11522</v>
      </c>
      <c r="H849" s="5">
        <f>VALUE(SUBSTITUTE('1000_заявлений'!H843, ".", ","))</f>
        <v>-3554</v>
      </c>
      <c r="I849" s="4">
        <f>VALUE(SUBSTITUTE('1000_заявлений'!I843, ".", ","))</f>
        <v>0.189033333333333</v>
      </c>
      <c r="J849" s="4">
        <f>VALUE(SUBSTITUTE('1000_заявлений'!J843, ".", ","))</f>
        <v>18.753981063816401</v>
      </c>
      <c r="K849" s="5">
        <f>VALUE(SUBSTITUTE('1000_заявлений'!K843, ".", ","))</f>
        <v>-1846</v>
      </c>
      <c r="L849" s="6">
        <f>VALUE(SUBSTITUTE('1000_заявлений'!L843, ".", ","))</f>
        <v>25519.5</v>
      </c>
      <c r="M849" s="2" t="str">
        <f>IF(Данные[[#This Row],[proba]]&gt;$C$6, "отказ", "одобрение")</f>
        <v>одобрение</v>
      </c>
      <c r="N849" s="7">
        <f>IF(Данные[[#This Row],[proba]]&lt;$D$2,$C$2,IF(Данные[[#This Row],[proba]]&lt;$D$3,$C$3,IF(Данные[[#This Row],[proba]]&gt;$C$6,0,$C$4)))</f>
        <v>100000</v>
      </c>
      <c r="O849" s="2">
        <f>IF(Данные[[#This Row],[weighted_ext_score]]&gt;$O$1,MIN(Данные[[#This Row],[Базовая сумма]]*$O$2,$C$2),IF(Данные[[#This Row],[weighted_ext_score]]&lt;$O$3,Данные[[#This Row],[Базовая сумма]]*$O$4,N849))</f>
        <v>100000</v>
      </c>
      <c r="P8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849" s="2">
        <f>ABS(Данные[[#This Row],[days_birth]])/365.2425</f>
        <v>31.546164534521584</v>
      </c>
      <c r="S8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849" s="2">
        <f>IF(Данные[[#This Row],[ interest_rate]]&gt;$T$1,Данные[[#This Row],[days_birth4]]*$T$2,Данные[[#This Row],[days_birth4]])</f>
        <v>84000</v>
      </c>
      <c r="U849" s="2">
        <f>IF(Данные[[#This Row],[Проверка отказа]]="отказ",0,MAX(Данные[[#This Row],[interest_rate]],$C$1))</f>
        <v>84000</v>
      </c>
      <c r="V849" s="2">
        <f>MROUND(Данные[[#This Row],[Минимум 20000]], 100)</f>
        <v>84000</v>
      </c>
    </row>
    <row r="850" spans="1:22" x14ac:dyDescent="0.25">
      <c r="A850" s="2">
        <f>'1000_заявлений'!A844</f>
        <v>842</v>
      </c>
      <c r="B850" s="4">
        <f>VALUE(SUBSTITUTE('1000_заявлений'!B844, ".", ","))</f>
        <v>0.62538866330373799</v>
      </c>
      <c r="C850" s="4">
        <f>VALUE(SUBSTITUTE('1000_заявлений'!C844, ".", ","))</f>
        <v>0.32571939411807599</v>
      </c>
      <c r="D850" s="4">
        <f>VALUE(SUBSTITUTE('1000_заявлений'!D844, ".", ","))</f>
        <v>0.19633396</v>
      </c>
      <c r="E850" s="4">
        <f>VALUE(SUBSTITUTE('1000_заявлений'!E844, ".", ","))</f>
        <v>0.46307473999999998</v>
      </c>
      <c r="F850" s="5">
        <f>VALUE(SUBSTITUTE('1000_заявлений'!F844, ".", ","))</f>
        <v>-933</v>
      </c>
      <c r="G850" s="5">
        <f>VALUE(SUBSTITUTE('1000_заявлений'!G844, ".", ","))</f>
        <v>-9107</v>
      </c>
      <c r="H850" s="5">
        <f>VALUE(SUBSTITUTE('1000_заявлений'!H844, ".", ","))</f>
        <v>-1670</v>
      </c>
      <c r="I850" s="4">
        <f>VALUE(SUBSTITUTE('1000_заявлений'!I844, ".", ","))</f>
        <v>0.13282828282828199</v>
      </c>
      <c r="J850" s="4">
        <f>VALUE(SUBSTITUTE('1000_заявлений'!J844, ".", ","))</f>
        <v>17.930115078858201</v>
      </c>
      <c r="K850" s="5">
        <f>VALUE(SUBSTITUTE('1000_заявлений'!K844, ".", ","))</f>
        <v>-948</v>
      </c>
      <c r="L850" s="6">
        <f>VALUE(SUBSTITUTE('1000_заявлений'!L844, ".", ","))</f>
        <v>59175</v>
      </c>
      <c r="M850" s="2" t="str">
        <f>IF(Данные[[#This Row],[proba]]&gt;$C$6, "отказ", "одобрение")</f>
        <v>отказ</v>
      </c>
      <c r="N850" s="7">
        <f>IF(Данные[[#This Row],[proba]]&lt;$D$2,$C$2,IF(Данные[[#This Row],[proba]]&lt;$D$3,$C$3,IF(Данные[[#This Row],[proba]]&gt;$C$6,0,$C$4)))</f>
        <v>0</v>
      </c>
      <c r="O850" s="2">
        <f>IF(Данные[[#This Row],[weighted_ext_score]]&gt;$O$1,MIN(Данные[[#This Row],[Базовая сумма]]*$O$2,$C$2),IF(Данные[[#This Row],[weighted_ext_score]]&lt;$O$3,Данные[[#This Row],[Базовая сумма]]*$O$4,N850))</f>
        <v>0</v>
      </c>
      <c r="P8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50" s="2">
        <f>ABS(Данные[[#This Row],[days_birth]])/365.2425</f>
        <v>24.934119112644339</v>
      </c>
      <c r="S8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50" s="2">
        <f>IF(Данные[[#This Row],[ interest_rate]]&gt;$T$1,Данные[[#This Row],[days_birth4]]*$T$2,Данные[[#This Row],[days_birth4]])</f>
        <v>0</v>
      </c>
      <c r="U850" s="2">
        <f>IF(Данные[[#This Row],[Проверка отказа]]="отказ",0,MAX(Данные[[#This Row],[interest_rate]],$C$1))</f>
        <v>0</v>
      </c>
      <c r="V850" s="2">
        <f>MROUND(Данные[[#This Row],[Минимум 20000]], 100)</f>
        <v>0</v>
      </c>
    </row>
    <row r="851" spans="1:22" x14ac:dyDescent="0.25">
      <c r="A851" s="2">
        <f>'1000_заявлений'!A845</f>
        <v>843</v>
      </c>
      <c r="B851" s="4">
        <f>VALUE(SUBSTITUTE('1000_заявлений'!B845, ".", ","))</f>
        <v>0.14404717810398901</v>
      </c>
      <c r="C851" s="4">
        <f>VALUE(SUBSTITUTE('1000_заявлений'!C845, ".", ","))</f>
        <v>0.73060218879657801</v>
      </c>
      <c r="D851" s="4">
        <f>VALUE(SUBSTITUTE('1000_заявлений'!D845, ".", ","))</f>
        <v>0.7623356</v>
      </c>
      <c r="E851" s="4">
        <f>VALUE(SUBSTITUTE('1000_заявлений'!E845, ".", ","))</f>
        <v>0.72280529999999998</v>
      </c>
      <c r="F851" s="5">
        <f>VALUE(SUBSTITUTE('1000_заявлений'!F845, ".", ","))</f>
        <v>-6614</v>
      </c>
      <c r="G851" s="5">
        <f>VALUE(SUBSTITUTE('1000_заявлений'!G845, ".", ","))</f>
        <v>-12499</v>
      </c>
      <c r="H851" s="5">
        <f>VALUE(SUBSTITUTE('1000_заявлений'!H845, ".", ","))</f>
        <v>-4406</v>
      </c>
      <c r="I851" s="4">
        <f>VALUE(SUBSTITUTE('1000_заявлений'!I845, ".", ","))</f>
        <v>0.12556</v>
      </c>
      <c r="J851" s="4">
        <f>VALUE(SUBSTITUTE('1000_заявлений'!J845, ".", ","))</f>
        <v>4.5403941943462804</v>
      </c>
      <c r="K851" s="5">
        <f>VALUE(SUBSTITUTE('1000_заявлений'!K845, ".", ","))</f>
        <v>-3964</v>
      </c>
      <c r="L851" s="6">
        <f>VALUE(SUBSTITUTE('1000_заявлений'!L845, ".", ","))</f>
        <v>14125.5</v>
      </c>
      <c r="M851" s="2" t="str">
        <f>IF(Данные[[#This Row],[proba]]&gt;$C$6, "отказ", "одобрение")</f>
        <v>одобрение</v>
      </c>
      <c r="N851" s="7">
        <f>IF(Данные[[#This Row],[proba]]&lt;$D$2,$C$2,IF(Данные[[#This Row],[proba]]&lt;$D$3,$C$3,IF(Данные[[#This Row],[proba]]&gt;$C$6,0,$C$4)))</f>
        <v>300000</v>
      </c>
      <c r="O851" s="2">
        <f>IF(Данные[[#This Row],[weighted_ext_score]]&gt;$O$1,MIN(Данные[[#This Row],[Базовая сумма]]*$O$2,$C$2),IF(Данные[[#This Row],[weighted_ext_score]]&lt;$O$3,Данные[[#This Row],[Базовая сумма]]*$O$4,N851))</f>
        <v>360000</v>
      </c>
      <c r="P8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8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500000</v>
      </c>
      <c r="R851" s="2">
        <f>ABS(Данные[[#This Row],[days_birth]])/365.2425</f>
        <v>34.221099680349354</v>
      </c>
      <c r="S8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500000</v>
      </c>
      <c r="T851" s="2">
        <f>IF(Данные[[#This Row],[ interest_rate]]&gt;$T$1,Данные[[#This Row],[days_birth4]]*$T$2,Данные[[#This Row],[days_birth4]])</f>
        <v>500000</v>
      </c>
      <c r="U851" s="2">
        <f>IF(Данные[[#This Row],[Проверка отказа]]="отказ",0,MAX(Данные[[#This Row],[interest_rate]],$C$1))</f>
        <v>500000</v>
      </c>
      <c r="V851" s="2">
        <f>MROUND(Данные[[#This Row],[Минимум 20000]], 100)</f>
        <v>500000</v>
      </c>
    </row>
    <row r="852" spans="1:22" x14ac:dyDescent="0.25">
      <c r="A852" s="2">
        <f>'1000_заявлений'!A846</f>
        <v>844</v>
      </c>
      <c r="B852" s="4">
        <f>VALUE(SUBSTITUTE('1000_заявлений'!B846, ".", ","))</f>
        <v>0.26293420575219001</v>
      </c>
      <c r="C852" s="4">
        <f>VALUE(SUBSTITUTE('1000_заявлений'!C846, ".", ","))</f>
        <v>0.62679587278563798</v>
      </c>
      <c r="D852" s="4">
        <f>VALUE(SUBSTITUTE('1000_заявлений'!D846, ".", ","))</f>
        <v>0.42765736999999998</v>
      </c>
      <c r="E852" s="4">
        <f>VALUE(SUBSTITUTE('1000_заявлений'!E846, ".", ","))</f>
        <v>0.74250567000000001</v>
      </c>
      <c r="F852" s="5">
        <f>VALUE(SUBSTITUTE('1000_заявлений'!F846, ".", ","))</f>
        <v>-1698</v>
      </c>
      <c r="G852" s="5">
        <f>VALUE(SUBSTITUTE('1000_заявлений'!G846, ".", ","))</f>
        <v>-12958</v>
      </c>
      <c r="H852" s="5">
        <f>VALUE(SUBSTITUTE('1000_заявлений'!H846, ".", ","))</f>
        <v>-4666</v>
      </c>
      <c r="I852" s="4">
        <f>VALUE(SUBSTITUTE('1000_заявлений'!I846, ".", ","))</f>
        <v>0.194422222222222</v>
      </c>
      <c r="J852" s="4">
        <f>VALUE(SUBSTITUTE('1000_заявлений'!J846, ".", ","))</f>
        <v>6.9796349142831904</v>
      </c>
      <c r="K852" s="5">
        <f>VALUE(SUBSTITUTE('1000_заявлений'!K846, ".", ","))</f>
        <v>-909</v>
      </c>
      <c r="L852" s="6">
        <f>VALUE(SUBSTITUTE('1000_заявлений'!L846, ".", ","))</f>
        <v>78741</v>
      </c>
      <c r="M852" s="2" t="str">
        <f>IF(Данные[[#This Row],[proba]]&gt;$C$6, "отказ", "одобрение")</f>
        <v>одобрение</v>
      </c>
      <c r="N852" s="7">
        <f>IF(Данные[[#This Row],[proba]]&lt;$D$2,$C$2,IF(Данные[[#This Row],[proba]]&lt;$D$3,$C$3,IF(Данные[[#This Row],[proba]]&gt;$C$6,0,$C$4)))</f>
        <v>100000</v>
      </c>
      <c r="O852" s="2">
        <f>IF(Данные[[#This Row],[weighted_ext_score]]&gt;$O$1,MIN(Данные[[#This Row],[Базовая сумма]]*$O$2,$C$2),IF(Данные[[#This Row],[weighted_ext_score]]&lt;$O$3,Данные[[#This Row],[Базовая сумма]]*$O$4,N852))</f>
        <v>100000</v>
      </c>
      <c r="P8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852" s="2">
        <f>ABS(Данные[[#This Row],[days_birth]])/365.2425</f>
        <v>35.477798996557084</v>
      </c>
      <c r="S8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852" s="2">
        <f>IF(Данные[[#This Row],[ interest_rate]]&gt;$T$1,Данные[[#This Row],[days_birth4]]*$T$2,Данные[[#This Row],[days_birth4]])</f>
        <v>84000</v>
      </c>
      <c r="U852" s="2">
        <f>IF(Данные[[#This Row],[Проверка отказа]]="отказ",0,MAX(Данные[[#This Row],[interest_rate]],$C$1))</f>
        <v>84000</v>
      </c>
      <c r="V852" s="2">
        <f>MROUND(Данные[[#This Row],[Минимум 20000]], 100)</f>
        <v>84000</v>
      </c>
    </row>
    <row r="853" spans="1:22" x14ac:dyDescent="0.25">
      <c r="A853" s="2">
        <f>'1000_заявлений'!A847</f>
        <v>845</v>
      </c>
      <c r="B853" s="4">
        <f>VALUE(SUBSTITUTE('1000_заявлений'!B847, ".", ","))</f>
        <v>0.45946458871010498</v>
      </c>
      <c r="C853" s="4">
        <f>VALUE(SUBSTITUTE('1000_заявлений'!C847, ".", ","))</f>
        <v>0.49312502174505601</v>
      </c>
      <c r="D853" s="4">
        <f>VALUE(SUBSTITUTE('1000_заявлений'!D847, ".", ","))</f>
        <v>0.51189180000000001</v>
      </c>
      <c r="E853" s="4">
        <f>VALUE(SUBSTITUTE('1000_заявлений'!E847, ".", ","))</f>
        <v>0.44684657</v>
      </c>
      <c r="F853" s="5">
        <f>VALUE(SUBSTITUTE('1000_заявлений'!F847, ".", ","))</f>
        <v>-593</v>
      </c>
      <c r="G853" s="5">
        <f>VALUE(SUBSTITUTE('1000_заявлений'!G847, ".", ","))</f>
        <v>-9360</v>
      </c>
      <c r="H853" s="5">
        <f>VALUE(SUBSTITUTE('1000_заявлений'!H847, ".", ","))</f>
        <v>-1154</v>
      </c>
      <c r="I853" s="4">
        <f>VALUE(SUBSTITUTE('1000_заявлений'!I847, ".", ","))</f>
        <v>0.130711111111111</v>
      </c>
      <c r="J853" s="4">
        <f>VALUE(SUBSTITUTE('1000_заявлений'!J847, ".", ","))</f>
        <v>8.3345757603807602</v>
      </c>
      <c r="K853" s="5">
        <f>VALUE(SUBSTITUTE('1000_заявлений'!K847, ".", ","))</f>
        <v>-1253</v>
      </c>
      <c r="L853" s="6">
        <f>VALUE(SUBSTITUTE('1000_заявлений'!L847, ".", ","))</f>
        <v>26469</v>
      </c>
      <c r="M853" s="2" t="str">
        <f>IF(Данные[[#This Row],[proba]]&gt;$C$6, "отказ", "одобрение")</f>
        <v>отказ</v>
      </c>
      <c r="N853" s="7">
        <f>IF(Данные[[#This Row],[proba]]&lt;$D$2,$C$2,IF(Данные[[#This Row],[proba]]&lt;$D$3,$C$3,IF(Данные[[#This Row],[proba]]&gt;$C$6,0,$C$4)))</f>
        <v>0</v>
      </c>
      <c r="O853" s="2">
        <f>IF(Данные[[#This Row],[weighted_ext_score]]&gt;$O$1,MIN(Данные[[#This Row],[Базовая сумма]]*$O$2,$C$2),IF(Данные[[#This Row],[weighted_ext_score]]&lt;$O$3,Данные[[#This Row],[Базовая сумма]]*$O$4,N853))</f>
        <v>0</v>
      </c>
      <c r="P8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53" s="2">
        <f>ABS(Данные[[#This Row],[days_birth]])/365.2425</f>
        <v>25.626809585412431</v>
      </c>
      <c r="S8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53" s="2">
        <f>IF(Данные[[#This Row],[ interest_rate]]&gt;$T$1,Данные[[#This Row],[days_birth4]]*$T$2,Данные[[#This Row],[days_birth4]])</f>
        <v>0</v>
      </c>
      <c r="U853" s="2">
        <f>IF(Данные[[#This Row],[Проверка отказа]]="отказ",0,MAX(Данные[[#This Row],[interest_rate]],$C$1))</f>
        <v>0</v>
      </c>
      <c r="V853" s="2">
        <f>MROUND(Данные[[#This Row],[Минимум 20000]], 100)</f>
        <v>0</v>
      </c>
    </row>
    <row r="854" spans="1:22" x14ac:dyDescent="0.25">
      <c r="A854" s="2">
        <f>'1000_заявлений'!A848</f>
        <v>846</v>
      </c>
      <c r="B854" s="4">
        <f>VALUE(SUBSTITUTE('1000_заявлений'!B848, ".", ","))</f>
        <v>0.26789814677527302</v>
      </c>
      <c r="C854" s="4">
        <f>VALUE(SUBSTITUTE('1000_заявлений'!C848, ".", ","))</f>
        <v>0.47432066606389101</v>
      </c>
      <c r="D854" s="4">
        <f>VALUE(SUBSTITUTE('1000_заявлений'!D848, ".", ","))</f>
        <v>0.66745776000000001</v>
      </c>
      <c r="E854" s="4">
        <f>VALUE(SUBSTITUTE('1000_заявлений'!E848, ".", ","))</f>
        <v>0.71806639999999999</v>
      </c>
      <c r="F854" s="5">
        <f>VALUE(SUBSTITUTE('1000_заявлений'!F848, ".", ","))</f>
        <v>-4735</v>
      </c>
      <c r="G854" s="5">
        <f>VALUE(SUBSTITUTE('1000_заявлений'!G848, ".", ","))</f>
        <v>-15095</v>
      </c>
      <c r="H854" s="5">
        <f>VALUE(SUBSTITUTE('1000_заявлений'!H848, ".", ","))</f>
        <v>-1177</v>
      </c>
      <c r="I854" s="4">
        <f>VALUE(SUBSTITUTE('1000_заявлений'!I848, ".", ","))</f>
        <v>5.7166666666666602E-2</v>
      </c>
      <c r="J854" s="4">
        <f>VALUE(SUBSTITUTE('1000_заявлений'!J848, ".", ","))</f>
        <v>2.7597457011603899</v>
      </c>
      <c r="K854" s="5">
        <f>VALUE(SUBSTITUTE('1000_заявлений'!K848, ".", ","))</f>
        <v>-7698</v>
      </c>
      <c r="L854" s="6">
        <f>VALUE(SUBSTITUTE('1000_заявлений'!L848, ".", ","))</f>
        <v>9261</v>
      </c>
      <c r="M854" s="2" t="str">
        <f>IF(Данные[[#This Row],[proba]]&gt;$C$6, "отказ", "одобрение")</f>
        <v>одобрение</v>
      </c>
      <c r="N854" s="7">
        <f>IF(Данные[[#This Row],[proba]]&lt;$D$2,$C$2,IF(Данные[[#This Row],[proba]]&lt;$D$3,$C$3,IF(Данные[[#This Row],[proba]]&gt;$C$6,0,$C$4)))</f>
        <v>100000</v>
      </c>
      <c r="O854" s="2">
        <f>IF(Данные[[#This Row],[weighted_ext_score]]&gt;$O$1,MIN(Данные[[#This Row],[Базовая сумма]]*$O$2,$C$2),IF(Данные[[#This Row],[weighted_ext_score]]&lt;$O$3,Данные[[#This Row],[Базовая сумма]]*$O$4,N854))</f>
        <v>100000</v>
      </c>
      <c r="P8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54" s="2">
        <f>ABS(Данные[[#This Row],[days_birth]])/365.2425</f>
        <v>41.328706270491523</v>
      </c>
      <c r="S8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854" s="2">
        <f>IF(Данные[[#This Row],[ interest_rate]]&gt;$T$1,Данные[[#This Row],[days_birth4]]*$T$2,Данные[[#This Row],[days_birth4]])</f>
        <v>144000</v>
      </c>
      <c r="U854" s="2">
        <f>IF(Данные[[#This Row],[Проверка отказа]]="отказ",0,MAX(Данные[[#This Row],[interest_rate]],$C$1))</f>
        <v>144000</v>
      </c>
      <c r="V854" s="2">
        <f>MROUND(Данные[[#This Row],[Минимум 20000]], 100)</f>
        <v>144000</v>
      </c>
    </row>
    <row r="855" spans="1:22" x14ac:dyDescent="0.25">
      <c r="A855" s="2">
        <f>'1000_заявлений'!A849</f>
        <v>847</v>
      </c>
      <c r="B855" s="4">
        <f>VALUE(SUBSTITUTE('1000_заявлений'!B849, ".", ","))</f>
        <v>0.33773142916089299</v>
      </c>
      <c r="C855" s="4">
        <f>VALUE(SUBSTITUTE('1000_заявлений'!C849, ".", ","))</f>
        <v>0.423347872754675</v>
      </c>
      <c r="D855" s="4">
        <f>VALUE(SUBSTITUTE('1000_заявлений'!D849, ".", ","))</f>
        <v>0.68013880000000004</v>
      </c>
      <c r="E855" s="4">
        <f>VALUE(SUBSTITUTE('1000_заявлений'!E849, ".", ","))</f>
        <v>0.54678696000000004</v>
      </c>
      <c r="F855" s="5">
        <f>VALUE(SUBSTITUTE('1000_заявлений'!F849, ".", ","))</f>
        <v>-2467</v>
      </c>
      <c r="G855" s="5">
        <f>VALUE(SUBSTITUTE('1000_заявлений'!G849, ".", ","))</f>
        <v>-19381</v>
      </c>
      <c r="H855" s="5">
        <f>VALUE(SUBSTITUTE('1000_заявлений'!H849, ".", ","))</f>
        <v>-2801</v>
      </c>
      <c r="I855" s="4">
        <f>VALUE(SUBSTITUTE('1000_заявлений'!I849, ".", ","))</f>
        <v>0.18809999999999999</v>
      </c>
      <c r="J855" s="4">
        <f>VALUE(SUBSTITUTE('1000_заявлений'!J849, ".", ","))</f>
        <v>1.9110609376741201</v>
      </c>
      <c r="K855" s="5">
        <f>VALUE(SUBSTITUTE('1000_заявлений'!K849, ".", ","))</f>
        <v>-5722</v>
      </c>
      <c r="L855" s="6">
        <f>VALUE(SUBSTITUTE('1000_заявлений'!L849, ".", ","))</f>
        <v>25393.5</v>
      </c>
      <c r="M855" s="2" t="str">
        <f>IF(Данные[[#This Row],[proba]]&gt;$C$6, "отказ", "одобрение")</f>
        <v>отказ</v>
      </c>
      <c r="N855" s="7">
        <f>IF(Данные[[#This Row],[proba]]&lt;$D$2,$C$2,IF(Данные[[#This Row],[proba]]&lt;$D$3,$C$3,IF(Данные[[#This Row],[proba]]&gt;$C$6,0,$C$4)))</f>
        <v>0</v>
      </c>
      <c r="O855" s="2">
        <f>IF(Данные[[#This Row],[weighted_ext_score]]&gt;$O$1,MIN(Данные[[#This Row],[Базовая сумма]]*$O$2,$C$2),IF(Данные[[#This Row],[weighted_ext_score]]&lt;$O$3,Данные[[#This Row],[Базовая сумма]]*$O$4,N855))</f>
        <v>0</v>
      </c>
      <c r="P8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55" s="2">
        <f>ABS(Данные[[#This Row],[days_birth]])/365.2425</f>
        <v>53.063375702444269</v>
      </c>
      <c r="S8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55" s="2">
        <f>IF(Данные[[#This Row],[ interest_rate]]&gt;$T$1,Данные[[#This Row],[days_birth4]]*$T$2,Данные[[#This Row],[days_birth4]])</f>
        <v>0</v>
      </c>
      <c r="U855" s="2">
        <f>IF(Данные[[#This Row],[Проверка отказа]]="отказ",0,MAX(Данные[[#This Row],[interest_rate]],$C$1))</f>
        <v>0</v>
      </c>
      <c r="V855" s="2">
        <f>MROUND(Данные[[#This Row],[Минимум 20000]], 100)</f>
        <v>0</v>
      </c>
    </row>
    <row r="856" spans="1:22" x14ac:dyDescent="0.25">
      <c r="A856" s="2">
        <f>'1000_заявлений'!A850</f>
        <v>848</v>
      </c>
      <c r="B856" s="4">
        <f>VALUE(SUBSTITUTE('1000_заявлений'!B850, ".", ","))</f>
        <v>0.19931232894898501</v>
      </c>
      <c r="C856" s="4">
        <f>VALUE(SUBSTITUTE('1000_заявлений'!C850, ".", ","))</f>
        <v>0.420845149663505</v>
      </c>
      <c r="D856" s="4">
        <f>VALUE(SUBSTITUTE('1000_заявлений'!D850, ".", ","))</f>
        <v>0.52809273999999995</v>
      </c>
      <c r="E856" s="4">
        <f>VALUE(SUBSTITUTE('1000_заявлений'!E850, ".", ","))</f>
        <v>0.708596</v>
      </c>
      <c r="F856" s="5">
        <f>VALUE(SUBSTITUTE('1000_заявлений'!F850, ".", ","))</f>
        <v>-4281</v>
      </c>
      <c r="G856" s="5">
        <f>VALUE(SUBSTITUTE('1000_заявлений'!G850, ".", ","))</f>
        <v>-24804</v>
      </c>
      <c r="H856" s="5">
        <f>VALUE(SUBSTITUTE('1000_заявлений'!H850, ".", ","))</f>
        <v>-4274</v>
      </c>
      <c r="I856" s="4">
        <f>VALUE(SUBSTITUTE('1000_заявлений'!I850, ".", ","))</f>
        <v>0.10384</v>
      </c>
      <c r="J856" s="4">
        <f>VALUE(SUBSTITUTE('1000_заявлений'!J850, ".", ","))</f>
        <v>14.970708609582299</v>
      </c>
      <c r="K856" s="5">
        <f>VALUE(SUBSTITUTE('1000_заявлений'!K850, ".", ","))</f>
        <v>365243</v>
      </c>
      <c r="L856" s="6">
        <f>VALUE(SUBSTITUTE('1000_заявлений'!L850, ".", ","))</f>
        <v>23364</v>
      </c>
      <c r="M856" s="2" t="str">
        <f>IF(Данные[[#This Row],[proba]]&gt;$C$6, "отказ", "одобрение")</f>
        <v>одобрение</v>
      </c>
      <c r="N856" s="7">
        <f>IF(Данные[[#This Row],[proba]]&lt;$D$2,$C$2,IF(Данные[[#This Row],[proba]]&lt;$D$3,$C$3,IF(Данные[[#This Row],[proba]]&gt;$C$6,0,$C$4)))</f>
        <v>300000</v>
      </c>
      <c r="O856" s="2">
        <f>IF(Данные[[#This Row],[weighted_ext_score]]&gt;$O$1,MIN(Данные[[#This Row],[Базовая сумма]]*$O$2,$C$2),IF(Данные[[#This Row],[weighted_ext_score]]&lt;$O$3,Данные[[#This Row],[Базовая сумма]]*$O$4,N856))</f>
        <v>300000</v>
      </c>
      <c r="P8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8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856" s="2">
        <f>ABS(Данные[[#This Row],[days_birth]])/365.2425</f>
        <v>67.911045401342946</v>
      </c>
      <c r="S8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856" s="2">
        <f>IF(Данные[[#This Row],[ interest_rate]]&gt;$T$1,Данные[[#This Row],[days_birth4]]*$T$2,Данные[[#This Row],[days_birth4]])</f>
        <v>378000</v>
      </c>
      <c r="U856" s="2">
        <f>IF(Данные[[#This Row],[Проверка отказа]]="отказ",0,MAX(Данные[[#This Row],[interest_rate]],$C$1))</f>
        <v>378000</v>
      </c>
      <c r="V856" s="2">
        <f>MROUND(Данные[[#This Row],[Минимум 20000]], 100)</f>
        <v>378000</v>
      </c>
    </row>
    <row r="857" spans="1:22" x14ac:dyDescent="0.25">
      <c r="A857" s="2">
        <f>'1000_заявлений'!A851</f>
        <v>849</v>
      </c>
      <c r="B857" s="4">
        <f>VALUE(SUBSTITUTE('1000_заявлений'!B851, ".", ","))</f>
        <v>0.328859889756276</v>
      </c>
      <c r="C857" s="4">
        <f>VALUE(SUBSTITUTE('1000_заявлений'!C851, ".", ","))</f>
        <v>0.50314255149063203</v>
      </c>
      <c r="D857" s="4">
        <f>VALUE(SUBSTITUTE('1000_заявлений'!D851, ".", ","))</f>
        <v>0.64136826999999996</v>
      </c>
      <c r="E857" s="4">
        <f>VALUE(SUBSTITUTE('1000_заявлений'!E851, ".", ","))</f>
        <v>0.51372032999999995</v>
      </c>
      <c r="F857" s="5">
        <f>VALUE(SUBSTITUTE('1000_заявлений'!F851, ".", ","))</f>
        <v>-8998</v>
      </c>
      <c r="G857" s="5">
        <f>VALUE(SUBSTITUTE('1000_заявлений'!G851, ".", ","))</f>
        <v>-15035</v>
      </c>
      <c r="H857" s="5">
        <f>VALUE(SUBSTITUTE('1000_заявлений'!H851, ".", ","))</f>
        <v>-2674</v>
      </c>
      <c r="I857" s="4">
        <f>VALUE(SUBSTITUTE('1000_заявлений'!I851, ".", ","))</f>
        <v>0.1202</v>
      </c>
      <c r="J857" s="4">
        <f>VALUE(SUBSTITUTE('1000_заявлений'!J851, ".", ","))</f>
        <v>2.1373047284700002</v>
      </c>
      <c r="K857" s="5">
        <f>VALUE(SUBSTITUTE('1000_заявлений'!K851, ".", ","))</f>
        <v>-1110</v>
      </c>
      <c r="L857" s="6">
        <f>VALUE(SUBSTITUTE('1000_заявлений'!L851, ".", ","))</f>
        <v>24340.5</v>
      </c>
      <c r="M857" s="2" t="str">
        <f>IF(Данные[[#This Row],[proba]]&gt;$C$6, "отказ", "одобрение")</f>
        <v>отказ</v>
      </c>
      <c r="N857" s="7">
        <f>IF(Данные[[#This Row],[proba]]&lt;$D$2,$C$2,IF(Данные[[#This Row],[proba]]&lt;$D$3,$C$3,IF(Данные[[#This Row],[proba]]&gt;$C$6,0,$C$4)))</f>
        <v>0</v>
      </c>
      <c r="O857" s="2">
        <f>IF(Данные[[#This Row],[weighted_ext_score]]&gt;$O$1,MIN(Данные[[#This Row],[Базовая сумма]]*$O$2,$C$2),IF(Данные[[#This Row],[weighted_ext_score]]&lt;$O$3,Данные[[#This Row],[Базовая сумма]]*$O$4,N857))</f>
        <v>0</v>
      </c>
      <c r="P8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57" s="2">
        <f>ABS(Данные[[#This Row],[days_birth]])/365.2425</f>
        <v>41.164431850072212</v>
      </c>
      <c r="S8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57" s="2">
        <f>IF(Данные[[#This Row],[ interest_rate]]&gt;$T$1,Данные[[#This Row],[days_birth4]]*$T$2,Данные[[#This Row],[days_birth4]])</f>
        <v>0</v>
      </c>
      <c r="U857" s="2">
        <f>IF(Данные[[#This Row],[Проверка отказа]]="отказ",0,MAX(Данные[[#This Row],[interest_rate]],$C$1))</f>
        <v>0</v>
      </c>
      <c r="V857" s="2">
        <f>MROUND(Данные[[#This Row],[Минимум 20000]], 100)</f>
        <v>0</v>
      </c>
    </row>
    <row r="858" spans="1:22" x14ac:dyDescent="0.25">
      <c r="A858" s="2">
        <f>'1000_заявлений'!A852</f>
        <v>850</v>
      </c>
      <c r="B858" s="4">
        <f>VALUE(SUBSTITUTE('1000_заявлений'!B852, ".", ","))</f>
        <v>0.37110959157844697</v>
      </c>
      <c r="C858" s="4">
        <f>VALUE(SUBSTITUTE('1000_заявлений'!C852, ".", ","))</f>
        <v>0.401596746202593</v>
      </c>
      <c r="D858" s="4">
        <f>VALUE(SUBSTITUTE('1000_заявлений'!D852, ".", ","))</f>
        <v>0.7267112</v>
      </c>
      <c r="E858" s="4">
        <f>VALUE(SUBSTITUTE('1000_заявлений'!E852, ".", ","))</f>
        <v>0.42780572</v>
      </c>
      <c r="F858" s="5">
        <f>VALUE(SUBSTITUTE('1000_заявлений'!F852, ".", ","))</f>
        <v>-5185</v>
      </c>
      <c r="G858" s="5">
        <f>VALUE(SUBSTITUTE('1000_заявлений'!G852, ".", ","))</f>
        <v>-15957</v>
      </c>
      <c r="H858" s="5">
        <f>VALUE(SUBSTITUTE('1000_заявлений'!H852, ".", ","))</f>
        <v>-4069</v>
      </c>
      <c r="I858" s="4">
        <f>VALUE(SUBSTITUTE('1000_заявлений'!I852, ".", ","))</f>
        <v>0.21</v>
      </c>
      <c r="J858" s="4">
        <f>VALUE(SUBSTITUTE('1000_заявлений'!J852, ".", ","))</f>
        <v>1.7926354583625901</v>
      </c>
      <c r="K858" s="5">
        <f>VALUE(SUBSTITUTE('1000_заявлений'!K852, ".", ","))</f>
        <v>-970</v>
      </c>
      <c r="L858" s="6">
        <f>VALUE(SUBSTITUTE('1000_заявлений'!L852, ".", ","))</f>
        <v>37800</v>
      </c>
      <c r="M858" s="2" t="str">
        <f>IF(Данные[[#This Row],[proba]]&gt;$C$6, "отказ", "одобрение")</f>
        <v>отказ</v>
      </c>
      <c r="N858" s="7">
        <f>IF(Данные[[#This Row],[proba]]&lt;$D$2,$C$2,IF(Данные[[#This Row],[proba]]&lt;$D$3,$C$3,IF(Данные[[#This Row],[proba]]&gt;$C$6,0,$C$4)))</f>
        <v>0</v>
      </c>
      <c r="O858" s="2">
        <f>IF(Данные[[#This Row],[weighted_ext_score]]&gt;$O$1,MIN(Данные[[#This Row],[Базовая сумма]]*$O$2,$C$2),IF(Данные[[#This Row],[weighted_ext_score]]&lt;$O$3,Данные[[#This Row],[Базовая сумма]]*$O$4,N858))</f>
        <v>0</v>
      </c>
      <c r="P8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58" s="2">
        <f>ABS(Данные[[#This Row],[days_birth]])/365.2425</f>
        <v>43.688782110515618</v>
      </c>
      <c r="S8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58" s="2">
        <f>IF(Данные[[#This Row],[ interest_rate]]&gt;$T$1,Данные[[#This Row],[days_birth4]]*$T$2,Данные[[#This Row],[days_birth4]])</f>
        <v>0</v>
      </c>
      <c r="U858" s="2">
        <f>IF(Данные[[#This Row],[Проверка отказа]]="отказ",0,MAX(Данные[[#This Row],[interest_rate]],$C$1))</f>
        <v>0</v>
      </c>
      <c r="V858" s="2">
        <f>MROUND(Данные[[#This Row],[Минимум 20000]], 100)</f>
        <v>0</v>
      </c>
    </row>
    <row r="859" spans="1:22" x14ac:dyDescent="0.25">
      <c r="A859" s="2">
        <f>'1000_заявлений'!A853</f>
        <v>851</v>
      </c>
      <c r="B859" s="4">
        <f>VALUE(SUBSTITUTE('1000_заявлений'!B853, ".", ","))</f>
        <v>0.28555584348560198</v>
      </c>
      <c r="C859" s="4">
        <f>VALUE(SUBSTITUTE('1000_заявлений'!C853, ".", ","))</f>
        <v>0.412351617373445</v>
      </c>
      <c r="D859" s="4">
        <f>VALUE(SUBSTITUTE('1000_заявлений'!D853, ".", ","))</f>
        <v>0.63637613999999998</v>
      </c>
      <c r="E859" s="4">
        <f>VALUE(SUBSTITUTE('1000_заявлений'!E853, ".", ","))</f>
        <v>0.56168072999999996</v>
      </c>
      <c r="F859" s="5">
        <f>VALUE(SUBSTITUTE('1000_заявлений'!F853, ".", ","))</f>
        <v>-13391</v>
      </c>
      <c r="G859" s="5">
        <f>VALUE(SUBSTITUTE('1000_заявлений'!G853, ".", ","))</f>
        <v>-22314</v>
      </c>
      <c r="H859" s="5">
        <f>VALUE(SUBSTITUTE('1000_заявлений'!H853, ".", ","))</f>
        <v>-4746</v>
      </c>
      <c r="I859" s="4">
        <f>VALUE(SUBSTITUTE('1000_заявлений'!I853, ".", ","))</f>
        <v>0.23508333333333301</v>
      </c>
      <c r="J859" s="4">
        <f>VALUE(SUBSTITUTE('1000_заявлений'!J853, ".", ","))</f>
        <v>1.9740828021630901</v>
      </c>
      <c r="K859" s="5">
        <f>VALUE(SUBSTITUTE('1000_заявлений'!K853, ".", ","))</f>
        <v>365243</v>
      </c>
      <c r="L859" s="6">
        <f>VALUE(SUBSTITUTE('1000_заявлений'!L853, ".", ","))</f>
        <v>12694.5</v>
      </c>
      <c r="M859" s="2" t="str">
        <f>IF(Данные[[#This Row],[proba]]&gt;$C$6, "отказ", "одобрение")</f>
        <v>одобрение</v>
      </c>
      <c r="N859" s="7">
        <f>IF(Данные[[#This Row],[proba]]&lt;$D$2,$C$2,IF(Данные[[#This Row],[proba]]&lt;$D$3,$C$3,IF(Данные[[#This Row],[proba]]&gt;$C$6,0,$C$4)))</f>
        <v>100000</v>
      </c>
      <c r="O859" s="2">
        <f>IF(Данные[[#This Row],[weighted_ext_score]]&gt;$O$1,MIN(Данные[[#This Row],[Базовая сумма]]*$O$2,$C$2),IF(Данные[[#This Row],[weighted_ext_score]]&lt;$O$3,Данные[[#This Row],[Базовая сумма]]*$O$4,N859))</f>
        <v>100000</v>
      </c>
      <c r="P8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59" s="2">
        <f>ABS(Данные[[#This Row],[days_birth]])/365.2425</f>
        <v>61.093656953941561</v>
      </c>
      <c r="S8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859" s="2">
        <f>IF(Данные[[#This Row],[ interest_rate]]&gt;$T$1,Данные[[#This Row],[days_birth4]]*$T$2,Данные[[#This Row],[days_birth4]])</f>
        <v>105000</v>
      </c>
      <c r="U859" s="2">
        <f>IF(Данные[[#This Row],[Проверка отказа]]="отказ",0,MAX(Данные[[#This Row],[interest_rate]],$C$1))</f>
        <v>105000</v>
      </c>
      <c r="V859" s="2">
        <f>MROUND(Данные[[#This Row],[Минимум 20000]], 100)</f>
        <v>105000</v>
      </c>
    </row>
    <row r="860" spans="1:22" x14ac:dyDescent="0.25">
      <c r="A860" s="2">
        <f>'1000_заявлений'!A854</f>
        <v>852</v>
      </c>
      <c r="B860" s="4">
        <f>VALUE(SUBSTITUTE('1000_заявлений'!B854, ".", ","))</f>
        <v>0.108994537601822</v>
      </c>
      <c r="C860" s="4">
        <f>VALUE(SUBSTITUTE('1000_заявлений'!C854, ".", ","))</f>
        <v>0.74055353819407499</v>
      </c>
      <c r="D860" s="4">
        <f>VALUE(SUBSTITUTE('1000_заявлений'!D854, ".", ","))</f>
        <v>0.78747619999999996</v>
      </c>
      <c r="E860" s="4">
        <f>VALUE(SUBSTITUTE('1000_заявлений'!E854, ".", ","))</f>
        <v>0.71323380000000003</v>
      </c>
      <c r="F860" s="5">
        <f>VALUE(SUBSTITUTE('1000_заявлений'!F854, ".", ","))</f>
        <v>-4709</v>
      </c>
      <c r="G860" s="5">
        <f>VALUE(SUBSTITUTE('1000_заявлений'!G854, ".", ","))</f>
        <v>-22129</v>
      </c>
      <c r="H860" s="5">
        <f>VALUE(SUBSTITUTE('1000_заявлений'!H854, ".", ","))</f>
        <v>-5070</v>
      </c>
      <c r="I860" s="4">
        <f>VALUE(SUBSTITUTE('1000_заявлений'!I854, ".", ","))</f>
        <v>0.26883333333333298</v>
      </c>
      <c r="J860" s="4">
        <f>VALUE(SUBSTITUTE('1000_заявлений'!J854, ".", ","))</f>
        <v>2.3522351798308501</v>
      </c>
      <c r="K860" s="5">
        <f>VALUE(SUBSTITUTE('1000_заявлений'!K854, ".", ","))</f>
        <v>365243</v>
      </c>
      <c r="L860" s="6">
        <f>VALUE(SUBSTITUTE('1000_заявлений'!L854, ".", ","))</f>
        <v>21775.5</v>
      </c>
      <c r="M860" s="2" t="str">
        <f>IF(Данные[[#This Row],[proba]]&gt;$C$6, "отказ", "одобрение")</f>
        <v>одобрение</v>
      </c>
      <c r="N860" s="7">
        <f>IF(Данные[[#This Row],[proba]]&lt;$D$2,$C$2,IF(Данные[[#This Row],[proba]]&lt;$D$3,$C$3,IF(Данные[[#This Row],[proba]]&gt;$C$6,0,$C$4)))</f>
        <v>300000</v>
      </c>
      <c r="O860" s="2">
        <f>IF(Данные[[#This Row],[weighted_ext_score]]&gt;$O$1,MIN(Данные[[#This Row],[Базовая сумма]]*$O$2,$C$2),IF(Данные[[#This Row],[weighted_ext_score]]&lt;$O$3,Данные[[#This Row],[Базовая сумма]]*$O$4,N860))</f>
        <v>360000</v>
      </c>
      <c r="P8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8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860" s="2">
        <f>ABS(Данные[[#This Row],[days_birth]])/365.2425</f>
        <v>60.587144157648687</v>
      </c>
      <c r="S8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860" s="2">
        <f>IF(Данные[[#This Row],[ interest_rate]]&gt;$T$1,Данные[[#This Row],[days_birth4]]*$T$2,Данные[[#This Row],[days_birth4]])</f>
        <v>378000</v>
      </c>
      <c r="U860" s="2">
        <f>IF(Данные[[#This Row],[Проверка отказа]]="отказ",0,MAX(Данные[[#This Row],[interest_rate]],$C$1))</f>
        <v>378000</v>
      </c>
      <c r="V860" s="2">
        <f>MROUND(Данные[[#This Row],[Минимум 20000]], 100)</f>
        <v>378000</v>
      </c>
    </row>
    <row r="861" spans="1:22" x14ac:dyDescent="0.25">
      <c r="A861" s="2">
        <f>'1000_заявлений'!A855</f>
        <v>853</v>
      </c>
      <c r="B861" s="4">
        <f>VALUE(SUBSTITUTE('1000_заявлений'!B855, ".", ","))</f>
        <v>0.40178114488601202</v>
      </c>
      <c r="C861" s="4">
        <f>VALUE(SUBSTITUTE('1000_заявлений'!C855, ".", ","))</f>
        <v>0.38564653664236898</v>
      </c>
      <c r="D861" s="4">
        <f>VALUE(SUBSTITUTE('1000_заявлений'!D855, ".", ","))</f>
        <v>0.41184854999999998</v>
      </c>
      <c r="E861" s="4">
        <f>VALUE(SUBSTITUTE('1000_заявлений'!E855, ".", ","))</f>
        <v>0.72969156999999996</v>
      </c>
      <c r="F861" s="5">
        <f>VALUE(SUBSTITUTE('1000_заявлений'!F855, ".", ","))</f>
        <v>-5488</v>
      </c>
      <c r="G861" s="5">
        <f>VALUE(SUBSTITUTE('1000_заявлений'!G855, ".", ","))</f>
        <v>-19281</v>
      </c>
      <c r="H861" s="5">
        <f>VALUE(SUBSTITUTE('1000_заявлений'!H855, ".", ","))</f>
        <v>-2704</v>
      </c>
      <c r="I861" s="4">
        <f>VALUE(SUBSTITUTE('1000_заявлений'!I855, ".", ","))</f>
        <v>0.10834000000000001</v>
      </c>
      <c r="J861" s="4">
        <f>VALUE(SUBSTITUTE('1000_заявлений'!J855, ".", ","))</f>
        <v>0.92540852682836405</v>
      </c>
      <c r="K861" s="5">
        <f>VALUE(SUBSTITUTE('1000_заявлений'!K855, ".", ","))</f>
        <v>-4726</v>
      </c>
      <c r="L861" s="6">
        <f>VALUE(SUBSTITUTE('1000_заявлений'!L855, ".", ","))</f>
        <v>24376.5</v>
      </c>
      <c r="M861" s="2" t="str">
        <f>IF(Данные[[#This Row],[proba]]&gt;$C$6, "отказ", "одобрение")</f>
        <v>отказ</v>
      </c>
      <c r="N861" s="7">
        <f>IF(Данные[[#This Row],[proba]]&lt;$D$2,$C$2,IF(Данные[[#This Row],[proba]]&lt;$D$3,$C$3,IF(Данные[[#This Row],[proba]]&gt;$C$6,0,$C$4)))</f>
        <v>0</v>
      </c>
      <c r="O861" s="2">
        <f>IF(Данные[[#This Row],[weighted_ext_score]]&gt;$O$1,MIN(Данные[[#This Row],[Базовая сумма]]*$O$2,$C$2),IF(Данные[[#This Row],[weighted_ext_score]]&lt;$O$3,Данные[[#This Row],[Базовая сумма]]*$O$4,N861))</f>
        <v>0</v>
      </c>
      <c r="P8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1" s="2">
        <f>ABS(Данные[[#This Row],[days_birth]])/365.2425</f>
        <v>52.789585001745415</v>
      </c>
      <c r="S8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1" s="2">
        <f>IF(Данные[[#This Row],[ interest_rate]]&gt;$T$1,Данные[[#This Row],[days_birth4]]*$T$2,Данные[[#This Row],[days_birth4]])</f>
        <v>0</v>
      </c>
      <c r="U861" s="2">
        <f>IF(Данные[[#This Row],[Проверка отказа]]="отказ",0,MAX(Данные[[#This Row],[interest_rate]],$C$1))</f>
        <v>0</v>
      </c>
      <c r="V861" s="2">
        <f>MROUND(Данные[[#This Row],[Минимум 20000]], 100)</f>
        <v>0</v>
      </c>
    </row>
    <row r="862" spans="1:22" x14ac:dyDescent="0.25">
      <c r="A862" s="2">
        <f>'1000_заявлений'!A856</f>
        <v>854</v>
      </c>
      <c r="B862" s="4">
        <f>VALUE(SUBSTITUTE('1000_заявлений'!B856, ".", ","))</f>
        <v>0.63195895274514102</v>
      </c>
      <c r="C862" s="4">
        <f>VALUE(SUBSTITUTE('1000_заявлений'!C856, ".", ","))</f>
        <v>0.35467724996983402</v>
      </c>
      <c r="D862" s="4">
        <f>VALUE(SUBSTITUTE('1000_заявлений'!D856, ".", ","))</f>
        <v>0.32331124</v>
      </c>
      <c r="E862" s="4">
        <f>VALUE(SUBSTITUTE('1000_заявлений'!E856, ".", ","))</f>
        <v>0.38625488000000002</v>
      </c>
      <c r="F862" s="5">
        <f>VALUE(SUBSTITUTE('1000_заявлений'!F856, ".", ","))</f>
        <v>-337</v>
      </c>
      <c r="G862" s="5">
        <f>VALUE(SUBSTITUTE('1000_заявлений'!G856, ".", ","))</f>
        <v>-12306</v>
      </c>
      <c r="H862" s="5">
        <f>VALUE(SUBSTITUTE('1000_заявлений'!H856, ".", ","))</f>
        <v>-4090</v>
      </c>
      <c r="I862" s="4">
        <f>VALUE(SUBSTITUTE('1000_заявлений'!I856, ".", ","))</f>
        <v>0.2</v>
      </c>
      <c r="J862" s="4">
        <f>VALUE(SUBSTITUTE('1000_заявлений'!J856, ".", ","))</f>
        <v>10.6209759779781</v>
      </c>
      <c r="K862" s="5">
        <f>VALUE(SUBSTITUTE('1000_заявлений'!K856, ".", ","))</f>
        <v>-690</v>
      </c>
      <c r="L862" s="6">
        <f>VALUE(SUBSTITUTE('1000_заявлений'!L856, ".", ","))</f>
        <v>9000</v>
      </c>
      <c r="M862" s="2" t="str">
        <f>IF(Данные[[#This Row],[proba]]&gt;$C$6, "отказ", "одобрение")</f>
        <v>отказ</v>
      </c>
      <c r="N862" s="7">
        <f>IF(Данные[[#This Row],[proba]]&lt;$D$2,$C$2,IF(Данные[[#This Row],[proba]]&lt;$D$3,$C$3,IF(Данные[[#This Row],[proba]]&gt;$C$6,0,$C$4)))</f>
        <v>0</v>
      </c>
      <c r="O862" s="2">
        <f>IF(Данные[[#This Row],[weighted_ext_score]]&gt;$O$1,MIN(Данные[[#This Row],[Базовая сумма]]*$O$2,$C$2),IF(Данные[[#This Row],[weighted_ext_score]]&lt;$O$3,Данные[[#This Row],[Базовая сумма]]*$O$4,N862))</f>
        <v>0</v>
      </c>
      <c r="P8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2" s="2">
        <f>ABS(Данные[[#This Row],[days_birth]])/365.2425</f>
        <v>33.692683628000573</v>
      </c>
      <c r="S8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2" s="2">
        <f>IF(Данные[[#This Row],[ interest_rate]]&gt;$T$1,Данные[[#This Row],[days_birth4]]*$T$2,Данные[[#This Row],[days_birth4]])</f>
        <v>0</v>
      </c>
      <c r="U862" s="2">
        <f>IF(Данные[[#This Row],[Проверка отказа]]="отказ",0,MAX(Данные[[#This Row],[interest_rate]],$C$1))</f>
        <v>0</v>
      </c>
      <c r="V862" s="2">
        <f>MROUND(Данные[[#This Row],[Минимум 20000]], 100)</f>
        <v>0</v>
      </c>
    </row>
    <row r="863" spans="1:22" x14ac:dyDescent="0.25">
      <c r="A863" s="2">
        <f>'1000_заявлений'!A857</f>
        <v>855</v>
      </c>
      <c r="B863" s="4">
        <f>VALUE(SUBSTITUTE('1000_заявлений'!B857, ".", ","))</f>
        <v>0.20559819442674099</v>
      </c>
      <c r="C863" s="4">
        <f>VALUE(SUBSTITUTE('1000_заявлений'!C857, ".", ","))</f>
        <v>0.51143413681346805</v>
      </c>
      <c r="D863" s="4">
        <f>VALUE(SUBSTITUTE('1000_заявлений'!D857, ".", ","))</f>
        <v>0.74079907</v>
      </c>
      <c r="E863" s="4">
        <f>VALUE(SUBSTITUTE('1000_заявлений'!E857, ".", ","))</f>
        <v>0.75070879999999995</v>
      </c>
      <c r="F863" s="5">
        <f>VALUE(SUBSTITUTE('1000_заявлений'!F857, ".", ","))</f>
        <v>-8314</v>
      </c>
      <c r="G863" s="5">
        <f>VALUE(SUBSTITUTE('1000_заявлений'!G857, ".", ","))</f>
        <v>-19870</v>
      </c>
      <c r="H863" s="5">
        <f>VALUE(SUBSTITUTE('1000_заявлений'!H857, ".", ","))</f>
        <v>-3358</v>
      </c>
      <c r="I863" s="4">
        <f>VALUE(SUBSTITUTE('1000_заявлений'!I857, ".", ","))</f>
        <v>0.26326666666666598</v>
      </c>
      <c r="J863" s="4">
        <f>VALUE(SUBSTITUTE('1000_заявлений'!J857, ".", ","))</f>
        <v>1.80996976939682</v>
      </c>
      <c r="K863" s="5">
        <f>VALUE(SUBSTITUTE('1000_заявлений'!K857, ".", ","))</f>
        <v>-3461</v>
      </c>
      <c r="L863" s="6">
        <f>VALUE(SUBSTITUTE('1000_заявлений'!L857, ".", ","))</f>
        <v>35541</v>
      </c>
      <c r="M863" s="2" t="str">
        <f>IF(Данные[[#This Row],[proba]]&gt;$C$6, "отказ", "одобрение")</f>
        <v>одобрение</v>
      </c>
      <c r="N863" s="7">
        <f>IF(Данные[[#This Row],[proba]]&lt;$D$2,$C$2,IF(Данные[[#This Row],[proba]]&lt;$D$3,$C$3,IF(Данные[[#This Row],[proba]]&gt;$C$6,0,$C$4)))</f>
        <v>100000</v>
      </c>
      <c r="O863" s="2">
        <f>IF(Данные[[#This Row],[weighted_ext_score]]&gt;$O$1,MIN(Данные[[#This Row],[Базовая сумма]]*$O$2,$C$2),IF(Данные[[#This Row],[weighted_ext_score]]&lt;$O$3,Данные[[#This Row],[Базовая сумма]]*$O$4,N863))</f>
        <v>100000</v>
      </c>
      <c r="P8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63" s="2">
        <f>ABS(Данные[[#This Row],[days_birth]])/365.2425</f>
        <v>54.402212228861643</v>
      </c>
      <c r="S8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863" s="2">
        <f>IF(Данные[[#This Row],[ interest_rate]]&gt;$T$1,Данные[[#This Row],[days_birth4]]*$T$2,Данные[[#This Row],[days_birth4]])</f>
        <v>126000</v>
      </c>
      <c r="U863" s="2">
        <f>IF(Данные[[#This Row],[Проверка отказа]]="отказ",0,MAX(Данные[[#This Row],[interest_rate]],$C$1))</f>
        <v>126000</v>
      </c>
      <c r="V863" s="2">
        <f>MROUND(Данные[[#This Row],[Минимум 20000]], 100)</f>
        <v>126000</v>
      </c>
    </row>
    <row r="864" spans="1:22" x14ac:dyDescent="0.25">
      <c r="A864" s="2">
        <f>'1000_заявлений'!A858</f>
        <v>856</v>
      </c>
      <c r="B864" s="4">
        <f>VALUE(SUBSTITUTE('1000_заявлений'!B858, ".", ","))</f>
        <v>0.260935312746432</v>
      </c>
      <c r="C864" s="4">
        <f>VALUE(SUBSTITUTE('1000_заявлений'!C858, ".", ","))</f>
        <v>0.478385098951988</v>
      </c>
      <c r="D864" s="4">
        <f>VALUE(SUBSTITUTE('1000_заявлений'!D858, ".", ","))</f>
        <v>0.76623370000000002</v>
      </c>
      <c r="E864" s="4">
        <f>VALUE(SUBSTITUTE('1000_заявлений'!E858, ".", ","))</f>
        <v>0.62046564000000004</v>
      </c>
      <c r="F864" s="5">
        <f>VALUE(SUBSTITUTE('1000_заявлений'!F858, ".", ","))</f>
        <v>-10300</v>
      </c>
      <c r="G864" s="5">
        <f>VALUE(SUBSTITUTE('1000_заявлений'!G858, ".", ","))</f>
        <v>-17869</v>
      </c>
      <c r="H864" s="5">
        <f>VALUE(SUBSTITUTE('1000_заявлений'!H858, ".", ","))</f>
        <v>-1406</v>
      </c>
      <c r="I864" s="4">
        <f>VALUE(SUBSTITUTE('1000_заявлений'!I858, ".", ","))</f>
        <v>0.21132000000000001</v>
      </c>
      <c r="J864" s="4">
        <f>VALUE(SUBSTITUTE('1000_заявлений'!J858, ".", ","))</f>
        <v>1.9305916734964901</v>
      </c>
      <c r="K864" s="5">
        <f>VALUE(SUBSTITUTE('1000_заявлений'!K858, ".", ","))</f>
        <v>-6912</v>
      </c>
      <c r="L864" s="6">
        <f>VALUE(SUBSTITUTE('1000_заявлений'!L858, ".", ","))</f>
        <v>23773.5</v>
      </c>
      <c r="M864" s="2" t="str">
        <f>IF(Данные[[#This Row],[proba]]&gt;$C$6, "отказ", "одобрение")</f>
        <v>одобрение</v>
      </c>
      <c r="N864" s="7">
        <f>IF(Данные[[#This Row],[proba]]&lt;$D$2,$C$2,IF(Данные[[#This Row],[proba]]&lt;$D$3,$C$3,IF(Данные[[#This Row],[proba]]&gt;$C$6,0,$C$4)))</f>
        <v>100000</v>
      </c>
      <c r="O864" s="2">
        <f>IF(Данные[[#This Row],[weighted_ext_score]]&gt;$O$1,MIN(Данные[[#This Row],[Базовая сумма]]*$O$2,$C$2),IF(Данные[[#This Row],[weighted_ext_score]]&lt;$O$3,Данные[[#This Row],[Базовая сумма]]*$O$4,N864))</f>
        <v>100000</v>
      </c>
      <c r="P8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64" s="2">
        <f>ABS(Данные[[#This Row],[days_birth]])/365.2425</f>
        <v>48.92366030787764</v>
      </c>
      <c r="S8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864" s="2">
        <f>IF(Данные[[#This Row],[ interest_rate]]&gt;$T$1,Данные[[#This Row],[days_birth4]]*$T$2,Данные[[#This Row],[days_birth4]])</f>
        <v>120000</v>
      </c>
      <c r="U864" s="2">
        <f>IF(Данные[[#This Row],[Проверка отказа]]="отказ",0,MAX(Данные[[#This Row],[interest_rate]],$C$1))</f>
        <v>120000</v>
      </c>
      <c r="V864" s="2">
        <f>MROUND(Данные[[#This Row],[Минимум 20000]], 100)</f>
        <v>120000</v>
      </c>
    </row>
    <row r="865" spans="1:22" x14ac:dyDescent="0.25">
      <c r="A865" s="2">
        <f>'1000_заявлений'!A859</f>
        <v>857</v>
      </c>
      <c r="B865" s="4">
        <f>VALUE(SUBSTITUTE('1000_заявлений'!B859, ".", ","))</f>
        <v>0.21390666568840699</v>
      </c>
      <c r="C865" s="4">
        <f>VALUE(SUBSTITUTE('1000_заявлений'!C859, ".", ","))</f>
        <v>0.44138684411464801</v>
      </c>
      <c r="D865" s="4">
        <f>VALUE(SUBSTITUTE('1000_заявлений'!D859, ".", ","))</f>
        <v>0.62461465999999999</v>
      </c>
      <c r="E865" s="4">
        <f>VALUE(SUBSTITUTE('1000_заявлений'!E859, ".", ","))</f>
        <v>0.66430502999999996</v>
      </c>
      <c r="F865" s="5">
        <f>VALUE(SUBSTITUTE('1000_заявлений'!F859, ".", ","))</f>
        <v>-9103</v>
      </c>
      <c r="G865" s="5">
        <f>VALUE(SUBSTITUTE('1000_заявлений'!G859, ".", ","))</f>
        <v>-20552</v>
      </c>
      <c r="H865" s="5">
        <f>VALUE(SUBSTITUTE('1000_заявлений'!H859, ".", ","))</f>
        <v>-4046</v>
      </c>
      <c r="I865" s="4">
        <f>VALUE(SUBSTITUTE('1000_заявлений'!I859, ".", ","))</f>
        <v>4.66714490674318E-2</v>
      </c>
      <c r="J865" s="4">
        <f>VALUE(SUBSTITUTE('1000_заявлений'!J859, ".", ","))</f>
        <v>4.6748055163675799</v>
      </c>
      <c r="K865" s="5">
        <f>VALUE(SUBSTITUTE('1000_заявлений'!K859, ".", ","))</f>
        <v>365243</v>
      </c>
      <c r="L865" s="6">
        <f>VALUE(SUBSTITUTE('1000_заявлений'!L859, ".", ","))</f>
        <v>14638.5</v>
      </c>
      <c r="M865" s="2" t="str">
        <f>IF(Данные[[#This Row],[proba]]&gt;$C$6, "отказ", "одобрение")</f>
        <v>одобрение</v>
      </c>
      <c r="N865" s="7">
        <f>IF(Данные[[#This Row],[proba]]&lt;$D$2,$C$2,IF(Данные[[#This Row],[proba]]&lt;$D$3,$C$3,IF(Данные[[#This Row],[proba]]&gt;$C$6,0,$C$4)))</f>
        <v>100000</v>
      </c>
      <c r="O865" s="2">
        <f>IF(Данные[[#This Row],[weighted_ext_score]]&gt;$O$1,MIN(Данные[[#This Row],[Базовая сумма]]*$O$2,$C$2),IF(Данные[[#This Row],[weighted_ext_score]]&lt;$O$3,Данные[[#This Row],[Базовая сумма]]*$O$4,N865))</f>
        <v>100000</v>
      </c>
      <c r="P8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65" s="2">
        <f>ABS(Данные[[#This Row],[days_birth]])/365.2425</f>
        <v>56.269464807627806</v>
      </c>
      <c r="S8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865" s="2">
        <f>IF(Данные[[#This Row],[ interest_rate]]&gt;$T$1,Данные[[#This Row],[days_birth4]]*$T$2,Данные[[#This Row],[days_birth4]])</f>
        <v>126000</v>
      </c>
      <c r="U865" s="2">
        <f>IF(Данные[[#This Row],[Проверка отказа]]="отказ",0,MAX(Данные[[#This Row],[interest_rate]],$C$1))</f>
        <v>126000</v>
      </c>
      <c r="V865" s="2">
        <f>MROUND(Данные[[#This Row],[Минимум 20000]], 100)</f>
        <v>126000</v>
      </c>
    </row>
    <row r="866" spans="1:22" x14ac:dyDescent="0.25">
      <c r="A866" s="2">
        <f>'1000_заявлений'!A860</f>
        <v>858</v>
      </c>
      <c r="B866" s="4">
        <f>VALUE(SUBSTITUTE('1000_заявлений'!B860, ".", ","))</f>
        <v>0.63138004203912301</v>
      </c>
      <c r="C866" s="4">
        <f>VALUE(SUBSTITUTE('1000_заявлений'!C860, ".", ","))</f>
        <v>0.330493913480645</v>
      </c>
      <c r="D866" s="4">
        <f>VALUE(SUBSTITUTE('1000_заявлений'!D860, ".", ","))</f>
        <v>0.46865966999999997</v>
      </c>
      <c r="E866" s="4">
        <f>VALUE(SUBSTITUTE('1000_заявлений'!E860, ".", ","))</f>
        <v>0.26611388000000002</v>
      </c>
      <c r="F866" s="5">
        <f>VALUE(SUBSTITUTE('1000_заявлений'!F860, ".", ","))</f>
        <v>-4648</v>
      </c>
      <c r="G866" s="5">
        <f>VALUE(SUBSTITUTE('1000_заявлений'!G860, ".", ","))</f>
        <v>-10915</v>
      </c>
      <c r="H866" s="5">
        <f>VALUE(SUBSTITUTE('1000_заявлений'!H860, ".", ","))</f>
        <v>-3444</v>
      </c>
      <c r="I866" s="4">
        <f>VALUE(SUBSTITUTE('1000_заявлений'!I860, ".", ","))</f>
        <v>0.13404444444444399</v>
      </c>
      <c r="J866" s="4">
        <f>VALUE(SUBSTITUTE('1000_заявлений'!J860, ".", ","))</f>
        <v>4.6197886003463697</v>
      </c>
      <c r="K866" s="5">
        <f>VALUE(SUBSTITUTE('1000_заявлений'!K860, ".", ","))</f>
        <v>-1579</v>
      </c>
      <c r="L866" s="6">
        <f>VALUE(SUBSTITUTE('1000_заявлений'!L860, ".", ","))</f>
        <v>13572</v>
      </c>
      <c r="M866" s="2" t="str">
        <f>IF(Данные[[#This Row],[proba]]&gt;$C$6, "отказ", "одобрение")</f>
        <v>отказ</v>
      </c>
      <c r="N866" s="7">
        <f>IF(Данные[[#This Row],[proba]]&lt;$D$2,$C$2,IF(Данные[[#This Row],[proba]]&lt;$D$3,$C$3,IF(Данные[[#This Row],[proba]]&gt;$C$6,0,$C$4)))</f>
        <v>0</v>
      </c>
      <c r="O866" s="2">
        <f>IF(Данные[[#This Row],[weighted_ext_score]]&gt;$O$1,MIN(Данные[[#This Row],[Базовая сумма]]*$O$2,$C$2),IF(Данные[[#This Row],[weighted_ext_score]]&lt;$O$3,Данные[[#This Row],[Базовая сумма]]*$O$4,N866))</f>
        <v>0</v>
      </c>
      <c r="P8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6" s="2">
        <f>ABS(Данные[[#This Row],[days_birth]])/365.2425</f>
        <v>29.884254981279561</v>
      </c>
      <c r="S8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6" s="2">
        <f>IF(Данные[[#This Row],[ interest_rate]]&gt;$T$1,Данные[[#This Row],[days_birth4]]*$T$2,Данные[[#This Row],[days_birth4]])</f>
        <v>0</v>
      </c>
      <c r="U866" s="2">
        <f>IF(Данные[[#This Row],[Проверка отказа]]="отказ",0,MAX(Данные[[#This Row],[interest_rate]],$C$1))</f>
        <v>0</v>
      </c>
      <c r="V866" s="2">
        <f>MROUND(Данные[[#This Row],[Минимум 20000]], 100)</f>
        <v>0</v>
      </c>
    </row>
    <row r="867" spans="1:22" x14ac:dyDescent="0.25">
      <c r="A867" s="2">
        <f>'1000_заявлений'!A861</f>
        <v>859</v>
      </c>
      <c r="B867" s="4">
        <f>VALUE(SUBSTITUTE('1000_заявлений'!B861, ".", ","))</f>
        <v>0.32938044574695002</v>
      </c>
      <c r="C867" s="4">
        <f>VALUE(SUBSTITUTE('1000_заявлений'!C861, ".", ","))</f>
        <v>0.23819510715000999</v>
      </c>
      <c r="D867" s="4">
        <f>VALUE(SUBSTITUTE('1000_заявлений'!D861, ".", ","))</f>
        <v>0.53527623000000002</v>
      </c>
      <c r="E867" s="4">
        <f>VALUE(SUBSTITUTE('1000_заявлений'!E861, ".", ","))</f>
        <v>0.73431592999999995</v>
      </c>
      <c r="F867" s="5">
        <f>VALUE(SUBSTITUTE('1000_заявлений'!F861, ".", ","))</f>
        <v>-11027</v>
      </c>
      <c r="G867" s="5">
        <f>VALUE(SUBSTITUTE('1000_заявлений'!G861, ".", ","))</f>
        <v>-22069</v>
      </c>
      <c r="H867" s="5">
        <f>VALUE(SUBSTITUTE('1000_заявлений'!H861, ".", ","))</f>
        <v>-4904</v>
      </c>
      <c r="I867" s="4">
        <f>VALUE(SUBSTITUTE('1000_заявлений'!I861, ".", ","))</f>
        <v>0.22095000000000001</v>
      </c>
      <c r="J867" s="4">
        <f>VALUE(SUBSTITUTE('1000_заявлений'!J861, ".", ","))</f>
        <v>4.5404773809129804</v>
      </c>
      <c r="K867" s="5">
        <f>VALUE(SUBSTITUTE('1000_заявлений'!K861, ".", ","))</f>
        <v>365243</v>
      </c>
      <c r="L867" s="6">
        <f>VALUE(SUBSTITUTE('1000_заявлений'!L861, ".", ","))</f>
        <v>19885.5</v>
      </c>
      <c r="M867" s="2" t="str">
        <f>IF(Данные[[#This Row],[proba]]&gt;$C$6, "отказ", "одобрение")</f>
        <v>отказ</v>
      </c>
      <c r="N867" s="7">
        <f>IF(Данные[[#This Row],[proba]]&lt;$D$2,$C$2,IF(Данные[[#This Row],[proba]]&lt;$D$3,$C$3,IF(Данные[[#This Row],[proba]]&gt;$C$6,0,$C$4)))</f>
        <v>0</v>
      </c>
      <c r="O867" s="2">
        <f>IF(Данные[[#This Row],[weighted_ext_score]]&gt;$O$1,MIN(Данные[[#This Row],[Базовая сумма]]*$O$2,$C$2),IF(Данные[[#This Row],[weighted_ext_score]]&lt;$O$3,Данные[[#This Row],[Базовая сумма]]*$O$4,N867))</f>
        <v>0</v>
      </c>
      <c r="P8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7" s="2">
        <f>ABS(Данные[[#This Row],[days_birth]])/365.2425</f>
        <v>60.422869737229377</v>
      </c>
      <c r="S8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7" s="2">
        <f>IF(Данные[[#This Row],[ interest_rate]]&gt;$T$1,Данные[[#This Row],[days_birth4]]*$T$2,Данные[[#This Row],[days_birth4]])</f>
        <v>0</v>
      </c>
      <c r="U867" s="2">
        <f>IF(Данные[[#This Row],[Проверка отказа]]="отказ",0,MAX(Данные[[#This Row],[interest_rate]],$C$1))</f>
        <v>0</v>
      </c>
      <c r="V867" s="2">
        <f>MROUND(Данные[[#This Row],[Минимум 20000]], 100)</f>
        <v>0</v>
      </c>
    </row>
    <row r="868" spans="1:22" x14ac:dyDescent="0.25">
      <c r="A868" s="2">
        <f>'1000_заявлений'!A862</f>
        <v>860</v>
      </c>
      <c r="B868" s="4">
        <f>VALUE(SUBSTITUTE('1000_заявлений'!B862, ".", ","))</f>
        <v>0.43000761544250798</v>
      </c>
      <c r="C868" s="4">
        <f>VALUE(SUBSTITUTE('1000_заявлений'!C862, ".", ","))</f>
        <v>0.21886257622271299</v>
      </c>
      <c r="D868" s="4">
        <f>VALUE(SUBSTITUTE('1000_заявлений'!D862, ".", ","))</f>
        <v>0.53527623000000002</v>
      </c>
      <c r="E868" s="4">
        <f>VALUE(SUBSTITUTE('1000_заявлений'!E862, ".", ","))</f>
        <v>0.67471694999999998</v>
      </c>
      <c r="F868" s="5">
        <f>VALUE(SUBSTITUTE('1000_заявлений'!F862, ".", ","))</f>
        <v>-9181</v>
      </c>
      <c r="G868" s="5">
        <f>VALUE(SUBSTITUTE('1000_заявлений'!G862, ".", ","))</f>
        <v>-19920</v>
      </c>
      <c r="H868" s="5">
        <f>VALUE(SUBSTITUTE('1000_заявлений'!H862, ".", ","))</f>
        <v>-3080</v>
      </c>
      <c r="I868" s="4">
        <f>VALUE(SUBSTITUTE('1000_заявлений'!I862, ".", ","))</f>
        <v>0.16286</v>
      </c>
      <c r="J868" s="4">
        <f>VALUE(SUBSTITUTE('1000_заявлений'!J862, ".", ","))</f>
        <v>0.98505729674087605</v>
      </c>
      <c r="K868" s="5">
        <f>VALUE(SUBSTITUTE('1000_заявлений'!K862, ".", ","))</f>
        <v>-1049</v>
      </c>
      <c r="L868" s="6">
        <f>VALUE(SUBSTITUTE('1000_заявлений'!L862, ".", ","))</f>
        <v>36643.5</v>
      </c>
      <c r="M868" s="2" t="str">
        <f>IF(Данные[[#This Row],[proba]]&gt;$C$6, "отказ", "одобрение")</f>
        <v>отказ</v>
      </c>
      <c r="N868" s="7">
        <f>IF(Данные[[#This Row],[proba]]&lt;$D$2,$C$2,IF(Данные[[#This Row],[proba]]&lt;$D$3,$C$3,IF(Данные[[#This Row],[proba]]&gt;$C$6,0,$C$4)))</f>
        <v>0</v>
      </c>
      <c r="O868" s="2">
        <f>IF(Данные[[#This Row],[weighted_ext_score]]&gt;$O$1,MIN(Данные[[#This Row],[Базовая сумма]]*$O$2,$C$2),IF(Данные[[#This Row],[weighted_ext_score]]&lt;$O$3,Данные[[#This Row],[Базовая сумма]]*$O$4,N868))</f>
        <v>0</v>
      </c>
      <c r="P8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8" s="2">
        <f>ABS(Данные[[#This Row],[days_birth]])/365.2425</f>
        <v>54.53910757921107</v>
      </c>
      <c r="S8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8" s="2">
        <f>IF(Данные[[#This Row],[ interest_rate]]&gt;$T$1,Данные[[#This Row],[days_birth4]]*$T$2,Данные[[#This Row],[days_birth4]])</f>
        <v>0</v>
      </c>
      <c r="U868" s="2">
        <f>IF(Данные[[#This Row],[Проверка отказа]]="отказ",0,MAX(Данные[[#This Row],[interest_rate]],$C$1))</f>
        <v>0</v>
      </c>
      <c r="V868" s="2">
        <f>MROUND(Данные[[#This Row],[Минимум 20000]], 100)</f>
        <v>0</v>
      </c>
    </row>
    <row r="869" spans="1:22" x14ac:dyDescent="0.25">
      <c r="A869" s="2">
        <f>'1000_заявлений'!A863</f>
        <v>861</v>
      </c>
      <c r="B869" s="4">
        <f>VALUE(SUBSTITUTE('1000_заявлений'!B863, ".", ","))</f>
        <v>0.36434149709422298</v>
      </c>
      <c r="C869" s="4">
        <f>VALUE(SUBSTITUTE('1000_заявлений'!C863, ".", ","))</f>
        <v>0.383898914523013</v>
      </c>
      <c r="D869" s="4">
        <f>VALUE(SUBSTITUTE('1000_заявлений'!D863, ".", ","))</f>
        <v>0.55138129999999996</v>
      </c>
      <c r="E869" s="4">
        <f>VALUE(SUBSTITUTE('1000_заявлений'!E863, ".", ","))</f>
        <v>0.56873119999999999</v>
      </c>
      <c r="F869" s="5">
        <f>VALUE(SUBSTITUTE('1000_заявлений'!F863, ".", ","))</f>
        <v>-4688</v>
      </c>
      <c r="G869" s="5">
        <f>VALUE(SUBSTITUTE('1000_заявлений'!G863, ".", ","))</f>
        <v>-9935</v>
      </c>
      <c r="H869" s="5">
        <f>VALUE(SUBSTITUTE('1000_заявлений'!H863, ".", ","))</f>
        <v>-2213</v>
      </c>
      <c r="I869" s="4">
        <f>VALUE(SUBSTITUTE('1000_заявлений'!I863, ".", ","))</f>
        <v>0.12620000000000001</v>
      </c>
      <c r="J869" s="4">
        <f>VALUE(SUBSTITUTE('1000_заявлений'!J863, ".", ","))</f>
        <v>20.8192311151806</v>
      </c>
      <c r="K869" s="5">
        <f>VALUE(SUBSTITUTE('1000_заявлений'!K863, ".", ","))</f>
        <v>-2762</v>
      </c>
      <c r="L869" s="6">
        <f>VALUE(SUBSTITUTE('1000_заявлений'!L863, ".", ","))</f>
        <v>11358</v>
      </c>
      <c r="M869" s="2" t="str">
        <f>IF(Данные[[#This Row],[proba]]&gt;$C$6, "отказ", "одобрение")</f>
        <v>отказ</v>
      </c>
      <c r="N869" s="7">
        <f>IF(Данные[[#This Row],[proba]]&lt;$D$2,$C$2,IF(Данные[[#This Row],[proba]]&lt;$D$3,$C$3,IF(Данные[[#This Row],[proba]]&gt;$C$6,0,$C$4)))</f>
        <v>0</v>
      </c>
      <c r="O869" s="2">
        <f>IF(Данные[[#This Row],[weighted_ext_score]]&gt;$O$1,MIN(Данные[[#This Row],[Базовая сумма]]*$O$2,$C$2),IF(Данные[[#This Row],[weighted_ext_score]]&lt;$O$3,Данные[[#This Row],[Базовая сумма]]*$O$4,N869))</f>
        <v>0</v>
      </c>
      <c r="P8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69" s="2">
        <f>ABS(Данные[[#This Row],[days_birth]])/365.2425</f>
        <v>27.201106114430821</v>
      </c>
      <c r="S8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69" s="2">
        <f>IF(Данные[[#This Row],[ interest_rate]]&gt;$T$1,Данные[[#This Row],[days_birth4]]*$T$2,Данные[[#This Row],[days_birth4]])</f>
        <v>0</v>
      </c>
      <c r="U869" s="2">
        <f>IF(Данные[[#This Row],[Проверка отказа]]="отказ",0,MAX(Данные[[#This Row],[interest_rate]],$C$1))</f>
        <v>0</v>
      </c>
      <c r="V869" s="2">
        <f>MROUND(Данные[[#This Row],[Минимум 20000]], 100)</f>
        <v>0</v>
      </c>
    </row>
    <row r="870" spans="1:22" x14ac:dyDescent="0.25">
      <c r="A870" s="2">
        <f>'1000_заявлений'!A864</f>
        <v>862</v>
      </c>
      <c r="B870" s="4">
        <f>VALUE(SUBSTITUTE('1000_заявлений'!B864, ".", ","))</f>
        <v>0.29866565035999298</v>
      </c>
      <c r="C870" s="4">
        <f>VALUE(SUBSTITUTE('1000_заявлений'!C864, ".", ","))</f>
        <v>0.44505039901892202</v>
      </c>
      <c r="D870" s="4">
        <f>VALUE(SUBSTITUTE('1000_заявлений'!D864, ".", ","))</f>
        <v>0.53527623000000002</v>
      </c>
      <c r="E870" s="4">
        <f>VALUE(SUBSTITUTE('1000_заявлений'!E864, ".", ","))</f>
        <v>0.74486494000000003</v>
      </c>
      <c r="F870" s="5">
        <f>VALUE(SUBSTITUTE('1000_заявлений'!F864, ".", ","))</f>
        <v>-1923</v>
      </c>
      <c r="G870" s="5">
        <f>VALUE(SUBSTITUTE('1000_заявлений'!G864, ".", ","))</f>
        <v>-13277</v>
      </c>
      <c r="H870" s="5">
        <f>VALUE(SUBSTITUTE('1000_заявлений'!H864, ".", ","))</f>
        <v>-4019</v>
      </c>
      <c r="I870" s="4">
        <f>VALUE(SUBSTITUTE('1000_заявлений'!I864, ".", ","))</f>
        <v>0.12</v>
      </c>
      <c r="J870" s="4">
        <f>VALUE(SUBSTITUTE('1000_заявлений'!J864, ".", ","))</f>
        <v>10.6209759779781</v>
      </c>
      <c r="K870" s="5">
        <f>VALUE(SUBSTITUTE('1000_заявлений'!K864, ".", ","))</f>
        <v>-831</v>
      </c>
      <c r="L870" s="6">
        <f>VALUE(SUBSTITUTE('1000_заявлений'!L864, ".", ","))</f>
        <v>13500</v>
      </c>
      <c r="M870" s="2" t="str">
        <f>IF(Данные[[#This Row],[proba]]&gt;$C$6, "отказ", "одобрение")</f>
        <v>одобрение</v>
      </c>
      <c r="N870" s="7">
        <f>IF(Данные[[#This Row],[proba]]&lt;$D$2,$C$2,IF(Данные[[#This Row],[proba]]&lt;$D$3,$C$3,IF(Данные[[#This Row],[proba]]&gt;$C$6,0,$C$4)))</f>
        <v>100000</v>
      </c>
      <c r="O870" s="2">
        <f>IF(Данные[[#This Row],[weighted_ext_score]]&gt;$O$1,MIN(Данные[[#This Row],[Базовая сумма]]*$O$2,$C$2),IF(Данные[[#This Row],[weighted_ext_score]]&lt;$O$3,Данные[[#This Row],[Базовая сумма]]*$O$4,N870))</f>
        <v>100000</v>
      </c>
      <c r="P8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870" s="2">
        <f>ABS(Данные[[#This Row],[days_birth]])/365.2425</f>
        <v>36.351191331786417</v>
      </c>
      <c r="S8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870" s="2">
        <f>IF(Данные[[#This Row],[ interest_rate]]&gt;$T$1,Данные[[#This Row],[days_birth4]]*$T$2,Данные[[#This Row],[days_birth4]])</f>
        <v>84000</v>
      </c>
      <c r="U870" s="2">
        <f>IF(Данные[[#This Row],[Проверка отказа]]="отказ",0,MAX(Данные[[#This Row],[interest_rate]],$C$1))</f>
        <v>84000</v>
      </c>
      <c r="V870" s="2">
        <f>MROUND(Данные[[#This Row],[Минимум 20000]], 100)</f>
        <v>84000</v>
      </c>
    </row>
    <row r="871" spans="1:22" x14ac:dyDescent="0.25">
      <c r="A871" s="2">
        <f>'1000_заявлений'!A865</f>
        <v>863</v>
      </c>
      <c r="B871" s="4">
        <f>VALUE(SUBSTITUTE('1000_заявлений'!B865, ".", ","))</f>
        <v>0.375224317181369</v>
      </c>
      <c r="C871" s="4">
        <f>VALUE(SUBSTITUTE('1000_заявлений'!C865, ".", ","))</f>
        <v>0.42032341906021697</v>
      </c>
      <c r="D871" s="4">
        <f>VALUE(SUBSTITUTE('1000_заявлений'!D865, ".", ","))</f>
        <v>0.47225335000000002</v>
      </c>
      <c r="E871" s="4">
        <f>VALUE(SUBSTITUTE('1000_заявлений'!E865, ".", ","))</f>
        <v>0.76924599999999999</v>
      </c>
      <c r="F871" s="5">
        <f>VALUE(SUBSTITUTE('1000_заявлений'!F865, ".", ","))</f>
        <v>-6206</v>
      </c>
      <c r="G871" s="5">
        <f>VALUE(SUBSTITUTE('1000_заявлений'!G865, ".", ","))</f>
        <v>-17048</v>
      </c>
      <c r="H871" s="5">
        <f>VALUE(SUBSTITUTE('1000_заявлений'!H865, ".", ","))</f>
        <v>-608</v>
      </c>
      <c r="I871" s="4">
        <f>VALUE(SUBSTITUTE('1000_заявлений'!I865, ".", ","))</f>
        <v>0.23951111111111101</v>
      </c>
      <c r="J871" s="4">
        <f>VALUE(SUBSTITUTE('1000_заявлений'!J865, ".", ","))</f>
        <v>2.7716363984807</v>
      </c>
      <c r="K871" s="5">
        <f>VALUE(SUBSTITUTE('1000_заявлений'!K865, ".", ","))</f>
        <v>-3119</v>
      </c>
      <c r="L871" s="6">
        <f>VALUE(SUBSTITUTE('1000_заявлений'!L865, ".", ","))</f>
        <v>48501</v>
      </c>
      <c r="M871" s="2" t="str">
        <f>IF(Данные[[#This Row],[proba]]&gt;$C$6, "отказ", "одобрение")</f>
        <v>отказ</v>
      </c>
      <c r="N871" s="7">
        <f>IF(Данные[[#This Row],[proba]]&lt;$D$2,$C$2,IF(Данные[[#This Row],[proba]]&lt;$D$3,$C$3,IF(Данные[[#This Row],[proba]]&gt;$C$6,0,$C$4)))</f>
        <v>0</v>
      </c>
      <c r="O871" s="2">
        <f>IF(Данные[[#This Row],[weighted_ext_score]]&gt;$O$1,MIN(Данные[[#This Row],[Базовая сумма]]*$O$2,$C$2),IF(Данные[[#This Row],[weighted_ext_score]]&lt;$O$3,Данные[[#This Row],[Базовая сумма]]*$O$4,N871))</f>
        <v>0</v>
      </c>
      <c r="P8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1" s="2">
        <f>ABS(Данные[[#This Row],[days_birth]])/365.2425</f>
        <v>46.675838655140076</v>
      </c>
      <c r="S8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1" s="2">
        <f>IF(Данные[[#This Row],[ interest_rate]]&gt;$T$1,Данные[[#This Row],[days_birth4]]*$T$2,Данные[[#This Row],[days_birth4]])</f>
        <v>0</v>
      </c>
      <c r="U871" s="2">
        <f>IF(Данные[[#This Row],[Проверка отказа]]="отказ",0,MAX(Данные[[#This Row],[interest_rate]],$C$1))</f>
        <v>0</v>
      </c>
      <c r="V871" s="2">
        <f>MROUND(Данные[[#This Row],[Минимум 20000]], 100)</f>
        <v>0</v>
      </c>
    </row>
    <row r="872" spans="1:22" x14ac:dyDescent="0.25">
      <c r="A872" s="2">
        <f>'1000_заявлений'!A866</f>
        <v>864</v>
      </c>
      <c r="B872" s="4">
        <f>VALUE(SUBSTITUTE('1000_заявлений'!B866, ".", ","))</f>
        <v>0.34751458605013502</v>
      </c>
      <c r="C872" s="4">
        <f>VALUE(SUBSTITUTE('1000_заявлений'!C866, ".", ","))</f>
        <v>0.42330705754249398</v>
      </c>
      <c r="D872" s="4">
        <f>VALUE(SUBSTITUTE('1000_заявлений'!D866, ".", ","))</f>
        <v>0.7776594</v>
      </c>
      <c r="E872" s="4">
        <f>VALUE(SUBSTITUTE('1000_заявлений'!E866, ".", ","))</f>
        <v>0.43793005000000002</v>
      </c>
      <c r="F872" s="5">
        <f>VALUE(SUBSTITUTE('1000_заявлений'!F866, ".", ","))</f>
        <v>-2880</v>
      </c>
      <c r="G872" s="5">
        <f>VALUE(SUBSTITUTE('1000_заявлений'!G866, ".", ","))</f>
        <v>-18810</v>
      </c>
      <c r="H872" s="5">
        <f>VALUE(SUBSTITUTE('1000_заявлений'!H866, ".", ","))</f>
        <v>-2364</v>
      </c>
      <c r="I872" s="4">
        <f>VALUE(SUBSTITUTE('1000_заявлений'!I866, ".", ","))</f>
        <v>0.248823529411764</v>
      </c>
      <c r="J872" s="4">
        <f>VALUE(SUBSTITUTE('1000_заявлений'!J866, ".", ","))</f>
        <v>3.66949904978972</v>
      </c>
      <c r="K872" s="5">
        <f>VALUE(SUBSTITUTE('1000_заявлений'!K866, ".", ","))</f>
        <v>-2299</v>
      </c>
      <c r="L872" s="6">
        <f>VALUE(SUBSTITUTE('1000_заявлений'!L866, ".", ","))</f>
        <v>19035</v>
      </c>
      <c r="M872" s="2" t="str">
        <f>IF(Данные[[#This Row],[proba]]&gt;$C$6, "отказ", "одобрение")</f>
        <v>отказ</v>
      </c>
      <c r="N872" s="7">
        <f>IF(Данные[[#This Row],[proba]]&lt;$D$2,$C$2,IF(Данные[[#This Row],[proba]]&lt;$D$3,$C$3,IF(Данные[[#This Row],[proba]]&gt;$C$6,0,$C$4)))</f>
        <v>0</v>
      </c>
      <c r="O872" s="2">
        <f>IF(Данные[[#This Row],[weighted_ext_score]]&gt;$O$1,MIN(Данные[[#This Row],[Базовая сумма]]*$O$2,$C$2),IF(Данные[[#This Row],[weighted_ext_score]]&lt;$O$3,Данные[[#This Row],[Базовая сумма]]*$O$4,N872))</f>
        <v>0</v>
      </c>
      <c r="P8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2" s="2">
        <f>ABS(Данные[[#This Row],[days_birth]])/365.2425</f>
        <v>51.500030801453825</v>
      </c>
      <c r="S8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2" s="2">
        <f>IF(Данные[[#This Row],[ interest_rate]]&gt;$T$1,Данные[[#This Row],[days_birth4]]*$T$2,Данные[[#This Row],[days_birth4]])</f>
        <v>0</v>
      </c>
      <c r="U872" s="2">
        <f>IF(Данные[[#This Row],[Проверка отказа]]="отказ",0,MAX(Данные[[#This Row],[interest_rate]],$C$1))</f>
        <v>0</v>
      </c>
      <c r="V872" s="2">
        <f>MROUND(Данные[[#This Row],[Минимум 20000]], 100)</f>
        <v>0</v>
      </c>
    </row>
    <row r="873" spans="1:22" x14ac:dyDescent="0.25">
      <c r="A873" s="2">
        <f>'1000_заявлений'!A867</f>
        <v>865</v>
      </c>
      <c r="B873" s="4">
        <f>VALUE(SUBSTITUTE('1000_заявлений'!B867, ".", ","))</f>
        <v>0.46365463403234602</v>
      </c>
      <c r="C873" s="4">
        <f>VALUE(SUBSTITUTE('1000_заявлений'!C867, ".", ","))</f>
        <v>0.303630863737538</v>
      </c>
      <c r="D873" s="4">
        <f>VALUE(SUBSTITUTE('1000_заявлений'!D867, ".", ","))</f>
        <v>0.55850659999999996</v>
      </c>
      <c r="E873" s="4">
        <f>VALUE(SUBSTITUTE('1000_заявлений'!E867, ".", ","))</f>
        <v>0.31333375000000002</v>
      </c>
      <c r="F873" s="5">
        <f>VALUE(SUBSTITUTE('1000_заявлений'!F867, ".", ","))</f>
        <v>-8645</v>
      </c>
      <c r="G873" s="5">
        <f>VALUE(SUBSTITUTE('1000_заявлений'!G867, ".", ","))</f>
        <v>-20483</v>
      </c>
      <c r="H873" s="5">
        <f>VALUE(SUBSTITUTE('1000_заявлений'!H867, ".", ","))</f>
        <v>-4036</v>
      </c>
      <c r="I873" s="4">
        <f>VALUE(SUBSTITUTE('1000_заявлений'!I867, ".", ","))</f>
        <v>0.231833333333333</v>
      </c>
      <c r="J873" s="4">
        <f>VALUE(SUBSTITUTE('1000_заявлений'!J867, ".", ","))</f>
        <v>8.3918028141144596</v>
      </c>
      <c r="K873" s="5">
        <f>VALUE(SUBSTITUTE('1000_заявлений'!K867, ".", ","))</f>
        <v>365243</v>
      </c>
      <c r="L873" s="6">
        <f>VALUE(SUBSTITUTE('1000_заявлений'!L867, ".", ","))</f>
        <v>12519</v>
      </c>
      <c r="M873" s="2" t="str">
        <f>IF(Данные[[#This Row],[proba]]&gt;$C$6, "отказ", "одобрение")</f>
        <v>отказ</v>
      </c>
      <c r="N873" s="7">
        <f>IF(Данные[[#This Row],[proba]]&lt;$D$2,$C$2,IF(Данные[[#This Row],[proba]]&lt;$D$3,$C$3,IF(Данные[[#This Row],[proba]]&gt;$C$6,0,$C$4)))</f>
        <v>0</v>
      </c>
      <c r="O873" s="2">
        <f>IF(Данные[[#This Row],[weighted_ext_score]]&gt;$O$1,MIN(Данные[[#This Row],[Базовая сумма]]*$O$2,$C$2),IF(Данные[[#This Row],[weighted_ext_score]]&lt;$O$3,Данные[[#This Row],[Базовая сумма]]*$O$4,N873))</f>
        <v>0</v>
      </c>
      <c r="P8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3" s="2">
        <f>ABS(Данные[[#This Row],[days_birth]])/365.2425</f>
        <v>56.080549224145599</v>
      </c>
      <c r="S8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3" s="2">
        <f>IF(Данные[[#This Row],[ interest_rate]]&gt;$T$1,Данные[[#This Row],[days_birth4]]*$T$2,Данные[[#This Row],[days_birth4]])</f>
        <v>0</v>
      </c>
      <c r="U873" s="2">
        <f>IF(Данные[[#This Row],[Проверка отказа]]="отказ",0,MAX(Данные[[#This Row],[interest_rate]],$C$1))</f>
        <v>0</v>
      </c>
      <c r="V873" s="2">
        <f>MROUND(Данные[[#This Row],[Минимум 20000]], 100)</f>
        <v>0</v>
      </c>
    </row>
    <row r="874" spans="1:22" x14ac:dyDescent="0.25">
      <c r="A874" s="2">
        <f>'1000_заявлений'!A868</f>
        <v>866</v>
      </c>
      <c r="B874" s="4">
        <f>VALUE(SUBSTITUTE('1000_заявлений'!B868, ".", ","))</f>
        <v>0.234075091380364</v>
      </c>
      <c r="C874" s="4">
        <f>VALUE(SUBSTITUTE('1000_заявлений'!C868, ".", ","))</f>
        <v>0.46719042422262502</v>
      </c>
      <c r="D874" s="4">
        <f>VALUE(SUBSTITUTE('1000_заявлений'!D868, ".", ","))</f>
        <v>0.78505199999999997</v>
      </c>
      <c r="E874" s="4">
        <f>VALUE(SUBSTITUTE('1000_заявлений'!E868, ".", ","))</f>
        <v>0.56497275999999996</v>
      </c>
      <c r="F874" s="5">
        <f>VALUE(SUBSTITUTE('1000_заявлений'!F868, ".", ","))</f>
        <v>-1024</v>
      </c>
      <c r="G874" s="5">
        <f>VALUE(SUBSTITUTE('1000_заявлений'!G868, ".", ","))</f>
        <v>-19976</v>
      </c>
      <c r="H874" s="5">
        <f>VALUE(SUBSTITUTE('1000_заявлений'!H868, ".", ","))</f>
        <v>-3115</v>
      </c>
      <c r="I874" s="4">
        <f>VALUE(SUBSTITUTE('1000_заявлений'!I868, ".", ","))</f>
        <v>0.21422222222222201</v>
      </c>
      <c r="J874" s="4">
        <f>VALUE(SUBSTITUTE('1000_заявлений'!J868, ".", ","))</f>
        <v>2.0876895055376998</v>
      </c>
      <c r="K874" s="5">
        <f>VALUE(SUBSTITUTE('1000_заявлений'!K868, ".", ","))</f>
        <v>365243</v>
      </c>
      <c r="L874" s="6">
        <f>VALUE(SUBSTITUTE('1000_заявлений'!L868, ".", ","))</f>
        <v>17352</v>
      </c>
      <c r="M874" s="2" t="str">
        <f>IF(Данные[[#This Row],[proba]]&gt;$C$6, "отказ", "одобрение")</f>
        <v>одобрение</v>
      </c>
      <c r="N874" s="7">
        <f>IF(Данные[[#This Row],[proba]]&lt;$D$2,$C$2,IF(Данные[[#This Row],[proba]]&lt;$D$3,$C$3,IF(Данные[[#This Row],[proba]]&gt;$C$6,0,$C$4)))</f>
        <v>100000</v>
      </c>
      <c r="O874" s="2">
        <f>IF(Данные[[#This Row],[weighted_ext_score]]&gt;$O$1,MIN(Данные[[#This Row],[Базовая сумма]]*$O$2,$C$2),IF(Данные[[#This Row],[weighted_ext_score]]&lt;$O$3,Данные[[#This Row],[Базовая сумма]]*$O$4,N874))</f>
        <v>100000</v>
      </c>
      <c r="P8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74" s="2">
        <f>ABS(Данные[[#This Row],[days_birth]])/365.2425</f>
        <v>54.692430371602427</v>
      </c>
      <c r="S8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874" s="2">
        <f>IF(Данные[[#This Row],[ interest_rate]]&gt;$T$1,Данные[[#This Row],[days_birth4]]*$T$2,Данные[[#This Row],[days_birth4]])</f>
        <v>105000</v>
      </c>
      <c r="U874" s="2">
        <f>IF(Данные[[#This Row],[Проверка отказа]]="отказ",0,MAX(Данные[[#This Row],[interest_rate]],$C$1))</f>
        <v>105000</v>
      </c>
      <c r="V874" s="2">
        <f>MROUND(Данные[[#This Row],[Минимум 20000]], 100)</f>
        <v>105000</v>
      </c>
    </row>
    <row r="875" spans="1:22" x14ac:dyDescent="0.25">
      <c r="A875" s="2">
        <f>'1000_заявлений'!A869</f>
        <v>867</v>
      </c>
      <c r="B875" s="4">
        <f>VALUE(SUBSTITUTE('1000_заявлений'!B869, ".", ","))</f>
        <v>0.74505560856790898</v>
      </c>
      <c r="C875" s="4">
        <f>VALUE(SUBSTITUTE('1000_заявлений'!C869, ".", ","))</f>
        <v>8.3043234138829008E-3</v>
      </c>
      <c r="D875" s="4">
        <f>VALUE(SUBSTITUTE('1000_заявлений'!D869, ".", ","))</f>
        <v>0.53527623000000002</v>
      </c>
      <c r="E875" s="4">
        <f>VALUE(SUBSTITUTE('1000_заявлений'!E869, ".", ","))</f>
        <v>2.5600848999999998E-2</v>
      </c>
      <c r="F875" s="5">
        <f>VALUE(SUBSTITUTE('1000_заявлений'!F869, ".", ","))</f>
        <v>-4169</v>
      </c>
      <c r="G875" s="5">
        <f>VALUE(SUBSTITUTE('1000_заявлений'!G869, ".", ","))</f>
        <v>-15925</v>
      </c>
      <c r="H875" s="5">
        <f>VALUE(SUBSTITUTE('1000_заявлений'!H869, ".", ","))</f>
        <v>-4473</v>
      </c>
      <c r="I875" s="4">
        <f>VALUE(SUBSTITUTE('1000_заявлений'!I869, ".", ","))</f>
        <v>6.6666666666666596E-2</v>
      </c>
      <c r="J875" s="4">
        <f>VALUE(SUBSTITUTE('1000_заявлений'!J869, ".", ","))</f>
        <v>10.6209759779781</v>
      </c>
      <c r="K875" s="5">
        <f>VALUE(SUBSTITUTE('1000_заявлений'!K869, ".", ","))</f>
        <v>-2175</v>
      </c>
      <c r="L875" s="6">
        <f>VALUE(SUBSTITUTE('1000_заявлений'!L869, ".", ","))</f>
        <v>13500</v>
      </c>
      <c r="M875" s="2" t="str">
        <f>IF(Данные[[#This Row],[proba]]&gt;$C$6, "отказ", "одобрение")</f>
        <v>отказ</v>
      </c>
      <c r="N875" s="7">
        <f>IF(Данные[[#This Row],[proba]]&lt;$D$2,$C$2,IF(Данные[[#This Row],[proba]]&lt;$D$3,$C$3,IF(Данные[[#This Row],[proba]]&gt;$C$6,0,$C$4)))</f>
        <v>0</v>
      </c>
      <c r="O875" s="2">
        <f>IF(Данные[[#This Row],[weighted_ext_score]]&gt;$O$1,MIN(Данные[[#This Row],[Базовая сумма]]*$O$2,$C$2),IF(Данные[[#This Row],[weighted_ext_score]]&lt;$O$3,Данные[[#This Row],[Базовая сумма]]*$O$4,N875))</f>
        <v>0</v>
      </c>
      <c r="P8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5" s="2">
        <f>ABS(Данные[[#This Row],[days_birth]])/365.2425</f>
        <v>43.601169086291982</v>
      </c>
      <c r="S8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5" s="2">
        <f>IF(Данные[[#This Row],[ interest_rate]]&gt;$T$1,Данные[[#This Row],[days_birth4]]*$T$2,Данные[[#This Row],[days_birth4]])</f>
        <v>0</v>
      </c>
      <c r="U875" s="2">
        <f>IF(Данные[[#This Row],[Проверка отказа]]="отказ",0,MAX(Данные[[#This Row],[interest_rate]],$C$1))</f>
        <v>0</v>
      </c>
      <c r="V875" s="2">
        <f>MROUND(Данные[[#This Row],[Минимум 20000]], 100)</f>
        <v>0</v>
      </c>
    </row>
    <row r="876" spans="1:22" x14ac:dyDescent="0.25">
      <c r="A876" s="2">
        <f>'1000_заявлений'!A870</f>
        <v>868</v>
      </c>
      <c r="B876" s="4">
        <f>VALUE(SUBSTITUTE('1000_заявлений'!B870, ".", ","))</f>
        <v>0.27306122682171602</v>
      </c>
      <c r="C876" s="4">
        <f>VALUE(SUBSTITUTE('1000_заявлений'!C870, ".", ","))</f>
        <v>0.57138317562504304</v>
      </c>
      <c r="D876" s="4">
        <f>VALUE(SUBSTITUTE('1000_заявлений'!D870, ".", ","))</f>
        <v>0.60927564000000001</v>
      </c>
      <c r="E876" s="4">
        <f>VALUE(SUBSTITUTE('1000_заявлений'!E870, ".", ","))</f>
        <v>0.63533187000000002</v>
      </c>
      <c r="F876" s="5">
        <f>VALUE(SUBSTITUTE('1000_заявлений'!F870, ".", ","))</f>
        <v>-2699</v>
      </c>
      <c r="G876" s="5">
        <f>VALUE(SUBSTITUTE('1000_заявлений'!G870, ".", ","))</f>
        <v>-10688</v>
      </c>
      <c r="H876" s="5">
        <f>VALUE(SUBSTITUTE('1000_заявлений'!H870, ".", ","))</f>
        <v>-2706</v>
      </c>
      <c r="I876" s="4">
        <f>VALUE(SUBSTITUTE('1000_заявлений'!I870, ".", ","))</f>
        <v>0.133333333333333</v>
      </c>
      <c r="J876" s="4">
        <f>VALUE(SUBSTITUTE('1000_заявлений'!J870, ".", ","))</f>
        <v>10.6209759779781</v>
      </c>
      <c r="K876" s="5">
        <f>VALUE(SUBSTITUTE('1000_заявлений'!K870, ".", ","))</f>
        <v>-1785</v>
      </c>
      <c r="L876" s="6">
        <f>VALUE(SUBSTITUTE('1000_заявлений'!L870, ".", ","))</f>
        <v>18000</v>
      </c>
      <c r="M876" s="2" t="str">
        <f>IF(Данные[[#This Row],[proba]]&gt;$C$6, "отказ", "одобрение")</f>
        <v>одобрение</v>
      </c>
      <c r="N876" s="7">
        <f>IF(Данные[[#This Row],[proba]]&lt;$D$2,$C$2,IF(Данные[[#This Row],[proba]]&lt;$D$3,$C$3,IF(Данные[[#This Row],[proba]]&gt;$C$6,0,$C$4)))</f>
        <v>100000</v>
      </c>
      <c r="O876" s="2">
        <f>IF(Данные[[#This Row],[weighted_ext_score]]&gt;$O$1,MIN(Данные[[#This Row],[Базовая сумма]]*$O$2,$C$2),IF(Данные[[#This Row],[weighted_ext_score]]&lt;$O$3,Данные[[#This Row],[Базовая сумма]]*$O$4,N876))</f>
        <v>100000</v>
      </c>
      <c r="P8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876" s="2">
        <f>ABS(Данные[[#This Row],[days_birth]])/365.2425</f>
        <v>29.262750090693171</v>
      </c>
      <c r="S8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876" s="2">
        <f>IF(Данные[[#This Row],[ interest_rate]]&gt;$T$1,Данные[[#This Row],[days_birth4]]*$T$2,Данные[[#This Row],[days_birth4]])</f>
        <v>84000</v>
      </c>
      <c r="U876" s="2">
        <f>IF(Данные[[#This Row],[Проверка отказа]]="отказ",0,MAX(Данные[[#This Row],[interest_rate]],$C$1))</f>
        <v>84000</v>
      </c>
      <c r="V876" s="2">
        <f>MROUND(Данные[[#This Row],[Минимум 20000]], 100)</f>
        <v>84000</v>
      </c>
    </row>
    <row r="877" spans="1:22" x14ac:dyDescent="0.25">
      <c r="A877" s="2">
        <f>'1000_заявлений'!A871</f>
        <v>869</v>
      </c>
      <c r="B877" s="4">
        <f>VALUE(SUBSTITUTE('1000_заявлений'!B871, ".", ","))</f>
        <v>0.344398062297878</v>
      </c>
      <c r="C877" s="4">
        <f>VALUE(SUBSTITUTE('1000_заявлений'!C871, ".", ","))</f>
        <v>0.59071068939576099</v>
      </c>
      <c r="D877" s="4">
        <f>VALUE(SUBSTITUTE('1000_заявлений'!D871, ".", ","))</f>
        <v>0.81931770000000004</v>
      </c>
      <c r="E877" s="4">
        <f>VALUE(SUBSTITUTE('1000_заявлений'!E871, ".", ","))</f>
        <v>0.22693627</v>
      </c>
      <c r="F877" s="5">
        <f>VALUE(SUBSTITUTE('1000_заявлений'!F871, ".", ","))</f>
        <v>-6814</v>
      </c>
      <c r="G877" s="5">
        <f>VALUE(SUBSTITUTE('1000_заявлений'!G871, ".", ","))</f>
        <v>-17090</v>
      </c>
      <c r="H877" s="5">
        <f>VALUE(SUBSTITUTE('1000_заявлений'!H871, ".", ","))</f>
        <v>-643</v>
      </c>
      <c r="I877" s="4">
        <f>VALUE(SUBSTITUTE('1000_заявлений'!I871, ".", ","))</f>
        <v>0.21551999999999999</v>
      </c>
      <c r="J877" s="4">
        <f>VALUE(SUBSTITUTE('1000_заявлений'!J871, ".", ","))</f>
        <v>1.9221929010054299</v>
      </c>
      <c r="K877" s="5">
        <f>VALUE(SUBSTITUTE('1000_заявлений'!K871, ".", ","))</f>
        <v>-6595</v>
      </c>
      <c r="L877" s="6">
        <f>VALUE(SUBSTITUTE('1000_заявлений'!L871, ".", ","))</f>
        <v>24246</v>
      </c>
      <c r="M877" s="2" t="str">
        <f>IF(Данные[[#This Row],[proba]]&gt;$C$6, "отказ", "одобрение")</f>
        <v>отказ</v>
      </c>
      <c r="N877" s="7">
        <f>IF(Данные[[#This Row],[proba]]&lt;$D$2,$C$2,IF(Данные[[#This Row],[proba]]&lt;$D$3,$C$3,IF(Данные[[#This Row],[proba]]&gt;$C$6,0,$C$4)))</f>
        <v>0</v>
      </c>
      <c r="O877" s="2">
        <f>IF(Данные[[#This Row],[weighted_ext_score]]&gt;$O$1,MIN(Данные[[#This Row],[Базовая сумма]]*$O$2,$C$2),IF(Данные[[#This Row],[weighted_ext_score]]&lt;$O$3,Данные[[#This Row],[Базовая сумма]]*$O$4,N877))</f>
        <v>0</v>
      </c>
      <c r="P8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7" s="2">
        <f>ABS(Данные[[#This Row],[days_birth]])/365.2425</f>
        <v>46.790830749433596</v>
      </c>
      <c r="S8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7" s="2">
        <f>IF(Данные[[#This Row],[ interest_rate]]&gt;$T$1,Данные[[#This Row],[days_birth4]]*$T$2,Данные[[#This Row],[days_birth4]])</f>
        <v>0</v>
      </c>
      <c r="U877" s="2">
        <f>IF(Данные[[#This Row],[Проверка отказа]]="отказ",0,MAX(Данные[[#This Row],[interest_rate]],$C$1))</f>
        <v>0</v>
      </c>
      <c r="V877" s="2">
        <f>MROUND(Данные[[#This Row],[Минимум 20000]], 100)</f>
        <v>0</v>
      </c>
    </row>
    <row r="878" spans="1:22" x14ac:dyDescent="0.25">
      <c r="A878" s="2">
        <f>'1000_заявлений'!A872</f>
        <v>870</v>
      </c>
      <c r="B878" s="4">
        <f>VALUE(SUBSTITUTE('1000_заявлений'!B872, ".", ","))</f>
        <v>0.57258721666269197</v>
      </c>
      <c r="C878" s="4">
        <f>VALUE(SUBSTITUTE('1000_заявлений'!C872, ".", ","))</f>
        <v>0.37975958350074901</v>
      </c>
      <c r="D878" s="4">
        <f>VALUE(SUBSTITUTE('1000_заявлений'!D872, ".", ","))</f>
        <v>0.37233368</v>
      </c>
      <c r="E878" s="4">
        <f>VALUE(SUBSTITUTE('1000_заявлений'!E872, ".", ","))</f>
        <v>0.56911193999999998</v>
      </c>
      <c r="F878" s="5">
        <f>VALUE(SUBSTITUTE('1000_заявлений'!F872, ".", ","))</f>
        <v>-4157</v>
      </c>
      <c r="G878" s="5">
        <f>VALUE(SUBSTITUTE('1000_заявлений'!G872, ".", ","))</f>
        <v>-9603</v>
      </c>
      <c r="H878" s="5">
        <f>VALUE(SUBSTITUTE('1000_заявлений'!H872, ".", ","))</f>
        <v>-727</v>
      </c>
      <c r="I878" s="4">
        <f>VALUE(SUBSTITUTE('1000_заявлений'!I872, ".", ","))</f>
        <v>7.6488888888888801E-2</v>
      </c>
      <c r="J878" s="4">
        <f>VALUE(SUBSTITUTE('1000_заявлений'!J872, ".", ","))</f>
        <v>0.67134026977841899</v>
      </c>
      <c r="K878" s="5">
        <f>VALUE(SUBSTITUTE('1000_заявлений'!K872, ".", ","))</f>
        <v>-1020</v>
      </c>
      <c r="L878" s="6">
        <f>VALUE(SUBSTITUTE('1000_заявлений'!L872, ".", ","))</f>
        <v>15489</v>
      </c>
      <c r="M878" s="2" t="str">
        <f>IF(Данные[[#This Row],[proba]]&gt;$C$6, "отказ", "одобрение")</f>
        <v>отказ</v>
      </c>
      <c r="N878" s="7">
        <f>IF(Данные[[#This Row],[proba]]&lt;$D$2,$C$2,IF(Данные[[#This Row],[proba]]&lt;$D$3,$C$3,IF(Данные[[#This Row],[proba]]&gt;$C$6,0,$C$4)))</f>
        <v>0</v>
      </c>
      <c r="O878" s="2">
        <f>IF(Данные[[#This Row],[weighted_ext_score]]&gt;$O$1,MIN(Данные[[#This Row],[Базовая сумма]]*$O$2,$C$2),IF(Данные[[#This Row],[weighted_ext_score]]&lt;$O$3,Данные[[#This Row],[Базовая сумма]]*$O$4,N878))</f>
        <v>0</v>
      </c>
      <c r="P8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8" s="2">
        <f>ABS(Данные[[#This Row],[days_birth]])/365.2425</f>
        <v>26.292120988110639</v>
      </c>
      <c r="S8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8" s="2">
        <f>IF(Данные[[#This Row],[ interest_rate]]&gt;$T$1,Данные[[#This Row],[days_birth4]]*$T$2,Данные[[#This Row],[days_birth4]])</f>
        <v>0</v>
      </c>
      <c r="U878" s="2">
        <f>IF(Данные[[#This Row],[Проверка отказа]]="отказ",0,MAX(Данные[[#This Row],[interest_rate]],$C$1))</f>
        <v>0</v>
      </c>
      <c r="V878" s="2">
        <f>MROUND(Данные[[#This Row],[Минимум 20000]], 100)</f>
        <v>0</v>
      </c>
    </row>
    <row r="879" spans="1:22" x14ac:dyDescent="0.25">
      <c r="A879" s="2">
        <f>'1000_заявлений'!A873</f>
        <v>871</v>
      </c>
      <c r="B879" s="4">
        <f>VALUE(SUBSTITUTE('1000_заявлений'!B873, ".", ","))</f>
        <v>0.38760083651233901</v>
      </c>
      <c r="C879" s="4">
        <f>VALUE(SUBSTITUTE('1000_заявлений'!C873, ".", ","))</f>
        <v>0.336451431197893</v>
      </c>
      <c r="D879" s="4">
        <f>VALUE(SUBSTITUTE('1000_заявлений'!D873, ".", ","))</f>
        <v>0.47225335000000002</v>
      </c>
      <c r="E879" s="4">
        <f>VALUE(SUBSTITUTE('1000_заявлений'!E873, ".", ","))</f>
        <v>0.51068259999999999</v>
      </c>
      <c r="F879" s="5">
        <f>VALUE(SUBSTITUTE('1000_заявлений'!F873, ".", ","))</f>
        <v>-4440</v>
      </c>
      <c r="G879" s="5">
        <f>VALUE(SUBSTITUTE('1000_заявлений'!G873, ".", ","))</f>
        <v>-23592</v>
      </c>
      <c r="H879" s="5">
        <f>VALUE(SUBSTITUTE('1000_заявлений'!H873, ".", ","))</f>
        <v>-4495</v>
      </c>
      <c r="I879" s="4">
        <f>VALUE(SUBSTITUTE('1000_заявлений'!I873, ".", ","))</f>
        <v>0.17952000000000001</v>
      </c>
      <c r="J879" s="4">
        <f>VALUE(SUBSTITUTE('1000_заявлений'!J873, ".", ","))</f>
        <v>3.6797817706826601</v>
      </c>
      <c r="K879" s="5">
        <f>VALUE(SUBSTITUTE('1000_заявлений'!K873, ".", ","))</f>
        <v>365243</v>
      </c>
      <c r="L879" s="6">
        <f>VALUE(SUBSTITUTE('1000_заявлений'!L873, ".", ","))</f>
        <v>40392</v>
      </c>
      <c r="M879" s="2" t="str">
        <f>IF(Данные[[#This Row],[proba]]&gt;$C$6, "отказ", "одобрение")</f>
        <v>отказ</v>
      </c>
      <c r="N879" s="7">
        <f>IF(Данные[[#This Row],[proba]]&lt;$D$2,$C$2,IF(Данные[[#This Row],[proba]]&lt;$D$3,$C$3,IF(Данные[[#This Row],[proba]]&gt;$C$6,0,$C$4)))</f>
        <v>0</v>
      </c>
      <c r="O879" s="2">
        <f>IF(Данные[[#This Row],[weighted_ext_score]]&gt;$O$1,MIN(Данные[[#This Row],[Базовая сумма]]*$O$2,$C$2),IF(Данные[[#This Row],[weighted_ext_score]]&lt;$O$3,Данные[[#This Row],[Базовая сумма]]*$O$4,N879))</f>
        <v>0</v>
      </c>
      <c r="P8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79" s="2">
        <f>ABS(Данные[[#This Row],[days_birth]])/365.2425</f>
        <v>64.592702108872871</v>
      </c>
      <c r="S8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79" s="2">
        <f>IF(Данные[[#This Row],[ interest_rate]]&gt;$T$1,Данные[[#This Row],[days_birth4]]*$T$2,Данные[[#This Row],[days_birth4]])</f>
        <v>0</v>
      </c>
      <c r="U879" s="2">
        <f>IF(Данные[[#This Row],[Проверка отказа]]="отказ",0,MAX(Данные[[#This Row],[interest_rate]],$C$1))</f>
        <v>0</v>
      </c>
      <c r="V879" s="2">
        <f>MROUND(Данные[[#This Row],[Минимум 20000]], 100)</f>
        <v>0</v>
      </c>
    </row>
    <row r="880" spans="1:22" x14ac:dyDescent="0.25">
      <c r="A880" s="2">
        <f>'1000_заявлений'!A874</f>
        <v>872</v>
      </c>
      <c r="B880" s="4">
        <f>VALUE(SUBSTITUTE('1000_заявлений'!B874, ".", ","))</f>
        <v>0.362047473141548</v>
      </c>
      <c r="C880" s="4">
        <f>VALUE(SUBSTITUTE('1000_заявлений'!C874, ".", ","))</f>
        <v>0.57733155848236595</v>
      </c>
      <c r="D880" s="4">
        <f>VALUE(SUBSTITUTE('1000_заявлений'!D874, ".", ","))</f>
        <v>0.46148240000000001</v>
      </c>
      <c r="E880" s="4">
        <f>VALUE(SUBSTITUTE('1000_заявлений'!E874, ".", ","))</f>
        <v>0.56269795</v>
      </c>
      <c r="F880" s="5">
        <f>VALUE(SUBSTITUTE('1000_заявлений'!F874, ".", ","))</f>
        <v>-9766</v>
      </c>
      <c r="G880" s="5">
        <f>VALUE(SUBSTITUTE('1000_заявлений'!G874, ".", ","))</f>
        <v>-15638</v>
      </c>
      <c r="H880" s="5">
        <f>VALUE(SUBSTITUTE('1000_заявлений'!H874, ".", ","))</f>
        <v>-1062</v>
      </c>
      <c r="I880" s="4">
        <f>VALUE(SUBSTITUTE('1000_заявлений'!I874, ".", ","))</f>
        <v>0.170625</v>
      </c>
      <c r="J880" s="4">
        <f>VALUE(SUBSTITUTE('1000_заявлений'!J874, ".", ","))</f>
        <v>6.4638474293494204</v>
      </c>
      <c r="K880" s="5">
        <f>VALUE(SUBSTITUTE('1000_заявлений'!K874, ".", ","))</f>
        <v>-8072</v>
      </c>
      <c r="L880" s="6">
        <f>VALUE(SUBSTITUTE('1000_заявлений'!L874, ".", ","))</f>
        <v>30712.5</v>
      </c>
      <c r="M880" s="2" t="str">
        <f>IF(Данные[[#This Row],[proba]]&gt;$C$6, "отказ", "одобрение")</f>
        <v>отказ</v>
      </c>
      <c r="N880" s="7">
        <f>IF(Данные[[#This Row],[proba]]&lt;$D$2,$C$2,IF(Данные[[#This Row],[proba]]&lt;$D$3,$C$3,IF(Данные[[#This Row],[proba]]&gt;$C$6,0,$C$4)))</f>
        <v>0</v>
      </c>
      <c r="O880" s="2">
        <f>IF(Данные[[#This Row],[weighted_ext_score]]&gt;$O$1,MIN(Данные[[#This Row],[Базовая сумма]]*$O$2,$C$2),IF(Данные[[#This Row],[weighted_ext_score]]&lt;$O$3,Данные[[#This Row],[Базовая сумма]]*$O$4,N880))</f>
        <v>0</v>
      </c>
      <c r="P8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0" s="2">
        <f>ABS(Данные[[#This Row],[days_birth]])/365.2425</f>
        <v>42.815389775286285</v>
      </c>
      <c r="S8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0" s="2">
        <f>IF(Данные[[#This Row],[ interest_rate]]&gt;$T$1,Данные[[#This Row],[days_birth4]]*$T$2,Данные[[#This Row],[days_birth4]])</f>
        <v>0</v>
      </c>
      <c r="U880" s="2">
        <f>IF(Данные[[#This Row],[Проверка отказа]]="отказ",0,MAX(Данные[[#This Row],[interest_rate]],$C$1))</f>
        <v>0</v>
      </c>
      <c r="V880" s="2">
        <f>MROUND(Данные[[#This Row],[Минимум 20000]], 100)</f>
        <v>0</v>
      </c>
    </row>
    <row r="881" spans="1:22" x14ac:dyDescent="0.25">
      <c r="A881" s="2">
        <f>'1000_заявлений'!A875</f>
        <v>873</v>
      </c>
      <c r="B881" s="4">
        <f>VALUE(SUBSTITUTE('1000_заявлений'!B875, ".", ","))</f>
        <v>0.25774545392732801</v>
      </c>
      <c r="C881" s="4">
        <f>VALUE(SUBSTITUTE('1000_заявлений'!C875, ".", ","))</f>
        <v>0.46477730580516102</v>
      </c>
      <c r="D881" s="4">
        <f>VALUE(SUBSTITUTE('1000_заявлений'!D875, ".", ","))</f>
        <v>0.6769925</v>
      </c>
      <c r="E881" s="4">
        <f>VALUE(SUBSTITUTE('1000_заявлений'!E875, ".", ","))</f>
        <v>0.67801500000000003</v>
      </c>
      <c r="F881" s="5">
        <f>VALUE(SUBSTITUTE('1000_заявлений'!F875, ".", ","))</f>
        <v>-10521</v>
      </c>
      <c r="G881" s="5">
        <f>VALUE(SUBSTITUTE('1000_заявлений'!G875, ".", ","))</f>
        <v>-18735</v>
      </c>
      <c r="H881" s="5">
        <f>VALUE(SUBSTITUTE('1000_заявлений'!H875, ".", ","))</f>
        <v>-2288</v>
      </c>
      <c r="I881" s="4">
        <f>VALUE(SUBSTITUTE('1000_заявлений'!I875, ".", ","))</f>
        <v>0.128444444444444</v>
      </c>
      <c r="J881" s="4">
        <f>VALUE(SUBSTITUTE('1000_заявлений'!J875, ".", ","))</f>
        <v>1.27904314017051</v>
      </c>
      <c r="K881" s="5">
        <f>VALUE(SUBSTITUTE('1000_заявлений'!K875, ".", ","))</f>
        <v>-4871</v>
      </c>
      <c r="L881" s="6">
        <f>VALUE(SUBSTITUTE('1000_заявлений'!L875, ".", ","))</f>
        <v>26010</v>
      </c>
      <c r="M881" s="2" t="str">
        <f>IF(Данные[[#This Row],[proba]]&gt;$C$6, "отказ", "одобрение")</f>
        <v>одобрение</v>
      </c>
      <c r="N881" s="7">
        <f>IF(Данные[[#This Row],[proba]]&lt;$D$2,$C$2,IF(Данные[[#This Row],[proba]]&lt;$D$3,$C$3,IF(Данные[[#This Row],[proba]]&gt;$C$6,0,$C$4)))</f>
        <v>100000</v>
      </c>
      <c r="O881" s="2">
        <f>IF(Данные[[#This Row],[weighted_ext_score]]&gt;$O$1,MIN(Данные[[#This Row],[Базовая сумма]]*$O$2,$C$2),IF(Данные[[#This Row],[weighted_ext_score]]&lt;$O$3,Данные[[#This Row],[Базовая сумма]]*$O$4,N881))</f>
        <v>100000</v>
      </c>
      <c r="P8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81" s="2">
        <f>ABS(Данные[[#This Row],[days_birth]])/365.2425</f>
        <v>51.294687775929688</v>
      </c>
      <c r="S8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881" s="2">
        <f>IF(Данные[[#This Row],[ interest_rate]]&gt;$T$1,Данные[[#This Row],[days_birth4]]*$T$2,Данные[[#This Row],[days_birth4]])</f>
        <v>151200</v>
      </c>
      <c r="U881" s="2">
        <f>IF(Данные[[#This Row],[Проверка отказа]]="отказ",0,MAX(Данные[[#This Row],[interest_rate]],$C$1))</f>
        <v>151200</v>
      </c>
      <c r="V881" s="2">
        <f>MROUND(Данные[[#This Row],[Минимум 20000]], 100)</f>
        <v>151200</v>
      </c>
    </row>
    <row r="882" spans="1:22" x14ac:dyDescent="0.25">
      <c r="A882" s="2">
        <f>'1000_заявлений'!A876</f>
        <v>874</v>
      </c>
      <c r="B882" s="4">
        <f>VALUE(SUBSTITUTE('1000_заявлений'!B876, ".", ","))</f>
        <v>0.35205717599464198</v>
      </c>
      <c r="C882" s="4">
        <f>VALUE(SUBSTITUTE('1000_заявлений'!C876, ".", ","))</f>
        <v>0.49056973187867597</v>
      </c>
      <c r="D882" s="4">
        <f>VALUE(SUBSTITUTE('1000_заявлений'!D876, ".", ","))</f>
        <v>0.58848780000000001</v>
      </c>
      <c r="E882" s="4">
        <f>VALUE(SUBSTITUTE('1000_заявлений'!E876, ".", ","))</f>
        <v>0.50737620000000005</v>
      </c>
      <c r="F882" s="5">
        <f>VALUE(SUBSTITUTE('1000_заявлений'!F876, ".", ","))</f>
        <v>-3632</v>
      </c>
      <c r="G882" s="5">
        <f>VALUE(SUBSTITUTE('1000_заявлений'!G876, ".", ","))</f>
        <v>-10383</v>
      </c>
      <c r="H882" s="5">
        <f>VALUE(SUBSTITUTE('1000_заявлений'!H876, ".", ","))</f>
        <v>-3010</v>
      </c>
      <c r="I882" s="4">
        <f>VALUE(SUBSTITUTE('1000_заявлений'!I876, ".", ","))</f>
        <v>0.29155999999999999</v>
      </c>
      <c r="J882" s="4">
        <f>VALUE(SUBSTITUTE('1000_заявлений'!J876, ".", ","))</f>
        <v>18.607327631321201</v>
      </c>
      <c r="K882" s="5">
        <f>VALUE(SUBSTITUTE('1000_заявлений'!K876, ".", ","))</f>
        <v>-1588</v>
      </c>
      <c r="L882" s="6">
        <f>VALUE(SUBSTITUTE('1000_заявлений'!L876, ".", ","))</f>
        <v>32800.5</v>
      </c>
      <c r="M882" s="2" t="str">
        <f>IF(Данные[[#This Row],[proba]]&gt;$C$6, "отказ", "одобрение")</f>
        <v>отказ</v>
      </c>
      <c r="N882" s="7">
        <f>IF(Данные[[#This Row],[proba]]&lt;$D$2,$C$2,IF(Данные[[#This Row],[proba]]&lt;$D$3,$C$3,IF(Данные[[#This Row],[proba]]&gt;$C$6,0,$C$4)))</f>
        <v>0</v>
      </c>
      <c r="O882" s="2">
        <f>IF(Данные[[#This Row],[weighted_ext_score]]&gt;$O$1,MIN(Данные[[#This Row],[Базовая сумма]]*$O$2,$C$2),IF(Данные[[#This Row],[weighted_ext_score]]&lt;$O$3,Данные[[#This Row],[Базовая сумма]]*$O$4,N882))</f>
        <v>0</v>
      </c>
      <c r="P8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2" s="2">
        <f>ABS(Данные[[#This Row],[days_birth]])/365.2425</f>
        <v>28.427688453561675</v>
      </c>
      <c r="S8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2" s="2">
        <f>IF(Данные[[#This Row],[ interest_rate]]&gt;$T$1,Данные[[#This Row],[days_birth4]]*$T$2,Данные[[#This Row],[days_birth4]])</f>
        <v>0</v>
      </c>
      <c r="U882" s="2">
        <f>IF(Данные[[#This Row],[Проверка отказа]]="отказ",0,MAX(Данные[[#This Row],[interest_rate]],$C$1))</f>
        <v>0</v>
      </c>
      <c r="V882" s="2">
        <f>MROUND(Данные[[#This Row],[Минимум 20000]], 100)</f>
        <v>0</v>
      </c>
    </row>
    <row r="883" spans="1:22" x14ac:dyDescent="0.25">
      <c r="A883" s="2">
        <f>'1000_заявлений'!A877</f>
        <v>875</v>
      </c>
      <c r="B883" s="4">
        <f>VALUE(SUBSTITUTE('1000_заявлений'!B877, ".", ","))</f>
        <v>0.77996502739648499</v>
      </c>
      <c r="C883" s="4">
        <f>VALUE(SUBSTITUTE('1000_заявлений'!C877, ".", ","))</f>
        <v>0.25183360201918098</v>
      </c>
      <c r="D883" s="4">
        <f>VALUE(SUBSTITUTE('1000_заявлений'!D877, ".", ","))</f>
        <v>9.5070399999999999E-2</v>
      </c>
      <c r="E883" s="4">
        <f>VALUE(SUBSTITUTE('1000_заявлений'!E877, ".", ","))</f>
        <v>0.51775090000000001</v>
      </c>
      <c r="F883" s="5">
        <f>VALUE(SUBSTITUTE('1000_заявлений'!F877, ".", ","))</f>
        <v>-1102</v>
      </c>
      <c r="G883" s="5">
        <f>VALUE(SUBSTITUTE('1000_заявлений'!G877, ".", ","))</f>
        <v>-8791</v>
      </c>
      <c r="H883" s="5">
        <f>VALUE(SUBSTITUTE('1000_заявлений'!H877, ".", ","))</f>
        <v>-1456</v>
      </c>
      <c r="I883" s="4">
        <f>VALUE(SUBSTITUTE('1000_заявлений'!I877, ".", ","))</f>
        <v>0.17084444444444399</v>
      </c>
      <c r="J883" s="4">
        <f>VALUE(SUBSTITUTE('1000_заявлений'!J877, ".", ","))</f>
        <v>2.8808034623690499</v>
      </c>
      <c r="K883" s="5">
        <f>VALUE(SUBSTITUTE('1000_заявлений'!K877, ".", ","))</f>
        <v>-88</v>
      </c>
      <c r="L883" s="6">
        <f>VALUE(SUBSTITUTE('1000_заявлений'!L877, ".", ","))</f>
        <v>34596</v>
      </c>
      <c r="M883" s="2" t="str">
        <f>IF(Данные[[#This Row],[proba]]&gt;$C$6, "отказ", "одобрение")</f>
        <v>отказ</v>
      </c>
      <c r="N883" s="7">
        <f>IF(Данные[[#This Row],[proba]]&lt;$D$2,$C$2,IF(Данные[[#This Row],[proba]]&lt;$D$3,$C$3,IF(Данные[[#This Row],[proba]]&gt;$C$6,0,$C$4)))</f>
        <v>0</v>
      </c>
      <c r="O883" s="2">
        <f>IF(Данные[[#This Row],[weighted_ext_score]]&gt;$O$1,MIN(Данные[[#This Row],[Базовая сумма]]*$O$2,$C$2),IF(Данные[[#This Row],[weighted_ext_score]]&lt;$O$3,Данные[[#This Row],[Базовая сумма]]*$O$4,N883))</f>
        <v>0</v>
      </c>
      <c r="P8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3" s="2">
        <f>ABS(Данные[[#This Row],[days_birth]])/365.2425</f>
        <v>24.068940498435971</v>
      </c>
      <c r="S8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3" s="2">
        <f>IF(Данные[[#This Row],[ interest_rate]]&gt;$T$1,Данные[[#This Row],[days_birth4]]*$T$2,Данные[[#This Row],[days_birth4]])</f>
        <v>0</v>
      </c>
      <c r="U883" s="2">
        <f>IF(Данные[[#This Row],[Проверка отказа]]="отказ",0,MAX(Данные[[#This Row],[interest_rate]],$C$1))</f>
        <v>0</v>
      </c>
      <c r="V883" s="2">
        <f>MROUND(Данные[[#This Row],[Минимум 20000]], 100)</f>
        <v>0</v>
      </c>
    </row>
    <row r="884" spans="1:22" x14ac:dyDescent="0.25">
      <c r="A884" s="2">
        <f>'1000_заявлений'!A878</f>
        <v>876</v>
      </c>
      <c r="B884" s="4">
        <f>VALUE(SUBSTITUTE('1000_заявлений'!B878, ".", ","))</f>
        <v>0.32601085992286</v>
      </c>
      <c r="C884" s="4">
        <f>VALUE(SUBSTITUTE('1000_заявлений'!C878, ".", ","))</f>
        <v>0.44324005522563398</v>
      </c>
      <c r="D884" s="4">
        <f>VALUE(SUBSTITUTE('1000_заявлений'!D878, ".", ","))</f>
        <v>0.78260784999999999</v>
      </c>
      <c r="E884" s="4">
        <f>VALUE(SUBSTITUTE('1000_заявлений'!E878, ".", ","))</f>
        <v>0.49386287000000001</v>
      </c>
      <c r="F884" s="5">
        <f>VALUE(SUBSTITUTE('1000_заявлений'!F878, ".", ","))</f>
        <v>-3626</v>
      </c>
      <c r="G884" s="5">
        <f>VALUE(SUBSTITUTE('1000_заявлений'!G878, ".", ","))</f>
        <v>-14619</v>
      </c>
      <c r="H884" s="5">
        <f>VALUE(SUBSTITUTE('1000_заявлений'!H878, ".", ","))</f>
        <v>-5135</v>
      </c>
      <c r="I884" s="4">
        <f>VALUE(SUBSTITUTE('1000_заявлений'!I878, ".", ","))</f>
        <v>0.33111111111111102</v>
      </c>
      <c r="J884" s="4">
        <f>VALUE(SUBSTITUTE('1000_заявлений'!J878, ".", ","))</f>
        <v>2.8093260661638402</v>
      </c>
      <c r="K884" s="5">
        <f>VALUE(SUBSTITUTE('1000_заявлений'!K878, ".", ","))</f>
        <v>-5438</v>
      </c>
      <c r="L884" s="6">
        <f>VALUE(SUBSTITUTE('1000_заявлений'!L878, ".", ","))</f>
        <v>40230</v>
      </c>
      <c r="M884" s="2" t="str">
        <f>IF(Данные[[#This Row],[proba]]&gt;$C$6, "отказ", "одобрение")</f>
        <v>отказ</v>
      </c>
      <c r="N884" s="7">
        <f>IF(Данные[[#This Row],[proba]]&lt;$D$2,$C$2,IF(Данные[[#This Row],[proba]]&lt;$D$3,$C$3,IF(Данные[[#This Row],[proba]]&gt;$C$6,0,$C$4)))</f>
        <v>0</v>
      </c>
      <c r="O884" s="2">
        <f>IF(Данные[[#This Row],[weighted_ext_score]]&gt;$O$1,MIN(Данные[[#This Row],[Базовая сумма]]*$O$2,$C$2),IF(Данные[[#This Row],[weighted_ext_score]]&lt;$O$3,Данные[[#This Row],[Базовая сумма]]*$O$4,N884))</f>
        <v>0</v>
      </c>
      <c r="P8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4" s="2">
        <f>ABS(Данные[[#This Row],[days_birth]])/365.2425</f>
        <v>40.025462535164991</v>
      </c>
      <c r="S8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4" s="2">
        <f>IF(Данные[[#This Row],[ interest_rate]]&gt;$T$1,Данные[[#This Row],[days_birth4]]*$T$2,Данные[[#This Row],[days_birth4]])</f>
        <v>0</v>
      </c>
      <c r="U884" s="2">
        <f>IF(Данные[[#This Row],[Проверка отказа]]="отказ",0,MAX(Данные[[#This Row],[interest_rate]],$C$1))</f>
        <v>0</v>
      </c>
      <c r="V884" s="2">
        <f>MROUND(Данные[[#This Row],[Минимум 20000]], 100)</f>
        <v>0</v>
      </c>
    </row>
    <row r="885" spans="1:22" x14ac:dyDescent="0.25">
      <c r="A885" s="2">
        <f>'1000_заявлений'!A879</f>
        <v>877</v>
      </c>
      <c r="B885" s="4">
        <f>VALUE(SUBSTITUTE('1000_заявлений'!B879, ".", ","))</f>
        <v>0.44395184268035498</v>
      </c>
      <c r="C885" s="4">
        <f>VALUE(SUBSTITUTE('1000_заявлений'!C879, ".", ","))</f>
        <v>0.40423708749431603</v>
      </c>
      <c r="D885" s="4">
        <f>VALUE(SUBSTITUTE('1000_заявлений'!D879, ".", ","))</f>
        <v>0.48124932999999998</v>
      </c>
      <c r="E885" s="4">
        <f>VALUE(SUBSTITUTE('1000_заявлений'!E879, ".", ","))</f>
        <v>0.70962440000000004</v>
      </c>
      <c r="F885" s="5">
        <f>VALUE(SUBSTITUTE('1000_заявлений'!F879, ".", ","))</f>
        <v>-9824</v>
      </c>
      <c r="G885" s="5">
        <f>VALUE(SUBSTITUTE('1000_заявлений'!G879, ".", ","))</f>
        <v>-10529</v>
      </c>
      <c r="H885" s="5">
        <f>VALUE(SUBSTITUTE('1000_заявлений'!H879, ".", ","))</f>
        <v>-1578</v>
      </c>
      <c r="I885" s="4">
        <f>VALUE(SUBSTITUTE('1000_заявлений'!I879, ".", ","))</f>
        <v>0.25159375</v>
      </c>
      <c r="J885" s="4">
        <f>VALUE(SUBSTITUTE('1000_заявлений'!J879, ".", ","))</f>
        <v>1.96794518538736</v>
      </c>
      <c r="K885" s="5">
        <f>VALUE(SUBSTITUTE('1000_заявлений'!K879, ".", ","))</f>
        <v>-3898</v>
      </c>
      <c r="L885" s="6">
        <f>VALUE(SUBSTITUTE('1000_заявлений'!L879, ".", ","))</f>
        <v>36229.5</v>
      </c>
      <c r="M885" s="2" t="str">
        <f>IF(Данные[[#This Row],[proba]]&gt;$C$6, "отказ", "одобрение")</f>
        <v>отказ</v>
      </c>
      <c r="N885" s="7">
        <f>IF(Данные[[#This Row],[proba]]&lt;$D$2,$C$2,IF(Данные[[#This Row],[proba]]&lt;$D$3,$C$3,IF(Данные[[#This Row],[proba]]&gt;$C$6,0,$C$4)))</f>
        <v>0</v>
      </c>
      <c r="O885" s="2">
        <f>IF(Данные[[#This Row],[weighted_ext_score]]&gt;$O$1,MIN(Данные[[#This Row],[Базовая сумма]]*$O$2,$C$2),IF(Данные[[#This Row],[weighted_ext_score]]&lt;$O$3,Данные[[#This Row],[Базовая сумма]]*$O$4,N885))</f>
        <v>0</v>
      </c>
      <c r="P8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5" s="2">
        <f>ABS(Данные[[#This Row],[days_birth]])/365.2425</f>
        <v>28.827422876581995</v>
      </c>
      <c r="S8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5" s="2">
        <f>IF(Данные[[#This Row],[ interest_rate]]&gt;$T$1,Данные[[#This Row],[days_birth4]]*$T$2,Данные[[#This Row],[days_birth4]])</f>
        <v>0</v>
      </c>
      <c r="U885" s="2">
        <f>IF(Данные[[#This Row],[Проверка отказа]]="отказ",0,MAX(Данные[[#This Row],[interest_rate]],$C$1))</f>
        <v>0</v>
      </c>
      <c r="V885" s="2">
        <f>MROUND(Данные[[#This Row],[Минимум 20000]], 100)</f>
        <v>0</v>
      </c>
    </row>
    <row r="886" spans="1:22" x14ac:dyDescent="0.25">
      <c r="A886" s="2">
        <f>'1000_заявлений'!A880</f>
        <v>878</v>
      </c>
      <c r="B886" s="4">
        <f>VALUE(SUBSTITUTE('1000_заявлений'!B880, ".", ","))</f>
        <v>0.51975190595361898</v>
      </c>
      <c r="C886" s="4">
        <f>VALUE(SUBSTITUTE('1000_заявлений'!C880, ".", ","))</f>
        <v>0.34760058096623703</v>
      </c>
      <c r="D886" s="4">
        <f>VALUE(SUBSTITUTE('1000_заявлений'!D880, ".", ","))</f>
        <v>0.48845517999999999</v>
      </c>
      <c r="E886" s="4">
        <f>VALUE(SUBSTITUTE('1000_заявлений'!E880, ".", ","))</f>
        <v>0.50233620000000001</v>
      </c>
      <c r="F886" s="5">
        <f>VALUE(SUBSTITUTE('1000_заявлений'!F880, ".", ","))</f>
        <v>-4149</v>
      </c>
      <c r="G886" s="5">
        <f>VALUE(SUBSTITUTE('1000_заявлений'!G880, ".", ","))</f>
        <v>-12427</v>
      </c>
      <c r="H886" s="5">
        <f>VALUE(SUBSTITUTE('1000_заявлений'!H880, ".", ","))</f>
        <v>-4487</v>
      </c>
      <c r="I886" s="4">
        <f>VALUE(SUBSTITUTE('1000_заявлений'!I880, ".", ","))</f>
        <v>0.28771428571428498</v>
      </c>
      <c r="J886" s="4">
        <f>VALUE(SUBSTITUTE('1000_заявлений'!J880, ".", ","))</f>
        <v>6.6907684883193097</v>
      </c>
      <c r="K886" s="5">
        <f>VALUE(SUBSTITUTE('1000_заявлений'!K880, ".", ","))</f>
        <v>-2767</v>
      </c>
      <c r="L886" s="6">
        <f>VALUE(SUBSTITUTE('1000_заявлений'!L880, ".", ","))</f>
        <v>27189</v>
      </c>
      <c r="M886" s="2" t="str">
        <f>IF(Данные[[#This Row],[proba]]&gt;$C$6, "отказ", "одобрение")</f>
        <v>отказ</v>
      </c>
      <c r="N886" s="7">
        <f>IF(Данные[[#This Row],[proba]]&lt;$D$2,$C$2,IF(Данные[[#This Row],[proba]]&lt;$D$3,$C$3,IF(Данные[[#This Row],[proba]]&gt;$C$6,0,$C$4)))</f>
        <v>0</v>
      </c>
      <c r="O886" s="2">
        <f>IF(Данные[[#This Row],[weighted_ext_score]]&gt;$O$1,MIN(Данные[[#This Row],[Базовая сумма]]*$O$2,$C$2),IF(Данные[[#This Row],[weighted_ext_score]]&lt;$O$3,Данные[[#This Row],[Базовая сумма]]*$O$4,N886))</f>
        <v>0</v>
      </c>
      <c r="P8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6" s="2">
        <f>ABS(Данные[[#This Row],[days_birth]])/365.2425</f>
        <v>34.023970375846183</v>
      </c>
      <c r="S8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6" s="2">
        <f>IF(Данные[[#This Row],[ interest_rate]]&gt;$T$1,Данные[[#This Row],[days_birth4]]*$T$2,Данные[[#This Row],[days_birth4]])</f>
        <v>0</v>
      </c>
      <c r="U886" s="2">
        <f>IF(Данные[[#This Row],[Проверка отказа]]="отказ",0,MAX(Данные[[#This Row],[interest_rate]],$C$1))</f>
        <v>0</v>
      </c>
      <c r="V886" s="2">
        <f>MROUND(Данные[[#This Row],[Минимум 20000]], 100)</f>
        <v>0</v>
      </c>
    </row>
    <row r="887" spans="1:22" x14ac:dyDescent="0.25">
      <c r="A887" s="2">
        <f>'1000_заявлений'!A881</f>
        <v>879</v>
      </c>
      <c r="B887" s="4">
        <f>VALUE(SUBSTITUTE('1000_заявлений'!B881, ".", ","))</f>
        <v>0.34349747136624897</v>
      </c>
      <c r="C887" s="4">
        <f>VALUE(SUBSTITUTE('1000_заявлений'!C881, ".", ","))</f>
        <v>0.479682076144886</v>
      </c>
      <c r="D887" s="4">
        <f>VALUE(SUBSTITUTE('1000_заявлений'!D881, ".", ","))</f>
        <v>0.65126019999999996</v>
      </c>
      <c r="E887" s="4">
        <f>VALUE(SUBSTITUTE('1000_заявлений'!E881, ".", ","))</f>
        <v>0.43864068000000001</v>
      </c>
      <c r="F887" s="5">
        <f>VALUE(SUBSTITUTE('1000_заявлений'!F881, ".", ","))</f>
        <v>-5184</v>
      </c>
      <c r="G887" s="5">
        <f>VALUE(SUBSTITUTE('1000_заявлений'!G881, ".", ","))</f>
        <v>-11487</v>
      </c>
      <c r="H887" s="5">
        <f>VALUE(SUBSTITUTE('1000_заявлений'!H881, ".", ","))</f>
        <v>-4102</v>
      </c>
      <c r="I887" s="4">
        <f>VALUE(SUBSTITUTE('1000_заявлений'!I881, ".", ","))</f>
        <v>0.12770000000000001</v>
      </c>
      <c r="J887" s="4">
        <f>VALUE(SUBSTITUTE('1000_заявлений'!J881, ".", ","))</f>
        <v>11.320433528897601</v>
      </c>
      <c r="K887" s="5">
        <f>VALUE(SUBSTITUTE('1000_заявлений'!K881, ".", ","))</f>
        <v>-2966</v>
      </c>
      <c r="L887" s="6">
        <f>VALUE(SUBSTITUTE('1000_заявлений'!L881, ".", ","))</f>
        <v>11493</v>
      </c>
      <c r="M887" s="2" t="str">
        <f>IF(Данные[[#This Row],[proba]]&gt;$C$6, "отказ", "одобрение")</f>
        <v>отказ</v>
      </c>
      <c r="N887" s="7">
        <f>IF(Данные[[#This Row],[proba]]&lt;$D$2,$C$2,IF(Данные[[#This Row],[proba]]&lt;$D$3,$C$3,IF(Данные[[#This Row],[proba]]&gt;$C$6,0,$C$4)))</f>
        <v>0</v>
      </c>
      <c r="O887" s="2">
        <f>IF(Данные[[#This Row],[weighted_ext_score]]&gt;$O$1,MIN(Данные[[#This Row],[Базовая сумма]]*$O$2,$C$2),IF(Данные[[#This Row],[weighted_ext_score]]&lt;$O$3,Данные[[#This Row],[Базовая сумма]]*$O$4,N887))</f>
        <v>0</v>
      </c>
      <c r="P8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7" s="2">
        <f>ABS(Данные[[#This Row],[days_birth]])/365.2425</f>
        <v>31.450337789276986</v>
      </c>
      <c r="S8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7" s="2">
        <f>IF(Данные[[#This Row],[ interest_rate]]&gt;$T$1,Данные[[#This Row],[days_birth4]]*$T$2,Данные[[#This Row],[days_birth4]])</f>
        <v>0</v>
      </c>
      <c r="U887" s="2">
        <f>IF(Данные[[#This Row],[Проверка отказа]]="отказ",0,MAX(Данные[[#This Row],[interest_rate]],$C$1))</f>
        <v>0</v>
      </c>
      <c r="V887" s="2">
        <f>MROUND(Данные[[#This Row],[Минимум 20000]], 100)</f>
        <v>0</v>
      </c>
    </row>
    <row r="888" spans="1:22" x14ac:dyDescent="0.25">
      <c r="A888" s="2">
        <f>'1000_заявлений'!A882</f>
        <v>880</v>
      </c>
      <c r="B888" s="4">
        <f>VALUE(SUBSTITUTE('1000_заявлений'!B882, ".", ","))</f>
        <v>0.76264531829740601</v>
      </c>
      <c r="C888" s="4">
        <f>VALUE(SUBSTITUTE('1000_заявлений'!C882, ".", ","))</f>
        <v>0.203937951888537</v>
      </c>
      <c r="D888" s="4">
        <f>VALUE(SUBSTITUTE('1000_заявлений'!D882, ".", ","))</f>
        <v>0.15951953999999999</v>
      </c>
      <c r="E888" s="4">
        <f>VALUE(SUBSTITUTE('1000_заявлений'!E882, ".", ","))</f>
        <v>0.45084970000000002</v>
      </c>
      <c r="F888" s="5">
        <f>VALUE(SUBSTITUTE('1000_заявлений'!F882, ".", ","))</f>
        <v>-3145</v>
      </c>
      <c r="G888" s="5">
        <f>VALUE(SUBSTITUTE('1000_заявлений'!G882, ".", ","))</f>
        <v>-8429</v>
      </c>
      <c r="H888" s="5">
        <f>VALUE(SUBSTITUTE('1000_заявлений'!H882, ".", ","))</f>
        <v>-1102</v>
      </c>
      <c r="I888" s="4">
        <f>VALUE(SUBSTITUTE('1000_заявлений'!I882, ".", ","))</f>
        <v>5.0900000000000001E-2</v>
      </c>
      <c r="J888" s="4">
        <f>VALUE(SUBSTITUTE('1000_заявлений'!J882, ".", ","))</f>
        <v>8.2473038623557198</v>
      </c>
      <c r="K888" s="5">
        <f>VALUE(SUBSTITUTE('1000_заявлений'!K882, ".", ","))</f>
        <v>-309</v>
      </c>
      <c r="L888" s="6">
        <f>VALUE(SUBSTITUTE('1000_заявлений'!L882, ".", ","))</f>
        <v>6871.5</v>
      </c>
      <c r="M888" s="2" t="str">
        <f>IF(Данные[[#This Row],[proba]]&gt;$C$6, "отказ", "одобрение")</f>
        <v>отказ</v>
      </c>
      <c r="N888" s="7">
        <f>IF(Данные[[#This Row],[proba]]&lt;$D$2,$C$2,IF(Данные[[#This Row],[proba]]&lt;$D$3,$C$3,IF(Данные[[#This Row],[proba]]&gt;$C$6,0,$C$4)))</f>
        <v>0</v>
      </c>
      <c r="O888" s="2">
        <f>IF(Данные[[#This Row],[weighted_ext_score]]&gt;$O$1,MIN(Данные[[#This Row],[Базовая сумма]]*$O$2,$C$2),IF(Данные[[#This Row],[weighted_ext_score]]&lt;$O$3,Данные[[#This Row],[Базовая сумма]]*$O$4,N888))</f>
        <v>0</v>
      </c>
      <c r="P8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88" s="2">
        <f>ABS(Данные[[#This Row],[days_birth]])/365.2425</f>
        <v>23.07781816190613</v>
      </c>
      <c r="S8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88" s="2">
        <f>IF(Данные[[#This Row],[ interest_rate]]&gt;$T$1,Данные[[#This Row],[days_birth4]]*$T$2,Данные[[#This Row],[days_birth4]])</f>
        <v>0</v>
      </c>
      <c r="U888" s="2">
        <f>IF(Данные[[#This Row],[Проверка отказа]]="отказ",0,MAX(Данные[[#This Row],[interest_rate]],$C$1))</f>
        <v>0</v>
      </c>
      <c r="V888" s="2">
        <f>MROUND(Данные[[#This Row],[Минимум 20000]], 100)</f>
        <v>0</v>
      </c>
    </row>
    <row r="889" spans="1:22" x14ac:dyDescent="0.25">
      <c r="A889" s="2">
        <f>'1000_заявлений'!A883</f>
        <v>881</v>
      </c>
      <c r="B889" s="4">
        <f>VALUE(SUBSTITUTE('1000_заявлений'!B883, ".", ","))</f>
        <v>0.13338848522459901</v>
      </c>
      <c r="C889" s="4">
        <f>VALUE(SUBSTITUTE('1000_заявлений'!C883, ".", ","))</f>
        <v>0.72581847110810904</v>
      </c>
      <c r="D889" s="4">
        <f>VALUE(SUBSTITUTE('1000_заявлений'!D883, ".", ","))</f>
        <v>0.61612169999999999</v>
      </c>
      <c r="E889" s="4">
        <f>VALUE(SUBSTITUTE('1000_заявлений'!E883, ".", ","))</f>
        <v>0.75204870000000001</v>
      </c>
      <c r="F889" s="5">
        <f>VALUE(SUBSTITUTE('1000_заявлений'!F883, ".", ","))</f>
        <v>-169</v>
      </c>
      <c r="G889" s="5">
        <f>VALUE(SUBSTITUTE('1000_заявлений'!G883, ".", ","))</f>
        <v>-21557</v>
      </c>
      <c r="H889" s="5">
        <f>VALUE(SUBSTITUTE('1000_заявлений'!H883, ".", ","))</f>
        <v>-5001</v>
      </c>
      <c r="I889" s="4">
        <f>VALUE(SUBSTITUTE('1000_заявлений'!I883, ".", ","))</f>
        <v>9.8040000000000002E-2</v>
      </c>
      <c r="J889" s="4">
        <f>VALUE(SUBSTITUTE('1000_заявлений'!J883, ".", ","))</f>
        <v>0.97257351522534996</v>
      </c>
      <c r="K889" s="5">
        <f>VALUE(SUBSTITUTE('1000_заявлений'!K883, ".", ","))</f>
        <v>365243</v>
      </c>
      <c r="L889" s="6">
        <f>VALUE(SUBSTITUTE('1000_заявлений'!L883, ".", ","))</f>
        <v>22059</v>
      </c>
      <c r="M889" s="2" t="str">
        <f>IF(Данные[[#This Row],[proba]]&gt;$C$6, "отказ", "одобрение")</f>
        <v>одобрение</v>
      </c>
      <c r="N889" s="7">
        <f>IF(Данные[[#This Row],[proba]]&lt;$D$2,$C$2,IF(Данные[[#This Row],[proba]]&lt;$D$3,$C$3,IF(Данные[[#This Row],[proba]]&gt;$C$6,0,$C$4)))</f>
        <v>300000</v>
      </c>
      <c r="O889" s="2">
        <f>IF(Данные[[#This Row],[weighted_ext_score]]&gt;$O$1,MIN(Данные[[#This Row],[Базовая сумма]]*$O$2,$C$2),IF(Данные[[#This Row],[weighted_ext_score]]&lt;$O$3,Данные[[#This Row],[Базовая сумма]]*$O$4,N889))</f>
        <v>360000</v>
      </c>
      <c r="P8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432000</v>
      </c>
      <c r="Q8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889" s="2">
        <f>ABS(Данные[[#This Row],[days_birth]])/365.2425</f>
        <v>59.021061349651255</v>
      </c>
      <c r="S8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889" s="2">
        <f>IF(Данные[[#This Row],[ interest_rate]]&gt;$T$1,Данные[[#This Row],[days_birth4]]*$T$2,Данные[[#This Row],[days_birth4]])</f>
        <v>453600</v>
      </c>
      <c r="U889" s="2">
        <f>IF(Данные[[#This Row],[Проверка отказа]]="отказ",0,MAX(Данные[[#This Row],[interest_rate]],$C$1))</f>
        <v>453600</v>
      </c>
      <c r="V889" s="2">
        <f>MROUND(Данные[[#This Row],[Минимум 20000]], 100)</f>
        <v>453600</v>
      </c>
    </row>
    <row r="890" spans="1:22" x14ac:dyDescent="0.25">
      <c r="A890" s="2">
        <f>'1000_заявлений'!A884</f>
        <v>882</v>
      </c>
      <c r="B890" s="4">
        <f>VALUE(SUBSTITUTE('1000_заявлений'!B884, ".", ","))</f>
        <v>0.29672835742509901</v>
      </c>
      <c r="C890" s="4">
        <f>VALUE(SUBSTITUTE('1000_заявлений'!C884, ".", ","))</f>
        <v>0.59605141858175803</v>
      </c>
      <c r="D890" s="4">
        <f>VALUE(SUBSTITUTE('1000_заявлений'!D884, ".", ","))</f>
        <v>0.52629495000000004</v>
      </c>
      <c r="E890" s="4">
        <f>VALUE(SUBSTITUTE('1000_заявлений'!E884, ".", ","))</f>
        <v>0.61174059999999997</v>
      </c>
      <c r="F890" s="5">
        <f>VALUE(SUBSTITUTE('1000_заявлений'!F884, ".", ","))</f>
        <v>-6905</v>
      </c>
      <c r="G890" s="5">
        <f>VALUE(SUBSTITUTE('1000_заявлений'!G884, ".", ","))</f>
        <v>-16474</v>
      </c>
      <c r="H890" s="5">
        <f>VALUE(SUBSTITUTE('1000_заявлений'!H884, ".", ","))</f>
        <v>-26</v>
      </c>
      <c r="I890" s="4">
        <f>VALUE(SUBSTITUTE('1000_заявлений'!I884, ".", ","))</f>
        <v>0.30271999999999999</v>
      </c>
      <c r="J890" s="4">
        <f>VALUE(SUBSTITUTE('1000_заявлений'!J884, ".", ","))</f>
        <v>15.880550595418001</v>
      </c>
      <c r="K890" s="5">
        <f>VALUE(SUBSTITUTE('1000_заявлений'!K884, ".", ","))</f>
        <v>-2752</v>
      </c>
      <c r="L890" s="6">
        <f>VALUE(SUBSTITUTE('1000_заявлений'!L884, ".", ","))</f>
        <v>34056</v>
      </c>
      <c r="M890" s="2" t="str">
        <f>IF(Данные[[#This Row],[proba]]&gt;$C$6, "отказ", "одобрение")</f>
        <v>одобрение</v>
      </c>
      <c r="N890" s="7">
        <f>IF(Данные[[#This Row],[proba]]&lt;$D$2,$C$2,IF(Данные[[#This Row],[proba]]&lt;$D$3,$C$3,IF(Данные[[#This Row],[proba]]&gt;$C$6,0,$C$4)))</f>
        <v>100000</v>
      </c>
      <c r="O890" s="2">
        <f>IF(Данные[[#This Row],[weighted_ext_score]]&gt;$O$1,MIN(Данные[[#This Row],[Базовая сумма]]*$O$2,$C$2),IF(Данные[[#This Row],[weighted_ext_score]]&lt;$O$3,Данные[[#This Row],[Базовая сумма]]*$O$4,N890))</f>
        <v>100000</v>
      </c>
      <c r="P8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90" s="2">
        <f>ABS(Данные[[#This Row],[days_birth]])/365.2425</f>
        <v>45.104280033128674</v>
      </c>
      <c r="S8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120000</v>
      </c>
      <c r="T890" s="2">
        <f>IF(Данные[[#This Row],[ interest_rate]]&gt;$T$1,Данные[[#This Row],[days_birth4]]*$T$2,Данные[[#This Row],[days_birth4]])</f>
        <v>120000</v>
      </c>
      <c r="U890" s="2">
        <f>IF(Данные[[#This Row],[Проверка отказа]]="отказ",0,MAX(Данные[[#This Row],[interest_rate]],$C$1))</f>
        <v>120000</v>
      </c>
      <c r="V890" s="2">
        <f>MROUND(Данные[[#This Row],[Минимум 20000]], 100)</f>
        <v>120000</v>
      </c>
    </row>
    <row r="891" spans="1:22" x14ac:dyDescent="0.25">
      <c r="A891" s="2">
        <f>'1000_заявлений'!A885</f>
        <v>883</v>
      </c>
      <c r="B891" s="4">
        <f>VALUE(SUBSTITUTE('1000_заявлений'!B885, ".", ","))</f>
        <v>0.23648418092370699</v>
      </c>
      <c r="C891" s="4">
        <f>VALUE(SUBSTITUTE('1000_заявлений'!C885, ".", ","))</f>
        <v>0.59215374633812801</v>
      </c>
      <c r="D891" s="4">
        <f>VALUE(SUBSTITUTE('1000_заявлений'!D885, ".", ","))</f>
        <v>0.68482770000000004</v>
      </c>
      <c r="E891" s="4">
        <f>VALUE(SUBSTITUTE('1000_заявлений'!E885, ".", ","))</f>
        <v>0.66739939999999998</v>
      </c>
      <c r="F891" s="5">
        <f>VALUE(SUBSTITUTE('1000_заявлений'!F885, ".", ","))</f>
        <v>-1164</v>
      </c>
      <c r="G891" s="5">
        <f>VALUE(SUBSTITUTE('1000_заявлений'!G885, ".", ","))</f>
        <v>-12543</v>
      </c>
      <c r="H891" s="5">
        <f>VALUE(SUBSTITUTE('1000_заявлений'!H885, ".", ","))</f>
        <v>-2259</v>
      </c>
      <c r="I891" s="4">
        <f>VALUE(SUBSTITUTE('1000_заявлений'!I885, ".", ","))</f>
        <v>0.1085</v>
      </c>
      <c r="J891" s="4">
        <f>VALUE(SUBSTITUTE('1000_заявлений'!J885, ".", ","))</f>
        <v>5.9598183161622797</v>
      </c>
      <c r="K891" s="5">
        <f>VALUE(SUBSTITUTE('1000_заявлений'!K885, ".", ","))</f>
        <v>-4955</v>
      </c>
      <c r="L891" s="6">
        <f>VALUE(SUBSTITUTE('1000_заявлений'!L885, ".", ","))</f>
        <v>14647.5</v>
      </c>
      <c r="M891" s="2" t="str">
        <f>IF(Данные[[#This Row],[proba]]&gt;$C$6, "отказ", "одобрение")</f>
        <v>одобрение</v>
      </c>
      <c r="N891" s="7">
        <f>IF(Данные[[#This Row],[proba]]&lt;$D$2,$C$2,IF(Данные[[#This Row],[proba]]&lt;$D$3,$C$3,IF(Данные[[#This Row],[proba]]&gt;$C$6,0,$C$4)))</f>
        <v>100000</v>
      </c>
      <c r="O891" s="2">
        <f>IF(Данные[[#This Row],[weighted_ext_score]]&gt;$O$1,MIN(Данные[[#This Row],[Базовая сумма]]*$O$2,$C$2),IF(Данные[[#This Row],[weighted_ext_score]]&lt;$O$3,Данные[[#This Row],[Базовая сумма]]*$O$4,N891))</f>
        <v>100000</v>
      </c>
      <c r="P8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891" s="2">
        <f>ABS(Данные[[#This Row],[days_birth]])/365.2425</f>
        <v>34.341567588656851</v>
      </c>
      <c r="S8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891" s="2">
        <f>IF(Данные[[#This Row],[ interest_rate]]&gt;$T$1,Данные[[#This Row],[days_birth4]]*$T$2,Данные[[#This Row],[days_birth4]])</f>
        <v>144000</v>
      </c>
      <c r="U891" s="2">
        <f>IF(Данные[[#This Row],[Проверка отказа]]="отказ",0,MAX(Данные[[#This Row],[interest_rate]],$C$1))</f>
        <v>144000</v>
      </c>
      <c r="V891" s="2">
        <f>MROUND(Данные[[#This Row],[Минимум 20000]], 100)</f>
        <v>144000</v>
      </c>
    </row>
    <row r="892" spans="1:22" x14ac:dyDescent="0.25">
      <c r="A892" s="2">
        <f>'1000_заявлений'!A886</f>
        <v>884</v>
      </c>
      <c r="B892" s="4">
        <f>VALUE(SUBSTITUTE('1000_заявлений'!B886, ".", ","))</f>
        <v>0.459811861628733</v>
      </c>
      <c r="C892" s="4">
        <f>VALUE(SUBSTITUTE('1000_заявлений'!C886, ".", ","))</f>
        <v>0.40476693511504702</v>
      </c>
      <c r="D892" s="4">
        <f>VALUE(SUBSTITUTE('1000_заявлений'!D886, ".", ","))</f>
        <v>0.45074727999999997</v>
      </c>
      <c r="E892" s="4">
        <f>VALUE(SUBSTITUTE('1000_заявлений'!E886, ".", ","))</f>
        <v>0.58519524000000001</v>
      </c>
      <c r="F892" s="5">
        <f>VALUE(SUBSTITUTE('1000_заявлений'!F886, ".", ","))</f>
        <v>-3287</v>
      </c>
      <c r="G892" s="5">
        <f>VALUE(SUBSTITUTE('1000_заявлений'!G886, ".", ","))</f>
        <v>-10672</v>
      </c>
      <c r="H892" s="5">
        <f>VALUE(SUBSTITUTE('1000_заявлений'!H886, ".", ","))</f>
        <v>-3275</v>
      </c>
      <c r="I892" s="4">
        <f>VALUE(SUBSTITUTE('1000_заявлений'!I886, ".", ","))</f>
        <v>0.1792</v>
      </c>
      <c r="J892" s="4">
        <f>VALUE(SUBSTITUTE('1000_заявлений'!J886, ".", ","))</f>
        <v>6.52340447126877</v>
      </c>
      <c r="K892" s="5">
        <f>VALUE(SUBSTITUTE('1000_заявлений'!K886, ".", ","))</f>
        <v>-1091</v>
      </c>
      <c r="L892" s="6">
        <f>VALUE(SUBSTITUTE('1000_заявлений'!L886, ".", ","))</f>
        <v>40320</v>
      </c>
      <c r="M892" s="2" t="str">
        <f>IF(Данные[[#This Row],[proba]]&gt;$C$6, "отказ", "одобрение")</f>
        <v>отказ</v>
      </c>
      <c r="N892" s="7">
        <f>IF(Данные[[#This Row],[proba]]&lt;$D$2,$C$2,IF(Данные[[#This Row],[proba]]&lt;$D$3,$C$3,IF(Данные[[#This Row],[proba]]&gt;$C$6,0,$C$4)))</f>
        <v>0</v>
      </c>
      <c r="O892" s="2">
        <f>IF(Данные[[#This Row],[weighted_ext_score]]&gt;$O$1,MIN(Данные[[#This Row],[Базовая сумма]]*$O$2,$C$2),IF(Данные[[#This Row],[weighted_ext_score]]&lt;$O$3,Данные[[#This Row],[Базовая сумма]]*$O$4,N892))</f>
        <v>0</v>
      </c>
      <c r="P8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2" s="2">
        <f>ABS(Данные[[#This Row],[days_birth]])/365.2425</f>
        <v>29.218943578581353</v>
      </c>
      <c r="S8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2" s="2">
        <f>IF(Данные[[#This Row],[ interest_rate]]&gt;$T$1,Данные[[#This Row],[days_birth4]]*$T$2,Данные[[#This Row],[days_birth4]])</f>
        <v>0</v>
      </c>
      <c r="U892" s="2">
        <f>IF(Данные[[#This Row],[Проверка отказа]]="отказ",0,MAX(Данные[[#This Row],[interest_rate]],$C$1))</f>
        <v>0</v>
      </c>
      <c r="V892" s="2">
        <f>MROUND(Данные[[#This Row],[Минимум 20000]], 100)</f>
        <v>0</v>
      </c>
    </row>
    <row r="893" spans="1:22" x14ac:dyDescent="0.25">
      <c r="A893" s="2">
        <f>'1000_заявлений'!A887</f>
        <v>885</v>
      </c>
      <c r="B893" s="4">
        <f>VALUE(SUBSTITUTE('1000_заявлений'!B887, ".", ","))</f>
        <v>0.35271005108644699</v>
      </c>
      <c r="C893" s="4">
        <f>VALUE(SUBSTITUTE('1000_заявлений'!C887, ".", ","))</f>
        <v>0.491848916979924</v>
      </c>
      <c r="D893" s="4">
        <f>VALUE(SUBSTITUTE('1000_заявлений'!D887, ".", ","))</f>
        <v>0.41359675000000001</v>
      </c>
      <c r="E893" s="4">
        <f>VALUE(SUBSTITUTE('1000_заявлений'!E887, ".", ","))</f>
        <v>0.75752454999999996</v>
      </c>
      <c r="F893" s="5">
        <f>VALUE(SUBSTITUTE('1000_заявлений'!F887, ".", ","))</f>
        <v>-5272</v>
      </c>
      <c r="G893" s="5">
        <f>VALUE(SUBSTITUTE('1000_заявлений'!G887, ".", ","))</f>
        <v>-13289</v>
      </c>
      <c r="H893" s="5">
        <f>VALUE(SUBSTITUTE('1000_заявлений'!H887, ".", ","))</f>
        <v>-4552</v>
      </c>
      <c r="I893" s="4">
        <f>VALUE(SUBSTITUTE('1000_заявлений'!I887, ".", ","))</f>
        <v>0.16008333333333299</v>
      </c>
      <c r="J893" s="4">
        <f>VALUE(SUBSTITUTE('1000_заявлений'!J887, ".", ","))</f>
        <v>2.3484815554696001</v>
      </c>
      <c r="K893" s="5">
        <f>VALUE(SUBSTITUTE('1000_заявлений'!K887, ".", ","))</f>
        <v>-5679</v>
      </c>
      <c r="L893" s="6">
        <f>VALUE(SUBSTITUTE('1000_заявлений'!L887, ".", ","))</f>
        <v>43222.5</v>
      </c>
      <c r="M893" s="2" t="str">
        <f>IF(Данные[[#This Row],[proba]]&gt;$C$6, "отказ", "одобрение")</f>
        <v>отказ</v>
      </c>
      <c r="N893" s="7">
        <f>IF(Данные[[#This Row],[proba]]&lt;$D$2,$C$2,IF(Данные[[#This Row],[proba]]&lt;$D$3,$C$3,IF(Данные[[#This Row],[proba]]&gt;$C$6,0,$C$4)))</f>
        <v>0</v>
      </c>
      <c r="O893" s="2">
        <f>IF(Данные[[#This Row],[weighted_ext_score]]&gt;$O$1,MIN(Данные[[#This Row],[Базовая сумма]]*$O$2,$C$2),IF(Данные[[#This Row],[weighted_ext_score]]&lt;$O$3,Данные[[#This Row],[Базовая сумма]]*$O$4,N893))</f>
        <v>0</v>
      </c>
      <c r="P8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3" s="2">
        <f>ABS(Данные[[#This Row],[days_birth]])/365.2425</f>
        <v>36.384046215870278</v>
      </c>
      <c r="S8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3" s="2">
        <f>IF(Данные[[#This Row],[ interest_rate]]&gt;$T$1,Данные[[#This Row],[days_birth4]]*$T$2,Данные[[#This Row],[days_birth4]])</f>
        <v>0</v>
      </c>
      <c r="U893" s="2">
        <f>IF(Данные[[#This Row],[Проверка отказа]]="отказ",0,MAX(Данные[[#This Row],[interest_rate]],$C$1))</f>
        <v>0</v>
      </c>
      <c r="V893" s="2">
        <f>MROUND(Данные[[#This Row],[Минимум 20000]], 100)</f>
        <v>0</v>
      </c>
    </row>
    <row r="894" spans="1:22" x14ac:dyDescent="0.25">
      <c r="A894" s="2">
        <f>'1000_заявлений'!A888</f>
        <v>886</v>
      </c>
      <c r="B894" s="4">
        <f>VALUE(SUBSTITUTE('1000_заявлений'!B888, ".", ","))</f>
        <v>0.644620318001765</v>
      </c>
      <c r="C894" s="4">
        <f>VALUE(SUBSTITUTE('1000_заявлений'!C888, ".", ","))</f>
        <v>0.27503245347511601</v>
      </c>
      <c r="D894" s="4">
        <f>VALUE(SUBSTITUTE('1000_заявлений'!D888, ".", ","))</f>
        <v>0.28812959999999999</v>
      </c>
      <c r="E894" s="4">
        <f>VALUE(SUBSTITUTE('1000_заявлений'!E888, ".", ","))</f>
        <v>0.52662779999999998</v>
      </c>
      <c r="F894" s="5">
        <f>VALUE(SUBSTITUTE('1000_заявлений'!F888, ".", ","))</f>
        <v>-1260</v>
      </c>
      <c r="G894" s="5">
        <f>VALUE(SUBSTITUTE('1000_заявлений'!G888, ".", ","))</f>
        <v>-11004</v>
      </c>
      <c r="H894" s="5">
        <f>VALUE(SUBSTITUTE('1000_заявлений'!H888, ".", ","))</f>
        <v>-3365</v>
      </c>
      <c r="I894" s="4">
        <f>VALUE(SUBSTITUTE('1000_заявлений'!I888, ".", ","))</f>
        <v>0.17111111111111099</v>
      </c>
      <c r="J894" s="4">
        <f>VALUE(SUBSTITUTE('1000_заявлений'!J888, ".", ","))</f>
        <v>7.3836381557018198</v>
      </c>
      <c r="K894" s="5">
        <f>VALUE(SUBSTITUTE('1000_заявлений'!K888, ".", ","))</f>
        <v>-614</v>
      </c>
      <c r="L894" s="6">
        <f>VALUE(SUBSTITUTE('1000_заявлений'!L888, ".", ","))</f>
        <v>20790</v>
      </c>
      <c r="M894" s="2" t="str">
        <f>IF(Данные[[#This Row],[proba]]&gt;$C$6, "отказ", "одобрение")</f>
        <v>отказ</v>
      </c>
      <c r="N894" s="7">
        <f>IF(Данные[[#This Row],[proba]]&lt;$D$2,$C$2,IF(Данные[[#This Row],[proba]]&lt;$D$3,$C$3,IF(Данные[[#This Row],[proba]]&gt;$C$6,0,$C$4)))</f>
        <v>0</v>
      </c>
      <c r="O894" s="2">
        <f>IF(Данные[[#This Row],[weighted_ext_score]]&gt;$O$1,MIN(Данные[[#This Row],[Базовая сумма]]*$O$2,$C$2),IF(Данные[[#This Row],[weighted_ext_score]]&lt;$O$3,Данные[[#This Row],[Базовая сумма]]*$O$4,N894))</f>
        <v>0</v>
      </c>
      <c r="P8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4" s="2">
        <f>ABS(Данные[[#This Row],[days_birth]])/365.2425</f>
        <v>30.127928704901539</v>
      </c>
      <c r="S8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4" s="2">
        <f>IF(Данные[[#This Row],[ interest_rate]]&gt;$T$1,Данные[[#This Row],[days_birth4]]*$T$2,Данные[[#This Row],[days_birth4]])</f>
        <v>0</v>
      </c>
      <c r="U894" s="2">
        <f>IF(Данные[[#This Row],[Проверка отказа]]="отказ",0,MAX(Данные[[#This Row],[interest_rate]],$C$1))</f>
        <v>0</v>
      </c>
      <c r="V894" s="2">
        <f>MROUND(Данные[[#This Row],[Минимум 20000]], 100)</f>
        <v>0</v>
      </c>
    </row>
    <row r="895" spans="1:22" x14ac:dyDescent="0.25">
      <c r="A895" s="2">
        <f>'1000_заявлений'!A889</f>
        <v>887</v>
      </c>
      <c r="B895" s="4">
        <f>VALUE(SUBSTITUTE('1000_заявлений'!B889, ".", ","))</f>
        <v>0.63628326971798399</v>
      </c>
      <c r="C895" s="4">
        <f>VALUE(SUBSTITUTE('1000_заявлений'!C889, ".", ","))</f>
        <v>0.22444274876700401</v>
      </c>
      <c r="D895" s="4">
        <f>VALUE(SUBSTITUTE('1000_заявлений'!D889, ".", ","))</f>
        <v>0.27500036</v>
      </c>
      <c r="E895" s="4">
        <f>VALUE(SUBSTITUTE('1000_заявлений'!E889, ".", ","))</f>
        <v>0.38530666000000002</v>
      </c>
      <c r="F895" s="5">
        <f>VALUE(SUBSTITUTE('1000_заявлений'!F889, ".", ","))</f>
        <v>-1307</v>
      </c>
      <c r="G895" s="5">
        <f>VALUE(SUBSTITUTE('1000_заявлений'!G889, ".", ","))</f>
        <v>-20366</v>
      </c>
      <c r="H895" s="5">
        <f>VALUE(SUBSTITUTE('1000_заявлений'!H889, ".", ","))</f>
        <v>-3233</v>
      </c>
      <c r="I895" s="4">
        <f>VALUE(SUBSTITUTE('1000_заявлений'!I889, ".", ","))</f>
        <v>0.114411764705882</v>
      </c>
      <c r="J895" s="4">
        <f>VALUE(SUBSTITUTE('1000_заявлений'!J889, ".", ","))</f>
        <v>5.1408205272921004</v>
      </c>
      <c r="K895" s="5">
        <f>VALUE(SUBSTITUTE('1000_заявлений'!K889, ".", ","))</f>
        <v>365243</v>
      </c>
      <c r="L895" s="6">
        <f>VALUE(SUBSTITUTE('1000_заявлений'!L889, ".", ","))</f>
        <v>8752.5</v>
      </c>
      <c r="M895" s="2" t="str">
        <f>IF(Данные[[#This Row],[proba]]&gt;$C$6, "отказ", "одобрение")</f>
        <v>отказ</v>
      </c>
      <c r="N895" s="7">
        <f>IF(Данные[[#This Row],[proba]]&lt;$D$2,$C$2,IF(Данные[[#This Row],[proba]]&lt;$D$3,$C$3,IF(Данные[[#This Row],[proba]]&gt;$C$6,0,$C$4)))</f>
        <v>0</v>
      </c>
      <c r="O895" s="2">
        <f>IF(Данные[[#This Row],[weighted_ext_score]]&gt;$O$1,MIN(Данные[[#This Row],[Базовая сумма]]*$O$2,$C$2),IF(Данные[[#This Row],[weighted_ext_score]]&lt;$O$3,Данные[[#This Row],[Базовая сумма]]*$O$4,N895))</f>
        <v>0</v>
      </c>
      <c r="P8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5" s="2">
        <f>ABS(Данные[[#This Row],[days_birth]])/365.2425</f>
        <v>55.760214104327943</v>
      </c>
      <c r="S8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5" s="2">
        <f>IF(Данные[[#This Row],[ interest_rate]]&gt;$T$1,Данные[[#This Row],[days_birth4]]*$T$2,Данные[[#This Row],[days_birth4]])</f>
        <v>0</v>
      </c>
      <c r="U895" s="2">
        <f>IF(Данные[[#This Row],[Проверка отказа]]="отказ",0,MAX(Данные[[#This Row],[interest_rate]],$C$1))</f>
        <v>0</v>
      </c>
      <c r="V895" s="2">
        <f>MROUND(Данные[[#This Row],[Минимум 20000]], 100)</f>
        <v>0</v>
      </c>
    </row>
    <row r="896" spans="1:22" x14ac:dyDescent="0.25">
      <c r="A896" s="2">
        <f>'1000_заявлений'!A890</f>
        <v>888</v>
      </c>
      <c r="B896" s="4">
        <f>VALUE(SUBSTITUTE('1000_заявлений'!B890, ".", ","))</f>
        <v>0.373076401211482</v>
      </c>
      <c r="C896" s="4">
        <f>VALUE(SUBSTITUTE('1000_заявлений'!C890, ".", ","))</f>
        <v>0.43166862637318498</v>
      </c>
      <c r="D896" s="4">
        <f>VALUE(SUBSTITUTE('1000_заявлений'!D890, ".", ","))</f>
        <v>0.65289649999999999</v>
      </c>
      <c r="E896" s="4">
        <f>VALUE(SUBSTITUTE('1000_заявлений'!E890, ".", ","))</f>
        <v>0.60281240000000003</v>
      </c>
      <c r="F896" s="5">
        <f>VALUE(SUBSTITUTE('1000_заявлений'!F890, ".", ","))</f>
        <v>-4894</v>
      </c>
      <c r="G896" s="5">
        <f>VALUE(SUBSTITUTE('1000_заявлений'!G890, ".", ","))</f>
        <v>-10151</v>
      </c>
      <c r="H896" s="5">
        <f>VALUE(SUBSTITUTE('1000_заявлений'!H890, ".", ","))</f>
        <v>-2786</v>
      </c>
      <c r="I896" s="4">
        <f>VALUE(SUBSTITUTE('1000_заявлений'!I890, ".", ","))</f>
        <v>0.18542500000000001</v>
      </c>
      <c r="J896" s="4">
        <f>VALUE(SUBSTITUTE('1000_заявлений'!J890, ".", ","))</f>
        <v>0.94527593528077603</v>
      </c>
      <c r="K896" s="5">
        <f>VALUE(SUBSTITUTE('1000_заявлений'!K890, ".", ","))</f>
        <v>-1994</v>
      </c>
      <c r="L896" s="6">
        <f>VALUE(SUBSTITUTE('1000_заявлений'!L890, ".", ","))</f>
        <v>33376.5</v>
      </c>
      <c r="M896" s="2" t="str">
        <f>IF(Данные[[#This Row],[proba]]&gt;$C$6, "отказ", "одобрение")</f>
        <v>отказ</v>
      </c>
      <c r="N896" s="7">
        <f>IF(Данные[[#This Row],[proba]]&lt;$D$2,$C$2,IF(Данные[[#This Row],[proba]]&lt;$D$3,$C$3,IF(Данные[[#This Row],[proba]]&gt;$C$6,0,$C$4)))</f>
        <v>0</v>
      </c>
      <c r="O896" s="2">
        <f>IF(Данные[[#This Row],[weighted_ext_score]]&gt;$O$1,MIN(Данные[[#This Row],[Базовая сумма]]*$O$2,$C$2),IF(Данные[[#This Row],[weighted_ext_score]]&lt;$O$3,Данные[[#This Row],[Базовая сумма]]*$O$4,N896))</f>
        <v>0</v>
      </c>
      <c r="P8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6" s="2">
        <f>ABS(Данные[[#This Row],[days_birth]])/365.2425</f>
        <v>27.792494027940339</v>
      </c>
      <c r="S8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6" s="2">
        <f>IF(Данные[[#This Row],[ interest_rate]]&gt;$T$1,Данные[[#This Row],[days_birth4]]*$T$2,Данные[[#This Row],[days_birth4]])</f>
        <v>0</v>
      </c>
      <c r="U896" s="2">
        <f>IF(Данные[[#This Row],[Проверка отказа]]="отказ",0,MAX(Данные[[#This Row],[interest_rate]],$C$1))</f>
        <v>0</v>
      </c>
      <c r="V896" s="2">
        <f>MROUND(Данные[[#This Row],[Минимум 20000]], 100)</f>
        <v>0</v>
      </c>
    </row>
    <row r="897" spans="1:22" x14ac:dyDescent="0.25">
      <c r="A897" s="2">
        <f>'1000_заявлений'!A891</f>
        <v>889</v>
      </c>
      <c r="B897" s="4">
        <f>VALUE(SUBSTITUTE('1000_заявлений'!B891, ".", ","))</f>
        <v>0.20356336261049601</v>
      </c>
      <c r="C897" s="4">
        <f>VALUE(SUBSTITUTE('1000_заявлений'!C891, ".", ","))</f>
        <v>0.44926696430999902</v>
      </c>
      <c r="D897" s="4">
        <f>VALUE(SUBSTITUTE('1000_заявлений'!D891, ".", ","))</f>
        <v>0.62122630000000001</v>
      </c>
      <c r="E897" s="4">
        <f>VALUE(SUBSTITUTE('1000_заявлений'!E891, ".", ","))</f>
        <v>0.69237599999999999</v>
      </c>
      <c r="F897" s="5">
        <f>VALUE(SUBSTITUTE('1000_заявлений'!F891, ".", ","))</f>
        <v>-4127</v>
      </c>
      <c r="G897" s="5">
        <f>VALUE(SUBSTITUTE('1000_заявлений'!G891, ".", ","))</f>
        <v>-22516</v>
      </c>
      <c r="H897" s="5">
        <f>VALUE(SUBSTITUTE('1000_заявлений'!H891, ".", ","))</f>
        <v>-5165</v>
      </c>
      <c r="I897" s="4">
        <f>VALUE(SUBSTITUTE('1000_заявлений'!I891, ".", ","))</f>
        <v>7.8716666666666602E-2</v>
      </c>
      <c r="J897" s="4">
        <f>VALUE(SUBSTITUTE('1000_заявлений'!J891, ".", ","))</f>
        <v>0.46841480777086703</v>
      </c>
      <c r="K897" s="5">
        <f>VALUE(SUBSTITUTE('1000_заявлений'!K891, ".", ","))</f>
        <v>365243</v>
      </c>
      <c r="L897" s="6">
        <f>VALUE(SUBSTITUTE('1000_заявлений'!L891, ".", ","))</f>
        <v>42507</v>
      </c>
      <c r="M897" s="2" t="str">
        <f>IF(Данные[[#This Row],[proba]]&gt;$C$6, "отказ", "одобрение")</f>
        <v>одобрение</v>
      </c>
      <c r="N897" s="7">
        <f>IF(Данные[[#This Row],[proba]]&lt;$D$2,$C$2,IF(Данные[[#This Row],[proba]]&lt;$D$3,$C$3,IF(Данные[[#This Row],[proba]]&gt;$C$6,0,$C$4)))</f>
        <v>100000</v>
      </c>
      <c r="O897" s="2">
        <f>IF(Данные[[#This Row],[weighted_ext_score]]&gt;$O$1,MIN(Данные[[#This Row],[Базовая сумма]]*$O$2,$C$2),IF(Данные[[#This Row],[weighted_ext_score]]&lt;$O$3,Данные[[#This Row],[Базовая сумма]]*$O$4,N897))</f>
        <v>100000</v>
      </c>
      <c r="P8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8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897" s="2">
        <f>ABS(Данные[[#This Row],[days_birth]])/365.2425</f>
        <v>61.646714169353238</v>
      </c>
      <c r="S8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897" s="2">
        <f>IF(Данные[[#This Row],[ interest_rate]]&gt;$T$1,Данные[[#This Row],[days_birth4]]*$T$2,Данные[[#This Row],[days_birth4]])</f>
        <v>126000</v>
      </c>
      <c r="U897" s="2">
        <f>IF(Данные[[#This Row],[Проверка отказа]]="отказ",0,MAX(Данные[[#This Row],[interest_rate]],$C$1))</f>
        <v>126000</v>
      </c>
      <c r="V897" s="2">
        <f>MROUND(Данные[[#This Row],[Минимум 20000]], 100)</f>
        <v>126000</v>
      </c>
    </row>
    <row r="898" spans="1:22" x14ac:dyDescent="0.25">
      <c r="A898" s="2">
        <f>'1000_заявлений'!A892</f>
        <v>890</v>
      </c>
      <c r="B898" s="4">
        <f>VALUE(SUBSTITUTE('1000_заявлений'!B892, ".", ","))</f>
        <v>0.29322499331350899</v>
      </c>
      <c r="C898" s="4">
        <f>VALUE(SUBSTITUTE('1000_заявлений'!C892, ".", ","))</f>
        <v>0.38466992841390601</v>
      </c>
      <c r="D898" s="4">
        <f>VALUE(SUBSTITUTE('1000_заявлений'!D892, ".", ","))</f>
        <v>0.75440615</v>
      </c>
      <c r="E898" s="4">
        <f>VALUE(SUBSTITUTE('1000_заявлений'!E892, ".", ","))</f>
        <v>0.34474452999999999</v>
      </c>
      <c r="F898" s="5">
        <f>VALUE(SUBSTITUTE('1000_заявлений'!F892, ".", ","))</f>
        <v>-4893</v>
      </c>
      <c r="G898" s="5">
        <f>VALUE(SUBSTITUTE('1000_заявлений'!G892, ".", ","))</f>
        <v>-21857</v>
      </c>
      <c r="H898" s="5">
        <f>VALUE(SUBSTITUTE('1000_заявлений'!H892, ".", ","))</f>
        <v>-4893</v>
      </c>
      <c r="I898" s="4">
        <f>VALUE(SUBSTITUTE('1000_заявлений'!I892, ".", ","))</f>
        <v>0.20226666666666601</v>
      </c>
      <c r="J898" s="4">
        <f>VALUE(SUBSTITUTE('1000_заявлений'!J892, ".", ","))</f>
        <v>8.9637010522492808</v>
      </c>
      <c r="K898" s="5">
        <f>VALUE(SUBSTITUTE('1000_заявлений'!K892, ".", ","))</f>
        <v>365243</v>
      </c>
      <c r="L898" s="6">
        <f>VALUE(SUBSTITUTE('1000_заявлений'!L892, ".", ","))</f>
        <v>13653</v>
      </c>
      <c r="M898" s="2" t="str">
        <f>IF(Данные[[#This Row],[proba]]&gt;$C$6, "отказ", "одобрение")</f>
        <v>одобрение</v>
      </c>
      <c r="N898" s="7">
        <f>IF(Данные[[#This Row],[proba]]&lt;$D$2,$C$2,IF(Данные[[#This Row],[proba]]&lt;$D$3,$C$3,IF(Данные[[#This Row],[proba]]&gt;$C$6,0,$C$4)))</f>
        <v>100000</v>
      </c>
      <c r="O898" s="2">
        <f>IF(Данные[[#This Row],[weighted_ext_score]]&gt;$O$1,MIN(Данные[[#This Row],[Базовая сумма]]*$O$2,$C$2),IF(Данные[[#This Row],[weighted_ext_score]]&lt;$O$3,Данные[[#This Row],[Базовая сумма]]*$O$4,N898))</f>
        <v>100000</v>
      </c>
      <c r="P8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8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898" s="2">
        <f>ABS(Данные[[#This Row],[days_birth]])/365.2425</f>
        <v>59.842433451747809</v>
      </c>
      <c r="S8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898" s="2">
        <f>IF(Данные[[#This Row],[ interest_rate]]&gt;$T$1,Данные[[#This Row],[days_birth4]]*$T$2,Данные[[#This Row],[days_birth4]])</f>
        <v>105000</v>
      </c>
      <c r="U898" s="2">
        <f>IF(Данные[[#This Row],[Проверка отказа]]="отказ",0,MAX(Данные[[#This Row],[interest_rate]],$C$1))</f>
        <v>105000</v>
      </c>
      <c r="V898" s="2">
        <f>MROUND(Данные[[#This Row],[Минимум 20000]], 100)</f>
        <v>105000</v>
      </c>
    </row>
    <row r="899" spans="1:22" x14ac:dyDescent="0.25">
      <c r="A899" s="2">
        <f>'1000_заявлений'!A893</f>
        <v>891</v>
      </c>
      <c r="B899" s="4">
        <f>VALUE(SUBSTITUTE('1000_заявлений'!B893, ".", ","))</f>
        <v>0.72064810101222798</v>
      </c>
      <c r="C899" s="4">
        <f>VALUE(SUBSTITUTE('1000_заявлений'!C893, ".", ","))</f>
        <v>0.33278330497435499</v>
      </c>
      <c r="D899" s="4">
        <f>VALUE(SUBSTITUTE('1000_заявлений'!D893, ".", ","))</f>
        <v>0.21396684999999999</v>
      </c>
      <c r="E899" s="4">
        <f>VALUE(SUBSTITUTE('1000_заявлений'!E893, ".", ","))</f>
        <v>0.35458996999999998</v>
      </c>
      <c r="F899" s="5">
        <f>VALUE(SUBSTITUTE('1000_заявлений'!F893, ".", ","))</f>
        <v>-7007</v>
      </c>
      <c r="G899" s="5">
        <f>VALUE(SUBSTITUTE('1000_заявлений'!G893, ".", ","))</f>
        <v>-16536</v>
      </c>
      <c r="H899" s="5">
        <f>VALUE(SUBSTITUTE('1000_заявлений'!H893, ".", ","))</f>
        <v>-85</v>
      </c>
      <c r="I899" s="4">
        <f>VALUE(SUBSTITUTE('1000_заявлений'!I893, ".", ","))</f>
        <v>0.18943333333333301</v>
      </c>
      <c r="J899" s="4">
        <f>VALUE(SUBSTITUTE('1000_заявлений'!J893, ".", ","))</f>
        <v>3.9442993202230401</v>
      </c>
      <c r="K899" s="5">
        <f>VALUE(SUBSTITUTE('1000_заявлений'!K893, ".", ","))</f>
        <v>-1784</v>
      </c>
      <c r="L899" s="6">
        <f>VALUE(SUBSTITUTE('1000_заявлений'!L893, ".", ","))</f>
        <v>25573.5</v>
      </c>
      <c r="M899" s="2" t="str">
        <f>IF(Данные[[#This Row],[proba]]&gt;$C$6, "отказ", "одобрение")</f>
        <v>отказ</v>
      </c>
      <c r="N899" s="7">
        <f>IF(Данные[[#This Row],[proba]]&lt;$D$2,$C$2,IF(Данные[[#This Row],[proba]]&lt;$D$3,$C$3,IF(Данные[[#This Row],[proba]]&gt;$C$6,0,$C$4)))</f>
        <v>0</v>
      </c>
      <c r="O899" s="2">
        <f>IF(Данные[[#This Row],[weighted_ext_score]]&gt;$O$1,MIN(Данные[[#This Row],[Базовая сумма]]*$O$2,$C$2),IF(Данные[[#This Row],[weighted_ext_score]]&lt;$O$3,Данные[[#This Row],[Базовая сумма]]*$O$4,N899))</f>
        <v>0</v>
      </c>
      <c r="P8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8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899" s="2">
        <f>ABS(Данные[[#This Row],[days_birth]])/365.2425</f>
        <v>45.274030267561962</v>
      </c>
      <c r="S8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899" s="2">
        <f>IF(Данные[[#This Row],[ interest_rate]]&gt;$T$1,Данные[[#This Row],[days_birth4]]*$T$2,Данные[[#This Row],[days_birth4]])</f>
        <v>0</v>
      </c>
      <c r="U899" s="2">
        <f>IF(Данные[[#This Row],[Проверка отказа]]="отказ",0,MAX(Данные[[#This Row],[interest_rate]],$C$1))</f>
        <v>0</v>
      </c>
      <c r="V899" s="2">
        <f>MROUND(Данные[[#This Row],[Минимум 20000]], 100)</f>
        <v>0</v>
      </c>
    </row>
    <row r="900" spans="1:22" x14ac:dyDescent="0.25">
      <c r="A900" s="2">
        <f>'1000_заявлений'!A894</f>
        <v>892</v>
      </c>
      <c r="B900" s="4">
        <f>VALUE(SUBSTITUTE('1000_заявлений'!B894, ".", ","))</f>
        <v>0.36093322619823198</v>
      </c>
      <c r="C900" s="4">
        <f>VALUE(SUBSTITUTE('1000_заявлений'!C894, ".", ","))</f>
        <v>0.39663462139481798</v>
      </c>
      <c r="D900" s="4">
        <f>VALUE(SUBSTITUTE('1000_заявлений'!D894, ".", ","))</f>
        <v>0.56206049999999996</v>
      </c>
      <c r="E900" s="4">
        <f>VALUE(SUBSTITUTE('1000_заявлений'!E894, ".", ","))</f>
        <v>0.59608644</v>
      </c>
      <c r="F900" s="5">
        <f>VALUE(SUBSTITUTE('1000_заявлений'!F894, ".", ","))</f>
        <v>-5323</v>
      </c>
      <c r="G900" s="5">
        <f>VALUE(SUBSTITUTE('1000_заявлений'!G894, ".", ","))</f>
        <v>-19974</v>
      </c>
      <c r="H900" s="5">
        <f>VALUE(SUBSTITUTE('1000_заявлений'!H894, ".", ","))</f>
        <v>-3479</v>
      </c>
      <c r="I900" s="4">
        <f>VALUE(SUBSTITUTE('1000_заявлений'!I894, ".", ","))</f>
        <v>0.28536</v>
      </c>
      <c r="J900" s="4">
        <f>VALUE(SUBSTITUTE('1000_заявлений'!J894, ".", ","))</f>
        <v>4.3417827645910201</v>
      </c>
      <c r="K900" s="5">
        <f>VALUE(SUBSTITUTE('1000_заявлений'!K894, ".", ","))</f>
        <v>-3081</v>
      </c>
      <c r="L900" s="6">
        <f>VALUE(SUBSTITUTE('1000_заявлений'!L894, ".", ","))</f>
        <v>64206</v>
      </c>
      <c r="M900" s="2" t="str">
        <f>IF(Данные[[#This Row],[proba]]&gt;$C$6, "отказ", "одобрение")</f>
        <v>отказ</v>
      </c>
      <c r="N900" s="7">
        <f>IF(Данные[[#This Row],[proba]]&lt;$D$2,$C$2,IF(Данные[[#This Row],[proba]]&lt;$D$3,$C$3,IF(Данные[[#This Row],[proba]]&gt;$C$6,0,$C$4)))</f>
        <v>0</v>
      </c>
      <c r="O900" s="2">
        <f>IF(Данные[[#This Row],[weighted_ext_score]]&gt;$O$1,MIN(Данные[[#This Row],[Базовая сумма]]*$O$2,$C$2),IF(Данные[[#This Row],[weighted_ext_score]]&lt;$O$3,Данные[[#This Row],[Базовая сумма]]*$O$4,N900))</f>
        <v>0</v>
      </c>
      <c r="P9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0" s="2">
        <f>ABS(Данные[[#This Row],[days_birth]])/365.2425</f>
        <v>54.68695455758845</v>
      </c>
      <c r="S9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0" s="2">
        <f>IF(Данные[[#This Row],[ interest_rate]]&gt;$T$1,Данные[[#This Row],[days_birth4]]*$T$2,Данные[[#This Row],[days_birth4]])</f>
        <v>0</v>
      </c>
      <c r="U900" s="2">
        <f>IF(Данные[[#This Row],[Проверка отказа]]="отказ",0,MAX(Данные[[#This Row],[interest_rate]],$C$1))</f>
        <v>0</v>
      </c>
      <c r="V900" s="2">
        <f>MROUND(Данные[[#This Row],[Минимум 20000]], 100)</f>
        <v>0</v>
      </c>
    </row>
    <row r="901" spans="1:22" x14ac:dyDescent="0.25">
      <c r="A901" s="2">
        <f>'1000_заявлений'!A895</f>
        <v>893</v>
      </c>
      <c r="B901" s="4">
        <f>VALUE(SUBSTITUTE('1000_заявлений'!B895, ".", ","))</f>
        <v>0.70871027274512899</v>
      </c>
      <c r="C901" s="4">
        <f>VALUE(SUBSTITUTE('1000_заявлений'!C895, ".", ","))</f>
        <v>0.33937798466364499</v>
      </c>
      <c r="D901" s="4">
        <f>VALUE(SUBSTITUTE('1000_заявлений'!D895, ".", ","))</f>
        <v>0.45253357</v>
      </c>
      <c r="E901" s="4">
        <f>VALUE(SUBSTITUTE('1000_заявлений'!E895, ".", ","))</f>
        <v>0.1886642</v>
      </c>
      <c r="F901" s="5">
        <f>VALUE(SUBSTITUTE('1000_заявлений'!F895, ".", ","))</f>
        <v>-4718</v>
      </c>
      <c r="G901" s="5">
        <f>VALUE(SUBSTITUTE('1000_заявлений'!G895, ".", ","))</f>
        <v>-13965</v>
      </c>
      <c r="H901" s="5">
        <f>VALUE(SUBSTITUTE('1000_заявлений'!H895, ".", ","))</f>
        <v>-4718</v>
      </c>
      <c r="I901" s="4">
        <f>VALUE(SUBSTITUTE('1000_заявлений'!I895, ".", ","))</f>
        <v>0.38216666666666599</v>
      </c>
      <c r="J901" s="4">
        <f>VALUE(SUBSTITUTE('1000_заявлений'!J895, ".", ","))</f>
        <v>1.7941920551238499</v>
      </c>
      <c r="K901" s="5">
        <f>VALUE(SUBSTITUTE('1000_заявлений'!K895, ".", ","))</f>
        <v>-940</v>
      </c>
      <c r="L901" s="6">
        <f>VALUE(SUBSTITUTE('1000_заявлений'!L895, ".", ","))</f>
        <v>20637</v>
      </c>
      <c r="M901" s="2" t="str">
        <f>IF(Данные[[#This Row],[proba]]&gt;$C$6, "отказ", "одобрение")</f>
        <v>отказ</v>
      </c>
      <c r="N901" s="7">
        <f>IF(Данные[[#This Row],[proba]]&lt;$D$2,$C$2,IF(Данные[[#This Row],[proba]]&lt;$D$3,$C$3,IF(Данные[[#This Row],[proba]]&gt;$C$6,0,$C$4)))</f>
        <v>0</v>
      </c>
      <c r="O901" s="2">
        <f>IF(Данные[[#This Row],[weighted_ext_score]]&gt;$O$1,MIN(Данные[[#This Row],[Базовая сумма]]*$O$2,$C$2),IF(Данные[[#This Row],[weighted_ext_score]]&lt;$O$3,Данные[[#This Row],[Базовая сумма]]*$O$4,N901))</f>
        <v>0</v>
      </c>
      <c r="P9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1" s="2">
        <f>ABS(Данные[[#This Row],[days_birth]])/365.2425</f>
        <v>38.23487135259451</v>
      </c>
      <c r="S9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1" s="2">
        <f>IF(Данные[[#This Row],[ interest_rate]]&gt;$T$1,Данные[[#This Row],[days_birth4]]*$T$2,Данные[[#This Row],[days_birth4]])</f>
        <v>0</v>
      </c>
      <c r="U901" s="2">
        <f>IF(Данные[[#This Row],[Проверка отказа]]="отказ",0,MAX(Данные[[#This Row],[interest_rate]],$C$1))</f>
        <v>0</v>
      </c>
      <c r="V901" s="2">
        <f>MROUND(Данные[[#This Row],[Минимум 20000]], 100)</f>
        <v>0</v>
      </c>
    </row>
    <row r="902" spans="1:22" x14ac:dyDescent="0.25">
      <c r="A902" s="2">
        <f>'1000_заявлений'!A896</f>
        <v>894</v>
      </c>
      <c r="B902" s="4">
        <f>VALUE(SUBSTITUTE('1000_заявлений'!B896, ".", ","))</f>
        <v>0.59218968485947798</v>
      </c>
      <c r="C902" s="4">
        <f>VALUE(SUBSTITUTE('1000_заявлений'!C896, ".", ","))</f>
        <v>0.17554562883747801</v>
      </c>
      <c r="D902" s="4">
        <f>VALUE(SUBSTITUTE('1000_заявлений'!D896, ".", ","))</f>
        <v>0.53527623000000002</v>
      </c>
      <c r="E902" s="4">
        <f>VALUE(SUBSTITUTE('1000_заявлений'!E896, ".", ","))</f>
        <v>0.54117800000000005</v>
      </c>
      <c r="F902" s="5">
        <f>VALUE(SUBSTITUTE('1000_заявлений'!F896, ".", ","))</f>
        <v>-2921</v>
      </c>
      <c r="G902" s="5">
        <f>VALUE(SUBSTITUTE('1000_заявлений'!G896, ".", ","))</f>
        <v>-15494</v>
      </c>
      <c r="H902" s="5">
        <f>VALUE(SUBSTITUTE('1000_заявлений'!H896, ".", ","))</f>
        <v>-4081</v>
      </c>
      <c r="I902" s="4">
        <f>VALUE(SUBSTITUTE('1000_заявлений'!I896, ".", ","))</f>
        <v>0.36956521739130399</v>
      </c>
      <c r="J902" s="4">
        <f>VALUE(SUBSTITUTE('1000_заявлений'!J896, ".", ","))</f>
        <v>1.78610056239632</v>
      </c>
      <c r="K902" s="5">
        <f>VALUE(SUBSTITUTE('1000_заявлений'!K896, ".", ","))</f>
        <v>-4419</v>
      </c>
      <c r="L902" s="6">
        <f>VALUE(SUBSTITUTE('1000_заявлений'!L896, ".", ","))</f>
        <v>38250</v>
      </c>
      <c r="M902" s="2" t="str">
        <f>IF(Данные[[#This Row],[proba]]&gt;$C$6, "отказ", "одобрение")</f>
        <v>отказ</v>
      </c>
      <c r="N902" s="7">
        <f>IF(Данные[[#This Row],[proba]]&lt;$D$2,$C$2,IF(Данные[[#This Row],[proba]]&lt;$D$3,$C$3,IF(Данные[[#This Row],[proba]]&gt;$C$6,0,$C$4)))</f>
        <v>0</v>
      </c>
      <c r="O902" s="2">
        <f>IF(Данные[[#This Row],[weighted_ext_score]]&gt;$O$1,MIN(Данные[[#This Row],[Базовая сумма]]*$O$2,$C$2),IF(Данные[[#This Row],[weighted_ext_score]]&lt;$O$3,Данные[[#This Row],[Базовая сумма]]*$O$4,N902))</f>
        <v>0</v>
      </c>
      <c r="P9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2" s="2">
        <f>ABS(Данные[[#This Row],[days_birth]])/365.2425</f>
        <v>42.421131166279935</v>
      </c>
      <c r="S9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2" s="2">
        <f>IF(Данные[[#This Row],[ interest_rate]]&gt;$T$1,Данные[[#This Row],[days_birth4]]*$T$2,Данные[[#This Row],[days_birth4]])</f>
        <v>0</v>
      </c>
      <c r="U902" s="2">
        <f>IF(Данные[[#This Row],[Проверка отказа]]="отказ",0,MAX(Данные[[#This Row],[interest_rate]],$C$1))</f>
        <v>0</v>
      </c>
      <c r="V902" s="2">
        <f>MROUND(Данные[[#This Row],[Минимум 20000]], 100)</f>
        <v>0</v>
      </c>
    </row>
    <row r="903" spans="1:22" x14ac:dyDescent="0.25">
      <c r="A903" s="2">
        <f>'1000_заявлений'!A897</f>
        <v>895</v>
      </c>
      <c r="B903" s="4">
        <f>VALUE(SUBSTITUTE('1000_заявлений'!B897, ".", ","))</f>
        <v>0.63799787186816503</v>
      </c>
      <c r="C903" s="4">
        <f>VALUE(SUBSTITUTE('1000_заявлений'!C897, ".", ","))</f>
        <v>0.325387188643807</v>
      </c>
      <c r="D903" s="4">
        <f>VALUE(SUBSTITUTE('1000_заявлений'!D897, ".", ","))</f>
        <v>0.18848952999999999</v>
      </c>
      <c r="E903" s="4">
        <f>VALUE(SUBSTITUTE('1000_заявлений'!E897, ".", ","))</f>
        <v>0.63755315999999995</v>
      </c>
      <c r="F903" s="5">
        <f>VALUE(SUBSTITUTE('1000_заявлений'!F897, ".", ","))</f>
        <v>-2772</v>
      </c>
      <c r="G903" s="5">
        <f>VALUE(SUBSTITUTE('1000_заявлений'!G897, ".", ","))</f>
        <v>-14134</v>
      </c>
      <c r="H903" s="5">
        <f>VALUE(SUBSTITUTE('1000_заявлений'!H897, ".", ","))</f>
        <v>-4514</v>
      </c>
      <c r="I903" s="4">
        <f>VALUE(SUBSTITUTE('1000_заявлений'!I897, ".", ","))</f>
        <v>0.29166666666666602</v>
      </c>
      <c r="J903" s="4">
        <f>VALUE(SUBSTITUTE('1000_заявлений'!J897, ".", ","))</f>
        <v>2.7653963316522399</v>
      </c>
      <c r="K903" s="5">
        <f>VALUE(SUBSTITUTE('1000_заявлений'!K897, ".", ","))</f>
        <v>-1908</v>
      </c>
      <c r="L903" s="6">
        <f>VALUE(SUBSTITUTE('1000_заявлений'!L897, ".", ","))</f>
        <v>43312.5</v>
      </c>
      <c r="M903" s="2" t="str">
        <f>IF(Данные[[#This Row],[proba]]&gt;$C$6, "отказ", "одобрение")</f>
        <v>отказ</v>
      </c>
      <c r="N903" s="7">
        <f>IF(Данные[[#This Row],[proba]]&lt;$D$2,$C$2,IF(Данные[[#This Row],[proba]]&lt;$D$3,$C$3,IF(Данные[[#This Row],[proba]]&gt;$C$6,0,$C$4)))</f>
        <v>0</v>
      </c>
      <c r="O903" s="2">
        <f>IF(Данные[[#This Row],[weighted_ext_score]]&gt;$O$1,MIN(Данные[[#This Row],[Базовая сумма]]*$O$2,$C$2),IF(Данные[[#This Row],[weighted_ext_score]]&lt;$O$3,Данные[[#This Row],[Базовая сумма]]*$O$4,N903))</f>
        <v>0</v>
      </c>
      <c r="P9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3" s="2">
        <f>ABS(Данные[[#This Row],[days_birth]])/365.2425</f>
        <v>38.697577636775563</v>
      </c>
      <c r="S9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3" s="2">
        <f>IF(Данные[[#This Row],[ interest_rate]]&gt;$T$1,Данные[[#This Row],[days_birth4]]*$T$2,Данные[[#This Row],[days_birth4]])</f>
        <v>0</v>
      </c>
      <c r="U903" s="2">
        <f>IF(Данные[[#This Row],[Проверка отказа]]="отказ",0,MAX(Данные[[#This Row],[interest_rate]],$C$1))</f>
        <v>0</v>
      </c>
      <c r="V903" s="2">
        <f>MROUND(Данные[[#This Row],[Минимум 20000]], 100)</f>
        <v>0</v>
      </c>
    </row>
    <row r="904" spans="1:22" x14ac:dyDescent="0.25">
      <c r="A904" s="2">
        <f>'1000_заявлений'!A898</f>
        <v>896</v>
      </c>
      <c r="B904" s="4">
        <f>VALUE(SUBSTITUTE('1000_заявлений'!B898, ".", ","))</f>
        <v>0.327197840770869</v>
      </c>
      <c r="C904" s="4">
        <f>VALUE(SUBSTITUTE('1000_заявлений'!C898, ".", ","))</f>
        <v>0.23686983298664999</v>
      </c>
      <c r="D904" s="4">
        <f>VALUE(SUBSTITUTE('1000_заявлений'!D898, ".", ","))</f>
        <v>0.53527623000000002</v>
      </c>
      <c r="E904" s="4">
        <f>VALUE(SUBSTITUTE('1000_заявлений'!E898, ".", ","))</f>
        <v>0.73023033000000004</v>
      </c>
      <c r="F904" s="5">
        <f>VALUE(SUBSTITUTE('1000_заявлений'!F898, ".", ","))</f>
        <v>-10818</v>
      </c>
      <c r="G904" s="5">
        <f>VALUE(SUBSTITUTE('1000_заявлений'!G898, ".", ","))</f>
        <v>-25051</v>
      </c>
      <c r="H904" s="5">
        <f>VALUE(SUBSTITUTE('1000_заявлений'!H898, ".", ","))</f>
        <v>-4335</v>
      </c>
      <c r="I904" s="4">
        <f>VALUE(SUBSTITUTE('1000_заявлений'!I898, ".", ","))</f>
        <v>0.27443661971830902</v>
      </c>
      <c r="J904" s="4">
        <f>VALUE(SUBSTITUTE('1000_заявлений'!J898, ".", ","))</f>
        <v>3.62695279578984</v>
      </c>
      <c r="K904" s="5">
        <f>VALUE(SUBSTITUTE('1000_заявлений'!K898, ".", ","))</f>
        <v>365243</v>
      </c>
      <c r="L904" s="6">
        <f>VALUE(SUBSTITUTE('1000_заявлений'!L898, ".", ","))</f>
        <v>35073</v>
      </c>
      <c r="M904" s="2" t="str">
        <f>IF(Данные[[#This Row],[proba]]&gt;$C$6, "отказ", "одобрение")</f>
        <v>отказ</v>
      </c>
      <c r="N904" s="7">
        <f>IF(Данные[[#This Row],[proba]]&lt;$D$2,$C$2,IF(Данные[[#This Row],[proba]]&lt;$D$3,$C$3,IF(Данные[[#This Row],[proba]]&gt;$C$6,0,$C$4)))</f>
        <v>0</v>
      </c>
      <c r="O904" s="2">
        <f>IF(Данные[[#This Row],[weighted_ext_score]]&gt;$O$1,MIN(Данные[[#This Row],[Базовая сумма]]*$O$2,$C$2),IF(Данные[[#This Row],[weighted_ext_score]]&lt;$O$3,Данные[[#This Row],[Базовая сумма]]*$O$4,N904))</f>
        <v>0</v>
      </c>
      <c r="P9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4" s="2">
        <f>ABS(Данные[[#This Row],[days_birth]])/365.2425</f>
        <v>68.587308432069108</v>
      </c>
      <c r="S9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4" s="2">
        <f>IF(Данные[[#This Row],[ interest_rate]]&gt;$T$1,Данные[[#This Row],[days_birth4]]*$T$2,Данные[[#This Row],[days_birth4]])</f>
        <v>0</v>
      </c>
      <c r="U904" s="2">
        <f>IF(Данные[[#This Row],[Проверка отказа]]="отказ",0,MAX(Данные[[#This Row],[interest_rate]],$C$1))</f>
        <v>0</v>
      </c>
      <c r="V904" s="2">
        <f>MROUND(Данные[[#This Row],[Минимум 20000]], 100)</f>
        <v>0</v>
      </c>
    </row>
    <row r="905" spans="1:22" x14ac:dyDescent="0.25">
      <c r="A905" s="2">
        <f>'1000_заявлений'!A899</f>
        <v>897</v>
      </c>
      <c r="B905" s="4">
        <f>VALUE(SUBSTITUTE('1000_заявлений'!B899, ".", ","))</f>
        <v>0.68829593813977796</v>
      </c>
      <c r="C905" s="4">
        <f>VALUE(SUBSTITUTE('1000_заявлений'!C899, ".", ","))</f>
        <v>0.38832506474462403</v>
      </c>
      <c r="D905" s="4">
        <f>VALUE(SUBSTITUTE('1000_заявлений'!D899, ".", ","))</f>
        <v>0.14644207000000001</v>
      </c>
      <c r="E905" s="4">
        <f>VALUE(SUBSTITUTE('1000_заявлений'!E899, ".", ","))</f>
        <v>0.23118395999999999</v>
      </c>
      <c r="F905" s="5">
        <f>VALUE(SUBSTITUTE('1000_заявлений'!F899, ".", ","))</f>
        <v>-6856</v>
      </c>
      <c r="G905" s="5">
        <f>VALUE(SUBSTITUTE('1000_заявлений'!G899, ".", ","))</f>
        <v>-22164</v>
      </c>
      <c r="H905" s="5">
        <f>VALUE(SUBSTITUTE('1000_заявлений'!H899, ".", ","))</f>
        <v>-4597</v>
      </c>
      <c r="I905" s="4">
        <f>VALUE(SUBSTITUTE('1000_заявлений'!I899, ".", ","))</f>
        <v>0.11772000000000001</v>
      </c>
      <c r="J905" s="4">
        <f>VALUE(SUBSTITUTE('1000_заявлений'!J899, ".", ","))</f>
        <v>4.5686877659159597</v>
      </c>
      <c r="K905" s="5">
        <f>VALUE(SUBSTITUTE('1000_заявлений'!K899, ".", ","))</f>
        <v>-4512</v>
      </c>
      <c r="L905" s="6">
        <f>VALUE(SUBSTITUTE('1000_заявлений'!L899, ".", ","))</f>
        <v>26487</v>
      </c>
      <c r="M905" s="2" t="str">
        <f>IF(Данные[[#This Row],[proba]]&gt;$C$6, "отказ", "одобрение")</f>
        <v>отказ</v>
      </c>
      <c r="N905" s="7">
        <f>IF(Данные[[#This Row],[proba]]&lt;$D$2,$C$2,IF(Данные[[#This Row],[proba]]&lt;$D$3,$C$3,IF(Данные[[#This Row],[proba]]&gt;$C$6,0,$C$4)))</f>
        <v>0</v>
      </c>
      <c r="O905" s="2">
        <f>IF(Данные[[#This Row],[weighted_ext_score]]&gt;$O$1,MIN(Данные[[#This Row],[Базовая сумма]]*$O$2,$C$2),IF(Данные[[#This Row],[weighted_ext_score]]&lt;$O$3,Данные[[#This Row],[Базовая сумма]]*$O$4,N905))</f>
        <v>0</v>
      </c>
      <c r="P9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5" s="2">
        <f>ABS(Данные[[#This Row],[days_birth]])/365.2425</f>
        <v>60.682970902893281</v>
      </c>
      <c r="S9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5" s="2">
        <f>IF(Данные[[#This Row],[ interest_rate]]&gt;$T$1,Данные[[#This Row],[days_birth4]]*$T$2,Данные[[#This Row],[days_birth4]])</f>
        <v>0</v>
      </c>
      <c r="U905" s="2">
        <f>IF(Данные[[#This Row],[Проверка отказа]]="отказ",0,MAX(Данные[[#This Row],[interest_rate]],$C$1))</f>
        <v>0</v>
      </c>
      <c r="V905" s="2">
        <f>MROUND(Данные[[#This Row],[Минимум 20000]], 100)</f>
        <v>0</v>
      </c>
    </row>
    <row r="906" spans="1:22" x14ac:dyDescent="0.25">
      <c r="A906" s="2">
        <f>'1000_заявлений'!A900</f>
        <v>898</v>
      </c>
      <c r="B906" s="4">
        <f>VALUE(SUBSTITUTE('1000_заявлений'!B900, ".", ","))</f>
        <v>0.473906087210754</v>
      </c>
      <c r="C906" s="4">
        <f>VALUE(SUBSTITUTE('1000_заявлений'!C900, ".", ","))</f>
        <v>0.360468010249404</v>
      </c>
      <c r="D906" s="4">
        <f>VALUE(SUBSTITUTE('1000_заявлений'!D900, ".", ","))</f>
        <v>0.44183581999999999</v>
      </c>
      <c r="E906" s="4">
        <f>VALUE(SUBSTITUTE('1000_заявлений'!E900, ".", ","))</f>
        <v>0.61863590000000002</v>
      </c>
      <c r="F906" s="5">
        <f>VALUE(SUBSTITUTE('1000_заявлений'!F900, ".", ","))</f>
        <v>-1694</v>
      </c>
      <c r="G906" s="5">
        <f>VALUE(SUBSTITUTE('1000_заявлений'!G900, ".", ","))</f>
        <v>-12509</v>
      </c>
      <c r="H906" s="5">
        <f>VALUE(SUBSTITUTE('1000_заявлений'!H900, ".", ","))</f>
        <v>-2458</v>
      </c>
      <c r="I906" s="4">
        <f>VALUE(SUBSTITUTE('1000_заявлений'!I900, ".", ","))</f>
        <v>0.20013</v>
      </c>
      <c r="J906" s="4">
        <f>VALUE(SUBSTITUTE('1000_заявлений'!J900, ".", ","))</f>
        <v>0.141885237189698</v>
      </c>
      <c r="K906" s="5">
        <f>VALUE(SUBSTITUTE('1000_заявлений'!K900, ".", ","))</f>
        <v>-112</v>
      </c>
      <c r="L906" s="6">
        <f>VALUE(SUBSTITUTE('1000_заявлений'!L900, ".", ","))</f>
        <v>90058.5</v>
      </c>
      <c r="M906" s="2" t="str">
        <f>IF(Данные[[#This Row],[proba]]&gt;$C$6, "отказ", "одобрение")</f>
        <v>отказ</v>
      </c>
      <c r="N906" s="7">
        <f>IF(Данные[[#This Row],[proba]]&lt;$D$2,$C$2,IF(Данные[[#This Row],[proba]]&lt;$D$3,$C$3,IF(Данные[[#This Row],[proba]]&gt;$C$6,0,$C$4)))</f>
        <v>0</v>
      </c>
      <c r="O906" s="2">
        <f>IF(Данные[[#This Row],[weighted_ext_score]]&gt;$O$1,MIN(Данные[[#This Row],[Базовая сумма]]*$O$2,$C$2),IF(Данные[[#This Row],[weighted_ext_score]]&lt;$O$3,Данные[[#This Row],[Базовая сумма]]*$O$4,N906))</f>
        <v>0</v>
      </c>
      <c r="P9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6" s="2">
        <f>ABS(Данные[[#This Row],[days_birth]])/365.2425</f>
        <v>34.248478750419238</v>
      </c>
      <c r="S9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6" s="2">
        <f>IF(Данные[[#This Row],[ interest_rate]]&gt;$T$1,Данные[[#This Row],[days_birth4]]*$T$2,Данные[[#This Row],[days_birth4]])</f>
        <v>0</v>
      </c>
      <c r="U906" s="2">
        <f>IF(Данные[[#This Row],[Проверка отказа]]="отказ",0,MAX(Данные[[#This Row],[interest_rate]],$C$1))</f>
        <v>0</v>
      </c>
      <c r="V906" s="2">
        <f>MROUND(Данные[[#This Row],[Минимум 20000]], 100)</f>
        <v>0</v>
      </c>
    </row>
    <row r="907" spans="1:22" x14ac:dyDescent="0.25">
      <c r="A907" s="2">
        <f>'1000_заявлений'!A901</f>
        <v>899</v>
      </c>
      <c r="B907" s="4">
        <f>VALUE(SUBSTITUTE('1000_заявлений'!B901, ".", ","))</f>
        <v>0.52173268476450896</v>
      </c>
      <c r="C907" s="4">
        <f>VALUE(SUBSTITUTE('1000_заявлений'!C901, ".", ","))</f>
        <v>0.34089859620084201</v>
      </c>
      <c r="D907" s="4">
        <f>VALUE(SUBSTITUTE('1000_заявлений'!D901, ".", ","))</f>
        <v>0.38079967999999997</v>
      </c>
      <c r="E907" s="4">
        <f>VALUE(SUBSTITUTE('1000_заявлений'!E901, ".", ","))</f>
        <v>0.6263592</v>
      </c>
      <c r="F907" s="5">
        <f>VALUE(SUBSTITUTE('1000_заявлений'!F901, ".", ","))</f>
        <v>-2716</v>
      </c>
      <c r="G907" s="5">
        <f>VALUE(SUBSTITUTE('1000_заявлений'!G901, ".", ","))</f>
        <v>-14517</v>
      </c>
      <c r="H907" s="5">
        <f>VALUE(SUBSTITUTE('1000_заявлений'!H901, ".", ","))</f>
        <v>-4779</v>
      </c>
      <c r="I907" s="4">
        <f>VALUE(SUBSTITUTE('1000_заявлений'!I901, ".", ","))</f>
        <v>0.15128</v>
      </c>
      <c r="J907" s="4">
        <f>VALUE(SUBSTITUTE('1000_заявлений'!J901, ".", ","))</f>
        <v>0.34483632812558601</v>
      </c>
      <c r="K907" s="5">
        <f>VALUE(SUBSTITUTE('1000_заявлений'!K901, ".", ","))</f>
        <v>-2060</v>
      </c>
      <c r="L907" s="6">
        <f>VALUE(SUBSTITUTE('1000_заявлений'!L901, ".", ","))</f>
        <v>17019</v>
      </c>
      <c r="M907" s="2" t="str">
        <f>IF(Данные[[#This Row],[proba]]&gt;$C$6, "отказ", "одобрение")</f>
        <v>отказ</v>
      </c>
      <c r="N907" s="7">
        <f>IF(Данные[[#This Row],[proba]]&lt;$D$2,$C$2,IF(Данные[[#This Row],[proba]]&lt;$D$3,$C$3,IF(Данные[[#This Row],[proba]]&gt;$C$6,0,$C$4)))</f>
        <v>0</v>
      </c>
      <c r="O907" s="2">
        <f>IF(Данные[[#This Row],[weighted_ext_score]]&gt;$O$1,MIN(Данные[[#This Row],[Базовая сумма]]*$O$2,$C$2),IF(Данные[[#This Row],[weighted_ext_score]]&lt;$O$3,Данные[[#This Row],[Базовая сумма]]*$O$4,N907))</f>
        <v>0</v>
      </c>
      <c r="P9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7" s="2">
        <f>ABS(Данные[[#This Row],[days_birth]])/365.2425</f>
        <v>39.746196020452167</v>
      </c>
      <c r="S9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7" s="2">
        <f>IF(Данные[[#This Row],[ interest_rate]]&gt;$T$1,Данные[[#This Row],[days_birth4]]*$T$2,Данные[[#This Row],[days_birth4]])</f>
        <v>0</v>
      </c>
      <c r="U907" s="2">
        <f>IF(Данные[[#This Row],[Проверка отказа]]="отказ",0,MAX(Данные[[#This Row],[interest_rate]],$C$1))</f>
        <v>0</v>
      </c>
      <c r="V907" s="2">
        <f>MROUND(Данные[[#This Row],[Минимум 20000]], 100)</f>
        <v>0</v>
      </c>
    </row>
    <row r="908" spans="1:22" x14ac:dyDescent="0.25">
      <c r="A908" s="2">
        <f>'1000_заявлений'!A902</f>
        <v>900</v>
      </c>
      <c r="B908" s="4">
        <f>VALUE(SUBSTITUTE('1000_заявлений'!B902, ".", ","))</f>
        <v>0.485473433297827</v>
      </c>
      <c r="C908" s="4">
        <f>VALUE(SUBSTITUTE('1000_заявлений'!C902, ".", ","))</f>
        <v>0.35457798534428597</v>
      </c>
      <c r="D908" s="4">
        <f>VALUE(SUBSTITUTE('1000_заявлений'!D902, ".", ","))</f>
        <v>0.39277387000000002</v>
      </c>
      <c r="E908" s="4">
        <f>VALUE(SUBSTITUTE('1000_заявлений'!E902, ".", ","))</f>
        <v>0.65517979999999998</v>
      </c>
      <c r="F908" s="5">
        <f>VALUE(SUBSTITUTE('1000_заявлений'!F902, ".", ","))</f>
        <v>-7022</v>
      </c>
      <c r="G908" s="5">
        <f>VALUE(SUBSTITUTE('1000_заявлений'!G902, ".", ","))</f>
        <v>-15155</v>
      </c>
      <c r="H908" s="5">
        <f>VALUE(SUBSTITUTE('1000_заявлений'!H902, ".", ","))</f>
        <v>-532</v>
      </c>
      <c r="I908" s="4">
        <f>VALUE(SUBSTITUTE('1000_заявлений'!I902, ".", ","))</f>
        <v>0.11876923076923</v>
      </c>
      <c r="J908" s="4">
        <f>VALUE(SUBSTITUTE('1000_заявлений'!J902, ".", ","))</f>
        <v>2.5485101372655099</v>
      </c>
      <c r="K908" s="5">
        <f>VALUE(SUBSTITUTE('1000_заявлений'!K902, ".", ","))</f>
        <v>-256</v>
      </c>
      <c r="L908" s="6">
        <f>VALUE(SUBSTITUTE('1000_заявлений'!L902, ".", ","))</f>
        <v>34740</v>
      </c>
      <c r="M908" s="2" t="str">
        <f>IF(Данные[[#This Row],[proba]]&gt;$C$6, "отказ", "одобрение")</f>
        <v>отказ</v>
      </c>
      <c r="N908" s="7">
        <f>IF(Данные[[#This Row],[proba]]&lt;$D$2,$C$2,IF(Данные[[#This Row],[proba]]&lt;$D$3,$C$3,IF(Данные[[#This Row],[proba]]&gt;$C$6,0,$C$4)))</f>
        <v>0</v>
      </c>
      <c r="O908" s="2">
        <f>IF(Данные[[#This Row],[weighted_ext_score]]&gt;$O$1,MIN(Данные[[#This Row],[Базовая сумма]]*$O$2,$C$2),IF(Данные[[#This Row],[weighted_ext_score]]&lt;$O$3,Данные[[#This Row],[Базовая сумма]]*$O$4,N908))</f>
        <v>0</v>
      </c>
      <c r="P90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0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08" s="2">
        <f>ABS(Данные[[#This Row],[days_birth]])/365.2425</f>
        <v>41.492980690910834</v>
      </c>
      <c r="S90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08" s="2">
        <f>IF(Данные[[#This Row],[ interest_rate]]&gt;$T$1,Данные[[#This Row],[days_birth4]]*$T$2,Данные[[#This Row],[days_birth4]])</f>
        <v>0</v>
      </c>
      <c r="U908" s="2">
        <f>IF(Данные[[#This Row],[Проверка отказа]]="отказ",0,MAX(Данные[[#This Row],[interest_rate]],$C$1))</f>
        <v>0</v>
      </c>
      <c r="V908" s="2">
        <f>MROUND(Данные[[#This Row],[Минимум 20000]], 100)</f>
        <v>0</v>
      </c>
    </row>
    <row r="909" spans="1:22" x14ac:dyDescent="0.25">
      <c r="A909" s="2">
        <f>'1000_заявлений'!A903</f>
        <v>901</v>
      </c>
      <c r="B909" s="4">
        <f>VALUE(SUBSTITUTE('1000_заявлений'!B903, ".", ","))</f>
        <v>0.213378971257003</v>
      </c>
      <c r="C909" s="4">
        <f>VALUE(SUBSTITUTE('1000_заявлений'!C903, ".", ","))</f>
        <v>0.44990532777763897</v>
      </c>
      <c r="D909" s="4">
        <f>VALUE(SUBSTITUTE('1000_заявлений'!D903, ".", ","))</f>
        <v>0.70320329999999998</v>
      </c>
      <c r="E909" s="4">
        <f>VALUE(SUBSTITUTE('1000_заявлений'!E903, ".", ","))</f>
        <v>0.60294329999999996</v>
      </c>
      <c r="F909" s="5">
        <f>VALUE(SUBSTITUTE('1000_заявлений'!F903, ".", ","))</f>
        <v>-2421</v>
      </c>
      <c r="G909" s="5">
        <f>VALUE(SUBSTITUTE('1000_заявлений'!G903, ".", ","))</f>
        <v>-21363</v>
      </c>
      <c r="H909" s="5">
        <f>VALUE(SUBSTITUTE('1000_заявлений'!H903, ".", ","))</f>
        <v>-4857</v>
      </c>
      <c r="I909" s="4">
        <f>VALUE(SUBSTITUTE('1000_заявлений'!I903, ".", ","))</f>
        <v>0.20549999999999999</v>
      </c>
      <c r="J909" s="4">
        <f>VALUE(SUBSTITUTE('1000_заявлений'!J903, ".", ","))</f>
        <v>10.033395653150199</v>
      </c>
      <c r="K909" s="5">
        <f>VALUE(SUBSTITUTE('1000_заявлений'!K903, ".", ","))</f>
        <v>365243</v>
      </c>
      <c r="L909" s="6">
        <f>VALUE(SUBSTITUTE('1000_заявлений'!L903, ".", ","))</f>
        <v>9247.5</v>
      </c>
      <c r="M909" s="2" t="str">
        <f>IF(Данные[[#This Row],[proba]]&gt;$C$6, "отказ", "одобрение")</f>
        <v>одобрение</v>
      </c>
      <c r="N909" s="7">
        <f>IF(Данные[[#This Row],[proba]]&lt;$D$2,$C$2,IF(Данные[[#This Row],[proba]]&lt;$D$3,$C$3,IF(Данные[[#This Row],[proba]]&gt;$C$6,0,$C$4)))</f>
        <v>100000</v>
      </c>
      <c r="O909" s="2">
        <f>IF(Данные[[#This Row],[weighted_ext_score]]&gt;$O$1,MIN(Данные[[#This Row],[Базовая сумма]]*$O$2,$C$2),IF(Данные[[#This Row],[weighted_ext_score]]&lt;$O$3,Данные[[#This Row],[Базовая сумма]]*$O$4,N909))</f>
        <v>100000</v>
      </c>
      <c r="P90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90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909" s="2">
        <f>ABS(Данные[[#This Row],[days_birth]])/365.2425</f>
        <v>58.489907390295485</v>
      </c>
      <c r="S90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909" s="2">
        <f>IF(Данные[[#This Row],[ interest_rate]]&gt;$T$1,Данные[[#This Row],[days_birth4]]*$T$2,Данные[[#This Row],[days_birth4]])</f>
        <v>105000</v>
      </c>
      <c r="U909" s="2">
        <f>IF(Данные[[#This Row],[Проверка отказа]]="отказ",0,MAX(Данные[[#This Row],[interest_rate]],$C$1))</f>
        <v>105000</v>
      </c>
      <c r="V909" s="2">
        <f>MROUND(Данные[[#This Row],[Минимум 20000]], 100)</f>
        <v>105000</v>
      </c>
    </row>
    <row r="910" spans="1:22" x14ac:dyDescent="0.25">
      <c r="A910" s="2">
        <f>'1000_заявлений'!A904</f>
        <v>902</v>
      </c>
      <c r="B910" s="4">
        <f>VALUE(SUBSTITUTE('1000_заявлений'!B904, ".", ","))</f>
        <v>0.48542409376448797</v>
      </c>
      <c r="C910" s="4">
        <f>VALUE(SUBSTITUTE('1000_заявлений'!C904, ".", ","))</f>
        <v>0.32755774442017699</v>
      </c>
      <c r="D910" s="4">
        <f>VALUE(SUBSTITUTE('1000_заявлений'!D904, ".", ","))</f>
        <v>0.67065173</v>
      </c>
      <c r="E910" s="4">
        <f>VALUE(SUBSTITUTE('1000_заявлений'!E904, ".", ","))</f>
        <v>0.26205957000000002</v>
      </c>
      <c r="F910" s="5">
        <f>VALUE(SUBSTITUTE('1000_заявлений'!F904, ".", ","))</f>
        <v>-3951</v>
      </c>
      <c r="G910" s="5">
        <f>VALUE(SUBSTITUTE('1000_заявлений'!G904, ".", ","))</f>
        <v>-18937</v>
      </c>
      <c r="H910" s="5">
        <f>VALUE(SUBSTITUTE('1000_заявлений'!H904, ".", ","))</f>
        <v>-2472</v>
      </c>
      <c r="I910" s="4">
        <f>VALUE(SUBSTITUTE('1000_заявлений'!I904, ".", ","))</f>
        <v>0.12382</v>
      </c>
      <c r="J910" s="4">
        <f>VALUE(SUBSTITUTE('1000_заявлений'!J904, ".", ","))</f>
        <v>2.0785620935082698</v>
      </c>
      <c r="K910" s="5">
        <f>VALUE(SUBSTITUTE('1000_заявлений'!K904, ".", ","))</f>
        <v>-431</v>
      </c>
      <c r="L910" s="6">
        <f>VALUE(SUBSTITUTE('1000_заявлений'!L904, ".", ","))</f>
        <v>27859.5</v>
      </c>
      <c r="M910" s="2" t="str">
        <f>IF(Данные[[#This Row],[proba]]&gt;$C$6, "отказ", "одобрение")</f>
        <v>отказ</v>
      </c>
      <c r="N910" s="7">
        <f>IF(Данные[[#This Row],[proba]]&lt;$D$2,$C$2,IF(Данные[[#This Row],[proba]]&lt;$D$3,$C$3,IF(Данные[[#This Row],[proba]]&gt;$C$6,0,$C$4)))</f>
        <v>0</v>
      </c>
      <c r="O910" s="2">
        <f>IF(Данные[[#This Row],[weighted_ext_score]]&gt;$O$1,MIN(Данные[[#This Row],[Базовая сумма]]*$O$2,$C$2),IF(Данные[[#This Row],[weighted_ext_score]]&lt;$O$3,Данные[[#This Row],[Базовая сумма]]*$O$4,N910))</f>
        <v>0</v>
      </c>
      <c r="P91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0" s="2">
        <f>ABS(Данные[[#This Row],[days_birth]])/365.2425</f>
        <v>51.847744991341365</v>
      </c>
      <c r="S91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0" s="2">
        <f>IF(Данные[[#This Row],[ interest_rate]]&gt;$T$1,Данные[[#This Row],[days_birth4]]*$T$2,Данные[[#This Row],[days_birth4]])</f>
        <v>0</v>
      </c>
      <c r="U910" s="2">
        <f>IF(Данные[[#This Row],[Проверка отказа]]="отказ",0,MAX(Данные[[#This Row],[interest_rate]],$C$1))</f>
        <v>0</v>
      </c>
      <c r="V910" s="2">
        <f>MROUND(Данные[[#This Row],[Минимум 20000]], 100)</f>
        <v>0</v>
      </c>
    </row>
    <row r="911" spans="1:22" x14ac:dyDescent="0.25">
      <c r="A911" s="2">
        <f>'1000_заявлений'!A905</f>
        <v>903</v>
      </c>
      <c r="B911" s="4">
        <f>VALUE(SUBSTITUTE('1000_заявлений'!B905, ".", ","))</f>
        <v>0.51110991387223204</v>
      </c>
      <c r="C911" s="4">
        <f>VALUE(SUBSTITUTE('1000_заявлений'!C905, ".", ","))</f>
        <v>0.44127046647242901</v>
      </c>
      <c r="D911" s="4">
        <f>VALUE(SUBSTITUTE('1000_заявлений'!D905, ".", ","))</f>
        <v>0.36729099999999998</v>
      </c>
      <c r="E911" s="4">
        <f>VALUE(SUBSTITUTE('1000_заявлений'!E905, ".", ","))</f>
        <v>0.65417130000000001</v>
      </c>
      <c r="F911" s="5">
        <f>VALUE(SUBSTITUTE('1000_заявлений'!F905, ".", ","))</f>
        <v>-4085</v>
      </c>
      <c r="G911" s="5">
        <f>VALUE(SUBSTITUTE('1000_заявлений'!G905, ".", ","))</f>
        <v>-11912</v>
      </c>
      <c r="H911" s="5">
        <f>VALUE(SUBSTITUTE('1000_заявлений'!H905, ".", ","))</f>
        <v>-4566</v>
      </c>
      <c r="I911" s="4">
        <f>VALUE(SUBSTITUTE('1000_заявлений'!I905, ".", ","))</f>
        <v>0.31733333333333302</v>
      </c>
      <c r="J911" s="4">
        <f>VALUE(SUBSTITUTE('1000_заявлений'!J905, ".", ","))</f>
        <v>3.1366074852181498</v>
      </c>
      <c r="K911" s="5">
        <f>VALUE(SUBSTITUTE('1000_заявлений'!K905, ".", ","))</f>
        <v>-451</v>
      </c>
      <c r="L911" s="6">
        <f>VALUE(SUBSTITUTE('1000_заявлений'!L905, ".", ","))</f>
        <v>21420</v>
      </c>
      <c r="M911" s="2" t="str">
        <f>IF(Данные[[#This Row],[proba]]&gt;$C$6, "отказ", "одобрение")</f>
        <v>отказ</v>
      </c>
      <c r="N911" s="7">
        <f>IF(Данные[[#This Row],[proba]]&lt;$D$2,$C$2,IF(Данные[[#This Row],[proba]]&lt;$D$3,$C$3,IF(Данные[[#This Row],[proba]]&gt;$C$6,0,$C$4)))</f>
        <v>0</v>
      </c>
      <c r="O911" s="2">
        <f>IF(Данные[[#This Row],[weighted_ext_score]]&gt;$O$1,MIN(Данные[[#This Row],[Базовая сумма]]*$O$2,$C$2),IF(Данные[[#This Row],[weighted_ext_score]]&lt;$O$3,Данные[[#This Row],[Базовая сумма]]*$O$4,N911))</f>
        <v>0</v>
      </c>
      <c r="P91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1" s="2">
        <f>ABS(Данные[[#This Row],[days_birth]])/365.2425</f>
        <v>32.613948267247103</v>
      </c>
      <c r="S91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1" s="2">
        <f>IF(Данные[[#This Row],[ interest_rate]]&gt;$T$1,Данные[[#This Row],[days_birth4]]*$T$2,Данные[[#This Row],[days_birth4]])</f>
        <v>0</v>
      </c>
      <c r="U911" s="2">
        <f>IF(Данные[[#This Row],[Проверка отказа]]="отказ",0,MAX(Данные[[#This Row],[interest_rate]],$C$1))</f>
        <v>0</v>
      </c>
      <c r="V911" s="2">
        <f>MROUND(Данные[[#This Row],[Минимум 20000]], 100)</f>
        <v>0</v>
      </c>
    </row>
    <row r="912" spans="1:22" x14ac:dyDescent="0.25">
      <c r="A912" s="2">
        <f>'1000_заявлений'!A906</f>
        <v>904</v>
      </c>
      <c r="B912" s="4">
        <f>VALUE(SUBSTITUTE('1000_заявлений'!B906, ".", ","))</f>
        <v>0.63711678173805697</v>
      </c>
      <c r="C912" s="4">
        <f>VALUE(SUBSTITUTE('1000_заявлений'!C906, ".", ","))</f>
        <v>0.40054934220338501</v>
      </c>
      <c r="D912" s="4">
        <f>VALUE(SUBSTITUTE('1000_заявлений'!D906, ".", ","))</f>
        <v>0.10411992</v>
      </c>
      <c r="E912" s="4">
        <f>VALUE(SUBSTITUTE('1000_заявлений'!E906, ".", ","))</f>
        <v>0.46761765999999999</v>
      </c>
      <c r="F912" s="5">
        <f>VALUE(SUBSTITUTE('1000_заявлений'!F906, ".", ","))</f>
        <v>-9014</v>
      </c>
      <c r="G912" s="5">
        <f>VALUE(SUBSTITUTE('1000_заявлений'!G906, ".", ","))</f>
        <v>-20350</v>
      </c>
      <c r="H912" s="5">
        <f>VALUE(SUBSTITUTE('1000_заявлений'!H906, ".", ","))</f>
        <v>-3897</v>
      </c>
      <c r="I912" s="4">
        <f>VALUE(SUBSTITUTE('1000_заявлений'!I906, ".", ","))</f>
        <v>0.17019999999999999</v>
      </c>
      <c r="J912" s="4">
        <f>VALUE(SUBSTITUTE('1000_заявлений'!J906, ".", ","))</f>
        <v>2.43432218179806</v>
      </c>
      <c r="K912" s="5">
        <f>VALUE(SUBSTITUTE('1000_заявлений'!K906, ".", ","))</f>
        <v>-3909</v>
      </c>
      <c r="L912" s="6">
        <f>VALUE(SUBSTITUTE('1000_заявлений'!L906, ".", ","))</f>
        <v>45954</v>
      </c>
      <c r="M912" s="2" t="str">
        <f>IF(Данные[[#This Row],[proba]]&gt;$C$6, "отказ", "одобрение")</f>
        <v>отказ</v>
      </c>
      <c r="N912" s="7">
        <f>IF(Данные[[#This Row],[proba]]&lt;$D$2,$C$2,IF(Данные[[#This Row],[proba]]&lt;$D$3,$C$3,IF(Данные[[#This Row],[proba]]&gt;$C$6,0,$C$4)))</f>
        <v>0</v>
      </c>
      <c r="O912" s="2">
        <f>IF(Данные[[#This Row],[weighted_ext_score]]&gt;$O$1,MIN(Данные[[#This Row],[Базовая сумма]]*$O$2,$C$2),IF(Данные[[#This Row],[weighted_ext_score]]&lt;$O$3,Данные[[#This Row],[Базовая сумма]]*$O$4,N912))</f>
        <v>0</v>
      </c>
      <c r="P91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2" s="2">
        <f>ABS(Данные[[#This Row],[days_birth]])/365.2425</f>
        <v>55.716407592216129</v>
      </c>
      <c r="S91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2" s="2">
        <f>IF(Данные[[#This Row],[ interest_rate]]&gt;$T$1,Данные[[#This Row],[days_birth4]]*$T$2,Данные[[#This Row],[days_birth4]])</f>
        <v>0</v>
      </c>
      <c r="U912" s="2">
        <f>IF(Данные[[#This Row],[Проверка отказа]]="отказ",0,MAX(Данные[[#This Row],[interest_rate]],$C$1))</f>
        <v>0</v>
      </c>
      <c r="V912" s="2">
        <f>MROUND(Данные[[#This Row],[Минимум 20000]], 100)</f>
        <v>0</v>
      </c>
    </row>
    <row r="913" spans="1:22" x14ac:dyDescent="0.25">
      <c r="A913" s="2">
        <f>'1000_заявлений'!A907</f>
        <v>905</v>
      </c>
      <c r="B913" s="4">
        <f>VALUE(SUBSTITUTE('1000_заявлений'!B907, ".", ","))</f>
        <v>0.64369469688604697</v>
      </c>
      <c r="C913" s="4">
        <f>VALUE(SUBSTITUTE('1000_заявлений'!C907, ".", ","))</f>
        <v>0.206686885975257</v>
      </c>
      <c r="D913" s="4">
        <f>VALUE(SUBSTITUTE('1000_заявлений'!D907, ".", ","))</f>
        <v>0.37064964</v>
      </c>
      <c r="E913" s="4">
        <f>VALUE(SUBSTITUTE('1000_заявлений'!E907, ".", ","))</f>
        <v>0.22392364000000001</v>
      </c>
      <c r="F913" s="5">
        <f>VALUE(SUBSTITUTE('1000_заявлений'!F907, ".", ","))</f>
        <v>-13608</v>
      </c>
      <c r="G913" s="5">
        <f>VALUE(SUBSTITUTE('1000_заявлений'!G907, ".", ","))</f>
        <v>-23323</v>
      </c>
      <c r="H913" s="5">
        <f>VALUE(SUBSTITUTE('1000_заявлений'!H907, ".", ","))</f>
        <v>-4031</v>
      </c>
      <c r="I913" s="4">
        <f>VALUE(SUBSTITUTE('1000_заявлений'!I907, ".", ","))</f>
        <v>0.20468</v>
      </c>
      <c r="J913" s="4">
        <f>VALUE(SUBSTITUTE('1000_заявлений'!J907, ".", ","))</f>
        <v>1.55972200073934</v>
      </c>
      <c r="K913" s="5">
        <f>VALUE(SUBSTITUTE('1000_заявлений'!K907, ".", ","))</f>
        <v>365243</v>
      </c>
      <c r="L913" s="6">
        <f>VALUE(SUBSTITUTE('1000_заявлений'!L907, ".", ","))</f>
        <v>23026.5</v>
      </c>
      <c r="M913" s="2" t="str">
        <f>IF(Данные[[#This Row],[proba]]&gt;$C$6, "отказ", "одобрение")</f>
        <v>отказ</v>
      </c>
      <c r="N913" s="7">
        <f>IF(Данные[[#This Row],[proba]]&lt;$D$2,$C$2,IF(Данные[[#This Row],[proba]]&lt;$D$3,$C$3,IF(Данные[[#This Row],[proba]]&gt;$C$6,0,$C$4)))</f>
        <v>0</v>
      </c>
      <c r="O913" s="2">
        <f>IF(Данные[[#This Row],[weighted_ext_score]]&gt;$O$1,MIN(Данные[[#This Row],[Базовая сумма]]*$O$2,$C$2),IF(Данные[[#This Row],[weighted_ext_score]]&lt;$O$3,Данные[[#This Row],[Базовая сумма]]*$O$4,N913))</f>
        <v>0</v>
      </c>
      <c r="P91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3" s="2">
        <f>ABS(Данные[[#This Row],[days_birth]])/365.2425</f>
        <v>63.856205123992964</v>
      </c>
      <c r="S91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3" s="2">
        <f>IF(Данные[[#This Row],[ interest_rate]]&gt;$T$1,Данные[[#This Row],[days_birth4]]*$T$2,Данные[[#This Row],[days_birth4]])</f>
        <v>0</v>
      </c>
      <c r="U913" s="2">
        <f>IF(Данные[[#This Row],[Проверка отказа]]="отказ",0,MAX(Данные[[#This Row],[interest_rate]],$C$1))</f>
        <v>0</v>
      </c>
      <c r="V913" s="2">
        <f>MROUND(Данные[[#This Row],[Минимум 20000]], 100)</f>
        <v>0</v>
      </c>
    </row>
    <row r="914" spans="1:22" x14ac:dyDescent="0.25">
      <c r="A914" s="2">
        <f>'1000_заявлений'!A908</f>
        <v>906</v>
      </c>
      <c r="B914" s="4">
        <f>VALUE(SUBSTITUTE('1000_заявлений'!B908, ".", ","))</f>
        <v>0.68684478056072695</v>
      </c>
      <c r="C914" s="4">
        <f>VALUE(SUBSTITUTE('1000_заявлений'!C908, ".", ","))</f>
        <v>0.322292351564401</v>
      </c>
      <c r="D914" s="4">
        <f>VALUE(SUBSTITUTE('1000_заявлений'!D908, ".", ","))</f>
        <v>0.17044613</v>
      </c>
      <c r="E914" s="4">
        <f>VALUE(SUBSTITUTE('1000_заявлений'!E908, ".", ","))</f>
        <v>0.56414489999999995</v>
      </c>
      <c r="F914" s="5">
        <f>VALUE(SUBSTITUTE('1000_заявлений'!F908, ".", ","))</f>
        <v>-4626</v>
      </c>
      <c r="G914" s="5">
        <f>VALUE(SUBSTITUTE('1000_заявлений'!G908, ".", ","))</f>
        <v>-11389</v>
      </c>
      <c r="H914" s="5">
        <f>VALUE(SUBSTITUTE('1000_заявлений'!H908, ".", ","))</f>
        <v>-3438</v>
      </c>
      <c r="I914" s="4">
        <f>VALUE(SUBSTITUTE('1000_заявлений'!I908, ".", ","))</f>
        <v>0.19472</v>
      </c>
      <c r="J914" s="4">
        <f>VALUE(SUBSTITUTE('1000_заявлений'!J908, ".", ","))</f>
        <v>2.8029246753719899</v>
      </c>
      <c r="K914" s="5">
        <f>VALUE(SUBSTITUTE('1000_заявлений'!K908, ".", ","))</f>
        <v>-3161</v>
      </c>
      <c r="L914" s="6">
        <f>VALUE(SUBSTITUTE('1000_заявлений'!L908, ".", ","))</f>
        <v>21906</v>
      </c>
      <c r="M914" s="2" t="str">
        <f>IF(Данные[[#This Row],[proba]]&gt;$C$6, "отказ", "одобрение")</f>
        <v>отказ</v>
      </c>
      <c r="N914" s="7">
        <f>IF(Данные[[#This Row],[proba]]&lt;$D$2,$C$2,IF(Данные[[#This Row],[proba]]&lt;$D$3,$C$3,IF(Данные[[#This Row],[proba]]&gt;$C$6,0,$C$4)))</f>
        <v>0</v>
      </c>
      <c r="O914" s="2">
        <f>IF(Данные[[#This Row],[weighted_ext_score]]&gt;$O$1,MIN(Данные[[#This Row],[Базовая сумма]]*$O$2,$C$2),IF(Данные[[#This Row],[weighted_ext_score]]&lt;$O$3,Данные[[#This Row],[Базовая сумма]]*$O$4,N914))</f>
        <v>0</v>
      </c>
      <c r="P91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4" s="2">
        <f>ABS(Данные[[#This Row],[days_birth]])/365.2425</f>
        <v>31.182022902592113</v>
      </c>
      <c r="S91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4" s="2">
        <f>IF(Данные[[#This Row],[ interest_rate]]&gt;$T$1,Данные[[#This Row],[days_birth4]]*$T$2,Данные[[#This Row],[days_birth4]])</f>
        <v>0</v>
      </c>
      <c r="U914" s="2">
        <f>IF(Данные[[#This Row],[Проверка отказа]]="отказ",0,MAX(Данные[[#This Row],[interest_rate]],$C$1))</f>
        <v>0</v>
      </c>
      <c r="V914" s="2">
        <f>MROUND(Данные[[#This Row],[Минимум 20000]], 100)</f>
        <v>0</v>
      </c>
    </row>
    <row r="915" spans="1:22" x14ac:dyDescent="0.25">
      <c r="A915" s="2">
        <f>'1000_заявлений'!A909</f>
        <v>907</v>
      </c>
      <c r="B915" s="4">
        <f>VALUE(SUBSTITUTE('1000_заявлений'!B909, ".", ","))</f>
        <v>0.365508360269298</v>
      </c>
      <c r="C915" s="4">
        <f>VALUE(SUBSTITUTE('1000_заявлений'!C909, ".", ","))</f>
        <v>0.425593587592074</v>
      </c>
      <c r="D915" s="4">
        <f>VALUE(SUBSTITUTE('1000_заявлений'!D909, ".", ","))</f>
        <v>0.52629495000000004</v>
      </c>
      <c r="E915" s="4">
        <f>VALUE(SUBSTITUTE('1000_заявлений'!E909, ".", ","))</f>
        <v>0.72523910000000003</v>
      </c>
      <c r="F915" s="5">
        <f>VALUE(SUBSTITUTE('1000_заявлений'!F909, ".", ","))</f>
        <v>-6626</v>
      </c>
      <c r="G915" s="5">
        <f>VALUE(SUBSTITUTE('1000_заявлений'!G909, ".", ","))</f>
        <v>-21347</v>
      </c>
      <c r="H915" s="5">
        <f>VALUE(SUBSTITUTE('1000_заявлений'!H909, ".", ","))</f>
        <v>-4806</v>
      </c>
      <c r="I915" s="4">
        <f>VALUE(SUBSTITUTE('1000_заявлений'!I909, ".", ","))</f>
        <v>0.63307142857142795</v>
      </c>
      <c r="J915" s="4">
        <f>VALUE(SUBSTITUTE('1000_заявлений'!J909, ".", ","))</f>
        <v>3.0710736616718002</v>
      </c>
      <c r="K915" s="5">
        <f>VALUE(SUBSTITUTE('1000_заявлений'!K909, ".", ","))</f>
        <v>365243</v>
      </c>
      <c r="L915" s="6">
        <f>VALUE(SUBSTITUTE('1000_заявлений'!L909, ".", ","))</f>
        <v>39883.5</v>
      </c>
      <c r="M915" s="2" t="str">
        <f>IF(Данные[[#This Row],[proba]]&gt;$C$6, "отказ", "одобрение")</f>
        <v>отказ</v>
      </c>
      <c r="N915" s="7">
        <f>IF(Данные[[#This Row],[proba]]&lt;$D$2,$C$2,IF(Данные[[#This Row],[proba]]&lt;$D$3,$C$3,IF(Данные[[#This Row],[proba]]&gt;$C$6,0,$C$4)))</f>
        <v>0</v>
      </c>
      <c r="O915" s="2">
        <f>IF(Данные[[#This Row],[weighted_ext_score]]&gt;$O$1,MIN(Данные[[#This Row],[Базовая сумма]]*$O$2,$C$2),IF(Данные[[#This Row],[weighted_ext_score]]&lt;$O$3,Данные[[#This Row],[Базовая сумма]]*$O$4,N915))</f>
        <v>0</v>
      </c>
      <c r="P91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5" s="2">
        <f>ABS(Данные[[#This Row],[days_birth]])/365.2425</f>
        <v>58.446100878183671</v>
      </c>
      <c r="S91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5" s="2">
        <f>IF(Данные[[#This Row],[ interest_rate]]&gt;$T$1,Данные[[#This Row],[days_birth4]]*$T$2,Данные[[#This Row],[days_birth4]])</f>
        <v>0</v>
      </c>
      <c r="U915" s="2">
        <f>IF(Данные[[#This Row],[Проверка отказа]]="отказ",0,MAX(Данные[[#This Row],[interest_rate]],$C$1))</f>
        <v>0</v>
      </c>
      <c r="V915" s="2">
        <f>MROUND(Данные[[#This Row],[Минимум 20000]], 100)</f>
        <v>0</v>
      </c>
    </row>
    <row r="916" spans="1:22" x14ac:dyDescent="0.25">
      <c r="A916" s="2">
        <f>'1000_заявлений'!A910</f>
        <v>908</v>
      </c>
      <c r="B916" s="4">
        <f>VALUE(SUBSTITUTE('1000_заявлений'!B910, ".", ","))</f>
        <v>0.169232842595194</v>
      </c>
      <c r="C916" s="4">
        <f>VALUE(SUBSTITUTE('1000_заявлений'!C910, ".", ","))</f>
        <v>0.66998291372083896</v>
      </c>
      <c r="D916" s="4">
        <f>VALUE(SUBSTITUTE('1000_заявлений'!D910, ".", ","))</f>
        <v>0.86589590000000005</v>
      </c>
      <c r="E916" s="4">
        <f>VALUE(SUBSTITUTE('1000_заявлений'!E910, ".", ","))</f>
        <v>0.48194712000000001</v>
      </c>
      <c r="F916" s="5">
        <f>VALUE(SUBSTITUTE('1000_заявлений'!F910, ".", ","))</f>
        <v>-7244</v>
      </c>
      <c r="G916" s="5">
        <f>VALUE(SUBSTITUTE('1000_заявлений'!G910, ".", ","))</f>
        <v>-22111</v>
      </c>
      <c r="H916" s="5">
        <f>VALUE(SUBSTITUTE('1000_заявлений'!H910, ".", ","))</f>
        <v>-4194</v>
      </c>
      <c r="I916" s="4">
        <f>VALUE(SUBSTITUTE('1000_заявлений'!I910, ".", ","))</f>
        <v>0.376857142857142</v>
      </c>
      <c r="J916" s="4">
        <f>VALUE(SUBSTITUTE('1000_заявлений'!J910, ".", ","))</f>
        <v>1.33733365687451</v>
      </c>
      <c r="K916" s="5">
        <f>VALUE(SUBSTITUTE('1000_заявлений'!K910, ".", ","))</f>
        <v>365243</v>
      </c>
      <c r="L916" s="6">
        <f>VALUE(SUBSTITUTE('1000_заявлений'!L910, ".", ","))</f>
        <v>23742</v>
      </c>
      <c r="M916" s="2" t="str">
        <f>IF(Данные[[#This Row],[proba]]&gt;$C$6, "отказ", "одобрение")</f>
        <v>одобрение</v>
      </c>
      <c r="N916" s="7">
        <f>IF(Данные[[#This Row],[proba]]&lt;$D$2,$C$2,IF(Данные[[#This Row],[proba]]&lt;$D$3,$C$3,IF(Данные[[#This Row],[proba]]&gt;$C$6,0,$C$4)))</f>
        <v>300000</v>
      </c>
      <c r="O916" s="2">
        <f>IF(Данные[[#This Row],[weighted_ext_score]]&gt;$O$1,MIN(Данные[[#This Row],[Базовая сумма]]*$O$2,$C$2),IF(Данные[[#This Row],[weighted_ext_score]]&lt;$O$3,Данные[[#This Row],[Базовая сумма]]*$O$4,N916))</f>
        <v>300000</v>
      </c>
      <c r="P91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91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916" s="2">
        <f>ABS(Данные[[#This Row],[days_birth]])/365.2425</f>
        <v>60.537861831522889</v>
      </c>
      <c r="S91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916" s="2">
        <f>IF(Данные[[#This Row],[ interest_rate]]&gt;$T$1,Данные[[#This Row],[days_birth4]]*$T$2,Данные[[#This Row],[days_birth4]])</f>
        <v>315000</v>
      </c>
      <c r="U916" s="2">
        <f>IF(Данные[[#This Row],[Проверка отказа]]="отказ",0,MAX(Данные[[#This Row],[interest_rate]],$C$1))</f>
        <v>315000</v>
      </c>
      <c r="V916" s="2">
        <f>MROUND(Данные[[#This Row],[Минимум 20000]], 100)</f>
        <v>315000</v>
      </c>
    </row>
    <row r="917" spans="1:22" x14ac:dyDescent="0.25">
      <c r="A917" s="2">
        <f>'1000_заявлений'!A911</f>
        <v>909</v>
      </c>
      <c r="B917" s="4">
        <f>VALUE(SUBSTITUTE('1000_заявлений'!B911, ".", ","))</f>
        <v>0.18694776594429699</v>
      </c>
      <c r="C917" s="4">
        <f>VALUE(SUBSTITUTE('1000_заявлений'!C911, ".", ","))</f>
        <v>0.63174744569044905</v>
      </c>
      <c r="D917" s="4">
        <f>VALUE(SUBSTITUTE('1000_заявлений'!D911, ".", ","))</f>
        <v>0.84543794000000005</v>
      </c>
      <c r="E917" s="4">
        <f>VALUE(SUBSTITUTE('1000_заявлений'!E911, ".", ","))</f>
        <v>0.67812479999999997</v>
      </c>
      <c r="F917" s="5">
        <f>VALUE(SUBSTITUTE('1000_заявлений'!F911, ".", ","))</f>
        <v>-7193</v>
      </c>
      <c r="G917" s="5">
        <f>VALUE(SUBSTITUTE('1000_заявлений'!G911, ".", ","))</f>
        <v>-13160</v>
      </c>
      <c r="H917" s="5">
        <f>VALUE(SUBSTITUTE('1000_заявлений'!H911, ".", ","))</f>
        <v>-747</v>
      </c>
      <c r="I917" s="4">
        <f>VALUE(SUBSTITUTE('1000_заявлений'!I911, ".", ","))</f>
        <v>0.24663333333333301</v>
      </c>
      <c r="J917" s="4">
        <f>VALUE(SUBSTITUTE('1000_заявлений'!J911, ".", ","))</f>
        <v>3.0177511155492902</v>
      </c>
      <c r="K917" s="5">
        <f>VALUE(SUBSTITUTE('1000_заявлений'!K911, ".", ","))</f>
        <v>-2855</v>
      </c>
      <c r="L917" s="6">
        <f>VALUE(SUBSTITUTE('1000_заявлений'!L911, ".", ","))</f>
        <v>33295.5</v>
      </c>
      <c r="M917" s="2" t="str">
        <f>IF(Данные[[#This Row],[proba]]&gt;$C$6, "отказ", "одобрение")</f>
        <v>одобрение</v>
      </c>
      <c r="N917" s="7">
        <f>IF(Данные[[#This Row],[proba]]&lt;$D$2,$C$2,IF(Данные[[#This Row],[proba]]&lt;$D$3,$C$3,IF(Данные[[#This Row],[proba]]&gt;$C$6,0,$C$4)))</f>
        <v>300000</v>
      </c>
      <c r="O917" s="2">
        <f>IF(Данные[[#This Row],[weighted_ext_score]]&gt;$O$1,MIN(Данные[[#This Row],[Базовая сумма]]*$O$2,$C$2),IF(Данные[[#This Row],[weighted_ext_score]]&lt;$O$3,Данные[[#This Row],[Базовая сумма]]*$O$4,N917))</f>
        <v>300000</v>
      </c>
      <c r="P91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91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917" s="2">
        <f>ABS(Данные[[#This Row],[days_birth]])/365.2425</f>
        <v>36.030856211968761</v>
      </c>
      <c r="S91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360000</v>
      </c>
      <c r="T917" s="2">
        <f>IF(Данные[[#This Row],[ interest_rate]]&gt;$T$1,Данные[[#This Row],[days_birth4]]*$T$2,Данные[[#This Row],[days_birth4]])</f>
        <v>360000</v>
      </c>
      <c r="U917" s="2">
        <f>IF(Данные[[#This Row],[Проверка отказа]]="отказ",0,MAX(Данные[[#This Row],[interest_rate]],$C$1))</f>
        <v>360000</v>
      </c>
      <c r="V917" s="2">
        <f>MROUND(Данные[[#This Row],[Минимум 20000]], 100)</f>
        <v>360000</v>
      </c>
    </row>
    <row r="918" spans="1:22" x14ac:dyDescent="0.25">
      <c r="A918" s="2">
        <f>'1000_заявлений'!A912</f>
        <v>910</v>
      </c>
      <c r="B918" s="4">
        <f>VALUE(SUBSTITUTE('1000_заявлений'!B912, ".", ","))</f>
        <v>0.80914207440362396</v>
      </c>
      <c r="C918" s="4">
        <f>VALUE(SUBSTITUTE('1000_заявлений'!C912, ".", ","))</f>
        <v>0.30496962737337702</v>
      </c>
      <c r="D918" s="4">
        <f>VALUE(SUBSTITUTE('1000_заявлений'!D912, ".", ","))</f>
        <v>7.4460684999999999E-2</v>
      </c>
      <c r="E918" s="4">
        <f>VALUE(SUBSTITUTE('1000_заявлений'!E912, ".", ","))</f>
        <v>0.24214499</v>
      </c>
      <c r="F918" s="5">
        <f>VALUE(SUBSTITUTE('1000_заявлений'!F912, ".", ","))</f>
        <v>-7440</v>
      </c>
      <c r="G918" s="5">
        <f>VALUE(SUBSTITUTE('1000_заявлений'!G912, ".", ","))</f>
        <v>-15161</v>
      </c>
      <c r="H918" s="5">
        <f>VALUE(SUBSTITUTE('1000_заявлений'!H912, ".", ","))</f>
        <v>-3708</v>
      </c>
      <c r="I918" s="4">
        <f>VALUE(SUBSTITUTE('1000_заявлений'!I912, ".", ","))</f>
        <v>0.20028124999999999</v>
      </c>
      <c r="J918" s="4">
        <f>VALUE(SUBSTITUTE('1000_заявлений'!J912, ".", ","))</f>
        <v>2.1982668088070501</v>
      </c>
      <c r="K918" s="5">
        <f>VALUE(SUBSTITUTE('1000_заявлений'!K912, ".", ","))</f>
        <v>-3564</v>
      </c>
      <c r="L918" s="6">
        <f>VALUE(SUBSTITUTE('1000_заявлений'!L912, ".", ","))</f>
        <v>28840.5</v>
      </c>
      <c r="M918" s="2" t="str">
        <f>IF(Данные[[#This Row],[proba]]&gt;$C$6, "отказ", "одобрение")</f>
        <v>отказ</v>
      </c>
      <c r="N918" s="7">
        <f>IF(Данные[[#This Row],[proba]]&lt;$D$2,$C$2,IF(Данные[[#This Row],[proba]]&lt;$D$3,$C$3,IF(Данные[[#This Row],[proba]]&gt;$C$6,0,$C$4)))</f>
        <v>0</v>
      </c>
      <c r="O918" s="2">
        <f>IF(Данные[[#This Row],[weighted_ext_score]]&gt;$O$1,MIN(Данные[[#This Row],[Базовая сумма]]*$O$2,$C$2),IF(Данные[[#This Row],[weighted_ext_score]]&lt;$O$3,Данные[[#This Row],[Базовая сумма]]*$O$4,N918))</f>
        <v>0</v>
      </c>
      <c r="P91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8" s="2">
        <f>ABS(Данные[[#This Row],[days_birth]])/365.2425</f>
        <v>41.509408132952764</v>
      </c>
      <c r="S91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8" s="2">
        <f>IF(Данные[[#This Row],[ interest_rate]]&gt;$T$1,Данные[[#This Row],[days_birth4]]*$T$2,Данные[[#This Row],[days_birth4]])</f>
        <v>0</v>
      </c>
      <c r="U918" s="2">
        <f>IF(Данные[[#This Row],[Проверка отказа]]="отказ",0,MAX(Данные[[#This Row],[interest_rate]],$C$1))</f>
        <v>0</v>
      </c>
      <c r="V918" s="2">
        <f>MROUND(Данные[[#This Row],[Минимум 20000]], 100)</f>
        <v>0</v>
      </c>
    </row>
    <row r="919" spans="1:22" x14ac:dyDescent="0.25">
      <c r="A919" s="2">
        <f>'1000_заявлений'!A913</f>
        <v>911</v>
      </c>
      <c r="B919" s="4">
        <f>VALUE(SUBSTITUTE('1000_заявлений'!B913, ".", ","))</f>
        <v>0.53131414720321801</v>
      </c>
      <c r="C919" s="4">
        <f>VALUE(SUBSTITUTE('1000_заявлений'!C913, ".", ","))</f>
        <v>0.40457986708985699</v>
      </c>
      <c r="D919" s="4">
        <f>VALUE(SUBSTITUTE('1000_заявлений'!D913, ".", ","))</f>
        <v>0.31236538000000003</v>
      </c>
      <c r="E919" s="4">
        <f>VALUE(SUBSTITUTE('1000_заявлений'!E913, ".", ","))</f>
        <v>0.62542220000000004</v>
      </c>
      <c r="F919" s="5">
        <f>VALUE(SUBSTITUTE('1000_заявлений'!F913, ".", ","))</f>
        <v>-6639</v>
      </c>
      <c r="G919" s="5">
        <f>VALUE(SUBSTITUTE('1000_заявлений'!G913, ".", ","))</f>
        <v>-12790</v>
      </c>
      <c r="H919" s="5">
        <f>VALUE(SUBSTITUTE('1000_заявлений'!H913, ".", ","))</f>
        <v>-2923</v>
      </c>
      <c r="I919" s="4">
        <f>VALUE(SUBSTITUTE('1000_заявлений'!I913, ".", ","))</f>
        <v>0.27006666666666601</v>
      </c>
      <c r="J919" s="4">
        <f>VALUE(SUBSTITUTE('1000_заявлений'!J913, ".", ","))</f>
        <v>6.5526323213506297</v>
      </c>
      <c r="K919" s="5">
        <f>VALUE(SUBSTITUTE('1000_заявлений'!K913, ".", ","))</f>
        <v>-635</v>
      </c>
      <c r="L919" s="6">
        <f>VALUE(SUBSTITUTE('1000_заявлений'!L913, ".", ","))</f>
        <v>36459</v>
      </c>
      <c r="M919" s="2" t="str">
        <f>IF(Данные[[#This Row],[proba]]&gt;$C$6, "отказ", "одобрение")</f>
        <v>отказ</v>
      </c>
      <c r="N919" s="7">
        <f>IF(Данные[[#This Row],[proba]]&lt;$D$2,$C$2,IF(Данные[[#This Row],[proba]]&lt;$D$3,$C$3,IF(Данные[[#This Row],[proba]]&gt;$C$6,0,$C$4)))</f>
        <v>0</v>
      </c>
      <c r="O919" s="2">
        <f>IF(Данные[[#This Row],[weighted_ext_score]]&gt;$O$1,MIN(Данные[[#This Row],[Базовая сумма]]*$O$2,$C$2),IF(Данные[[#This Row],[weighted_ext_score]]&lt;$O$3,Данные[[#This Row],[Базовая сумма]]*$O$4,N919))</f>
        <v>0</v>
      </c>
      <c r="P91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1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19" s="2">
        <f>ABS(Данные[[#This Row],[days_birth]])/365.2425</f>
        <v>35.017830619383012</v>
      </c>
      <c r="S91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19" s="2">
        <f>IF(Данные[[#This Row],[ interest_rate]]&gt;$T$1,Данные[[#This Row],[days_birth4]]*$T$2,Данные[[#This Row],[days_birth4]])</f>
        <v>0</v>
      </c>
      <c r="U919" s="2">
        <f>IF(Данные[[#This Row],[Проверка отказа]]="отказ",0,MAX(Данные[[#This Row],[interest_rate]],$C$1))</f>
        <v>0</v>
      </c>
      <c r="V919" s="2">
        <f>MROUND(Данные[[#This Row],[Минимум 20000]], 100)</f>
        <v>0</v>
      </c>
    </row>
    <row r="920" spans="1:22" x14ac:dyDescent="0.25">
      <c r="A920" s="2">
        <f>'1000_заявлений'!A914</f>
        <v>912</v>
      </c>
      <c r="B920" s="4">
        <f>VALUE(SUBSTITUTE('1000_заявлений'!B914, ".", ","))</f>
        <v>0.41349504754708999</v>
      </c>
      <c r="C920" s="4">
        <f>VALUE(SUBSTITUTE('1000_заявлений'!C914, ".", ","))</f>
        <v>0.46063410721710701</v>
      </c>
      <c r="D920" s="4">
        <f>VALUE(SUBSTITUTE('1000_заявлений'!D914, ".", ","))</f>
        <v>0.60238636000000001</v>
      </c>
      <c r="E920" s="4">
        <f>VALUE(SUBSTITUTE('1000_заявлений'!E914, ".", ","))</f>
        <v>0.49229964999999998</v>
      </c>
      <c r="F920" s="5">
        <f>VALUE(SUBSTITUTE('1000_заявлений'!F914, ".", ","))</f>
        <v>-1828</v>
      </c>
      <c r="G920" s="5">
        <f>VALUE(SUBSTITUTE('1000_заявлений'!G914, ".", ","))</f>
        <v>-12140</v>
      </c>
      <c r="H920" s="5">
        <f>VALUE(SUBSTITUTE('1000_заявлений'!H914, ".", ","))</f>
        <v>-4254</v>
      </c>
      <c r="I920" s="4">
        <f>VALUE(SUBSTITUTE('1000_заявлений'!I914, ".", ","))</f>
        <v>0.15545</v>
      </c>
      <c r="J920" s="4">
        <f>VALUE(SUBSTITUTE('1000_заявлений'!J914, ".", ","))</f>
        <v>1.78867219981162</v>
      </c>
      <c r="K920" s="5">
        <f>VALUE(SUBSTITUTE('1000_заявлений'!K914, ".", ","))</f>
        <v>-2281</v>
      </c>
      <c r="L920" s="6">
        <f>VALUE(SUBSTITUTE('1000_заявлений'!L914, ".", ","))</f>
        <v>13990.5</v>
      </c>
      <c r="M920" s="2" t="str">
        <f>IF(Данные[[#This Row],[proba]]&gt;$C$6, "отказ", "одобрение")</f>
        <v>отказ</v>
      </c>
      <c r="N920" s="7">
        <f>IF(Данные[[#This Row],[proba]]&lt;$D$2,$C$2,IF(Данные[[#This Row],[proba]]&lt;$D$3,$C$3,IF(Данные[[#This Row],[proba]]&gt;$C$6,0,$C$4)))</f>
        <v>0</v>
      </c>
      <c r="O920" s="2">
        <f>IF(Данные[[#This Row],[weighted_ext_score]]&gt;$O$1,MIN(Данные[[#This Row],[Базовая сумма]]*$O$2,$C$2),IF(Данные[[#This Row],[weighted_ext_score]]&lt;$O$3,Данные[[#This Row],[Базовая сумма]]*$O$4,N920))</f>
        <v>0</v>
      </c>
      <c r="P92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0" s="2">
        <f>ABS(Данные[[#This Row],[days_birth]])/365.2425</f>
        <v>33.238191064840485</v>
      </c>
      <c r="S92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0" s="2">
        <f>IF(Данные[[#This Row],[ interest_rate]]&gt;$T$1,Данные[[#This Row],[days_birth4]]*$T$2,Данные[[#This Row],[days_birth4]])</f>
        <v>0</v>
      </c>
      <c r="U920" s="2">
        <f>IF(Данные[[#This Row],[Проверка отказа]]="отказ",0,MAX(Данные[[#This Row],[interest_rate]],$C$1))</f>
        <v>0</v>
      </c>
      <c r="V920" s="2">
        <f>MROUND(Данные[[#This Row],[Минимум 20000]], 100)</f>
        <v>0</v>
      </c>
    </row>
    <row r="921" spans="1:22" x14ac:dyDescent="0.25">
      <c r="A921" s="2">
        <f>'1000_заявлений'!A915</f>
        <v>913</v>
      </c>
      <c r="B921" s="4">
        <f>VALUE(SUBSTITUTE('1000_заявлений'!B915, ".", ","))</f>
        <v>0.60028084699045303</v>
      </c>
      <c r="C921" s="4">
        <f>VALUE(SUBSTITUTE('1000_заявлений'!C915, ".", ","))</f>
        <v>0.27467317571880001</v>
      </c>
      <c r="D921" s="4">
        <f>VALUE(SUBSTITUTE('1000_заявлений'!D915, ".", ","))</f>
        <v>0.66424830000000001</v>
      </c>
      <c r="E921" s="4">
        <f>VALUE(SUBSTITUTE('1000_заявлений'!E915, ".", ","))</f>
        <v>0.10616477000000001</v>
      </c>
      <c r="F921" s="5">
        <f>VALUE(SUBSTITUTE('1000_заявлений'!F915, ".", ","))</f>
        <v>-7633</v>
      </c>
      <c r="G921" s="5">
        <f>VALUE(SUBSTITUTE('1000_заявлений'!G915, ".", ","))</f>
        <v>-16076</v>
      </c>
      <c r="H921" s="5">
        <f>VALUE(SUBSTITUTE('1000_заявлений'!H915, ".", ","))</f>
        <v>-4088</v>
      </c>
      <c r="I921" s="4">
        <f>VALUE(SUBSTITUTE('1000_заявлений'!I915, ".", ","))</f>
        <v>0.21240000000000001</v>
      </c>
      <c r="J921" s="4">
        <f>VALUE(SUBSTITUTE('1000_заявлений'!J915, ".", ","))</f>
        <v>2.8391717827317802</v>
      </c>
      <c r="K921" s="5">
        <f>VALUE(SUBSTITUTE('1000_заявлений'!K915, ".", ","))</f>
        <v>-553</v>
      </c>
      <c r="L921" s="6">
        <f>VALUE(SUBSTITUTE('1000_заявлений'!L915, ".", ","))</f>
        <v>23895</v>
      </c>
      <c r="M921" s="2" t="str">
        <f>IF(Данные[[#This Row],[proba]]&gt;$C$6, "отказ", "одобрение")</f>
        <v>отказ</v>
      </c>
      <c r="N921" s="7">
        <f>IF(Данные[[#This Row],[proba]]&lt;$D$2,$C$2,IF(Данные[[#This Row],[proba]]&lt;$D$3,$C$3,IF(Данные[[#This Row],[proba]]&gt;$C$6,0,$C$4)))</f>
        <v>0</v>
      </c>
      <c r="O921" s="2">
        <f>IF(Данные[[#This Row],[weighted_ext_score]]&gt;$O$1,MIN(Данные[[#This Row],[Базовая сумма]]*$O$2,$C$2),IF(Данные[[#This Row],[weighted_ext_score]]&lt;$O$3,Данные[[#This Row],[Базовая сумма]]*$O$4,N921))</f>
        <v>0</v>
      </c>
      <c r="P92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1" s="2">
        <f>ABS(Данные[[#This Row],[days_birth]])/365.2425</f>
        <v>44.014593044347251</v>
      </c>
      <c r="S92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1" s="2">
        <f>IF(Данные[[#This Row],[ interest_rate]]&gt;$T$1,Данные[[#This Row],[days_birth4]]*$T$2,Данные[[#This Row],[days_birth4]])</f>
        <v>0</v>
      </c>
      <c r="U921" s="2">
        <f>IF(Данные[[#This Row],[Проверка отказа]]="отказ",0,MAX(Данные[[#This Row],[interest_rate]],$C$1))</f>
        <v>0</v>
      </c>
      <c r="V921" s="2">
        <f>MROUND(Данные[[#This Row],[Минимум 20000]], 100)</f>
        <v>0</v>
      </c>
    </row>
    <row r="922" spans="1:22" x14ac:dyDescent="0.25">
      <c r="A922" s="2">
        <f>'1000_заявлений'!A916</f>
        <v>914</v>
      </c>
      <c r="B922" s="4">
        <f>VALUE(SUBSTITUTE('1000_заявлений'!B916, ".", ","))</f>
        <v>0.513857643626213</v>
      </c>
      <c r="C922" s="4">
        <f>VALUE(SUBSTITUTE('1000_заявлений'!C916, ".", ","))</f>
        <v>0.28773338863305498</v>
      </c>
      <c r="D922" s="4">
        <f>VALUE(SUBSTITUTE('1000_заявлений'!D916, ".", ","))</f>
        <v>0.53527623000000002</v>
      </c>
      <c r="E922" s="4">
        <f>VALUE(SUBSTITUTE('1000_заявлений'!E916, ".", ","))</f>
        <v>0.63632935000000002</v>
      </c>
      <c r="F922" s="5">
        <f>VALUE(SUBSTITUTE('1000_заявлений'!F916, ".", ","))</f>
        <v>-644</v>
      </c>
      <c r="G922" s="5">
        <f>VALUE(SUBSTITUTE('1000_заявлений'!G916, ".", ","))</f>
        <v>-14411</v>
      </c>
      <c r="H922" s="5">
        <f>VALUE(SUBSTITUTE('1000_заявлений'!H916, ".", ","))</f>
        <v>-2198</v>
      </c>
      <c r="I922" s="4">
        <f>VALUE(SUBSTITUTE('1000_заявлений'!I916, ".", ","))</f>
        <v>0.27884999999999999</v>
      </c>
      <c r="J922" s="4">
        <f>VALUE(SUBSTITUTE('1000_заявлений'!J916, ".", ","))</f>
        <v>0.90505960993805201</v>
      </c>
      <c r="K922" s="5">
        <f>VALUE(SUBSTITUTE('1000_заявлений'!K916, ".", ","))</f>
        <v>-226</v>
      </c>
      <c r="L922" s="6">
        <f>VALUE(SUBSTITUTE('1000_заявлений'!L916, ".", ","))</f>
        <v>25096.5</v>
      </c>
      <c r="M922" s="2" t="str">
        <f>IF(Данные[[#This Row],[proba]]&gt;$C$6, "отказ", "одобрение")</f>
        <v>отказ</v>
      </c>
      <c r="N922" s="7">
        <f>IF(Данные[[#This Row],[proba]]&lt;$D$2,$C$2,IF(Данные[[#This Row],[proba]]&lt;$D$3,$C$3,IF(Данные[[#This Row],[proba]]&gt;$C$6,0,$C$4)))</f>
        <v>0</v>
      </c>
      <c r="O922" s="2">
        <f>IF(Данные[[#This Row],[weighted_ext_score]]&gt;$O$1,MIN(Данные[[#This Row],[Базовая сумма]]*$O$2,$C$2),IF(Данные[[#This Row],[weighted_ext_score]]&lt;$O$3,Данные[[#This Row],[Базовая сумма]]*$O$4,N922))</f>
        <v>0</v>
      </c>
      <c r="P92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2" s="2">
        <f>ABS(Данные[[#This Row],[days_birth]])/365.2425</f>
        <v>39.455977877711383</v>
      </c>
      <c r="S92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2" s="2">
        <f>IF(Данные[[#This Row],[ interest_rate]]&gt;$T$1,Данные[[#This Row],[days_birth4]]*$T$2,Данные[[#This Row],[days_birth4]])</f>
        <v>0</v>
      </c>
      <c r="U922" s="2">
        <f>IF(Данные[[#This Row],[Проверка отказа]]="отказ",0,MAX(Данные[[#This Row],[interest_rate]],$C$1))</f>
        <v>0</v>
      </c>
      <c r="V922" s="2">
        <f>MROUND(Данные[[#This Row],[Минимум 20000]], 100)</f>
        <v>0</v>
      </c>
    </row>
    <row r="923" spans="1:22" x14ac:dyDescent="0.25">
      <c r="A923" s="2">
        <f>'1000_заявлений'!A917</f>
        <v>915</v>
      </c>
      <c r="B923" s="4">
        <f>VALUE(SUBSTITUTE('1000_заявлений'!B917, ".", ","))</f>
        <v>0.19997116812798599</v>
      </c>
      <c r="C923" s="4">
        <f>VALUE(SUBSTITUTE('1000_заявлений'!C917, ".", ","))</f>
        <v>0.49787024851731898</v>
      </c>
      <c r="D923" s="4">
        <f>VALUE(SUBSTITUTE('1000_заявлений'!D917, ".", ","))</f>
        <v>0.77136159999999998</v>
      </c>
      <c r="E923" s="4">
        <f>VALUE(SUBSTITUTE('1000_заявлений'!E917, ".", ","))</f>
        <v>0.67481774000000005</v>
      </c>
      <c r="F923" s="5">
        <f>VALUE(SUBSTITUTE('1000_заявлений'!F917, ".", ","))</f>
        <v>-7873</v>
      </c>
      <c r="G923" s="5">
        <f>VALUE(SUBSTITUTE('1000_заявлений'!G917, ".", ","))</f>
        <v>-20860</v>
      </c>
      <c r="H923" s="5">
        <f>VALUE(SUBSTITUTE('1000_заявлений'!H917, ".", ","))</f>
        <v>-4205</v>
      </c>
      <c r="I923" s="4">
        <f>VALUE(SUBSTITUTE('1000_заявлений'!I917, ".", ","))</f>
        <v>0.36695</v>
      </c>
      <c r="J923" s="4">
        <f>VALUE(SUBSTITUTE('1000_заявлений'!J917, ".", ","))</f>
        <v>1.8302979515786899</v>
      </c>
      <c r="K923" s="5">
        <f>VALUE(SUBSTITUTE('1000_заявлений'!K917, ".", ","))</f>
        <v>365243</v>
      </c>
      <c r="L923" s="6">
        <f>VALUE(SUBSTITUTE('1000_заявлений'!L917, ".", ","))</f>
        <v>33025.5</v>
      </c>
      <c r="M923" s="2" t="str">
        <f>IF(Данные[[#This Row],[proba]]&gt;$C$6, "отказ", "одобрение")</f>
        <v>одобрение</v>
      </c>
      <c r="N923" s="7">
        <f>IF(Данные[[#This Row],[proba]]&lt;$D$2,$C$2,IF(Данные[[#This Row],[proba]]&lt;$D$3,$C$3,IF(Данные[[#This Row],[proba]]&gt;$C$6,0,$C$4)))</f>
        <v>300000</v>
      </c>
      <c r="O923" s="2">
        <f>IF(Данные[[#This Row],[weighted_ext_score]]&gt;$O$1,MIN(Данные[[#This Row],[Базовая сумма]]*$O$2,$C$2),IF(Данные[[#This Row],[weighted_ext_score]]&lt;$O$3,Данные[[#This Row],[Базовая сумма]]*$O$4,N923))</f>
        <v>300000</v>
      </c>
      <c r="P92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92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923" s="2">
        <f>ABS(Данные[[#This Row],[days_birth]])/365.2425</f>
        <v>57.112740165780266</v>
      </c>
      <c r="S92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923" s="2">
        <f>IF(Данные[[#This Row],[ interest_rate]]&gt;$T$1,Данные[[#This Row],[days_birth4]]*$T$2,Данные[[#This Row],[days_birth4]])</f>
        <v>315000</v>
      </c>
      <c r="U923" s="2">
        <f>IF(Данные[[#This Row],[Проверка отказа]]="отказ",0,MAX(Данные[[#This Row],[interest_rate]],$C$1))</f>
        <v>315000</v>
      </c>
      <c r="V923" s="2">
        <f>MROUND(Данные[[#This Row],[Минимум 20000]], 100)</f>
        <v>315000</v>
      </c>
    </row>
    <row r="924" spans="1:22" x14ac:dyDescent="0.25">
      <c r="A924" s="2">
        <f>'1000_заявлений'!A918</f>
        <v>916</v>
      </c>
      <c r="B924" s="4">
        <f>VALUE(SUBSTITUTE('1000_заявлений'!B918, ".", ","))</f>
        <v>0.84080172140993503</v>
      </c>
      <c r="C924" s="4">
        <f>VALUE(SUBSTITUTE('1000_заявлений'!C918, ".", ","))</f>
        <v>0.16831123364487899</v>
      </c>
      <c r="D924" s="4">
        <f>VALUE(SUBSTITUTE('1000_заявлений'!D918, ".", ","))</f>
        <v>0.20559815000000001</v>
      </c>
      <c r="E924" s="4">
        <f>VALUE(SUBSTITUTE('1000_заявлений'!E918, ".", ","))</f>
        <v>4.8468694E-2</v>
      </c>
      <c r="F924" s="5">
        <f>VALUE(SUBSTITUTE('1000_заявлений'!F918, ".", ","))</f>
        <v>-449</v>
      </c>
      <c r="G924" s="5">
        <f>VALUE(SUBSTITUTE('1000_заявлений'!G918, ".", ","))</f>
        <v>-11986</v>
      </c>
      <c r="H924" s="5">
        <f>VALUE(SUBSTITUTE('1000_заявлений'!H918, ".", ","))</f>
        <v>-1980</v>
      </c>
      <c r="I924" s="4">
        <f>VALUE(SUBSTITUTE('1000_заявлений'!I918, ".", ","))</f>
        <v>7.1428571428571397E-2</v>
      </c>
      <c r="J924" s="4">
        <f>VALUE(SUBSTITUTE('1000_заявлений'!J918, ".", ","))</f>
        <v>10.6209759779781</v>
      </c>
      <c r="K924" s="5">
        <f>VALUE(SUBSTITUTE('1000_заявлений'!K918, ".", ","))</f>
        <v>-1015</v>
      </c>
      <c r="L924" s="6">
        <f>VALUE(SUBSTITUTE('1000_заявлений'!L918, ".", ","))</f>
        <v>13500</v>
      </c>
      <c r="M924" s="2" t="str">
        <f>IF(Данные[[#This Row],[proba]]&gt;$C$6, "отказ", "одобрение")</f>
        <v>отказ</v>
      </c>
      <c r="N924" s="7">
        <f>IF(Данные[[#This Row],[proba]]&lt;$D$2,$C$2,IF(Данные[[#This Row],[proba]]&lt;$D$3,$C$3,IF(Данные[[#This Row],[proba]]&gt;$C$6,0,$C$4)))</f>
        <v>0</v>
      </c>
      <c r="O924" s="2">
        <f>IF(Данные[[#This Row],[weighted_ext_score]]&gt;$O$1,MIN(Данные[[#This Row],[Базовая сумма]]*$O$2,$C$2),IF(Данные[[#This Row],[weighted_ext_score]]&lt;$O$3,Данные[[#This Row],[Базовая сумма]]*$O$4,N924))</f>
        <v>0</v>
      </c>
      <c r="P92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4" s="2">
        <f>ABS(Данные[[#This Row],[days_birth]])/365.2425</f>
        <v>32.816553385764252</v>
      </c>
      <c r="S92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4" s="2">
        <f>IF(Данные[[#This Row],[ interest_rate]]&gt;$T$1,Данные[[#This Row],[days_birth4]]*$T$2,Данные[[#This Row],[days_birth4]])</f>
        <v>0</v>
      </c>
      <c r="U924" s="2">
        <f>IF(Данные[[#This Row],[Проверка отказа]]="отказ",0,MAX(Данные[[#This Row],[interest_rate]],$C$1))</f>
        <v>0</v>
      </c>
      <c r="V924" s="2">
        <f>MROUND(Данные[[#This Row],[Минимум 20000]], 100)</f>
        <v>0</v>
      </c>
    </row>
    <row r="925" spans="1:22" x14ac:dyDescent="0.25">
      <c r="A925" s="2">
        <f>'1000_заявлений'!A919</f>
        <v>917</v>
      </c>
      <c r="B925" s="4">
        <f>VALUE(SUBSTITUTE('1000_заявлений'!B919, ".", ","))</f>
        <v>0.50840592293069198</v>
      </c>
      <c r="C925" s="4">
        <f>VALUE(SUBSTITUTE('1000_заявлений'!C919, ".", ","))</f>
        <v>0.40367757133406801</v>
      </c>
      <c r="D925" s="4">
        <f>VALUE(SUBSTITUTE('1000_заявлений'!D919, ".", ","))</f>
        <v>0.59545619999999999</v>
      </c>
      <c r="E925" s="4">
        <f>VALUE(SUBSTITUTE('1000_заявлений'!E919, ".", ","))</f>
        <v>0.28893437999999999</v>
      </c>
      <c r="F925" s="5">
        <f>VALUE(SUBSTITUTE('1000_заявлений'!F919, ".", ","))</f>
        <v>-441</v>
      </c>
      <c r="G925" s="5">
        <f>VALUE(SUBSTITUTE('1000_заявлений'!G919, ".", ","))</f>
        <v>-14162</v>
      </c>
      <c r="H925" s="5">
        <f>VALUE(SUBSTITUTE('1000_заявлений'!H919, ".", ","))</f>
        <v>-3828</v>
      </c>
      <c r="I925" s="4">
        <f>VALUE(SUBSTITUTE('1000_заявлений'!I919, ".", ","))</f>
        <v>0.16331999999999999</v>
      </c>
      <c r="J925" s="4">
        <f>VALUE(SUBSTITUTE('1000_заявлений'!J919, ".", ","))</f>
        <v>1.8025952600386499</v>
      </c>
      <c r="K925" s="5">
        <f>VALUE(SUBSTITUTE('1000_заявлений'!K919, ".", ","))</f>
        <v>-1202</v>
      </c>
      <c r="L925" s="6">
        <f>VALUE(SUBSTITUTE('1000_заявлений'!L919, ".", ","))</f>
        <v>36747</v>
      </c>
      <c r="M925" s="2" t="str">
        <f>IF(Данные[[#This Row],[proba]]&gt;$C$6, "отказ", "одобрение")</f>
        <v>отказ</v>
      </c>
      <c r="N925" s="7">
        <f>IF(Данные[[#This Row],[proba]]&lt;$D$2,$C$2,IF(Данные[[#This Row],[proba]]&lt;$D$3,$C$3,IF(Данные[[#This Row],[proba]]&gt;$C$6,0,$C$4)))</f>
        <v>0</v>
      </c>
      <c r="O925" s="2">
        <f>IF(Данные[[#This Row],[weighted_ext_score]]&gt;$O$1,MIN(Данные[[#This Row],[Базовая сумма]]*$O$2,$C$2),IF(Данные[[#This Row],[weighted_ext_score]]&lt;$O$3,Данные[[#This Row],[Базовая сумма]]*$O$4,N925))</f>
        <v>0</v>
      </c>
      <c r="P92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5" s="2">
        <f>ABS(Данные[[#This Row],[days_birth]])/365.2425</f>
        <v>38.774239032971245</v>
      </c>
      <c r="S92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5" s="2">
        <f>IF(Данные[[#This Row],[ interest_rate]]&gt;$T$1,Данные[[#This Row],[days_birth4]]*$T$2,Данные[[#This Row],[days_birth4]])</f>
        <v>0</v>
      </c>
      <c r="U925" s="2">
        <f>IF(Данные[[#This Row],[Проверка отказа]]="отказ",0,MAX(Данные[[#This Row],[interest_rate]],$C$1))</f>
        <v>0</v>
      </c>
      <c r="V925" s="2">
        <f>MROUND(Данные[[#This Row],[Минимум 20000]], 100)</f>
        <v>0</v>
      </c>
    </row>
    <row r="926" spans="1:22" x14ac:dyDescent="0.25">
      <c r="A926" s="2">
        <f>'1000_заявлений'!A920</f>
        <v>918</v>
      </c>
      <c r="B926" s="4">
        <f>VALUE(SUBSTITUTE('1000_заявлений'!B920, ".", ","))</f>
        <v>0.42921921367034599</v>
      </c>
      <c r="C926" s="4">
        <f>VALUE(SUBSTITUTE('1000_заявлений'!C920, ".", ","))</f>
        <v>0.36948479614216201</v>
      </c>
      <c r="D926" s="4">
        <f>VALUE(SUBSTITUTE('1000_заявлений'!D920, ".", ","))</f>
        <v>0.47764915000000002</v>
      </c>
      <c r="E926" s="4">
        <f>VALUE(SUBSTITUTE('1000_заявлений'!E920, ".", ","))</f>
        <v>0.60650289999999996</v>
      </c>
      <c r="F926" s="5">
        <f>VALUE(SUBSTITUTE('1000_заявлений'!F920, ".", ","))</f>
        <v>-9412</v>
      </c>
      <c r="G926" s="5">
        <f>VALUE(SUBSTITUTE('1000_заявлений'!G920, ".", ","))</f>
        <v>-19502</v>
      </c>
      <c r="H926" s="5">
        <f>VALUE(SUBSTITUTE('1000_заявлений'!H920, ".", ","))</f>
        <v>-3013</v>
      </c>
      <c r="I926" s="4">
        <f>VALUE(SUBSTITUTE('1000_заявлений'!I920, ".", ","))</f>
        <v>0.17660000000000001</v>
      </c>
      <c r="J926" s="4">
        <f>VALUE(SUBSTITUTE('1000_заявлений'!J920, ".", ","))</f>
        <v>2.0106774466545501</v>
      </c>
      <c r="K926" s="5">
        <f>VALUE(SUBSTITUTE('1000_заявлений'!K920, ".", ","))</f>
        <v>-1600</v>
      </c>
      <c r="L926" s="6">
        <f>VALUE(SUBSTITUTE('1000_заявлений'!L920, ".", ","))</f>
        <v>19867.5</v>
      </c>
      <c r="M926" s="2" t="str">
        <f>IF(Данные[[#This Row],[proba]]&gt;$C$6, "отказ", "одобрение")</f>
        <v>отказ</v>
      </c>
      <c r="N926" s="7">
        <f>IF(Данные[[#This Row],[proba]]&lt;$D$2,$C$2,IF(Данные[[#This Row],[proba]]&lt;$D$3,$C$3,IF(Данные[[#This Row],[proba]]&gt;$C$6,0,$C$4)))</f>
        <v>0</v>
      </c>
      <c r="O926" s="2">
        <f>IF(Данные[[#This Row],[weighted_ext_score]]&gt;$O$1,MIN(Данные[[#This Row],[Базовая сумма]]*$O$2,$C$2),IF(Данные[[#This Row],[weighted_ext_score]]&lt;$O$3,Данные[[#This Row],[Базовая сумма]]*$O$4,N926))</f>
        <v>0</v>
      </c>
      <c r="P92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6" s="2">
        <f>ABS(Данные[[#This Row],[days_birth]])/365.2425</f>
        <v>53.394662450289871</v>
      </c>
      <c r="S92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6" s="2">
        <f>IF(Данные[[#This Row],[ interest_rate]]&gt;$T$1,Данные[[#This Row],[days_birth4]]*$T$2,Данные[[#This Row],[days_birth4]])</f>
        <v>0</v>
      </c>
      <c r="U926" s="2">
        <f>IF(Данные[[#This Row],[Проверка отказа]]="отказ",0,MAX(Данные[[#This Row],[interest_rate]],$C$1))</f>
        <v>0</v>
      </c>
      <c r="V926" s="2">
        <f>MROUND(Данные[[#This Row],[Минимум 20000]], 100)</f>
        <v>0</v>
      </c>
    </row>
    <row r="927" spans="1:22" x14ac:dyDescent="0.25">
      <c r="A927" s="2">
        <f>'1000_заявлений'!A921</f>
        <v>919</v>
      </c>
      <c r="B927" s="4">
        <f>VALUE(SUBSTITUTE('1000_заявлений'!B921, ".", ","))</f>
        <v>0.19298977386834401</v>
      </c>
      <c r="C927" s="4">
        <f>VALUE(SUBSTITUTE('1000_заявлений'!C921, ".", ","))</f>
        <v>0.48719014157693502</v>
      </c>
      <c r="D927" s="4">
        <f>VALUE(SUBSTITUTE('1000_заявлений'!D921, ".", ","))</f>
        <v>0.77008706000000005</v>
      </c>
      <c r="E927" s="4">
        <f>VALUE(SUBSTITUTE('1000_заявлений'!E921, ".", ","))</f>
        <v>0.64331380000000005</v>
      </c>
      <c r="F927" s="5">
        <f>VALUE(SUBSTITUTE('1000_заявлений'!F921, ".", ","))</f>
        <v>-4304</v>
      </c>
      <c r="G927" s="5">
        <f>VALUE(SUBSTITUTE('1000_заявлений'!G921, ".", ","))</f>
        <v>-24050</v>
      </c>
      <c r="H927" s="5">
        <f>VALUE(SUBSTITUTE('1000_заявлений'!H921, ".", ","))</f>
        <v>-4323</v>
      </c>
      <c r="I927" s="4">
        <f>VALUE(SUBSTITUTE('1000_заявлений'!I921, ".", ","))</f>
        <v>0.38529999999999998</v>
      </c>
      <c r="J927" s="4">
        <f>VALUE(SUBSTITUTE('1000_заявлений'!J921, ".", ","))</f>
        <v>7.9268600541926304</v>
      </c>
      <c r="K927" s="5">
        <f>VALUE(SUBSTITUTE('1000_заявлений'!K921, ".", ","))</f>
        <v>365243</v>
      </c>
      <c r="L927" s="6">
        <f>VALUE(SUBSTITUTE('1000_заявлений'!L921, ".", ","))</f>
        <v>17338.5</v>
      </c>
      <c r="M927" s="2" t="str">
        <f>IF(Данные[[#This Row],[proba]]&gt;$C$6, "отказ", "одобрение")</f>
        <v>одобрение</v>
      </c>
      <c r="N927" s="7">
        <f>IF(Данные[[#This Row],[proba]]&lt;$D$2,$C$2,IF(Данные[[#This Row],[proba]]&lt;$D$3,$C$3,IF(Данные[[#This Row],[proba]]&gt;$C$6,0,$C$4)))</f>
        <v>300000</v>
      </c>
      <c r="O927" s="2">
        <f>IF(Данные[[#This Row],[weighted_ext_score]]&gt;$O$1,MIN(Данные[[#This Row],[Базовая сумма]]*$O$2,$C$2),IF(Данные[[#This Row],[weighted_ext_score]]&lt;$O$3,Данные[[#This Row],[Базовая сумма]]*$O$4,N927))</f>
        <v>300000</v>
      </c>
      <c r="P92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300000</v>
      </c>
      <c r="Q92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300000</v>
      </c>
      <c r="R927" s="2">
        <f>ABS(Данные[[#This Row],[days_birth]])/365.2425</f>
        <v>65.846663518073612</v>
      </c>
      <c r="S92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315000</v>
      </c>
      <c r="T927" s="2">
        <f>IF(Данные[[#This Row],[ interest_rate]]&gt;$T$1,Данные[[#This Row],[days_birth4]]*$T$2,Данные[[#This Row],[days_birth4]])</f>
        <v>315000</v>
      </c>
      <c r="U927" s="2">
        <f>IF(Данные[[#This Row],[Проверка отказа]]="отказ",0,MAX(Данные[[#This Row],[interest_rate]],$C$1))</f>
        <v>315000</v>
      </c>
      <c r="V927" s="2">
        <f>MROUND(Данные[[#This Row],[Минимум 20000]], 100)</f>
        <v>315000</v>
      </c>
    </row>
    <row r="928" spans="1:22" x14ac:dyDescent="0.25">
      <c r="A928" s="2">
        <f>'1000_заявлений'!A922</f>
        <v>920</v>
      </c>
      <c r="B928" s="4">
        <f>VALUE(SUBSTITUTE('1000_заявлений'!B922, ".", ","))</f>
        <v>0.44082249557064301</v>
      </c>
      <c r="C928" s="4">
        <f>VALUE(SUBSTITUTE('1000_заявлений'!C922, ".", ","))</f>
        <v>0.31942751683783299</v>
      </c>
      <c r="D928" s="4">
        <f>VALUE(SUBSTITUTE('1000_заявлений'!D922, ".", ","))</f>
        <v>0.52089759999999996</v>
      </c>
      <c r="E928" s="4">
        <f>VALUE(SUBSTITUTE('1000_заявлений'!E922, ".", ","))</f>
        <v>0.40396454999999998</v>
      </c>
      <c r="F928" s="5">
        <f>VALUE(SUBSTITUTE('1000_заявлений'!F922, ".", ","))</f>
        <v>-1644</v>
      </c>
      <c r="G928" s="5">
        <f>VALUE(SUBSTITUTE('1000_заявлений'!G922, ".", ","))</f>
        <v>-22760</v>
      </c>
      <c r="H928" s="5">
        <f>VALUE(SUBSTITUTE('1000_заявлений'!H922, ".", ","))</f>
        <v>-4644</v>
      </c>
      <c r="I928" s="4">
        <f>VALUE(SUBSTITUTE('1000_заявлений'!I922, ".", ","))</f>
        <v>0.24643999999999999</v>
      </c>
      <c r="J928" s="4">
        <f>VALUE(SUBSTITUTE('1000_заявлений'!J922, ".", ","))</f>
        <v>5.5658559681603004</v>
      </c>
      <c r="K928" s="5">
        <f>VALUE(SUBSTITUTE('1000_заявлений'!K922, ".", ","))</f>
        <v>365243</v>
      </c>
      <c r="L928" s="6">
        <f>VALUE(SUBSTITUTE('1000_заявлений'!L922, ".", ","))</f>
        <v>27724.5</v>
      </c>
      <c r="M928" s="2" t="str">
        <f>IF(Данные[[#This Row],[proba]]&gt;$C$6, "отказ", "одобрение")</f>
        <v>отказ</v>
      </c>
      <c r="N928" s="7">
        <f>IF(Данные[[#This Row],[proba]]&lt;$D$2,$C$2,IF(Данные[[#This Row],[proba]]&lt;$D$3,$C$3,IF(Данные[[#This Row],[proba]]&gt;$C$6,0,$C$4)))</f>
        <v>0</v>
      </c>
      <c r="O928" s="2">
        <f>IF(Данные[[#This Row],[weighted_ext_score]]&gt;$O$1,MIN(Данные[[#This Row],[Базовая сумма]]*$O$2,$C$2),IF(Данные[[#This Row],[weighted_ext_score]]&lt;$O$3,Данные[[#This Row],[Базовая сумма]]*$O$4,N928))</f>
        <v>0</v>
      </c>
      <c r="P92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8" s="2">
        <f>ABS(Данные[[#This Row],[days_birth]])/365.2425</f>
        <v>62.314763479058435</v>
      </c>
      <c r="S92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8" s="2">
        <f>IF(Данные[[#This Row],[ interest_rate]]&gt;$T$1,Данные[[#This Row],[days_birth4]]*$T$2,Данные[[#This Row],[days_birth4]])</f>
        <v>0</v>
      </c>
      <c r="U928" s="2">
        <f>IF(Данные[[#This Row],[Проверка отказа]]="отказ",0,MAX(Данные[[#This Row],[interest_rate]],$C$1))</f>
        <v>0</v>
      </c>
      <c r="V928" s="2">
        <f>MROUND(Данные[[#This Row],[Минимум 20000]], 100)</f>
        <v>0</v>
      </c>
    </row>
    <row r="929" spans="1:22" x14ac:dyDescent="0.25">
      <c r="A929" s="2">
        <f>'1000_заявлений'!A923</f>
        <v>921</v>
      </c>
      <c r="B929" s="4">
        <f>VALUE(SUBSTITUTE('1000_заявлений'!B923, ".", ","))</f>
        <v>0.41710270115995901</v>
      </c>
      <c r="C929" s="4">
        <f>VALUE(SUBSTITUTE('1000_заявлений'!C923, ".", ","))</f>
        <v>0.45988682412284199</v>
      </c>
      <c r="D929" s="4">
        <f>VALUE(SUBSTITUTE('1000_заявлений'!D923, ".", ","))</f>
        <v>0.4632753</v>
      </c>
      <c r="E929" s="4">
        <f>VALUE(SUBSTITUTE('1000_заявлений'!E923, ".", ","))</f>
        <v>0.57404906</v>
      </c>
      <c r="F929" s="5">
        <f>VALUE(SUBSTITUTE('1000_заявлений'!F923, ".", ","))</f>
        <v>-5765</v>
      </c>
      <c r="G929" s="5">
        <f>VALUE(SUBSTITUTE('1000_заявлений'!G923, ".", ","))</f>
        <v>-14590</v>
      </c>
      <c r="H929" s="5">
        <f>VALUE(SUBSTITUTE('1000_заявлений'!H923, ".", ","))</f>
        <v>-4152</v>
      </c>
      <c r="I929" s="4">
        <f>VALUE(SUBSTITUTE('1000_заявлений'!I923, ".", ","))</f>
        <v>9.9771428571428497E-2</v>
      </c>
      <c r="J929" s="4">
        <f>VALUE(SUBSTITUTE('1000_заявлений'!J923, ".", ","))</f>
        <v>1.6161409414402399</v>
      </c>
      <c r="K929" s="5">
        <f>VALUE(SUBSTITUTE('1000_заявлений'!K923, ".", ","))</f>
        <v>-855</v>
      </c>
      <c r="L929" s="6">
        <f>VALUE(SUBSTITUTE('1000_заявлений'!L923, ".", ","))</f>
        <v>15714</v>
      </c>
      <c r="M929" s="2" t="str">
        <f>IF(Данные[[#This Row],[proba]]&gt;$C$6, "отказ", "одобрение")</f>
        <v>отказ</v>
      </c>
      <c r="N929" s="7">
        <f>IF(Данные[[#This Row],[proba]]&lt;$D$2,$C$2,IF(Данные[[#This Row],[proba]]&lt;$D$3,$C$3,IF(Данные[[#This Row],[proba]]&gt;$C$6,0,$C$4)))</f>
        <v>0</v>
      </c>
      <c r="O929" s="2">
        <f>IF(Данные[[#This Row],[weighted_ext_score]]&gt;$O$1,MIN(Данные[[#This Row],[Базовая сумма]]*$O$2,$C$2),IF(Данные[[#This Row],[weighted_ext_score]]&lt;$O$3,Данные[[#This Row],[Базовая сумма]]*$O$4,N929))</f>
        <v>0</v>
      </c>
      <c r="P92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2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29" s="2">
        <f>ABS(Данные[[#This Row],[days_birth]])/365.2425</f>
        <v>39.946063231962327</v>
      </c>
      <c r="S92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29" s="2">
        <f>IF(Данные[[#This Row],[ interest_rate]]&gt;$T$1,Данные[[#This Row],[days_birth4]]*$T$2,Данные[[#This Row],[days_birth4]])</f>
        <v>0</v>
      </c>
      <c r="U929" s="2">
        <f>IF(Данные[[#This Row],[Проверка отказа]]="отказ",0,MAX(Данные[[#This Row],[interest_rate]],$C$1))</f>
        <v>0</v>
      </c>
      <c r="V929" s="2">
        <f>MROUND(Данные[[#This Row],[Минимум 20000]], 100)</f>
        <v>0</v>
      </c>
    </row>
    <row r="930" spans="1:22" x14ac:dyDescent="0.25">
      <c r="A930" s="2">
        <f>'1000_заявлений'!A924</f>
        <v>922</v>
      </c>
      <c r="B930" s="4">
        <f>VALUE(SUBSTITUTE('1000_заявлений'!B924, ".", ","))</f>
        <v>0.55884483932529705</v>
      </c>
      <c r="C930" s="4">
        <f>VALUE(SUBSTITUTE('1000_заявлений'!C924, ".", ","))</f>
        <v>0.42196699261447101</v>
      </c>
      <c r="D930" s="4">
        <f>VALUE(SUBSTITUTE('1000_заявлений'!D924, ".", ","))</f>
        <v>0.55850659999999996</v>
      </c>
      <c r="E930" s="4">
        <f>VALUE(SUBSTITUTE('1000_заявлений'!E924, ".", ","))</f>
        <v>0.249114</v>
      </c>
      <c r="F930" s="5">
        <f>VALUE(SUBSTITUTE('1000_заявлений'!F924, ".", ","))</f>
        <v>-645</v>
      </c>
      <c r="G930" s="5">
        <f>VALUE(SUBSTITUTE('1000_заявлений'!G924, ".", ","))</f>
        <v>-17203</v>
      </c>
      <c r="H930" s="5">
        <f>VALUE(SUBSTITUTE('1000_заявлений'!H924, ".", ","))</f>
        <v>-750</v>
      </c>
      <c r="I930" s="4">
        <f>VALUE(SUBSTITUTE('1000_заявлений'!I924, ".", ","))</f>
        <v>0.26427499999999998</v>
      </c>
      <c r="J930" s="4">
        <f>VALUE(SUBSTITUTE('1000_заявлений'!J924, ".", ","))</f>
        <v>2.9393849171036099</v>
      </c>
      <c r="K930" s="5">
        <f>VALUE(SUBSTITUTE('1000_заявлений'!K924, ".", ","))</f>
        <v>-6266</v>
      </c>
      <c r="L930" s="6">
        <f>VALUE(SUBSTITUTE('1000_заявлений'!L924, ".", ","))</f>
        <v>47569.5</v>
      </c>
      <c r="M930" s="2" t="str">
        <f>IF(Данные[[#This Row],[proba]]&gt;$C$6, "отказ", "одобрение")</f>
        <v>отказ</v>
      </c>
      <c r="N930" s="7">
        <f>IF(Данные[[#This Row],[proba]]&lt;$D$2,$C$2,IF(Данные[[#This Row],[proba]]&lt;$D$3,$C$3,IF(Данные[[#This Row],[proba]]&gt;$C$6,0,$C$4)))</f>
        <v>0</v>
      </c>
      <c r="O930" s="2">
        <f>IF(Данные[[#This Row],[weighted_ext_score]]&gt;$O$1,MIN(Данные[[#This Row],[Базовая сумма]]*$O$2,$C$2),IF(Данные[[#This Row],[weighted_ext_score]]&lt;$O$3,Данные[[#This Row],[Базовая сумма]]*$O$4,N930))</f>
        <v>0</v>
      </c>
      <c r="P93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0" s="2">
        <f>ABS(Данные[[#This Row],[days_birth]])/365.2425</f>
        <v>47.100214241223298</v>
      </c>
      <c r="S93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0" s="2">
        <f>IF(Данные[[#This Row],[ interest_rate]]&gt;$T$1,Данные[[#This Row],[days_birth4]]*$T$2,Данные[[#This Row],[days_birth4]])</f>
        <v>0</v>
      </c>
      <c r="U930" s="2">
        <f>IF(Данные[[#This Row],[Проверка отказа]]="отказ",0,MAX(Данные[[#This Row],[interest_rate]],$C$1))</f>
        <v>0</v>
      </c>
      <c r="V930" s="2">
        <f>MROUND(Данные[[#This Row],[Минимум 20000]], 100)</f>
        <v>0</v>
      </c>
    </row>
    <row r="931" spans="1:22" x14ac:dyDescent="0.25">
      <c r="A931" s="2">
        <f>'1000_заявлений'!A925</f>
        <v>923</v>
      </c>
      <c r="B931" s="4">
        <f>VALUE(SUBSTITUTE('1000_заявлений'!B925, ".", ","))</f>
        <v>0.45730660597956002</v>
      </c>
      <c r="C931" s="4">
        <f>VALUE(SUBSTITUTE('1000_заявлений'!C925, ".", ","))</f>
        <v>0.28830919505989</v>
      </c>
      <c r="D931" s="4">
        <f>VALUE(SUBSTITUTE('1000_заявлений'!D925, ".", ","))</f>
        <v>0.66263777000000001</v>
      </c>
      <c r="E931" s="4">
        <f>VALUE(SUBSTITUTE('1000_заявлений'!E925, ".", ","))</f>
        <v>0.14999802000000001</v>
      </c>
      <c r="F931" s="5">
        <f>VALUE(SUBSTITUTE('1000_заявлений'!F925, ".", ","))</f>
        <v>-10169</v>
      </c>
      <c r="G931" s="5">
        <f>VALUE(SUBSTITUTE('1000_заявлений'!G925, ".", ","))</f>
        <v>-21909</v>
      </c>
      <c r="H931" s="5">
        <f>VALUE(SUBSTITUTE('1000_заявлений'!H925, ".", ","))</f>
        <v>-4449</v>
      </c>
      <c r="I931" s="4">
        <f>VALUE(SUBSTITUTE('1000_заявлений'!I925, ".", ","))</f>
        <v>7.8129770992366399E-2</v>
      </c>
      <c r="J931" s="4">
        <f>VALUE(SUBSTITUTE('1000_заявлений'!J925, ".", ","))</f>
        <v>2.65349795947458</v>
      </c>
      <c r="K931" s="5">
        <f>VALUE(SUBSTITUTE('1000_заявлений'!K925, ".", ","))</f>
        <v>365243</v>
      </c>
      <c r="L931" s="6">
        <f>VALUE(SUBSTITUTE('1000_заявлений'!L925, ".", ","))</f>
        <v>9211.5</v>
      </c>
      <c r="M931" s="2" t="str">
        <f>IF(Данные[[#This Row],[proba]]&gt;$C$6, "отказ", "одобрение")</f>
        <v>отказ</v>
      </c>
      <c r="N931" s="7">
        <f>IF(Данные[[#This Row],[proba]]&lt;$D$2,$C$2,IF(Данные[[#This Row],[proba]]&lt;$D$3,$C$3,IF(Данные[[#This Row],[proba]]&gt;$C$6,0,$C$4)))</f>
        <v>0</v>
      </c>
      <c r="O931" s="2">
        <f>IF(Данные[[#This Row],[weighted_ext_score]]&gt;$O$1,MIN(Данные[[#This Row],[Базовая сумма]]*$O$2,$C$2),IF(Данные[[#This Row],[weighted_ext_score]]&lt;$O$3,Данные[[#This Row],[Базовая сумма]]*$O$4,N931))</f>
        <v>0</v>
      </c>
      <c r="P93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1" s="2">
        <f>ABS(Данные[[#This Row],[days_birth]])/365.2425</f>
        <v>59.984804616111212</v>
      </c>
      <c r="S93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1" s="2">
        <f>IF(Данные[[#This Row],[ interest_rate]]&gt;$T$1,Данные[[#This Row],[days_birth4]]*$T$2,Данные[[#This Row],[days_birth4]])</f>
        <v>0</v>
      </c>
      <c r="U931" s="2">
        <f>IF(Данные[[#This Row],[Проверка отказа]]="отказ",0,MAX(Данные[[#This Row],[interest_rate]],$C$1))</f>
        <v>0</v>
      </c>
      <c r="V931" s="2">
        <f>MROUND(Данные[[#This Row],[Минимум 20000]], 100)</f>
        <v>0</v>
      </c>
    </row>
    <row r="932" spans="1:22" x14ac:dyDescent="0.25">
      <c r="A932" s="2">
        <f>'1000_заявлений'!A926</f>
        <v>924</v>
      </c>
      <c r="B932" s="4">
        <f>VALUE(SUBSTITUTE('1000_заявлений'!B926, ".", ","))</f>
        <v>0.256694614686649</v>
      </c>
      <c r="C932" s="4">
        <f>VALUE(SUBSTITUTE('1000_заявлений'!C926, ".", ","))</f>
        <v>0.56876048907717502</v>
      </c>
      <c r="D932" s="4">
        <f>VALUE(SUBSTITUTE('1000_заявлений'!D926, ".", ","))</f>
        <v>0.69562190000000002</v>
      </c>
      <c r="E932" s="4">
        <f>VALUE(SUBSTITUTE('1000_заявлений'!E926, ".", ","))</f>
        <v>0.5816344</v>
      </c>
      <c r="F932" s="5">
        <f>VALUE(SUBSTITUTE('1000_заявлений'!F926, ".", ","))</f>
        <v>-6412</v>
      </c>
      <c r="G932" s="5">
        <f>VALUE(SUBSTITUTE('1000_заявлений'!G926, ".", ","))</f>
        <v>-12786</v>
      </c>
      <c r="H932" s="5">
        <f>VALUE(SUBSTITUTE('1000_заявлений'!H926, ".", ","))</f>
        <v>-3829</v>
      </c>
      <c r="I932" s="4">
        <f>VALUE(SUBSTITUTE('1000_заявлений'!I926, ".", ","))</f>
        <v>0.11545</v>
      </c>
      <c r="J932" s="4">
        <f>VALUE(SUBSTITUTE('1000_заявлений'!J926, ".", ","))</f>
        <v>1.84608477819816</v>
      </c>
      <c r="K932" s="5">
        <f>VALUE(SUBSTITUTE('1000_заявлений'!K926, ".", ","))</f>
        <v>-2178</v>
      </c>
      <c r="L932" s="6">
        <f>VALUE(SUBSTITUTE('1000_заявлений'!L926, ".", ","))</f>
        <v>31171.5</v>
      </c>
      <c r="M932" s="2" t="str">
        <f>IF(Данные[[#This Row],[proba]]&gt;$C$6, "отказ", "одобрение")</f>
        <v>одобрение</v>
      </c>
      <c r="N932" s="7">
        <f>IF(Данные[[#This Row],[proba]]&lt;$D$2,$C$2,IF(Данные[[#This Row],[proba]]&lt;$D$3,$C$3,IF(Данные[[#This Row],[proba]]&gt;$C$6,0,$C$4)))</f>
        <v>100000</v>
      </c>
      <c r="O932" s="2">
        <f>IF(Данные[[#This Row],[weighted_ext_score]]&gt;$O$1,MIN(Данные[[#This Row],[Базовая сумма]]*$O$2,$C$2),IF(Данные[[#This Row],[weighted_ext_score]]&lt;$O$3,Данные[[#This Row],[Базовая сумма]]*$O$4,N932))</f>
        <v>100000</v>
      </c>
      <c r="P93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3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32" s="2">
        <f>ABS(Данные[[#This Row],[days_birth]])/365.2425</f>
        <v>35.006878991355059</v>
      </c>
      <c r="S93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932" s="2">
        <f>IF(Данные[[#This Row],[ interest_rate]]&gt;$T$1,Данные[[#This Row],[days_birth4]]*$T$2,Данные[[#This Row],[days_birth4]])</f>
        <v>144000</v>
      </c>
      <c r="U932" s="2">
        <f>IF(Данные[[#This Row],[Проверка отказа]]="отказ",0,MAX(Данные[[#This Row],[interest_rate]],$C$1))</f>
        <v>144000</v>
      </c>
      <c r="V932" s="2">
        <f>MROUND(Данные[[#This Row],[Минимум 20000]], 100)</f>
        <v>144000</v>
      </c>
    </row>
    <row r="933" spans="1:22" x14ac:dyDescent="0.25">
      <c r="A933" s="2">
        <f>'1000_заявлений'!A927</f>
        <v>925</v>
      </c>
      <c r="B933" s="4">
        <f>VALUE(SUBSTITUTE('1000_заявлений'!B927, ".", ","))</f>
        <v>0.62838736408718199</v>
      </c>
      <c r="C933" s="4">
        <f>VALUE(SUBSTITUTE('1000_заявлений'!C927, ".", ","))</f>
        <v>0.26736584828165799</v>
      </c>
      <c r="D933" s="4">
        <f>VALUE(SUBSTITUTE('1000_заявлений'!D927, ".", ","))</f>
        <v>0.22009465</v>
      </c>
      <c r="E933" s="4">
        <f>VALUE(SUBSTITUTE('1000_заявлений'!E927, ".", ","))</f>
        <v>0.57884884000000003</v>
      </c>
      <c r="F933" s="5">
        <f>VALUE(SUBSTITUTE('1000_заявлений'!F927, ".", ","))</f>
        <v>-3082</v>
      </c>
      <c r="G933" s="5">
        <f>VALUE(SUBSTITUTE('1000_заявлений'!G927, ".", ","))</f>
        <v>-16093</v>
      </c>
      <c r="H933" s="5">
        <f>VALUE(SUBSTITUTE('1000_заявлений'!H927, ".", ","))</f>
        <v>-3169</v>
      </c>
      <c r="I933" s="4">
        <f>VALUE(SUBSTITUTE('1000_заявлений'!I927, ".", ","))</f>
        <v>0.19751666666666601</v>
      </c>
      <c r="J933" s="4">
        <f>VALUE(SUBSTITUTE('1000_заявлений'!J927, ".", ","))</f>
        <v>4.7066888349655596</v>
      </c>
      <c r="K933" s="5">
        <f>VALUE(SUBSTITUTE('1000_заявлений'!K927, ".", ","))</f>
        <v>-2843</v>
      </c>
      <c r="L933" s="6">
        <f>VALUE(SUBSTITUTE('1000_заявлений'!L927, ".", ","))</f>
        <v>53329.5</v>
      </c>
      <c r="M933" s="2" t="str">
        <f>IF(Данные[[#This Row],[proba]]&gt;$C$6, "отказ", "одобрение")</f>
        <v>отказ</v>
      </c>
      <c r="N933" s="7">
        <f>IF(Данные[[#This Row],[proba]]&lt;$D$2,$C$2,IF(Данные[[#This Row],[proba]]&lt;$D$3,$C$3,IF(Данные[[#This Row],[proba]]&gt;$C$6,0,$C$4)))</f>
        <v>0</v>
      </c>
      <c r="O933" s="2">
        <f>IF(Данные[[#This Row],[weighted_ext_score]]&gt;$O$1,MIN(Данные[[#This Row],[Базовая сумма]]*$O$2,$C$2),IF(Данные[[#This Row],[weighted_ext_score]]&lt;$O$3,Данные[[#This Row],[Базовая сумма]]*$O$4,N933))</f>
        <v>0</v>
      </c>
      <c r="P93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3" s="2">
        <f>ABS(Данные[[#This Row],[days_birth]])/365.2425</f>
        <v>44.061137463466054</v>
      </c>
      <c r="S93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3" s="2">
        <f>IF(Данные[[#This Row],[ interest_rate]]&gt;$T$1,Данные[[#This Row],[days_birth4]]*$T$2,Данные[[#This Row],[days_birth4]])</f>
        <v>0</v>
      </c>
      <c r="U933" s="2">
        <f>IF(Данные[[#This Row],[Проверка отказа]]="отказ",0,MAX(Данные[[#This Row],[interest_rate]],$C$1))</f>
        <v>0</v>
      </c>
      <c r="V933" s="2">
        <f>MROUND(Данные[[#This Row],[Минимум 20000]], 100)</f>
        <v>0</v>
      </c>
    </row>
    <row r="934" spans="1:22" x14ac:dyDescent="0.25">
      <c r="A934" s="2">
        <f>'1000_заявлений'!A928</f>
        <v>926</v>
      </c>
      <c r="B934" s="4">
        <f>VALUE(SUBSTITUTE('1000_заявлений'!B928, ".", ","))</f>
        <v>0.62283557030654202</v>
      </c>
      <c r="C934" s="4">
        <f>VALUE(SUBSTITUTE('1000_заявлений'!C928, ".", ","))</f>
        <v>0.23678896752138001</v>
      </c>
      <c r="D934" s="4">
        <f>VALUE(SUBSTITUTE('1000_заявлений'!D928, ".", ","))</f>
        <v>0.53527623000000002</v>
      </c>
      <c r="E934" s="4">
        <f>VALUE(SUBSTITUTE('1000_заявлений'!E928, ".", ","))</f>
        <v>0.13140824000000001</v>
      </c>
      <c r="F934" s="5">
        <f>VALUE(SUBSTITUTE('1000_заявлений'!F928, ".", ","))</f>
        <v>-5537</v>
      </c>
      <c r="G934" s="5">
        <f>VALUE(SUBSTITUTE('1000_заявлений'!G928, ".", ","))</f>
        <v>-20516</v>
      </c>
      <c r="H934" s="5">
        <f>VALUE(SUBSTITUTE('1000_заявлений'!H928, ".", ","))</f>
        <v>-4067</v>
      </c>
      <c r="I934" s="4">
        <f>VALUE(SUBSTITUTE('1000_заявлений'!I928, ".", ","))</f>
        <v>0.32146666666666601</v>
      </c>
      <c r="J934" s="4">
        <f>VALUE(SUBSTITUTE('1000_заявлений'!J928, ".", ","))</f>
        <v>5.7856870335544599</v>
      </c>
      <c r="K934" s="5">
        <f>VALUE(SUBSTITUTE('1000_заявлений'!K928, ".", ","))</f>
        <v>365243</v>
      </c>
      <c r="L934" s="6">
        <f>VALUE(SUBSTITUTE('1000_заявлений'!L928, ".", ","))</f>
        <v>21699</v>
      </c>
      <c r="M934" s="2" t="str">
        <f>IF(Данные[[#This Row],[proba]]&gt;$C$6, "отказ", "одобрение")</f>
        <v>отказ</v>
      </c>
      <c r="N934" s="7">
        <f>IF(Данные[[#This Row],[proba]]&lt;$D$2,$C$2,IF(Данные[[#This Row],[proba]]&lt;$D$3,$C$3,IF(Данные[[#This Row],[proba]]&gt;$C$6,0,$C$4)))</f>
        <v>0</v>
      </c>
      <c r="O934" s="2">
        <f>IF(Данные[[#This Row],[weighted_ext_score]]&gt;$O$1,MIN(Данные[[#This Row],[Базовая сумма]]*$O$2,$C$2),IF(Данные[[#This Row],[weighted_ext_score]]&lt;$O$3,Данные[[#This Row],[Базовая сумма]]*$O$4,N934))</f>
        <v>0</v>
      </c>
      <c r="P93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4" s="2">
        <f>ABS(Данные[[#This Row],[days_birth]])/365.2425</f>
        <v>56.170900155376223</v>
      </c>
      <c r="S93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4" s="2">
        <f>IF(Данные[[#This Row],[ interest_rate]]&gt;$T$1,Данные[[#This Row],[days_birth4]]*$T$2,Данные[[#This Row],[days_birth4]])</f>
        <v>0</v>
      </c>
      <c r="U934" s="2">
        <f>IF(Данные[[#This Row],[Проверка отказа]]="отказ",0,MAX(Данные[[#This Row],[interest_rate]],$C$1))</f>
        <v>0</v>
      </c>
      <c r="V934" s="2">
        <f>MROUND(Данные[[#This Row],[Минимум 20000]], 100)</f>
        <v>0</v>
      </c>
    </row>
    <row r="935" spans="1:22" x14ac:dyDescent="0.25">
      <c r="A935" s="2">
        <f>'1000_заявлений'!A929</f>
        <v>927</v>
      </c>
      <c r="B935" s="4">
        <f>VALUE(SUBSTITUTE('1000_заявлений'!B929, ".", ","))</f>
        <v>0.18914125458422201</v>
      </c>
      <c r="C935" s="4">
        <f>VALUE(SUBSTITUTE('1000_заявлений'!C929, ".", ","))</f>
        <v>0.66147827734402898</v>
      </c>
      <c r="D935" s="4">
        <f>VALUE(SUBSTITUTE('1000_заявлений'!D929, ".", ","))</f>
        <v>0.40314168</v>
      </c>
      <c r="E935" s="4">
        <f>VALUE(SUBSTITUTE('1000_заявлений'!E929, ".", ","))</f>
        <v>0.73443959999999997</v>
      </c>
      <c r="F935" s="5">
        <f>VALUE(SUBSTITUTE('1000_заявлений'!F929, ".", ","))</f>
        <v>-3944</v>
      </c>
      <c r="G935" s="5">
        <f>VALUE(SUBSTITUTE('1000_заявлений'!G929, ".", ","))</f>
        <v>-21642</v>
      </c>
      <c r="H935" s="5">
        <f>VALUE(SUBSTITUTE('1000_заявлений'!H929, ".", ","))</f>
        <v>-4675</v>
      </c>
      <c r="I935" s="4">
        <f>VALUE(SUBSTITUTE('1000_заявлений'!I929, ".", ","))</f>
        <v>0.14708888888888799</v>
      </c>
      <c r="J935" s="4">
        <f>VALUE(SUBSTITUTE('1000_заявлений'!J929, ".", ","))</f>
        <v>11.010295969665</v>
      </c>
      <c r="K935" s="5">
        <f>VALUE(SUBSTITUTE('1000_заявлений'!K929, ".", ","))</f>
        <v>365243</v>
      </c>
      <c r="L935" s="6">
        <f>VALUE(SUBSTITUTE('1000_заявлений'!L929, ".", ","))</f>
        <v>29785.5</v>
      </c>
      <c r="M935" s="2" t="str">
        <f>IF(Данные[[#This Row],[proba]]&gt;$C$6, "отказ", "одобрение")</f>
        <v>одобрение</v>
      </c>
      <c r="N935" s="7">
        <f>IF(Данные[[#This Row],[proba]]&lt;$D$2,$C$2,IF(Данные[[#This Row],[proba]]&lt;$D$3,$C$3,IF(Данные[[#This Row],[proba]]&gt;$C$6,0,$C$4)))</f>
        <v>300000</v>
      </c>
      <c r="O935" s="2">
        <f>IF(Данные[[#This Row],[weighted_ext_score]]&gt;$O$1,MIN(Данные[[#This Row],[Базовая сумма]]*$O$2,$C$2),IF(Данные[[#This Row],[weighted_ext_score]]&lt;$O$3,Данные[[#This Row],[Базовая сумма]]*$O$4,N935))</f>
        <v>300000</v>
      </c>
      <c r="P93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93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935" s="2">
        <f>ABS(Данные[[#This Row],[days_birth]])/365.2425</f>
        <v>59.253783445245283</v>
      </c>
      <c r="S93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935" s="2">
        <f>IF(Данные[[#This Row],[ interest_rate]]&gt;$T$1,Данные[[#This Row],[days_birth4]]*$T$2,Данные[[#This Row],[days_birth4]])</f>
        <v>378000</v>
      </c>
      <c r="U935" s="2">
        <f>IF(Данные[[#This Row],[Проверка отказа]]="отказ",0,MAX(Данные[[#This Row],[interest_rate]],$C$1))</f>
        <v>378000</v>
      </c>
      <c r="V935" s="2">
        <f>MROUND(Данные[[#This Row],[Минимум 20000]], 100)</f>
        <v>378000</v>
      </c>
    </row>
    <row r="936" spans="1:22" x14ac:dyDescent="0.25">
      <c r="A936" s="2">
        <f>'1000_заявлений'!A930</f>
        <v>928</v>
      </c>
      <c r="B936" s="4">
        <f>VALUE(SUBSTITUTE('1000_заявлений'!B930, ".", ","))</f>
        <v>0.87990207831626199</v>
      </c>
      <c r="C936" s="4">
        <f>VALUE(SUBSTITUTE('1000_заявлений'!C930, ".", ","))</f>
        <v>9.9136039171246998E-2</v>
      </c>
      <c r="D936" s="4">
        <f>VALUE(SUBSTITUTE('1000_заявлений'!D930, ".", ","))</f>
        <v>6.2103037E-2</v>
      </c>
      <c r="E936" s="4">
        <f>VALUE(SUBSTITUTE('1000_заявлений'!E930, ".", ","))</f>
        <v>0.23637784000000001</v>
      </c>
      <c r="F936" s="5">
        <f>VALUE(SUBSTITUTE('1000_заявлений'!F930, ".", ","))</f>
        <v>-6392</v>
      </c>
      <c r="G936" s="5">
        <f>VALUE(SUBSTITUTE('1000_заявлений'!G930, ".", ","))</f>
        <v>-12931</v>
      </c>
      <c r="H936" s="5">
        <f>VALUE(SUBSTITUTE('1000_заявлений'!H930, ".", ","))</f>
        <v>-3866</v>
      </c>
      <c r="I936" s="4">
        <f>VALUE(SUBSTITUTE('1000_заявлений'!I930, ".", ","))</f>
        <v>0.24212500000000001</v>
      </c>
      <c r="J936" s="4">
        <f>VALUE(SUBSTITUTE('1000_заявлений'!J930, ".", ","))</f>
        <v>3.01996379475966</v>
      </c>
      <c r="K936" s="5">
        <f>VALUE(SUBSTITUTE('1000_заявлений'!K930, ".", ","))</f>
        <v>-1317</v>
      </c>
      <c r="L936" s="6">
        <f>VALUE(SUBSTITUTE('1000_заявлений'!L930, ".", ","))</f>
        <v>26149.5</v>
      </c>
      <c r="M936" s="2" t="str">
        <f>IF(Данные[[#This Row],[proba]]&gt;$C$6, "отказ", "одобрение")</f>
        <v>отказ</v>
      </c>
      <c r="N936" s="7">
        <f>IF(Данные[[#This Row],[proba]]&lt;$D$2,$C$2,IF(Данные[[#This Row],[proba]]&lt;$D$3,$C$3,IF(Данные[[#This Row],[proba]]&gt;$C$6,0,$C$4)))</f>
        <v>0</v>
      </c>
      <c r="O936" s="2">
        <f>IF(Данные[[#This Row],[weighted_ext_score]]&gt;$O$1,MIN(Данные[[#This Row],[Базовая сумма]]*$O$2,$C$2),IF(Данные[[#This Row],[weighted_ext_score]]&lt;$O$3,Данные[[#This Row],[Базовая сумма]]*$O$4,N936))</f>
        <v>0</v>
      </c>
      <c r="P93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6" s="2">
        <f>ABS(Данные[[#This Row],[days_birth]])/365.2425</f>
        <v>35.40387550736839</v>
      </c>
      <c r="S93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6" s="2">
        <f>IF(Данные[[#This Row],[ interest_rate]]&gt;$T$1,Данные[[#This Row],[days_birth4]]*$T$2,Данные[[#This Row],[days_birth4]])</f>
        <v>0</v>
      </c>
      <c r="U936" s="2">
        <f>IF(Данные[[#This Row],[Проверка отказа]]="отказ",0,MAX(Данные[[#This Row],[interest_rate]],$C$1))</f>
        <v>0</v>
      </c>
      <c r="V936" s="2">
        <f>MROUND(Данные[[#This Row],[Минимум 20000]], 100)</f>
        <v>0</v>
      </c>
    </row>
    <row r="937" spans="1:22" x14ac:dyDescent="0.25">
      <c r="A937" s="2">
        <f>'1000_заявлений'!A931</f>
        <v>929</v>
      </c>
      <c r="B937" s="4">
        <f>VALUE(SUBSTITUTE('1000_заявлений'!B931, ".", ","))</f>
        <v>0.423853029151602</v>
      </c>
      <c r="C937" s="4">
        <f>VALUE(SUBSTITUTE('1000_заявлений'!C931, ".", ","))</f>
        <v>0.47563282675885799</v>
      </c>
      <c r="D937" s="4">
        <f>VALUE(SUBSTITUTE('1000_заявлений'!D931, ".", ","))</f>
        <v>0.78868079999999996</v>
      </c>
      <c r="E937" s="4">
        <f>VALUE(SUBSTITUTE('1000_заявлений'!E931, ".", ","))</f>
        <v>0.21826382</v>
      </c>
      <c r="F937" s="5">
        <f>VALUE(SUBSTITUTE('1000_заявлений'!F931, ".", ","))</f>
        <v>-3402</v>
      </c>
      <c r="G937" s="5">
        <f>VALUE(SUBSTITUTE('1000_заявлений'!G931, ".", ","))</f>
        <v>-12594</v>
      </c>
      <c r="H937" s="5">
        <f>VALUE(SUBSTITUTE('1000_заявлений'!H931, ".", ","))</f>
        <v>-2574</v>
      </c>
      <c r="I937" s="4">
        <f>VALUE(SUBSTITUTE('1000_заявлений'!I931, ".", ","))</f>
        <v>0.17923333333333299</v>
      </c>
      <c r="J937" s="4">
        <f>VALUE(SUBSTITUTE('1000_заявлений'!J931, ".", ","))</f>
        <v>2.1456547922621598</v>
      </c>
      <c r="K937" s="5">
        <f>VALUE(SUBSTITUTE('1000_заявлений'!K931, ".", ","))</f>
        <v>-2786</v>
      </c>
      <c r="L937" s="6">
        <f>VALUE(SUBSTITUTE('1000_заявлений'!L931, ".", ","))</f>
        <v>24196.5</v>
      </c>
      <c r="M937" s="2" t="str">
        <f>IF(Данные[[#This Row],[proba]]&gt;$C$6, "отказ", "одобрение")</f>
        <v>отказ</v>
      </c>
      <c r="N937" s="7">
        <f>IF(Данные[[#This Row],[proba]]&lt;$D$2,$C$2,IF(Данные[[#This Row],[proba]]&lt;$D$3,$C$3,IF(Данные[[#This Row],[proba]]&gt;$C$6,0,$C$4)))</f>
        <v>0</v>
      </c>
      <c r="O937" s="2">
        <f>IF(Данные[[#This Row],[weighted_ext_score]]&gt;$O$1,MIN(Данные[[#This Row],[Базовая сумма]]*$O$2,$C$2),IF(Данные[[#This Row],[weighted_ext_score]]&lt;$O$3,Данные[[#This Row],[Базовая сумма]]*$O$4,N937))</f>
        <v>0</v>
      </c>
      <c r="P93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7" s="2">
        <f>ABS(Данные[[#This Row],[days_birth]])/365.2425</f>
        <v>34.481200846013266</v>
      </c>
      <c r="S93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7" s="2">
        <f>IF(Данные[[#This Row],[ interest_rate]]&gt;$T$1,Данные[[#This Row],[days_birth4]]*$T$2,Данные[[#This Row],[days_birth4]])</f>
        <v>0</v>
      </c>
      <c r="U937" s="2">
        <f>IF(Данные[[#This Row],[Проверка отказа]]="отказ",0,MAX(Данные[[#This Row],[interest_rate]],$C$1))</f>
        <v>0</v>
      </c>
      <c r="V937" s="2">
        <f>MROUND(Данные[[#This Row],[Минимум 20000]], 100)</f>
        <v>0</v>
      </c>
    </row>
    <row r="938" spans="1:22" x14ac:dyDescent="0.25">
      <c r="A938" s="2">
        <f>'1000_заявлений'!A932</f>
        <v>930</v>
      </c>
      <c r="B938" s="4">
        <f>VALUE(SUBSTITUTE('1000_заявлений'!B932, ".", ","))</f>
        <v>0.48008962246565201</v>
      </c>
      <c r="C938" s="4">
        <f>VALUE(SUBSTITUTE('1000_заявлений'!C932, ".", ","))</f>
        <v>0.35840778928000799</v>
      </c>
      <c r="D938" s="4">
        <f>VALUE(SUBSTITUTE('1000_заявлений'!D932, ".", ","))</f>
        <v>0.45432106</v>
      </c>
      <c r="E938" s="4">
        <f>VALUE(SUBSTITUTE('1000_заявлений'!E932, ".", ","))</f>
        <v>0.59836409999999995</v>
      </c>
      <c r="F938" s="5">
        <f>VALUE(SUBSTITUTE('1000_заявлений'!F932, ".", ","))</f>
        <v>-9727</v>
      </c>
      <c r="G938" s="5">
        <f>VALUE(SUBSTITUTE('1000_заявлений'!G932, ".", ","))</f>
        <v>-9764</v>
      </c>
      <c r="H938" s="5">
        <f>VALUE(SUBSTITUTE('1000_заявлений'!H932, ".", ","))</f>
        <v>-2454</v>
      </c>
      <c r="I938" s="4">
        <f>VALUE(SUBSTITUTE('1000_заявлений'!I932, ".", ","))</f>
        <v>7.8346666666666606E-2</v>
      </c>
      <c r="J938" s="4">
        <f>VALUE(SUBSTITUTE('1000_заявлений'!J932, ".", ","))</f>
        <v>2.49221644806947</v>
      </c>
      <c r="K938" s="5">
        <f>VALUE(SUBSTITUTE('1000_заявлений'!K932, ".", ","))</f>
        <v>-332</v>
      </c>
      <c r="L938" s="6">
        <f>VALUE(SUBSTITUTE('1000_заявлений'!L932, ".", ","))</f>
        <v>26442</v>
      </c>
      <c r="M938" s="2" t="str">
        <f>IF(Данные[[#This Row],[proba]]&gt;$C$6, "отказ", "одобрение")</f>
        <v>отказ</v>
      </c>
      <c r="N938" s="7">
        <f>IF(Данные[[#This Row],[proba]]&lt;$D$2,$C$2,IF(Данные[[#This Row],[proba]]&lt;$D$3,$C$3,IF(Данные[[#This Row],[proba]]&gt;$C$6,0,$C$4)))</f>
        <v>0</v>
      </c>
      <c r="O938" s="2">
        <f>IF(Данные[[#This Row],[weighted_ext_score]]&gt;$O$1,MIN(Данные[[#This Row],[Базовая сумма]]*$O$2,$C$2),IF(Данные[[#This Row],[weighted_ext_score]]&lt;$O$3,Данные[[#This Row],[Базовая сумма]]*$O$4,N938))</f>
        <v>0</v>
      </c>
      <c r="P93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8" s="2">
        <f>ABS(Данные[[#This Row],[days_birth]])/365.2425</f>
        <v>26.732924016235788</v>
      </c>
      <c r="S93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8" s="2">
        <f>IF(Данные[[#This Row],[ interest_rate]]&gt;$T$1,Данные[[#This Row],[days_birth4]]*$T$2,Данные[[#This Row],[days_birth4]])</f>
        <v>0</v>
      </c>
      <c r="U938" s="2">
        <f>IF(Данные[[#This Row],[Проверка отказа]]="отказ",0,MAX(Данные[[#This Row],[interest_rate]],$C$1))</f>
        <v>0</v>
      </c>
      <c r="V938" s="2">
        <f>MROUND(Данные[[#This Row],[Минимум 20000]], 100)</f>
        <v>0</v>
      </c>
    </row>
    <row r="939" spans="1:22" x14ac:dyDescent="0.25">
      <c r="A939" s="2">
        <f>'1000_заявлений'!A933</f>
        <v>931</v>
      </c>
      <c r="B939" s="4">
        <f>VALUE(SUBSTITUTE('1000_заявлений'!B933, ".", ","))</f>
        <v>0.57900341967276703</v>
      </c>
      <c r="C939" s="4">
        <f>VALUE(SUBSTITUTE('1000_заявлений'!C933, ".", ","))</f>
        <v>0.37475695489648397</v>
      </c>
      <c r="D939" s="4">
        <f>VALUE(SUBSTITUTE('1000_заявлений'!D933, ".", ","))</f>
        <v>0.18195911000000001</v>
      </c>
      <c r="E939" s="4">
        <f>VALUE(SUBSTITUTE('1000_заявлений'!E933, ".", ","))</f>
        <v>0.43201286</v>
      </c>
      <c r="F939" s="5">
        <f>VALUE(SUBSTITUTE('1000_заявлений'!F933, ".", ","))</f>
        <v>-3227</v>
      </c>
      <c r="G939" s="5">
        <f>VALUE(SUBSTITUTE('1000_заявлений'!G933, ".", ","))</f>
        <v>-23381</v>
      </c>
      <c r="H939" s="5">
        <f>VALUE(SUBSTITUTE('1000_заявлений'!H933, ".", ","))</f>
        <v>-4557</v>
      </c>
      <c r="I939" s="4">
        <f>VALUE(SUBSTITUTE('1000_заявлений'!I933, ".", ","))</f>
        <v>0.18136666666666601</v>
      </c>
      <c r="J939" s="4">
        <f>VALUE(SUBSTITUTE('1000_заявлений'!J933, ".", ","))</f>
        <v>3.0585062826448302</v>
      </c>
      <c r="K939" s="5">
        <f>VALUE(SUBSTITUTE('1000_заявлений'!K933, ".", ","))</f>
        <v>365243</v>
      </c>
      <c r="L939" s="6">
        <f>VALUE(SUBSTITUTE('1000_заявлений'!L933, ".", ","))</f>
        <v>24484.5</v>
      </c>
      <c r="M939" s="2" t="str">
        <f>IF(Данные[[#This Row],[proba]]&gt;$C$6, "отказ", "одобрение")</f>
        <v>отказ</v>
      </c>
      <c r="N939" s="7">
        <f>IF(Данные[[#This Row],[proba]]&lt;$D$2,$C$2,IF(Данные[[#This Row],[proba]]&lt;$D$3,$C$3,IF(Данные[[#This Row],[proba]]&gt;$C$6,0,$C$4)))</f>
        <v>0</v>
      </c>
      <c r="O939" s="2">
        <f>IF(Данные[[#This Row],[weighted_ext_score]]&gt;$O$1,MIN(Данные[[#This Row],[Базовая сумма]]*$O$2,$C$2),IF(Данные[[#This Row],[weighted_ext_score]]&lt;$O$3,Данные[[#This Row],[Базовая сумма]]*$O$4,N939))</f>
        <v>0</v>
      </c>
      <c r="P93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3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39" s="2">
        <f>ABS(Данные[[#This Row],[days_birth]])/365.2425</f>
        <v>64.015003730398291</v>
      </c>
      <c r="S93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39" s="2">
        <f>IF(Данные[[#This Row],[ interest_rate]]&gt;$T$1,Данные[[#This Row],[days_birth4]]*$T$2,Данные[[#This Row],[days_birth4]])</f>
        <v>0</v>
      </c>
      <c r="U939" s="2">
        <f>IF(Данные[[#This Row],[Проверка отказа]]="отказ",0,MAX(Данные[[#This Row],[interest_rate]],$C$1))</f>
        <v>0</v>
      </c>
      <c r="V939" s="2">
        <f>MROUND(Данные[[#This Row],[Минимум 20000]], 100)</f>
        <v>0</v>
      </c>
    </row>
    <row r="940" spans="1:22" x14ac:dyDescent="0.25">
      <c r="A940" s="2">
        <f>'1000_заявлений'!A934</f>
        <v>932</v>
      </c>
      <c r="B940" s="4">
        <f>VALUE(SUBSTITUTE('1000_заявлений'!B934, ".", ","))</f>
        <v>0.37999563779373202</v>
      </c>
      <c r="C940" s="4">
        <f>VALUE(SUBSTITUTE('1000_заявлений'!C934, ".", ","))</f>
        <v>0.54564523010404797</v>
      </c>
      <c r="D940" s="4">
        <f>VALUE(SUBSTITUTE('1000_заявлений'!D934, ".", ","))</f>
        <v>0.50287824999999997</v>
      </c>
      <c r="E940" s="4">
        <f>VALUE(SUBSTITUTE('1000_заявлений'!E934, ".", ","))</f>
        <v>0.36025511999999998</v>
      </c>
      <c r="F940" s="5">
        <f>VALUE(SUBSTITUTE('1000_заявлений'!F934, ".", ","))</f>
        <v>-3428</v>
      </c>
      <c r="G940" s="5">
        <f>VALUE(SUBSTITUTE('1000_заявлений'!G934, ".", ","))</f>
        <v>-22330</v>
      </c>
      <c r="H940" s="5">
        <f>VALUE(SUBSTITUTE('1000_заявлений'!H934, ".", ","))</f>
        <v>-4016</v>
      </c>
      <c r="I940" s="4">
        <f>VALUE(SUBSTITUTE('1000_заявлений'!I934, ".", ","))</f>
        <v>0.119181818181818</v>
      </c>
      <c r="J940" s="4">
        <f>VALUE(SUBSTITUTE('1000_заявлений'!J934, ".", ","))</f>
        <v>6.9751660922560497</v>
      </c>
      <c r="K940" s="5">
        <f>VALUE(SUBSTITUTE('1000_заявлений'!K934, ".", ","))</f>
        <v>-5110</v>
      </c>
      <c r="L940" s="6">
        <f>VALUE(SUBSTITUTE('1000_заявлений'!L934, ".", ","))</f>
        <v>11799</v>
      </c>
      <c r="M940" s="2" t="str">
        <f>IF(Данные[[#This Row],[proba]]&gt;$C$6, "отказ", "одобрение")</f>
        <v>отказ</v>
      </c>
      <c r="N940" s="7">
        <f>IF(Данные[[#This Row],[proba]]&lt;$D$2,$C$2,IF(Данные[[#This Row],[proba]]&lt;$D$3,$C$3,IF(Данные[[#This Row],[proba]]&gt;$C$6,0,$C$4)))</f>
        <v>0</v>
      </c>
      <c r="O940" s="2">
        <f>IF(Данные[[#This Row],[weighted_ext_score]]&gt;$O$1,MIN(Данные[[#This Row],[Базовая сумма]]*$O$2,$C$2),IF(Данные[[#This Row],[weighted_ext_score]]&lt;$O$3,Данные[[#This Row],[Базовая сумма]]*$O$4,N940))</f>
        <v>0</v>
      </c>
      <c r="P94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0" s="2">
        <f>ABS(Данные[[#This Row],[days_birth]])/365.2425</f>
        <v>61.137463466053376</v>
      </c>
      <c r="S94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0" s="2">
        <f>IF(Данные[[#This Row],[ interest_rate]]&gt;$T$1,Данные[[#This Row],[days_birth4]]*$T$2,Данные[[#This Row],[days_birth4]])</f>
        <v>0</v>
      </c>
      <c r="U940" s="2">
        <f>IF(Данные[[#This Row],[Проверка отказа]]="отказ",0,MAX(Данные[[#This Row],[interest_rate]],$C$1))</f>
        <v>0</v>
      </c>
      <c r="V940" s="2">
        <f>MROUND(Данные[[#This Row],[Минимум 20000]], 100)</f>
        <v>0</v>
      </c>
    </row>
    <row r="941" spans="1:22" x14ac:dyDescent="0.25">
      <c r="A941" s="2">
        <f>'1000_заявлений'!A935</f>
        <v>933</v>
      </c>
      <c r="B941" s="4">
        <f>VALUE(SUBSTITUTE('1000_заявлений'!B935, ".", ","))</f>
        <v>0.36125570182569999</v>
      </c>
      <c r="C941" s="4">
        <f>VALUE(SUBSTITUTE('1000_заявлений'!C935, ".", ","))</f>
        <v>0.45367512927508402</v>
      </c>
      <c r="D941" s="4">
        <f>VALUE(SUBSTITUTE('1000_заявлений'!D935, ".", ","))</f>
        <v>0.62122630000000001</v>
      </c>
      <c r="E941" s="4">
        <f>VALUE(SUBSTITUTE('1000_заявлений'!E935, ".", ","))</f>
        <v>0.70596563999999995</v>
      </c>
      <c r="F941" s="5">
        <f>VALUE(SUBSTITUTE('1000_заявлений'!F935, ".", ","))</f>
        <v>-658</v>
      </c>
      <c r="G941" s="5">
        <f>VALUE(SUBSTITUTE('1000_заявлений'!G935, ".", ","))</f>
        <v>-17710</v>
      </c>
      <c r="H941" s="5">
        <f>VALUE(SUBSTITUTE('1000_заявлений'!H935, ".", ","))</f>
        <v>-1112</v>
      </c>
      <c r="I941" s="4">
        <f>VALUE(SUBSTITUTE('1000_заявлений'!I935, ".", ","))</f>
        <v>0.34960000000000002</v>
      </c>
      <c r="J941" s="4">
        <f>VALUE(SUBSTITUTE('1000_заявлений'!J935, ".", ","))</f>
        <v>1.0360080504014</v>
      </c>
      <c r="K941" s="5">
        <f>VALUE(SUBSTITUTE('1000_заявлений'!K935, ".", ","))</f>
        <v>-2953</v>
      </c>
      <c r="L941" s="6">
        <f>VALUE(SUBSTITUTE('1000_заявлений'!L935, ".", ","))</f>
        <v>31464</v>
      </c>
      <c r="M941" s="2" t="str">
        <f>IF(Данные[[#This Row],[proba]]&gt;$C$6, "отказ", "одобрение")</f>
        <v>отказ</v>
      </c>
      <c r="N941" s="7">
        <f>IF(Данные[[#This Row],[proba]]&lt;$D$2,$C$2,IF(Данные[[#This Row],[proba]]&lt;$D$3,$C$3,IF(Данные[[#This Row],[proba]]&gt;$C$6,0,$C$4)))</f>
        <v>0</v>
      </c>
      <c r="O941" s="2">
        <f>IF(Данные[[#This Row],[weighted_ext_score]]&gt;$O$1,MIN(Данные[[#This Row],[Базовая сумма]]*$O$2,$C$2),IF(Данные[[#This Row],[weighted_ext_score]]&lt;$O$3,Данные[[#This Row],[Базовая сумма]]*$O$4,N941))</f>
        <v>0</v>
      </c>
      <c r="P94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1" s="2">
        <f>ABS(Данные[[#This Row],[days_birth]])/365.2425</f>
        <v>48.488333093766471</v>
      </c>
      <c r="S94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1" s="2">
        <f>IF(Данные[[#This Row],[ interest_rate]]&gt;$T$1,Данные[[#This Row],[days_birth4]]*$T$2,Данные[[#This Row],[days_birth4]])</f>
        <v>0</v>
      </c>
      <c r="U941" s="2">
        <f>IF(Данные[[#This Row],[Проверка отказа]]="отказ",0,MAX(Данные[[#This Row],[interest_rate]],$C$1))</f>
        <v>0</v>
      </c>
      <c r="V941" s="2">
        <f>MROUND(Данные[[#This Row],[Минимум 20000]], 100)</f>
        <v>0</v>
      </c>
    </row>
    <row r="942" spans="1:22" x14ac:dyDescent="0.25">
      <c r="A942" s="2">
        <f>'1000_заявлений'!A936</f>
        <v>934</v>
      </c>
      <c r="B942" s="4">
        <f>VALUE(SUBSTITUTE('1000_заявлений'!B936, ".", ","))</f>
        <v>0.76262493054956504</v>
      </c>
      <c r="C942" s="4">
        <f>VALUE(SUBSTITUTE('1000_заявлений'!C936, ".", ","))</f>
        <v>0.18617187767314999</v>
      </c>
      <c r="D942" s="4">
        <f>VALUE(SUBSTITUTE('1000_заявлений'!D936, ".", ","))</f>
        <v>0.39105499999999999</v>
      </c>
      <c r="E942" s="4">
        <f>VALUE(SUBSTITUTE('1000_заявлений'!E936, ".", ","))</f>
        <v>0.13792821999999999</v>
      </c>
      <c r="F942" s="5">
        <f>VALUE(SUBSTITUTE('1000_заявлений'!F936, ".", ","))</f>
        <v>-9729</v>
      </c>
      <c r="G942" s="5">
        <f>VALUE(SUBSTITUTE('1000_заявлений'!G936, ".", ","))</f>
        <v>-15385</v>
      </c>
      <c r="H942" s="5">
        <f>VALUE(SUBSTITUTE('1000_заявлений'!H936, ".", ","))</f>
        <v>-4296</v>
      </c>
      <c r="I942" s="4">
        <f>VALUE(SUBSTITUTE('1000_заявлений'!I936, ".", ","))</f>
        <v>0.25795454545454499</v>
      </c>
      <c r="J942" s="4">
        <f>VALUE(SUBSTITUTE('1000_заявлений'!J936, ".", ","))</f>
        <v>3.2308359537540801</v>
      </c>
      <c r="K942" s="5">
        <f>VALUE(SUBSTITUTE('1000_заявлений'!K936, ".", ","))</f>
        <v>-2284</v>
      </c>
      <c r="L942" s="6">
        <f>VALUE(SUBSTITUTE('1000_заявлений'!L936, ".", ","))</f>
        <v>25537.5</v>
      </c>
      <c r="M942" s="2" t="str">
        <f>IF(Данные[[#This Row],[proba]]&gt;$C$6, "отказ", "одобрение")</f>
        <v>отказ</v>
      </c>
      <c r="N942" s="7">
        <f>IF(Данные[[#This Row],[proba]]&lt;$D$2,$C$2,IF(Данные[[#This Row],[proba]]&lt;$D$3,$C$3,IF(Данные[[#This Row],[proba]]&gt;$C$6,0,$C$4)))</f>
        <v>0</v>
      </c>
      <c r="O942" s="2">
        <f>IF(Данные[[#This Row],[weighted_ext_score]]&gt;$O$1,MIN(Данные[[#This Row],[Базовая сумма]]*$O$2,$C$2),IF(Данные[[#This Row],[weighted_ext_score]]&lt;$O$3,Данные[[#This Row],[Базовая сумма]]*$O$4,N942))</f>
        <v>0</v>
      </c>
      <c r="P94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2" s="2">
        <f>ABS(Данные[[#This Row],[days_birth]])/365.2425</f>
        <v>42.122699302518193</v>
      </c>
      <c r="S94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2" s="2">
        <f>IF(Данные[[#This Row],[ interest_rate]]&gt;$T$1,Данные[[#This Row],[days_birth4]]*$T$2,Данные[[#This Row],[days_birth4]])</f>
        <v>0</v>
      </c>
      <c r="U942" s="2">
        <f>IF(Данные[[#This Row],[Проверка отказа]]="отказ",0,MAX(Данные[[#This Row],[interest_rate]],$C$1))</f>
        <v>0</v>
      </c>
      <c r="V942" s="2">
        <f>MROUND(Данные[[#This Row],[Минимум 20000]], 100)</f>
        <v>0</v>
      </c>
    </row>
    <row r="943" spans="1:22" x14ac:dyDescent="0.25">
      <c r="A943" s="2">
        <f>'1000_заявлений'!A937</f>
        <v>935</v>
      </c>
      <c r="B943" s="4">
        <f>VALUE(SUBSTITUTE('1000_заявлений'!B937, ".", ","))</f>
        <v>0.557228257824678</v>
      </c>
      <c r="C943" s="4">
        <f>VALUE(SUBSTITUTE('1000_заявлений'!C937, ".", ","))</f>
        <v>0.27856186385437398</v>
      </c>
      <c r="D943" s="4">
        <f>VALUE(SUBSTITUTE('1000_заявлений'!D937, ".", ","))</f>
        <v>0.29708663000000002</v>
      </c>
      <c r="E943" s="4">
        <f>VALUE(SUBSTITUTE('1000_заявлений'!E937, ".", ","))</f>
        <v>0.52752169999999998</v>
      </c>
      <c r="F943" s="5">
        <f>VALUE(SUBSTITUTE('1000_заявлений'!F937, ".", ","))</f>
        <v>-5744</v>
      </c>
      <c r="G943" s="5">
        <f>VALUE(SUBSTITUTE('1000_заявлений'!G937, ".", ","))</f>
        <v>-21318</v>
      </c>
      <c r="H943" s="5">
        <f>VALUE(SUBSTITUTE('1000_заявлений'!H937, ".", ","))</f>
        <v>-4610</v>
      </c>
      <c r="I943" s="4">
        <f>VALUE(SUBSTITUTE('1000_заявлений'!I937, ".", ","))</f>
        <v>0.12824444444444399</v>
      </c>
      <c r="J943" s="4">
        <f>VALUE(SUBSTITUTE('1000_заявлений'!J937, ".", ","))</f>
        <v>4.5741332740013299</v>
      </c>
      <c r="K943" s="5">
        <f>VALUE(SUBSTITUTE('1000_заявлений'!K937, ".", ","))</f>
        <v>-13561</v>
      </c>
      <c r="L943" s="6">
        <f>VALUE(SUBSTITUTE('1000_заявлений'!L937, ".", ","))</f>
        <v>25969.5</v>
      </c>
      <c r="M943" s="2" t="str">
        <f>IF(Данные[[#This Row],[proba]]&gt;$C$6, "отказ", "одобрение")</f>
        <v>отказ</v>
      </c>
      <c r="N943" s="7">
        <f>IF(Данные[[#This Row],[proba]]&lt;$D$2,$C$2,IF(Данные[[#This Row],[proba]]&lt;$D$3,$C$3,IF(Данные[[#This Row],[proba]]&gt;$C$6,0,$C$4)))</f>
        <v>0</v>
      </c>
      <c r="O943" s="2">
        <f>IF(Данные[[#This Row],[weighted_ext_score]]&gt;$O$1,MIN(Данные[[#This Row],[Базовая сумма]]*$O$2,$C$2),IF(Данные[[#This Row],[weighted_ext_score]]&lt;$O$3,Данные[[#This Row],[Базовая сумма]]*$O$4,N943))</f>
        <v>0</v>
      </c>
      <c r="P94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3" s="2">
        <f>ABS(Данные[[#This Row],[days_birth]])/365.2425</f>
        <v>58.366701574981008</v>
      </c>
      <c r="S94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3" s="2">
        <f>IF(Данные[[#This Row],[ interest_rate]]&gt;$T$1,Данные[[#This Row],[days_birth4]]*$T$2,Данные[[#This Row],[days_birth4]])</f>
        <v>0</v>
      </c>
      <c r="U943" s="2">
        <f>IF(Данные[[#This Row],[Проверка отказа]]="отказ",0,MAX(Данные[[#This Row],[interest_rate]],$C$1))</f>
        <v>0</v>
      </c>
      <c r="V943" s="2">
        <f>MROUND(Данные[[#This Row],[Минимум 20000]], 100)</f>
        <v>0</v>
      </c>
    </row>
    <row r="944" spans="1:22" x14ac:dyDescent="0.25">
      <c r="A944" s="2">
        <f>'1000_заявлений'!A938</f>
        <v>936</v>
      </c>
      <c r="B944" s="4">
        <f>VALUE(SUBSTITUTE('1000_заявлений'!B938, ".", ","))</f>
        <v>0.614475480157887</v>
      </c>
      <c r="C944" s="4">
        <f>VALUE(SUBSTITUTE('1000_заявлений'!C938, ".", ","))</f>
        <v>0.25946120992135002</v>
      </c>
      <c r="D944" s="4">
        <f>VALUE(SUBSTITUTE('1000_заявлений'!D938, ".", ","))</f>
        <v>0.47944896999999997</v>
      </c>
      <c r="E944" s="4">
        <f>VALUE(SUBSTITUTE('1000_заявлений'!E938, ".", ","))</f>
        <v>0.26531175000000001</v>
      </c>
      <c r="F944" s="5">
        <f>VALUE(SUBSTITUTE('1000_заявлений'!F938, ".", ","))</f>
        <v>-2234</v>
      </c>
      <c r="G944" s="5">
        <f>VALUE(SUBSTITUTE('1000_заявлений'!G938, ".", ","))</f>
        <v>-12916</v>
      </c>
      <c r="H944" s="5">
        <f>VALUE(SUBSTITUTE('1000_заявлений'!H938, ".", ","))</f>
        <v>-4743</v>
      </c>
      <c r="I944" s="4">
        <f>VALUE(SUBSTITUTE('1000_заявлений'!I938, ".", ","))</f>
        <v>0.15</v>
      </c>
      <c r="J944" s="4">
        <f>VALUE(SUBSTITUTE('1000_заявлений'!J938, ".", ","))</f>
        <v>10.6209759779781</v>
      </c>
      <c r="K944" s="5">
        <f>VALUE(SUBSTITUTE('1000_заявлений'!K938, ".", ","))</f>
        <v>-3601</v>
      </c>
      <c r="L944" s="6">
        <f>VALUE(SUBSTITUTE('1000_заявлений'!L938, ".", ","))</f>
        <v>13500</v>
      </c>
      <c r="M944" s="2" t="str">
        <f>IF(Данные[[#This Row],[proba]]&gt;$C$6, "отказ", "одобрение")</f>
        <v>отказ</v>
      </c>
      <c r="N944" s="7">
        <f>IF(Данные[[#This Row],[proba]]&lt;$D$2,$C$2,IF(Данные[[#This Row],[proba]]&lt;$D$3,$C$3,IF(Данные[[#This Row],[proba]]&gt;$C$6,0,$C$4)))</f>
        <v>0</v>
      </c>
      <c r="O944" s="2">
        <f>IF(Данные[[#This Row],[weighted_ext_score]]&gt;$O$1,MIN(Данные[[#This Row],[Базовая сумма]]*$O$2,$C$2),IF(Данные[[#This Row],[weighted_ext_score]]&lt;$O$3,Данные[[#This Row],[Базовая сумма]]*$O$4,N944))</f>
        <v>0</v>
      </c>
      <c r="P94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4" s="2">
        <f>ABS(Данные[[#This Row],[days_birth]])/365.2425</f>
        <v>35.362806902263564</v>
      </c>
      <c r="S94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4" s="2">
        <f>IF(Данные[[#This Row],[ interest_rate]]&gt;$T$1,Данные[[#This Row],[days_birth4]]*$T$2,Данные[[#This Row],[days_birth4]])</f>
        <v>0</v>
      </c>
      <c r="U944" s="2">
        <f>IF(Данные[[#This Row],[Проверка отказа]]="отказ",0,MAX(Данные[[#This Row],[interest_rate]],$C$1))</f>
        <v>0</v>
      </c>
      <c r="V944" s="2">
        <f>MROUND(Данные[[#This Row],[Минимум 20000]], 100)</f>
        <v>0</v>
      </c>
    </row>
    <row r="945" spans="1:22" x14ac:dyDescent="0.25">
      <c r="A945" s="2">
        <f>'1000_заявлений'!A939</f>
        <v>937</v>
      </c>
      <c r="B945" s="4">
        <f>VALUE(SUBSTITUTE('1000_заявлений'!B939, ".", ","))</f>
        <v>0.33924964118016998</v>
      </c>
      <c r="C945" s="4">
        <f>VALUE(SUBSTITUTE('1000_заявлений'!C939, ".", ","))</f>
        <v>0.43125130305348303</v>
      </c>
      <c r="D945" s="4">
        <f>VALUE(SUBSTITUTE('1000_заявлений'!D939, ".", ","))</f>
        <v>0.71510309999999999</v>
      </c>
      <c r="E945" s="4">
        <f>VALUE(SUBSTITUTE('1000_заявлений'!E939, ".", ","))</f>
        <v>0.53216830000000004</v>
      </c>
      <c r="F945" s="5">
        <f>VALUE(SUBSTITUTE('1000_заявлений'!F939, ".", ","))</f>
        <v>-4038</v>
      </c>
      <c r="G945" s="5">
        <f>VALUE(SUBSTITUTE('1000_заявлений'!G939, ".", ","))</f>
        <v>-11989</v>
      </c>
      <c r="H945" s="5">
        <f>VALUE(SUBSTITUTE('1000_заявлений'!H939, ".", ","))</f>
        <v>-4048</v>
      </c>
      <c r="I945" s="4">
        <f>VALUE(SUBSTITUTE('1000_заявлений'!I939, ".", ","))</f>
        <v>0.219392857142857</v>
      </c>
      <c r="J945" s="4">
        <f>VALUE(SUBSTITUTE('1000_заявлений'!J939, ".", ","))</f>
        <v>5.5522780225683599</v>
      </c>
      <c r="K945" s="5">
        <f>VALUE(SUBSTITUTE('1000_заявлений'!K939, ".", ","))</f>
        <v>-3317</v>
      </c>
      <c r="L945" s="6">
        <f>VALUE(SUBSTITUTE('1000_заявлений'!L939, ".", ","))</f>
        <v>27643.5</v>
      </c>
      <c r="M945" s="2" t="str">
        <f>IF(Данные[[#This Row],[proba]]&gt;$C$6, "отказ", "одобрение")</f>
        <v>отказ</v>
      </c>
      <c r="N945" s="7">
        <f>IF(Данные[[#This Row],[proba]]&lt;$D$2,$C$2,IF(Данные[[#This Row],[proba]]&lt;$D$3,$C$3,IF(Данные[[#This Row],[proba]]&gt;$C$6,0,$C$4)))</f>
        <v>0</v>
      </c>
      <c r="O945" s="2">
        <f>IF(Данные[[#This Row],[weighted_ext_score]]&gt;$O$1,MIN(Данные[[#This Row],[Базовая сумма]]*$O$2,$C$2),IF(Данные[[#This Row],[weighted_ext_score]]&lt;$O$3,Данные[[#This Row],[Базовая сумма]]*$O$4,N945))</f>
        <v>0</v>
      </c>
      <c r="P94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5" s="2">
        <f>ABS(Данные[[#This Row],[days_birth]])/365.2425</f>
        <v>32.824767106785217</v>
      </c>
      <c r="S94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5" s="2">
        <f>IF(Данные[[#This Row],[ interest_rate]]&gt;$T$1,Данные[[#This Row],[days_birth4]]*$T$2,Данные[[#This Row],[days_birth4]])</f>
        <v>0</v>
      </c>
      <c r="U945" s="2">
        <f>IF(Данные[[#This Row],[Проверка отказа]]="отказ",0,MAX(Данные[[#This Row],[interest_rate]],$C$1))</f>
        <v>0</v>
      </c>
      <c r="V945" s="2">
        <f>MROUND(Данные[[#This Row],[Минимум 20000]], 100)</f>
        <v>0</v>
      </c>
    </row>
    <row r="946" spans="1:22" x14ac:dyDescent="0.25">
      <c r="A946" s="2">
        <f>'1000_заявлений'!A940</f>
        <v>938</v>
      </c>
      <c r="B946" s="4">
        <f>VALUE(SUBSTITUTE('1000_заявлений'!B940, ".", ","))</f>
        <v>0.75199545436637605</v>
      </c>
      <c r="C946" s="4">
        <f>VALUE(SUBSTITUTE('1000_заявлений'!C940, ".", ","))</f>
        <v>0.17516623425262501</v>
      </c>
      <c r="D946" s="4">
        <f>VALUE(SUBSTITUTE('1000_заявлений'!D940, ".", ","))</f>
        <v>0.30467218000000001</v>
      </c>
      <c r="E946" s="4">
        <f>VALUE(SUBSTITUTE('1000_заявлений'!E940, ".", ","))</f>
        <v>0.20031261</v>
      </c>
      <c r="F946" s="5">
        <f>VALUE(SUBSTITUTE('1000_заявлений'!F940, ".", ","))</f>
        <v>-2024</v>
      </c>
      <c r="G946" s="5">
        <f>VALUE(SUBSTITUTE('1000_заявлений'!G940, ".", ","))</f>
        <v>-21533</v>
      </c>
      <c r="H946" s="5">
        <f>VALUE(SUBSTITUTE('1000_заявлений'!H940, ".", ","))</f>
        <v>-1189</v>
      </c>
      <c r="I946" s="4">
        <f>VALUE(SUBSTITUTE('1000_заявлений'!I940, ".", ","))</f>
        <v>0.29515999999999998</v>
      </c>
      <c r="J946" s="4">
        <f>VALUE(SUBSTITUTE('1000_заявлений'!J940, ".", ","))</f>
        <v>12.286346593134599</v>
      </c>
      <c r="K946" s="5">
        <f>VALUE(SUBSTITUTE('1000_заявлений'!K940, ".", ","))</f>
        <v>-2574</v>
      </c>
      <c r="L946" s="6">
        <f>VALUE(SUBSTITUTE('1000_заявлений'!L940, ".", ","))</f>
        <v>33205.5</v>
      </c>
      <c r="M946" s="2" t="str">
        <f>IF(Данные[[#This Row],[proba]]&gt;$C$6, "отказ", "одобрение")</f>
        <v>отказ</v>
      </c>
      <c r="N946" s="7">
        <f>IF(Данные[[#This Row],[proba]]&lt;$D$2,$C$2,IF(Данные[[#This Row],[proba]]&lt;$D$3,$C$3,IF(Данные[[#This Row],[proba]]&gt;$C$6,0,$C$4)))</f>
        <v>0</v>
      </c>
      <c r="O946" s="2">
        <f>IF(Данные[[#This Row],[weighted_ext_score]]&gt;$O$1,MIN(Данные[[#This Row],[Базовая сумма]]*$O$2,$C$2),IF(Данные[[#This Row],[weighted_ext_score]]&lt;$O$3,Данные[[#This Row],[Базовая сумма]]*$O$4,N946))</f>
        <v>0</v>
      </c>
      <c r="P94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6" s="2">
        <f>ABS(Данные[[#This Row],[days_birth]])/365.2425</f>
        <v>58.955351581483534</v>
      </c>
      <c r="S94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6" s="2">
        <f>IF(Данные[[#This Row],[ interest_rate]]&gt;$T$1,Данные[[#This Row],[days_birth4]]*$T$2,Данные[[#This Row],[days_birth4]])</f>
        <v>0</v>
      </c>
      <c r="U946" s="2">
        <f>IF(Данные[[#This Row],[Проверка отказа]]="отказ",0,MAX(Данные[[#This Row],[interest_rate]],$C$1))</f>
        <v>0</v>
      </c>
      <c r="V946" s="2">
        <f>MROUND(Данные[[#This Row],[Минимум 20000]], 100)</f>
        <v>0</v>
      </c>
    </row>
    <row r="947" spans="1:22" x14ac:dyDescent="0.25">
      <c r="A947" s="2">
        <f>'1000_заявлений'!A941</f>
        <v>939</v>
      </c>
      <c r="B947" s="4">
        <f>VALUE(SUBSTITUTE('1000_заявлений'!B941, ".", ","))</f>
        <v>0.44019835036752503</v>
      </c>
      <c r="C947" s="4">
        <f>VALUE(SUBSTITUTE('1000_заявлений'!C941, ".", ","))</f>
        <v>0.37096821235267302</v>
      </c>
      <c r="D947" s="4">
        <f>VALUE(SUBSTITUTE('1000_заявлений'!D941, ".", ","))</f>
        <v>0.47225335000000002</v>
      </c>
      <c r="E947" s="4">
        <f>VALUE(SUBSTITUTE('1000_заявлений'!E941, ".", ","))</f>
        <v>0.61709210000000003</v>
      </c>
      <c r="F947" s="5">
        <f>VALUE(SUBSTITUTE('1000_заявлений'!F941, ".", ","))</f>
        <v>-7017</v>
      </c>
      <c r="G947" s="5">
        <f>VALUE(SUBSTITUTE('1000_заявлений'!G941, ".", ","))</f>
        <v>-13242</v>
      </c>
      <c r="H947" s="5">
        <f>VALUE(SUBSTITUTE('1000_заявлений'!H941, ".", ","))</f>
        <v>-4316</v>
      </c>
      <c r="I947" s="4">
        <f>VALUE(SUBSTITUTE('1000_заявлений'!I941, ".", ","))</f>
        <v>0.138075</v>
      </c>
      <c r="J947" s="4">
        <f>VALUE(SUBSTITUTE('1000_заявлений'!J941, ".", ","))</f>
        <v>2.7455367168485401</v>
      </c>
      <c r="K947" s="5">
        <f>VALUE(SUBSTITUTE('1000_заявлений'!K941, ".", ","))</f>
        <v>-783</v>
      </c>
      <c r="L947" s="6">
        <f>VALUE(SUBSTITUTE('1000_заявлений'!L941, ".", ","))</f>
        <v>24853.5</v>
      </c>
      <c r="M947" s="2" t="str">
        <f>IF(Данные[[#This Row],[proba]]&gt;$C$6, "отказ", "одобрение")</f>
        <v>отказ</v>
      </c>
      <c r="N947" s="7">
        <f>IF(Данные[[#This Row],[proba]]&lt;$D$2,$C$2,IF(Данные[[#This Row],[proba]]&lt;$D$3,$C$3,IF(Данные[[#This Row],[proba]]&gt;$C$6,0,$C$4)))</f>
        <v>0</v>
      </c>
      <c r="O947" s="2">
        <f>IF(Данные[[#This Row],[weighted_ext_score]]&gt;$O$1,MIN(Данные[[#This Row],[Базовая сумма]]*$O$2,$C$2),IF(Данные[[#This Row],[weighted_ext_score]]&lt;$O$3,Данные[[#This Row],[Базовая сумма]]*$O$4,N947))</f>
        <v>0</v>
      </c>
      <c r="P94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7" s="2">
        <f>ABS(Данные[[#This Row],[days_birth]])/365.2425</f>
        <v>36.255364586541816</v>
      </c>
      <c r="S94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7" s="2">
        <f>IF(Данные[[#This Row],[ interest_rate]]&gt;$T$1,Данные[[#This Row],[days_birth4]]*$T$2,Данные[[#This Row],[days_birth4]])</f>
        <v>0</v>
      </c>
      <c r="U947" s="2">
        <f>IF(Данные[[#This Row],[Проверка отказа]]="отказ",0,MAX(Данные[[#This Row],[interest_rate]],$C$1))</f>
        <v>0</v>
      </c>
      <c r="V947" s="2">
        <f>MROUND(Данные[[#This Row],[Минимум 20000]], 100)</f>
        <v>0</v>
      </c>
    </row>
    <row r="948" spans="1:22" x14ac:dyDescent="0.25">
      <c r="A948" s="2">
        <f>'1000_заявлений'!A942</f>
        <v>940</v>
      </c>
      <c r="B948" s="4">
        <f>VALUE(SUBSTITUTE('1000_заявлений'!B942, ".", ","))</f>
        <v>0.33541657918381601</v>
      </c>
      <c r="C948" s="4">
        <f>VALUE(SUBSTITUTE('1000_заявлений'!C942, ".", ","))</f>
        <v>0.53775699126639298</v>
      </c>
      <c r="D948" s="4">
        <f>VALUE(SUBSTITUTE('1000_заявлений'!D942, ".", ","))</f>
        <v>0.46506920000000002</v>
      </c>
      <c r="E948" s="4">
        <f>VALUE(SUBSTITUTE('1000_заявлений'!E942, ".", ","))</f>
        <v>0.54216604999999995</v>
      </c>
      <c r="F948" s="5">
        <f>VALUE(SUBSTITUTE('1000_заявлений'!F942, ".", ","))</f>
        <v>-7255</v>
      </c>
      <c r="G948" s="5">
        <f>VALUE(SUBSTITUTE('1000_заявлений'!G942, ".", ","))</f>
        <v>-20071</v>
      </c>
      <c r="H948" s="5">
        <f>VALUE(SUBSTITUTE('1000_заявлений'!H942, ".", ","))</f>
        <v>-3442</v>
      </c>
      <c r="I948" s="4">
        <f>VALUE(SUBSTITUTE('1000_заявлений'!I942, ".", ","))</f>
        <v>9.3350000000000002E-2</v>
      </c>
      <c r="J948" s="4">
        <f>VALUE(SUBSTITUTE('1000_заявлений'!J942, ".", ","))</f>
        <v>6.5227781322739498</v>
      </c>
      <c r="K948" s="5">
        <f>VALUE(SUBSTITUTE('1000_заявлений'!K942, ".", ","))</f>
        <v>-7303</v>
      </c>
      <c r="L948" s="6">
        <f>VALUE(SUBSTITUTE('1000_заявлений'!L942, ".", ","))</f>
        <v>16803</v>
      </c>
      <c r="M948" s="2" t="str">
        <f>IF(Данные[[#This Row],[proba]]&gt;$C$6, "отказ", "одобрение")</f>
        <v>отказ</v>
      </c>
      <c r="N948" s="7">
        <f>IF(Данные[[#This Row],[proba]]&lt;$D$2,$C$2,IF(Данные[[#This Row],[proba]]&lt;$D$3,$C$3,IF(Данные[[#This Row],[proba]]&gt;$C$6,0,$C$4)))</f>
        <v>0</v>
      </c>
      <c r="O948" s="2">
        <f>IF(Данные[[#This Row],[weighted_ext_score]]&gt;$O$1,MIN(Данные[[#This Row],[Базовая сумма]]*$O$2,$C$2),IF(Данные[[#This Row],[weighted_ext_score]]&lt;$O$3,Данные[[#This Row],[Базовая сумма]]*$O$4,N948))</f>
        <v>0</v>
      </c>
      <c r="P94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8" s="2">
        <f>ABS(Данные[[#This Row],[days_birth]])/365.2425</f>
        <v>54.952531537266339</v>
      </c>
      <c r="S94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8" s="2">
        <f>IF(Данные[[#This Row],[ interest_rate]]&gt;$T$1,Данные[[#This Row],[days_birth4]]*$T$2,Данные[[#This Row],[days_birth4]])</f>
        <v>0</v>
      </c>
      <c r="U948" s="2">
        <f>IF(Данные[[#This Row],[Проверка отказа]]="отказ",0,MAX(Данные[[#This Row],[interest_rate]],$C$1))</f>
        <v>0</v>
      </c>
      <c r="V948" s="2">
        <f>MROUND(Данные[[#This Row],[Минимум 20000]], 100)</f>
        <v>0</v>
      </c>
    </row>
    <row r="949" spans="1:22" x14ac:dyDescent="0.25">
      <c r="A949" s="2">
        <f>'1000_заявлений'!A943</f>
        <v>941</v>
      </c>
      <c r="B949" s="4">
        <f>VALUE(SUBSTITUTE('1000_заявлений'!B943, ".", ","))</f>
        <v>0.36466447626938397</v>
      </c>
      <c r="C949" s="4">
        <f>VALUE(SUBSTITUTE('1000_заявлений'!C943, ".", ","))</f>
        <v>0.34625161479890798</v>
      </c>
      <c r="D949" s="4">
        <f>VALUE(SUBSTITUTE('1000_заявлений'!D943, ".", ","))</f>
        <v>0.27213367999999999</v>
      </c>
      <c r="E949" s="4">
        <f>VALUE(SUBSTITUTE('1000_заявлений'!E943, ".", ","))</f>
        <v>0.76401936999999998</v>
      </c>
      <c r="F949" s="5">
        <f>VALUE(SUBSTITUTE('1000_заявлений'!F943, ".", ","))</f>
        <v>-10609</v>
      </c>
      <c r="G949" s="5">
        <f>VALUE(SUBSTITUTE('1000_заявлений'!G943, ".", ","))</f>
        <v>-23215</v>
      </c>
      <c r="H949" s="5">
        <f>VALUE(SUBSTITUTE('1000_заявлений'!H943, ".", ","))</f>
        <v>-1153</v>
      </c>
      <c r="I949" s="4">
        <f>VALUE(SUBSTITUTE('1000_заявлений'!I943, ".", ","))</f>
        <v>8.3333333333333301E-2</v>
      </c>
      <c r="J949" s="4">
        <f>VALUE(SUBSTITUTE('1000_заявлений'!J943, ".", ","))</f>
        <v>10.6209759779781</v>
      </c>
      <c r="K949" s="5">
        <f>VALUE(SUBSTITUTE('1000_заявлений'!K943, ".", ","))</f>
        <v>365243</v>
      </c>
      <c r="L949" s="6">
        <f>VALUE(SUBSTITUTE('1000_заявлений'!L943, ".", ","))</f>
        <v>11250</v>
      </c>
      <c r="M949" s="2" t="str">
        <f>IF(Данные[[#This Row],[proba]]&gt;$C$6, "отказ", "одобрение")</f>
        <v>отказ</v>
      </c>
      <c r="N949" s="7">
        <f>IF(Данные[[#This Row],[proba]]&lt;$D$2,$C$2,IF(Данные[[#This Row],[proba]]&lt;$D$3,$C$3,IF(Данные[[#This Row],[proba]]&gt;$C$6,0,$C$4)))</f>
        <v>0</v>
      </c>
      <c r="O949" s="2">
        <f>IF(Данные[[#This Row],[weighted_ext_score]]&gt;$O$1,MIN(Данные[[#This Row],[Базовая сумма]]*$O$2,$C$2),IF(Данные[[#This Row],[weighted_ext_score]]&lt;$O$3,Данные[[#This Row],[Базовая сумма]]*$O$4,N949))</f>
        <v>0</v>
      </c>
      <c r="P94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4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49" s="2">
        <f>ABS(Данные[[#This Row],[days_birth]])/365.2425</f>
        <v>63.560511167238204</v>
      </c>
      <c r="S94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49" s="2">
        <f>IF(Данные[[#This Row],[ interest_rate]]&gt;$T$1,Данные[[#This Row],[days_birth4]]*$T$2,Данные[[#This Row],[days_birth4]])</f>
        <v>0</v>
      </c>
      <c r="U949" s="2">
        <f>IF(Данные[[#This Row],[Проверка отказа]]="отказ",0,MAX(Данные[[#This Row],[interest_rate]],$C$1))</f>
        <v>0</v>
      </c>
      <c r="V949" s="2">
        <f>MROUND(Данные[[#This Row],[Минимум 20000]], 100)</f>
        <v>0</v>
      </c>
    </row>
    <row r="950" spans="1:22" x14ac:dyDescent="0.25">
      <c r="A950" s="2">
        <f>'1000_заявлений'!A944</f>
        <v>942</v>
      </c>
      <c r="B950" s="4">
        <f>VALUE(SUBSTITUTE('1000_заявлений'!B944, ".", ","))</f>
        <v>0.20025753544045299</v>
      </c>
      <c r="C950" s="4">
        <f>VALUE(SUBSTITUTE('1000_заявлений'!C944, ".", ","))</f>
        <v>0.63634729104659304</v>
      </c>
      <c r="D950" s="4">
        <f>VALUE(SUBSTITUTE('1000_заявлений'!D944, ".", ","))</f>
        <v>0.70620510000000003</v>
      </c>
      <c r="E950" s="4">
        <f>VALUE(SUBSTITUTE('1000_заявлений'!E944, ".", ","))</f>
        <v>0.56645020000000001</v>
      </c>
      <c r="F950" s="5">
        <f>VALUE(SUBSTITUTE('1000_заявлений'!F944, ".", ","))</f>
        <v>-1053</v>
      </c>
      <c r="G950" s="5">
        <f>VALUE(SUBSTITUTE('1000_заявлений'!G944, ".", ","))</f>
        <v>-20485</v>
      </c>
      <c r="H950" s="5">
        <f>VALUE(SUBSTITUTE('1000_заявлений'!H944, ".", ","))</f>
        <v>-450</v>
      </c>
      <c r="I950" s="4">
        <f>VALUE(SUBSTITUTE('1000_заявлений'!I944, ".", ","))</f>
        <v>0.27548</v>
      </c>
      <c r="J950" s="4">
        <f>VALUE(SUBSTITUTE('1000_заявлений'!J944, ".", ","))</f>
        <v>8.3608445986760707</v>
      </c>
      <c r="K950" s="5">
        <f>VALUE(SUBSTITUTE('1000_заявлений'!K944, ".", ","))</f>
        <v>365243</v>
      </c>
      <c r="L950" s="6">
        <f>VALUE(SUBSTITUTE('1000_заявлений'!L944, ".", ","))</f>
        <v>30991.5</v>
      </c>
      <c r="M950" s="2" t="str">
        <f>IF(Данные[[#This Row],[proba]]&gt;$C$6, "отказ", "одобрение")</f>
        <v>одобрение</v>
      </c>
      <c r="N950" s="7">
        <f>IF(Данные[[#This Row],[proba]]&lt;$D$2,$C$2,IF(Данные[[#This Row],[proba]]&lt;$D$3,$C$3,IF(Данные[[#This Row],[proba]]&gt;$C$6,0,$C$4)))</f>
        <v>100000</v>
      </c>
      <c r="O950" s="2">
        <f>IF(Данные[[#This Row],[weighted_ext_score]]&gt;$O$1,MIN(Данные[[#This Row],[Базовая сумма]]*$O$2,$C$2),IF(Данные[[#This Row],[weighted_ext_score]]&lt;$O$3,Данные[[#This Row],[Базовая сумма]]*$O$4,N950))</f>
        <v>100000</v>
      </c>
      <c r="P95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95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100000</v>
      </c>
      <c r="R950" s="2">
        <f>ABS(Данные[[#This Row],[days_birth]])/365.2425</f>
        <v>56.086025038159576</v>
      </c>
      <c r="S95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105000</v>
      </c>
      <c r="T950" s="2">
        <f>IF(Данные[[#This Row],[ interest_rate]]&gt;$T$1,Данные[[#This Row],[days_birth4]]*$T$2,Данные[[#This Row],[days_birth4]])</f>
        <v>105000</v>
      </c>
      <c r="U950" s="2">
        <f>IF(Данные[[#This Row],[Проверка отказа]]="отказ",0,MAX(Данные[[#This Row],[interest_rate]],$C$1))</f>
        <v>105000</v>
      </c>
      <c r="V950" s="2">
        <f>MROUND(Данные[[#This Row],[Минимум 20000]], 100)</f>
        <v>105000</v>
      </c>
    </row>
    <row r="951" spans="1:22" x14ac:dyDescent="0.25">
      <c r="A951" s="2">
        <f>'1000_заявлений'!A945</f>
        <v>943</v>
      </c>
      <c r="B951" s="4">
        <f>VALUE(SUBSTITUTE('1000_заявлений'!B945, ".", ","))</f>
        <v>0.35649677672911301</v>
      </c>
      <c r="C951" s="4">
        <f>VALUE(SUBSTITUTE('1000_заявлений'!C945, ".", ","))</f>
        <v>0.59432400823283005</v>
      </c>
      <c r="D951" s="4">
        <f>VALUE(SUBSTITUTE('1000_заявлений'!D945, ".", ","))</f>
        <v>0.70169579999999998</v>
      </c>
      <c r="E951" s="4">
        <f>VALUE(SUBSTITUTE('1000_заявлений'!E945, ".", ","))</f>
        <v>0.29994535</v>
      </c>
      <c r="F951" s="5">
        <f>VALUE(SUBSTITUTE('1000_заявлений'!F945, ".", ","))</f>
        <v>-210</v>
      </c>
      <c r="G951" s="5">
        <f>VALUE(SUBSTITUTE('1000_заявлений'!G945, ".", ","))</f>
        <v>-13506</v>
      </c>
      <c r="H951" s="5">
        <f>VALUE(SUBSTITUTE('1000_заявлений'!H945, ".", ","))</f>
        <v>-4537</v>
      </c>
      <c r="I951" s="4">
        <f>VALUE(SUBSTITUTE('1000_заявлений'!I945, ".", ","))</f>
        <v>0.164275</v>
      </c>
      <c r="J951" s="4">
        <f>VALUE(SUBSTITUTE('1000_заявлений'!J945, ".", ","))</f>
        <v>2.0206787686599799</v>
      </c>
      <c r="K951" s="5">
        <f>VALUE(SUBSTITUTE('1000_заявлений'!K945, ".", ","))</f>
        <v>-1663</v>
      </c>
      <c r="L951" s="6">
        <f>VALUE(SUBSTITUTE('1000_заявлений'!L945, ".", ","))</f>
        <v>29569.5</v>
      </c>
      <c r="M951" s="2" t="str">
        <f>IF(Данные[[#This Row],[proba]]&gt;$C$6, "отказ", "одобрение")</f>
        <v>отказ</v>
      </c>
      <c r="N951" s="7">
        <f>IF(Данные[[#This Row],[proba]]&lt;$D$2,$C$2,IF(Данные[[#This Row],[proba]]&lt;$D$3,$C$3,IF(Данные[[#This Row],[proba]]&gt;$C$6,0,$C$4)))</f>
        <v>0</v>
      </c>
      <c r="O951" s="2">
        <f>IF(Данные[[#This Row],[weighted_ext_score]]&gt;$O$1,MIN(Данные[[#This Row],[Базовая сумма]]*$O$2,$C$2),IF(Данные[[#This Row],[weighted_ext_score]]&lt;$O$3,Данные[[#This Row],[Базовая сумма]]*$O$4,N951))</f>
        <v>0</v>
      </c>
      <c r="P95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1" s="2">
        <f>ABS(Данные[[#This Row],[days_birth]])/365.2425</f>
        <v>36.978172036386781</v>
      </c>
      <c r="S95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1" s="2">
        <f>IF(Данные[[#This Row],[ interest_rate]]&gt;$T$1,Данные[[#This Row],[days_birth4]]*$T$2,Данные[[#This Row],[days_birth4]])</f>
        <v>0</v>
      </c>
      <c r="U951" s="2">
        <f>IF(Данные[[#This Row],[Проверка отказа]]="отказ",0,MAX(Данные[[#This Row],[interest_rate]],$C$1))</f>
        <v>0</v>
      </c>
      <c r="V951" s="2">
        <f>MROUND(Данные[[#This Row],[Минимум 20000]], 100)</f>
        <v>0</v>
      </c>
    </row>
    <row r="952" spans="1:22" x14ac:dyDescent="0.25">
      <c r="A952" s="2">
        <f>'1000_заявлений'!A946</f>
        <v>944</v>
      </c>
      <c r="B952" s="4">
        <f>VALUE(SUBSTITUTE('1000_заявлений'!B946, ".", ","))</f>
        <v>0.201581159638546</v>
      </c>
      <c r="C952" s="4">
        <f>VALUE(SUBSTITUTE('1000_заявлений'!C946, ".", ","))</f>
        <v>0.69983896653195499</v>
      </c>
      <c r="D952" s="4">
        <f>VALUE(SUBSTITUTE('1000_заявлений'!D946, ".", ","))</f>
        <v>0.76363990000000004</v>
      </c>
      <c r="E952" s="4">
        <f>VALUE(SUBSTITUTE('1000_заявлений'!E946, ".", ","))</f>
        <v>0.58681333000000002</v>
      </c>
      <c r="F952" s="5">
        <f>VALUE(SUBSTITUTE('1000_заявлений'!F946, ".", ","))</f>
        <v>-2120</v>
      </c>
      <c r="G952" s="5">
        <f>VALUE(SUBSTITUTE('1000_заявлений'!G946, ".", ","))</f>
        <v>-10967</v>
      </c>
      <c r="H952" s="5">
        <f>VALUE(SUBSTITUTE('1000_заявлений'!H946, ".", ","))</f>
        <v>-3541</v>
      </c>
      <c r="I952" s="4">
        <f>VALUE(SUBSTITUTE('1000_заявлений'!I946, ".", ","))</f>
        <v>0.164028571428571</v>
      </c>
      <c r="J952" s="4">
        <f>VALUE(SUBSTITUTE('1000_заявлений'!J946, ".", ","))</f>
        <v>4.2561701074659899</v>
      </c>
      <c r="K952" s="5">
        <f>VALUE(SUBSTITUTE('1000_заявлений'!K946, ".", ","))</f>
        <v>-1228</v>
      </c>
      <c r="L952" s="6">
        <f>VALUE(SUBSTITUTE('1000_заявлений'!L946, ".", ","))</f>
        <v>25834.5</v>
      </c>
      <c r="M952" s="2" t="str">
        <f>IF(Данные[[#This Row],[proba]]&gt;$C$6, "отказ", "одобрение")</f>
        <v>одобрение</v>
      </c>
      <c r="N952" s="7">
        <f>IF(Данные[[#This Row],[proba]]&lt;$D$2,$C$2,IF(Данные[[#This Row],[proba]]&lt;$D$3,$C$3,IF(Данные[[#This Row],[proba]]&gt;$C$6,0,$C$4)))</f>
        <v>100000</v>
      </c>
      <c r="O952" s="2">
        <f>IF(Данные[[#This Row],[weighted_ext_score]]&gt;$O$1,MIN(Данные[[#This Row],[Базовая сумма]]*$O$2,$C$2),IF(Данные[[#This Row],[weighted_ext_score]]&lt;$O$3,Данные[[#This Row],[Базовая сумма]]*$O$4,N952))</f>
        <v>100000</v>
      </c>
      <c r="P95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5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952" s="2">
        <f>ABS(Данные[[#This Row],[days_birth]])/365.2425</f>
        <v>30.026626145642961</v>
      </c>
      <c r="S95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952" s="2">
        <f>IF(Данные[[#This Row],[ interest_rate]]&gt;$T$1,Данные[[#This Row],[days_birth4]]*$T$2,Данные[[#This Row],[days_birth4]])</f>
        <v>84000</v>
      </c>
      <c r="U952" s="2">
        <f>IF(Данные[[#This Row],[Проверка отказа]]="отказ",0,MAX(Данные[[#This Row],[interest_rate]],$C$1))</f>
        <v>84000</v>
      </c>
      <c r="V952" s="2">
        <f>MROUND(Данные[[#This Row],[Минимум 20000]], 100)</f>
        <v>84000</v>
      </c>
    </row>
    <row r="953" spans="1:22" x14ac:dyDescent="0.25">
      <c r="A953" s="2">
        <f>'1000_заявлений'!A947</f>
        <v>945</v>
      </c>
      <c r="B953" s="4">
        <f>VALUE(SUBSTITUTE('1000_заявлений'!B947, ".", ","))</f>
        <v>0.77016118594391902</v>
      </c>
      <c r="C953" s="4">
        <f>VALUE(SUBSTITUTE('1000_заявлений'!C947, ".", ","))</f>
        <v>0.25397391445498901</v>
      </c>
      <c r="D953" s="4">
        <f>VALUE(SUBSTITUTE('1000_заявлений'!D947, ".", ","))</f>
        <v>0.12931429</v>
      </c>
      <c r="E953" s="4">
        <f>VALUE(SUBSTITUTE('1000_заявлений'!E947, ".", ","))</f>
        <v>0.30844285999999999</v>
      </c>
      <c r="F953" s="5">
        <f>VALUE(SUBSTITUTE('1000_заявлений'!F947, ".", ","))</f>
        <v>-5053</v>
      </c>
      <c r="G953" s="5">
        <f>VALUE(SUBSTITUTE('1000_заявлений'!G947, ".", ","))</f>
        <v>-14557</v>
      </c>
      <c r="H953" s="5">
        <f>VALUE(SUBSTITUTE('1000_заявлений'!H947, ".", ","))</f>
        <v>-5079</v>
      </c>
      <c r="I953" s="4">
        <f>VALUE(SUBSTITUTE('1000_заявлений'!I947, ".", ","))</f>
        <v>9.5920634920634906E-2</v>
      </c>
      <c r="J953" s="4">
        <f>VALUE(SUBSTITUTE('1000_заявлений'!J947, ".", ","))</f>
        <v>1.0780536447814799</v>
      </c>
      <c r="K953" s="5">
        <f>VALUE(SUBSTITUTE('1000_заявлений'!K947, ".", ","))</f>
        <v>-2517</v>
      </c>
      <c r="L953" s="6">
        <f>VALUE(SUBSTITUTE('1000_заявлений'!L947, ".", ","))</f>
        <v>27193.5</v>
      </c>
      <c r="M953" s="2" t="str">
        <f>IF(Данные[[#This Row],[proba]]&gt;$C$6, "отказ", "одобрение")</f>
        <v>отказ</v>
      </c>
      <c r="N953" s="7">
        <f>IF(Данные[[#This Row],[proba]]&lt;$D$2,$C$2,IF(Данные[[#This Row],[proba]]&lt;$D$3,$C$3,IF(Данные[[#This Row],[proba]]&gt;$C$6,0,$C$4)))</f>
        <v>0</v>
      </c>
      <c r="O953" s="2">
        <f>IF(Данные[[#This Row],[weighted_ext_score]]&gt;$O$1,MIN(Данные[[#This Row],[Базовая сумма]]*$O$2,$C$2),IF(Данные[[#This Row],[weighted_ext_score]]&lt;$O$3,Данные[[#This Row],[Базовая сумма]]*$O$4,N953))</f>
        <v>0</v>
      </c>
      <c r="P95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3" s="2">
        <f>ABS(Данные[[#This Row],[days_birth]])/365.2425</f>
        <v>39.855712300731703</v>
      </c>
      <c r="S95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3" s="2">
        <f>IF(Данные[[#This Row],[ interest_rate]]&gt;$T$1,Данные[[#This Row],[days_birth4]]*$T$2,Данные[[#This Row],[days_birth4]])</f>
        <v>0</v>
      </c>
      <c r="U953" s="2">
        <f>IF(Данные[[#This Row],[Проверка отказа]]="отказ",0,MAX(Данные[[#This Row],[interest_rate]],$C$1))</f>
        <v>0</v>
      </c>
      <c r="V953" s="2">
        <f>MROUND(Данные[[#This Row],[Минимум 20000]], 100)</f>
        <v>0</v>
      </c>
    </row>
    <row r="954" spans="1:22" x14ac:dyDescent="0.25">
      <c r="A954" s="2">
        <f>'1000_заявлений'!A948</f>
        <v>946</v>
      </c>
      <c r="B954" s="4">
        <f>VALUE(SUBSTITUTE('1000_заявлений'!B948, ".", ","))</f>
        <v>0.248495891674296</v>
      </c>
      <c r="C954" s="4">
        <f>VALUE(SUBSTITUTE('1000_заявлений'!C948, ".", ","))</f>
        <v>0.63916561280059503</v>
      </c>
      <c r="D954" s="4">
        <f>VALUE(SUBSTITUTE('1000_заявлений'!D948, ".", ","))</f>
        <v>0.62122630000000001</v>
      </c>
      <c r="E954" s="4">
        <f>VALUE(SUBSTITUTE('1000_заявлений'!E948, ".", ","))</f>
        <v>0.61178213000000004</v>
      </c>
      <c r="F954" s="5">
        <f>VALUE(SUBSTITUTE('1000_заявлений'!F948, ".", ","))</f>
        <v>-8410</v>
      </c>
      <c r="G954" s="5">
        <f>VALUE(SUBSTITUTE('1000_заявлений'!G948, ".", ","))</f>
        <v>-21459</v>
      </c>
      <c r="H954" s="5">
        <f>VALUE(SUBSTITUTE('1000_заявлений'!H948, ".", ","))</f>
        <v>-4119</v>
      </c>
      <c r="I954" s="4">
        <f>VALUE(SUBSTITUTE('1000_заявлений'!I948, ".", ","))</f>
        <v>0.50900000000000001</v>
      </c>
      <c r="J954" s="4">
        <f>VALUE(SUBSTITUTE('1000_заявлений'!J948, ".", ","))</f>
        <v>2.9036947910837601</v>
      </c>
      <c r="K954" s="5">
        <f>VALUE(SUBSTITUTE('1000_заявлений'!K948, ".", ","))</f>
        <v>365243</v>
      </c>
      <c r="L954" s="6">
        <f>VALUE(SUBSTITUTE('1000_заявлений'!L948, ".", ","))</f>
        <v>32067</v>
      </c>
      <c r="M954" s="2" t="str">
        <f>IF(Данные[[#This Row],[proba]]&gt;$C$6, "отказ", "одобрение")</f>
        <v>одобрение</v>
      </c>
      <c r="N954" s="7">
        <f>IF(Данные[[#This Row],[proba]]&lt;$D$2,$C$2,IF(Данные[[#This Row],[proba]]&lt;$D$3,$C$3,IF(Данные[[#This Row],[proba]]&gt;$C$6,0,$C$4)))</f>
        <v>100000</v>
      </c>
      <c r="O954" s="2">
        <f>IF(Данные[[#This Row],[weighted_ext_score]]&gt;$O$1,MIN(Данные[[#This Row],[Базовая сумма]]*$O$2,$C$2),IF(Данные[[#This Row],[weighted_ext_score]]&lt;$O$3,Данные[[#This Row],[Базовая сумма]]*$O$4,N954))</f>
        <v>100000</v>
      </c>
      <c r="P95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80000</v>
      </c>
      <c r="Q95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80000</v>
      </c>
      <c r="R954" s="2">
        <f>ABS(Данные[[#This Row],[days_birth]])/365.2425</f>
        <v>58.752746462966385</v>
      </c>
      <c r="S95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954" s="2">
        <f>IF(Данные[[#This Row],[ interest_rate]]&gt;$T$1,Данные[[#This Row],[days_birth4]]*$T$2,Данные[[#This Row],[days_birth4]])</f>
        <v>84000</v>
      </c>
      <c r="U954" s="2">
        <f>IF(Данные[[#This Row],[Проверка отказа]]="отказ",0,MAX(Данные[[#This Row],[interest_rate]],$C$1))</f>
        <v>84000</v>
      </c>
      <c r="V954" s="2">
        <f>MROUND(Данные[[#This Row],[Минимум 20000]], 100)</f>
        <v>84000</v>
      </c>
    </row>
    <row r="955" spans="1:22" x14ac:dyDescent="0.25">
      <c r="A955" s="2">
        <f>'1000_заявлений'!A949</f>
        <v>947</v>
      </c>
      <c r="B955" s="4">
        <f>VALUE(SUBSTITUTE('1000_заявлений'!B949, ".", ","))</f>
        <v>0.76167498734415195</v>
      </c>
      <c r="C955" s="4">
        <f>VALUE(SUBSTITUTE('1000_заявлений'!C949, ".", ","))</f>
        <v>0.29570091280827998</v>
      </c>
      <c r="D955" s="4">
        <f>VALUE(SUBSTITUTE('1000_заявлений'!D949, ".", ","))</f>
        <v>0.20208660000000001</v>
      </c>
      <c r="E955" s="4">
        <f>VALUE(SUBSTITUTE('1000_заявлений'!E949, ".", ","))</f>
        <v>0.36788460000000001</v>
      </c>
      <c r="F955" s="5">
        <f>VALUE(SUBSTITUTE('1000_заявлений'!F949, ".", ","))</f>
        <v>-3934</v>
      </c>
      <c r="G955" s="5">
        <f>VALUE(SUBSTITUTE('1000_заявлений'!G949, ".", ","))</f>
        <v>-9173</v>
      </c>
      <c r="H955" s="5">
        <f>VALUE(SUBSTITUTE('1000_заявлений'!H949, ".", ","))</f>
        <v>-1711</v>
      </c>
      <c r="I955" s="4">
        <f>VALUE(SUBSTITUTE('1000_заявлений'!I949, ".", ","))</f>
        <v>0.14172000000000001</v>
      </c>
      <c r="J955" s="4">
        <f>VALUE(SUBSTITUTE('1000_заявлений'!J949, ".", ","))</f>
        <v>3.5631677749233499</v>
      </c>
      <c r="K955" s="5">
        <f>VALUE(SUBSTITUTE('1000_заявлений'!K949, ".", ","))</f>
        <v>-241</v>
      </c>
      <c r="L955" s="6">
        <f>VALUE(SUBSTITUTE('1000_заявлений'!L949, ".", ","))</f>
        <v>15943.5</v>
      </c>
      <c r="M955" s="2" t="str">
        <f>IF(Данные[[#This Row],[proba]]&gt;$C$6, "отказ", "одобрение")</f>
        <v>отказ</v>
      </c>
      <c r="N955" s="7">
        <f>IF(Данные[[#This Row],[proba]]&lt;$D$2,$C$2,IF(Данные[[#This Row],[proba]]&lt;$D$3,$C$3,IF(Данные[[#This Row],[proba]]&gt;$C$6,0,$C$4)))</f>
        <v>0</v>
      </c>
      <c r="O955" s="2">
        <f>IF(Данные[[#This Row],[weighted_ext_score]]&gt;$O$1,MIN(Данные[[#This Row],[Базовая сумма]]*$O$2,$C$2),IF(Данные[[#This Row],[weighted_ext_score]]&lt;$O$3,Данные[[#This Row],[Базовая сумма]]*$O$4,N955))</f>
        <v>0</v>
      </c>
      <c r="P95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5" s="2">
        <f>ABS(Данные[[#This Row],[days_birth]])/365.2425</f>
        <v>25.11482097510558</v>
      </c>
      <c r="S95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5" s="2">
        <f>IF(Данные[[#This Row],[ interest_rate]]&gt;$T$1,Данные[[#This Row],[days_birth4]]*$T$2,Данные[[#This Row],[days_birth4]])</f>
        <v>0</v>
      </c>
      <c r="U955" s="2">
        <f>IF(Данные[[#This Row],[Проверка отказа]]="отказ",0,MAX(Данные[[#This Row],[interest_rate]],$C$1))</f>
        <v>0</v>
      </c>
      <c r="V955" s="2">
        <f>MROUND(Данные[[#This Row],[Минимум 20000]], 100)</f>
        <v>0</v>
      </c>
    </row>
    <row r="956" spans="1:22" x14ac:dyDescent="0.25">
      <c r="A956" s="2">
        <f>'1000_заявлений'!A950</f>
        <v>948</v>
      </c>
      <c r="B956" s="4">
        <f>VALUE(SUBSTITUTE('1000_заявлений'!B950, ".", ","))</f>
        <v>0.81134062607241797</v>
      </c>
      <c r="C956" s="4">
        <f>VALUE(SUBSTITUTE('1000_заявлений'!C950, ".", ","))</f>
        <v>0.15532410562412599</v>
      </c>
      <c r="D956" s="4">
        <f>VALUE(SUBSTITUTE('1000_заявлений'!D950, ".", ","))</f>
        <v>0.22133520000000001</v>
      </c>
      <c r="E956" s="4">
        <f>VALUE(SUBSTITUTE('1000_заявлений'!E950, ".", ","))</f>
        <v>0.23205961</v>
      </c>
      <c r="F956" s="5">
        <f>VALUE(SUBSTITUTE('1000_заявлений'!F950, ".", ","))</f>
        <v>-3982</v>
      </c>
      <c r="G956" s="5">
        <f>VALUE(SUBSTITUTE('1000_заявлений'!G950, ".", ","))</f>
        <v>-15965</v>
      </c>
      <c r="H956" s="5">
        <f>VALUE(SUBSTITUTE('1000_заявлений'!H950, ".", ","))</f>
        <v>-3987</v>
      </c>
      <c r="I956" s="4">
        <f>VALUE(SUBSTITUTE('1000_заявлений'!I950, ".", ","))</f>
        <v>0.24051428571428499</v>
      </c>
      <c r="J956" s="4">
        <f>VALUE(SUBSTITUTE('1000_заявлений'!J950, ".", ","))</f>
        <v>1.9522972394078399</v>
      </c>
      <c r="K956" s="5">
        <f>VALUE(SUBSTITUTE('1000_заявлений'!K950, ".", ","))</f>
        <v>-4008</v>
      </c>
      <c r="L956" s="6">
        <f>VALUE(SUBSTITUTE('1000_заявлений'!L950, ".", ","))</f>
        <v>37881</v>
      </c>
      <c r="M956" s="2" t="str">
        <f>IF(Данные[[#This Row],[proba]]&gt;$C$6, "отказ", "одобрение")</f>
        <v>отказ</v>
      </c>
      <c r="N956" s="7">
        <f>IF(Данные[[#This Row],[proba]]&lt;$D$2,$C$2,IF(Данные[[#This Row],[proba]]&lt;$D$3,$C$3,IF(Данные[[#This Row],[proba]]&gt;$C$6,0,$C$4)))</f>
        <v>0</v>
      </c>
      <c r="O956" s="2">
        <f>IF(Данные[[#This Row],[weighted_ext_score]]&gt;$O$1,MIN(Данные[[#This Row],[Базовая сумма]]*$O$2,$C$2),IF(Данные[[#This Row],[weighted_ext_score]]&lt;$O$3,Данные[[#This Row],[Базовая сумма]]*$O$4,N956))</f>
        <v>0</v>
      </c>
      <c r="P95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6" s="2">
        <f>ABS(Данные[[#This Row],[days_birth]])/365.2425</f>
        <v>43.710685366571525</v>
      </c>
      <c r="S95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6" s="2">
        <f>IF(Данные[[#This Row],[ interest_rate]]&gt;$T$1,Данные[[#This Row],[days_birth4]]*$T$2,Данные[[#This Row],[days_birth4]])</f>
        <v>0</v>
      </c>
      <c r="U956" s="2">
        <f>IF(Данные[[#This Row],[Проверка отказа]]="отказ",0,MAX(Данные[[#This Row],[interest_rate]],$C$1))</f>
        <v>0</v>
      </c>
      <c r="V956" s="2">
        <f>MROUND(Данные[[#This Row],[Минимум 20000]], 100)</f>
        <v>0</v>
      </c>
    </row>
    <row r="957" spans="1:22" x14ac:dyDescent="0.25">
      <c r="A957" s="2">
        <f>'1000_заявлений'!A951</f>
        <v>949</v>
      </c>
      <c r="B957" s="4">
        <f>VALUE(SUBSTITUTE('1000_заявлений'!B951, ".", ","))</f>
        <v>0.571389326533145</v>
      </c>
      <c r="C957" s="4">
        <f>VALUE(SUBSTITUTE('1000_заявлений'!C951, ".", ","))</f>
        <v>0.42994955612486602</v>
      </c>
      <c r="D957" s="4">
        <f>VALUE(SUBSTITUTE('1000_заявлений'!D951, ".", ","))</f>
        <v>0.16146308000000001</v>
      </c>
      <c r="E957" s="4">
        <f>VALUE(SUBSTITUTE('1000_заявлений'!E951, ".", ","))</f>
        <v>0.63584346000000003</v>
      </c>
      <c r="F957" s="5">
        <f>VALUE(SUBSTITUTE('1000_заявлений'!F951, ".", ","))</f>
        <v>-4132</v>
      </c>
      <c r="G957" s="5">
        <f>VALUE(SUBSTITUTE('1000_заявлений'!G951, ".", ","))</f>
        <v>-18035</v>
      </c>
      <c r="H957" s="5">
        <f>VALUE(SUBSTITUTE('1000_заявлений'!H951, ".", ","))</f>
        <v>-1017</v>
      </c>
      <c r="I957" s="4">
        <f>VALUE(SUBSTITUTE('1000_заявлений'!I951, ".", ","))</f>
        <v>0.14371111111111101</v>
      </c>
      <c r="J957" s="4">
        <f>VALUE(SUBSTITUTE('1000_заявлений'!J951, ".", ","))</f>
        <v>3.7601691226670302</v>
      </c>
      <c r="K957" s="5">
        <f>VALUE(SUBSTITUTE('1000_заявлений'!K951, ".", ","))</f>
        <v>-2026</v>
      </c>
      <c r="L957" s="6">
        <f>VALUE(SUBSTITUTE('1000_заявлений'!L951, ".", ","))</f>
        <v>29101.5</v>
      </c>
      <c r="M957" s="2" t="str">
        <f>IF(Данные[[#This Row],[proba]]&gt;$C$6, "отказ", "одобрение")</f>
        <v>отказ</v>
      </c>
      <c r="N957" s="7">
        <f>IF(Данные[[#This Row],[proba]]&lt;$D$2,$C$2,IF(Данные[[#This Row],[proba]]&lt;$D$3,$C$3,IF(Данные[[#This Row],[proba]]&gt;$C$6,0,$C$4)))</f>
        <v>0</v>
      </c>
      <c r="O957" s="2">
        <f>IF(Данные[[#This Row],[weighted_ext_score]]&gt;$O$1,MIN(Данные[[#This Row],[Базовая сумма]]*$O$2,$C$2),IF(Данные[[#This Row],[weighted_ext_score]]&lt;$O$3,Данные[[#This Row],[Базовая сумма]]*$O$4,N957))</f>
        <v>0</v>
      </c>
      <c r="P95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7" s="2">
        <f>ABS(Данные[[#This Row],[days_birth]])/365.2425</f>
        <v>49.378152871037734</v>
      </c>
      <c r="S95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7" s="2">
        <f>IF(Данные[[#This Row],[ interest_rate]]&gt;$T$1,Данные[[#This Row],[days_birth4]]*$T$2,Данные[[#This Row],[days_birth4]])</f>
        <v>0</v>
      </c>
      <c r="U957" s="2">
        <f>IF(Данные[[#This Row],[Проверка отказа]]="отказ",0,MAX(Данные[[#This Row],[interest_rate]],$C$1))</f>
        <v>0</v>
      </c>
      <c r="V957" s="2">
        <f>MROUND(Данные[[#This Row],[Минимум 20000]], 100)</f>
        <v>0</v>
      </c>
    </row>
    <row r="958" spans="1:22" x14ac:dyDescent="0.25">
      <c r="A958" s="2">
        <f>'1000_заявлений'!A952</f>
        <v>950</v>
      </c>
      <c r="B958" s="4">
        <f>VALUE(SUBSTITUTE('1000_заявлений'!B952, ".", ","))</f>
        <v>0.734143425038845</v>
      </c>
      <c r="C958" s="4">
        <f>VALUE(SUBSTITUTE('1000_заявлений'!C952, ".", ","))</f>
        <v>0.17897833967770699</v>
      </c>
      <c r="D958" s="4">
        <f>VALUE(SUBSTITUTE('1000_заявлений'!D952, ".", ","))</f>
        <v>5.2726525000000005E-4</v>
      </c>
      <c r="E958" s="4">
        <f>VALUE(SUBSTITUTE('1000_заявлений'!E952, ".", ","))</f>
        <v>0.55117260000000001</v>
      </c>
      <c r="F958" s="5">
        <f>VALUE(SUBSTITUTE('1000_заявлений'!F952, ".", ","))</f>
        <v>-771</v>
      </c>
      <c r="G958" s="5">
        <f>VALUE(SUBSTITUTE('1000_заявлений'!G952, ".", ","))</f>
        <v>-18915</v>
      </c>
      <c r="H958" s="5">
        <f>VALUE(SUBSTITUTE('1000_заявлений'!H952, ".", ","))</f>
        <v>-2470</v>
      </c>
      <c r="I958" s="4">
        <f>VALUE(SUBSTITUTE('1000_заявлений'!I952, ".", ","))</f>
        <v>0.18755714285714201</v>
      </c>
      <c r="J958" s="4">
        <f>VALUE(SUBSTITUTE('1000_заявлений'!J952, ".", ","))</f>
        <v>11.877728931461</v>
      </c>
      <c r="K958" s="5">
        <f>VALUE(SUBSTITUTE('1000_заявлений'!K952, ".", ","))</f>
        <v>-993</v>
      </c>
      <c r="L958" s="6">
        <f>VALUE(SUBSTITUTE('1000_заявлений'!L952, ".", ","))</f>
        <v>59080.5</v>
      </c>
      <c r="M958" s="2" t="str">
        <f>IF(Данные[[#This Row],[proba]]&gt;$C$6, "отказ", "одобрение")</f>
        <v>отказ</v>
      </c>
      <c r="N958" s="7">
        <f>IF(Данные[[#This Row],[proba]]&lt;$D$2,$C$2,IF(Данные[[#This Row],[proba]]&lt;$D$3,$C$3,IF(Данные[[#This Row],[proba]]&gt;$C$6,0,$C$4)))</f>
        <v>0</v>
      </c>
      <c r="O958" s="2">
        <f>IF(Данные[[#This Row],[weighted_ext_score]]&gt;$O$1,MIN(Данные[[#This Row],[Базовая сумма]]*$O$2,$C$2),IF(Данные[[#This Row],[weighted_ext_score]]&lt;$O$3,Данные[[#This Row],[Базовая сумма]]*$O$4,N958))</f>
        <v>0</v>
      </c>
      <c r="P95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5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58" s="2">
        <f>ABS(Данные[[#This Row],[days_birth]])/365.2425</f>
        <v>51.78751103718762</v>
      </c>
      <c r="S95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58" s="2">
        <f>IF(Данные[[#This Row],[ interest_rate]]&gt;$T$1,Данные[[#This Row],[days_birth4]]*$T$2,Данные[[#This Row],[days_birth4]])</f>
        <v>0</v>
      </c>
      <c r="U958" s="2">
        <f>IF(Данные[[#This Row],[Проверка отказа]]="отказ",0,MAX(Данные[[#This Row],[interest_rate]],$C$1))</f>
        <v>0</v>
      </c>
      <c r="V958" s="2">
        <f>MROUND(Данные[[#This Row],[Минимум 20000]], 100)</f>
        <v>0</v>
      </c>
    </row>
    <row r="959" spans="1:22" x14ac:dyDescent="0.25">
      <c r="A959" s="2">
        <f>'1000_заявлений'!A953</f>
        <v>951</v>
      </c>
      <c r="B959" s="4">
        <f>VALUE(SUBSTITUTE('1000_заявлений'!B953, ".", ","))</f>
        <v>0.16438259549742301</v>
      </c>
      <c r="C959" s="4">
        <f>VALUE(SUBSTITUTE('1000_заявлений'!C953, ".", ","))</f>
        <v>0.68717968949959196</v>
      </c>
      <c r="D959" s="4">
        <f>VALUE(SUBSTITUTE('1000_заявлений'!D953, ".", ","))</f>
        <v>0.69409262999999999</v>
      </c>
      <c r="E959" s="4">
        <f>VALUE(SUBSTITUTE('1000_заявлений'!E953, ".", ","))</f>
        <v>0.54920815999999995</v>
      </c>
      <c r="F959" s="5">
        <f>VALUE(SUBSTITUTE('1000_заявлений'!F953, ".", ","))</f>
        <v>-6797</v>
      </c>
      <c r="G959" s="5">
        <f>VALUE(SUBSTITUTE('1000_заявлений'!G953, ".", ","))</f>
        <v>-20544</v>
      </c>
      <c r="H959" s="5">
        <f>VALUE(SUBSTITUTE('1000_заявлений'!H953, ".", ","))</f>
        <v>-3881</v>
      </c>
      <c r="I959" s="4">
        <f>VALUE(SUBSTITUTE('1000_заявлений'!I953, ".", ","))</f>
        <v>0.14663636363636301</v>
      </c>
      <c r="J959" s="4">
        <f>VALUE(SUBSTITUTE('1000_заявлений'!J953, ".", ","))</f>
        <v>10.887460851049999</v>
      </c>
      <c r="K959" s="5">
        <f>VALUE(SUBSTITUTE('1000_заявлений'!K953, ".", ","))</f>
        <v>-4159</v>
      </c>
      <c r="L959" s="6">
        <f>VALUE(SUBSTITUTE('1000_заявлений'!L953, ".", ","))</f>
        <v>36292.5</v>
      </c>
      <c r="M959" s="2" t="str">
        <f>IF(Данные[[#This Row],[proba]]&gt;$C$6, "отказ", "одобрение")</f>
        <v>одобрение</v>
      </c>
      <c r="N959" s="7">
        <f>IF(Данные[[#This Row],[proba]]&lt;$D$2,$C$2,IF(Данные[[#This Row],[proba]]&lt;$D$3,$C$3,IF(Данные[[#This Row],[proba]]&gt;$C$6,0,$C$4)))</f>
        <v>300000</v>
      </c>
      <c r="O959" s="2">
        <f>IF(Данные[[#This Row],[weighted_ext_score]]&gt;$O$1,MIN(Данные[[#This Row],[Базовая сумма]]*$O$2,$C$2),IF(Данные[[#This Row],[weighted_ext_score]]&lt;$O$3,Данные[[#This Row],[Базовая сумма]]*$O$4,N959))</f>
        <v>300000</v>
      </c>
      <c r="P95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95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959" s="2">
        <f>ABS(Данные[[#This Row],[days_birth]])/365.2425</f>
        <v>56.247561551571899</v>
      </c>
      <c r="S95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959" s="2">
        <f>IF(Данные[[#This Row],[ interest_rate]]&gt;$T$1,Данные[[#This Row],[days_birth4]]*$T$2,Данные[[#This Row],[days_birth4]])</f>
        <v>453600</v>
      </c>
      <c r="U959" s="2">
        <f>IF(Данные[[#This Row],[Проверка отказа]]="отказ",0,MAX(Данные[[#This Row],[interest_rate]],$C$1))</f>
        <v>453600</v>
      </c>
      <c r="V959" s="2">
        <f>MROUND(Данные[[#This Row],[Минимум 20000]], 100)</f>
        <v>453600</v>
      </c>
    </row>
    <row r="960" spans="1:22" x14ac:dyDescent="0.25">
      <c r="A960" s="2">
        <f>'1000_заявлений'!A954</f>
        <v>952</v>
      </c>
      <c r="B960" s="4">
        <f>VALUE(SUBSTITUTE('1000_заявлений'!B954, ".", ","))</f>
        <v>0.77741765152329501</v>
      </c>
      <c r="C960" s="4">
        <f>VALUE(SUBSTITUTE('1000_заявлений'!C954, ".", ","))</f>
        <v>7.1142771043498001E-3</v>
      </c>
      <c r="D960" s="4">
        <f>VALUE(SUBSTITUTE('1000_заявлений'!D954, ".", ","))</f>
        <v>0.53527623000000002</v>
      </c>
      <c r="E960" s="4">
        <f>VALUE(SUBSTITUTE('1000_заявлений'!E954, ".", ","))</f>
        <v>2.1932133999999999E-2</v>
      </c>
      <c r="F960" s="5">
        <f>VALUE(SUBSTITUTE('1000_заявлений'!F954, ".", ","))</f>
        <v>-5797</v>
      </c>
      <c r="G960" s="5">
        <f>VALUE(SUBSTITUTE('1000_заявлений'!G954, ".", ","))</f>
        <v>-14001</v>
      </c>
      <c r="H960" s="5">
        <f>VALUE(SUBSTITUTE('1000_заявлений'!H954, ".", ","))</f>
        <v>-2598</v>
      </c>
      <c r="I960" s="4">
        <f>VALUE(SUBSTITUTE('1000_заявлений'!I954, ".", ","))</f>
        <v>0.107142857142857</v>
      </c>
      <c r="J960" s="4">
        <f>VALUE(SUBSTITUTE('1000_заявлений'!J954, ".", ","))</f>
        <v>10.6209759779781</v>
      </c>
      <c r="K960" s="5">
        <f>VALUE(SUBSTITUTE('1000_заявлений'!K954, ".", ","))</f>
        <v>-284</v>
      </c>
      <c r="L960" s="6">
        <f>VALUE(SUBSTITUTE('1000_заявлений'!L954, ".", ","))</f>
        <v>6750</v>
      </c>
      <c r="M960" s="2" t="str">
        <f>IF(Данные[[#This Row],[proba]]&gt;$C$6, "отказ", "одобрение")</f>
        <v>отказ</v>
      </c>
      <c r="N960" s="7">
        <f>IF(Данные[[#This Row],[proba]]&lt;$D$2,$C$2,IF(Данные[[#This Row],[proba]]&lt;$D$3,$C$3,IF(Данные[[#This Row],[proba]]&gt;$C$6,0,$C$4)))</f>
        <v>0</v>
      </c>
      <c r="O960" s="2">
        <f>IF(Данные[[#This Row],[weighted_ext_score]]&gt;$O$1,MIN(Данные[[#This Row],[Базовая сумма]]*$O$2,$C$2),IF(Данные[[#This Row],[weighted_ext_score]]&lt;$O$3,Данные[[#This Row],[Базовая сумма]]*$O$4,N960))</f>
        <v>0</v>
      </c>
      <c r="P96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0" s="2">
        <f>ABS(Данные[[#This Row],[days_birth]])/365.2425</f>
        <v>38.333436004846092</v>
      </c>
      <c r="S96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0" s="2">
        <f>IF(Данные[[#This Row],[ interest_rate]]&gt;$T$1,Данные[[#This Row],[days_birth4]]*$T$2,Данные[[#This Row],[days_birth4]])</f>
        <v>0</v>
      </c>
      <c r="U960" s="2">
        <f>IF(Данные[[#This Row],[Проверка отказа]]="отказ",0,MAX(Данные[[#This Row],[interest_rate]],$C$1))</f>
        <v>0</v>
      </c>
      <c r="V960" s="2">
        <f>MROUND(Данные[[#This Row],[Минимум 20000]], 100)</f>
        <v>0</v>
      </c>
    </row>
    <row r="961" spans="1:22" x14ac:dyDescent="0.25">
      <c r="A961" s="2">
        <f>'1000_заявлений'!A955</f>
        <v>953</v>
      </c>
      <c r="B961" s="4">
        <f>VALUE(SUBSTITUTE('1000_заявлений'!B955, ".", ","))</f>
        <v>0.215085313860887</v>
      </c>
      <c r="C961" s="4">
        <f>VALUE(SUBSTITUTE('1000_заявлений'!C955, ".", ","))</f>
        <v>0.48430158085704</v>
      </c>
      <c r="D961" s="4">
        <f>VALUE(SUBSTITUTE('1000_заявлений'!D955, ".", ","))</f>
        <v>0.80274546000000002</v>
      </c>
      <c r="E961" s="4">
        <f>VALUE(SUBSTITUTE('1000_заявлений'!E955, ".", ","))</f>
        <v>0.59799619999999998</v>
      </c>
      <c r="F961" s="5">
        <f>VALUE(SUBSTITUTE('1000_заявлений'!F955, ".", ","))</f>
        <v>-4060</v>
      </c>
      <c r="G961" s="5">
        <f>VALUE(SUBSTITUTE('1000_заявлений'!G955, ".", ","))</f>
        <v>-16133</v>
      </c>
      <c r="H961" s="5">
        <f>VALUE(SUBSTITUTE('1000_заявлений'!H955, ".", ","))</f>
        <v>-4690</v>
      </c>
      <c r="I961" s="4">
        <f>VALUE(SUBSTITUTE('1000_заявлений'!I955, ".", ","))</f>
        <v>0.14485555555555499</v>
      </c>
      <c r="J961" s="4">
        <f>VALUE(SUBSTITUTE('1000_заявлений'!J955, ".", ","))</f>
        <v>1.30820115200311</v>
      </c>
      <c r="K961" s="5">
        <f>VALUE(SUBSTITUTE('1000_заявлений'!K955, ".", ","))</f>
        <v>-3904</v>
      </c>
      <c r="L961" s="6">
        <f>VALUE(SUBSTITUTE('1000_заявлений'!L955, ".", ","))</f>
        <v>58666.5</v>
      </c>
      <c r="M961" s="2" t="str">
        <f>IF(Данные[[#This Row],[proba]]&gt;$C$6, "отказ", "одобрение")</f>
        <v>одобрение</v>
      </c>
      <c r="N961" s="7">
        <f>IF(Данные[[#This Row],[proba]]&lt;$D$2,$C$2,IF(Данные[[#This Row],[proba]]&lt;$D$3,$C$3,IF(Данные[[#This Row],[proba]]&gt;$C$6,0,$C$4)))</f>
        <v>100000</v>
      </c>
      <c r="O961" s="2">
        <f>IF(Данные[[#This Row],[weighted_ext_score]]&gt;$O$1,MIN(Данные[[#This Row],[Базовая сумма]]*$O$2,$C$2),IF(Данные[[#This Row],[weighted_ext_score]]&lt;$O$3,Данные[[#This Row],[Базовая сумма]]*$O$4,N961))</f>
        <v>100000</v>
      </c>
      <c r="P96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6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61" s="2">
        <f>ABS(Данные[[#This Row],[days_birth]])/365.2425</f>
        <v>44.170653743745596</v>
      </c>
      <c r="S96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961" s="2">
        <f>IF(Данные[[#This Row],[ interest_rate]]&gt;$T$1,Данные[[#This Row],[days_birth4]]*$T$2,Данные[[#This Row],[days_birth4]])</f>
        <v>144000</v>
      </c>
      <c r="U961" s="2">
        <f>IF(Данные[[#This Row],[Проверка отказа]]="отказ",0,MAX(Данные[[#This Row],[interest_rate]],$C$1))</f>
        <v>144000</v>
      </c>
      <c r="V961" s="2">
        <f>MROUND(Данные[[#This Row],[Минимум 20000]], 100)</f>
        <v>144000</v>
      </c>
    </row>
    <row r="962" spans="1:22" x14ac:dyDescent="0.25">
      <c r="A962" s="2">
        <f>'1000_заявлений'!A956</f>
        <v>954</v>
      </c>
      <c r="B962" s="4">
        <f>VALUE(SUBSTITUTE('1000_заявлений'!B956, ".", ","))</f>
        <v>0.19365350438288401</v>
      </c>
      <c r="C962" s="4">
        <f>VALUE(SUBSTITUTE('1000_заявлений'!C956, ".", ","))</f>
        <v>0.47508620558873399</v>
      </c>
      <c r="D962" s="4">
        <f>VALUE(SUBSTITUTE('1000_заявлений'!D956, ".", ","))</f>
        <v>0.76623370000000002</v>
      </c>
      <c r="E962" s="4">
        <f>VALUE(SUBSTITUTE('1000_заявлений'!E956, ".", ","))</f>
        <v>0.6102957</v>
      </c>
      <c r="F962" s="5">
        <f>VALUE(SUBSTITUTE('1000_заявлений'!F956, ".", ","))</f>
        <v>-12965</v>
      </c>
      <c r="G962" s="5">
        <f>VALUE(SUBSTITUTE('1000_заявлений'!G956, ".", ","))</f>
        <v>-19729</v>
      </c>
      <c r="H962" s="5">
        <f>VALUE(SUBSTITUTE('1000_заявлений'!H956, ".", ","))</f>
        <v>-3252</v>
      </c>
      <c r="I962" s="4">
        <f>VALUE(SUBSTITUTE('1000_заявлений'!I956, ".", ","))</f>
        <v>0.125</v>
      </c>
      <c r="J962" s="4">
        <f>VALUE(SUBSTITUTE('1000_заявлений'!J956, ".", ","))</f>
        <v>10.6209759779781</v>
      </c>
      <c r="K962" s="5">
        <f>VALUE(SUBSTITUTE('1000_заявлений'!K956, ".", ","))</f>
        <v>-2447</v>
      </c>
      <c r="L962" s="6">
        <f>VALUE(SUBSTITUTE('1000_заявлений'!L956, ".", ","))</f>
        <v>16875</v>
      </c>
      <c r="M962" s="2" t="str">
        <f>IF(Данные[[#This Row],[proba]]&gt;$C$6, "отказ", "одобрение")</f>
        <v>одобрение</v>
      </c>
      <c r="N962" s="7">
        <f>IF(Данные[[#This Row],[proba]]&lt;$D$2,$C$2,IF(Данные[[#This Row],[proba]]&lt;$D$3,$C$3,IF(Данные[[#This Row],[proba]]&gt;$C$6,0,$C$4)))</f>
        <v>300000</v>
      </c>
      <c r="O962" s="2">
        <f>IF(Данные[[#This Row],[weighted_ext_score]]&gt;$O$1,MIN(Данные[[#This Row],[Базовая сумма]]*$O$2,$C$2),IF(Данные[[#This Row],[weighted_ext_score]]&lt;$O$3,Данные[[#This Row],[Базовая сумма]]*$O$4,N962))</f>
        <v>300000</v>
      </c>
      <c r="P96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96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432000</v>
      </c>
      <c r="R962" s="2">
        <f>ABS(Данные[[#This Row],[days_birth]])/365.2425</f>
        <v>54.016167340876265</v>
      </c>
      <c r="S96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453600</v>
      </c>
      <c r="T962" s="2">
        <f>IF(Данные[[#This Row],[ interest_rate]]&gt;$T$1,Данные[[#This Row],[days_birth4]]*$T$2,Данные[[#This Row],[days_birth4]])</f>
        <v>453600</v>
      </c>
      <c r="U962" s="2">
        <f>IF(Данные[[#This Row],[Проверка отказа]]="отказ",0,MAX(Данные[[#This Row],[interest_rate]],$C$1))</f>
        <v>453600</v>
      </c>
      <c r="V962" s="2">
        <f>MROUND(Данные[[#This Row],[Минимум 20000]], 100)</f>
        <v>453600</v>
      </c>
    </row>
    <row r="963" spans="1:22" x14ac:dyDescent="0.25">
      <c r="A963" s="2">
        <f>'1000_заявлений'!A957</f>
        <v>955</v>
      </c>
      <c r="B963" s="4">
        <f>VALUE(SUBSTITUTE('1000_заявлений'!B957, ".", ","))</f>
        <v>0.29690139377290697</v>
      </c>
      <c r="C963" s="4">
        <f>VALUE(SUBSTITUTE('1000_заявлений'!C957, ".", ","))</f>
        <v>0.56962794782489001</v>
      </c>
      <c r="D963" s="4">
        <f>VALUE(SUBSTITUTE('1000_заявлений'!D957, ".", ","))</f>
        <v>0.70018387000000004</v>
      </c>
      <c r="E963" s="4">
        <f>VALUE(SUBSTITUTE('1000_заявлений'!E957, ".", ","))</f>
        <v>0.56957303999999997</v>
      </c>
      <c r="F963" s="5">
        <f>VALUE(SUBSTITUTE('1000_заявлений'!F957, ".", ","))</f>
        <v>-2032</v>
      </c>
      <c r="G963" s="5">
        <f>VALUE(SUBSTITUTE('1000_заявлений'!G957, ".", ","))</f>
        <v>-12893</v>
      </c>
      <c r="H963" s="5">
        <f>VALUE(SUBSTITUTE('1000_заявлений'!H957, ".", ","))</f>
        <v>-671</v>
      </c>
      <c r="I963" s="4">
        <f>VALUE(SUBSTITUTE('1000_заявлений'!I957, ".", ","))</f>
        <v>0.19017999999999999</v>
      </c>
      <c r="J963" s="4">
        <f>VALUE(SUBSTITUTE('1000_заявлений'!J957, ".", ","))</f>
        <v>1.91687481425315</v>
      </c>
      <c r="K963" s="5">
        <f>VALUE(SUBSTITUTE('1000_заявлений'!K957, ".", ","))</f>
        <v>-878</v>
      </c>
      <c r="L963" s="6">
        <f>VALUE(SUBSTITUTE('1000_заявлений'!L957, ".", ","))</f>
        <v>42790.5</v>
      </c>
      <c r="M963" s="2" t="str">
        <f>IF(Данные[[#This Row],[proba]]&gt;$C$6, "отказ", "одобрение")</f>
        <v>одобрение</v>
      </c>
      <c r="N963" s="7">
        <f>IF(Данные[[#This Row],[proba]]&lt;$D$2,$C$2,IF(Данные[[#This Row],[proba]]&lt;$D$3,$C$3,IF(Данные[[#This Row],[proba]]&gt;$C$6,0,$C$4)))</f>
        <v>100000</v>
      </c>
      <c r="O963" s="2">
        <f>IF(Данные[[#This Row],[weighted_ext_score]]&gt;$O$1,MIN(Данные[[#This Row],[Базовая сумма]]*$O$2,$C$2),IF(Данные[[#This Row],[weighted_ext_score]]&lt;$O$3,Данные[[#This Row],[Базовая сумма]]*$O$4,N963))</f>
        <v>100000</v>
      </c>
      <c r="P96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6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963" s="2">
        <f>ABS(Данные[[#This Row],[days_birth]])/365.2425</f>
        <v>35.299835041102831</v>
      </c>
      <c r="S96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963" s="2">
        <f>IF(Данные[[#This Row],[ interest_rate]]&gt;$T$1,Данные[[#This Row],[days_birth4]]*$T$2,Данные[[#This Row],[days_birth4]])</f>
        <v>84000</v>
      </c>
      <c r="U963" s="2">
        <f>IF(Данные[[#This Row],[Проверка отказа]]="отказ",0,MAX(Данные[[#This Row],[interest_rate]],$C$1))</f>
        <v>84000</v>
      </c>
      <c r="V963" s="2">
        <f>MROUND(Данные[[#This Row],[Минимум 20000]], 100)</f>
        <v>84000</v>
      </c>
    </row>
    <row r="964" spans="1:22" x14ac:dyDescent="0.25">
      <c r="A964" s="2">
        <f>'1000_заявлений'!A958</f>
        <v>956</v>
      </c>
      <c r="B964" s="4">
        <f>VALUE(SUBSTITUTE('1000_заявлений'!B958, ".", ","))</f>
        <v>0.74643126705979501</v>
      </c>
      <c r="C964" s="4">
        <f>VALUE(SUBSTITUTE('1000_заявлений'!C958, ".", ","))</f>
        <v>0.211141109279359</v>
      </c>
      <c r="D964" s="4">
        <f>VALUE(SUBSTITUTE('1000_заявлений'!D958, ".", ","))</f>
        <v>0.18520207999999999</v>
      </c>
      <c r="E964" s="4">
        <f>VALUE(SUBSTITUTE('1000_заявлений'!E958, ".", ","))</f>
        <v>0.44442095999999998</v>
      </c>
      <c r="F964" s="5">
        <f>VALUE(SUBSTITUTE('1000_заявлений'!F958, ".", ","))</f>
        <v>-5596</v>
      </c>
      <c r="G964" s="5">
        <f>VALUE(SUBSTITUTE('1000_заявлений'!G958, ".", ","))</f>
        <v>-14244</v>
      </c>
      <c r="H964" s="5">
        <f>VALUE(SUBSTITUTE('1000_заявлений'!H958, ".", ","))</f>
        <v>-4798</v>
      </c>
      <c r="I964" s="4">
        <f>VALUE(SUBSTITUTE('1000_заявлений'!I958, ".", ","))</f>
        <v>0.25551428571428503</v>
      </c>
      <c r="J964" s="4">
        <f>VALUE(SUBSTITUTE('1000_заявлений'!J958, ".", ","))</f>
        <v>1.93991024355859</v>
      </c>
      <c r="K964" s="5">
        <f>VALUE(SUBSTITUTE('1000_заявлений'!K958, ".", ","))</f>
        <v>-2410</v>
      </c>
      <c r="L964" s="6">
        <f>VALUE(SUBSTITUTE('1000_заявлений'!L958, ".", ","))</f>
        <v>40243.5</v>
      </c>
      <c r="M964" s="2" t="str">
        <f>IF(Данные[[#This Row],[proba]]&gt;$C$6, "отказ", "одобрение")</f>
        <v>отказ</v>
      </c>
      <c r="N964" s="7">
        <f>IF(Данные[[#This Row],[proba]]&lt;$D$2,$C$2,IF(Данные[[#This Row],[proba]]&lt;$D$3,$C$3,IF(Данные[[#This Row],[proba]]&gt;$C$6,0,$C$4)))</f>
        <v>0</v>
      </c>
      <c r="O964" s="2">
        <f>IF(Данные[[#This Row],[weighted_ext_score]]&gt;$O$1,MIN(Данные[[#This Row],[Базовая сумма]]*$O$2,$C$2),IF(Данные[[#This Row],[weighted_ext_score]]&lt;$O$3,Данные[[#This Row],[Базовая сумма]]*$O$4,N964))</f>
        <v>0</v>
      </c>
      <c r="P96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4" s="2">
        <f>ABS(Данные[[#This Row],[days_birth]])/365.2425</f>
        <v>38.9987474075443</v>
      </c>
      <c r="S96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4" s="2">
        <f>IF(Данные[[#This Row],[ interest_rate]]&gt;$T$1,Данные[[#This Row],[days_birth4]]*$T$2,Данные[[#This Row],[days_birth4]])</f>
        <v>0</v>
      </c>
      <c r="U964" s="2">
        <f>IF(Данные[[#This Row],[Проверка отказа]]="отказ",0,MAX(Данные[[#This Row],[interest_rate]],$C$1))</f>
        <v>0</v>
      </c>
      <c r="V964" s="2">
        <f>MROUND(Данные[[#This Row],[Минимум 20000]], 100)</f>
        <v>0</v>
      </c>
    </row>
    <row r="965" spans="1:22" x14ac:dyDescent="0.25">
      <c r="A965" s="2">
        <f>'1000_заявлений'!A959</f>
        <v>957</v>
      </c>
      <c r="B965" s="4">
        <f>VALUE(SUBSTITUTE('1000_заявлений'!B959, ".", ","))</f>
        <v>0.420244435526197</v>
      </c>
      <c r="C965" s="4">
        <f>VALUE(SUBSTITUTE('1000_заявлений'!C959, ".", ","))</f>
        <v>0.33757375053048699</v>
      </c>
      <c r="D965" s="4">
        <f>VALUE(SUBSTITUTE('1000_заявлений'!D959, ".", ","))</f>
        <v>0.54423474999999999</v>
      </c>
      <c r="E965" s="4">
        <f>VALUE(SUBSTITUTE('1000_заявлений'!E959, ".", ","))</f>
        <v>0.43388650000000001</v>
      </c>
      <c r="F965" s="5">
        <f>VALUE(SUBSTITUTE('1000_заявлений'!F959, ".", ","))</f>
        <v>-10389</v>
      </c>
      <c r="G965" s="5">
        <f>VALUE(SUBSTITUTE('1000_заявлений'!G959, ".", ","))</f>
        <v>-22190</v>
      </c>
      <c r="H965" s="5">
        <f>VALUE(SUBSTITUTE('1000_заявлений'!H959, ".", ","))</f>
        <v>-4911</v>
      </c>
      <c r="I965" s="4">
        <f>VALUE(SUBSTITUTE('1000_заявлений'!I959, ".", ","))</f>
        <v>0.30249999999999999</v>
      </c>
      <c r="J965" s="4">
        <f>VALUE(SUBSTITUTE('1000_заявлений'!J959, ".", ","))</f>
        <v>2.7681660652494502</v>
      </c>
      <c r="K965" s="5">
        <f>VALUE(SUBSTITUTE('1000_заявлений'!K959, ".", ","))</f>
        <v>365243</v>
      </c>
      <c r="L965" s="6">
        <f>VALUE(SUBSTITUTE('1000_заявлений'!L959, ".", ","))</f>
        <v>29947.5</v>
      </c>
      <c r="M965" s="2" t="str">
        <f>IF(Данные[[#This Row],[proba]]&gt;$C$6, "отказ", "одобрение")</f>
        <v>отказ</v>
      </c>
      <c r="N965" s="7">
        <f>IF(Данные[[#This Row],[proba]]&lt;$D$2,$C$2,IF(Данные[[#This Row],[proba]]&lt;$D$3,$C$3,IF(Данные[[#This Row],[proba]]&gt;$C$6,0,$C$4)))</f>
        <v>0</v>
      </c>
      <c r="O965" s="2">
        <f>IF(Данные[[#This Row],[weighted_ext_score]]&gt;$O$1,MIN(Данные[[#This Row],[Базовая сумма]]*$O$2,$C$2),IF(Данные[[#This Row],[weighted_ext_score]]&lt;$O$3,Данные[[#This Row],[Базовая сумма]]*$O$4,N965))</f>
        <v>0</v>
      </c>
      <c r="P96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5" s="2">
        <f>ABS(Данные[[#This Row],[days_birth]])/365.2425</f>
        <v>60.754156485074986</v>
      </c>
      <c r="S96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5" s="2">
        <f>IF(Данные[[#This Row],[ interest_rate]]&gt;$T$1,Данные[[#This Row],[days_birth4]]*$T$2,Данные[[#This Row],[days_birth4]])</f>
        <v>0</v>
      </c>
      <c r="U965" s="2">
        <f>IF(Данные[[#This Row],[Проверка отказа]]="отказ",0,MAX(Данные[[#This Row],[interest_rate]],$C$1))</f>
        <v>0</v>
      </c>
      <c r="V965" s="2">
        <f>MROUND(Данные[[#This Row],[Минимум 20000]], 100)</f>
        <v>0</v>
      </c>
    </row>
    <row r="966" spans="1:22" x14ac:dyDescent="0.25">
      <c r="A966" s="2">
        <f>'1000_заявлений'!A960</f>
        <v>958</v>
      </c>
      <c r="B966" s="4">
        <f>VALUE(SUBSTITUTE('1000_заявлений'!B960, ".", ","))</f>
        <v>0.20783752542667899</v>
      </c>
      <c r="C966" s="4">
        <f>VALUE(SUBSTITUTE('1000_заявлений'!C960, ".", ","))</f>
        <v>0.67631748614876197</v>
      </c>
      <c r="D966" s="4">
        <f>VALUE(SUBSTITUTE('1000_заявлений'!D960, ".", ","))</f>
        <v>0.73662269999999996</v>
      </c>
      <c r="E966" s="4">
        <f>VALUE(SUBSTITUTE('1000_заявлений'!E960, ".", ","))</f>
        <v>0.67754689999999995</v>
      </c>
      <c r="F966" s="5">
        <f>VALUE(SUBSTITUTE('1000_заявлений'!F960, ".", ","))</f>
        <v>-417</v>
      </c>
      <c r="G966" s="5">
        <f>VALUE(SUBSTITUTE('1000_заявлений'!G960, ".", ","))</f>
        <v>-18503</v>
      </c>
      <c r="H966" s="5">
        <f>VALUE(SUBSTITUTE('1000_заявлений'!H960, ".", ","))</f>
        <v>-2055</v>
      </c>
      <c r="I966" s="4">
        <f>VALUE(SUBSTITUTE('1000_заявлений'!I960, ".", ","))</f>
        <v>0.35313333333333302</v>
      </c>
      <c r="J966" s="4">
        <f>VALUE(SUBSTITUTE('1000_заявлений'!J960, ".", ","))</f>
        <v>4.9836780855953604</v>
      </c>
      <c r="K966" s="5">
        <f>VALUE(SUBSTITUTE('1000_заявлений'!K960, ".", ","))</f>
        <v>-368</v>
      </c>
      <c r="L966" s="6">
        <f>VALUE(SUBSTITUTE('1000_заявлений'!L960, ".", ","))</f>
        <v>23836.5</v>
      </c>
      <c r="M966" s="2" t="str">
        <f>IF(Данные[[#This Row],[proba]]&gt;$C$6, "отказ", "одобрение")</f>
        <v>одобрение</v>
      </c>
      <c r="N966" s="7">
        <f>IF(Данные[[#This Row],[proba]]&lt;$D$2,$C$2,IF(Данные[[#This Row],[proba]]&lt;$D$3,$C$3,IF(Данные[[#This Row],[proba]]&gt;$C$6,0,$C$4)))</f>
        <v>100000</v>
      </c>
      <c r="O966" s="2">
        <f>IF(Данные[[#This Row],[weighted_ext_score]]&gt;$O$1,MIN(Данные[[#This Row],[Базовая сумма]]*$O$2,$C$2),IF(Данные[[#This Row],[weighted_ext_score]]&lt;$O$3,Данные[[#This Row],[Базовая сумма]]*$O$4,N966))</f>
        <v>100000</v>
      </c>
      <c r="P96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100000</v>
      </c>
      <c r="Q96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70000</v>
      </c>
      <c r="R966" s="2">
        <f>ABS(Данные[[#This Row],[days_birth]])/365.2425</f>
        <v>50.659493350308352</v>
      </c>
      <c r="S96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73500</v>
      </c>
      <c r="T966" s="2">
        <f>IF(Данные[[#This Row],[ interest_rate]]&gt;$T$1,Данные[[#This Row],[days_birth4]]*$T$2,Данные[[#This Row],[days_birth4]])</f>
        <v>73500</v>
      </c>
      <c r="U966" s="2">
        <f>IF(Данные[[#This Row],[Проверка отказа]]="отказ",0,MAX(Данные[[#This Row],[interest_rate]],$C$1))</f>
        <v>73500</v>
      </c>
      <c r="V966" s="2">
        <f>MROUND(Данные[[#This Row],[Минимум 20000]], 100)</f>
        <v>73500</v>
      </c>
    </row>
    <row r="967" spans="1:22" x14ac:dyDescent="0.25">
      <c r="A967" s="2">
        <f>'1000_заявлений'!A961</f>
        <v>959</v>
      </c>
      <c r="B967" s="4">
        <f>VALUE(SUBSTITUTE('1000_заявлений'!B961, ".", ","))</f>
        <v>0.35604292500766099</v>
      </c>
      <c r="C967" s="4">
        <f>VALUE(SUBSTITUTE('1000_заявлений'!C961, ".", ","))</f>
        <v>0.412036310395481</v>
      </c>
      <c r="D967" s="4">
        <f>VALUE(SUBSTITUTE('1000_заявлений'!D961, ".", ","))</f>
        <v>0.52089759999999996</v>
      </c>
      <c r="E967" s="4">
        <f>VALUE(SUBSTITUTE('1000_заявлений'!E961, ".", ","))</f>
        <v>0.68946207000000004</v>
      </c>
      <c r="F967" s="5">
        <f>VALUE(SUBSTITUTE('1000_заявлений'!F961, ".", ","))</f>
        <v>-4152</v>
      </c>
      <c r="G967" s="5">
        <f>VALUE(SUBSTITUTE('1000_заявлений'!G961, ".", ","))</f>
        <v>-19736</v>
      </c>
      <c r="H967" s="5">
        <f>VALUE(SUBSTITUTE('1000_заявлений'!H961, ".", ","))</f>
        <v>-3253</v>
      </c>
      <c r="I967" s="4">
        <f>VALUE(SUBSTITUTE('1000_заявлений'!I961, ".", ","))</f>
        <v>0.17924000000000001</v>
      </c>
      <c r="J967" s="4">
        <f>VALUE(SUBSTITUTE('1000_заявлений'!J961, ".", ","))</f>
        <v>2.7673168070462899</v>
      </c>
      <c r="K967" s="5">
        <f>VALUE(SUBSTITUTE('1000_заявлений'!K961, ".", ","))</f>
        <v>-1665</v>
      </c>
      <c r="L967" s="6">
        <f>VALUE(SUBSTITUTE('1000_заявлений'!L961, ".", ","))</f>
        <v>20164.5</v>
      </c>
      <c r="M967" s="2" t="str">
        <f>IF(Данные[[#This Row],[proba]]&gt;$C$6, "отказ", "одобрение")</f>
        <v>отказ</v>
      </c>
      <c r="N967" s="7">
        <f>IF(Данные[[#This Row],[proba]]&lt;$D$2,$C$2,IF(Данные[[#This Row],[proba]]&lt;$D$3,$C$3,IF(Данные[[#This Row],[proba]]&gt;$C$6,0,$C$4)))</f>
        <v>0</v>
      </c>
      <c r="O967" s="2">
        <f>IF(Данные[[#This Row],[weighted_ext_score]]&gt;$O$1,MIN(Данные[[#This Row],[Базовая сумма]]*$O$2,$C$2),IF(Данные[[#This Row],[weighted_ext_score]]&lt;$O$3,Данные[[#This Row],[Базовая сумма]]*$O$4,N967))</f>
        <v>0</v>
      </c>
      <c r="P96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7" s="2">
        <f>ABS(Данные[[#This Row],[days_birth]])/365.2425</f>
        <v>54.035332689925184</v>
      </c>
      <c r="S96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7" s="2">
        <f>IF(Данные[[#This Row],[ interest_rate]]&gt;$T$1,Данные[[#This Row],[days_birth4]]*$T$2,Данные[[#This Row],[days_birth4]])</f>
        <v>0</v>
      </c>
      <c r="U967" s="2">
        <f>IF(Данные[[#This Row],[Проверка отказа]]="отказ",0,MAX(Данные[[#This Row],[interest_rate]],$C$1))</f>
        <v>0</v>
      </c>
      <c r="V967" s="2">
        <f>MROUND(Данные[[#This Row],[Минимум 20000]], 100)</f>
        <v>0</v>
      </c>
    </row>
    <row r="968" spans="1:22" x14ac:dyDescent="0.25">
      <c r="A968" s="2">
        <f>'1000_заявлений'!A962</f>
        <v>960</v>
      </c>
      <c r="B968" s="4">
        <f>VALUE(SUBSTITUTE('1000_заявлений'!B962, ".", ","))</f>
        <v>0.52745300399445905</v>
      </c>
      <c r="C968" s="4">
        <f>VALUE(SUBSTITUTE('1000_заявлений'!C962, ".", ","))</f>
        <v>0.42227550492062499</v>
      </c>
      <c r="D968" s="4">
        <f>VALUE(SUBSTITUTE('1000_заявлений'!D962, ".", ","))</f>
        <v>0.22508686999999999</v>
      </c>
      <c r="E968" s="4">
        <f>VALUE(SUBSTITUTE('1000_заявлений'!E962, ".", ","))</f>
        <v>0.51668614000000002</v>
      </c>
      <c r="F968" s="5">
        <f>VALUE(SUBSTITUTE('1000_заявлений'!F962, ".", ","))</f>
        <v>-658</v>
      </c>
      <c r="G968" s="5">
        <f>VALUE(SUBSTITUTE('1000_заявлений'!G962, ".", ","))</f>
        <v>-17370</v>
      </c>
      <c r="H968" s="5">
        <f>VALUE(SUBSTITUTE('1000_заявлений'!H962, ".", ","))</f>
        <v>-669</v>
      </c>
      <c r="I968" s="4">
        <f>VALUE(SUBSTITUTE('1000_заявлений'!I962, ".", ","))</f>
        <v>0.13186666666666599</v>
      </c>
      <c r="J968" s="4">
        <f>VALUE(SUBSTITUTE('1000_заявлений'!J962, ".", ","))</f>
        <v>18.591808020228498</v>
      </c>
      <c r="K968" s="5">
        <f>VALUE(SUBSTITUTE('1000_заявлений'!K962, ".", ","))</f>
        <v>-1336</v>
      </c>
      <c r="L968" s="6">
        <f>VALUE(SUBSTITUTE('1000_заявлений'!L962, ".", ","))</f>
        <v>17802</v>
      </c>
      <c r="M968" s="2" t="str">
        <f>IF(Данные[[#This Row],[proba]]&gt;$C$6, "отказ", "одобрение")</f>
        <v>отказ</v>
      </c>
      <c r="N968" s="7">
        <f>IF(Данные[[#This Row],[proba]]&lt;$D$2,$C$2,IF(Данные[[#This Row],[proba]]&lt;$D$3,$C$3,IF(Данные[[#This Row],[proba]]&gt;$C$6,0,$C$4)))</f>
        <v>0</v>
      </c>
      <c r="O968" s="2">
        <f>IF(Данные[[#This Row],[weighted_ext_score]]&gt;$O$1,MIN(Данные[[#This Row],[Базовая сумма]]*$O$2,$C$2),IF(Данные[[#This Row],[weighted_ext_score]]&lt;$O$3,Данные[[#This Row],[Базовая сумма]]*$O$4,N968))</f>
        <v>0</v>
      </c>
      <c r="P96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6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68" s="2">
        <f>ABS(Данные[[#This Row],[days_birth]])/365.2425</f>
        <v>47.557444711390374</v>
      </c>
      <c r="S96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68" s="2">
        <f>IF(Данные[[#This Row],[ interest_rate]]&gt;$T$1,Данные[[#This Row],[days_birth4]]*$T$2,Данные[[#This Row],[days_birth4]])</f>
        <v>0</v>
      </c>
      <c r="U968" s="2">
        <f>IF(Данные[[#This Row],[Проверка отказа]]="отказ",0,MAX(Данные[[#This Row],[interest_rate]],$C$1))</f>
        <v>0</v>
      </c>
      <c r="V968" s="2">
        <f>MROUND(Данные[[#This Row],[Минимум 20000]], 100)</f>
        <v>0</v>
      </c>
    </row>
    <row r="969" spans="1:22" x14ac:dyDescent="0.25">
      <c r="A969" s="2">
        <f>'1000_заявлений'!A963</f>
        <v>961</v>
      </c>
      <c r="B969" s="4">
        <f>VALUE(SUBSTITUTE('1000_заявлений'!B963, ".", ","))</f>
        <v>0.28833164380792597</v>
      </c>
      <c r="C969" s="4">
        <f>VALUE(SUBSTITUTE('1000_заявлений'!C963, ".", ","))</f>
        <v>0.58931327199824501</v>
      </c>
      <c r="D969" s="4">
        <f>VALUE(SUBSTITUTE('1000_заявлений'!D963, ".", ","))</f>
        <v>0.49566581999999998</v>
      </c>
      <c r="E969" s="4">
        <f>VALUE(SUBSTITUTE('1000_заявлений'!E963, ".", ","))</f>
        <v>0.65568850000000001</v>
      </c>
      <c r="F969" s="5">
        <f>VALUE(SUBSTITUTE('1000_заявлений'!F963, ".", ","))</f>
        <v>-6215</v>
      </c>
      <c r="G969" s="5">
        <f>VALUE(SUBSTITUTE('1000_заявлений'!G963, ".", ","))</f>
        <v>-12285</v>
      </c>
      <c r="H969" s="5">
        <f>VALUE(SUBSTITUTE('1000_заявлений'!H963, ".", ","))</f>
        <v>-4398</v>
      </c>
      <c r="I969" s="4">
        <f>VALUE(SUBSTITUTE('1000_заявлений'!I963, ".", ","))</f>
        <v>0.12404999999999999</v>
      </c>
      <c r="J969" s="4">
        <f>VALUE(SUBSTITUTE('1000_заявлений'!J963, ".", ","))</f>
        <v>8.4818147335443896</v>
      </c>
      <c r="K969" s="5">
        <f>VALUE(SUBSTITUTE('1000_заявлений'!K963, ".", ","))</f>
        <v>-3347</v>
      </c>
      <c r="L969" s="6">
        <f>VALUE(SUBSTITUTE('1000_заявлений'!L963, ".", ","))</f>
        <v>22329</v>
      </c>
      <c r="M969" s="2" t="str">
        <f>IF(Данные[[#This Row],[proba]]&gt;$C$6, "отказ", "одобрение")</f>
        <v>одобрение</v>
      </c>
      <c r="N969" s="7">
        <f>IF(Данные[[#This Row],[proba]]&lt;$D$2,$C$2,IF(Данные[[#This Row],[proba]]&lt;$D$3,$C$3,IF(Данные[[#This Row],[proba]]&gt;$C$6,0,$C$4)))</f>
        <v>100000</v>
      </c>
      <c r="O969" s="2">
        <f>IF(Данные[[#This Row],[weighted_ext_score]]&gt;$O$1,MIN(Данные[[#This Row],[Базовая сумма]]*$O$2,$C$2),IF(Данные[[#This Row],[weighted_ext_score]]&lt;$O$3,Данные[[#This Row],[Базовая сумма]]*$O$4,N969))</f>
        <v>100000</v>
      </c>
      <c r="P96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6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69" s="2">
        <f>ABS(Данные[[#This Row],[days_birth]])/365.2425</f>
        <v>33.635187580853817</v>
      </c>
      <c r="S96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969" s="2">
        <f>IF(Данные[[#This Row],[ interest_rate]]&gt;$T$1,Данные[[#This Row],[days_birth4]]*$T$2,Данные[[#This Row],[days_birth4]])</f>
        <v>144000</v>
      </c>
      <c r="U969" s="2">
        <f>IF(Данные[[#This Row],[Проверка отказа]]="отказ",0,MAX(Данные[[#This Row],[interest_rate]],$C$1))</f>
        <v>144000</v>
      </c>
      <c r="V969" s="2">
        <f>MROUND(Данные[[#This Row],[Минимум 20000]], 100)</f>
        <v>144000</v>
      </c>
    </row>
    <row r="970" spans="1:22" x14ac:dyDescent="0.25">
      <c r="A970" s="2">
        <f>'1000_заявлений'!A964</f>
        <v>962</v>
      </c>
      <c r="B970" s="4">
        <f>VALUE(SUBSTITUTE('1000_заявлений'!B964, ".", ","))</f>
        <v>0.74466533651810096</v>
      </c>
      <c r="C970" s="4">
        <f>VALUE(SUBSTITUTE('1000_заявлений'!C964, ".", ","))</f>
        <v>0.18595038938839301</v>
      </c>
      <c r="D970" s="4">
        <f>VALUE(SUBSTITUTE('1000_заявлений'!D964, ".", ","))</f>
        <v>0.34252887999999998</v>
      </c>
      <c r="E970" s="4">
        <f>VALUE(SUBSTITUTE('1000_заявлений'!E964, ".", ","))</f>
        <v>0.19134984999999999</v>
      </c>
      <c r="F970" s="5">
        <f>VALUE(SUBSTITUTE('1000_заявлений'!F964, ".", ","))</f>
        <v>-3684</v>
      </c>
      <c r="G970" s="5">
        <f>VALUE(SUBSTITUTE('1000_заявлений'!G964, ".", ","))</f>
        <v>-15768</v>
      </c>
      <c r="H970" s="5">
        <f>VALUE(SUBSTITUTE('1000_заявлений'!H964, ".", ","))</f>
        <v>-5119</v>
      </c>
      <c r="I970" s="4">
        <f>VALUE(SUBSTITUTE('1000_заявлений'!I964, ".", ","))</f>
        <v>0.14548</v>
      </c>
      <c r="J970" s="4">
        <f>VALUE(SUBSTITUTE('1000_заявлений'!J964, ".", ","))</f>
        <v>2.0097603072646701</v>
      </c>
      <c r="K970" s="5">
        <f>VALUE(SUBSTITUTE('1000_заявлений'!K964, ".", ","))</f>
        <v>-3988</v>
      </c>
      <c r="L970" s="6">
        <f>VALUE(SUBSTITUTE('1000_заявлений'!L964, ".", ","))</f>
        <v>32733</v>
      </c>
      <c r="M970" s="2" t="str">
        <f>IF(Данные[[#This Row],[proba]]&gt;$C$6, "отказ", "одобрение")</f>
        <v>отказ</v>
      </c>
      <c r="N970" s="7">
        <f>IF(Данные[[#This Row],[proba]]&lt;$D$2,$C$2,IF(Данные[[#This Row],[proba]]&lt;$D$3,$C$3,IF(Данные[[#This Row],[proba]]&gt;$C$6,0,$C$4)))</f>
        <v>0</v>
      </c>
      <c r="O970" s="2">
        <f>IF(Данные[[#This Row],[weighted_ext_score]]&gt;$O$1,MIN(Данные[[#This Row],[Базовая сумма]]*$O$2,$C$2),IF(Данные[[#This Row],[weighted_ext_score]]&lt;$O$3,Данные[[#This Row],[Базовая сумма]]*$O$4,N970))</f>
        <v>0</v>
      </c>
      <c r="P97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0" s="2">
        <f>ABS(Данные[[#This Row],[days_birth]])/365.2425</f>
        <v>43.17131768619479</v>
      </c>
      <c r="S97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0" s="2">
        <f>IF(Данные[[#This Row],[ interest_rate]]&gt;$T$1,Данные[[#This Row],[days_birth4]]*$T$2,Данные[[#This Row],[days_birth4]])</f>
        <v>0</v>
      </c>
      <c r="U970" s="2">
        <f>IF(Данные[[#This Row],[Проверка отказа]]="отказ",0,MAX(Данные[[#This Row],[interest_rate]],$C$1))</f>
        <v>0</v>
      </c>
      <c r="V970" s="2">
        <f>MROUND(Данные[[#This Row],[Минимум 20000]], 100)</f>
        <v>0</v>
      </c>
    </row>
    <row r="971" spans="1:22" x14ac:dyDescent="0.25">
      <c r="A971" s="2">
        <f>'1000_заявлений'!A965</f>
        <v>963</v>
      </c>
      <c r="B971" s="4">
        <f>VALUE(SUBSTITUTE('1000_заявлений'!B965, ".", ","))</f>
        <v>0.63066214654698205</v>
      </c>
      <c r="C971" s="4">
        <f>VALUE(SUBSTITUTE('1000_заявлений'!C965, ".", ","))</f>
        <v>0.28170314986283101</v>
      </c>
      <c r="D971" s="4">
        <f>VALUE(SUBSTITUTE('1000_заявлений'!D965, ".", ","))</f>
        <v>0.26504942999999997</v>
      </c>
      <c r="E971" s="4">
        <f>VALUE(SUBSTITUTE('1000_заявлений'!E965, ".", ","))</f>
        <v>0.57292580000000004</v>
      </c>
      <c r="F971" s="5">
        <f>VALUE(SUBSTITUTE('1000_заявлений'!F965, ".", ","))</f>
        <v>-5169</v>
      </c>
      <c r="G971" s="5">
        <f>VALUE(SUBSTITUTE('1000_заявлений'!G965, ".", ","))</f>
        <v>-11370</v>
      </c>
      <c r="H971" s="5">
        <f>VALUE(SUBSTITUTE('1000_заявлений'!H965, ".", ","))</f>
        <v>-3847</v>
      </c>
      <c r="I971" s="4">
        <f>VALUE(SUBSTITUTE('1000_заявлений'!I965, ".", ","))</f>
        <v>0.10636</v>
      </c>
      <c r="J971" s="4">
        <f>VALUE(SUBSTITUTE('1000_заявлений'!J965, ".", ","))</f>
        <v>1.9277550027685999</v>
      </c>
      <c r="K971" s="5">
        <f>VALUE(SUBSTITUTE('1000_заявлений'!K965, ".", ","))</f>
        <v>-1188</v>
      </c>
      <c r="L971" s="6">
        <f>VALUE(SUBSTITUTE('1000_заявлений'!L965, ".", ","))</f>
        <v>23931</v>
      </c>
      <c r="M971" s="2" t="str">
        <f>IF(Данные[[#This Row],[proba]]&gt;$C$6, "отказ", "одобрение")</f>
        <v>отказ</v>
      </c>
      <c r="N971" s="7">
        <f>IF(Данные[[#This Row],[proba]]&lt;$D$2,$C$2,IF(Данные[[#This Row],[proba]]&lt;$D$3,$C$3,IF(Данные[[#This Row],[proba]]&gt;$C$6,0,$C$4)))</f>
        <v>0</v>
      </c>
      <c r="O971" s="2">
        <f>IF(Данные[[#This Row],[weighted_ext_score]]&gt;$O$1,MIN(Данные[[#This Row],[Базовая сумма]]*$O$2,$C$2),IF(Данные[[#This Row],[weighted_ext_score]]&lt;$O$3,Данные[[#This Row],[Базовая сумма]]*$O$4,N971))</f>
        <v>0</v>
      </c>
      <c r="P97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1" s="2">
        <f>ABS(Данные[[#This Row],[days_birth]])/365.2425</f>
        <v>31.13000266945933</v>
      </c>
      <c r="S97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1" s="2">
        <f>IF(Данные[[#This Row],[ interest_rate]]&gt;$T$1,Данные[[#This Row],[days_birth4]]*$T$2,Данные[[#This Row],[days_birth4]])</f>
        <v>0</v>
      </c>
      <c r="U971" s="2">
        <f>IF(Данные[[#This Row],[Проверка отказа]]="отказ",0,MAX(Данные[[#This Row],[interest_rate]],$C$1))</f>
        <v>0</v>
      </c>
      <c r="V971" s="2">
        <f>MROUND(Данные[[#This Row],[Минимум 20000]], 100)</f>
        <v>0</v>
      </c>
    </row>
    <row r="972" spans="1:22" x14ac:dyDescent="0.25">
      <c r="A972" s="2">
        <f>'1000_заявлений'!A966</f>
        <v>964</v>
      </c>
      <c r="B972" s="4">
        <f>VALUE(SUBSTITUTE('1000_заявлений'!B966, ".", ","))</f>
        <v>0.67581457335157302</v>
      </c>
      <c r="C972" s="4">
        <f>VALUE(SUBSTITUTE('1000_заявлений'!C966, ".", ","))</f>
        <v>0.26924038916217202</v>
      </c>
      <c r="D972" s="4">
        <f>VALUE(SUBSTITUTE('1000_заявлений'!D966, ".", ","))</f>
        <v>0.51008949999999997</v>
      </c>
      <c r="E972" s="4">
        <f>VALUE(SUBSTITUTE('1000_заявлений'!E966, ".", ","))</f>
        <v>0.13960338</v>
      </c>
      <c r="F972" s="5">
        <f>VALUE(SUBSTITUTE('1000_заявлений'!F966, ".", ","))</f>
        <v>-6748</v>
      </c>
      <c r="G972" s="5">
        <f>VALUE(SUBSTITUTE('1000_заявлений'!G966, ".", ","))</f>
        <v>-10874</v>
      </c>
      <c r="H972" s="5">
        <f>VALUE(SUBSTITUTE('1000_заявлений'!H966, ".", ","))</f>
        <v>-722</v>
      </c>
      <c r="I972" s="4">
        <f>VALUE(SUBSTITUTE('1000_заявлений'!I966, ".", ","))</f>
        <v>6.4285714285714196E-2</v>
      </c>
      <c r="J972" s="4">
        <f>VALUE(SUBSTITUTE('1000_заявлений'!J966, ".", ","))</f>
        <v>5.8519687623644598</v>
      </c>
      <c r="K972" s="5">
        <f>VALUE(SUBSTITUTE('1000_заявлений'!K966, ".", ","))</f>
        <v>-634</v>
      </c>
      <c r="L972" s="6">
        <f>VALUE(SUBSTITUTE('1000_заявлений'!L966, ".", ","))</f>
        <v>20250</v>
      </c>
      <c r="M972" s="2" t="str">
        <f>IF(Данные[[#This Row],[proba]]&gt;$C$6, "отказ", "одобрение")</f>
        <v>отказ</v>
      </c>
      <c r="N972" s="7">
        <f>IF(Данные[[#This Row],[proba]]&lt;$D$2,$C$2,IF(Данные[[#This Row],[proba]]&lt;$D$3,$C$3,IF(Данные[[#This Row],[proba]]&gt;$C$6,0,$C$4)))</f>
        <v>0</v>
      </c>
      <c r="O972" s="2">
        <f>IF(Данные[[#This Row],[weighted_ext_score]]&gt;$O$1,MIN(Данные[[#This Row],[Базовая сумма]]*$O$2,$C$2),IF(Данные[[#This Row],[weighted_ext_score]]&lt;$O$3,Данные[[#This Row],[Базовая сумма]]*$O$4,N972))</f>
        <v>0</v>
      </c>
      <c r="P97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2" s="2">
        <f>ABS(Данные[[#This Row],[days_birth]])/365.2425</f>
        <v>29.77200079399303</v>
      </c>
      <c r="S97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2" s="2">
        <f>IF(Данные[[#This Row],[ interest_rate]]&gt;$T$1,Данные[[#This Row],[days_birth4]]*$T$2,Данные[[#This Row],[days_birth4]])</f>
        <v>0</v>
      </c>
      <c r="U972" s="2">
        <f>IF(Данные[[#This Row],[Проверка отказа]]="отказ",0,MAX(Данные[[#This Row],[interest_rate]],$C$1))</f>
        <v>0</v>
      </c>
      <c r="V972" s="2">
        <f>MROUND(Данные[[#This Row],[Минимум 20000]], 100)</f>
        <v>0</v>
      </c>
    </row>
    <row r="973" spans="1:22" x14ac:dyDescent="0.25">
      <c r="A973" s="2">
        <f>'1000_заявлений'!A967</f>
        <v>965</v>
      </c>
      <c r="B973" s="4">
        <f>VALUE(SUBSTITUTE('1000_заявлений'!B967, ".", ","))</f>
        <v>0.51107623019982495</v>
      </c>
      <c r="C973" s="4">
        <f>VALUE(SUBSTITUTE('1000_заявлений'!C967, ".", ","))</f>
        <v>0.42225861442884399</v>
      </c>
      <c r="D973" s="4">
        <f>VALUE(SUBSTITUTE('1000_заявлений'!D967, ".", ","))</f>
        <v>0.48665314999999998</v>
      </c>
      <c r="E973" s="4">
        <f>VALUE(SUBSTITUTE('1000_заявлений'!E967, ".", ","))</f>
        <v>0.42092025</v>
      </c>
      <c r="F973" s="5">
        <f>VALUE(SUBSTITUTE('1000_заявлений'!F967, ".", ","))</f>
        <v>-353</v>
      </c>
      <c r="G973" s="5">
        <f>VALUE(SUBSTITUTE('1000_заявлений'!G967, ".", ","))</f>
        <v>-11136</v>
      </c>
      <c r="H973" s="5">
        <f>VALUE(SUBSTITUTE('1000_заявлений'!H967, ".", ","))</f>
        <v>-2882</v>
      </c>
      <c r="I973" s="4">
        <f>VALUE(SUBSTITUTE('1000_заявлений'!I967, ".", ","))</f>
        <v>8.6973333333333305E-2</v>
      </c>
      <c r="J973" s="4">
        <f>VALUE(SUBSTITUTE('1000_заявлений'!J967, ".", ","))</f>
        <v>2.5680250504988602</v>
      </c>
      <c r="K973" s="5">
        <f>VALUE(SUBSTITUTE('1000_заявлений'!K967, ".", ","))</f>
        <v>-1654</v>
      </c>
      <c r="L973" s="6">
        <f>VALUE(SUBSTITUTE('1000_заявлений'!L967, ".", ","))</f>
        <v>29353.5</v>
      </c>
      <c r="M973" s="2" t="str">
        <f>IF(Данные[[#This Row],[proba]]&gt;$C$6, "отказ", "одобрение")</f>
        <v>отказ</v>
      </c>
      <c r="N973" s="7">
        <f>IF(Данные[[#This Row],[proba]]&lt;$D$2,$C$2,IF(Данные[[#This Row],[proba]]&lt;$D$3,$C$3,IF(Данные[[#This Row],[proba]]&gt;$C$6,0,$C$4)))</f>
        <v>0</v>
      </c>
      <c r="O973" s="2">
        <f>IF(Данные[[#This Row],[weighted_ext_score]]&gt;$O$1,MIN(Данные[[#This Row],[Базовая сумма]]*$O$2,$C$2),IF(Данные[[#This Row],[weighted_ext_score]]&lt;$O$3,Данные[[#This Row],[Базовая сумма]]*$O$4,N973))</f>
        <v>0</v>
      </c>
      <c r="P97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3" s="2">
        <f>ABS(Данные[[#This Row],[days_birth]])/365.2425</f>
        <v>30.489332429824021</v>
      </c>
      <c r="S97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3" s="2">
        <f>IF(Данные[[#This Row],[ interest_rate]]&gt;$T$1,Данные[[#This Row],[days_birth4]]*$T$2,Данные[[#This Row],[days_birth4]])</f>
        <v>0</v>
      </c>
      <c r="U973" s="2">
        <f>IF(Данные[[#This Row],[Проверка отказа]]="отказ",0,MAX(Данные[[#This Row],[interest_rate]],$C$1))</f>
        <v>0</v>
      </c>
      <c r="V973" s="2">
        <f>MROUND(Данные[[#This Row],[Минимум 20000]], 100)</f>
        <v>0</v>
      </c>
    </row>
    <row r="974" spans="1:22" x14ac:dyDescent="0.25">
      <c r="A974" s="2">
        <f>'1000_заявлений'!A968</f>
        <v>966</v>
      </c>
      <c r="B974" s="4">
        <f>VALUE(SUBSTITUTE('1000_заявлений'!B968, ".", ","))</f>
        <v>0.77414755979234695</v>
      </c>
      <c r="C974" s="4">
        <f>VALUE(SUBSTITUTE('1000_заявлений'!C968, ".", ","))</f>
        <v>4.4607626754800699E-2</v>
      </c>
      <c r="D974" s="4">
        <f>VALUE(SUBSTITUTE('1000_заявлений'!D968, ".", ","))</f>
        <v>0.53527623000000002</v>
      </c>
      <c r="E974" s="4">
        <f>VALUE(SUBSTITUTE('1000_заявлений'!E968, ".", ","))</f>
        <v>0.1375179</v>
      </c>
      <c r="F974" s="5">
        <f>VALUE(SUBSTITUTE('1000_заявлений'!F968, ".", ","))</f>
        <v>0</v>
      </c>
      <c r="G974" s="5">
        <f>VALUE(SUBSTITUTE('1000_заявлений'!G968, ".", ","))</f>
        <v>-12590</v>
      </c>
      <c r="H974" s="5">
        <f>VALUE(SUBSTITUTE('1000_заявлений'!H968, ".", ","))</f>
        <v>-4002</v>
      </c>
      <c r="I974" s="4">
        <f>VALUE(SUBSTITUTE('1000_заявлений'!I968, ".", ","))</f>
        <v>0.183611111111111</v>
      </c>
      <c r="J974" s="4">
        <f>VALUE(SUBSTITUTE('1000_заявлений'!J968, ".", ","))</f>
        <v>3.6173841833722902</v>
      </c>
      <c r="K974" s="5">
        <f>VALUE(SUBSTITUTE('1000_заявлений'!K968, ".", ","))</f>
        <v>-117</v>
      </c>
      <c r="L974" s="6">
        <f>VALUE(SUBSTITUTE('1000_заявлений'!L968, ".", ","))</f>
        <v>14872.5</v>
      </c>
      <c r="M974" s="2" t="str">
        <f>IF(Данные[[#This Row],[proba]]&gt;$C$6, "отказ", "одобрение")</f>
        <v>отказ</v>
      </c>
      <c r="N974" s="7">
        <f>IF(Данные[[#This Row],[proba]]&lt;$D$2,$C$2,IF(Данные[[#This Row],[proba]]&lt;$D$3,$C$3,IF(Данные[[#This Row],[proba]]&gt;$C$6,0,$C$4)))</f>
        <v>0</v>
      </c>
      <c r="O974" s="2">
        <f>IF(Данные[[#This Row],[weighted_ext_score]]&gt;$O$1,MIN(Данные[[#This Row],[Базовая сумма]]*$O$2,$C$2),IF(Данные[[#This Row],[weighted_ext_score]]&lt;$O$3,Данные[[#This Row],[Базовая сумма]]*$O$4,N974))</f>
        <v>0</v>
      </c>
      <c r="P97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4" s="2">
        <f>ABS(Данные[[#This Row],[days_birth]])/365.2425</f>
        <v>34.470249217985312</v>
      </c>
      <c r="S97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4" s="2">
        <f>IF(Данные[[#This Row],[ interest_rate]]&gt;$T$1,Данные[[#This Row],[days_birth4]]*$T$2,Данные[[#This Row],[days_birth4]])</f>
        <v>0</v>
      </c>
      <c r="U974" s="2">
        <f>IF(Данные[[#This Row],[Проверка отказа]]="отказ",0,MAX(Данные[[#This Row],[interest_rate]],$C$1))</f>
        <v>0</v>
      </c>
      <c r="V974" s="2">
        <f>MROUND(Данные[[#This Row],[Минимум 20000]], 100)</f>
        <v>0</v>
      </c>
    </row>
    <row r="975" spans="1:22" x14ac:dyDescent="0.25">
      <c r="A975" s="2">
        <f>'1000_заявлений'!A969</f>
        <v>967</v>
      </c>
      <c r="B975" s="4">
        <f>VALUE(SUBSTITUTE('1000_заявлений'!B969, ".", ","))</f>
        <v>0.53741759765721198</v>
      </c>
      <c r="C975" s="4">
        <f>VALUE(SUBSTITUTE('1000_заявлений'!C969, ".", ","))</f>
        <v>0.31033269235965699</v>
      </c>
      <c r="D975" s="4">
        <f>VALUE(SUBSTITUTE('1000_заявлений'!D969, ".", ","))</f>
        <v>0.57091652999999998</v>
      </c>
      <c r="E975" s="4">
        <f>VALUE(SUBSTITUTE('1000_заявлений'!E969, ".", ","))</f>
        <v>0.32015786000000002</v>
      </c>
      <c r="F975" s="5">
        <f>VALUE(SUBSTITUTE('1000_заявлений'!F969, ".", ","))</f>
        <v>-10571</v>
      </c>
      <c r="G975" s="5">
        <f>VALUE(SUBSTITUTE('1000_заявлений'!G969, ".", ","))</f>
        <v>-18027</v>
      </c>
      <c r="H975" s="5">
        <f>VALUE(SUBSTITUTE('1000_заявлений'!H969, ".", ","))</f>
        <v>-1500</v>
      </c>
      <c r="I975" s="4">
        <f>VALUE(SUBSTITUTE('1000_заявлений'!I969, ".", ","))</f>
        <v>0.21128571428571399</v>
      </c>
      <c r="J975" s="4">
        <f>VALUE(SUBSTITUTE('1000_заявлений'!J969, ".", ","))</f>
        <v>2.7750950317010799</v>
      </c>
      <c r="K975" s="5">
        <f>VALUE(SUBSTITUTE('1000_заявлений'!K969, ".", ","))</f>
        <v>-199</v>
      </c>
      <c r="L975" s="6">
        <f>VALUE(SUBSTITUTE('1000_заявлений'!L969, ".", ","))</f>
        <v>39933</v>
      </c>
      <c r="M975" s="2" t="str">
        <f>IF(Данные[[#This Row],[proba]]&gt;$C$6, "отказ", "одобрение")</f>
        <v>отказ</v>
      </c>
      <c r="N975" s="7">
        <f>IF(Данные[[#This Row],[proba]]&lt;$D$2,$C$2,IF(Данные[[#This Row],[proba]]&lt;$D$3,$C$3,IF(Данные[[#This Row],[proba]]&gt;$C$6,0,$C$4)))</f>
        <v>0</v>
      </c>
      <c r="O975" s="2">
        <f>IF(Данные[[#This Row],[weighted_ext_score]]&gt;$O$1,MIN(Данные[[#This Row],[Базовая сумма]]*$O$2,$C$2),IF(Данные[[#This Row],[weighted_ext_score]]&lt;$O$3,Данные[[#This Row],[Базовая сумма]]*$O$4,N975))</f>
        <v>0</v>
      </c>
      <c r="P97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5" s="2">
        <f>ABS(Данные[[#This Row],[days_birth]])/365.2425</f>
        <v>49.356249614981827</v>
      </c>
      <c r="S97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5" s="2">
        <f>IF(Данные[[#This Row],[ interest_rate]]&gt;$T$1,Данные[[#This Row],[days_birth4]]*$T$2,Данные[[#This Row],[days_birth4]])</f>
        <v>0</v>
      </c>
      <c r="U975" s="2">
        <f>IF(Данные[[#This Row],[Проверка отказа]]="отказ",0,MAX(Данные[[#This Row],[interest_rate]],$C$1))</f>
        <v>0</v>
      </c>
      <c r="V975" s="2">
        <f>MROUND(Данные[[#This Row],[Минимум 20000]], 100)</f>
        <v>0</v>
      </c>
    </row>
    <row r="976" spans="1:22" x14ac:dyDescent="0.25">
      <c r="A976" s="2">
        <f>'1000_заявлений'!A970</f>
        <v>968</v>
      </c>
      <c r="B976" s="4">
        <f>VALUE(SUBSTITUTE('1000_заявлений'!B970, ".", ","))</f>
        <v>0.40606921176376098</v>
      </c>
      <c r="C976" s="4">
        <f>VALUE(SUBSTITUTE('1000_заявлений'!C970, ".", ","))</f>
        <v>0.54251289322705198</v>
      </c>
      <c r="D976" s="4">
        <f>VALUE(SUBSTITUTE('1000_заявлений'!D970, ".", ","))</f>
        <v>0.55494679999999996</v>
      </c>
      <c r="E976" s="4">
        <f>VALUE(SUBSTITUTE('1000_заявлений'!E970, ".", ","))</f>
        <v>0.55387589999999998</v>
      </c>
      <c r="F976" s="5">
        <f>VALUE(SUBSTITUTE('1000_заявлений'!F970, ".", ","))</f>
        <v>-225</v>
      </c>
      <c r="G976" s="5">
        <f>VALUE(SUBSTITUTE('1000_заявлений'!G970, ".", ","))</f>
        <v>-10878</v>
      </c>
      <c r="H976" s="5">
        <f>VALUE(SUBSTITUTE('1000_заявлений'!H970, ".", ","))</f>
        <v>-3424</v>
      </c>
      <c r="I976" s="4">
        <f>VALUE(SUBSTITUTE('1000_заявлений'!I970, ".", ","))</f>
        <v>0.2321</v>
      </c>
      <c r="J976" s="4">
        <f>VALUE(SUBSTITUTE('1000_заявлений'!J970, ".", ","))</f>
        <v>0.66233239007120703</v>
      </c>
      <c r="K976" s="5">
        <f>VALUE(SUBSTITUTE('1000_заявлений'!K970, ".", ","))</f>
        <v>-1912</v>
      </c>
      <c r="L976" s="6">
        <f>VALUE(SUBSTITUTE('1000_заявлений'!L970, ".", ","))</f>
        <v>31333.5</v>
      </c>
      <c r="M976" s="2" t="str">
        <f>IF(Данные[[#This Row],[proba]]&gt;$C$6, "отказ", "одобрение")</f>
        <v>отказ</v>
      </c>
      <c r="N976" s="7">
        <f>IF(Данные[[#This Row],[proba]]&lt;$D$2,$C$2,IF(Данные[[#This Row],[proba]]&lt;$D$3,$C$3,IF(Данные[[#This Row],[proba]]&gt;$C$6,0,$C$4)))</f>
        <v>0</v>
      </c>
      <c r="O976" s="2">
        <f>IF(Данные[[#This Row],[weighted_ext_score]]&gt;$O$1,MIN(Данные[[#This Row],[Базовая сумма]]*$O$2,$C$2),IF(Данные[[#This Row],[weighted_ext_score]]&lt;$O$3,Данные[[#This Row],[Базовая сумма]]*$O$4,N976))</f>
        <v>0</v>
      </c>
      <c r="P97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6" s="2">
        <f>ABS(Данные[[#This Row],[days_birth]])/365.2425</f>
        <v>29.782952422020987</v>
      </c>
      <c r="S97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6" s="2">
        <f>IF(Данные[[#This Row],[ interest_rate]]&gt;$T$1,Данные[[#This Row],[days_birth4]]*$T$2,Данные[[#This Row],[days_birth4]])</f>
        <v>0</v>
      </c>
      <c r="U976" s="2">
        <f>IF(Данные[[#This Row],[Проверка отказа]]="отказ",0,MAX(Данные[[#This Row],[interest_rate]],$C$1))</f>
        <v>0</v>
      </c>
      <c r="V976" s="2">
        <f>MROUND(Данные[[#This Row],[Минимум 20000]], 100)</f>
        <v>0</v>
      </c>
    </row>
    <row r="977" spans="1:22" x14ac:dyDescent="0.25">
      <c r="A977" s="2">
        <f>'1000_заявлений'!A971</f>
        <v>969</v>
      </c>
      <c r="B977" s="4">
        <f>VALUE(SUBSTITUTE('1000_заявлений'!B971, ".", ","))</f>
        <v>0.83577088043446701</v>
      </c>
      <c r="C977" s="4">
        <f>VALUE(SUBSTITUTE('1000_заявлений'!C971, ".", ","))</f>
        <v>0.12054960137869</v>
      </c>
      <c r="D977" s="4">
        <f>VALUE(SUBSTITUTE('1000_заявлений'!D971, ".", ","))</f>
        <v>5.2036409999999998E-2</v>
      </c>
      <c r="E977" s="4">
        <f>VALUE(SUBSTITUTE('1000_заявлений'!E971, ".", ","))</f>
        <v>0.31361612999999999</v>
      </c>
      <c r="F977" s="5">
        <f>VALUE(SUBSTITUTE('1000_заявлений'!F971, ".", ","))</f>
        <v>-4593</v>
      </c>
      <c r="G977" s="5">
        <f>VALUE(SUBSTITUTE('1000_заявлений'!G971, ".", ","))</f>
        <v>-15730</v>
      </c>
      <c r="H977" s="5">
        <f>VALUE(SUBSTITUTE('1000_заявлений'!H971, ".", ","))</f>
        <v>-937</v>
      </c>
      <c r="I977" s="4">
        <f>VALUE(SUBSTITUTE('1000_заявлений'!I971, ".", ","))</f>
        <v>9.7866666666666602E-2</v>
      </c>
      <c r="J977" s="4">
        <f>VALUE(SUBSTITUTE('1000_заявлений'!J971, ".", ","))</f>
        <v>9.2239530794927092</v>
      </c>
      <c r="K977" s="5">
        <f>VALUE(SUBSTITUTE('1000_заявлений'!K971, ".", ","))</f>
        <v>-3941</v>
      </c>
      <c r="L977" s="6">
        <f>VALUE(SUBSTITUTE('1000_заявлений'!L971, ".", ","))</f>
        <v>13212</v>
      </c>
      <c r="M977" s="2" t="str">
        <f>IF(Данные[[#This Row],[proba]]&gt;$C$6, "отказ", "одобрение")</f>
        <v>отказ</v>
      </c>
      <c r="N977" s="7">
        <f>IF(Данные[[#This Row],[proba]]&lt;$D$2,$C$2,IF(Данные[[#This Row],[proba]]&lt;$D$3,$C$3,IF(Данные[[#This Row],[proba]]&gt;$C$6,0,$C$4)))</f>
        <v>0</v>
      </c>
      <c r="O977" s="2">
        <f>IF(Данные[[#This Row],[weighted_ext_score]]&gt;$O$1,MIN(Данные[[#This Row],[Базовая сумма]]*$O$2,$C$2),IF(Данные[[#This Row],[weighted_ext_score]]&lt;$O$3,Данные[[#This Row],[Базовая сумма]]*$O$4,N977))</f>
        <v>0</v>
      </c>
      <c r="P97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7" s="2">
        <f>ABS(Данные[[#This Row],[days_birth]])/365.2425</f>
        <v>43.067277219929224</v>
      </c>
      <c r="S97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7" s="2">
        <f>IF(Данные[[#This Row],[ interest_rate]]&gt;$T$1,Данные[[#This Row],[days_birth4]]*$T$2,Данные[[#This Row],[days_birth4]])</f>
        <v>0</v>
      </c>
      <c r="U977" s="2">
        <f>IF(Данные[[#This Row],[Проверка отказа]]="отказ",0,MAX(Данные[[#This Row],[interest_rate]],$C$1))</f>
        <v>0</v>
      </c>
      <c r="V977" s="2">
        <f>MROUND(Данные[[#This Row],[Минимум 20000]], 100)</f>
        <v>0</v>
      </c>
    </row>
    <row r="978" spans="1:22" x14ac:dyDescent="0.25">
      <c r="A978" s="2">
        <f>'1000_заявлений'!A972</f>
        <v>970</v>
      </c>
      <c r="B978" s="4">
        <f>VALUE(SUBSTITUTE('1000_заявлений'!B972, ".", ","))</f>
        <v>0.57095081492608302</v>
      </c>
      <c r="C978" s="4">
        <f>VALUE(SUBSTITUTE('1000_заявлений'!C972, ".", ","))</f>
        <v>0.42170279896893198</v>
      </c>
      <c r="D978" s="4">
        <f>VALUE(SUBSTITUTE('1000_заявлений'!D972, ".", ","))</f>
        <v>0.38933879999999998</v>
      </c>
      <c r="E978" s="4">
        <f>VALUE(SUBSTITUTE('1000_заявлений'!E972, ".", ","))</f>
        <v>0.53968439999999995</v>
      </c>
      <c r="F978" s="5">
        <f>VALUE(SUBSTITUTE('1000_заявлений'!F972, ".", ","))</f>
        <v>-654</v>
      </c>
      <c r="G978" s="5">
        <f>VALUE(SUBSTITUTE('1000_заявлений'!G972, ".", ","))</f>
        <v>-14379</v>
      </c>
      <c r="H978" s="5">
        <f>VALUE(SUBSTITUTE('1000_заявлений'!H972, ".", ","))</f>
        <v>-640</v>
      </c>
      <c r="I978" s="4">
        <f>VALUE(SUBSTITUTE('1000_заявлений'!I972, ".", ","))</f>
        <v>0.241629629629629</v>
      </c>
      <c r="J978" s="4">
        <f>VALUE(SUBSTITUTE('1000_заявлений'!J972, ".", ","))</f>
        <v>0.42329162172192097</v>
      </c>
      <c r="K978" s="5">
        <f>VALUE(SUBSTITUTE('1000_заявлений'!K972, ".", ","))</f>
        <v>-7174</v>
      </c>
      <c r="L978" s="6">
        <f>VALUE(SUBSTITUTE('1000_заявлений'!L972, ".", ","))</f>
        <v>29358</v>
      </c>
      <c r="M978" s="2" t="str">
        <f>IF(Данные[[#This Row],[proba]]&gt;$C$6, "отказ", "одобрение")</f>
        <v>отказ</v>
      </c>
      <c r="N978" s="7">
        <f>IF(Данные[[#This Row],[proba]]&lt;$D$2,$C$2,IF(Данные[[#This Row],[proba]]&lt;$D$3,$C$3,IF(Данные[[#This Row],[proba]]&gt;$C$6,0,$C$4)))</f>
        <v>0</v>
      </c>
      <c r="O978" s="2">
        <f>IF(Данные[[#This Row],[weighted_ext_score]]&gt;$O$1,MIN(Данные[[#This Row],[Базовая сумма]]*$O$2,$C$2),IF(Данные[[#This Row],[weighted_ext_score]]&lt;$O$3,Данные[[#This Row],[Базовая сумма]]*$O$4,N978))</f>
        <v>0</v>
      </c>
      <c r="P97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7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78" s="2">
        <f>ABS(Данные[[#This Row],[days_birth]])/365.2425</f>
        <v>39.368364853487748</v>
      </c>
      <c r="S97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78" s="2">
        <f>IF(Данные[[#This Row],[ interest_rate]]&gt;$T$1,Данные[[#This Row],[days_birth4]]*$T$2,Данные[[#This Row],[days_birth4]])</f>
        <v>0</v>
      </c>
      <c r="U978" s="2">
        <f>IF(Данные[[#This Row],[Проверка отказа]]="отказ",0,MAX(Данные[[#This Row],[interest_rate]],$C$1))</f>
        <v>0</v>
      </c>
      <c r="V978" s="2">
        <f>MROUND(Данные[[#This Row],[Минимум 20000]], 100)</f>
        <v>0</v>
      </c>
    </row>
    <row r="979" spans="1:22" x14ac:dyDescent="0.25">
      <c r="A979" s="2">
        <f>'1000_заявлений'!A973</f>
        <v>971</v>
      </c>
      <c r="B979" s="4">
        <f>VALUE(SUBSTITUTE('1000_заявлений'!B973, ".", ","))</f>
        <v>0.269364176505826</v>
      </c>
      <c r="C979" s="4">
        <f>VALUE(SUBSTITUTE('1000_заявлений'!C973, ".", ","))</f>
        <v>0.44805514848232397</v>
      </c>
      <c r="D979" s="4">
        <f>VALUE(SUBSTITUTE('1000_заявлений'!D973, ".", ","))</f>
        <v>0.70769936</v>
      </c>
      <c r="E979" s="4">
        <f>VALUE(SUBSTITUTE('1000_заявлений'!E973, ".", ","))</f>
        <v>0.59222660000000005</v>
      </c>
      <c r="F979" s="5">
        <f>VALUE(SUBSTITUTE('1000_заявлений'!F973, ".", ","))</f>
        <v>-3074</v>
      </c>
      <c r="G979" s="5">
        <f>VALUE(SUBSTITUTE('1000_заявлений'!G973, ".", ","))</f>
        <v>-12718</v>
      </c>
      <c r="H979" s="5">
        <f>VALUE(SUBSTITUTE('1000_заявлений'!H973, ".", ","))</f>
        <v>-4702</v>
      </c>
      <c r="I979" s="4">
        <f>VALUE(SUBSTITUTE('1000_заявлений'!I973, ".", ","))</f>
        <v>0.107636363636363</v>
      </c>
      <c r="J979" s="4">
        <f>VALUE(SUBSTITUTE('1000_заявлений'!J973, ".", ","))</f>
        <v>7.9620143797618903</v>
      </c>
      <c r="K979" s="5">
        <f>VALUE(SUBSTITUTE('1000_заявлений'!K973, ".", ","))</f>
        <v>-4756</v>
      </c>
      <c r="L979" s="6">
        <f>VALUE(SUBSTITUTE('1000_заявлений'!L973, ".", ","))</f>
        <v>26640</v>
      </c>
      <c r="M979" s="2" t="str">
        <f>IF(Данные[[#This Row],[proba]]&gt;$C$6, "отказ", "одобрение")</f>
        <v>одобрение</v>
      </c>
      <c r="N979" s="7">
        <f>IF(Данные[[#This Row],[proba]]&lt;$D$2,$C$2,IF(Данные[[#This Row],[proba]]&lt;$D$3,$C$3,IF(Данные[[#This Row],[proba]]&gt;$C$6,0,$C$4)))</f>
        <v>100000</v>
      </c>
      <c r="O979" s="2">
        <f>IF(Данные[[#This Row],[weighted_ext_score]]&gt;$O$1,MIN(Данные[[#This Row],[Базовая сумма]]*$O$2,$C$2),IF(Данные[[#This Row],[weighted_ext_score]]&lt;$O$3,Данные[[#This Row],[Базовая сумма]]*$O$4,N979))</f>
        <v>100000</v>
      </c>
      <c r="P97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7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79" s="2">
        <f>ABS(Данные[[#This Row],[days_birth]])/365.2425</f>
        <v>34.820701314879841</v>
      </c>
      <c r="S97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979" s="2">
        <f>IF(Данные[[#This Row],[ interest_rate]]&gt;$T$1,Данные[[#This Row],[days_birth4]]*$T$2,Данные[[#This Row],[days_birth4]])</f>
        <v>144000</v>
      </c>
      <c r="U979" s="2">
        <f>IF(Данные[[#This Row],[Проверка отказа]]="отказ",0,MAX(Данные[[#This Row],[interest_rate]],$C$1))</f>
        <v>144000</v>
      </c>
      <c r="V979" s="2">
        <f>MROUND(Данные[[#This Row],[Минимум 20000]], 100)</f>
        <v>144000</v>
      </c>
    </row>
    <row r="980" spans="1:22" x14ac:dyDescent="0.25">
      <c r="A980" s="2">
        <f>'1000_заявлений'!A974</f>
        <v>972</v>
      </c>
      <c r="B980" s="4">
        <f>VALUE(SUBSTITUTE('1000_заявлений'!B974, ".", ","))</f>
        <v>0.30328795014071203</v>
      </c>
      <c r="C980" s="4">
        <f>VALUE(SUBSTITUTE('1000_заявлений'!C974, ".", ","))</f>
        <v>0.53242521234677098</v>
      </c>
      <c r="D980" s="4">
        <f>VALUE(SUBSTITUTE('1000_заявлений'!D974, ".", ","))</f>
        <v>0.49927201999999998</v>
      </c>
      <c r="E980" s="4">
        <f>VALUE(SUBSTITUTE('1000_заявлений'!E974, ".", ","))</f>
        <v>0.7389696</v>
      </c>
      <c r="F980" s="5">
        <f>VALUE(SUBSTITUTE('1000_заявлений'!F974, ".", ","))</f>
        <v>-8499</v>
      </c>
      <c r="G980" s="5">
        <f>VALUE(SUBSTITUTE('1000_заявлений'!G974, ".", ","))</f>
        <v>-10097</v>
      </c>
      <c r="H980" s="5">
        <f>VALUE(SUBSTITUTE('1000_заявлений'!H974, ".", ","))</f>
        <v>-2722</v>
      </c>
      <c r="I980" s="4">
        <f>VALUE(SUBSTITUTE('1000_заявлений'!I974, ".", ","))</f>
        <v>0.14285714285714199</v>
      </c>
      <c r="J980" s="4">
        <f>VALUE(SUBSTITUTE('1000_заявлений'!J974, ".", ","))</f>
        <v>10.6209759779781</v>
      </c>
      <c r="K980" s="5">
        <f>VALUE(SUBSTITUTE('1000_заявлений'!K974, ".", ","))</f>
        <v>-2651</v>
      </c>
      <c r="L980" s="6">
        <f>VALUE(SUBSTITUTE('1000_заявлений'!L974, ".", ","))</f>
        <v>11250</v>
      </c>
      <c r="M980" s="2" t="str">
        <f>IF(Данные[[#This Row],[proba]]&gt;$C$6, "отказ", "одобрение")</f>
        <v>отказ</v>
      </c>
      <c r="N980" s="7">
        <f>IF(Данные[[#This Row],[proba]]&lt;$D$2,$C$2,IF(Данные[[#This Row],[proba]]&lt;$D$3,$C$3,IF(Данные[[#This Row],[proba]]&gt;$C$6,0,$C$4)))</f>
        <v>0</v>
      </c>
      <c r="O980" s="2">
        <f>IF(Данные[[#This Row],[weighted_ext_score]]&gt;$O$1,MIN(Данные[[#This Row],[Базовая сумма]]*$O$2,$C$2),IF(Данные[[#This Row],[weighted_ext_score]]&lt;$O$3,Данные[[#This Row],[Базовая сумма]]*$O$4,N980))</f>
        <v>0</v>
      </c>
      <c r="P98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0" s="2">
        <f>ABS(Данные[[#This Row],[days_birth]])/365.2425</f>
        <v>27.644647049562963</v>
      </c>
      <c r="S98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0" s="2">
        <f>IF(Данные[[#This Row],[ interest_rate]]&gt;$T$1,Данные[[#This Row],[days_birth4]]*$T$2,Данные[[#This Row],[days_birth4]])</f>
        <v>0</v>
      </c>
      <c r="U980" s="2">
        <f>IF(Данные[[#This Row],[Проверка отказа]]="отказ",0,MAX(Данные[[#This Row],[interest_rate]],$C$1))</f>
        <v>0</v>
      </c>
      <c r="V980" s="2">
        <f>MROUND(Данные[[#This Row],[Минимум 20000]], 100)</f>
        <v>0</v>
      </c>
    </row>
    <row r="981" spans="1:22" x14ac:dyDescent="0.25">
      <c r="A981" s="2">
        <f>'1000_заявлений'!A975</f>
        <v>973</v>
      </c>
      <c r="B981" s="4">
        <f>VALUE(SUBSTITUTE('1000_заявлений'!B975, ".", ","))</f>
        <v>0.53044577012455496</v>
      </c>
      <c r="C981" s="4">
        <f>VALUE(SUBSTITUTE('1000_заявлений'!C975, ".", ","))</f>
        <v>0.28092436932353099</v>
      </c>
      <c r="D981" s="4">
        <f>VALUE(SUBSTITUTE('1000_заявлений'!D975, ".", ","))</f>
        <v>0.70918910000000002</v>
      </c>
      <c r="E981" s="4">
        <f>VALUE(SUBSTITUTE('1000_заявлений'!E975, ".", ","))</f>
        <v>7.5329190000000004E-2</v>
      </c>
      <c r="F981" s="5">
        <f>VALUE(SUBSTITUTE('1000_заявлений'!F975, ".", ","))</f>
        <v>-10582</v>
      </c>
      <c r="G981" s="5">
        <f>VALUE(SUBSTITUTE('1000_заявлений'!G975, ".", ","))</f>
        <v>-21997</v>
      </c>
      <c r="H981" s="5">
        <f>VALUE(SUBSTITUTE('1000_заявлений'!H975, ".", ","))</f>
        <v>-4299</v>
      </c>
      <c r="I981" s="4">
        <f>VALUE(SUBSTITUTE('1000_заявлений'!I975, ".", ","))</f>
        <v>0.171133333333333</v>
      </c>
      <c r="J981" s="4">
        <f>VALUE(SUBSTITUTE('1000_заявлений'!J975, ".", ","))</f>
        <v>2.8559285513540802</v>
      </c>
      <c r="K981" s="5">
        <f>VALUE(SUBSTITUTE('1000_заявлений'!K975, ".", ","))</f>
        <v>-3323</v>
      </c>
      <c r="L981" s="6">
        <f>VALUE(SUBSTITUTE('1000_заявлений'!L975, ".", ","))</f>
        <v>23103</v>
      </c>
      <c r="M981" s="2" t="str">
        <f>IF(Данные[[#This Row],[proba]]&gt;$C$6, "отказ", "одобрение")</f>
        <v>отказ</v>
      </c>
      <c r="N981" s="7">
        <f>IF(Данные[[#This Row],[proba]]&lt;$D$2,$C$2,IF(Данные[[#This Row],[proba]]&lt;$D$3,$C$3,IF(Данные[[#This Row],[proba]]&gt;$C$6,0,$C$4)))</f>
        <v>0</v>
      </c>
      <c r="O981" s="2">
        <f>IF(Данные[[#This Row],[weighted_ext_score]]&gt;$O$1,MIN(Данные[[#This Row],[Базовая сумма]]*$O$2,$C$2),IF(Данные[[#This Row],[weighted_ext_score]]&lt;$O$3,Данные[[#This Row],[Базовая сумма]]*$O$4,N981))</f>
        <v>0</v>
      </c>
      <c r="P98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1" s="2">
        <f>ABS(Данные[[#This Row],[days_birth]])/365.2425</f>
        <v>60.225740432726198</v>
      </c>
      <c r="S98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1" s="2">
        <f>IF(Данные[[#This Row],[ interest_rate]]&gt;$T$1,Данные[[#This Row],[days_birth4]]*$T$2,Данные[[#This Row],[days_birth4]])</f>
        <v>0</v>
      </c>
      <c r="U981" s="2">
        <f>IF(Данные[[#This Row],[Проверка отказа]]="отказ",0,MAX(Данные[[#This Row],[interest_rate]],$C$1))</f>
        <v>0</v>
      </c>
      <c r="V981" s="2">
        <f>MROUND(Данные[[#This Row],[Минимум 20000]], 100)</f>
        <v>0</v>
      </c>
    </row>
    <row r="982" spans="1:22" x14ac:dyDescent="0.25">
      <c r="A982" s="2">
        <f>'1000_заявлений'!A976</f>
        <v>974</v>
      </c>
      <c r="B982" s="4">
        <f>VALUE(SUBSTITUTE('1000_заявлений'!B976, ".", ","))</f>
        <v>0.33430162286987403</v>
      </c>
      <c r="C982" s="4">
        <f>VALUE(SUBSTITUTE('1000_заявлений'!C976, ".", ","))</f>
        <v>0.40173046408206198</v>
      </c>
      <c r="D982" s="4">
        <f>VALUE(SUBSTITUTE('1000_заявлений'!D976, ".", ","))</f>
        <v>0.7267112</v>
      </c>
      <c r="E982" s="4">
        <f>VALUE(SUBSTITUTE('1000_заявлений'!E976, ".", ","))</f>
        <v>0.42821795000000001</v>
      </c>
      <c r="F982" s="5">
        <f>VALUE(SUBSTITUTE('1000_заявлений'!F976, ".", ","))</f>
        <v>-8199</v>
      </c>
      <c r="G982" s="5">
        <f>VALUE(SUBSTITUTE('1000_заявлений'!G976, ".", ","))</f>
        <v>-20070</v>
      </c>
      <c r="H982" s="5">
        <f>VALUE(SUBSTITUTE('1000_заявлений'!H976, ".", ","))</f>
        <v>-3313</v>
      </c>
      <c r="I982" s="4">
        <f>VALUE(SUBSTITUTE('1000_заявлений'!I976, ".", ","))</f>
        <v>0.16619999999999999</v>
      </c>
      <c r="J982" s="4">
        <f>VALUE(SUBSTITUTE('1000_заявлений'!J976, ".", ","))</f>
        <v>4.6383977884151397</v>
      </c>
      <c r="K982" s="5">
        <f>VALUE(SUBSTITUTE('1000_заявлений'!K976, ".", ","))</f>
        <v>-12185</v>
      </c>
      <c r="L982" s="6">
        <f>VALUE(SUBSTITUTE('1000_заявлений'!L976, ".", ","))</f>
        <v>22437</v>
      </c>
      <c r="M982" s="2" t="str">
        <f>IF(Данные[[#This Row],[proba]]&gt;$C$6, "отказ", "одобрение")</f>
        <v>отказ</v>
      </c>
      <c r="N982" s="7">
        <f>IF(Данные[[#This Row],[proba]]&lt;$D$2,$C$2,IF(Данные[[#This Row],[proba]]&lt;$D$3,$C$3,IF(Данные[[#This Row],[proba]]&gt;$C$6,0,$C$4)))</f>
        <v>0</v>
      </c>
      <c r="O982" s="2">
        <f>IF(Данные[[#This Row],[weighted_ext_score]]&gt;$O$1,MIN(Данные[[#This Row],[Базовая сумма]]*$O$2,$C$2),IF(Данные[[#This Row],[weighted_ext_score]]&lt;$O$3,Данные[[#This Row],[Базовая сумма]]*$O$4,N982))</f>
        <v>0</v>
      </c>
      <c r="P98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2" s="2">
        <f>ABS(Данные[[#This Row],[days_birth]])/365.2425</f>
        <v>54.94979363025935</v>
      </c>
      <c r="S98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2" s="2">
        <f>IF(Данные[[#This Row],[ interest_rate]]&gt;$T$1,Данные[[#This Row],[days_birth4]]*$T$2,Данные[[#This Row],[days_birth4]])</f>
        <v>0</v>
      </c>
      <c r="U982" s="2">
        <f>IF(Данные[[#This Row],[Проверка отказа]]="отказ",0,MAX(Данные[[#This Row],[interest_rate]],$C$1))</f>
        <v>0</v>
      </c>
      <c r="V982" s="2">
        <f>MROUND(Данные[[#This Row],[Минимум 20000]], 100)</f>
        <v>0</v>
      </c>
    </row>
    <row r="983" spans="1:22" x14ac:dyDescent="0.25">
      <c r="A983" s="2">
        <f>'1000_заявлений'!A977</f>
        <v>975</v>
      </c>
      <c r="B983" s="4">
        <f>VALUE(SUBSTITUTE('1000_заявлений'!B977, ".", ","))</f>
        <v>0.43570569259734598</v>
      </c>
      <c r="C983" s="4">
        <f>VALUE(SUBSTITUTE('1000_заявлений'!C977, ".", ","))</f>
        <v>0.32916385844097101</v>
      </c>
      <c r="D983" s="4">
        <f>VALUE(SUBSTITUTE('1000_заявлений'!D977, ".", ","))</f>
        <v>0.49746889999999999</v>
      </c>
      <c r="E983" s="4">
        <f>VALUE(SUBSTITUTE('1000_заявлений'!E977, ".", ","))</f>
        <v>0.46010202</v>
      </c>
      <c r="F983" s="5">
        <f>VALUE(SUBSTITUTE('1000_заявлений'!F977, ".", ","))</f>
        <v>-5338</v>
      </c>
      <c r="G983" s="5">
        <f>VALUE(SUBSTITUTE('1000_заявлений'!G977, ".", ","))</f>
        <v>-20915</v>
      </c>
      <c r="H983" s="5">
        <f>VALUE(SUBSTITUTE('1000_заявлений'!H977, ".", ","))</f>
        <v>-1064</v>
      </c>
      <c r="I983" s="4">
        <f>VALUE(SUBSTITUTE('1000_заявлений'!I977, ".", ","))</f>
        <v>8.2285714285714198E-2</v>
      </c>
      <c r="J983" s="4">
        <f>VALUE(SUBSTITUTE('1000_заявлений'!J977, ".", ","))</f>
        <v>4.2169178703376797</v>
      </c>
      <c r="K983" s="5">
        <f>VALUE(SUBSTITUTE('1000_заявлений'!K977, ".", ","))</f>
        <v>365243</v>
      </c>
      <c r="L983" s="6">
        <f>VALUE(SUBSTITUTE('1000_заявлений'!L977, ".", ","))</f>
        <v>10368</v>
      </c>
      <c r="M983" s="2" t="str">
        <f>IF(Данные[[#This Row],[proba]]&gt;$C$6, "отказ", "одобрение")</f>
        <v>отказ</v>
      </c>
      <c r="N983" s="7">
        <f>IF(Данные[[#This Row],[proba]]&lt;$D$2,$C$2,IF(Данные[[#This Row],[proba]]&lt;$D$3,$C$3,IF(Данные[[#This Row],[proba]]&gt;$C$6,0,$C$4)))</f>
        <v>0</v>
      </c>
      <c r="O983" s="2">
        <f>IF(Данные[[#This Row],[weighted_ext_score]]&gt;$O$1,MIN(Данные[[#This Row],[Базовая сумма]]*$O$2,$C$2),IF(Данные[[#This Row],[weighted_ext_score]]&lt;$O$3,Данные[[#This Row],[Базовая сумма]]*$O$4,N983))</f>
        <v>0</v>
      </c>
      <c r="P98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3" s="2">
        <f>ABS(Данные[[#This Row],[days_birth]])/365.2425</f>
        <v>57.263325051164635</v>
      </c>
      <c r="S98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3" s="2">
        <f>IF(Данные[[#This Row],[ interest_rate]]&gt;$T$1,Данные[[#This Row],[days_birth4]]*$T$2,Данные[[#This Row],[days_birth4]])</f>
        <v>0</v>
      </c>
      <c r="U983" s="2">
        <f>IF(Данные[[#This Row],[Проверка отказа]]="отказ",0,MAX(Данные[[#This Row],[interest_rate]],$C$1))</f>
        <v>0</v>
      </c>
      <c r="V983" s="2">
        <f>MROUND(Данные[[#This Row],[Минимум 20000]], 100)</f>
        <v>0</v>
      </c>
    </row>
    <row r="984" spans="1:22" x14ac:dyDescent="0.25">
      <c r="A984" s="2">
        <f>'1000_заявлений'!A978</f>
        <v>976</v>
      </c>
      <c r="B984" s="4">
        <f>VALUE(SUBSTITUTE('1000_заявлений'!B978, ".", ","))</f>
        <v>0.57398867583357105</v>
      </c>
      <c r="C984" s="4">
        <f>VALUE(SUBSTITUTE('1000_заявлений'!C978, ".", ","))</f>
        <v>0.33914927610582202</v>
      </c>
      <c r="D984" s="4">
        <f>VALUE(SUBSTITUTE('1000_заявлений'!D978, ".", ","))</f>
        <v>0.75306740000000005</v>
      </c>
      <c r="E984" s="4">
        <f>VALUE(SUBSTITUTE('1000_заявлений'!E978, ".", ","))</f>
        <v>0.20590457000000001</v>
      </c>
      <c r="F984" s="5">
        <f>VALUE(SUBSTITUTE('1000_заявлений'!F978, ".", ","))</f>
        <v>-7675</v>
      </c>
      <c r="G984" s="5">
        <f>VALUE(SUBSTITUTE('1000_заявлений'!G978, ".", ","))</f>
        <v>-16120</v>
      </c>
      <c r="H984" s="5">
        <f>VALUE(SUBSTITUTE('1000_заявлений'!H978, ".", ","))</f>
        <v>-4377</v>
      </c>
      <c r="I984" s="4">
        <f>VALUE(SUBSTITUTE('1000_заявлений'!I978, ".", ","))</f>
        <v>0.60389999999999999</v>
      </c>
      <c r="J984" s="4">
        <f>VALUE(SUBSTITUTE('1000_заявлений'!J978, ".", ","))</f>
        <v>0.97751163654635698</v>
      </c>
      <c r="K984" s="5">
        <f>VALUE(SUBSTITUTE('1000_заявлений'!K978, ".", ","))</f>
        <v>-2897</v>
      </c>
      <c r="L984" s="6">
        <f>VALUE(SUBSTITUTE('1000_заявлений'!L978, ".", ","))</f>
        <v>54351</v>
      </c>
      <c r="M984" s="2" t="str">
        <f>IF(Данные[[#This Row],[proba]]&gt;$C$6, "отказ", "одобрение")</f>
        <v>отказ</v>
      </c>
      <c r="N984" s="7">
        <f>IF(Данные[[#This Row],[proba]]&lt;$D$2,$C$2,IF(Данные[[#This Row],[proba]]&lt;$D$3,$C$3,IF(Данные[[#This Row],[proba]]&gt;$C$6,0,$C$4)))</f>
        <v>0</v>
      </c>
      <c r="O984" s="2">
        <f>IF(Данные[[#This Row],[weighted_ext_score]]&gt;$O$1,MIN(Данные[[#This Row],[Базовая сумма]]*$O$2,$C$2),IF(Данные[[#This Row],[weighted_ext_score]]&lt;$O$3,Данные[[#This Row],[Базовая сумма]]*$O$4,N984))</f>
        <v>0</v>
      </c>
      <c r="P98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4" s="2">
        <f>ABS(Данные[[#This Row],[days_birth]])/365.2425</f>
        <v>44.13506095265474</v>
      </c>
      <c r="S98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4" s="2">
        <f>IF(Данные[[#This Row],[ interest_rate]]&gt;$T$1,Данные[[#This Row],[days_birth4]]*$T$2,Данные[[#This Row],[days_birth4]])</f>
        <v>0</v>
      </c>
      <c r="U984" s="2">
        <f>IF(Данные[[#This Row],[Проверка отказа]]="отказ",0,MAX(Данные[[#This Row],[interest_rate]],$C$1))</f>
        <v>0</v>
      </c>
      <c r="V984" s="2">
        <f>MROUND(Данные[[#This Row],[Минимум 20000]], 100)</f>
        <v>0</v>
      </c>
    </row>
    <row r="985" spans="1:22" x14ac:dyDescent="0.25">
      <c r="A985" s="2">
        <f>'1000_заявлений'!A979</f>
        <v>977</v>
      </c>
      <c r="B985" s="4">
        <f>VALUE(SUBSTITUTE('1000_заявлений'!B979, ".", ","))</f>
        <v>0.53453555166239497</v>
      </c>
      <c r="C985" s="4">
        <f>VALUE(SUBSTITUTE('1000_заявлений'!C979, ".", ","))</f>
        <v>0.324750617588975</v>
      </c>
      <c r="D985" s="4">
        <f>VALUE(SUBSTITUTE('1000_заявлений'!D979, ".", ","))</f>
        <v>0.53527623000000002</v>
      </c>
      <c r="E985" s="4">
        <f>VALUE(SUBSTITUTE('1000_заявлений'!E979, ".", ","))</f>
        <v>0.49453520000000001</v>
      </c>
      <c r="F985" s="5">
        <f>VALUE(SUBSTITUTE('1000_заявлений'!F979, ".", ","))</f>
        <v>-3636</v>
      </c>
      <c r="G985" s="5">
        <f>VALUE(SUBSTITUTE('1000_заявлений'!G979, ".", ","))</f>
        <v>-13049</v>
      </c>
      <c r="H985" s="5">
        <f>VALUE(SUBSTITUTE('1000_заявлений'!H979, ".", ","))</f>
        <v>-2543</v>
      </c>
      <c r="I985" s="4">
        <f>VALUE(SUBSTITUTE('1000_заявлений'!I979, ".", ","))</f>
        <v>0.28087499999999999</v>
      </c>
      <c r="J985" s="4">
        <f>VALUE(SUBSTITUTE('1000_заявлений'!J979, ".", ","))</f>
        <v>2.4291033470041401</v>
      </c>
      <c r="K985" s="5">
        <f>VALUE(SUBSTITUTE('1000_заявлений'!K979, ".", ","))</f>
        <v>-3054</v>
      </c>
      <c r="L985" s="6">
        <f>VALUE(SUBSTITUTE('1000_заявлений'!L979, ".", ","))</f>
        <v>40446</v>
      </c>
      <c r="M985" s="2" t="str">
        <f>IF(Данные[[#This Row],[proba]]&gt;$C$6, "отказ", "одобрение")</f>
        <v>отказ</v>
      </c>
      <c r="N985" s="7">
        <f>IF(Данные[[#This Row],[proba]]&lt;$D$2,$C$2,IF(Данные[[#This Row],[proba]]&lt;$D$3,$C$3,IF(Данные[[#This Row],[proba]]&gt;$C$6,0,$C$4)))</f>
        <v>0</v>
      </c>
      <c r="O985" s="2">
        <f>IF(Данные[[#This Row],[weighted_ext_score]]&gt;$O$1,MIN(Данные[[#This Row],[Базовая сумма]]*$O$2,$C$2),IF(Данные[[#This Row],[weighted_ext_score]]&lt;$O$3,Данные[[#This Row],[Базовая сумма]]*$O$4,N985))</f>
        <v>0</v>
      </c>
      <c r="P98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5" s="2">
        <f>ABS(Данные[[#This Row],[days_birth]])/365.2425</f>
        <v>35.726948534193035</v>
      </c>
      <c r="S98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5" s="2">
        <f>IF(Данные[[#This Row],[ interest_rate]]&gt;$T$1,Данные[[#This Row],[days_birth4]]*$T$2,Данные[[#This Row],[days_birth4]])</f>
        <v>0</v>
      </c>
      <c r="U985" s="2">
        <f>IF(Данные[[#This Row],[Проверка отказа]]="отказ",0,MAX(Данные[[#This Row],[interest_rate]],$C$1))</f>
        <v>0</v>
      </c>
      <c r="V985" s="2">
        <f>MROUND(Данные[[#This Row],[Минимум 20000]], 100)</f>
        <v>0</v>
      </c>
    </row>
    <row r="986" spans="1:22" x14ac:dyDescent="0.25">
      <c r="A986" s="2">
        <f>'1000_заявлений'!A980</f>
        <v>978</v>
      </c>
      <c r="B986" s="4">
        <f>VALUE(SUBSTITUTE('1000_заявлений'!B980, ".", ","))</f>
        <v>0.49282867203994501</v>
      </c>
      <c r="C986" s="4">
        <f>VALUE(SUBSTITUTE('1000_заявлений'!C980, ".", ","))</f>
        <v>0.31849949081529999</v>
      </c>
      <c r="D986" s="4">
        <f>VALUE(SUBSTITUTE('1000_заявлений'!D980, ".", ","))</f>
        <v>0.52089759999999996</v>
      </c>
      <c r="E986" s="4">
        <f>VALUE(SUBSTITUTE('1000_заявлений'!E980, ".", ","))</f>
        <v>0.4011036</v>
      </c>
      <c r="F986" s="5">
        <f>VALUE(SUBSTITUTE('1000_заявлений'!F980, ".", ","))</f>
        <v>-6792</v>
      </c>
      <c r="G986" s="5">
        <f>VALUE(SUBSTITUTE('1000_заявлений'!G980, ".", ","))</f>
        <v>-15118</v>
      </c>
      <c r="H986" s="5">
        <f>VALUE(SUBSTITUTE('1000_заявлений'!H980, ".", ","))</f>
        <v>-4379</v>
      </c>
      <c r="I986" s="4">
        <f>VALUE(SUBSTITUTE('1000_заявлений'!I980, ".", ","))</f>
        <v>0.1875</v>
      </c>
      <c r="J986" s="4">
        <f>VALUE(SUBSTITUTE('1000_заявлений'!J980, ".", ","))</f>
        <v>10.6209759779781</v>
      </c>
      <c r="K986" s="5">
        <f>VALUE(SUBSTITUTE('1000_заявлений'!K980, ".", ","))</f>
        <v>-6241</v>
      </c>
      <c r="L986" s="6">
        <f>VALUE(SUBSTITUTE('1000_заявлений'!L980, ".", ","))</f>
        <v>20250</v>
      </c>
      <c r="M986" s="2" t="str">
        <f>IF(Данные[[#This Row],[proba]]&gt;$C$6, "отказ", "одобрение")</f>
        <v>отказ</v>
      </c>
      <c r="N986" s="7">
        <f>IF(Данные[[#This Row],[proba]]&lt;$D$2,$C$2,IF(Данные[[#This Row],[proba]]&lt;$D$3,$C$3,IF(Данные[[#This Row],[proba]]&gt;$C$6,0,$C$4)))</f>
        <v>0</v>
      </c>
      <c r="O986" s="2">
        <f>IF(Данные[[#This Row],[weighted_ext_score]]&gt;$O$1,MIN(Данные[[#This Row],[Базовая сумма]]*$O$2,$C$2),IF(Данные[[#This Row],[weighted_ext_score]]&lt;$O$3,Данные[[#This Row],[Базовая сумма]]*$O$4,N986))</f>
        <v>0</v>
      </c>
      <c r="P98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6" s="2">
        <f>ABS(Данные[[#This Row],[days_birth]])/365.2425</f>
        <v>41.391678131652256</v>
      </c>
      <c r="S98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6" s="2">
        <f>IF(Данные[[#This Row],[ interest_rate]]&gt;$T$1,Данные[[#This Row],[days_birth4]]*$T$2,Данные[[#This Row],[days_birth4]])</f>
        <v>0</v>
      </c>
      <c r="U986" s="2">
        <f>IF(Данные[[#This Row],[Проверка отказа]]="отказ",0,MAX(Данные[[#This Row],[interest_rate]],$C$1))</f>
        <v>0</v>
      </c>
      <c r="V986" s="2">
        <f>MROUND(Данные[[#This Row],[Минимум 20000]], 100)</f>
        <v>0</v>
      </c>
    </row>
    <row r="987" spans="1:22" x14ac:dyDescent="0.25">
      <c r="A987" s="2">
        <f>'1000_заявлений'!A981</f>
        <v>979</v>
      </c>
      <c r="B987" s="4">
        <f>VALUE(SUBSTITUTE('1000_заявлений'!B981, ".", ","))</f>
        <v>0.318331828503846</v>
      </c>
      <c r="C987" s="4">
        <f>VALUE(SUBSTITUTE('1000_заявлений'!C981, ".", ","))</f>
        <v>0.453268281974682</v>
      </c>
      <c r="D987" s="4">
        <f>VALUE(SUBSTITUTE('1000_заявлений'!D981, ".", ","))</f>
        <v>0.61952770000000001</v>
      </c>
      <c r="E987" s="4">
        <f>VALUE(SUBSTITUTE('1000_заявлений'!E981, ".", ","))</f>
        <v>0.70660526000000001</v>
      </c>
      <c r="F987" s="5">
        <f>VALUE(SUBSTITUTE('1000_заявлений'!F981, ".", ","))</f>
        <v>-5550</v>
      </c>
      <c r="G987" s="5">
        <f>VALUE(SUBSTITUTE('1000_заявлений'!G981, ".", ","))</f>
        <v>-11759</v>
      </c>
      <c r="H987" s="5">
        <f>VALUE(SUBSTITUTE('1000_заявлений'!H981, ".", ","))</f>
        <v>-4024</v>
      </c>
      <c r="I987" s="4">
        <f>VALUE(SUBSTITUTE('1000_заявлений'!I981, ".", ","))</f>
        <v>0.20841860465116199</v>
      </c>
      <c r="J987" s="4">
        <f>VALUE(SUBSTITUTE('1000_заявлений'!J981, ".", ","))</f>
        <v>1.55303519021243</v>
      </c>
      <c r="K987" s="5">
        <f>VALUE(SUBSTITUTE('1000_заявлений'!K981, ".", ","))</f>
        <v>-4598</v>
      </c>
      <c r="L987" s="6">
        <f>VALUE(SUBSTITUTE('1000_заявлений'!L981, ".", ","))</f>
        <v>40329</v>
      </c>
      <c r="M987" s="2" t="str">
        <f>IF(Данные[[#This Row],[proba]]&gt;$C$6, "отказ", "одобрение")</f>
        <v>отказ</v>
      </c>
      <c r="N987" s="7">
        <f>IF(Данные[[#This Row],[proba]]&lt;$D$2,$C$2,IF(Данные[[#This Row],[proba]]&lt;$D$3,$C$3,IF(Данные[[#This Row],[proba]]&gt;$C$6,0,$C$4)))</f>
        <v>0</v>
      </c>
      <c r="O987" s="2">
        <f>IF(Данные[[#This Row],[weighted_ext_score]]&gt;$O$1,MIN(Данные[[#This Row],[Базовая сумма]]*$O$2,$C$2),IF(Данные[[#This Row],[weighted_ext_score]]&lt;$O$3,Данные[[#This Row],[Базовая сумма]]*$O$4,N987))</f>
        <v>0</v>
      </c>
      <c r="P98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7" s="2">
        <f>ABS(Данные[[#This Row],[days_birth]])/365.2425</f>
        <v>32.195048495177858</v>
      </c>
      <c r="S98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7" s="2">
        <f>IF(Данные[[#This Row],[ interest_rate]]&gt;$T$1,Данные[[#This Row],[days_birth4]]*$T$2,Данные[[#This Row],[days_birth4]])</f>
        <v>0</v>
      </c>
      <c r="U987" s="2">
        <f>IF(Данные[[#This Row],[Проверка отказа]]="отказ",0,MAX(Данные[[#This Row],[interest_rate]],$C$1))</f>
        <v>0</v>
      </c>
      <c r="V987" s="2">
        <f>MROUND(Данные[[#This Row],[Минимум 20000]], 100)</f>
        <v>0</v>
      </c>
    </row>
    <row r="988" spans="1:22" x14ac:dyDescent="0.25">
      <c r="A988" s="2">
        <f>'1000_заявлений'!A982</f>
        <v>980</v>
      </c>
      <c r="B988" s="4">
        <f>VALUE(SUBSTITUTE('1000_заявлений'!B982, ".", ","))</f>
        <v>0.56723639624299405</v>
      </c>
      <c r="C988" s="4">
        <f>VALUE(SUBSTITUTE('1000_заявлений'!C982, ".", ","))</f>
        <v>0.38123057184772602</v>
      </c>
      <c r="D988" s="4">
        <f>VALUE(SUBSTITUTE('1000_заявлений'!D982, ".", ","))</f>
        <v>0.67541329999999999</v>
      </c>
      <c r="E988" s="4">
        <f>VALUE(SUBSTITUTE('1000_заявлений'!E982, ".", ","))</f>
        <v>1.3159556000000001E-6</v>
      </c>
      <c r="F988" s="5">
        <f>VALUE(SUBSTITUTE('1000_заявлений'!F982, ".", ","))</f>
        <v>-1425</v>
      </c>
      <c r="G988" s="5">
        <f>VALUE(SUBSTITUTE('1000_заявлений'!G982, ".", ","))</f>
        <v>-12267</v>
      </c>
      <c r="H988" s="5">
        <f>VALUE(SUBSTITUTE('1000_заявлений'!H982, ".", ","))</f>
        <v>-1264</v>
      </c>
      <c r="I988" s="4">
        <f>VALUE(SUBSTITUTE('1000_заявлений'!I982, ".", ","))</f>
        <v>0.04</v>
      </c>
      <c r="J988" s="4">
        <f>VALUE(SUBSTITUTE('1000_заявлений'!J982, ".", ","))</f>
        <v>10.6209759779781</v>
      </c>
      <c r="K988" s="5">
        <f>VALUE(SUBSTITUTE('1000_заявлений'!K982, ".", ","))</f>
        <v>-4718</v>
      </c>
      <c r="L988" s="6">
        <f>VALUE(SUBSTITUTE('1000_заявлений'!L982, ".", ","))</f>
        <v>9000</v>
      </c>
      <c r="M988" s="2" t="str">
        <f>IF(Данные[[#This Row],[proba]]&gt;$C$6, "отказ", "одобрение")</f>
        <v>отказ</v>
      </c>
      <c r="N988" s="7">
        <f>IF(Данные[[#This Row],[proba]]&lt;$D$2,$C$2,IF(Данные[[#This Row],[proba]]&lt;$D$3,$C$3,IF(Данные[[#This Row],[proba]]&gt;$C$6,0,$C$4)))</f>
        <v>0</v>
      </c>
      <c r="O988" s="2">
        <f>IF(Данные[[#This Row],[weighted_ext_score]]&gt;$O$1,MIN(Данные[[#This Row],[Базовая сумма]]*$O$2,$C$2),IF(Данные[[#This Row],[weighted_ext_score]]&lt;$O$3,Данные[[#This Row],[Базовая сумма]]*$O$4,N988))</f>
        <v>0</v>
      </c>
      <c r="P98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8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88" s="2">
        <f>ABS(Данные[[#This Row],[days_birth]])/365.2425</f>
        <v>33.585905254728026</v>
      </c>
      <c r="S98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88" s="2">
        <f>IF(Данные[[#This Row],[ interest_rate]]&gt;$T$1,Данные[[#This Row],[days_birth4]]*$T$2,Данные[[#This Row],[days_birth4]])</f>
        <v>0</v>
      </c>
      <c r="U988" s="2">
        <f>IF(Данные[[#This Row],[Проверка отказа]]="отказ",0,MAX(Данные[[#This Row],[interest_rate]],$C$1))</f>
        <v>0</v>
      </c>
      <c r="V988" s="2">
        <f>MROUND(Данные[[#This Row],[Минимум 20000]], 100)</f>
        <v>0</v>
      </c>
    </row>
    <row r="989" spans="1:22" x14ac:dyDescent="0.25">
      <c r="A989" s="2">
        <f>'1000_заявлений'!A983</f>
        <v>981</v>
      </c>
      <c r="B989" s="4">
        <f>VALUE(SUBSTITUTE('1000_заявлений'!B983, ".", ","))</f>
        <v>0.29445318781421198</v>
      </c>
      <c r="C989" s="4">
        <f>VALUE(SUBSTITUTE('1000_заявлений'!C983, ".", ","))</f>
        <v>0.42674180232387099</v>
      </c>
      <c r="D989" s="4">
        <f>VALUE(SUBSTITUTE('1000_заявлений'!D983, ".", ","))</f>
        <v>0.62461465999999999</v>
      </c>
      <c r="E989" s="4">
        <f>VALUE(SUBSTITUTE('1000_заявлений'!E983, ".", ","))</f>
        <v>0.61915679999999995</v>
      </c>
      <c r="F989" s="5">
        <f>VALUE(SUBSTITUTE('1000_заявлений'!F983, ".", ","))</f>
        <v>-9019</v>
      </c>
      <c r="G989" s="5">
        <f>VALUE(SUBSTITUTE('1000_заявлений'!G983, ".", ","))</f>
        <v>-18770</v>
      </c>
      <c r="H989" s="5">
        <f>VALUE(SUBSTITUTE('1000_заявлений'!H983, ".", ","))</f>
        <v>-2327</v>
      </c>
      <c r="I989" s="4">
        <f>VALUE(SUBSTITUTE('1000_заявлений'!I983, ".", ","))</f>
        <v>6.7382352941176393E-2</v>
      </c>
      <c r="J989" s="4">
        <f>VALUE(SUBSTITUTE('1000_заявлений'!J983, ".", ","))</f>
        <v>5.7501210113554801</v>
      </c>
      <c r="K989" s="5">
        <f>VALUE(SUBSTITUTE('1000_заявлений'!K983, ".", ","))</f>
        <v>-11167</v>
      </c>
      <c r="L989" s="6">
        <f>VALUE(SUBSTITUTE('1000_заявлений'!L983, ".", ","))</f>
        <v>10309.5</v>
      </c>
      <c r="M989" s="2" t="str">
        <f>IF(Данные[[#This Row],[proba]]&gt;$C$6, "отказ", "одобрение")</f>
        <v>одобрение</v>
      </c>
      <c r="N989" s="7">
        <f>IF(Данные[[#This Row],[proba]]&lt;$D$2,$C$2,IF(Данные[[#This Row],[proba]]&lt;$D$3,$C$3,IF(Данные[[#This Row],[proba]]&gt;$C$6,0,$C$4)))</f>
        <v>100000</v>
      </c>
      <c r="O989" s="2">
        <f>IF(Данные[[#This Row],[weighted_ext_score]]&gt;$O$1,MIN(Данные[[#This Row],[Базовая сумма]]*$O$2,$C$2),IF(Данные[[#This Row],[weighted_ext_score]]&lt;$O$3,Данные[[#This Row],[Базовая сумма]]*$O$4,N989))</f>
        <v>100000</v>
      </c>
      <c r="P98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8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89" s="2">
        <f>ABS(Данные[[#This Row],[days_birth]])/365.2425</f>
        <v>51.390514521174289</v>
      </c>
      <c r="S98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151200</v>
      </c>
      <c r="T989" s="2">
        <f>IF(Данные[[#This Row],[ interest_rate]]&gt;$T$1,Данные[[#This Row],[days_birth4]]*$T$2,Данные[[#This Row],[days_birth4]])</f>
        <v>151200</v>
      </c>
      <c r="U989" s="2">
        <f>IF(Данные[[#This Row],[Проверка отказа]]="отказ",0,MAX(Данные[[#This Row],[interest_rate]],$C$1))</f>
        <v>151200</v>
      </c>
      <c r="V989" s="2">
        <f>MROUND(Данные[[#This Row],[Минимум 20000]], 100)</f>
        <v>151200</v>
      </c>
    </row>
    <row r="990" spans="1:22" x14ac:dyDescent="0.25">
      <c r="A990" s="2">
        <f>'1000_заявлений'!A984</f>
        <v>982</v>
      </c>
      <c r="B990" s="4">
        <f>VALUE(SUBSTITUTE('1000_заявлений'!B984, ".", ","))</f>
        <v>0.29504088955656799</v>
      </c>
      <c r="C990" s="4">
        <f>VALUE(SUBSTITUTE('1000_заявлений'!C984, ".", ","))</f>
        <v>0.59865918365290505</v>
      </c>
      <c r="D990" s="4">
        <f>VALUE(SUBSTITUTE('1000_заявлений'!D984, ".", ","))</f>
        <v>0.54602320000000004</v>
      </c>
      <c r="E990" s="4">
        <f>VALUE(SUBSTITUTE('1000_заявлений'!E984, ".", ","))</f>
        <v>0.631656</v>
      </c>
      <c r="F990" s="5">
        <f>VALUE(SUBSTITUTE('1000_заявлений'!F984, ".", ","))</f>
        <v>-7789</v>
      </c>
      <c r="G990" s="5">
        <f>VALUE(SUBSTITUTE('1000_заявлений'!G984, ".", ","))</f>
        <v>-16988</v>
      </c>
      <c r="H990" s="5">
        <f>VALUE(SUBSTITUTE('1000_заявлений'!H984, ".", ","))</f>
        <v>-522</v>
      </c>
      <c r="I990" s="4">
        <f>VALUE(SUBSTITUTE('1000_заявлений'!I984, ".", ","))</f>
        <v>0.10943333333333299</v>
      </c>
      <c r="J990" s="4">
        <f>VALUE(SUBSTITUTE('1000_заявлений'!J984, ".", ","))</f>
        <v>1.53655613130669</v>
      </c>
      <c r="K990" s="5">
        <f>VALUE(SUBSTITUTE('1000_заявлений'!K984, ".", ","))</f>
        <v>-1174</v>
      </c>
      <c r="L990" s="6">
        <f>VALUE(SUBSTITUTE('1000_заявлений'!L984, ".", ","))</f>
        <v>29547</v>
      </c>
      <c r="M990" s="2" t="str">
        <f>IF(Данные[[#This Row],[proba]]&gt;$C$6, "отказ", "одобрение")</f>
        <v>одобрение</v>
      </c>
      <c r="N990" s="7">
        <f>IF(Данные[[#This Row],[proba]]&lt;$D$2,$C$2,IF(Данные[[#This Row],[proba]]&lt;$D$3,$C$3,IF(Данные[[#This Row],[proba]]&gt;$C$6,0,$C$4)))</f>
        <v>100000</v>
      </c>
      <c r="O990" s="2">
        <f>IF(Данные[[#This Row],[weighted_ext_score]]&gt;$O$1,MIN(Данные[[#This Row],[Базовая сумма]]*$O$2,$C$2),IF(Данные[[#This Row],[weighted_ext_score]]&lt;$O$3,Данные[[#This Row],[Базовая сумма]]*$O$4,N990))</f>
        <v>100000</v>
      </c>
      <c r="P99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9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990" s="2">
        <f>ABS(Данные[[#This Row],[days_birth]])/365.2425</f>
        <v>46.511564234720765</v>
      </c>
      <c r="S99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84000</v>
      </c>
      <c r="T990" s="2">
        <f>IF(Данные[[#This Row],[ interest_rate]]&gt;$T$1,Данные[[#This Row],[days_birth4]]*$T$2,Данные[[#This Row],[days_birth4]])</f>
        <v>84000</v>
      </c>
      <c r="U990" s="2">
        <f>IF(Данные[[#This Row],[Проверка отказа]]="отказ",0,MAX(Данные[[#This Row],[interest_rate]],$C$1))</f>
        <v>84000</v>
      </c>
      <c r="V990" s="2">
        <f>MROUND(Данные[[#This Row],[Минимум 20000]], 100)</f>
        <v>84000</v>
      </c>
    </row>
    <row r="991" spans="1:22" x14ac:dyDescent="0.25">
      <c r="A991" s="2">
        <f>'1000_заявлений'!A985</f>
        <v>983</v>
      </c>
      <c r="B991" s="4">
        <f>VALUE(SUBSTITUTE('1000_заявлений'!B985, ".", ","))</f>
        <v>0.70150081653135898</v>
      </c>
      <c r="C991" s="4">
        <f>VALUE(SUBSTITUTE('1000_заявлений'!C985, ".", ","))</f>
        <v>0.35145138157559702</v>
      </c>
      <c r="D991" s="4">
        <f>VALUE(SUBSTITUTE('1000_заявлений'!D985, ".", ","))</f>
        <v>5.2726525000000005E-4</v>
      </c>
      <c r="E991" s="4">
        <f>VALUE(SUBSTITUTE('1000_заявлений'!E985, ".", ","))</f>
        <v>0.50249474999999999</v>
      </c>
      <c r="F991" s="5">
        <f>VALUE(SUBSTITUTE('1000_заявлений'!F985, ".", ","))</f>
        <v>-11493</v>
      </c>
      <c r="G991" s="5">
        <f>VALUE(SUBSTITUTE('1000_заявлений'!G985, ".", ","))</f>
        <v>-20877</v>
      </c>
      <c r="H991" s="5">
        <f>VALUE(SUBSTITUTE('1000_заявлений'!H985, ".", ","))</f>
        <v>-4166</v>
      </c>
      <c r="I991" s="4">
        <f>VALUE(SUBSTITUTE('1000_заявлений'!I985, ".", ","))</f>
        <v>0.28396666666666598</v>
      </c>
      <c r="J991" s="4">
        <f>VALUE(SUBSTITUTE('1000_заявлений'!J985, ".", ","))</f>
        <v>6.5362579480558303</v>
      </c>
      <c r="K991" s="5">
        <f>VALUE(SUBSTITUTE('1000_заявлений'!K985, ".", ","))</f>
        <v>-8147</v>
      </c>
      <c r="L991" s="6">
        <f>VALUE(SUBSTITUTE('1000_заявлений'!L985, ".", ","))</f>
        <v>38335.5</v>
      </c>
      <c r="M991" s="2" t="str">
        <f>IF(Данные[[#This Row],[proba]]&gt;$C$6, "отказ", "одобрение")</f>
        <v>отказ</v>
      </c>
      <c r="N991" s="7">
        <f>IF(Данные[[#This Row],[proba]]&lt;$D$2,$C$2,IF(Данные[[#This Row],[proba]]&lt;$D$3,$C$3,IF(Данные[[#This Row],[proba]]&gt;$C$6,0,$C$4)))</f>
        <v>0</v>
      </c>
      <c r="O991" s="2">
        <f>IF(Данные[[#This Row],[weighted_ext_score]]&gt;$O$1,MIN(Данные[[#This Row],[Базовая сумма]]*$O$2,$C$2),IF(Данные[[#This Row],[weighted_ext_score]]&lt;$O$3,Данные[[#This Row],[Базовая сумма]]*$O$4,N991))</f>
        <v>0</v>
      </c>
      <c r="P99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1" s="2">
        <f>ABS(Данные[[#This Row],[days_birth]])/365.2425</f>
        <v>57.159284584899076</v>
      </c>
      <c r="S99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1" s="2">
        <f>IF(Данные[[#This Row],[ interest_rate]]&gt;$T$1,Данные[[#This Row],[days_birth4]]*$T$2,Данные[[#This Row],[days_birth4]])</f>
        <v>0</v>
      </c>
      <c r="U991" s="2">
        <f>IF(Данные[[#This Row],[Проверка отказа]]="отказ",0,MAX(Данные[[#This Row],[interest_rate]],$C$1))</f>
        <v>0</v>
      </c>
      <c r="V991" s="2">
        <f>MROUND(Данные[[#This Row],[Минимум 20000]], 100)</f>
        <v>0</v>
      </c>
    </row>
    <row r="992" spans="1:22" x14ac:dyDescent="0.25">
      <c r="A992" s="2">
        <f>'1000_заявлений'!A986</f>
        <v>984</v>
      </c>
      <c r="B992" s="4">
        <f>VALUE(SUBSTITUTE('1000_заявлений'!B986, ".", ","))</f>
        <v>0.28581643678748803</v>
      </c>
      <c r="C992" s="4">
        <f>VALUE(SUBSTITUTE('1000_заявлений'!C986, ".", ","))</f>
        <v>0.61755654597021603</v>
      </c>
      <c r="D992" s="4">
        <f>VALUE(SUBSTITUTE('1000_заявлений'!D986, ".", ","))</f>
        <v>0.55672739999999998</v>
      </c>
      <c r="E992" s="4">
        <f>VALUE(SUBSTITUTE('1000_заявлений'!E986, ".", ","))</f>
        <v>0.65776389999999996</v>
      </c>
      <c r="F992" s="5">
        <f>VALUE(SUBSTITUTE('1000_заявлений'!F986, ".", ","))</f>
        <v>-6757</v>
      </c>
      <c r="G992" s="5">
        <f>VALUE(SUBSTITUTE('1000_заявлений'!G986, ".", ","))</f>
        <v>-13523</v>
      </c>
      <c r="H992" s="5">
        <f>VALUE(SUBSTITUTE('1000_заявлений'!H986, ".", ","))</f>
        <v>-3838</v>
      </c>
      <c r="I992" s="4">
        <f>VALUE(SUBSTITUTE('1000_заявлений'!I986, ".", ","))</f>
        <v>0.142666666666666</v>
      </c>
      <c r="J992" s="4">
        <f>VALUE(SUBSTITUTE('1000_заявлений'!J986, ".", ","))</f>
        <v>2.3883268377026399</v>
      </c>
      <c r="K992" s="5">
        <f>VALUE(SUBSTITUTE('1000_заявлений'!K986, ".", ","))</f>
        <v>-3697</v>
      </c>
      <c r="L992" s="6">
        <f>VALUE(SUBSTITUTE('1000_заявлений'!L986, ".", ","))</f>
        <v>9630</v>
      </c>
      <c r="M992" s="2" t="str">
        <f>IF(Данные[[#This Row],[proba]]&gt;$C$6, "отказ", "одобрение")</f>
        <v>одобрение</v>
      </c>
      <c r="N992" s="7">
        <f>IF(Данные[[#This Row],[proba]]&lt;$D$2,$C$2,IF(Данные[[#This Row],[proba]]&lt;$D$3,$C$3,IF(Данные[[#This Row],[proba]]&gt;$C$6,0,$C$4)))</f>
        <v>100000</v>
      </c>
      <c r="O992" s="2">
        <f>IF(Данные[[#This Row],[weighted_ext_score]]&gt;$O$1,MIN(Данные[[#This Row],[Базовая сумма]]*$O$2,$C$2),IF(Данные[[#This Row],[weighted_ext_score]]&lt;$O$3,Данные[[#This Row],[Базовая сумма]]*$O$4,N992))</f>
        <v>100000</v>
      </c>
      <c r="P99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9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144000</v>
      </c>
      <c r="R992" s="2">
        <f>ABS(Данные[[#This Row],[days_birth]])/365.2425</f>
        <v>37.02471645550559</v>
      </c>
      <c r="S99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144000</v>
      </c>
      <c r="T992" s="2">
        <f>IF(Данные[[#This Row],[ interest_rate]]&gt;$T$1,Данные[[#This Row],[days_birth4]]*$T$2,Данные[[#This Row],[days_birth4]])</f>
        <v>144000</v>
      </c>
      <c r="U992" s="2">
        <f>IF(Данные[[#This Row],[Проверка отказа]]="отказ",0,MAX(Данные[[#This Row],[interest_rate]],$C$1))</f>
        <v>144000</v>
      </c>
      <c r="V992" s="2">
        <f>MROUND(Данные[[#This Row],[Минимум 20000]], 100)</f>
        <v>144000</v>
      </c>
    </row>
    <row r="993" spans="1:22" x14ac:dyDescent="0.25">
      <c r="A993" s="2">
        <f>'1000_заявлений'!A987</f>
        <v>985</v>
      </c>
      <c r="B993" s="4">
        <f>VALUE(SUBSTITUTE('1000_заявлений'!B987, ".", ","))</f>
        <v>0.39952438895555198</v>
      </c>
      <c r="C993" s="4">
        <f>VALUE(SUBSTITUTE('1000_заявлений'!C987, ".", ","))</f>
        <v>0.50089633166122305</v>
      </c>
      <c r="D993" s="4">
        <f>VALUE(SUBSTITUTE('1000_заявлений'!D987, ".", ","))</f>
        <v>0.41184854999999998</v>
      </c>
      <c r="E993" s="4">
        <f>VALUE(SUBSTITUTE('1000_заявлений'!E987, ".", ","))</f>
        <v>0.73661757000000005</v>
      </c>
      <c r="F993" s="5">
        <f>VALUE(SUBSTITUTE('1000_заявлений'!F987, ".", ","))</f>
        <v>-6109</v>
      </c>
      <c r="G993" s="5">
        <f>VALUE(SUBSTITUTE('1000_заявлений'!G987, ".", ","))</f>
        <v>-11568</v>
      </c>
      <c r="H993" s="5">
        <f>VALUE(SUBSTITUTE('1000_заявлений'!H987, ".", ","))</f>
        <v>-585</v>
      </c>
      <c r="I993" s="4">
        <f>VALUE(SUBSTITUTE('1000_заявлений'!I987, ".", ","))</f>
        <v>0.16550000000000001</v>
      </c>
      <c r="J993" s="4">
        <f>VALUE(SUBSTITUTE('1000_заявлений'!J987, ".", ","))</f>
        <v>4.2374892445733199</v>
      </c>
      <c r="K993" s="5">
        <f>VALUE(SUBSTITUTE('1000_заявлений'!K987, ".", ","))</f>
        <v>-2067</v>
      </c>
      <c r="L993" s="6">
        <f>VALUE(SUBSTITUTE('1000_заявлений'!L987, ".", ","))</f>
        <v>31279.5</v>
      </c>
      <c r="M993" s="2" t="str">
        <f>IF(Данные[[#This Row],[proba]]&gt;$C$6, "отказ", "одобрение")</f>
        <v>отказ</v>
      </c>
      <c r="N993" s="7">
        <f>IF(Данные[[#This Row],[proba]]&lt;$D$2,$C$2,IF(Данные[[#This Row],[proba]]&lt;$D$3,$C$3,IF(Данные[[#This Row],[proba]]&gt;$C$6,0,$C$4)))</f>
        <v>0</v>
      </c>
      <c r="O993" s="2">
        <f>IF(Данные[[#This Row],[weighted_ext_score]]&gt;$O$1,MIN(Данные[[#This Row],[Базовая сумма]]*$O$2,$C$2),IF(Данные[[#This Row],[weighted_ext_score]]&lt;$O$3,Данные[[#This Row],[Базовая сумма]]*$O$4,N993))</f>
        <v>0</v>
      </c>
      <c r="P99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3" s="2">
        <f>ABS(Данные[[#This Row],[days_birth]])/365.2425</f>
        <v>31.672108256843057</v>
      </c>
      <c r="S99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3" s="2">
        <f>IF(Данные[[#This Row],[ interest_rate]]&gt;$T$1,Данные[[#This Row],[days_birth4]]*$T$2,Данные[[#This Row],[days_birth4]])</f>
        <v>0</v>
      </c>
      <c r="U993" s="2">
        <f>IF(Данные[[#This Row],[Проверка отказа]]="отказ",0,MAX(Данные[[#This Row],[interest_rate]],$C$1))</f>
        <v>0</v>
      </c>
      <c r="V993" s="2">
        <f>MROUND(Данные[[#This Row],[Минимум 20000]], 100)</f>
        <v>0</v>
      </c>
    </row>
    <row r="994" spans="1:22" x14ac:dyDescent="0.25">
      <c r="A994" s="2">
        <f>'1000_заявлений'!A988</f>
        <v>986</v>
      </c>
      <c r="B994" s="4">
        <f>VALUE(SUBSTITUTE('1000_заявлений'!B988, ".", ","))</f>
        <v>0.28953574587645098</v>
      </c>
      <c r="C994" s="4">
        <f>VALUE(SUBSTITUTE('1000_заявлений'!C988, ".", ","))</f>
        <v>0.37740121679696598</v>
      </c>
      <c r="D994" s="4">
        <f>VALUE(SUBSTITUTE('1000_заявлений'!D988, ".", ","))</f>
        <v>0.56206049999999996</v>
      </c>
      <c r="E994" s="4">
        <f>VALUE(SUBSTITUTE('1000_заявлений'!E988, ".", ","))</f>
        <v>0.53679304999999999</v>
      </c>
      <c r="F994" s="5">
        <f>VALUE(SUBSTITUTE('1000_заявлений'!F988, ".", ","))</f>
        <v>-296</v>
      </c>
      <c r="G994" s="5">
        <f>VALUE(SUBSTITUTE('1000_заявлений'!G988, ".", ","))</f>
        <v>-24531</v>
      </c>
      <c r="H994" s="5">
        <f>VALUE(SUBSTITUTE('1000_заявлений'!H988, ".", ","))</f>
        <v>-5651</v>
      </c>
      <c r="I994" s="4">
        <f>VALUE(SUBSTITUTE('1000_заявлений'!I988, ".", ","))</f>
        <v>0.122</v>
      </c>
      <c r="J994" s="4">
        <f>VALUE(SUBSTITUTE('1000_заявлений'!J988, ".", ","))</f>
        <v>6.6939275910995599</v>
      </c>
      <c r="K994" s="5">
        <f>VALUE(SUBSTITUTE('1000_заявлений'!K988, ".", ","))</f>
        <v>365243</v>
      </c>
      <c r="L994" s="6">
        <f>VALUE(SUBSTITUTE('1000_заявлений'!L988, ".", ","))</f>
        <v>24705</v>
      </c>
      <c r="M994" s="2" t="str">
        <f>IF(Данные[[#This Row],[proba]]&gt;$C$6, "отказ", "одобрение")</f>
        <v>одобрение</v>
      </c>
      <c r="N994" s="7">
        <f>IF(Данные[[#This Row],[proba]]&lt;$D$2,$C$2,IF(Данные[[#This Row],[proba]]&lt;$D$3,$C$3,IF(Данные[[#This Row],[proba]]&gt;$C$6,0,$C$4)))</f>
        <v>100000</v>
      </c>
      <c r="O994" s="2">
        <f>IF(Данные[[#This Row],[weighted_ext_score]]&gt;$O$1,MIN(Данные[[#This Row],[Базовая сумма]]*$O$2,$C$2),IF(Данные[[#This Row],[weighted_ext_score]]&lt;$O$3,Данные[[#This Row],[Базовая сумма]]*$O$4,N994))</f>
        <v>100000</v>
      </c>
      <c r="P99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99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120000</v>
      </c>
      <c r="R994" s="2">
        <f>ABS(Данные[[#This Row],[days_birth]])/365.2425</f>
        <v>67.163596788435086</v>
      </c>
      <c r="S99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126000</v>
      </c>
      <c r="T994" s="2">
        <f>IF(Данные[[#This Row],[ interest_rate]]&gt;$T$1,Данные[[#This Row],[days_birth4]]*$T$2,Данные[[#This Row],[days_birth4]])</f>
        <v>126000</v>
      </c>
      <c r="U994" s="2">
        <f>IF(Данные[[#This Row],[Проверка отказа]]="отказ",0,MAX(Данные[[#This Row],[interest_rate]],$C$1))</f>
        <v>126000</v>
      </c>
      <c r="V994" s="2">
        <f>MROUND(Данные[[#This Row],[Минимум 20000]], 100)</f>
        <v>126000</v>
      </c>
    </row>
    <row r="995" spans="1:22" x14ac:dyDescent="0.25">
      <c r="A995" s="2">
        <f>'1000_заявлений'!A989</f>
        <v>987</v>
      </c>
      <c r="B995" s="4">
        <f>VALUE(SUBSTITUTE('1000_заявлений'!B989, ".", ","))</f>
        <v>0.54741422296549502</v>
      </c>
      <c r="C995" s="4">
        <f>VALUE(SUBSTITUTE('1000_заявлений'!C989, ".", ","))</f>
        <v>0.27249898573110198</v>
      </c>
      <c r="D995" s="4">
        <f>VALUE(SUBSTITUTE('1000_заявлений'!D989, ".", ","))</f>
        <v>0.57091652999999998</v>
      </c>
      <c r="E995" s="4">
        <f>VALUE(SUBSTITUTE('1000_заявлений'!E989, ".", ","))</f>
        <v>0.20352282999999999</v>
      </c>
      <c r="F995" s="5">
        <f>VALUE(SUBSTITUTE('1000_заявлений'!F989, ".", ","))</f>
        <v>-3038</v>
      </c>
      <c r="G995" s="5">
        <f>VALUE(SUBSTITUTE('1000_заявлений'!G989, ".", ","))</f>
        <v>-22092</v>
      </c>
      <c r="H995" s="5">
        <f>VALUE(SUBSTITUTE('1000_заявлений'!H989, ".", ","))</f>
        <v>-4677</v>
      </c>
      <c r="I995" s="4">
        <f>VALUE(SUBSTITUTE('1000_заявлений'!I989, ".", ","))</f>
        <v>0.28275</v>
      </c>
      <c r="J995" s="4">
        <f>VALUE(SUBSTITUTE('1000_заявлений'!J989, ".", ","))</f>
        <v>4.6197886003463697</v>
      </c>
      <c r="K995" s="5">
        <f>VALUE(SUBSTITUTE('1000_заявлений'!K989, ".", ","))</f>
        <v>365243</v>
      </c>
      <c r="L995" s="6">
        <f>VALUE(SUBSTITUTE('1000_заявлений'!L989, ".", ","))</f>
        <v>15268.5</v>
      </c>
      <c r="M995" s="2" t="str">
        <f>IF(Данные[[#This Row],[proba]]&gt;$C$6, "отказ", "одобрение")</f>
        <v>отказ</v>
      </c>
      <c r="N995" s="7">
        <f>IF(Данные[[#This Row],[proba]]&lt;$D$2,$C$2,IF(Данные[[#This Row],[proba]]&lt;$D$3,$C$3,IF(Данные[[#This Row],[proba]]&gt;$C$6,0,$C$4)))</f>
        <v>0</v>
      </c>
      <c r="O995" s="2">
        <f>IF(Данные[[#This Row],[weighted_ext_score]]&gt;$O$1,MIN(Данные[[#This Row],[Базовая сумма]]*$O$2,$C$2),IF(Данные[[#This Row],[weighted_ext_score]]&lt;$O$3,Данные[[#This Row],[Базовая сумма]]*$O$4,N995))</f>
        <v>0</v>
      </c>
      <c r="P99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5" s="2">
        <f>ABS(Данные[[#This Row],[days_birth]])/365.2425</f>
        <v>60.48584159839011</v>
      </c>
      <c r="S99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5" s="2">
        <f>IF(Данные[[#This Row],[ interest_rate]]&gt;$T$1,Данные[[#This Row],[days_birth4]]*$T$2,Данные[[#This Row],[days_birth4]])</f>
        <v>0</v>
      </c>
      <c r="U995" s="2">
        <f>IF(Данные[[#This Row],[Проверка отказа]]="отказ",0,MAX(Данные[[#This Row],[interest_rate]],$C$1))</f>
        <v>0</v>
      </c>
      <c r="V995" s="2">
        <f>MROUND(Данные[[#This Row],[Минимум 20000]], 100)</f>
        <v>0</v>
      </c>
    </row>
    <row r="996" spans="1:22" x14ac:dyDescent="0.25">
      <c r="A996" s="2">
        <f>'1000_заявлений'!A990</f>
        <v>988</v>
      </c>
      <c r="B996" s="4">
        <f>VALUE(SUBSTITUTE('1000_заявлений'!B990, ".", ","))</f>
        <v>0.487213355881498</v>
      </c>
      <c r="C996" s="4">
        <f>VALUE(SUBSTITUTE('1000_заявлений'!C990, ".", ","))</f>
        <v>0.35720470183244601</v>
      </c>
      <c r="D996" s="4">
        <f>VALUE(SUBSTITUTE('1000_заявлений'!D990, ".", ","))</f>
        <v>0.44361531999999998</v>
      </c>
      <c r="E996" s="4">
        <f>VALUE(SUBSTITUTE('1000_заявлений'!E990, ".", ","))</f>
        <v>0.60659160000000001</v>
      </c>
      <c r="F996" s="5">
        <f>VALUE(SUBSTITUTE('1000_заявлений'!F990, ".", ","))</f>
        <v>-9657</v>
      </c>
      <c r="G996" s="5">
        <f>VALUE(SUBSTITUTE('1000_заявлений'!G990, ".", ","))</f>
        <v>-19783</v>
      </c>
      <c r="H996" s="5">
        <f>VALUE(SUBSTITUTE('1000_заявлений'!H990, ".", ","))</f>
        <v>-3327</v>
      </c>
      <c r="I996" s="4">
        <f>VALUE(SUBSTITUTE('1000_заявлений'!I990, ".", ","))</f>
        <v>0.38708695652173902</v>
      </c>
      <c r="J996" s="4">
        <f>VALUE(SUBSTITUTE('1000_заявлений'!J990, ".", ","))</f>
        <v>3.0766120269214401</v>
      </c>
      <c r="K996" s="5">
        <f>VALUE(SUBSTITUTE('1000_заявлений'!K990, ".", ","))</f>
        <v>-1923</v>
      </c>
      <c r="L996" s="6">
        <f>VALUE(SUBSTITUTE('1000_заявлений'!L990, ".", ","))</f>
        <v>40063.5</v>
      </c>
      <c r="M996" s="2" t="str">
        <f>IF(Данные[[#This Row],[proba]]&gt;$C$6, "отказ", "одобрение")</f>
        <v>отказ</v>
      </c>
      <c r="N996" s="7">
        <f>IF(Данные[[#This Row],[proba]]&lt;$D$2,$C$2,IF(Данные[[#This Row],[proba]]&lt;$D$3,$C$3,IF(Данные[[#This Row],[proba]]&gt;$C$6,0,$C$4)))</f>
        <v>0</v>
      </c>
      <c r="O996" s="2">
        <f>IF(Данные[[#This Row],[weighted_ext_score]]&gt;$O$1,MIN(Данные[[#This Row],[Базовая сумма]]*$O$2,$C$2),IF(Данные[[#This Row],[weighted_ext_score]]&lt;$O$3,Данные[[#This Row],[Базовая сумма]]*$O$4,N996))</f>
        <v>0</v>
      </c>
      <c r="P99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6" s="2">
        <f>ABS(Данные[[#This Row],[days_birth]])/365.2425</f>
        <v>54.164014319253646</v>
      </c>
      <c r="S99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6" s="2">
        <f>IF(Данные[[#This Row],[ interest_rate]]&gt;$T$1,Данные[[#This Row],[days_birth4]]*$T$2,Данные[[#This Row],[days_birth4]])</f>
        <v>0</v>
      </c>
      <c r="U996" s="2">
        <f>IF(Данные[[#This Row],[Проверка отказа]]="отказ",0,MAX(Данные[[#This Row],[interest_rate]],$C$1))</f>
        <v>0</v>
      </c>
      <c r="V996" s="2">
        <f>MROUND(Данные[[#This Row],[Минимум 20000]], 100)</f>
        <v>0</v>
      </c>
    </row>
    <row r="997" spans="1:22" x14ac:dyDescent="0.25">
      <c r="A997" s="2">
        <f>'1000_заявлений'!A991</f>
        <v>989</v>
      </c>
      <c r="B997" s="4">
        <f>VALUE(SUBSTITUTE('1000_заявлений'!B991, ".", ","))</f>
        <v>0.46534048174618697</v>
      </c>
      <c r="C997" s="4">
        <f>VALUE(SUBSTITUTE('1000_заявлений'!C991, ".", ","))</f>
        <v>0.47473947533475902</v>
      </c>
      <c r="D997" s="4">
        <f>VALUE(SUBSTITUTE('1000_заявлений'!D991, ".", ","))</f>
        <v>0.32647520000000002</v>
      </c>
      <c r="E997" s="4">
        <f>VALUE(SUBSTITUTE('1000_заявлений'!E991, ".", ","))</f>
        <v>0.65173329999999996</v>
      </c>
      <c r="F997" s="5">
        <f>VALUE(SUBSTITUTE('1000_заявлений'!F991, ".", ","))</f>
        <v>-4611</v>
      </c>
      <c r="G997" s="5">
        <f>VALUE(SUBSTITUTE('1000_заявлений'!G991, ".", ","))</f>
        <v>-10751</v>
      </c>
      <c r="H997" s="5">
        <f>VALUE(SUBSTITUTE('1000_заявлений'!H991, ".", ","))</f>
        <v>-3383</v>
      </c>
      <c r="I997" s="4">
        <f>VALUE(SUBSTITUTE('1000_заявлений'!I991, ".", ","))</f>
        <v>0.10908</v>
      </c>
      <c r="J997" s="4">
        <f>VALUE(SUBSTITUTE('1000_заявлений'!J991, ".", ","))</f>
        <v>4.3909201370607498</v>
      </c>
      <c r="K997" s="5">
        <f>VALUE(SUBSTITUTE('1000_заявлений'!K991, ".", ","))</f>
        <v>-546</v>
      </c>
      <c r="L997" s="6">
        <f>VALUE(SUBSTITUTE('1000_заявлений'!L991, ".", ","))</f>
        <v>24543</v>
      </c>
      <c r="M997" s="2" t="str">
        <f>IF(Данные[[#This Row],[proba]]&gt;$C$6, "отказ", "одобрение")</f>
        <v>отказ</v>
      </c>
      <c r="N997" s="7">
        <f>IF(Данные[[#This Row],[proba]]&lt;$D$2,$C$2,IF(Данные[[#This Row],[proba]]&lt;$D$3,$C$3,IF(Данные[[#This Row],[proba]]&gt;$C$6,0,$C$4)))</f>
        <v>0</v>
      </c>
      <c r="O997" s="2">
        <f>IF(Данные[[#This Row],[weighted_ext_score]]&gt;$O$1,MIN(Данные[[#This Row],[Базовая сумма]]*$O$2,$C$2),IF(Данные[[#This Row],[weighted_ext_score]]&lt;$O$3,Данные[[#This Row],[Базовая сумма]]*$O$4,N997))</f>
        <v>0</v>
      </c>
      <c r="P99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7" s="2">
        <f>ABS(Данные[[#This Row],[days_birth]])/365.2425</f>
        <v>29.435238232133447</v>
      </c>
      <c r="S99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7" s="2">
        <f>IF(Данные[[#This Row],[ interest_rate]]&gt;$T$1,Данные[[#This Row],[days_birth4]]*$T$2,Данные[[#This Row],[days_birth4]])</f>
        <v>0</v>
      </c>
      <c r="U997" s="2">
        <f>IF(Данные[[#This Row],[Проверка отказа]]="отказ",0,MAX(Данные[[#This Row],[interest_rate]],$C$1))</f>
        <v>0</v>
      </c>
      <c r="V997" s="2">
        <f>MROUND(Данные[[#This Row],[Минимум 20000]], 100)</f>
        <v>0</v>
      </c>
    </row>
    <row r="998" spans="1:22" x14ac:dyDescent="0.25">
      <c r="A998" s="2">
        <f>'1000_заявлений'!A992</f>
        <v>990</v>
      </c>
      <c r="B998" s="4">
        <f>VALUE(SUBSTITUTE('1000_заявлений'!B992, ".", ","))</f>
        <v>0.38400614814825301</v>
      </c>
      <c r="C998" s="4">
        <f>VALUE(SUBSTITUTE('1000_заявлений'!C992, ".", ","))</f>
        <v>0.48616273387541098</v>
      </c>
      <c r="D998" s="4">
        <f>VALUE(SUBSTITUTE('1000_заявлений'!D992, ".", ","))</f>
        <v>0.62967426000000004</v>
      </c>
      <c r="E998" s="4">
        <f>VALUE(SUBSTITUTE('1000_заявлений'!E992, ".", ","))</f>
        <v>0.43676232999999998</v>
      </c>
      <c r="F998" s="5">
        <f>VALUE(SUBSTITUTE('1000_заявлений'!F992, ".", ","))</f>
        <v>-3842</v>
      </c>
      <c r="G998" s="5">
        <f>VALUE(SUBSTITUTE('1000_заявлений'!G992, ".", ","))</f>
        <v>-10538</v>
      </c>
      <c r="H998" s="5">
        <f>VALUE(SUBSTITUTE('1000_заявлений'!H992, ".", ","))</f>
        <v>-3187</v>
      </c>
      <c r="I998" s="4">
        <f>VALUE(SUBSTITUTE('1000_заявлений'!I992, ".", ","))</f>
        <v>0.16905405405405399</v>
      </c>
      <c r="J998" s="4">
        <f>VALUE(SUBSTITUTE('1000_заявлений'!J992, ".", ","))</f>
        <v>7.92413870877024</v>
      </c>
      <c r="K998" s="5">
        <f>VALUE(SUBSTITUTE('1000_заявлений'!K992, ".", ","))</f>
        <v>-1177</v>
      </c>
      <c r="L998" s="6">
        <f>VALUE(SUBSTITUTE('1000_заявлений'!L992, ".", ","))</f>
        <v>28147.5</v>
      </c>
      <c r="M998" s="2" t="str">
        <f>IF(Данные[[#This Row],[proba]]&gt;$C$6, "отказ", "одобрение")</f>
        <v>отказ</v>
      </c>
      <c r="N998" s="7">
        <f>IF(Данные[[#This Row],[proba]]&lt;$D$2,$C$2,IF(Данные[[#This Row],[proba]]&lt;$D$3,$C$3,IF(Данные[[#This Row],[proba]]&gt;$C$6,0,$C$4)))</f>
        <v>0</v>
      </c>
      <c r="O998" s="2">
        <f>IF(Данные[[#This Row],[weighted_ext_score]]&gt;$O$1,MIN(Данные[[#This Row],[Базовая сумма]]*$O$2,$C$2),IF(Данные[[#This Row],[weighted_ext_score]]&lt;$O$3,Данные[[#This Row],[Базовая сумма]]*$O$4,N998))</f>
        <v>0</v>
      </c>
      <c r="P998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8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8" s="2">
        <f>ABS(Данные[[#This Row],[days_birth]])/365.2425</f>
        <v>28.852064039644894</v>
      </c>
      <c r="S998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8" s="2">
        <f>IF(Данные[[#This Row],[ interest_rate]]&gt;$T$1,Данные[[#This Row],[days_birth4]]*$T$2,Данные[[#This Row],[days_birth4]])</f>
        <v>0</v>
      </c>
      <c r="U998" s="2">
        <f>IF(Данные[[#This Row],[Проверка отказа]]="отказ",0,MAX(Данные[[#This Row],[interest_rate]],$C$1))</f>
        <v>0</v>
      </c>
      <c r="V998" s="2">
        <f>MROUND(Данные[[#This Row],[Минимум 20000]], 100)</f>
        <v>0</v>
      </c>
    </row>
    <row r="999" spans="1:22" x14ac:dyDescent="0.25">
      <c r="A999" s="2">
        <f>'1000_заявлений'!A993</f>
        <v>991</v>
      </c>
      <c r="B999" s="4">
        <f>VALUE(SUBSTITUTE('1000_заявлений'!B993, ".", ","))</f>
        <v>0.57115532851143502</v>
      </c>
      <c r="C999" s="4">
        <f>VALUE(SUBSTITUTE('1000_заявлений'!C993, ".", ","))</f>
        <v>0.33812382110358002</v>
      </c>
      <c r="D999" s="4">
        <f>VALUE(SUBSTITUTE('1000_заявлений'!D993, ".", ","))</f>
        <v>0.17982176</v>
      </c>
      <c r="E999" s="4">
        <f>VALUE(SUBSTITUTE('1000_заявлений'!E993, ".", ","))</f>
        <v>0.66957529999999998</v>
      </c>
      <c r="F999" s="5">
        <f>VALUE(SUBSTITUTE('1000_заявлений'!F993, ".", ","))</f>
        <v>-5879</v>
      </c>
      <c r="G999" s="5">
        <f>VALUE(SUBSTITUTE('1000_заявлений'!G993, ".", ","))</f>
        <v>-12642</v>
      </c>
      <c r="H999" s="5">
        <f>VALUE(SUBSTITUTE('1000_заявлений'!H993, ".", ","))</f>
        <v>-4596</v>
      </c>
      <c r="I999" s="4">
        <f>VALUE(SUBSTITUTE('1000_заявлений'!I993, ".", ","))</f>
        <v>0.14730909090909</v>
      </c>
      <c r="J999" s="4">
        <f>VALUE(SUBSTITUTE('1000_заявлений'!J993, ".", ","))</f>
        <v>6.5526323213506297</v>
      </c>
      <c r="K999" s="5">
        <f>VALUE(SUBSTITUTE('1000_заявлений'!K993, ".", ","))</f>
        <v>-1490</v>
      </c>
      <c r="L999" s="6">
        <f>VALUE(SUBSTITUTE('1000_заявлений'!L993, ".", ","))</f>
        <v>36459</v>
      </c>
      <c r="M999" s="2" t="str">
        <f>IF(Данные[[#This Row],[proba]]&gt;$C$6, "отказ", "одобрение")</f>
        <v>отказ</v>
      </c>
      <c r="N999" s="7">
        <f>IF(Данные[[#This Row],[proba]]&lt;$D$2,$C$2,IF(Данные[[#This Row],[proba]]&lt;$D$3,$C$3,IF(Данные[[#This Row],[proba]]&gt;$C$6,0,$C$4)))</f>
        <v>0</v>
      </c>
      <c r="O999" s="2">
        <f>IF(Данные[[#This Row],[weighted_ext_score]]&gt;$O$1,MIN(Данные[[#This Row],[Базовая сумма]]*$O$2,$C$2),IF(Данные[[#This Row],[weighted_ext_score]]&lt;$O$3,Данные[[#This Row],[Базовая сумма]]*$O$4,N999))</f>
        <v>0</v>
      </c>
      <c r="P999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999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999" s="2">
        <f>ABS(Данные[[#This Row],[days_birth]])/365.2425</f>
        <v>34.612620382348716</v>
      </c>
      <c r="S999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999" s="2">
        <f>IF(Данные[[#This Row],[ interest_rate]]&gt;$T$1,Данные[[#This Row],[days_birth4]]*$T$2,Данные[[#This Row],[days_birth4]])</f>
        <v>0</v>
      </c>
      <c r="U999" s="2">
        <f>IF(Данные[[#This Row],[Проверка отказа]]="отказ",0,MAX(Данные[[#This Row],[interest_rate]],$C$1))</f>
        <v>0</v>
      </c>
      <c r="V999" s="2">
        <f>MROUND(Данные[[#This Row],[Минимум 20000]], 100)</f>
        <v>0</v>
      </c>
    </row>
    <row r="1000" spans="1:22" x14ac:dyDescent="0.25">
      <c r="A1000" s="2">
        <f>'1000_заявлений'!A994</f>
        <v>992</v>
      </c>
      <c r="B1000" s="4">
        <f>VALUE(SUBSTITUTE('1000_заявлений'!B994, ".", ","))</f>
        <v>0.52757055702862599</v>
      </c>
      <c r="C1000" s="4">
        <f>VALUE(SUBSTITUTE('1000_заявлений'!C994, ".", ","))</f>
        <v>0.520792770389925</v>
      </c>
      <c r="D1000" s="4">
        <f>VALUE(SUBSTITUTE('1000_заявлений'!D994, ".", ","))</f>
        <v>0.35069584999999998</v>
      </c>
      <c r="E1000" s="4">
        <f>VALUE(SUBSTITUTE('1000_заявлений'!E994, ".", ","))</f>
        <v>0.49299925999999999</v>
      </c>
      <c r="F1000" s="5">
        <f>VALUE(SUBSTITUTE('1000_заявлений'!F994, ".", ","))</f>
        <v>-3924</v>
      </c>
      <c r="G1000" s="5">
        <f>VALUE(SUBSTITUTE('1000_заявлений'!G994, ".", ","))</f>
        <v>-16448</v>
      </c>
      <c r="H1000" s="5">
        <f>VALUE(SUBSTITUTE('1000_заявлений'!H994, ".", ","))</f>
        <v>-4</v>
      </c>
      <c r="I1000" s="4">
        <f>VALUE(SUBSTITUTE('1000_заявлений'!I994, ".", ","))</f>
        <v>0.24948571428571401</v>
      </c>
      <c r="J1000" s="4">
        <f>VALUE(SUBSTITUTE('1000_заявлений'!J994, ".", ","))</f>
        <v>3.0223822116023502</v>
      </c>
      <c r="K1000" s="5">
        <f>VALUE(SUBSTITUTE('1000_заявлений'!K994, ".", ","))</f>
        <v>-696</v>
      </c>
      <c r="L1000" s="6">
        <f>VALUE(SUBSTITUTE('1000_заявлений'!L994, ".", ","))</f>
        <v>39294</v>
      </c>
      <c r="M1000" s="2" t="str">
        <f>IF(Данные[[#This Row],[proba]]&gt;$C$6, "отказ", "одобрение")</f>
        <v>отказ</v>
      </c>
      <c r="N1000" s="7">
        <f>IF(Данные[[#This Row],[proba]]&lt;$D$2,$C$2,IF(Данные[[#This Row],[proba]]&lt;$D$3,$C$3,IF(Данные[[#This Row],[proba]]&gt;$C$6,0,$C$4)))</f>
        <v>0</v>
      </c>
      <c r="O1000" s="2">
        <f>IF(Данные[[#This Row],[weighted_ext_score]]&gt;$O$1,MIN(Данные[[#This Row],[Базовая сумма]]*$O$2,$C$2),IF(Данные[[#This Row],[weighted_ext_score]]&lt;$O$3,Данные[[#This Row],[Базовая сумма]]*$O$4,N1000))</f>
        <v>0</v>
      </c>
      <c r="P1000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0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0" s="2">
        <f>ABS(Данные[[#This Row],[days_birth]])/365.2425</f>
        <v>45.033094450946976</v>
      </c>
      <c r="S1000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0" s="2">
        <f>IF(Данные[[#This Row],[ interest_rate]]&gt;$T$1,Данные[[#This Row],[days_birth4]]*$T$2,Данные[[#This Row],[days_birth4]])</f>
        <v>0</v>
      </c>
      <c r="U1000" s="2">
        <f>IF(Данные[[#This Row],[Проверка отказа]]="отказ",0,MAX(Данные[[#This Row],[interest_rate]],$C$1))</f>
        <v>0</v>
      </c>
      <c r="V1000" s="2">
        <f>MROUND(Данные[[#This Row],[Минимум 20000]], 100)</f>
        <v>0</v>
      </c>
    </row>
    <row r="1001" spans="1:22" x14ac:dyDescent="0.25">
      <c r="A1001" s="2">
        <f>'1000_заявлений'!A995</f>
        <v>993</v>
      </c>
      <c r="B1001" s="4">
        <f>VALUE(SUBSTITUTE('1000_заявлений'!B995, ".", ","))</f>
        <v>0.57474281653089099</v>
      </c>
      <c r="C1001" s="4">
        <f>VALUE(SUBSTITUTE('1000_заявлений'!C995, ".", ","))</f>
        <v>0.39085349474252101</v>
      </c>
      <c r="D1001" s="4">
        <f>VALUE(SUBSTITUTE('1000_заявлений'!D995, ".", ","))</f>
        <v>0.35233998</v>
      </c>
      <c r="E1001" s="4">
        <f>VALUE(SUBSTITUTE('1000_заявлений'!E995, ".", ","))</f>
        <v>0.43423566000000002</v>
      </c>
      <c r="F1001" s="5">
        <f>VALUE(SUBSTITUTE('1000_заявлений'!F995, ".", ","))</f>
        <v>-930</v>
      </c>
      <c r="G1001" s="5">
        <f>VALUE(SUBSTITUTE('1000_заявлений'!G995, ".", ","))</f>
        <v>-13793</v>
      </c>
      <c r="H1001" s="5">
        <f>VALUE(SUBSTITUTE('1000_заявлений'!H995, ".", ","))</f>
        <v>-5016</v>
      </c>
      <c r="I1001" s="4">
        <f>VALUE(SUBSTITUTE('1000_заявлений'!I995, ".", ","))</f>
        <v>0.16139999999999999</v>
      </c>
      <c r="J1001" s="4">
        <f>VALUE(SUBSTITUTE('1000_заявлений'!J995, ".", ","))</f>
        <v>0.86138411279095195</v>
      </c>
      <c r="K1001" s="5">
        <f>VALUE(SUBSTITUTE('1000_заявлений'!K995, ".", ","))</f>
        <v>-2645</v>
      </c>
      <c r="L1001" s="6">
        <f>VALUE(SUBSTITUTE('1000_заявлений'!L995, ".", ","))</f>
        <v>47209.5</v>
      </c>
      <c r="M1001" s="2" t="str">
        <f>IF(Данные[[#This Row],[proba]]&gt;$C$6, "отказ", "одобрение")</f>
        <v>отказ</v>
      </c>
      <c r="N1001" s="7">
        <f>IF(Данные[[#This Row],[proba]]&lt;$D$2,$C$2,IF(Данные[[#This Row],[proba]]&lt;$D$3,$C$3,IF(Данные[[#This Row],[proba]]&gt;$C$6,0,$C$4)))</f>
        <v>0</v>
      </c>
      <c r="O1001" s="2">
        <f>IF(Данные[[#This Row],[weighted_ext_score]]&gt;$O$1,MIN(Данные[[#This Row],[Базовая сумма]]*$O$2,$C$2),IF(Данные[[#This Row],[weighted_ext_score]]&lt;$O$3,Данные[[#This Row],[Базовая сумма]]*$O$4,N1001))</f>
        <v>0</v>
      </c>
      <c r="P1001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1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1" s="2">
        <f>ABS(Данные[[#This Row],[days_birth]])/365.2425</f>
        <v>37.763951347392485</v>
      </c>
      <c r="S1001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1" s="2">
        <f>IF(Данные[[#This Row],[ interest_rate]]&gt;$T$1,Данные[[#This Row],[days_birth4]]*$T$2,Данные[[#This Row],[days_birth4]])</f>
        <v>0</v>
      </c>
      <c r="U1001" s="2">
        <f>IF(Данные[[#This Row],[Проверка отказа]]="отказ",0,MAX(Данные[[#This Row],[interest_rate]],$C$1))</f>
        <v>0</v>
      </c>
      <c r="V1001" s="2">
        <f>MROUND(Данные[[#This Row],[Минимум 20000]], 100)</f>
        <v>0</v>
      </c>
    </row>
    <row r="1002" spans="1:22" x14ac:dyDescent="0.25">
      <c r="A1002" s="2">
        <f>'1000_заявлений'!A996</f>
        <v>994</v>
      </c>
      <c r="B1002" s="4">
        <f>VALUE(SUBSTITUTE('1000_заявлений'!B996, ".", ","))</f>
        <v>0.71048953794050496</v>
      </c>
      <c r="C1002" s="4">
        <f>VALUE(SUBSTITUTE('1000_заявлений'!C996, ".", ","))</f>
        <v>0.20072965879767701</v>
      </c>
      <c r="D1002" s="4">
        <f>VALUE(SUBSTITUTE('1000_заявлений'!D996, ".", ","))</f>
        <v>0.53527623000000002</v>
      </c>
      <c r="E1002" s="4">
        <f>VALUE(SUBSTITUTE('1000_заявлений'!E996, ".", ","))</f>
        <v>0.17019061999999999</v>
      </c>
      <c r="F1002" s="5">
        <f>VALUE(SUBSTITUTE('1000_заявлений'!F996, ".", ","))</f>
        <v>-3872</v>
      </c>
      <c r="G1002" s="5">
        <f>VALUE(SUBSTITUTE('1000_заявлений'!G996, ".", ","))</f>
        <v>-11950</v>
      </c>
      <c r="H1002" s="5">
        <f>VALUE(SUBSTITUTE('1000_заявлений'!H996, ".", ","))</f>
        <v>-4593</v>
      </c>
      <c r="I1002" s="4">
        <f>VALUE(SUBSTITUTE('1000_заявлений'!I996, ".", ","))</f>
        <v>0.23910771344103601</v>
      </c>
      <c r="J1002" s="4">
        <f>VALUE(SUBSTITUTE('1000_заявлений'!J996, ".", ","))</f>
        <v>0.34912527522254999</v>
      </c>
      <c r="K1002" s="5">
        <f>VALUE(SUBSTITUTE('1000_заявлений'!K996, ".", ","))</f>
        <v>-2270</v>
      </c>
      <c r="L1002" s="6">
        <f>VALUE(SUBSTITUTE('1000_заявлений'!L996, ".", ","))</f>
        <v>36031.5</v>
      </c>
      <c r="M1002" s="2" t="str">
        <f>IF(Данные[[#This Row],[proba]]&gt;$C$6, "отказ", "одобрение")</f>
        <v>отказ</v>
      </c>
      <c r="N1002" s="7">
        <f>IF(Данные[[#This Row],[proba]]&lt;$D$2,$C$2,IF(Данные[[#This Row],[proba]]&lt;$D$3,$C$3,IF(Данные[[#This Row],[proba]]&gt;$C$6,0,$C$4)))</f>
        <v>0</v>
      </c>
      <c r="O1002" s="2">
        <f>IF(Данные[[#This Row],[weighted_ext_score]]&gt;$O$1,MIN(Данные[[#This Row],[Базовая сумма]]*$O$2,$C$2),IF(Данные[[#This Row],[weighted_ext_score]]&lt;$O$3,Данные[[#This Row],[Базовая сумма]]*$O$4,N1002))</f>
        <v>0</v>
      </c>
      <c r="P1002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2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2" s="2">
        <f>ABS(Данные[[#This Row],[days_birth]])/365.2425</f>
        <v>32.717988733512662</v>
      </c>
      <c r="S1002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2" s="2">
        <f>IF(Данные[[#This Row],[ interest_rate]]&gt;$T$1,Данные[[#This Row],[days_birth4]]*$T$2,Данные[[#This Row],[days_birth4]])</f>
        <v>0</v>
      </c>
      <c r="U1002" s="2">
        <f>IF(Данные[[#This Row],[Проверка отказа]]="отказ",0,MAX(Данные[[#This Row],[interest_rate]],$C$1))</f>
        <v>0</v>
      </c>
      <c r="V1002" s="2">
        <f>MROUND(Данные[[#This Row],[Минимум 20000]], 100)</f>
        <v>0</v>
      </c>
    </row>
    <row r="1003" spans="1:22" x14ac:dyDescent="0.25">
      <c r="A1003" s="2">
        <f>'1000_заявлений'!A997</f>
        <v>995</v>
      </c>
      <c r="B1003" s="4">
        <f>VALUE(SUBSTITUTE('1000_заявлений'!B997, ".", ","))</f>
        <v>0.42081858743795397</v>
      </c>
      <c r="C1003" s="4">
        <f>VALUE(SUBSTITUTE('1000_заявлений'!C997, ".", ","))</f>
        <v>0.30465844448910601</v>
      </c>
      <c r="D1003" s="4">
        <f>VALUE(SUBSTITUTE('1000_заявлений'!D997, ".", ","))</f>
        <v>0.38591468000000001</v>
      </c>
      <c r="E1003" s="4">
        <f>VALUE(SUBSTITUTE('1000_заявлений'!E997, ".", ","))</f>
        <v>0.50893383999999997</v>
      </c>
      <c r="F1003" s="5">
        <f>VALUE(SUBSTITUTE('1000_заявлений'!F997, ".", ","))</f>
        <v>-6142</v>
      </c>
      <c r="G1003" s="5">
        <f>VALUE(SUBSTITUTE('1000_заявлений'!G997, ".", ","))</f>
        <v>-20668</v>
      </c>
      <c r="H1003" s="5">
        <f>VALUE(SUBSTITUTE('1000_заявлений'!H997, ".", ","))</f>
        <v>-4173</v>
      </c>
      <c r="I1003" s="4">
        <f>VALUE(SUBSTITUTE('1000_заявлений'!I997, ".", ","))</f>
        <v>5.5555555555555497E-2</v>
      </c>
      <c r="J1003" s="4">
        <f>VALUE(SUBSTITUTE('1000_заявлений'!J997, ".", ","))</f>
        <v>10.6209759779781</v>
      </c>
      <c r="K1003" s="5">
        <f>VALUE(SUBSTITUTE('1000_заявлений'!K997, ".", ","))</f>
        <v>365243</v>
      </c>
      <c r="L1003" s="6">
        <f>VALUE(SUBSTITUTE('1000_заявлений'!L997, ".", ","))</f>
        <v>6750</v>
      </c>
      <c r="M1003" s="2" t="str">
        <f>IF(Данные[[#This Row],[proba]]&gt;$C$6, "отказ", "одобрение")</f>
        <v>отказ</v>
      </c>
      <c r="N1003" s="7">
        <f>IF(Данные[[#This Row],[proba]]&lt;$D$2,$C$2,IF(Данные[[#This Row],[proba]]&lt;$D$3,$C$3,IF(Данные[[#This Row],[proba]]&gt;$C$6,0,$C$4)))</f>
        <v>0</v>
      </c>
      <c r="O1003" s="2">
        <f>IF(Данные[[#This Row],[weighted_ext_score]]&gt;$O$1,MIN(Данные[[#This Row],[Базовая сумма]]*$O$2,$C$2),IF(Данные[[#This Row],[weighted_ext_score]]&lt;$O$3,Данные[[#This Row],[Базовая сумма]]*$O$4,N1003))</f>
        <v>0</v>
      </c>
      <c r="P1003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3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3" s="2">
        <f>ABS(Данные[[#This Row],[days_birth]])/365.2425</f>
        <v>56.587062020438474</v>
      </c>
      <c r="S1003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3" s="2">
        <f>IF(Данные[[#This Row],[ interest_rate]]&gt;$T$1,Данные[[#This Row],[days_birth4]]*$T$2,Данные[[#This Row],[days_birth4]])</f>
        <v>0</v>
      </c>
      <c r="U1003" s="2">
        <f>IF(Данные[[#This Row],[Проверка отказа]]="отказ",0,MAX(Данные[[#This Row],[interest_rate]],$C$1))</f>
        <v>0</v>
      </c>
      <c r="V1003" s="2">
        <f>MROUND(Данные[[#This Row],[Минимум 20000]], 100)</f>
        <v>0</v>
      </c>
    </row>
    <row r="1004" spans="1:22" x14ac:dyDescent="0.25">
      <c r="A1004" s="2">
        <f>'1000_заявлений'!A998</f>
        <v>996</v>
      </c>
      <c r="B1004" s="4">
        <f>VALUE(SUBSTITUTE('1000_заявлений'!B998, ".", ","))</f>
        <v>0.16041900659984701</v>
      </c>
      <c r="C1004" s="4">
        <f>VALUE(SUBSTITUTE('1000_заявлений'!C998, ".", ","))</f>
        <v>0.50177125829923497</v>
      </c>
      <c r="D1004" s="4">
        <f>VALUE(SUBSTITUTE('1000_заявлений'!D998, ".", ","))</f>
        <v>0.76880760000000004</v>
      </c>
      <c r="E1004" s="4">
        <f>VALUE(SUBSTITUTE('1000_заявлений'!E998, ".", ","))</f>
        <v>0.68969150000000001</v>
      </c>
      <c r="F1004" s="5">
        <f>VALUE(SUBSTITUTE('1000_заявлений'!F998, ".", ","))</f>
        <v>-149</v>
      </c>
      <c r="G1004" s="5">
        <f>VALUE(SUBSTITUTE('1000_заявлений'!G998, ".", ","))</f>
        <v>-22652</v>
      </c>
      <c r="H1004" s="5">
        <f>VALUE(SUBSTITUTE('1000_заявлений'!H998, ".", ","))</f>
        <v>-3972</v>
      </c>
      <c r="I1004" s="4">
        <f>VALUE(SUBSTITUTE('1000_заявлений'!I998, ".", ","))</f>
        <v>0.18217142857142801</v>
      </c>
      <c r="J1004" s="4">
        <f>VALUE(SUBSTITUTE('1000_заявлений'!J998, ".", ","))</f>
        <v>4.8594003208817602</v>
      </c>
      <c r="K1004" s="5">
        <f>VALUE(SUBSTITUTE('1000_заявлений'!K998, ".", ","))</f>
        <v>365243</v>
      </c>
      <c r="L1004" s="6">
        <f>VALUE(SUBSTITUTE('1000_заявлений'!L998, ".", ","))</f>
        <v>28692</v>
      </c>
      <c r="M1004" s="2" t="str">
        <f>IF(Данные[[#This Row],[proba]]&gt;$C$6, "отказ", "одобрение")</f>
        <v>одобрение</v>
      </c>
      <c r="N1004" s="7">
        <f>IF(Данные[[#This Row],[proba]]&lt;$D$2,$C$2,IF(Данные[[#This Row],[proba]]&lt;$D$3,$C$3,IF(Данные[[#This Row],[proba]]&gt;$C$6,0,$C$4)))</f>
        <v>300000</v>
      </c>
      <c r="O1004" s="2">
        <f>IF(Данные[[#This Row],[weighted_ext_score]]&gt;$O$1,MIN(Данные[[#This Row],[Базовая сумма]]*$O$2,$C$2),IF(Данные[[#This Row],[weighted_ext_score]]&lt;$O$3,Данные[[#This Row],[Базовая сумма]]*$O$4,N1004))</f>
        <v>300000</v>
      </c>
      <c r="P1004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360000</v>
      </c>
      <c r="Q1004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360000</v>
      </c>
      <c r="R1004" s="2">
        <f>ABS(Данные[[#This Row],[days_birth]])/365.2425</f>
        <v>62.019069522303674</v>
      </c>
      <c r="S1004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378000</v>
      </c>
      <c r="T1004" s="2">
        <f>IF(Данные[[#This Row],[ interest_rate]]&gt;$T$1,Данные[[#This Row],[days_birth4]]*$T$2,Данные[[#This Row],[days_birth4]])</f>
        <v>378000</v>
      </c>
      <c r="U1004" s="2">
        <f>IF(Данные[[#This Row],[Проверка отказа]]="отказ",0,MAX(Данные[[#This Row],[interest_rate]],$C$1))</f>
        <v>378000</v>
      </c>
      <c r="V1004" s="2">
        <f>MROUND(Данные[[#This Row],[Минимум 20000]], 100)</f>
        <v>378000</v>
      </c>
    </row>
    <row r="1005" spans="1:22" x14ac:dyDescent="0.25">
      <c r="A1005" s="2">
        <f>'1000_заявлений'!A999</f>
        <v>997</v>
      </c>
      <c r="B1005" s="4">
        <f>VALUE(SUBSTITUTE('1000_заявлений'!B999, ".", ","))</f>
        <v>0.60763758054476003</v>
      </c>
      <c r="C1005" s="4">
        <f>VALUE(SUBSTITUTE('1000_заявлений'!C999, ".", ","))</f>
        <v>0.30372480066110202</v>
      </c>
      <c r="D1005" s="4">
        <f>VALUE(SUBSTITUTE('1000_заявлений'!D999, ".", ","))</f>
        <v>0.33125088000000003</v>
      </c>
      <c r="E1005" s="4">
        <f>VALUE(SUBSTITUTE('1000_заявлений'!E999, ".", ","))</f>
        <v>0.56700324999999996</v>
      </c>
      <c r="F1005" s="5">
        <f>VALUE(SUBSTITUTE('1000_заявлений'!F999, ".", ","))</f>
        <v>-2429</v>
      </c>
      <c r="G1005" s="5">
        <f>VALUE(SUBSTITUTE('1000_заявлений'!G999, ".", ","))</f>
        <v>-14499</v>
      </c>
      <c r="H1005" s="5">
        <f>VALUE(SUBSTITUTE('1000_заявлений'!H999, ".", ","))</f>
        <v>-2447</v>
      </c>
      <c r="I1005" s="4">
        <f>VALUE(SUBSTITUTE('1000_заявлений'!I999, ".", ","))</f>
        <v>0.29213333333333302</v>
      </c>
      <c r="J1005" s="4">
        <f>VALUE(SUBSTITUTE('1000_заявлений'!J999, ".", ","))</f>
        <v>5.3087118171985601</v>
      </c>
      <c r="K1005" s="5">
        <f>VALUE(SUBSTITUTE('1000_заявлений'!K999, ".", ","))</f>
        <v>-2482</v>
      </c>
      <c r="L1005" s="6">
        <f>VALUE(SUBSTITUTE('1000_заявлений'!L999, ".", ","))</f>
        <v>39438</v>
      </c>
      <c r="M1005" s="2" t="str">
        <f>IF(Данные[[#This Row],[proba]]&gt;$C$6, "отказ", "одобрение")</f>
        <v>отказ</v>
      </c>
      <c r="N1005" s="7">
        <f>IF(Данные[[#This Row],[proba]]&lt;$D$2,$C$2,IF(Данные[[#This Row],[proba]]&lt;$D$3,$C$3,IF(Данные[[#This Row],[proba]]&gt;$C$6,0,$C$4)))</f>
        <v>0</v>
      </c>
      <c r="O1005" s="2">
        <f>IF(Данные[[#This Row],[weighted_ext_score]]&gt;$O$1,MIN(Данные[[#This Row],[Базовая сумма]]*$O$2,$C$2),IF(Данные[[#This Row],[weighted_ext_score]]&lt;$O$3,Данные[[#This Row],[Базовая сумма]]*$O$4,N1005))</f>
        <v>0</v>
      </c>
      <c r="P1005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5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5" s="2">
        <f>ABS(Данные[[#This Row],[days_birth]])/365.2425</f>
        <v>39.696913694326369</v>
      </c>
      <c r="S1005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5" s="2">
        <f>IF(Данные[[#This Row],[ interest_rate]]&gt;$T$1,Данные[[#This Row],[days_birth4]]*$T$2,Данные[[#This Row],[days_birth4]])</f>
        <v>0</v>
      </c>
      <c r="U1005" s="2">
        <f>IF(Данные[[#This Row],[Проверка отказа]]="отказ",0,MAX(Данные[[#This Row],[interest_rate]],$C$1))</f>
        <v>0</v>
      </c>
      <c r="V1005" s="2">
        <f>MROUND(Данные[[#This Row],[Минимум 20000]], 100)</f>
        <v>0</v>
      </c>
    </row>
    <row r="1006" spans="1:22" x14ac:dyDescent="0.25">
      <c r="A1006" s="2">
        <f>'1000_заявлений'!A1000</f>
        <v>998</v>
      </c>
      <c r="B1006" s="4">
        <f>VALUE(SUBSTITUTE('1000_заявлений'!B1000, ".", ","))</f>
        <v>0.51943478026162504</v>
      </c>
      <c r="C1006" s="4">
        <f>VALUE(SUBSTITUTE('1000_заявлений'!C1000, ".", ","))</f>
        <v>0.44434434925111599</v>
      </c>
      <c r="D1006" s="4">
        <f>VALUE(SUBSTITUTE('1000_заявлений'!D1000, ".", ","))</f>
        <v>0.40835884</v>
      </c>
      <c r="E1006" s="4">
        <f>VALUE(SUBSTITUTE('1000_заявлений'!E1000, ".", ","))</f>
        <v>0.45826653000000001</v>
      </c>
      <c r="F1006" s="5">
        <f>VALUE(SUBSTITUTE('1000_заявлений'!F1000, ".", ","))</f>
        <v>-4290</v>
      </c>
      <c r="G1006" s="5">
        <f>VALUE(SUBSTITUTE('1000_заявлений'!G1000, ".", ","))</f>
        <v>-10396</v>
      </c>
      <c r="H1006" s="5">
        <f>VALUE(SUBSTITUTE('1000_заявлений'!H1000, ".", ","))</f>
        <v>-3057</v>
      </c>
      <c r="I1006" s="4">
        <f>VALUE(SUBSTITUTE('1000_заявлений'!I1000, ".", ","))</f>
        <v>0.17977083333333299</v>
      </c>
      <c r="J1006" s="4">
        <f>VALUE(SUBSTITUTE('1000_заявлений'!J1000, ".", ","))</f>
        <v>6.5374008396181704</v>
      </c>
      <c r="K1006" s="5">
        <f>VALUE(SUBSTITUTE('1000_заявлений'!K1000, ".", ","))</f>
        <v>-204</v>
      </c>
      <c r="L1006" s="6">
        <f>VALUE(SUBSTITUTE('1000_заявлений'!L1000, ".", ","))</f>
        <v>38830.5</v>
      </c>
      <c r="M1006" s="2" t="str">
        <f>IF(Данные[[#This Row],[proba]]&gt;$C$6, "отказ", "одобрение")</f>
        <v>отказ</v>
      </c>
      <c r="N1006" s="7">
        <f>IF(Данные[[#This Row],[proba]]&lt;$D$2,$C$2,IF(Данные[[#This Row],[proba]]&lt;$D$3,$C$3,IF(Данные[[#This Row],[proba]]&gt;$C$6,0,$C$4)))</f>
        <v>0</v>
      </c>
      <c r="O1006" s="2">
        <f>IF(Данные[[#This Row],[weighted_ext_score]]&gt;$O$1,MIN(Данные[[#This Row],[Базовая сумма]]*$O$2,$C$2),IF(Данные[[#This Row],[weighted_ext_score]]&lt;$O$3,Данные[[#This Row],[Базовая сумма]]*$O$4,N1006))</f>
        <v>0</v>
      </c>
      <c r="P1006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0</v>
      </c>
      <c r="Q1006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0</v>
      </c>
      <c r="R1006" s="2">
        <f>ABS(Данные[[#This Row],[days_birth]])/365.2425</f>
        <v>28.463281244652524</v>
      </c>
      <c r="S1006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0</v>
      </c>
      <c r="T1006" s="2">
        <f>IF(Данные[[#This Row],[ interest_rate]]&gt;$T$1,Данные[[#This Row],[days_birth4]]*$T$2,Данные[[#This Row],[days_birth4]])</f>
        <v>0</v>
      </c>
      <c r="U1006" s="2">
        <f>IF(Данные[[#This Row],[Проверка отказа]]="отказ",0,MAX(Данные[[#This Row],[interest_rate]],$C$1))</f>
        <v>0</v>
      </c>
      <c r="V1006" s="2">
        <f>MROUND(Данные[[#This Row],[Минимум 20000]], 100)</f>
        <v>0</v>
      </c>
    </row>
    <row r="1007" spans="1:22" x14ac:dyDescent="0.25">
      <c r="A1007" s="2">
        <f>'1000_заявлений'!A1001</f>
        <v>999</v>
      </c>
      <c r="B1007" s="4">
        <f>VALUE(SUBSTITUTE('1000_заявлений'!B1001, ".", ","))</f>
        <v>0.226964647423365</v>
      </c>
      <c r="C1007" s="4">
        <f>VALUE(SUBSTITUTE('1000_заявлений'!C1001, ".", ","))</f>
        <v>0.407496030442979</v>
      </c>
      <c r="D1007" s="4">
        <f>VALUE(SUBSTITUTE('1000_заявлений'!D1001, ".", ","))</f>
        <v>0.76880760000000004</v>
      </c>
      <c r="E1007" s="4">
        <f>VALUE(SUBSTITUTE('1000_заявлений'!E1001, ".", ","))</f>
        <v>0.39905664000000002</v>
      </c>
      <c r="F1007" s="5">
        <f>VALUE(SUBSTITUTE('1000_заявлений'!F1001, ".", ","))</f>
        <v>-11581</v>
      </c>
      <c r="G1007" s="5">
        <f>VALUE(SUBSTITUTE('1000_заявлений'!G1001, ".", ","))</f>
        <v>-24822</v>
      </c>
      <c r="H1007" s="5">
        <f>VALUE(SUBSTITUTE('1000_заявлений'!H1001, ".", ","))</f>
        <v>-4058</v>
      </c>
      <c r="I1007" s="4">
        <f>VALUE(SUBSTITUTE('1000_заявлений'!I1001, ".", ","))</f>
        <v>0.19735</v>
      </c>
      <c r="J1007" s="4">
        <f>VALUE(SUBSTITUTE('1000_заявлений'!J1001, ".", ","))</f>
        <v>20.372515475944802</v>
      </c>
      <c r="K1007" s="5">
        <f>VALUE(SUBSTITUTE('1000_заявлений'!K1001, ".", ","))</f>
        <v>-1595</v>
      </c>
      <c r="L1007" s="6">
        <f>VALUE(SUBSTITUTE('1000_заявлений'!L1001, ".", ","))</f>
        <v>17761.5</v>
      </c>
      <c r="M1007" s="2" t="str">
        <f>IF(Данные[[#This Row],[proba]]&gt;$C$6, "отказ", "одобрение")</f>
        <v>одобрение</v>
      </c>
      <c r="N1007" s="7">
        <f>IF(Данные[[#This Row],[proba]]&lt;$D$2,$C$2,IF(Данные[[#This Row],[proba]]&lt;$D$3,$C$3,IF(Данные[[#This Row],[proba]]&gt;$C$6,0,$C$4)))</f>
        <v>100000</v>
      </c>
      <c r="O1007" s="2">
        <f>IF(Данные[[#This Row],[weighted_ext_score]]&gt;$O$1,MIN(Данные[[#This Row],[Базовая сумма]]*$O$2,$C$2),IF(Данные[[#This Row],[weighted_ext_score]]&lt;$O$3,Данные[[#This Row],[Базовая сумма]]*$O$4,N1007))</f>
        <v>100000</v>
      </c>
      <c r="P1007" s="2">
        <f>IF(Данные[[#This Row],[ annuity_to_income_proportion]]&gt;$P$1,Данные[[#This Row],[weighted_ext_score2]]*$P$2,IF(Данные[[#This Row],[ annuity_to_income_proportion]]&lt;$P$3,MIN(Данные[[#This Row],[weighted_ext_score2]]*$P$4,$C$2),Данные[[#This Row],[weighted_ext_score2]]))</f>
        <v>120000</v>
      </c>
      <c r="Q1007" s="2">
        <f>IF(Данные[[#This Row],[days_employed]]&lt;$Q$1,MIN(Данные[[#This Row],[annuity_to_income]]*$Q$2,$C$2),IF(Данные[[#This Row],[days_employed]]&lt;$Q$3,Данные[[#This Row],[annuity_to_income]]*$Q$4,IF(Данные[[#This Row],[days_employed]]=$Q$5,Данные[[#This Row],[annuity_to_income]]*$Q$6,Данные[[#This Row],[annuity_to_income]])))</f>
        <v>84000</v>
      </c>
      <c r="R1007" s="2">
        <f>ABS(Данные[[#This Row],[days_birth]])/365.2425</f>
        <v>67.960327727468737</v>
      </c>
      <c r="S1007" s="2">
        <f>IF(Данные[[#This Row],[age_years]]&lt;$S$1,Данные[[#This Row],[days_employed3]]*$S$2,IF(Данные[[#This Row],[age_years]]&gt;$S$3,MIN(Данные[[#This Row],[days_employed3]]*$S$4,$C$2),Данные[[#This Row],[days_employed3]]))</f>
        <v>88200</v>
      </c>
      <c r="T1007" s="2">
        <f>IF(Данные[[#This Row],[ interest_rate]]&gt;$T$1,Данные[[#This Row],[days_birth4]]*$T$2,Данные[[#This Row],[days_birth4]])</f>
        <v>70560</v>
      </c>
      <c r="U1007" s="2">
        <f>IF(Данные[[#This Row],[Проверка отказа]]="отказ",0,MAX(Данные[[#This Row],[interest_rate]],$C$1))</f>
        <v>70560</v>
      </c>
      <c r="V1007" s="2">
        <f>MROUND(Данные[[#This Row],[Минимум 20000]], 100)</f>
        <v>70600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7B95-21A4-4E36-9D4A-FB8CC7219348}">
  <dimension ref="A1:AI1007"/>
  <sheetViews>
    <sheetView tabSelected="1" topLeftCell="U1" workbookViewId="0">
      <selection activeCell="AD5" sqref="AD5"/>
    </sheetView>
  </sheetViews>
  <sheetFormatPr defaultRowHeight="15" x14ac:dyDescent="0.25"/>
  <cols>
    <col min="1" max="2" width="9.140625" style="2"/>
    <col min="3" max="3" width="22" style="2" bestFit="1" customWidth="1"/>
    <col min="4" max="4" width="19.140625" style="2" bestFit="1" customWidth="1"/>
    <col min="5" max="5" width="14.85546875" style="2" customWidth="1"/>
    <col min="6" max="6" width="18.42578125" style="2" customWidth="1"/>
    <col min="7" max="7" width="12.42578125" style="2" customWidth="1"/>
    <col min="8" max="8" width="17.42578125" style="2" customWidth="1"/>
    <col min="9" max="9" width="31.28515625" style="2" customWidth="1"/>
    <col min="10" max="10" width="15.140625" style="2" customWidth="1"/>
    <col min="11" max="11" width="19.42578125" style="2" bestFit="1" customWidth="1"/>
    <col min="12" max="12" width="14.7109375" style="2" customWidth="1"/>
    <col min="13" max="13" width="18.28515625" style="2" customWidth="1"/>
    <col min="14" max="14" width="16.7109375" style="2" customWidth="1"/>
    <col min="15" max="15" width="22.140625" style="2" customWidth="1"/>
    <col min="16" max="16" width="20.28515625" style="2" customWidth="1"/>
    <col min="17" max="17" width="18.140625" style="2" customWidth="1"/>
    <col min="18" max="18" width="12" style="2" customWidth="1"/>
    <col min="19" max="19" width="13.42578125" style="2" customWidth="1"/>
    <col min="20" max="20" width="14.7109375" style="2" customWidth="1"/>
    <col min="21" max="21" width="18" style="2" customWidth="1"/>
    <col min="22" max="22" width="17.85546875" style="2" customWidth="1"/>
    <col min="23" max="23" width="9.140625" style="2"/>
    <col min="24" max="24" width="19.140625" style="2" bestFit="1" customWidth="1"/>
    <col min="25" max="25" width="28.5703125" style="2" bestFit="1" customWidth="1"/>
    <col min="26" max="26" width="37.5703125" style="2" bestFit="1" customWidth="1"/>
    <col min="27" max="27" width="8" style="2" bestFit="1" customWidth="1"/>
    <col min="28" max="28" width="7.42578125" style="2" bestFit="1" customWidth="1"/>
    <col min="29" max="29" width="16.5703125" style="2" bestFit="1" customWidth="1"/>
    <col min="30" max="30" width="15.85546875" style="2" bestFit="1" customWidth="1"/>
    <col min="31" max="31" width="14.140625" style="2" bestFit="1" customWidth="1"/>
    <col min="32" max="32" width="19.42578125" style="2" bestFit="1" customWidth="1"/>
    <col min="33" max="33" width="16.5703125" style="2" bestFit="1" customWidth="1"/>
    <col min="34" max="34" width="15.85546875" style="2" bestFit="1" customWidth="1"/>
    <col min="35" max="35" width="14.140625" style="2" bestFit="1" customWidth="1"/>
    <col min="36" max="36" width="16.5703125" style="2" bestFit="1" customWidth="1"/>
    <col min="37" max="37" width="15.85546875" style="2" bestFit="1" customWidth="1"/>
    <col min="38" max="38" width="14.140625" style="2" bestFit="1" customWidth="1"/>
    <col min="39" max="16384" width="9.140625" style="2"/>
  </cols>
  <sheetData>
    <row r="1" spans="1:35" ht="16.5" thickTop="1" thickBot="1" x14ac:dyDescent="0.3">
      <c r="B1" s="2" t="s">
        <v>18</v>
      </c>
      <c r="C1" s="2">
        <v>20000</v>
      </c>
      <c r="D1" s="2" t="s">
        <v>20</v>
      </c>
      <c r="N1" s="2" t="s">
        <v>21</v>
      </c>
      <c r="O1" s="2">
        <v>0.7</v>
      </c>
      <c r="P1" s="2">
        <v>0.4</v>
      </c>
      <c r="Q1" s="2">
        <v>-3000</v>
      </c>
      <c r="S1" s="2">
        <v>25</v>
      </c>
      <c r="T1" s="2">
        <v>20</v>
      </c>
      <c r="X1" s="2" t="s">
        <v>811</v>
      </c>
      <c r="Y1" s="2">
        <f>COUNT(Данные6[id])</f>
        <v>1000</v>
      </c>
      <c r="AC1" s="11" t="s">
        <v>6906</v>
      </c>
      <c r="AD1" s="11" t="s">
        <v>6907</v>
      </c>
      <c r="AE1" s="11" t="s">
        <v>820</v>
      </c>
      <c r="AF1" s="11" t="s">
        <v>6908</v>
      </c>
    </row>
    <row r="2" spans="1:35" ht="16.5" thickTop="1" thickBot="1" x14ac:dyDescent="0.3">
      <c r="B2" s="2" t="s">
        <v>19</v>
      </c>
      <c r="C2" s="2">
        <v>300000</v>
      </c>
      <c r="D2" s="2">
        <v>0.1</v>
      </c>
      <c r="N2" s="2" t="s">
        <v>22</v>
      </c>
      <c r="O2" s="2">
        <v>1.5</v>
      </c>
      <c r="P2" s="2">
        <v>0.8</v>
      </c>
      <c r="Q2" s="2">
        <v>1.2</v>
      </c>
      <c r="S2" s="2">
        <v>0.7</v>
      </c>
      <c r="T2" s="2">
        <v>0.8</v>
      </c>
      <c r="X2" s="3"/>
      <c r="Y2" s="2" t="s">
        <v>6909</v>
      </c>
      <c r="AC2" s="12">
        <f>SUM(AC$7:AC$34)</f>
        <v>-4317165.6451804154</v>
      </c>
      <c r="AD2" s="12">
        <f>SUM(AD$7:AD$34)</f>
        <v>930271.71774097939</v>
      </c>
      <c r="AE2" s="12">
        <f>SUM(AE$7:AE$34)</f>
        <v>-3386893.9274394372</v>
      </c>
      <c r="AF2" s="11">
        <f>ABS(AD2/AC2)</f>
        <v>0.21548205331882814</v>
      </c>
    </row>
    <row r="3" spans="1:35" ht="15.75" thickTop="1" x14ac:dyDescent="0.25">
      <c r="C3" s="2">
        <v>200000</v>
      </c>
      <c r="D3" s="2">
        <v>0.2</v>
      </c>
      <c r="N3" s="2" t="s">
        <v>24</v>
      </c>
      <c r="O3" s="2">
        <v>0.5</v>
      </c>
      <c r="P3" s="2">
        <v>0.1</v>
      </c>
      <c r="Q3" s="2">
        <v>-365</v>
      </c>
      <c r="S3" s="2">
        <v>50</v>
      </c>
      <c r="X3" s="2" t="s">
        <v>816</v>
      </c>
      <c r="Y3" s="2">
        <v>1</v>
      </c>
    </row>
    <row r="4" spans="1:35" x14ac:dyDescent="0.25">
      <c r="C4" s="2">
        <v>50000</v>
      </c>
      <c r="D4" s="2">
        <f>C6</f>
        <v>0.3</v>
      </c>
      <c r="N4" s="2" t="s">
        <v>23</v>
      </c>
      <c r="O4" s="2">
        <v>0.8</v>
      </c>
      <c r="P4" s="2">
        <v>1.2</v>
      </c>
      <c r="Q4" s="2">
        <v>0.7</v>
      </c>
      <c r="S4" s="2">
        <v>1.05</v>
      </c>
      <c r="X4" s="2" t="s">
        <v>817</v>
      </c>
      <c r="Y4" s="2">
        <v>0.05</v>
      </c>
    </row>
    <row r="5" spans="1:35" x14ac:dyDescent="0.25">
      <c r="N5" s="2" t="s">
        <v>25</v>
      </c>
      <c r="Q5" s="2">
        <v>0</v>
      </c>
    </row>
    <row r="6" spans="1:35" x14ac:dyDescent="0.25">
      <c r="B6" s="2" t="s">
        <v>17</v>
      </c>
      <c r="C6" s="2">
        <v>0.3</v>
      </c>
      <c r="N6" s="2" t="s">
        <v>26</v>
      </c>
      <c r="Q6" s="2">
        <v>0.5</v>
      </c>
    </row>
    <row r="7" spans="1:35" x14ac:dyDescent="0.25">
      <c r="A7" s="2" t="s">
        <v>28</v>
      </c>
      <c r="B7" s="2" t="s">
        <v>27</v>
      </c>
      <c r="C7" s="2" t="s">
        <v>8</v>
      </c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9</v>
      </c>
      <c r="M7" s="2" t="s">
        <v>10</v>
      </c>
      <c r="N7" s="2" t="s">
        <v>11</v>
      </c>
      <c r="O7" s="2" t="s">
        <v>812</v>
      </c>
      <c r="P7" s="2" t="s">
        <v>12</v>
      </c>
      <c r="Q7" s="2" t="s">
        <v>813</v>
      </c>
      <c r="R7" s="2" t="s">
        <v>13</v>
      </c>
      <c r="S7" s="2" t="s">
        <v>814</v>
      </c>
      <c r="T7" s="2" t="s">
        <v>14</v>
      </c>
      <c r="U7" s="2" t="s">
        <v>15</v>
      </c>
      <c r="V7" s="2" t="s">
        <v>16</v>
      </c>
      <c r="X7" s="2" t="s">
        <v>808</v>
      </c>
      <c r="Y7" s="2" t="s">
        <v>810</v>
      </c>
      <c r="Z7" s="2" t="s">
        <v>809</v>
      </c>
      <c r="AA7" s="2" t="s">
        <v>815</v>
      </c>
      <c r="AB7" s="2" t="s">
        <v>819</v>
      </c>
      <c r="AC7" s="2" t="s">
        <v>816</v>
      </c>
      <c r="AD7" s="2" t="s">
        <v>817</v>
      </c>
      <c r="AE7" s="2" t="s">
        <v>818</v>
      </c>
    </row>
    <row r="8" spans="1:35" x14ac:dyDescent="0.25">
      <c r="A8" s="2">
        <f>'1000_заявлений'!A2</f>
        <v>0</v>
      </c>
      <c r="B8" s="4">
        <f>VALUE(SUBSTITUTE('1000_заявлений'!B2, ".", ","))</f>
        <v>0.33276412061326999</v>
      </c>
      <c r="C8" s="4">
        <f>VALUE(SUBSTITUTE('1000_заявлений'!C2, ".", ","))</f>
        <v>0.33655827631922602</v>
      </c>
      <c r="D8" s="4">
        <f>VALUE(SUBSTITUTE('1000_заявлений'!D2, ".", ","))</f>
        <v>0.51008949999999997</v>
      </c>
      <c r="E8" s="4">
        <f>VALUE(SUBSTITUTE('1000_заявлений'!E2, ".", ","))</f>
        <v>0.46882637999999999</v>
      </c>
      <c r="F8" s="5">
        <f>VALUE(SUBSTITUTE('1000_заявлений'!F2, ".", ","))</f>
        <v>-13252</v>
      </c>
      <c r="G8" s="5">
        <f>VALUE(SUBSTITUTE('1000_заявлений'!G2, ".", ","))</f>
        <v>-24248</v>
      </c>
      <c r="H8" s="5">
        <f>VALUE(SUBSTITUTE('1000_заявлений'!H2, ".", ","))</f>
        <v>-4638</v>
      </c>
      <c r="I8" s="4">
        <f>VALUE(SUBSTITUTE('1000_заявлений'!I2, ".", ","))</f>
        <v>0.130266666666666</v>
      </c>
      <c r="J8" s="4">
        <f>VALUE(SUBSTITUTE('1000_заявлений'!J2, ".", ","))</f>
        <v>10.286382966226499</v>
      </c>
      <c r="K8" s="5">
        <f>VALUE(SUBSTITUTE('1000_заявлений'!K2, ".", ","))</f>
        <v>365243</v>
      </c>
      <c r="L8" s="6">
        <f>VALUE(SUBSTITUTE('1000_заявлений'!L2, ".", ","))</f>
        <v>17586</v>
      </c>
      <c r="M8" s="2" t="str">
        <f>IF(Данные6[[#This Row],[proba]]&gt;$C$6, "отказ", "одобрение")</f>
        <v>отказ</v>
      </c>
      <c r="N8" s="7">
        <f>IF(Данные6[[#This Row],[proba]]&lt;$D$2,$C$2,IF(Данные6[[#This Row],[proba]]&lt;$D$3,$C$3,IF(Данные6[[#This Row],[proba]]&gt;$C$6,0,$C$4)))</f>
        <v>0</v>
      </c>
      <c r="O8" s="2">
        <f>IF(Данные6[[#This Row],[weighted_ext_score]]&gt;$O$1,MIN(Данные6[[#This Row],[Базовая сумма]]*$O$2,$C$2),IF(Данные6[[#This Row],[weighted_ext_score]]&lt;$O$3,Данные6[[#This Row],[Базовая сумма]]*$O$4,N8))</f>
        <v>0</v>
      </c>
      <c r="P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" s="2">
        <f>ABS(Данные6[[#This Row],[days_birth]])/365.2425</f>
        <v>66.388769105457328</v>
      </c>
      <c r="S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" s="2">
        <f>IF(Данные6[[#This Row],[ interest_rate]]&gt;$T$1,Данные6[[#This Row],[days_birth4]]*$T$2,Данные6[[#This Row],[days_birth4]])</f>
        <v>0</v>
      </c>
      <c r="U8" s="2">
        <f>IF(Данные6[[#This Row],[Проверка отказа]]="отказ",0,MAX(Данные6[[#This Row],[interest_rate]],$C$1))</f>
        <v>0</v>
      </c>
      <c r="V8" s="2">
        <f>MROUND(Данные6[[#This Row],[Минимум 20000]], 100)</f>
        <v>0</v>
      </c>
      <c r="X8" s="8" cm="1">
        <f t="array" ref="X8:X46">_xlfn.UNIQUE(Данные6[Итоговая сумма])</f>
        <v>0</v>
      </c>
      <c r="Y8" s="9">
        <f>COUNTIF(Данные6[Итоговая сумма], X8)</f>
        <v>729</v>
      </c>
      <c r="Z8" s="10">
        <f>AVERAGEIF(Данные6[Итоговая сумма], X8, Данные6[proba])</f>
        <v>0.52822669574233727</v>
      </c>
      <c r="AA8" s="8">
        <f>Y8*Z8</f>
        <v>385.07726119616387</v>
      </c>
      <c r="AB8" s="8">
        <f>Y8-AA8</f>
        <v>343.92273880383613</v>
      </c>
      <c r="AC8" s="8">
        <f>-X8*AA8*$Y$3</f>
        <v>0</v>
      </c>
      <c r="AD8" s="8">
        <f>X8*AB8*$Y$4</f>
        <v>0</v>
      </c>
      <c r="AE8" s="8">
        <f>AD8+AC8</f>
        <v>0</v>
      </c>
      <c r="AF8" s="8"/>
    </row>
    <row r="9" spans="1:35" x14ac:dyDescent="0.25">
      <c r="A9" s="2">
        <f>'1000_заявлений'!A3</f>
        <v>1</v>
      </c>
      <c r="B9" s="4">
        <f>VALUE(SUBSTITUTE('1000_заявлений'!B3, ".", ","))</f>
        <v>0.16476671688066499</v>
      </c>
      <c r="C9" s="4">
        <f>VALUE(SUBSTITUTE('1000_заявлений'!C3, ".", ","))</f>
        <v>0.65676376778603396</v>
      </c>
      <c r="D9" s="4">
        <f>VALUE(SUBSTITUTE('1000_заявлений'!D3, ".", ","))</f>
        <v>0.81282259999999995</v>
      </c>
      <c r="E9" s="4">
        <f>VALUE(SUBSTITUTE('1000_заявлений'!E3, ".", ","))</f>
        <v>0.58514750000000004</v>
      </c>
      <c r="F9" s="5">
        <f>VALUE(SUBSTITUTE('1000_заявлений'!F3, ".", ","))</f>
        <v>-2832</v>
      </c>
      <c r="G9" s="5">
        <f>VALUE(SUBSTITUTE('1000_заявлений'!G3, ".", ","))</f>
        <v>-13436</v>
      </c>
      <c r="H9" s="5">
        <f>VALUE(SUBSTITUTE('1000_заявлений'!H3, ".", ","))</f>
        <v>-5901</v>
      </c>
      <c r="I9" s="4">
        <f>VALUE(SUBSTITUTE('1000_заявлений'!I3, ".", ","))</f>
        <v>8.45428571428571E-2</v>
      </c>
      <c r="J9" s="4">
        <f>VALUE(SUBSTITUTE('1000_заявлений'!J3, ".", ","))</f>
        <v>5.2627631969250599</v>
      </c>
      <c r="K9" s="5">
        <f>VALUE(SUBSTITUTE('1000_заявлений'!K3, ".", ","))</f>
        <v>-193</v>
      </c>
      <c r="L9" s="6">
        <f>VALUE(SUBSTITUTE('1000_заявлений'!L3, ".", ","))</f>
        <v>13315.5</v>
      </c>
      <c r="M9" s="2" t="str">
        <f>IF(Данные6[[#This Row],[proba]]&gt;$C$6, "отказ", "одобрение")</f>
        <v>одобрение</v>
      </c>
      <c r="N9" s="7">
        <f>IF(Данные6[[#This Row],[proba]]&lt;$D$2,$C$2,IF(Данные6[[#This Row],[proba]]&lt;$D$3,$C$3,IF(Данные6[[#This Row],[proba]]&gt;$C$6,0,$C$4)))</f>
        <v>200000</v>
      </c>
      <c r="O9" s="2">
        <f>IF(Данные6[[#This Row],[weighted_ext_score]]&gt;$O$1,MIN(Данные6[[#This Row],[Базовая сумма]]*$O$2,$C$2),IF(Данные6[[#This Row],[weighted_ext_score]]&lt;$O$3,Данные6[[#This Row],[Базовая сумма]]*$O$4,N9))</f>
        <v>200000</v>
      </c>
      <c r="P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240000</v>
      </c>
      <c r="Q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9" s="2">
        <f>ABS(Данные6[[#This Row],[days_birth]])/365.2425</f>
        <v>36.786518545897586</v>
      </c>
      <c r="S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9" s="2">
        <f>IF(Данные6[[#This Row],[ interest_rate]]&gt;$T$1,Данные6[[#This Row],[days_birth4]]*$T$2,Данные6[[#This Row],[days_birth4]])</f>
        <v>240000</v>
      </c>
      <c r="U9" s="2">
        <f>IF(Данные6[[#This Row],[Проверка отказа]]="отказ",0,MAX(Данные6[[#This Row],[interest_rate]],$C$1))</f>
        <v>240000</v>
      </c>
      <c r="V9" s="2">
        <f>MROUND(Данные6[[#This Row],[Минимум 20000]], 100)</f>
        <v>240000</v>
      </c>
      <c r="X9" s="8">
        <v>240000</v>
      </c>
      <c r="Y9" s="9">
        <f>COUNTIF(Данные6[Итоговая сумма], X9)</f>
        <v>7</v>
      </c>
      <c r="Z9" s="10">
        <f>AVERAGEIF(Данные6[Итоговая сумма], X9, Данные6[proba])</f>
        <v>0.16939643273300972</v>
      </c>
      <c r="AA9" s="8">
        <f>Y9*Z9</f>
        <v>1.185775029131068</v>
      </c>
      <c r="AB9" s="8">
        <f>Y9-AA9</f>
        <v>5.8142249708689322</v>
      </c>
      <c r="AC9" s="8">
        <f>-X9*AA9*$Y$3</f>
        <v>-284586.00699145632</v>
      </c>
      <c r="AD9" s="8">
        <f>X9*AB9*$Y$4</f>
        <v>69770.699650427196</v>
      </c>
      <c r="AE9" s="8">
        <f>AD9+AC9</f>
        <v>-214815.30734102911</v>
      </c>
      <c r="AF9" s="8"/>
      <c r="AG9" s="8"/>
      <c r="AH9"/>
      <c r="AI9"/>
    </row>
    <row r="10" spans="1:35" x14ac:dyDescent="0.25">
      <c r="A10" s="2">
        <f>'1000_заявлений'!A4</f>
        <v>2</v>
      </c>
      <c r="B10" s="4">
        <f>VALUE(SUBSTITUTE('1000_заявлений'!B4, ".", ","))</f>
        <v>0.209276314961198</v>
      </c>
      <c r="C10" s="4">
        <f>VALUE(SUBSTITUTE('1000_заявлений'!C4, ".", ","))</f>
        <v>0.66074063755193801</v>
      </c>
      <c r="D10" s="4">
        <f>VALUE(SUBSTITUTE('1000_заявлений'!D4, ".", ","))</f>
        <v>0.66585492999999996</v>
      </c>
      <c r="E10" s="4">
        <f>VALUE(SUBSTITUTE('1000_заявлений'!E4, ".", ","))</f>
        <v>0.41578013000000003</v>
      </c>
      <c r="F10" s="5">
        <f>VALUE(SUBSTITUTE('1000_заявлений'!F4, ".", ","))</f>
        <v>-9257</v>
      </c>
      <c r="G10" s="5">
        <f>VALUE(SUBSTITUTE('1000_заявлений'!G4, ".", ","))</f>
        <v>-20066</v>
      </c>
      <c r="H10" s="5">
        <f>VALUE(SUBSTITUTE('1000_заявлений'!H4, ".", ","))</f>
        <v>-3474</v>
      </c>
      <c r="I10" s="4">
        <f>VALUE(SUBSTITUTE('1000_заявлений'!I4, ".", ","))</f>
        <v>0.18545714285714199</v>
      </c>
      <c r="J10" s="4">
        <f>VALUE(SUBSTITUTE('1000_заявлений'!J4, ".", ","))</f>
        <v>16.0317223255695</v>
      </c>
      <c r="K10" s="5">
        <f>VALUE(SUBSTITUTE('1000_заявлений'!K4, ".", ","))</f>
        <v>-153</v>
      </c>
      <c r="L10" s="6">
        <f>VALUE(SUBSTITUTE('1000_заявлений'!L4, ".", ","))</f>
        <v>29209.5</v>
      </c>
      <c r="M10" s="2" t="str">
        <f>IF(Данные6[[#This Row],[proba]]&gt;$C$6, "отказ", "одобрение")</f>
        <v>одобрение</v>
      </c>
      <c r="N10" s="7">
        <f>IF(Данные6[[#This Row],[proba]]&lt;$D$2,$C$2,IF(Данные6[[#This Row],[proba]]&lt;$D$3,$C$3,IF(Данные6[[#This Row],[proba]]&gt;$C$6,0,$C$4)))</f>
        <v>50000</v>
      </c>
      <c r="O10" s="2">
        <f>IF(Данные6[[#This Row],[weighted_ext_score]]&gt;$O$1,MIN(Данные6[[#This Row],[Базовая сумма]]*$O$2,$C$2),IF(Данные6[[#This Row],[weighted_ext_score]]&lt;$O$3,Данные6[[#This Row],[Базовая сумма]]*$O$4,N10))</f>
        <v>50000</v>
      </c>
      <c r="P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10" s="2">
        <f>ABS(Данные6[[#This Row],[days_birth]])/365.2425</f>
        <v>54.938842002231397</v>
      </c>
      <c r="S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10" s="2">
        <f>IF(Данные6[[#This Row],[ interest_rate]]&gt;$T$1,Данные6[[#This Row],[days_birth4]]*$T$2,Данные6[[#This Row],[days_birth4]])</f>
        <v>52500</v>
      </c>
      <c r="U10" s="2">
        <f>IF(Данные6[[#This Row],[Проверка отказа]]="отказ",0,MAX(Данные6[[#This Row],[interest_rate]],$C$1))</f>
        <v>52500</v>
      </c>
      <c r="V10" s="2">
        <f>MROUND(Данные6[[#This Row],[Минимум 20000]], 100)</f>
        <v>52500</v>
      </c>
      <c r="X10" s="8">
        <v>52500</v>
      </c>
      <c r="Y10" s="9">
        <f>COUNTIF(Данные6[Итоговая сумма], X10)</f>
        <v>12</v>
      </c>
      <c r="Z10" s="10">
        <f>AVERAGEIF(Данные6[Итоговая сумма], X10, Данные6[proba])</f>
        <v>0.23842754299281277</v>
      </c>
      <c r="AA10" s="8">
        <f>Y10*Z10</f>
        <v>2.8611305159137532</v>
      </c>
      <c r="AB10" s="8">
        <f>Y10-AA10</f>
        <v>9.1388694840862463</v>
      </c>
      <c r="AC10" s="8">
        <f>-X10*AA10*$Y$3</f>
        <v>-150209.35208547206</v>
      </c>
      <c r="AD10" s="8">
        <f>X10*AB10*$Y$4</f>
        <v>23989.532395726397</v>
      </c>
      <c r="AE10" s="8">
        <f>AD10+AC10</f>
        <v>-126219.81968974567</v>
      </c>
      <c r="AF10" s="8"/>
      <c r="AG10" s="8"/>
      <c r="AH10"/>
      <c r="AI10"/>
    </row>
    <row r="11" spans="1:35" x14ac:dyDescent="0.25">
      <c r="A11" s="2">
        <f>'1000_заявлений'!A5</f>
        <v>3</v>
      </c>
      <c r="B11" s="4">
        <f>VALUE(SUBSTITUTE('1000_заявлений'!B5, ".", ","))</f>
        <v>0.666125971080747</v>
      </c>
      <c r="C11" s="4">
        <f>VALUE(SUBSTITUTE('1000_заявлений'!C5, ".", ","))</f>
        <v>0.22551354455315301</v>
      </c>
      <c r="D11" s="4">
        <f>VALUE(SUBSTITUTE('1000_заявлений'!D5, ".", ","))</f>
        <v>0.53527623000000002</v>
      </c>
      <c r="E11" s="4">
        <f>VALUE(SUBSTITUTE('1000_заявлений'!E5, ".", ","))</f>
        <v>0.26651977999999998</v>
      </c>
      <c r="F11" s="5">
        <f>VALUE(SUBSTITUTE('1000_заявлений'!F5, ".", ","))</f>
        <v>-4957</v>
      </c>
      <c r="G11" s="5">
        <f>VALUE(SUBSTITUTE('1000_заявлений'!G5, ".", ","))</f>
        <v>-16953</v>
      </c>
      <c r="H11" s="5">
        <f>VALUE(SUBSTITUTE('1000_заявлений'!H5, ".", ","))</f>
        <v>-510</v>
      </c>
      <c r="I11" s="4">
        <f>VALUE(SUBSTITUTE('1000_заявлений'!I5, ".", ","))</f>
        <v>0.20924000000000001</v>
      </c>
      <c r="J11" s="4">
        <f>VALUE(SUBSTITUTE('1000_заявлений'!J5, ".", ","))</f>
        <v>0.92630409118696899</v>
      </c>
      <c r="K11" s="5">
        <f>VALUE(SUBSTITUTE('1000_заявлений'!K5, ".", ","))</f>
        <v>-4400</v>
      </c>
      <c r="L11" s="6">
        <f>VALUE(SUBSTITUTE('1000_заявлений'!L5, ".", ","))</f>
        <v>23539.5</v>
      </c>
      <c r="M11" s="2" t="str">
        <f>IF(Данные6[[#This Row],[proba]]&gt;$C$6, "отказ", "одобрение")</f>
        <v>отказ</v>
      </c>
      <c r="N11" s="7">
        <f>IF(Данные6[[#This Row],[proba]]&lt;$D$2,$C$2,IF(Данные6[[#This Row],[proba]]&lt;$D$3,$C$3,IF(Данные6[[#This Row],[proba]]&gt;$C$6,0,$C$4)))</f>
        <v>0</v>
      </c>
      <c r="O11" s="2">
        <f>IF(Данные6[[#This Row],[weighted_ext_score]]&gt;$O$1,MIN(Данные6[[#This Row],[Базовая сумма]]*$O$2,$C$2),IF(Данные6[[#This Row],[weighted_ext_score]]&lt;$O$3,Данные6[[#This Row],[Базовая сумма]]*$O$4,N11))</f>
        <v>0</v>
      </c>
      <c r="P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" s="2">
        <f>ABS(Данные6[[#This Row],[days_birth]])/365.2425</f>
        <v>46.415737489476172</v>
      </c>
      <c r="S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" s="2">
        <f>IF(Данные6[[#This Row],[ interest_rate]]&gt;$T$1,Данные6[[#This Row],[days_birth4]]*$T$2,Данные6[[#This Row],[days_birth4]])</f>
        <v>0</v>
      </c>
      <c r="U11" s="2">
        <f>IF(Данные6[[#This Row],[Проверка отказа]]="отказ",0,MAX(Данные6[[#This Row],[interest_rate]],$C$1))</f>
        <v>0</v>
      </c>
      <c r="V11" s="2">
        <f>MROUND(Данные6[[#This Row],[Минимум 20000]], 100)</f>
        <v>0</v>
      </c>
      <c r="X11" s="8">
        <v>24500</v>
      </c>
      <c r="Y11" s="9">
        <f>COUNTIF(Данные6[Итоговая сумма], X11)</f>
        <v>1</v>
      </c>
      <c r="Z11" s="10">
        <f>AVERAGEIF(Данные6[Итоговая сумма], X11, Данные6[proba])</f>
        <v>0.25154861619319302</v>
      </c>
      <c r="AA11" s="8">
        <f>Y11*Z11</f>
        <v>0.25154861619319302</v>
      </c>
      <c r="AB11" s="8">
        <f>Y11-AA11</f>
        <v>0.74845138380680698</v>
      </c>
      <c r="AC11" s="8">
        <f>-X11*AA11*$Y$3</f>
        <v>-6162.9410967332287</v>
      </c>
      <c r="AD11" s="8">
        <f>X11*AB11*$Y$4</f>
        <v>916.85294516333852</v>
      </c>
      <c r="AE11" s="8">
        <f>AD11+AC11</f>
        <v>-5246.0881515698902</v>
      </c>
      <c r="AF11" s="8"/>
      <c r="AG11" s="8"/>
      <c r="AH11"/>
      <c r="AI11"/>
    </row>
    <row r="12" spans="1:35" x14ac:dyDescent="0.25">
      <c r="A12" s="2">
        <f>'1000_заявлений'!A6</f>
        <v>4</v>
      </c>
      <c r="B12" s="4">
        <f>VALUE(SUBSTITUTE('1000_заявлений'!B6, ".", ","))</f>
        <v>0.25154861619319302</v>
      </c>
      <c r="C12" s="4">
        <f>VALUE(SUBSTITUTE('1000_заявлений'!C6, ".", ","))</f>
        <v>0.50313080094669904</v>
      </c>
      <c r="D12" s="4">
        <f>VALUE(SUBSTITUTE('1000_заявлений'!D6, ".", ","))</f>
        <v>0.79226445999999995</v>
      </c>
      <c r="E12" s="4">
        <f>VALUE(SUBSTITUTE('1000_заявлений'!E6, ".", ","))</f>
        <v>0.66772940000000003</v>
      </c>
      <c r="F12" s="5">
        <f>VALUE(SUBSTITUTE('1000_заявлений'!F6, ".", ","))</f>
        <v>-3208</v>
      </c>
      <c r="G12" s="5">
        <f>VALUE(SUBSTITUTE('1000_заявлений'!G6, ".", ","))</f>
        <v>-9028</v>
      </c>
      <c r="H12" s="5">
        <f>VALUE(SUBSTITUTE('1000_заявлений'!H6, ".", ","))</f>
        <v>-1695</v>
      </c>
      <c r="I12" s="4">
        <f>VALUE(SUBSTITUTE('1000_заявлений'!I6, ".", ","))</f>
        <v>0.16545000000000001</v>
      </c>
      <c r="J12" s="4">
        <f>VALUE(SUBSTITUTE('1000_заявлений'!J6, ".", ","))</f>
        <v>2.38451772076127</v>
      </c>
      <c r="K12" s="5">
        <f>VALUE(SUBSTITUTE('1000_заявлений'!K6, ".", ","))</f>
        <v>-1056</v>
      </c>
      <c r="L12" s="6">
        <f>VALUE(SUBSTITUTE('1000_заявлений'!L6, ".", ","))</f>
        <v>44671.5</v>
      </c>
      <c r="M12" s="2" t="str">
        <f>IF(Данные6[[#This Row],[proba]]&gt;$C$6, "отказ", "одобрение")</f>
        <v>одобрение</v>
      </c>
      <c r="N12" s="7">
        <f>IF(Данные6[[#This Row],[proba]]&lt;$D$2,$C$2,IF(Данные6[[#This Row],[proba]]&lt;$D$3,$C$3,IF(Данные6[[#This Row],[proba]]&gt;$C$6,0,$C$4)))</f>
        <v>50000</v>
      </c>
      <c r="O12" s="2">
        <f>IF(Данные6[[#This Row],[weighted_ext_score]]&gt;$O$1,MIN(Данные6[[#This Row],[Базовая сумма]]*$O$2,$C$2),IF(Данные6[[#This Row],[weighted_ext_score]]&lt;$O$3,Данные6[[#This Row],[Базовая сумма]]*$O$4,N12))</f>
        <v>50000</v>
      </c>
      <c r="P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2" s="2">
        <f>ABS(Данные6[[#This Row],[days_birth]])/365.2425</f>
        <v>24.717824459092245</v>
      </c>
      <c r="S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24500</v>
      </c>
      <c r="T12" s="2">
        <f>IF(Данные6[[#This Row],[ interest_rate]]&gt;$T$1,Данные6[[#This Row],[days_birth4]]*$T$2,Данные6[[#This Row],[days_birth4]])</f>
        <v>24500</v>
      </c>
      <c r="U12" s="2">
        <f>IF(Данные6[[#This Row],[Проверка отказа]]="отказ",0,MAX(Данные6[[#This Row],[interest_rate]],$C$1))</f>
        <v>24500</v>
      </c>
      <c r="V12" s="2">
        <f>MROUND(Данные6[[#This Row],[Минимум 20000]], 100)</f>
        <v>24500</v>
      </c>
      <c r="X12" s="8">
        <v>134400</v>
      </c>
      <c r="Y12" s="9">
        <f>COUNTIF(Данные6[Итоговая сумма], X12)</f>
        <v>1</v>
      </c>
      <c r="Z12" s="10">
        <f>AVERAGEIF(Данные6[Итоговая сумма], X12, Данные6[proba])</f>
        <v>0.197790216014675</v>
      </c>
      <c r="AA12" s="8">
        <f>Y12*Z12</f>
        <v>0.197790216014675</v>
      </c>
      <c r="AB12" s="8">
        <f>Y12-AA12</f>
        <v>0.80220978398532505</v>
      </c>
      <c r="AC12" s="8">
        <f>-X12*AA12*$Y$3</f>
        <v>-26583.005032372319</v>
      </c>
      <c r="AD12" s="8">
        <f>X12*AB12*$Y$4</f>
        <v>5390.8497483813844</v>
      </c>
      <c r="AE12" s="8">
        <f>AD12+AC12</f>
        <v>-21192.155283990935</v>
      </c>
      <c r="AF12" s="8"/>
      <c r="AG12" s="8"/>
      <c r="AH12"/>
      <c r="AI12"/>
    </row>
    <row r="13" spans="1:35" x14ac:dyDescent="0.25">
      <c r="A13" s="2">
        <f>'1000_заявлений'!A7</f>
        <v>5</v>
      </c>
      <c r="B13" s="4">
        <f>VALUE(SUBSTITUTE('1000_заявлений'!B7, ".", ","))</f>
        <v>0.39294452768104099</v>
      </c>
      <c r="C13" s="4">
        <f>VALUE(SUBSTITUTE('1000_заявлений'!C7, ".", ","))</f>
        <v>0.418160890976707</v>
      </c>
      <c r="D13" s="4">
        <f>VALUE(SUBSTITUTE('1000_заявлений'!D7, ".", ","))</f>
        <v>0.57620883000000001</v>
      </c>
      <c r="E13" s="4">
        <f>VALUE(SUBSTITUTE('1000_заявлений'!E7, ".", ","))</f>
        <v>0.64667359999999996</v>
      </c>
      <c r="F13" s="5">
        <f>VALUE(SUBSTITUTE('1000_заявлений'!F7, ".", ","))</f>
        <v>-1976</v>
      </c>
      <c r="G13" s="5">
        <f>VALUE(SUBSTITUTE('1000_заявлений'!G7, ".", ","))</f>
        <v>-17356</v>
      </c>
      <c r="H13" s="5">
        <f>VALUE(SUBSTITUTE('1000_заявлений'!H7, ".", ","))</f>
        <v>-910</v>
      </c>
      <c r="I13" s="4">
        <f>VALUE(SUBSTITUTE('1000_заявлений'!I7, ".", ","))</f>
        <v>0.266742857142857</v>
      </c>
      <c r="J13" s="4">
        <f>VALUE(SUBSTITUTE('1000_заявлений'!J7, ".", ","))</f>
        <v>1.55729663242183</v>
      </c>
      <c r="K13" s="5">
        <f>VALUE(SUBSTITUTE('1000_заявлений'!K7, ".", ","))</f>
        <v>-1897</v>
      </c>
      <c r="L13" s="6">
        <f>VALUE(SUBSTITUTE('1000_заявлений'!L7, ".", ","))</f>
        <v>42012</v>
      </c>
      <c r="M13" s="2" t="str">
        <f>IF(Данные6[[#This Row],[proba]]&gt;$C$6, "отказ", "одобрение")</f>
        <v>отказ</v>
      </c>
      <c r="N13" s="7">
        <f>IF(Данные6[[#This Row],[proba]]&lt;$D$2,$C$2,IF(Данные6[[#This Row],[proba]]&lt;$D$3,$C$3,IF(Данные6[[#This Row],[proba]]&gt;$C$6,0,$C$4)))</f>
        <v>0</v>
      </c>
      <c r="O13" s="2">
        <f>IF(Данные6[[#This Row],[weighted_ext_score]]&gt;$O$1,MIN(Данные6[[#This Row],[Базовая сумма]]*$O$2,$C$2),IF(Данные6[[#This Row],[weighted_ext_score]]&lt;$O$3,Данные6[[#This Row],[Базовая сумма]]*$O$4,N13))</f>
        <v>0</v>
      </c>
      <c r="P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" s="2">
        <f>ABS(Данные6[[#This Row],[days_birth]])/365.2425</f>
        <v>47.519114013292537</v>
      </c>
      <c r="S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" s="2">
        <f>IF(Данные6[[#This Row],[ interest_rate]]&gt;$T$1,Данные6[[#This Row],[days_birth4]]*$T$2,Данные6[[#This Row],[days_birth4]])</f>
        <v>0</v>
      </c>
      <c r="U13" s="2">
        <f>IF(Данные6[[#This Row],[Проверка отказа]]="отказ",0,MAX(Данные6[[#This Row],[interest_rate]],$C$1))</f>
        <v>0</v>
      </c>
      <c r="V13" s="2">
        <f>MROUND(Данные6[[#This Row],[Минимум 20000]], 100)</f>
        <v>0</v>
      </c>
      <c r="X13" s="8">
        <v>252000</v>
      </c>
      <c r="Y13" s="9">
        <f>COUNTIF(Данные6[Итоговая сумма], X13)</f>
        <v>4</v>
      </c>
      <c r="Z13" s="10">
        <f>AVERAGEIF(Данные6[Итоговая сумма], X13, Данные6[proba])</f>
        <v>0.1566518811830265</v>
      </c>
      <c r="AA13" s="8">
        <f>Y13*Z13</f>
        <v>0.62660752473210601</v>
      </c>
      <c r="AB13" s="8">
        <f>Y13-AA13</f>
        <v>3.3733924752678939</v>
      </c>
      <c r="AC13" s="8">
        <f>-X13*AA13*$Y$3</f>
        <v>-157905.0962324907</v>
      </c>
      <c r="AD13" s="8">
        <f>X13*AB13*$Y$4</f>
        <v>42504.745188375469</v>
      </c>
      <c r="AE13" s="8">
        <f>AD13+AC13</f>
        <v>-115400.35104411523</v>
      </c>
      <c r="AF13" s="8"/>
      <c r="AG13" s="8"/>
      <c r="AH13"/>
      <c r="AI13"/>
    </row>
    <row r="14" spans="1:35" x14ac:dyDescent="0.25">
      <c r="A14" s="2">
        <f>'1000_заявлений'!A8</f>
        <v>6</v>
      </c>
      <c r="B14" s="4">
        <f>VALUE(SUBSTITUTE('1000_заявлений'!B8, ".", ","))</f>
        <v>0.65607736040268105</v>
      </c>
      <c r="C14" s="4">
        <f>VALUE(SUBSTITUTE('1000_заявлений'!C8, ".", ","))</f>
        <v>0.22766902672295</v>
      </c>
      <c r="D14" s="4">
        <f>VALUE(SUBSTITUTE('1000_заявлений'!D8, ".", ","))</f>
        <v>0.62122630000000001</v>
      </c>
      <c r="E14" s="4">
        <f>VALUE(SUBSTITUTE('1000_заявлений'!E8, ".", ","))</f>
        <v>9.2263854999999999E-3</v>
      </c>
      <c r="F14" s="5">
        <f>VALUE(SUBSTITUTE('1000_заявлений'!F8, ".", ","))</f>
        <v>-644</v>
      </c>
      <c r="G14" s="5">
        <f>VALUE(SUBSTITUTE('1000_заявлений'!G8, ".", ","))</f>
        <v>-23233</v>
      </c>
      <c r="H14" s="5">
        <f>VALUE(SUBSTITUTE('1000_заявлений'!H8, ".", ","))</f>
        <v>-4172</v>
      </c>
      <c r="I14" s="4">
        <f>VALUE(SUBSTITUTE('1000_заявлений'!I8, ".", ","))</f>
        <v>0.23025000000000001</v>
      </c>
      <c r="J14" s="4">
        <f>VALUE(SUBSTITUTE('1000_заявлений'!J8, ".", ","))</f>
        <v>1.82698968286587</v>
      </c>
      <c r="K14" s="5">
        <f>VALUE(SUBSTITUTE('1000_заявлений'!K8, ".", ","))</f>
        <v>-881</v>
      </c>
      <c r="L14" s="6">
        <f>VALUE(SUBSTITUTE('1000_заявлений'!L8, ".", ","))</f>
        <v>33156</v>
      </c>
      <c r="M14" s="2" t="str">
        <f>IF(Данные6[[#This Row],[proba]]&gt;$C$6, "отказ", "одобрение")</f>
        <v>отказ</v>
      </c>
      <c r="N14" s="7">
        <f>IF(Данные6[[#This Row],[proba]]&lt;$D$2,$C$2,IF(Данные6[[#This Row],[proba]]&lt;$D$3,$C$3,IF(Данные6[[#This Row],[proba]]&gt;$C$6,0,$C$4)))</f>
        <v>0</v>
      </c>
      <c r="O14" s="2">
        <f>IF(Данные6[[#This Row],[weighted_ext_score]]&gt;$O$1,MIN(Данные6[[#This Row],[Базовая сумма]]*$O$2,$C$2),IF(Данные6[[#This Row],[weighted_ext_score]]&lt;$O$3,Данные6[[#This Row],[Базовая сумма]]*$O$4,N14))</f>
        <v>0</v>
      </c>
      <c r="P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" s="2">
        <f>ABS(Данные6[[#This Row],[days_birth]])/365.2425</f>
        <v>63.609793493363995</v>
      </c>
      <c r="S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" s="2">
        <f>IF(Данные6[[#This Row],[ interest_rate]]&gt;$T$1,Данные6[[#This Row],[days_birth4]]*$T$2,Данные6[[#This Row],[days_birth4]])</f>
        <v>0</v>
      </c>
      <c r="U14" s="2">
        <f>IF(Данные6[[#This Row],[Проверка отказа]]="отказ",0,MAX(Данные6[[#This Row],[interest_rate]],$C$1))</f>
        <v>0</v>
      </c>
      <c r="V14" s="2">
        <f>MROUND(Данные6[[#This Row],[Минимум 20000]], 100)</f>
        <v>0</v>
      </c>
      <c r="X14" s="8">
        <v>94100</v>
      </c>
      <c r="Y14" s="9">
        <f>COUNTIF(Данные6[Итоговая сумма], X14)</f>
        <v>1</v>
      </c>
      <c r="Z14" s="10">
        <f>AVERAGEIF(Данные6[Итоговая сумма], X14, Данные6[proba])</f>
        <v>0.14288943720146</v>
      </c>
      <c r="AA14" s="8">
        <f>Y14*Z14</f>
        <v>0.14288943720146</v>
      </c>
      <c r="AB14" s="8">
        <f>Y14-AA14</f>
        <v>0.85711056279854003</v>
      </c>
      <c r="AC14" s="8">
        <f>-X14*AA14*$Y$3</f>
        <v>-13445.896040657386</v>
      </c>
      <c r="AD14" s="8">
        <f>X14*AB14*$Y$4</f>
        <v>4032.7051979671305</v>
      </c>
      <c r="AE14" s="8">
        <f>AD14+AC14</f>
        <v>-9413.1908426902555</v>
      </c>
      <c r="AF14" s="8"/>
      <c r="AG14" s="8"/>
      <c r="AH14"/>
      <c r="AI14"/>
    </row>
    <row r="15" spans="1:35" x14ac:dyDescent="0.25">
      <c r="A15" s="2">
        <f>'1000_заявлений'!A9</f>
        <v>7</v>
      </c>
      <c r="B15" s="4">
        <f>VALUE(SUBSTITUTE('1000_заявлений'!B9, ".", ","))</f>
        <v>0.45155100069652299</v>
      </c>
      <c r="C15" s="4">
        <f>VALUE(SUBSTITUTE('1000_заявлений'!C9, ".", ","))</f>
        <v>0.35681979415174803</v>
      </c>
      <c r="D15" s="4">
        <f>VALUE(SUBSTITUTE('1000_заявлений'!D9, ".", ","))</f>
        <v>0.4632753</v>
      </c>
      <c r="E15" s="4">
        <f>VALUE(SUBSTITUTE('1000_заявлений'!E9, ".", ","))</f>
        <v>0.58348500000000003</v>
      </c>
      <c r="F15" s="5">
        <f>VALUE(SUBSTITUTE('1000_заявлений'!F9, ".", ","))</f>
        <v>-7970</v>
      </c>
      <c r="G15" s="5">
        <f>VALUE(SUBSTITUTE('1000_заявлений'!G9, ".", ","))</f>
        <v>-18719</v>
      </c>
      <c r="H15" s="5">
        <f>VALUE(SUBSTITUTE('1000_заявлений'!H9, ".", ","))</f>
        <v>-2278</v>
      </c>
      <c r="I15" s="4">
        <f>VALUE(SUBSTITUTE('1000_заявлений'!I9, ".", ","))</f>
        <v>0.1711</v>
      </c>
      <c r="J15" s="4">
        <f>VALUE(SUBSTITUTE('1000_заявлений'!J9, ".", ","))</f>
        <v>5.3730779051882998</v>
      </c>
      <c r="K15" s="5">
        <f>VALUE(SUBSTITUTE('1000_заявлений'!K9, ".", ","))</f>
        <v>-9768</v>
      </c>
      <c r="L15" s="6">
        <f>VALUE(SUBSTITUTE('1000_заявлений'!L9, ".", ","))</f>
        <v>15399</v>
      </c>
      <c r="M15" s="2" t="str">
        <f>IF(Данные6[[#This Row],[proba]]&gt;$C$6, "отказ", "одобрение")</f>
        <v>отказ</v>
      </c>
      <c r="N15" s="7">
        <f>IF(Данные6[[#This Row],[proba]]&lt;$D$2,$C$2,IF(Данные6[[#This Row],[proba]]&lt;$D$3,$C$3,IF(Данные6[[#This Row],[proba]]&gt;$C$6,0,$C$4)))</f>
        <v>0</v>
      </c>
      <c r="O15" s="2">
        <f>IF(Данные6[[#This Row],[weighted_ext_score]]&gt;$O$1,MIN(Данные6[[#This Row],[Базовая сумма]]*$O$2,$C$2),IF(Данные6[[#This Row],[weighted_ext_score]]&lt;$O$3,Данные6[[#This Row],[Базовая сумма]]*$O$4,N15))</f>
        <v>0</v>
      </c>
      <c r="P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" s="2">
        <f>ABS(Данные6[[#This Row],[days_birth]])/365.2425</f>
        <v>51.250881263817874</v>
      </c>
      <c r="S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" s="2">
        <f>IF(Данные6[[#This Row],[ interest_rate]]&gt;$T$1,Данные6[[#This Row],[days_birth4]]*$T$2,Данные6[[#This Row],[days_birth4]])</f>
        <v>0</v>
      </c>
      <c r="U15" s="2">
        <f>IF(Данные6[[#This Row],[Проверка отказа]]="отказ",0,MAX(Данные6[[#This Row],[interest_rate]],$C$1))</f>
        <v>0</v>
      </c>
      <c r="V15" s="2">
        <f>MROUND(Данные6[[#This Row],[Минимум 20000]], 100)</f>
        <v>0</v>
      </c>
      <c r="X15" s="8">
        <v>33600</v>
      </c>
      <c r="Y15" s="9">
        <f>COUNTIF(Данные6[Итоговая сумма], X15)</f>
        <v>5</v>
      </c>
      <c r="Z15" s="10">
        <f>AVERAGEIF(Данные6[Итоговая сумма], X15, Данные6[proba])</f>
        <v>0.26395607167672219</v>
      </c>
      <c r="AA15" s="8">
        <f>Y15*Z15</f>
        <v>1.319780358383611</v>
      </c>
      <c r="AB15" s="8">
        <f>Y15-AA15</f>
        <v>3.680219641616389</v>
      </c>
      <c r="AC15" s="8">
        <f>-X15*AA15*$Y$3</f>
        <v>-44344.620041689326</v>
      </c>
      <c r="AD15" s="8">
        <f>X15*AB15*$Y$4</f>
        <v>6182.7689979155339</v>
      </c>
      <c r="AE15" s="8">
        <f>AD15+AC15</f>
        <v>-38161.851043773793</v>
      </c>
      <c r="AF15" s="8"/>
      <c r="AG15" s="8"/>
      <c r="AH15"/>
      <c r="AI15"/>
    </row>
    <row r="16" spans="1:35" x14ac:dyDescent="0.25">
      <c r="A16" s="2">
        <f>'1000_заявлений'!A10</f>
        <v>8</v>
      </c>
      <c r="B16" s="4">
        <f>VALUE(SUBSTITUTE('1000_заявлений'!B10, ".", ","))</f>
        <v>0.197790216014675</v>
      </c>
      <c r="C16" s="4">
        <f>VALUE(SUBSTITUTE('1000_заявлений'!C10, ".", ","))</f>
        <v>0.49782097068076703</v>
      </c>
      <c r="D16" s="4">
        <f>VALUE(SUBSTITUTE('1000_заявлений'!D10, ".", ","))</f>
        <v>0.75172369999999999</v>
      </c>
      <c r="E16" s="4">
        <f>VALUE(SUBSTITUTE('1000_заявлений'!E10, ".", ","))</f>
        <v>0.69656119999999999</v>
      </c>
      <c r="F16" s="5">
        <f>VALUE(SUBSTITUTE('1000_заявлений'!F10, ".", ","))</f>
        <v>-2639</v>
      </c>
      <c r="G16" s="5">
        <f>VALUE(SUBSTITUTE('1000_заявлений'!G10, ".", ","))</f>
        <v>-14817</v>
      </c>
      <c r="H16" s="5">
        <f>VALUE(SUBSTITUTE('1000_заявлений'!H10, ".", ","))</f>
        <v>-4892</v>
      </c>
      <c r="I16" s="4">
        <f>VALUE(SUBSTITUTE('1000_заявлений'!I10, ".", ","))</f>
        <v>3.6546666666666602E-2</v>
      </c>
      <c r="J16" s="4">
        <f>VALUE(SUBSTITUTE('1000_заявлений'!J10, ".", ","))</f>
        <v>5.0418838446946799</v>
      </c>
      <c r="K16" s="5">
        <f>VALUE(SUBSTITUTE('1000_заявлений'!K10, ".", ","))</f>
        <v>-648</v>
      </c>
      <c r="L16" s="6">
        <f>VALUE(SUBSTITUTE('1000_заявлений'!L10, ".", ","))</f>
        <v>12334.5</v>
      </c>
      <c r="M16" s="2" t="str">
        <f>IF(Данные6[[#This Row],[proba]]&gt;$C$6, "отказ", "одобрение")</f>
        <v>одобрение</v>
      </c>
      <c r="N16" s="7">
        <f>IF(Данные6[[#This Row],[proba]]&lt;$D$2,$C$2,IF(Данные6[[#This Row],[proba]]&lt;$D$3,$C$3,IF(Данные6[[#This Row],[proba]]&gt;$C$6,0,$C$4)))</f>
        <v>200000</v>
      </c>
      <c r="O16" s="2">
        <f>IF(Данные6[[#This Row],[weighted_ext_score]]&gt;$O$1,MIN(Данные6[[#This Row],[Базовая сумма]]*$O$2,$C$2),IF(Данные6[[#This Row],[weighted_ext_score]]&lt;$O$3,Данные6[[#This Row],[Базовая сумма]]*$O$4,N16))</f>
        <v>160000</v>
      </c>
      <c r="P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192000</v>
      </c>
      <c r="Q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134400</v>
      </c>
      <c r="R16" s="2">
        <f>ABS(Данные6[[#This Row],[days_birth]])/365.2425</f>
        <v>40.567568122548714</v>
      </c>
      <c r="S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134400</v>
      </c>
      <c r="T16" s="2">
        <f>IF(Данные6[[#This Row],[ interest_rate]]&gt;$T$1,Данные6[[#This Row],[days_birth4]]*$T$2,Данные6[[#This Row],[days_birth4]])</f>
        <v>134400</v>
      </c>
      <c r="U16" s="2">
        <f>IF(Данные6[[#This Row],[Проверка отказа]]="отказ",0,MAX(Данные6[[#This Row],[interest_rate]],$C$1))</f>
        <v>134400</v>
      </c>
      <c r="V16" s="2">
        <f>MROUND(Данные6[[#This Row],[Минимум 20000]], 100)</f>
        <v>134400</v>
      </c>
      <c r="X16" s="8">
        <v>28000</v>
      </c>
      <c r="Y16" s="9">
        <f>COUNTIF(Данные6[Итоговая сумма], X16)</f>
        <v>16</v>
      </c>
      <c r="Z16" s="10">
        <f>AVERAGEIF(Данные6[Итоговая сумма], X16, Данные6[proba])</f>
        <v>0.27752534389868222</v>
      </c>
      <c r="AA16" s="8">
        <f>Y16*Z16</f>
        <v>4.4404055023789155</v>
      </c>
      <c r="AB16" s="8">
        <f>Y16-AA16</f>
        <v>11.559594497621084</v>
      </c>
      <c r="AC16" s="8">
        <f>-X16*AA16*$Y$3</f>
        <v>-124331.35406660964</v>
      </c>
      <c r="AD16" s="8">
        <f>X16*AB16*$Y$4</f>
        <v>16183.432296669518</v>
      </c>
      <c r="AE16" s="8">
        <f>AD16+AC16</f>
        <v>-108147.92176994012</v>
      </c>
      <c r="AF16" s="8"/>
      <c r="AG16" s="8"/>
      <c r="AH16"/>
      <c r="AI16"/>
    </row>
    <row r="17" spans="1:35" x14ac:dyDescent="0.25">
      <c r="A17" s="2">
        <f>'1000_заявлений'!A11</f>
        <v>9</v>
      </c>
      <c r="B17" s="4">
        <f>VALUE(SUBSTITUTE('1000_заявлений'!B11, ".", ","))</f>
        <v>0.429602179729975</v>
      </c>
      <c r="C17" s="4">
        <f>VALUE(SUBSTITUTE('1000_заявлений'!C11, ".", ","))</f>
        <v>0.35584774558993598</v>
      </c>
      <c r="D17" s="4">
        <f>VALUE(SUBSTITUTE('1000_заявлений'!D11, ".", ","))</f>
        <v>0.74630019999999997</v>
      </c>
      <c r="E17" s="4">
        <f>VALUE(SUBSTITUTE('1000_заявлений'!E11, ".", ","))</f>
        <v>0.26492830000000001</v>
      </c>
      <c r="F17" s="5">
        <f>VALUE(SUBSTITUTE('1000_заявлений'!F11, ".", ","))</f>
        <v>-4041</v>
      </c>
      <c r="G17" s="5">
        <f>VALUE(SUBSTITUTE('1000_заявлений'!G11, ".", ","))</f>
        <v>-19962</v>
      </c>
      <c r="H17" s="5">
        <f>VALUE(SUBSTITUTE('1000_заявлений'!H11, ".", ","))</f>
        <v>-3519</v>
      </c>
      <c r="I17" s="4">
        <f>VALUE(SUBSTITUTE('1000_заявлений'!I11, ".", ","))</f>
        <v>0.10825</v>
      </c>
      <c r="J17" s="4">
        <f>VALUE(SUBSTITUTE('1000_заявлений'!J11, ".", ","))</f>
        <v>0.964363418579816</v>
      </c>
      <c r="K17" s="5">
        <f>VALUE(SUBSTITUTE('1000_заявлений'!K11, ".", ","))</f>
        <v>-6395</v>
      </c>
      <c r="L17" s="6">
        <f>VALUE(SUBSTITUTE('1000_заявлений'!L11, ".", ","))</f>
        <v>9742.5</v>
      </c>
      <c r="M17" s="2" t="str">
        <f>IF(Данные6[[#This Row],[proba]]&gt;$C$6, "отказ", "одобрение")</f>
        <v>отказ</v>
      </c>
      <c r="N17" s="7">
        <f>IF(Данные6[[#This Row],[proba]]&lt;$D$2,$C$2,IF(Данные6[[#This Row],[proba]]&lt;$D$3,$C$3,IF(Данные6[[#This Row],[proba]]&gt;$C$6,0,$C$4)))</f>
        <v>0</v>
      </c>
      <c r="O17" s="2">
        <f>IF(Данные6[[#This Row],[weighted_ext_score]]&gt;$O$1,MIN(Данные6[[#This Row],[Базовая сумма]]*$O$2,$C$2),IF(Данные6[[#This Row],[weighted_ext_score]]&lt;$O$3,Данные6[[#This Row],[Базовая сумма]]*$O$4,N17))</f>
        <v>0</v>
      </c>
      <c r="P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" s="2">
        <f>ABS(Данные6[[#This Row],[days_birth]])/365.2425</f>
        <v>54.654099673504589</v>
      </c>
      <c r="S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" s="2">
        <f>IF(Данные6[[#This Row],[ interest_rate]]&gt;$T$1,Данные6[[#This Row],[days_birth4]]*$T$2,Данные6[[#This Row],[days_birth4]])</f>
        <v>0</v>
      </c>
      <c r="U17" s="2">
        <f>IF(Данные6[[#This Row],[Проверка отказа]]="отказ",0,MAX(Данные6[[#This Row],[interest_rate]],$C$1))</f>
        <v>0</v>
      </c>
      <c r="V17" s="2">
        <f>MROUND(Данные6[[#This Row],[Минимум 20000]], 100)</f>
        <v>0</v>
      </c>
      <c r="X17" s="8">
        <v>42000</v>
      </c>
      <c r="Y17" s="9">
        <f>COUNTIF(Данные6[Итоговая сумма], X17)</f>
        <v>36</v>
      </c>
      <c r="Z17" s="10">
        <f>AVERAGEIF(Данные6[Итоговая сумма], X17, Данные6[proba])</f>
        <v>0.25422722737597747</v>
      </c>
      <c r="AA17" s="8">
        <f>Y17*Z17</f>
        <v>9.1521801855351885</v>
      </c>
      <c r="AB17" s="8">
        <f>Y17-AA17</f>
        <v>26.847819814464813</v>
      </c>
      <c r="AC17" s="8">
        <f>-X17*AA17*$Y$3</f>
        <v>-384391.5677924779</v>
      </c>
      <c r="AD17" s="8">
        <f>X17*AB17*$Y$4</f>
        <v>56380.421610376114</v>
      </c>
      <c r="AE17" s="8">
        <f>AD17+AC17</f>
        <v>-328011.1461821018</v>
      </c>
      <c r="AF17" s="8"/>
      <c r="AG17" s="8"/>
      <c r="AH17"/>
      <c r="AI17"/>
    </row>
    <row r="18" spans="1:35" x14ac:dyDescent="0.25">
      <c r="A18" s="2">
        <f>'1000_заявлений'!A12</f>
        <v>10</v>
      </c>
      <c r="B18" s="4">
        <f>VALUE(SUBSTITUTE('1000_заявлений'!B12, ".", ","))</f>
        <v>0.78244649510847897</v>
      </c>
      <c r="C18" s="4">
        <f>VALUE(SUBSTITUTE('1000_заявлений'!C12, ".", ","))</f>
        <v>0.35059184274755201</v>
      </c>
      <c r="D18" s="4">
        <f>VALUE(SUBSTITUTE('1000_заявлений'!D12, ".", ","))</f>
        <v>0.21396684999999999</v>
      </c>
      <c r="E18" s="4">
        <f>VALUE(SUBSTITUTE('1000_заявлений'!E12, ".", ","))</f>
        <v>0.25164637000000001</v>
      </c>
      <c r="F18" s="5">
        <f>VALUE(SUBSTITUTE('1000_заявлений'!F12, ".", ","))</f>
        <v>-1827</v>
      </c>
      <c r="G18" s="5">
        <f>VALUE(SUBSTITUTE('1000_заявлений'!G12, ".", ","))</f>
        <v>-14908</v>
      </c>
      <c r="H18" s="5">
        <f>VALUE(SUBSTITUTE('1000_заявлений'!H12, ".", ","))</f>
        <v>-1827</v>
      </c>
      <c r="I18" s="4">
        <f>VALUE(SUBSTITUTE('1000_заявлений'!I12, ".", ","))</f>
        <v>0.32666666666666599</v>
      </c>
      <c r="J18" s="4">
        <f>VALUE(SUBSTITUTE('1000_заявлений'!J12, ".", ","))</f>
        <v>3.66858907003098</v>
      </c>
      <c r="K18" s="5">
        <f>VALUE(SUBSTITUTE('1000_заявлений'!K12, ".", ","))</f>
        <v>-125</v>
      </c>
      <c r="L18" s="6">
        <f>VALUE(SUBSTITUTE('1000_заявлений'!L12, ".", ","))</f>
        <v>22050</v>
      </c>
      <c r="M18" s="2" t="str">
        <f>IF(Данные6[[#This Row],[proba]]&gt;$C$6, "отказ", "одобрение")</f>
        <v>отказ</v>
      </c>
      <c r="N18" s="7">
        <f>IF(Данные6[[#This Row],[proba]]&lt;$D$2,$C$2,IF(Данные6[[#This Row],[proba]]&lt;$D$3,$C$3,IF(Данные6[[#This Row],[proba]]&gt;$C$6,0,$C$4)))</f>
        <v>0</v>
      </c>
      <c r="O18" s="2">
        <f>IF(Данные6[[#This Row],[weighted_ext_score]]&gt;$O$1,MIN(Данные6[[#This Row],[Базовая сумма]]*$O$2,$C$2),IF(Данные6[[#This Row],[weighted_ext_score]]&lt;$O$3,Данные6[[#This Row],[Базовая сумма]]*$O$4,N18))</f>
        <v>0</v>
      </c>
      <c r="P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" s="2">
        <f>ABS(Данные6[[#This Row],[days_birth]])/365.2425</f>
        <v>40.816717660184672</v>
      </c>
      <c r="S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" s="2">
        <f>IF(Данные6[[#This Row],[ interest_rate]]&gt;$T$1,Данные6[[#This Row],[days_birth4]]*$T$2,Данные6[[#This Row],[days_birth4]])</f>
        <v>0</v>
      </c>
      <c r="U18" s="2">
        <f>IF(Данные6[[#This Row],[Проверка отказа]]="отказ",0,MAX(Данные6[[#This Row],[interest_rate]],$C$1))</f>
        <v>0</v>
      </c>
      <c r="V18" s="2">
        <f>MROUND(Данные6[[#This Row],[Минимум 20000]], 100)</f>
        <v>0</v>
      </c>
      <c r="X18" s="8">
        <v>60000</v>
      </c>
      <c r="Y18" s="9">
        <f>COUNTIF(Данные6[Итоговая сумма], X18)</f>
        <v>18</v>
      </c>
      <c r="Z18" s="10">
        <f>AVERAGEIF(Данные6[Итоговая сумма], X18, Данные6[proba])</f>
        <v>0.24666409455686583</v>
      </c>
      <c r="AA18" s="8">
        <f>Y18*Z18</f>
        <v>4.4399537020235851</v>
      </c>
      <c r="AB18" s="8">
        <f>Y18-AA18</f>
        <v>13.560046297976415</v>
      </c>
      <c r="AC18" s="8">
        <f>-X18*AA18*$Y$3</f>
        <v>-266397.22212141508</v>
      </c>
      <c r="AD18" s="8">
        <f>X18*AB18*$Y$4</f>
        <v>40680.138893929252</v>
      </c>
      <c r="AE18" s="8">
        <f>AD18+AC18</f>
        <v>-225717.08322748583</v>
      </c>
      <c r="AF18" s="8"/>
      <c r="AG18" s="8"/>
      <c r="AH18"/>
      <c r="AI18"/>
    </row>
    <row r="19" spans="1:35" x14ac:dyDescent="0.25">
      <c r="A19" s="2">
        <f>'1000_заявлений'!A13</f>
        <v>11</v>
      </c>
      <c r="B19" s="4">
        <f>VALUE(SUBSTITUTE('1000_заявлений'!B13, ".", ","))</f>
        <v>0.68636460851403003</v>
      </c>
      <c r="C19" s="4">
        <f>VALUE(SUBSTITUTE('1000_заявлений'!C13, ".", ","))</f>
        <v>0.34437114662989798</v>
      </c>
      <c r="D19" s="4">
        <f>VALUE(SUBSTITUTE('1000_заявлений'!D13, ".", ","))</f>
        <v>0.30314636</v>
      </c>
      <c r="E19" s="4">
        <f>VALUE(SUBSTITUTE('1000_заявлений'!E13, ".", ","))</f>
        <v>0.41661963000000002</v>
      </c>
      <c r="F19" s="5">
        <f>VALUE(SUBSTITUTE('1000_заявлений'!F13, ".", ","))</f>
        <v>-3833</v>
      </c>
      <c r="G19" s="5">
        <f>VALUE(SUBSTITUTE('1000_заявлений'!G13, ".", ","))</f>
        <v>-9400</v>
      </c>
      <c r="H19" s="5">
        <f>VALUE(SUBSTITUTE('1000_заявлений'!H13, ".", ","))</f>
        <v>-1953</v>
      </c>
      <c r="I19" s="4">
        <f>VALUE(SUBSTITUTE('1000_заявлений'!I13, ".", ","))</f>
        <v>0.25902222222222199</v>
      </c>
      <c r="J19" s="4">
        <f>VALUE(SUBSTITUTE('1000_заявлений'!J13, ".", ","))</f>
        <v>2.72444723029425</v>
      </c>
      <c r="K19" s="5">
        <f>VALUE(SUBSTITUTE('1000_заявлений'!K13, ".", ","))</f>
        <v>-536</v>
      </c>
      <c r="L19" s="6">
        <f>VALUE(SUBSTITUTE('1000_заявлений'!L13, ".", ","))</f>
        <v>52452</v>
      </c>
      <c r="M19" s="2" t="str">
        <f>IF(Данные6[[#This Row],[proba]]&gt;$C$6, "отказ", "одобрение")</f>
        <v>отказ</v>
      </c>
      <c r="N19" s="7">
        <f>IF(Данные6[[#This Row],[proba]]&lt;$D$2,$C$2,IF(Данные6[[#This Row],[proba]]&lt;$D$3,$C$3,IF(Данные6[[#This Row],[proba]]&gt;$C$6,0,$C$4)))</f>
        <v>0</v>
      </c>
      <c r="O19" s="2">
        <f>IF(Данные6[[#This Row],[weighted_ext_score]]&gt;$O$1,MIN(Данные6[[#This Row],[Базовая сумма]]*$O$2,$C$2),IF(Данные6[[#This Row],[weighted_ext_score]]&lt;$O$3,Данные6[[#This Row],[Базовая сумма]]*$O$4,N19))</f>
        <v>0</v>
      </c>
      <c r="P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" s="2">
        <f>ABS(Данные6[[#This Row],[days_birth]])/365.2425</f>
        <v>25.73632586569197</v>
      </c>
      <c r="S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" s="2">
        <f>IF(Данные6[[#This Row],[ interest_rate]]&gt;$T$1,Данные6[[#This Row],[days_birth4]]*$T$2,Данные6[[#This Row],[days_birth4]])</f>
        <v>0</v>
      </c>
      <c r="U19" s="2">
        <f>IF(Данные6[[#This Row],[Проверка отказа]]="отказ",0,MAX(Данные6[[#This Row],[interest_rate]],$C$1))</f>
        <v>0</v>
      </c>
      <c r="V19" s="2">
        <f>MROUND(Данные6[[#This Row],[Минимум 20000]], 100)</f>
        <v>0</v>
      </c>
      <c r="X19" s="8">
        <v>210000</v>
      </c>
      <c r="Y19" s="9">
        <f>COUNTIF(Данные6[Итоговая сумма], X19)</f>
        <v>20</v>
      </c>
      <c r="Z19" s="10">
        <f>AVERAGEIF(Данные6[Итоговая сумма], X19, Данные6[proba])</f>
        <v>0.16426313411896776</v>
      </c>
      <c r="AA19" s="8">
        <f>Y19*Z19</f>
        <v>3.2852626823793551</v>
      </c>
      <c r="AB19" s="8">
        <f>Y19-AA19</f>
        <v>16.714737317620646</v>
      </c>
      <c r="AC19" s="8">
        <f>-X19*AA19*$Y$3</f>
        <v>-689905.16329966462</v>
      </c>
      <c r="AD19" s="8">
        <f>X19*AB19*$Y$4</f>
        <v>175504.74183501679</v>
      </c>
      <c r="AE19" s="8">
        <f>AD19+AC19</f>
        <v>-514400.42146464786</v>
      </c>
      <c r="AF19" s="8"/>
      <c r="AG19" s="8"/>
      <c r="AH19"/>
      <c r="AI19"/>
    </row>
    <row r="20" spans="1:35" x14ac:dyDescent="0.25">
      <c r="A20" s="2">
        <f>'1000_заявлений'!A14</f>
        <v>12</v>
      </c>
      <c r="B20" s="4">
        <f>VALUE(SUBSTITUTE('1000_заявлений'!B14, ".", ","))</f>
        <v>0.52599306211663999</v>
      </c>
      <c r="C20" s="4">
        <f>VALUE(SUBSTITUTE('1000_заявлений'!C14, ".", ","))</f>
        <v>0.47755893122757198</v>
      </c>
      <c r="D20" s="4">
        <f>VALUE(SUBSTITUTE('1000_заявлений'!D14, ".", ","))</f>
        <v>9.2617169999999999E-2</v>
      </c>
      <c r="E20" s="4">
        <f>VALUE(SUBSTITUTE('1000_заявлений'!E14, ".", ","))</f>
        <v>0.60332010000000003</v>
      </c>
      <c r="F20" s="5">
        <f>VALUE(SUBSTITUTE('1000_заявлений'!F14, ".", ","))</f>
        <v>-2976</v>
      </c>
      <c r="G20" s="5">
        <f>VALUE(SUBSTITUTE('1000_заявлений'!G14, ".", ","))</f>
        <v>-22336</v>
      </c>
      <c r="H20" s="5">
        <f>VALUE(SUBSTITUTE('1000_заявлений'!H14, ".", ","))</f>
        <v>-992</v>
      </c>
      <c r="I20" s="4">
        <f>VALUE(SUBSTITUTE('1000_заявлений'!I14, ".", ","))</f>
        <v>0.195564102564102</v>
      </c>
      <c r="J20" s="4">
        <f>VALUE(SUBSTITUTE('1000_заявлений'!J14, ".", ","))</f>
        <v>0.79493433862676199</v>
      </c>
      <c r="K20" s="5">
        <f>VALUE(SUBSTITUTE('1000_заявлений'!K14, ".", ","))</f>
        <v>365243</v>
      </c>
      <c r="L20" s="6">
        <f>VALUE(SUBSTITUTE('1000_заявлений'!L14, ".", ","))</f>
        <v>68643</v>
      </c>
      <c r="M20" s="2" t="str">
        <f>IF(Данные6[[#This Row],[proba]]&gt;$C$6, "отказ", "одобрение")</f>
        <v>отказ</v>
      </c>
      <c r="N20" s="7">
        <f>IF(Данные6[[#This Row],[proba]]&lt;$D$2,$C$2,IF(Данные6[[#This Row],[proba]]&lt;$D$3,$C$3,IF(Данные6[[#This Row],[proba]]&gt;$C$6,0,$C$4)))</f>
        <v>0</v>
      </c>
      <c r="O20" s="2">
        <f>IF(Данные6[[#This Row],[weighted_ext_score]]&gt;$O$1,MIN(Данные6[[#This Row],[Базовая сумма]]*$O$2,$C$2),IF(Данные6[[#This Row],[weighted_ext_score]]&lt;$O$3,Данные6[[#This Row],[Базовая сумма]]*$O$4,N20))</f>
        <v>0</v>
      </c>
      <c r="P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" s="2">
        <f>ABS(Данные6[[#This Row],[days_birth]])/365.2425</f>
        <v>61.153890908095306</v>
      </c>
      <c r="S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" s="2">
        <f>IF(Данные6[[#This Row],[ interest_rate]]&gt;$T$1,Данные6[[#This Row],[days_birth4]]*$T$2,Данные6[[#This Row],[days_birth4]])</f>
        <v>0</v>
      </c>
      <c r="U20" s="2">
        <f>IF(Данные6[[#This Row],[Проверка отказа]]="отказ",0,MAX(Данные6[[#This Row],[interest_rate]],$C$1))</f>
        <v>0</v>
      </c>
      <c r="V20" s="2">
        <f>MROUND(Данные6[[#This Row],[Минимум 20000]], 100)</f>
        <v>0</v>
      </c>
      <c r="X20" s="8">
        <v>288000</v>
      </c>
      <c r="Y20" s="9">
        <f>COUNTIF(Данные6[Итоговая сумма], X20)</f>
        <v>2</v>
      </c>
      <c r="Z20" s="10">
        <f>AVERAGEIF(Данные6[Итоговая сумма], X20, Данные6[proba])</f>
        <v>0.15378733787323551</v>
      </c>
      <c r="AA20" s="8">
        <f>Y20*Z20</f>
        <v>0.30757467574647102</v>
      </c>
      <c r="AB20" s="8">
        <f>Y20-AA20</f>
        <v>1.692425324253529</v>
      </c>
      <c r="AC20" s="8">
        <f>-X20*AA20*$Y$3</f>
        <v>-88581.506614983649</v>
      </c>
      <c r="AD20" s="8">
        <f>X20*AB20*$Y$4</f>
        <v>24370.924669250817</v>
      </c>
      <c r="AE20" s="8">
        <f>AD20+AC20</f>
        <v>-64210.581945732833</v>
      </c>
      <c r="AF20" s="8"/>
      <c r="AG20" s="8"/>
      <c r="AH20"/>
      <c r="AI20"/>
    </row>
    <row r="21" spans="1:35" x14ac:dyDescent="0.25">
      <c r="A21" s="2">
        <f>'1000_заявлений'!A15</f>
        <v>13</v>
      </c>
      <c r="B21" s="4">
        <f>VALUE(SUBSTITUTE('1000_заявлений'!B15, ".", ","))</f>
        <v>0.63388199013108104</v>
      </c>
      <c r="C21" s="4">
        <f>VALUE(SUBSTITUTE('1000_заявлений'!C15, ".", ","))</f>
        <v>0.25553928874769</v>
      </c>
      <c r="D21" s="4">
        <f>VALUE(SUBSTITUTE('1000_заявлений'!D15, ".", ","))</f>
        <v>0.47584989999999999</v>
      </c>
      <c r="E21" s="4">
        <f>VALUE(SUBSTITUTE('1000_заявлений'!E15, ".", ","))</f>
        <v>0.25723392</v>
      </c>
      <c r="F21" s="5">
        <f>VALUE(SUBSTITUTE('1000_заявлений'!F15, ".", ","))</f>
        <v>-9548</v>
      </c>
      <c r="G21" s="5">
        <f>VALUE(SUBSTITUTE('1000_заявлений'!G15, ".", ","))</f>
        <v>-15828</v>
      </c>
      <c r="H21" s="5">
        <f>VALUE(SUBSTITUTE('1000_заявлений'!H15, ".", ","))</f>
        <v>-3502</v>
      </c>
      <c r="I21" s="4">
        <f>VALUE(SUBSTITUTE('1000_заявлений'!I15, ".", ","))</f>
        <v>0.23186000000000001</v>
      </c>
      <c r="J21" s="4">
        <f>VALUE(SUBSTITUTE('1000_заявлений'!J15, ".", ","))</f>
        <v>3.0093052346896698</v>
      </c>
      <c r="K21" s="5">
        <f>VALUE(SUBSTITUTE('1000_заявлений'!K15, ".", ","))</f>
        <v>-2758</v>
      </c>
      <c r="L21" s="6">
        <f>VALUE(SUBSTITUTE('1000_заявлений'!L15, ".", ","))</f>
        <v>52168.5</v>
      </c>
      <c r="M21" s="2" t="str">
        <f>IF(Данные6[[#This Row],[proba]]&gt;$C$6, "отказ", "одобрение")</f>
        <v>отказ</v>
      </c>
      <c r="N21" s="7">
        <f>IF(Данные6[[#This Row],[proba]]&lt;$D$2,$C$2,IF(Данные6[[#This Row],[proba]]&lt;$D$3,$C$3,IF(Данные6[[#This Row],[proba]]&gt;$C$6,0,$C$4)))</f>
        <v>0</v>
      </c>
      <c r="O21" s="2">
        <f>IF(Данные6[[#This Row],[weighted_ext_score]]&gt;$O$1,MIN(Данные6[[#This Row],[Базовая сумма]]*$O$2,$C$2),IF(Данные6[[#This Row],[weighted_ext_score]]&lt;$O$3,Данные6[[#This Row],[Базовая сумма]]*$O$4,N21))</f>
        <v>0</v>
      </c>
      <c r="P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" s="2">
        <f>ABS(Данные6[[#This Row],[days_birth]])/365.2425</f>
        <v>43.335592106614101</v>
      </c>
      <c r="S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" s="2">
        <f>IF(Данные6[[#This Row],[ interest_rate]]&gt;$T$1,Данные6[[#This Row],[days_birth4]]*$T$2,Данные6[[#This Row],[days_birth4]])</f>
        <v>0</v>
      </c>
      <c r="U21" s="2">
        <f>IF(Данные6[[#This Row],[Проверка отказа]]="отказ",0,MAX(Данные6[[#This Row],[interest_rate]],$C$1))</f>
        <v>0</v>
      </c>
      <c r="V21" s="2">
        <f>MROUND(Данные6[[#This Row],[Минимум 20000]], 100)</f>
        <v>0</v>
      </c>
      <c r="X21" s="8">
        <v>35000</v>
      </c>
      <c r="Y21" s="9">
        <f>COUNTIF(Данные6[Итоговая сумма], X21)</f>
        <v>37</v>
      </c>
      <c r="Z21" s="10">
        <f>AVERAGEIF(Данные6[Итоговая сумма], X21, Данные6[proba])</f>
        <v>0.24730546005483939</v>
      </c>
      <c r="AA21" s="8">
        <f>Y21*Z21</f>
        <v>9.1503020220290576</v>
      </c>
      <c r="AB21" s="8">
        <f>Y21-AA21</f>
        <v>27.849697977970941</v>
      </c>
      <c r="AC21" s="8">
        <f>-X21*AA21*$Y$3</f>
        <v>-320260.570771017</v>
      </c>
      <c r="AD21" s="8">
        <f>X21*AB21*$Y$4</f>
        <v>48736.971461449146</v>
      </c>
      <c r="AE21" s="8">
        <f>AD21+AC21</f>
        <v>-271523.59930956783</v>
      </c>
      <c r="AF21" s="8"/>
      <c r="AG21" s="8"/>
      <c r="AH21"/>
      <c r="AI21"/>
    </row>
    <row r="22" spans="1:35" x14ac:dyDescent="0.25">
      <c r="A22" s="2">
        <f>'1000_заявлений'!A16</f>
        <v>14</v>
      </c>
      <c r="B22" s="4">
        <f>VALUE(SUBSTITUTE('1000_заявлений'!B16, ".", ","))</f>
        <v>0.63289217388833197</v>
      </c>
      <c r="C22" s="4">
        <f>VALUE(SUBSTITUTE('1000_заявлений'!C16, ".", ","))</f>
        <v>0.273942040557838</v>
      </c>
      <c r="D22" s="4">
        <f>VALUE(SUBSTITUTE('1000_заявлений'!D16, ".", ","))</f>
        <v>0.162442</v>
      </c>
      <c r="E22" s="4">
        <f>VALUE(SUBSTITUTE('1000_заявлений'!E16, ".", ","))</f>
        <v>0.66340226000000002</v>
      </c>
      <c r="F22" s="5">
        <f>VALUE(SUBSTITUTE('1000_заявлений'!F16, ".", ","))</f>
        <v>-2274</v>
      </c>
      <c r="G22" s="5">
        <f>VALUE(SUBSTITUTE('1000_заявлений'!G16, ".", ","))</f>
        <v>-16140</v>
      </c>
      <c r="H22" s="5">
        <f>VALUE(SUBSTITUTE('1000_заявлений'!H16, ".", ","))</f>
        <v>-2280</v>
      </c>
      <c r="I22" s="4">
        <f>VALUE(SUBSTITUTE('1000_заявлений'!I16, ".", ","))</f>
        <v>0.111884615384615</v>
      </c>
      <c r="J22" s="4">
        <f>VALUE(SUBSTITUTE('1000_заявлений'!J16, ".", ","))</f>
        <v>5.49870654250992</v>
      </c>
      <c r="K22" s="5">
        <f>VALUE(SUBSTITUTE('1000_заявлений'!K16, ".", ","))</f>
        <v>-372</v>
      </c>
      <c r="L22" s="6">
        <f>VALUE(SUBSTITUTE('1000_заявлений'!L16, ".", ","))</f>
        <v>13090.5</v>
      </c>
      <c r="M22" s="2" t="str">
        <f>IF(Данные6[[#This Row],[proba]]&gt;$C$6, "отказ", "одобрение")</f>
        <v>отказ</v>
      </c>
      <c r="N22" s="7">
        <f>IF(Данные6[[#This Row],[proba]]&lt;$D$2,$C$2,IF(Данные6[[#This Row],[proba]]&lt;$D$3,$C$3,IF(Данные6[[#This Row],[proba]]&gt;$C$6,0,$C$4)))</f>
        <v>0</v>
      </c>
      <c r="O22" s="2">
        <f>IF(Данные6[[#This Row],[weighted_ext_score]]&gt;$O$1,MIN(Данные6[[#This Row],[Базовая сумма]]*$O$2,$C$2),IF(Данные6[[#This Row],[weighted_ext_score]]&lt;$O$3,Данные6[[#This Row],[Базовая сумма]]*$O$4,N22))</f>
        <v>0</v>
      </c>
      <c r="P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" s="2">
        <f>ABS(Данные6[[#This Row],[days_birth]])/365.2425</f>
        <v>44.189819092794515</v>
      </c>
      <c r="S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" s="2">
        <f>IF(Данные6[[#This Row],[ interest_rate]]&gt;$T$1,Данные6[[#This Row],[days_birth4]]*$T$2,Данные6[[#This Row],[days_birth4]])</f>
        <v>0</v>
      </c>
      <c r="U22" s="2">
        <f>IF(Данные6[[#This Row],[Проверка отказа]]="отказ",0,MAX(Данные6[[#This Row],[interest_rate]],$C$1))</f>
        <v>0</v>
      </c>
      <c r="V22" s="2">
        <f>MROUND(Данные6[[#This Row],[Минимум 20000]], 100)</f>
        <v>0</v>
      </c>
      <c r="X22" s="8">
        <v>112000</v>
      </c>
      <c r="Y22" s="9">
        <f>COUNTIF(Данные6[Итоговая сумма], X22)</f>
        <v>2</v>
      </c>
      <c r="Z22" s="10">
        <f>AVERAGEIF(Данные6[Итоговая сумма], X22, Данные6[proba])</f>
        <v>0.19331458840091548</v>
      </c>
      <c r="AA22" s="8">
        <f>Y22*Z22</f>
        <v>0.38662917680183095</v>
      </c>
      <c r="AB22" s="8">
        <f>Y22-AA22</f>
        <v>1.6133708231981689</v>
      </c>
      <c r="AC22" s="8">
        <f>-X22*AA22*$Y$3</f>
        <v>-43302.467801805069</v>
      </c>
      <c r="AD22" s="8">
        <f>X22*AB22*$Y$4</f>
        <v>9034.8766099097465</v>
      </c>
      <c r="AE22" s="8">
        <f>AD22+AC22</f>
        <v>-34267.591191895321</v>
      </c>
      <c r="AF22" s="8"/>
      <c r="AG22" s="8"/>
      <c r="AH22"/>
      <c r="AI22"/>
    </row>
    <row r="23" spans="1:35" x14ac:dyDescent="0.25">
      <c r="A23" s="2">
        <f>'1000_заявлений'!A17</f>
        <v>15</v>
      </c>
      <c r="B23" s="4">
        <f>VALUE(SUBSTITUTE('1000_заявлений'!B17, ".", ","))</f>
        <v>0.63277472331575102</v>
      </c>
      <c r="C23" s="4">
        <f>VALUE(SUBSTITUTE('1000_заявлений'!C17, ".", ","))</f>
        <v>0.277874408025372</v>
      </c>
      <c r="D23" s="4">
        <f>VALUE(SUBSTITUTE('1000_заявлений'!D17, ".", ","))</f>
        <v>0.51729654999999997</v>
      </c>
      <c r="E23" s="4">
        <f>VALUE(SUBSTITUTE('1000_заявлений'!E17, ".", ","))</f>
        <v>0.27987823000000001</v>
      </c>
      <c r="F23" s="5">
        <f>VALUE(SUBSTITUTE('1000_заявлений'!F17, ".", ","))</f>
        <v>-1609</v>
      </c>
      <c r="G23" s="5">
        <f>VALUE(SUBSTITUTE('1000_заявлений'!G17, ".", ","))</f>
        <v>-16802</v>
      </c>
      <c r="H23" s="5">
        <f>VALUE(SUBSTITUTE('1000_заявлений'!H17, ".", ","))</f>
        <v>-341</v>
      </c>
      <c r="I23" s="4">
        <f>VALUE(SUBSTITUTE('1000_заявлений'!I17, ".", ","))</f>
        <v>0.20205555555555499</v>
      </c>
      <c r="J23" s="4">
        <f>VALUE(SUBSTITUTE('1000_заявлений'!J17, ".", ","))</f>
        <v>5.7629084975567597</v>
      </c>
      <c r="K23" s="5">
        <f>VALUE(SUBSTITUTE('1000_заявлений'!K17, ".", ","))</f>
        <v>-1322</v>
      </c>
      <c r="L23" s="6">
        <f>VALUE(SUBSTITUTE('1000_заявлений'!L17, ".", ","))</f>
        <v>16366.5</v>
      </c>
      <c r="M23" s="2" t="str">
        <f>IF(Данные6[[#This Row],[proba]]&gt;$C$6, "отказ", "одобрение")</f>
        <v>отказ</v>
      </c>
      <c r="N23" s="7">
        <f>IF(Данные6[[#This Row],[proba]]&lt;$D$2,$C$2,IF(Данные6[[#This Row],[proba]]&lt;$D$3,$C$3,IF(Данные6[[#This Row],[proba]]&gt;$C$6,0,$C$4)))</f>
        <v>0</v>
      </c>
      <c r="O23" s="2">
        <f>IF(Данные6[[#This Row],[weighted_ext_score]]&gt;$O$1,MIN(Данные6[[#This Row],[Базовая сумма]]*$O$2,$C$2),IF(Данные6[[#This Row],[weighted_ext_score]]&lt;$O$3,Данные6[[#This Row],[Базовая сумма]]*$O$4,N23))</f>
        <v>0</v>
      </c>
      <c r="P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" s="2">
        <f>ABS(Данные6[[#This Row],[days_birth]])/365.2425</f>
        <v>46.002313531420903</v>
      </c>
      <c r="S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" s="2">
        <f>IF(Данные6[[#This Row],[ interest_rate]]&gt;$T$1,Данные6[[#This Row],[days_birth4]]*$T$2,Данные6[[#This Row],[days_birth4]])</f>
        <v>0</v>
      </c>
      <c r="U23" s="2">
        <f>IF(Данные6[[#This Row],[Проверка отказа]]="отказ",0,MAX(Данные6[[#This Row],[interest_rate]],$C$1))</f>
        <v>0</v>
      </c>
      <c r="V23" s="2">
        <f>MROUND(Данные6[[#This Row],[Минимум 20000]], 100)</f>
        <v>0</v>
      </c>
      <c r="X23" s="8">
        <v>63000</v>
      </c>
      <c r="Y23" s="9">
        <f>COUNTIF(Данные6[Итоговая сумма], X23)</f>
        <v>4</v>
      </c>
      <c r="Z23" s="10">
        <f>AVERAGEIF(Данные6[Итоговая сумма], X23, Данные6[proba])</f>
        <v>0.23101654977056152</v>
      </c>
      <c r="AA23" s="8">
        <f>Y23*Z23</f>
        <v>0.92406619908224608</v>
      </c>
      <c r="AB23" s="8">
        <f>Y23-AA23</f>
        <v>3.0759338009177539</v>
      </c>
      <c r="AC23" s="8">
        <f>-X23*AA23*$Y$3</f>
        <v>-58216.170542181506</v>
      </c>
      <c r="AD23" s="8">
        <f>X23*AB23*$Y$4</f>
        <v>9689.1914728909251</v>
      </c>
      <c r="AE23" s="8">
        <f>AD23+AC23</f>
        <v>-48526.979069290581</v>
      </c>
      <c r="AF23" s="8"/>
      <c r="AG23" s="8"/>
      <c r="AH23"/>
      <c r="AI23"/>
    </row>
    <row r="24" spans="1:35" x14ac:dyDescent="0.25">
      <c r="A24" s="2">
        <f>'1000_заявлений'!A18</f>
        <v>16</v>
      </c>
      <c r="B24" s="4">
        <f>VALUE(SUBSTITUTE('1000_заявлений'!B18, ".", ","))</f>
        <v>0.14924627515960101</v>
      </c>
      <c r="C24" s="4">
        <f>VALUE(SUBSTITUTE('1000_заявлений'!C18, ".", ","))</f>
        <v>0.672121215189736</v>
      </c>
      <c r="D24" s="4">
        <f>VALUE(SUBSTITUTE('1000_заявлений'!D18, ".", ","))</f>
        <v>0.76623370000000002</v>
      </c>
      <c r="E24" s="4">
        <f>VALUE(SUBSTITUTE('1000_заявлений'!E18, ".", ","))</f>
        <v>0.58609736000000001</v>
      </c>
      <c r="F24" s="5">
        <f>VALUE(SUBSTITUTE('1000_заявлений'!F18, ".", ","))</f>
        <v>-13390</v>
      </c>
      <c r="G24" s="5">
        <f>VALUE(SUBSTITUTE('1000_заявлений'!G18, ".", ","))</f>
        <v>-21511</v>
      </c>
      <c r="H24" s="5">
        <f>VALUE(SUBSTITUTE('1000_заявлений'!H18, ".", ","))</f>
        <v>-4947</v>
      </c>
      <c r="I24" s="4">
        <f>VALUE(SUBSTITUTE('1000_заявлений'!I18, ".", ","))</f>
        <v>0.20077142857142799</v>
      </c>
      <c r="J24" s="4">
        <f>VALUE(SUBSTITUTE('1000_заявлений'!J18, ".", ","))</f>
        <v>5.9852653099627</v>
      </c>
      <c r="K24" s="5">
        <f>VALUE(SUBSTITUTE('1000_заявлений'!K18, ".", ","))</f>
        <v>-14318</v>
      </c>
      <c r="L24" s="6">
        <f>VALUE(SUBSTITUTE('1000_заявлений'!L18, ".", ","))</f>
        <v>31621.5</v>
      </c>
      <c r="M24" s="2" t="str">
        <f>IF(Данные6[[#This Row],[proba]]&gt;$C$6, "отказ", "одобрение")</f>
        <v>одобрение</v>
      </c>
      <c r="N24" s="7">
        <f>IF(Данные6[[#This Row],[proba]]&lt;$D$2,$C$2,IF(Данные6[[#This Row],[proba]]&lt;$D$3,$C$3,IF(Данные6[[#This Row],[proba]]&gt;$C$6,0,$C$4)))</f>
        <v>200000</v>
      </c>
      <c r="O24" s="2">
        <f>IF(Данные6[[#This Row],[weighted_ext_score]]&gt;$O$1,MIN(Данные6[[#This Row],[Базовая сумма]]*$O$2,$C$2),IF(Данные6[[#This Row],[weighted_ext_score]]&lt;$O$3,Данные6[[#This Row],[Базовая сумма]]*$O$4,N24))</f>
        <v>200000</v>
      </c>
      <c r="P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24" s="2">
        <f>ABS(Данные6[[#This Row],[days_birth]])/365.2425</f>
        <v>58.895117627329789</v>
      </c>
      <c r="S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252000</v>
      </c>
      <c r="T24" s="2">
        <f>IF(Данные6[[#This Row],[ interest_rate]]&gt;$T$1,Данные6[[#This Row],[days_birth4]]*$T$2,Данные6[[#This Row],[days_birth4]])</f>
        <v>252000</v>
      </c>
      <c r="U24" s="2">
        <f>IF(Данные6[[#This Row],[Проверка отказа]]="отказ",0,MAX(Данные6[[#This Row],[interest_rate]],$C$1))</f>
        <v>252000</v>
      </c>
      <c r="V24" s="2">
        <f>MROUND(Данные6[[#This Row],[Минимум 20000]], 100)</f>
        <v>252000</v>
      </c>
      <c r="X24" s="8">
        <v>168000</v>
      </c>
      <c r="Y24" s="9">
        <f>COUNTIF(Данные6[Итоговая сумма], X24)</f>
        <v>13</v>
      </c>
      <c r="Z24" s="10">
        <f>AVERAGEIF(Данные6[Итоговая сумма], X24, Данные6[proba])</f>
        <v>0.17521633698298475</v>
      </c>
      <c r="AA24" s="8">
        <f>Y24*Z24</f>
        <v>2.2778123807788018</v>
      </c>
      <c r="AB24" s="8">
        <f>Y24-AA24</f>
        <v>10.722187619221199</v>
      </c>
      <c r="AC24" s="8">
        <f>-X24*AA24*$Y$3</f>
        <v>-382672.4799708387</v>
      </c>
      <c r="AD24" s="8">
        <f>X24*AB24*$Y$4</f>
        <v>90066.376001458077</v>
      </c>
      <c r="AE24" s="8">
        <f>AD24+AC24</f>
        <v>-292606.10396938061</v>
      </c>
      <c r="AF24" s="8"/>
      <c r="AG24" s="8"/>
      <c r="AH24"/>
      <c r="AI24"/>
    </row>
    <row r="25" spans="1:35" x14ac:dyDescent="0.25">
      <c r="A25" s="2">
        <f>'1000_заявлений'!A19</f>
        <v>17</v>
      </c>
      <c r="B25" s="4">
        <f>VALUE(SUBSTITUTE('1000_заявлений'!B19, ".", ","))</f>
        <v>0.66516409605017701</v>
      </c>
      <c r="C25" s="4">
        <f>VALUE(SUBSTITUTE('1000_заявлений'!C19, ".", ","))</f>
        <v>0.26284073509171202</v>
      </c>
      <c r="D25" s="4">
        <f>VALUE(SUBSTITUTE('1000_заявлений'!D19, ".", ","))</f>
        <v>0.15100753</v>
      </c>
      <c r="E25" s="4">
        <f>VALUE(SUBSTITUTE('1000_заявлений'!E19, ".", ","))</f>
        <v>0.64192769999999999</v>
      </c>
      <c r="F25" s="5">
        <f>VALUE(SUBSTITUTE('1000_заявлений'!F19, ".", ","))</f>
        <v>-1029</v>
      </c>
      <c r="G25" s="5">
        <f>VALUE(SUBSTITUTE('1000_заявлений'!G19, ".", ","))</f>
        <v>-17129</v>
      </c>
      <c r="H25" s="5">
        <f>VALUE(SUBSTITUTE('1000_заявлений'!H19, ".", ","))</f>
        <v>-666</v>
      </c>
      <c r="I25" s="4">
        <f>VALUE(SUBSTITUTE('1000_заявлений'!I19, ".", ","))</f>
        <v>0.100134615384615</v>
      </c>
      <c r="J25" s="4">
        <f>VALUE(SUBSTITUTE('1000_заявлений'!J19, ".", ","))</f>
        <v>2.7622802353448099</v>
      </c>
      <c r="K25" s="5">
        <f>VALUE(SUBSTITUTE('1000_заявлений'!K19, ".", ","))</f>
        <v>-833</v>
      </c>
      <c r="L25" s="6">
        <f>VALUE(SUBSTITUTE('1000_заявлений'!L19, ".", ","))</f>
        <v>23431.5</v>
      </c>
      <c r="M25" s="2" t="str">
        <f>IF(Данные6[[#This Row],[proba]]&gt;$C$6, "отказ", "одобрение")</f>
        <v>отказ</v>
      </c>
      <c r="N25" s="7">
        <f>IF(Данные6[[#This Row],[proba]]&lt;$D$2,$C$2,IF(Данные6[[#This Row],[proba]]&lt;$D$3,$C$3,IF(Данные6[[#This Row],[proba]]&gt;$C$6,0,$C$4)))</f>
        <v>0</v>
      </c>
      <c r="O25" s="2">
        <f>IF(Данные6[[#This Row],[weighted_ext_score]]&gt;$O$1,MIN(Данные6[[#This Row],[Базовая сумма]]*$O$2,$C$2),IF(Данные6[[#This Row],[weighted_ext_score]]&lt;$O$3,Данные6[[#This Row],[Базовая сумма]]*$O$4,N25))</f>
        <v>0</v>
      </c>
      <c r="P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" s="2">
        <f>ABS(Данные6[[#This Row],[days_birth]])/365.2425</f>
        <v>46.897609122706143</v>
      </c>
      <c r="S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" s="2">
        <f>IF(Данные6[[#This Row],[ interest_rate]]&gt;$T$1,Данные6[[#This Row],[days_birth4]]*$T$2,Данные6[[#This Row],[days_birth4]])</f>
        <v>0</v>
      </c>
      <c r="U25" s="2">
        <f>IF(Данные6[[#This Row],[Проверка отказа]]="отказ",0,MAX(Данные6[[#This Row],[interest_rate]],$C$1))</f>
        <v>0</v>
      </c>
      <c r="V25" s="2">
        <f>MROUND(Данные6[[#This Row],[Минимум 20000]], 100)</f>
        <v>0</v>
      </c>
      <c r="X25" s="8">
        <v>48000</v>
      </c>
      <c r="Y25" s="9">
        <f>COUNTIF(Данные6[Итоговая сумма], X25)</f>
        <v>13</v>
      </c>
      <c r="Z25" s="10">
        <f>AVERAGEIF(Данные6[Итоговая сумма], X25, Данные6[proba])</f>
        <v>0.25618550002888829</v>
      </c>
      <c r="AA25" s="8">
        <f>Y25*Z25</f>
        <v>3.3304115003755479</v>
      </c>
      <c r="AB25" s="8">
        <f>Y25-AA25</f>
        <v>9.669588499624453</v>
      </c>
      <c r="AC25" s="8">
        <f>-X25*AA25*$Y$3</f>
        <v>-159859.75201802631</v>
      </c>
      <c r="AD25" s="8">
        <f>X25*AB25*$Y$4</f>
        <v>23207.01239909869</v>
      </c>
      <c r="AE25" s="8">
        <f>AD25+AC25</f>
        <v>-136652.73961892762</v>
      </c>
      <c r="AF25" s="8"/>
      <c r="AG25" s="8"/>
      <c r="AH25"/>
      <c r="AI25"/>
    </row>
    <row r="26" spans="1:35" x14ac:dyDescent="0.25">
      <c r="A26" s="2">
        <f>'1000_заявлений'!A20</f>
        <v>18</v>
      </c>
      <c r="B26" s="4">
        <f>VALUE(SUBSTITUTE('1000_заявлений'!B20, ".", ","))</f>
        <v>0.14288943720146</v>
      </c>
      <c r="C26" s="4">
        <f>VALUE(SUBSTITUTE('1000_заявлений'!C20, ".", ","))</f>
        <v>0.437570763103592</v>
      </c>
      <c r="D26" s="4">
        <f>VALUE(SUBSTITUTE('1000_заявлений'!D20, ".", ","))</f>
        <v>0.6986675</v>
      </c>
      <c r="E26" s="4">
        <f>VALUE(SUBSTITUTE('1000_заявлений'!E20, ".", ","))</f>
        <v>0.56997509999999996</v>
      </c>
      <c r="F26" s="5">
        <f>VALUE(SUBSTITUTE('1000_заявлений'!F20, ".", ","))</f>
        <v>-3377</v>
      </c>
      <c r="G26" s="5">
        <f>VALUE(SUBSTITUTE('1000_заявлений'!G20, ".", ","))</f>
        <v>-21040</v>
      </c>
      <c r="H26" s="5">
        <f>VALUE(SUBSTITUTE('1000_заявлений'!H20, ".", ","))</f>
        <v>-4385</v>
      </c>
      <c r="I26" s="4">
        <f>VALUE(SUBSTITUTE('1000_заявлений'!I20, ".", ","))</f>
        <v>0.33333333333333298</v>
      </c>
      <c r="J26" s="4">
        <f>VALUE(SUBSTITUTE('1000_заявлений'!J20, ".", ","))</f>
        <v>21.314007495657702</v>
      </c>
      <c r="K26" s="5">
        <f>VALUE(SUBSTITUTE('1000_заявлений'!K20, ".", ","))</f>
        <v>-2228</v>
      </c>
      <c r="L26" s="6">
        <f>VALUE(SUBSTITUTE('1000_заявлений'!L20, ".", ","))</f>
        <v>225000</v>
      </c>
      <c r="M26" s="2" t="str">
        <f>IF(Данные6[[#This Row],[proba]]&gt;$C$6, "отказ", "одобрение")</f>
        <v>одобрение</v>
      </c>
      <c r="N26" s="7">
        <f>IF(Данные6[[#This Row],[proba]]&lt;$D$2,$C$2,IF(Данные6[[#This Row],[proba]]&lt;$D$3,$C$3,IF(Данные6[[#This Row],[proba]]&gt;$C$6,0,$C$4)))</f>
        <v>200000</v>
      </c>
      <c r="O26" s="2">
        <f>IF(Данные6[[#This Row],[weighted_ext_score]]&gt;$O$1,MIN(Данные6[[#This Row],[Базовая сумма]]*$O$2,$C$2),IF(Данные6[[#This Row],[weighted_ext_score]]&lt;$O$3,Данные6[[#This Row],[Базовая сумма]]*$O$4,N26))</f>
        <v>160000</v>
      </c>
      <c r="P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112000</v>
      </c>
      <c r="R26" s="2">
        <f>ABS(Данные6[[#This Row],[days_birth]])/365.2425</f>
        <v>57.605563427038199</v>
      </c>
      <c r="S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117600</v>
      </c>
      <c r="T26" s="2">
        <f>IF(Данные6[[#This Row],[ interest_rate]]&gt;$T$1,Данные6[[#This Row],[days_birth4]]*$T$2,Данные6[[#This Row],[days_birth4]])</f>
        <v>94080</v>
      </c>
      <c r="U26" s="2">
        <f>IF(Данные6[[#This Row],[Проверка отказа]]="отказ",0,MAX(Данные6[[#This Row],[interest_rate]],$C$1))</f>
        <v>94080</v>
      </c>
      <c r="V26" s="2">
        <f>MROUND(Данные6[[#This Row],[Минимум 20000]], 100)</f>
        <v>94100</v>
      </c>
      <c r="X26" s="8">
        <v>72000</v>
      </c>
      <c r="Y26" s="9">
        <f>COUNTIF(Данные6[Итоговая сумма], X26)</f>
        <v>2</v>
      </c>
      <c r="Z26" s="10">
        <f>AVERAGEIF(Данные6[Итоговая сумма], X26, Данные6[proba])</f>
        <v>0.24355943010751552</v>
      </c>
      <c r="AA26" s="8">
        <f>Y26*Z26</f>
        <v>0.48711886021503104</v>
      </c>
      <c r="AB26" s="8">
        <f>Y26-AA26</f>
        <v>1.5128811397849691</v>
      </c>
      <c r="AC26" s="8">
        <f>-X26*AA26*$Y$3</f>
        <v>-35072.557935482233</v>
      </c>
      <c r="AD26" s="8">
        <f>X26*AB26*$Y$4</f>
        <v>5446.3721032258891</v>
      </c>
      <c r="AE26" s="8">
        <f>AD26+AC26</f>
        <v>-29626.185832256342</v>
      </c>
      <c r="AF26" s="8"/>
      <c r="AG26" s="8"/>
      <c r="AH26"/>
      <c r="AI26"/>
    </row>
    <row r="27" spans="1:35" x14ac:dyDescent="0.25">
      <c r="A27" s="2">
        <f>'1000_заявлений'!A21</f>
        <v>19</v>
      </c>
      <c r="B27" s="4">
        <f>VALUE(SUBSTITUTE('1000_заявлений'!B21, ".", ","))</f>
        <v>0.66347419190739898</v>
      </c>
      <c r="C27" s="4">
        <f>VALUE(SUBSTITUTE('1000_заявлений'!C21, ".", ","))</f>
        <v>0.35780276178513498</v>
      </c>
      <c r="D27" s="4">
        <f>VALUE(SUBSTITUTE('1000_заявлений'!D21, ".", ","))</f>
        <v>0.32016337</v>
      </c>
      <c r="E27" s="4">
        <f>VALUE(SUBSTITUTE('1000_заявлений'!E21, ".", ","))</f>
        <v>0.49797912999999999</v>
      </c>
      <c r="F27" s="5">
        <f>VALUE(SUBSTITUTE('1000_заявлений'!F21, ".", ","))</f>
        <v>-698</v>
      </c>
      <c r="G27" s="5">
        <f>VALUE(SUBSTITUTE('1000_заявлений'!G21, ".", ","))</f>
        <v>-9907</v>
      </c>
      <c r="H27" s="5">
        <f>VALUE(SUBSTITUTE('1000_заявлений'!H21, ".", ","))</f>
        <v>-314</v>
      </c>
      <c r="I27" s="4">
        <f>VALUE(SUBSTITUTE('1000_заявлений'!I21, ".", ","))</f>
        <v>0.21603333333333299</v>
      </c>
      <c r="J27" s="4">
        <f>VALUE(SUBSTITUTE('1000_заявлений'!J21, ".", ","))</f>
        <v>2.6902382765873201</v>
      </c>
      <c r="K27" s="5">
        <f>VALUE(SUBSTITUTE('1000_заявлений'!K21, ".", ","))</f>
        <v>-1616</v>
      </c>
      <c r="L27" s="6">
        <f>VALUE(SUBSTITUTE('1000_заявлений'!L21, ".", ","))</f>
        <v>29164.5</v>
      </c>
      <c r="M27" s="2" t="str">
        <f>IF(Данные6[[#This Row],[proba]]&gt;$C$6, "отказ", "одобрение")</f>
        <v>отказ</v>
      </c>
      <c r="N27" s="7">
        <f>IF(Данные6[[#This Row],[proba]]&lt;$D$2,$C$2,IF(Данные6[[#This Row],[proba]]&lt;$D$3,$C$3,IF(Данные6[[#This Row],[proba]]&gt;$C$6,0,$C$4)))</f>
        <v>0</v>
      </c>
      <c r="O27" s="2">
        <f>IF(Данные6[[#This Row],[weighted_ext_score]]&gt;$O$1,MIN(Данные6[[#This Row],[Базовая сумма]]*$O$2,$C$2),IF(Данные6[[#This Row],[weighted_ext_score]]&lt;$O$3,Данные6[[#This Row],[Базовая сумма]]*$O$4,N27))</f>
        <v>0</v>
      </c>
      <c r="P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" s="2">
        <f>ABS(Данные6[[#This Row],[days_birth]])/365.2425</f>
        <v>27.124444718235143</v>
      </c>
      <c r="S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" s="2">
        <f>IF(Данные6[[#This Row],[ interest_rate]]&gt;$T$1,Данные6[[#This Row],[days_birth4]]*$T$2,Данные6[[#This Row],[days_birth4]])</f>
        <v>0</v>
      </c>
      <c r="U27" s="2">
        <f>IF(Данные6[[#This Row],[Проверка отказа]]="отказ",0,MAX(Данные6[[#This Row],[interest_rate]],$C$1))</f>
        <v>0</v>
      </c>
      <c r="V27" s="2">
        <f>MROUND(Данные6[[#This Row],[Минимум 20000]], 100)</f>
        <v>0</v>
      </c>
      <c r="X27" s="8">
        <v>44100</v>
      </c>
      <c r="Y27" s="9">
        <f>COUNTIF(Данные6[Итоговая сумма], X27)</f>
        <v>2</v>
      </c>
      <c r="Z27" s="10">
        <f>AVERAGEIF(Данные6[Итоговая сумма], X27, Данные6[proba])</f>
        <v>0.25598367183757698</v>
      </c>
      <c r="AA27" s="8">
        <f>Y27*Z27</f>
        <v>0.51196734367515395</v>
      </c>
      <c r="AB27" s="8">
        <f>Y27-AA27</f>
        <v>1.488032656324846</v>
      </c>
      <c r="AC27" s="8">
        <f>-X27*AA27*$Y$3</f>
        <v>-22577.759856074288</v>
      </c>
      <c r="AD27" s="8">
        <f>X27*AB27*$Y$4</f>
        <v>3281.1120071962855</v>
      </c>
      <c r="AE27" s="8">
        <f>AD27+AC27</f>
        <v>-19296.647848878001</v>
      </c>
      <c r="AF27" s="8"/>
      <c r="AG27" s="8"/>
      <c r="AH27"/>
      <c r="AI27"/>
    </row>
    <row r="28" spans="1:35" x14ac:dyDescent="0.25">
      <c r="A28" s="2">
        <f>'1000_заявлений'!A22</f>
        <v>20</v>
      </c>
      <c r="B28" s="4">
        <f>VALUE(SUBSTITUTE('1000_заявлений'!B22, ".", ","))</f>
        <v>0.28797514734271501</v>
      </c>
      <c r="C28" s="4">
        <f>VALUE(SUBSTITUTE('1000_заявлений'!C22, ".", ","))</f>
        <v>0.50385273532618202</v>
      </c>
      <c r="D28" s="4">
        <f>VALUE(SUBSTITUTE('1000_заявлений'!D22, ".", ","))</f>
        <v>0.66102355999999995</v>
      </c>
      <c r="E28" s="4">
        <f>VALUE(SUBSTITUTE('1000_заявлений'!E22, ".", ","))</f>
        <v>0.44874454000000003</v>
      </c>
      <c r="F28" s="5">
        <f>VALUE(SUBSTITUTE('1000_заявлений'!F22, ".", ","))</f>
        <v>-8675</v>
      </c>
      <c r="G28" s="5">
        <f>VALUE(SUBSTITUTE('1000_заявлений'!G22, ".", ","))</f>
        <v>-8706</v>
      </c>
      <c r="H28" s="5">
        <f>VALUE(SUBSTITUTE('1000_заявлений'!H22, ".", ","))</f>
        <v>-1398</v>
      </c>
      <c r="I28" s="4">
        <f>VALUE(SUBSTITUTE('1000_заявлений'!I22, ".", ","))</f>
        <v>5.9166666666666597E-2</v>
      </c>
      <c r="J28" s="4">
        <f>VALUE(SUBSTITUTE('1000_заявлений'!J22, ".", ","))</f>
        <v>22.045005956744699</v>
      </c>
      <c r="K28" s="5">
        <f>VALUE(SUBSTITUTE('1000_заявлений'!K22, ".", ","))</f>
        <v>-350</v>
      </c>
      <c r="L28" s="6">
        <f>VALUE(SUBSTITUTE('1000_заявлений'!L22, ".", ","))</f>
        <v>7987.5</v>
      </c>
      <c r="M28" s="2" t="str">
        <f>IF(Данные6[[#This Row],[proba]]&gt;$C$6, "отказ", "одобрение")</f>
        <v>одобрение</v>
      </c>
      <c r="N28" s="7">
        <f>IF(Данные6[[#This Row],[proba]]&lt;$D$2,$C$2,IF(Данные6[[#This Row],[proba]]&lt;$D$3,$C$3,IF(Данные6[[#This Row],[proba]]&gt;$C$6,0,$C$4)))</f>
        <v>50000</v>
      </c>
      <c r="O28" s="2">
        <f>IF(Данные6[[#This Row],[weighted_ext_score]]&gt;$O$1,MIN(Данные6[[#This Row],[Базовая сумма]]*$O$2,$C$2),IF(Данные6[[#This Row],[weighted_ext_score]]&lt;$O$3,Данные6[[#This Row],[Базовая сумма]]*$O$4,N28))</f>
        <v>50000</v>
      </c>
      <c r="P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28" s="2">
        <f>ABS(Данные6[[#This Row],[days_birth]])/365.2425</f>
        <v>23.836218402841947</v>
      </c>
      <c r="S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28" s="2">
        <f>IF(Данные6[[#This Row],[ interest_rate]]&gt;$T$1,Данные6[[#This Row],[days_birth4]]*$T$2,Данные6[[#This Row],[days_birth4]])</f>
        <v>33600</v>
      </c>
      <c r="U28" s="2">
        <f>IF(Данные6[[#This Row],[Проверка отказа]]="отказ",0,MAX(Данные6[[#This Row],[interest_rate]],$C$1))</f>
        <v>33600</v>
      </c>
      <c r="V28" s="2">
        <f>MROUND(Данные6[[#This Row],[Минимум 20000]], 100)</f>
        <v>33600</v>
      </c>
      <c r="X28" s="8">
        <v>50400</v>
      </c>
      <c r="Y28" s="9">
        <f>COUNTIF(Данные6[Итоговая сумма], X28)</f>
        <v>14</v>
      </c>
      <c r="Z28" s="10">
        <f>AVERAGEIF(Данные6[Итоговая сумма], X28, Данные6[proba])</f>
        <v>0.25282033808984544</v>
      </c>
      <c r="AA28" s="8">
        <f>Y28*Z28</f>
        <v>3.5394847332578361</v>
      </c>
      <c r="AB28" s="8">
        <f>Y28-AA28</f>
        <v>10.460515266742163</v>
      </c>
      <c r="AC28" s="8">
        <f>-X28*AA28*$Y$3</f>
        <v>-178390.03055619495</v>
      </c>
      <c r="AD28" s="8">
        <f>X28*AB28*$Y$4</f>
        <v>26360.498472190255</v>
      </c>
      <c r="AE28" s="8">
        <f>AD28+AC28</f>
        <v>-152029.53208400469</v>
      </c>
      <c r="AF28" s="8"/>
      <c r="AG28" s="8"/>
      <c r="AH28"/>
      <c r="AI28"/>
    </row>
    <row r="29" spans="1:35" x14ac:dyDescent="0.25">
      <c r="A29" s="2">
        <f>'1000_заявлений'!A23</f>
        <v>21</v>
      </c>
      <c r="B29" s="4">
        <f>VALUE(SUBSTITUTE('1000_заявлений'!B23, ".", ","))</f>
        <v>0.27592197858476403</v>
      </c>
      <c r="C29" s="4">
        <f>VALUE(SUBSTITUTE('1000_заявлений'!C23, ".", ","))</f>
        <v>0.47435759604899302</v>
      </c>
      <c r="D29" s="4">
        <f>VALUE(SUBSTITUTE('1000_заявлений'!D23, ".", ","))</f>
        <v>0.65126019999999996</v>
      </c>
      <c r="E29" s="4">
        <f>VALUE(SUBSTITUTE('1000_заявлений'!E23, ".", ","))</f>
        <v>0.7362398</v>
      </c>
      <c r="F29" s="5">
        <f>VALUE(SUBSTITUTE('1000_заявлений'!F23, ".", ","))</f>
        <v>-255</v>
      </c>
      <c r="G29" s="5">
        <f>VALUE(SUBSTITUTE('1000_заявлений'!G23, ".", ","))</f>
        <v>-16020</v>
      </c>
      <c r="H29" s="5">
        <f>VALUE(SUBSTITUTE('1000_заявлений'!H23, ".", ","))</f>
        <v>-2225</v>
      </c>
      <c r="I29" s="4">
        <f>VALUE(SUBSTITUTE('1000_заявлений'!I23, ".", ","))</f>
        <v>0.15631111111111101</v>
      </c>
      <c r="J29" s="4">
        <f>VALUE(SUBSTITUTE('1000_заявлений'!J23, ".", ","))</f>
        <v>1.83324182632016</v>
      </c>
      <c r="K29" s="5">
        <f>VALUE(SUBSTITUTE('1000_заявлений'!K23, ".", ","))</f>
        <v>-1062</v>
      </c>
      <c r="L29" s="6">
        <f>VALUE(SUBSTITUTE('1000_заявлений'!L23, ".", ","))</f>
        <v>31653</v>
      </c>
      <c r="M29" s="2" t="str">
        <f>IF(Данные6[[#This Row],[proba]]&gt;$C$6, "отказ", "одобрение")</f>
        <v>одобрение</v>
      </c>
      <c r="N29" s="7">
        <f>IF(Данные6[[#This Row],[proba]]&lt;$D$2,$C$2,IF(Данные6[[#This Row],[proba]]&lt;$D$3,$C$3,IF(Данные6[[#This Row],[proba]]&gt;$C$6,0,$C$4)))</f>
        <v>50000</v>
      </c>
      <c r="O29" s="2">
        <f>IF(Данные6[[#This Row],[weighted_ext_score]]&gt;$O$1,MIN(Данные6[[#This Row],[Базовая сумма]]*$O$2,$C$2),IF(Данные6[[#This Row],[weighted_ext_score]]&lt;$O$3,Данные6[[#This Row],[Базовая сумма]]*$O$4,N29))</f>
        <v>40000</v>
      </c>
      <c r="P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29" s="2">
        <f>ABS(Данные6[[#This Row],[days_birth]])/365.2425</f>
        <v>43.861270251955894</v>
      </c>
      <c r="S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29" s="2">
        <f>IF(Данные6[[#This Row],[ interest_rate]]&gt;$T$1,Данные6[[#This Row],[days_birth4]]*$T$2,Данные6[[#This Row],[days_birth4]])</f>
        <v>28000</v>
      </c>
      <c r="U29" s="2">
        <f>IF(Данные6[[#This Row],[Проверка отказа]]="отказ",0,MAX(Данные6[[#This Row],[interest_rate]],$C$1))</f>
        <v>28000</v>
      </c>
      <c r="V29" s="2">
        <f>MROUND(Данные6[[#This Row],[Минимум 20000]], 100)</f>
        <v>28000</v>
      </c>
      <c r="X29" s="8">
        <v>40000</v>
      </c>
      <c r="Y29" s="9">
        <f>COUNTIF(Данные6[Итоговая сумма], X29)</f>
        <v>3</v>
      </c>
      <c r="Z29" s="10">
        <f>AVERAGEIF(Данные6[Итоговая сумма], X29, Данные6[proba])</f>
        <v>0.27229309444895927</v>
      </c>
      <c r="AA29" s="8">
        <f>Y29*Z29</f>
        <v>0.81687928334687787</v>
      </c>
      <c r="AB29" s="8">
        <f>Y29-AA29</f>
        <v>2.1831207166531224</v>
      </c>
      <c r="AC29" s="8">
        <f>-X29*AA29*$Y$3</f>
        <v>-32675.171333875114</v>
      </c>
      <c r="AD29" s="8">
        <f>X29*AB29*$Y$4</f>
        <v>4366.2414333062452</v>
      </c>
      <c r="AE29" s="8">
        <f>AD29+AC29</f>
        <v>-28308.92990056887</v>
      </c>
      <c r="AF29" s="8"/>
      <c r="AG29" s="8"/>
      <c r="AH29"/>
      <c r="AI29"/>
    </row>
    <row r="30" spans="1:35" x14ac:dyDescent="0.25">
      <c r="A30" s="2">
        <f>'1000_заявлений'!A24</f>
        <v>22</v>
      </c>
      <c r="B30" s="4">
        <f>VALUE(SUBSTITUTE('1000_заявлений'!B24, ".", ","))</f>
        <v>0.222356782064275</v>
      </c>
      <c r="C30" s="4">
        <f>VALUE(SUBSTITUTE('1000_заявлений'!C24, ".", ","))</f>
        <v>0.43359826999826201</v>
      </c>
      <c r="D30" s="4">
        <f>VALUE(SUBSTITUTE('1000_заявлений'!D24, ".", ","))</f>
        <v>0.50828700000000004</v>
      </c>
      <c r="E30" s="4">
        <f>VALUE(SUBSTITUTE('1000_заявлений'!E24, ".", ","))</f>
        <v>0.76999426000000004</v>
      </c>
      <c r="F30" s="5">
        <f>VALUE(SUBSTITUTE('1000_заявлений'!F24, ".", ","))</f>
        <v>-11653</v>
      </c>
      <c r="G30" s="5">
        <f>VALUE(SUBSTITUTE('1000_заявлений'!G24, ".", ","))</f>
        <v>-21284</v>
      </c>
      <c r="H30" s="5">
        <f>VALUE(SUBSTITUTE('1000_заявлений'!H24, ".", ","))</f>
        <v>-4302</v>
      </c>
      <c r="I30" s="4">
        <f>VALUE(SUBSTITUTE('1000_заявлений'!I24, ".", ","))</f>
        <v>0.17842222222222201</v>
      </c>
      <c r="J30" s="4">
        <f>VALUE(SUBSTITUTE('1000_заявлений'!J24, ".", ","))</f>
        <v>8.2687408516258998</v>
      </c>
      <c r="K30" s="5">
        <f>VALUE(SUBSTITUTE('1000_заявлений'!K24, ".", ","))</f>
        <v>365243</v>
      </c>
      <c r="L30" s="6">
        <f>VALUE(SUBSTITUTE('1000_заявлений'!L24, ".", ","))</f>
        <v>36130.5</v>
      </c>
      <c r="M30" s="2" t="str">
        <f>IF(Данные6[[#This Row],[proba]]&gt;$C$6, "отказ", "одобрение")</f>
        <v>одобрение</v>
      </c>
      <c r="N30" s="7">
        <f>IF(Данные6[[#This Row],[proba]]&lt;$D$2,$C$2,IF(Данные6[[#This Row],[proba]]&lt;$D$3,$C$3,IF(Данные6[[#This Row],[proba]]&gt;$C$6,0,$C$4)))</f>
        <v>50000</v>
      </c>
      <c r="O30" s="2">
        <f>IF(Данные6[[#This Row],[weighted_ext_score]]&gt;$O$1,MIN(Данные6[[#This Row],[Базовая сумма]]*$O$2,$C$2),IF(Данные6[[#This Row],[weighted_ext_score]]&lt;$O$3,Данные6[[#This Row],[Базовая сумма]]*$O$4,N30))</f>
        <v>40000</v>
      </c>
      <c r="P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0" s="2">
        <f>ABS(Данные6[[#This Row],[days_birth]])/365.2425</f>
        <v>58.273612736743395</v>
      </c>
      <c r="S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0" s="2">
        <f>IF(Данные6[[#This Row],[ interest_rate]]&gt;$T$1,Данные6[[#This Row],[days_birth4]]*$T$2,Данные6[[#This Row],[days_birth4]])</f>
        <v>42000</v>
      </c>
      <c r="U30" s="2">
        <f>IF(Данные6[[#This Row],[Проверка отказа]]="отказ",0,MAX(Данные6[[#This Row],[interest_rate]],$C$1))</f>
        <v>42000</v>
      </c>
      <c r="V30" s="2">
        <f>MROUND(Данные6[[#This Row],[Минимум 20000]], 100)</f>
        <v>42000</v>
      </c>
      <c r="X30" s="8">
        <v>36800</v>
      </c>
      <c r="Y30" s="9">
        <f>COUNTIF(Данные6[Итоговая сумма], X30)</f>
        <v>5</v>
      </c>
      <c r="Z30" s="10">
        <f>AVERAGEIF(Данные6[Итоговая сумма], X30, Данные6[proba])</f>
        <v>0.25617365407680348</v>
      </c>
      <c r="AA30" s="8">
        <f>Y30*Z30</f>
        <v>1.2808682703840173</v>
      </c>
      <c r="AB30" s="8">
        <f>Y30-AA30</f>
        <v>3.7191317296159827</v>
      </c>
      <c r="AC30" s="8">
        <f>-X30*AA30*$Y$3</f>
        <v>-47135.95235013184</v>
      </c>
      <c r="AD30" s="8">
        <f>X30*AB30*$Y$4</f>
        <v>6843.2023824934076</v>
      </c>
      <c r="AE30" s="8">
        <f>AD30+AC30</f>
        <v>-40292.749967638432</v>
      </c>
      <c r="AF30" s="8"/>
      <c r="AG30" s="8"/>
      <c r="AH30"/>
      <c r="AI30"/>
    </row>
    <row r="31" spans="1:35" x14ac:dyDescent="0.25">
      <c r="A31" s="2">
        <f>'1000_заявлений'!A25</f>
        <v>23</v>
      </c>
      <c r="B31" s="4">
        <f>VALUE(SUBSTITUTE('1000_заявлений'!B25, ".", ","))</f>
        <v>0.27877626963972202</v>
      </c>
      <c r="C31" s="4">
        <f>VALUE(SUBSTITUTE('1000_заявлений'!C25, ".", ","))</f>
        <v>0.38377972814398698</v>
      </c>
      <c r="D31" s="4">
        <f>VALUE(SUBSTITUTE('1000_заявлений'!D25, ".", ","))</f>
        <v>0.73522100000000001</v>
      </c>
      <c r="E31" s="4">
        <f>VALUE(SUBSTITUTE('1000_заявлений'!E25, ".", ","))</f>
        <v>0.36339076999999997</v>
      </c>
      <c r="F31" s="5">
        <f>VALUE(SUBSTITUTE('1000_заявлений'!F25, ".", ","))</f>
        <v>-6418</v>
      </c>
      <c r="G31" s="5">
        <f>VALUE(SUBSTITUTE('1000_заявлений'!G25, ".", ","))</f>
        <v>-22555</v>
      </c>
      <c r="H31" s="5">
        <f>VALUE(SUBSTITUTE('1000_заявлений'!H25, ".", ","))</f>
        <v>-4424</v>
      </c>
      <c r="I31" s="4">
        <f>VALUE(SUBSTITUTE('1000_заявлений'!I25, ".", ","))</f>
        <v>0.16666666666666599</v>
      </c>
      <c r="J31" s="4">
        <f>VALUE(SUBSTITUTE('1000_заявлений'!J25, ".", ","))</f>
        <v>10.6209759779781</v>
      </c>
      <c r="K31" s="5">
        <f>VALUE(SUBSTITUTE('1000_заявлений'!K25, ".", ","))</f>
        <v>365243</v>
      </c>
      <c r="L31" s="6">
        <f>VALUE(SUBSTITUTE('1000_заявлений'!L25, ".", ","))</f>
        <v>11250</v>
      </c>
      <c r="M31" s="2" t="str">
        <f>IF(Данные6[[#This Row],[proba]]&gt;$C$6, "отказ", "одобрение")</f>
        <v>одобрение</v>
      </c>
      <c r="N31" s="7">
        <f>IF(Данные6[[#This Row],[proba]]&lt;$D$2,$C$2,IF(Данные6[[#This Row],[proba]]&lt;$D$3,$C$3,IF(Данные6[[#This Row],[proba]]&gt;$C$6,0,$C$4)))</f>
        <v>50000</v>
      </c>
      <c r="O31" s="2">
        <f>IF(Данные6[[#This Row],[weighted_ext_score]]&gt;$O$1,MIN(Данные6[[#This Row],[Базовая сумма]]*$O$2,$C$2),IF(Данные6[[#This Row],[weighted_ext_score]]&lt;$O$3,Данные6[[#This Row],[Базовая сумма]]*$O$4,N31))</f>
        <v>40000</v>
      </c>
      <c r="P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1" s="2">
        <f>ABS(Данные6[[#This Row],[days_birth]])/365.2425</f>
        <v>61.753492542625786</v>
      </c>
      <c r="S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1" s="2">
        <f>IF(Данные6[[#This Row],[ interest_rate]]&gt;$T$1,Данные6[[#This Row],[days_birth4]]*$T$2,Данные6[[#This Row],[days_birth4]])</f>
        <v>42000</v>
      </c>
      <c r="U31" s="2">
        <f>IF(Данные6[[#This Row],[Проверка отказа]]="отказ",0,MAX(Данные6[[#This Row],[interest_rate]],$C$1))</f>
        <v>42000</v>
      </c>
      <c r="V31" s="2">
        <f>MROUND(Данные6[[#This Row],[Минимум 20000]], 100)</f>
        <v>42000</v>
      </c>
      <c r="X31" s="8">
        <v>300000</v>
      </c>
      <c r="Y31" s="9">
        <f>COUNTIF(Данные6[Итоговая сумма], X31)</f>
        <v>14</v>
      </c>
      <c r="Z31" s="10">
        <f>AVERAGEIF(Данные6[Итоговая сумма], X31, Данные6[proba])</f>
        <v>0.12936481593115814</v>
      </c>
      <c r="AA31" s="8">
        <f>Y31*Z31</f>
        <v>1.8111074230362141</v>
      </c>
      <c r="AB31" s="8">
        <f>Y31-AA31</f>
        <v>12.188892576963786</v>
      </c>
      <c r="AC31" s="8">
        <f>-X31*AA31*$Y$3</f>
        <v>-543332.22691086424</v>
      </c>
      <c r="AD31" s="8">
        <f>X31*AB31*$Y$4</f>
        <v>182833.38865445682</v>
      </c>
      <c r="AE31" s="8">
        <f>AD31+AC31</f>
        <v>-360498.83825640741</v>
      </c>
      <c r="AF31" s="8"/>
      <c r="AG31" s="8"/>
      <c r="AH31"/>
      <c r="AI31"/>
    </row>
    <row r="32" spans="1:35" x14ac:dyDescent="0.25">
      <c r="A32" s="2">
        <f>'1000_заявлений'!A26</f>
        <v>24</v>
      </c>
      <c r="B32" s="4">
        <f>VALUE(SUBSTITUTE('1000_заявлений'!B26, ".", ","))</f>
        <v>0.48622177320315002</v>
      </c>
      <c r="C32" s="4">
        <f>VALUE(SUBSTITUTE('1000_заявлений'!C26, ".", ","))</f>
        <v>0.42041621099359799</v>
      </c>
      <c r="D32" s="4">
        <f>VALUE(SUBSTITUTE('1000_заявлений'!D26, ".", ","))</f>
        <v>0.43828139999999999</v>
      </c>
      <c r="E32" s="4">
        <f>VALUE(SUBSTITUTE('1000_заявлений'!E26, ".", ","))</f>
        <v>0.63941570000000003</v>
      </c>
      <c r="F32" s="5">
        <f>VALUE(SUBSTITUTE('1000_заявлений'!F26, ".", ","))</f>
        <v>-2772</v>
      </c>
      <c r="G32" s="5">
        <f>VALUE(SUBSTITUTE('1000_заявлений'!G26, ".", ","))</f>
        <v>-9089</v>
      </c>
      <c r="H32" s="5">
        <f>VALUE(SUBSTITUTE('1000_заявлений'!H26, ".", ","))</f>
        <v>-1752</v>
      </c>
      <c r="I32" s="4">
        <f>VALUE(SUBSTITUTE('1000_заявлений'!I26, ".", ","))</f>
        <v>0.1726</v>
      </c>
      <c r="J32" s="4">
        <f>VALUE(SUBSTITUTE('1000_заявлений'!J26, ".", ","))</f>
        <v>4.5644705727533497</v>
      </c>
      <c r="K32" s="5">
        <f>VALUE(SUBSTITUTE('1000_заявлений'!K26, ".", ","))</f>
        <v>-519</v>
      </c>
      <c r="L32" s="6">
        <f>VALUE(SUBSTITUTE('1000_заявлений'!L26, ".", ","))</f>
        <v>19417.5</v>
      </c>
      <c r="M32" s="2" t="str">
        <f>IF(Данные6[[#This Row],[proba]]&gt;$C$6, "отказ", "одобрение")</f>
        <v>отказ</v>
      </c>
      <c r="N32" s="7">
        <f>IF(Данные6[[#This Row],[proba]]&lt;$D$2,$C$2,IF(Данные6[[#This Row],[proba]]&lt;$D$3,$C$3,IF(Данные6[[#This Row],[proba]]&gt;$C$6,0,$C$4)))</f>
        <v>0</v>
      </c>
      <c r="O32" s="2">
        <f>IF(Данные6[[#This Row],[weighted_ext_score]]&gt;$O$1,MIN(Данные6[[#This Row],[Базовая сумма]]*$O$2,$C$2),IF(Данные6[[#This Row],[weighted_ext_score]]&lt;$O$3,Данные6[[#This Row],[Базовая сумма]]*$O$4,N32))</f>
        <v>0</v>
      </c>
      <c r="P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" s="2">
        <f>ABS(Данные6[[#This Row],[days_birth]])/365.2425</f>
        <v>24.884836786518544</v>
      </c>
      <c r="S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" s="2">
        <f>IF(Данные6[[#This Row],[ interest_rate]]&gt;$T$1,Данные6[[#This Row],[days_birth4]]*$T$2,Данные6[[#This Row],[days_birth4]])</f>
        <v>0</v>
      </c>
      <c r="U32" s="2">
        <f>IF(Данные6[[#This Row],[Проверка отказа]]="отказ",0,MAX(Данные6[[#This Row],[interest_rate]],$C$1))</f>
        <v>0</v>
      </c>
      <c r="V32" s="2">
        <f>MROUND(Данные6[[#This Row],[Минимум 20000]], 100)</f>
        <v>0</v>
      </c>
      <c r="X32" s="8">
        <v>29400</v>
      </c>
      <c r="Y32" s="9">
        <f>COUNTIF(Данные6[Итоговая сумма], X32)</f>
        <v>7</v>
      </c>
      <c r="Z32" s="10">
        <f>AVERAGEIF(Данные6[Итоговая сумма], X32, Данные6[proba])</f>
        <v>0.24936158863459118</v>
      </c>
      <c r="AA32" s="8">
        <f>Y32*Z32</f>
        <v>1.7455311204421382</v>
      </c>
      <c r="AB32" s="8">
        <f>Y32-AA32</f>
        <v>5.2544688795578622</v>
      </c>
      <c r="AC32" s="8">
        <f>-X32*AA32*$Y$3</f>
        <v>-51318.614940998865</v>
      </c>
      <c r="AD32" s="8">
        <f>X32*AB32*$Y$4</f>
        <v>7724.0692529500584</v>
      </c>
      <c r="AE32" s="8">
        <f>AD32+AC32</f>
        <v>-43594.545688048805</v>
      </c>
      <c r="AF32" s="8"/>
      <c r="AG32" s="8"/>
      <c r="AH32"/>
      <c r="AI32"/>
    </row>
    <row r="33" spans="1:35" x14ac:dyDescent="0.25">
      <c r="A33" s="2">
        <f>'1000_заявлений'!A27</f>
        <v>25</v>
      </c>
      <c r="B33" s="4">
        <f>VALUE(SUBSTITUTE('1000_заявлений'!B27, ".", ","))</f>
        <v>0.31901987555164402</v>
      </c>
      <c r="C33" s="4">
        <f>VALUE(SUBSTITUTE('1000_заявлений'!C27, ".", ","))</f>
        <v>0.57534429645158602</v>
      </c>
      <c r="D33" s="4">
        <f>VALUE(SUBSTITUTE('1000_заявлений'!D27, ".", ","))</f>
        <v>0.70169579999999998</v>
      </c>
      <c r="E33" s="4">
        <f>VALUE(SUBSTITUTE('1000_заявлений'!E27, ".", ","))</f>
        <v>0.52536289999999997</v>
      </c>
      <c r="F33" s="5">
        <f>VALUE(SUBSTITUTE('1000_заявлений'!F27, ".", ","))</f>
        <v>-11870</v>
      </c>
      <c r="G33" s="5">
        <f>VALUE(SUBSTITUTE('1000_заявлений'!G27, ".", ","))</f>
        <v>-18715</v>
      </c>
      <c r="H33" s="5">
        <f>VALUE(SUBSTITUTE('1000_заявлений'!H27, ".", ","))</f>
        <v>-2043</v>
      </c>
      <c r="I33" s="4">
        <f>VALUE(SUBSTITUTE('1000_заявлений'!I27, ".", ","))</f>
        <v>0.41141666666666599</v>
      </c>
      <c r="J33" s="4">
        <f>VALUE(SUBSTITUTE('1000_заявлений'!J27, ".", ","))</f>
        <v>2.2012181192897202</v>
      </c>
      <c r="K33" s="5">
        <f>VALUE(SUBSTITUTE('1000_заявлений'!K27, ".", ","))</f>
        <v>-12117</v>
      </c>
      <c r="L33" s="6">
        <f>VALUE(SUBSTITUTE('1000_заявлений'!L27, ".", ","))</f>
        <v>22216.5</v>
      </c>
      <c r="M33" s="2" t="str">
        <f>IF(Данные6[[#This Row],[proba]]&gt;$C$6, "отказ", "одобрение")</f>
        <v>отказ</v>
      </c>
      <c r="N33" s="7">
        <f>IF(Данные6[[#This Row],[proba]]&lt;$D$2,$C$2,IF(Данные6[[#This Row],[proba]]&lt;$D$3,$C$3,IF(Данные6[[#This Row],[proba]]&gt;$C$6,0,$C$4)))</f>
        <v>0</v>
      </c>
      <c r="O33" s="2">
        <f>IF(Данные6[[#This Row],[weighted_ext_score]]&gt;$O$1,MIN(Данные6[[#This Row],[Базовая сумма]]*$O$2,$C$2),IF(Данные6[[#This Row],[weighted_ext_score]]&lt;$O$3,Данные6[[#This Row],[Базовая сумма]]*$O$4,N33))</f>
        <v>0</v>
      </c>
      <c r="P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" s="2">
        <f>ABS(Данные6[[#This Row],[days_birth]])/365.2425</f>
        <v>51.23992963578992</v>
      </c>
      <c r="S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" s="2">
        <f>IF(Данные6[[#This Row],[ interest_rate]]&gt;$T$1,Данные6[[#This Row],[days_birth4]]*$T$2,Данные6[[#This Row],[days_birth4]])</f>
        <v>0</v>
      </c>
      <c r="U33" s="2">
        <f>IF(Данные6[[#This Row],[Проверка отказа]]="отказ",0,MAX(Данные6[[#This Row],[interest_rate]],$C$1))</f>
        <v>0</v>
      </c>
      <c r="V33" s="2">
        <f>MROUND(Данные6[[#This Row],[Минимум 20000]], 100)</f>
        <v>0</v>
      </c>
      <c r="X33" s="8">
        <v>147000</v>
      </c>
      <c r="Y33" s="9">
        <f>COUNTIF(Данные6[Итоговая сумма], X33)</f>
        <v>3</v>
      </c>
      <c r="Z33" s="10">
        <f>AVERAGEIF(Данные6[Итоговая сумма], X33, Данные6[proba])</f>
        <v>0.18034032949008069</v>
      </c>
      <c r="AA33" s="8">
        <f>Y33*Z33</f>
        <v>0.54102098847024205</v>
      </c>
      <c r="AB33" s="8">
        <f>Y33-AA33</f>
        <v>2.4589790115297578</v>
      </c>
      <c r="AC33" s="8">
        <f>-X33*AA33*$Y$3</f>
        <v>-79530.085305125584</v>
      </c>
      <c r="AD33" s="8">
        <f>X33*AB33*$Y$4</f>
        <v>18073.495734743723</v>
      </c>
      <c r="AE33" s="8">
        <f>AD33+AC33</f>
        <v>-61456.589570381861</v>
      </c>
      <c r="AF33" s="8"/>
      <c r="AG33" s="8"/>
      <c r="AH33"/>
      <c r="AI33"/>
    </row>
    <row r="34" spans="1:35" x14ac:dyDescent="0.25">
      <c r="A34" s="2">
        <f>'1000_заявлений'!A28</f>
        <v>26</v>
      </c>
      <c r="B34" s="4">
        <f>VALUE(SUBSTITUTE('1000_заявлений'!B28, ".", ","))</f>
        <v>0.41938893832905499</v>
      </c>
      <c r="C34" s="4">
        <f>VALUE(SUBSTITUTE('1000_заявлений'!C28, ".", ","))</f>
        <v>0.50972747921539596</v>
      </c>
      <c r="D34" s="4">
        <f>VALUE(SUBSTITUTE('1000_заявлений'!D28, ".", ","))</f>
        <v>0.76880760000000004</v>
      </c>
      <c r="E34" s="4">
        <f>VALUE(SUBSTITUTE('1000_заявлений'!E28, ".", ","))</f>
        <v>0.20162590999999999</v>
      </c>
      <c r="F34" s="5">
        <f>VALUE(SUBSTITUTE('1000_заявлений'!F28, ".", ","))</f>
        <v>-2657</v>
      </c>
      <c r="G34" s="5">
        <f>VALUE(SUBSTITUTE('1000_заявлений'!G28, ".", ","))</f>
        <v>-16228</v>
      </c>
      <c r="H34" s="5">
        <f>VALUE(SUBSTITUTE('1000_заявлений'!H28, ".", ","))</f>
        <v>-2385</v>
      </c>
      <c r="I34" s="4">
        <f>VALUE(SUBSTITUTE('1000_заявлений'!I28, ".", ","))</f>
        <v>0.31926666666666598</v>
      </c>
      <c r="J34" s="4">
        <f>VALUE(SUBSTITUTE('1000_заявлений'!J28, ".", ","))</f>
        <v>4.08771228158224</v>
      </c>
      <c r="K34" s="5">
        <f>VALUE(SUBSTITUTE('1000_заявлений'!K28, ".", ","))</f>
        <v>-2127</v>
      </c>
      <c r="L34" s="6">
        <f>VALUE(SUBSTITUTE('1000_заявлений'!L28, ".", ","))</f>
        <v>43101</v>
      </c>
      <c r="M34" s="2" t="str">
        <f>IF(Данные6[[#This Row],[proba]]&gt;$C$6, "отказ", "одобрение")</f>
        <v>отказ</v>
      </c>
      <c r="N34" s="7">
        <f>IF(Данные6[[#This Row],[proba]]&lt;$D$2,$C$2,IF(Данные6[[#This Row],[proba]]&lt;$D$3,$C$3,IF(Данные6[[#This Row],[proba]]&gt;$C$6,0,$C$4)))</f>
        <v>0</v>
      </c>
      <c r="O34" s="2">
        <f>IF(Данные6[[#This Row],[weighted_ext_score]]&gt;$O$1,MIN(Данные6[[#This Row],[Базовая сумма]]*$O$2,$C$2),IF(Данные6[[#This Row],[weighted_ext_score]]&lt;$O$3,Данные6[[#This Row],[Базовая сумма]]*$O$4,N34))</f>
        <v>0</v>
      </c>
      <c r="P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" s="2">
        <f>ABS(Данные6[[#This Row],[days_birth]])/365.2425</f>
        <v>44.430754909409501</v>
      </c>
      <c r="S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" s="2">
        <f>IF(Данные6[[#This Row],[ interest_rate]]&gt;$T$1,Данные6[[#This Row],[days_birth4]]*$T$2,Данные6[[#This Row],[days_birth4]])</f>
        <v>0</v>
      </c>
      <c r="U34" s="2">
        <f>IF(Данные6[[#This Row],[Проверка отказа]]="отказ",0,MAX(Данные6[[#This Row],[interest_rate]],$C$1))</f>
        <v>0</v>
      </c>
      <c r="V34" s="2">
        <f>MROUND(Данные6[[#This Row],[Минимум 20000]], 100)</f>
        <v>0</v>
      </c>
      <c r="X34" s="8">
        <v>140000</v>
      </c>
      <c r="Y34" s="9">
        <f>COUNTIF(Данные6[Итоговая сумма], X34)</f>
        <v>5</v>
      </c>
      <c r="Z34" s="10">
        <f>AVERAGEIF(Данные6[Итоговая сумма], X34, Данные6[proba])</f>
        <v>0.17996867638825481</v>
      </c>
      <c r="AA34" s="8">
        <f>Y34*Z34</f>
        <v>0.89984338194127411</v>
      </c>
      <c r="AB34" s="8">
        <f>Y34-AA34</f>
        <v>4.1001566180587261</v>
      </c>
      <c r="AC34" s="8">
        <f>-X34*AA34*$Y$3</f>
        <v>-125978.07347177838</v>
      </c>
      <c r="AD34" s="8">
        <f>X34*AB34*$Y$4</f>
        <v>28701.096326411087</v>
      </c>
      <c r="AE34" s="8">
        <f>AD34+AC34</f>
        <v>-97276.977145367287</v>
      </c>
      <c r="AF34" s="8"/>
      <c r="AG34" s="8"/>
      <c r="AH34"/>
      <c r="AI34"/>
    </row>
    <row r="35" spans="1:35" x14ac:dyDescent="0.25">
      <c r="A35" s="2">
        <f>'1000_заявлений'!A29</f>
        <v>27</v>
      </c>
      <c r="B35" s="4">
        <f>VALUE(SUBSTITUTE('1000_заявлений'!B29, ".", ","))</f>
        <v>0.42744540852685498</v>
      </c>
      <c r="C35" s="4">
        <f>VALUE(SUBSTITUTE('1000_заявлений'!C29, ".", ","))</f>
        <v>0.36469848409401701</v>
      </c>
      <c r="D35" s="4">
        <f>VALUE(SUBSTITUTE('1000_заявлений'!D29, ".", ","))</f>
        <v>0.80045133999999996</v>
      </c>
      <c r="E35" s="4">
        <f>VALUE(SUBSTITUTE('1000_заявлений'!E29, ".", ","))</f>
        <v>0.23183756999999999</v>
      </c>
      <c r="F35" s="5">
        <f>VALUE(SUBSTITUTE('1000_заявлений'!F29, ".", ","))</f>
        <v>-2901</v>
      </c>
      <c r="G35" s="5">
        <f>VALUE(SUBSTITUTE('1000_заявлений'!G29, ".", ","))</f>
        <v>-17125</v>
      </c>
      <c r="H35" s="5">
        <f>VALUE(SUBSTITUTE('1000_заявлений'!H29, ".", ","))</f>
        <v>-686</v>
      </c>
      <c r="I35" s="4">
        <f>VALUE(SUBSTITUTE('1000_заявлений'!I29, ".", ","))</f>
        <v>8.7466666666666595E-2</v>
      </c>
      <c r="J35" s="4">
        <f>VALUE(SUBSTITUTE('1000_заявлений'!J29, ".", ","))</f>
        <v>1.8620842611752599</v>
      </c>
      <c r="K35" s="5">
        <f>VALUE(SUBSTITUTE('1000_заявлений'!K29, ".", ","))</f>
        <v>-1681</v>
      </c>
      <c r="L35" s="6">
        <f>VALUE(SUBSTITUTE('1000_заявлений'!L29, ".", ","))</f>
        <v>29520</v>
      </c>
      <c r="M35" s="2" t="str">
        <f>IF(Данные6[[#This Row],[proba]]&gt;$C$6, "отказ", "одобрение")</f>
        <v>отказ</v>
      </c>
      <c r="N35" s="7">
        <f>IF(Данные6[[#This Row],[proba]]&lt;$D$2,$C$2,IF(Данные6[[#This Row],[proba]]&lt;$D$3,$C$3,IF(Данные6[[#This Row],[proba]]&gt;$C$6,0,$C$4)))</f>
        <v>0</v>
      </c>
      <c r="O35" s="2">
        <f>IF(Данные6[[#This Row],[weighted_ext_score]]&gt;$O$1,MIN(Данные6[[#This Row],[Базовая сумма]]*$O$2,$C$2),IF(Данные6[[#This Row],[weighted_ext_score]]&lt;$O$3,Данные6[[#This Row],[Базовая сумма]]*$O$4,N35))</f>
        <v>0</v>
      </c>
      <c r="P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" s="2">
        <f>ABS(Данные6[[#This Row],[days_birth]])/365.2425</f>
        <v>46.88665749467819</v>
      </c>
      <c r="S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" s="2">
        <f>IF(Данные6[[#This Row],[ interest_rate]]&gt;$T$1,Данные6[[#This Row],[days_birth4]]*$T$2,Данные6[[#This Row],[days_birth4]])</f>
        <v>0</v>
      </c>
      <c r="U35" s="2">
        <f>IF(Данные6[[#This Row],[Проверка отказа]]="отказ",0,MAX(Данные6[[#This Row],[interest_rate]],$C$1))</f>
        <v>0</v>
      </c>
      <c r="V35" s="2">
        <f>MROUND(Данные6[[#This Row],[Минимум 20000]], 100)</f>
        <v>0</v>
      </c>
      <c r="X35" s="2">
        <v>75600</v>
      </c>
    </row>
    <row r="36" spans="1:35" x14ac:dyDescent="0.25">
      <c r="A36" s="2">
        <f>'1000_заявлений'!A30</f>
        <v>28</v>
      </c>
      <c r="B36" s="4">
        <f>VALUE(SUBSTITUTE('1000_заявлений'!B30, ".", ","))</f>
        <v>0.69417861161627004</v>
      </c>
      <c r="C36" s="4">
        <f>VALUE(SUBSTITUTE('1000_заявлений'!C30, ".", ","))</f>
        <v>0.33722819709690999</v>
      </c>
      <c r="D36" s="4">
        <f>VALUE(SUBSTITUTE('1000_заявлений'!D30, ".", ","))</f>
        <v>0.24054141000000001</v>
      </c>
      <c r="E36" s="4">
        <f>VALUE(SUBSTITUTE('1000_заявлений'!E30, ".", ","))</f>
        <v>0.37269799999999997</v>
      </c>
      <c r="F36" s="5">
        <f>VALUE(SUBSTITUTE('1000_заявлений'!F30, ".", ","))</f>
        <v>-5263</v>
      </c>
      <c r="G36" s="5">
        <f>VALUE(SUBSTITUTE('1000_заявлений'!G30, ".", ","))</f>
        <v>-12471</v>
      </c>
      <c r="H36" s="5">
        <f>VALUE(SUBSTITUTE('1000_заявлений'!H30, ".", ","))</f>
        <v>-2988</v>
      </c>
      <c r="I36" s="4">
        <f>VALUE(SUBSTITUTE('1000_заявлений'!I30, ".", ","))</f>
        <v>0.17572499999999999</v>
      </c>
      <c r="J36" s="4">
        <f>VALUE(SUBSTITUTE('1000_заявлений'!J30, ".", ","))</f>
        <v>4.2466283018955204</v>
      </c>
      <c r="K36" s="5">
        <f>VALUE(SUBSTITUTE('1000_заявлений'!K30, ".", ","))</f>
        <v>-515</v>
      </c>
      <c r="L36" s="6">
        <f>VALUE(SUBSTITUTE('1000_заявлений'!L30, ".", ","))</f>
        <v>31630.5</v>
      </c>
      <c r="M36" s="2" t="str">
        <f>IF(Данные6[[#This Row],[proba]]&gt;$C$6, "отказ", "одобрение")</f>
        <v>отказ</v>
      </c>
      <c r="N36" s="7">
        <f>IF(Данные6[[#This Row],[proba]]&lt;$D$2,$C$2,IF(Данные6[[#This Row],[proba]]&lt;$D$3,$C$3,IF(Данные6[[#This Row],[proba]]&gt;$C$6,0,$C$4)))</f>
        <v>0</v>
      </c>
      <c r="O36" s="2">
        <f>IF(Данные6[[#This Row],[weighted_ext_score]]&gt;$O$1,MIN(Данные6[[#This Row],[Базовая сумма]]*$O$2,$C$2),IF(Данные6[[#This Row],[weighted_ext_score]]&lt;$O$3,Данные6[[#This Row],[Базовая сумма]]*$O$4,N36))</f>
        <v>0</v>
      </c>
      <c r="P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" s="2">
        <f>ABS(Данные6[[#This Row],[days_birth]])/365.2425</f>
        <v>34.144438284153679</v>
      </c>
      <c r="S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" s="2">
        <f>IF(Данные6[[#This Row],[ interest_rate]]&gt;$T$1,Данные6[[#This Row],[days_birth4]]*$T$2,Данные6[[#This Row],[days_birth4]])</f>
        <v>0</v>
      </c>
      <c r="U36" s="2">
        <f>IF(Данные6[[#This Row],[Проверка отказа]]="отказ",0,MAX(Данные6[[#This Row],[interest_rate]],$C$1))</f>
        <v>0</v>
      </c>
      <c r="V36" s="2">
        <f>MROUND(Данные6[[#This Row],[Минимум 20000]], 100)</f>
        <v>0</v>
      </c>
      <c r="X36" s="2">
        <v>57600</v>
      </c>
    </row>
    <row r="37" spans="1:35" x14ac:dyDescent="0.25">
      <c r="A37" s="2">
        <f>'1000_заявлений'!A31</f>
        <v>29</v>
      </c>
      <c r="B37" s="4">
        <f>VALUE(SUBSTITUTE('1000_заявлений'!B31, ".", ","))</f>
        <v>0.49802235134607897</v>
      </c>
      <c r="C37" s="4">
        <f>VALUE(SUBSTITUTE('1000_заявлений'!C31, ".", ","))</f>
        <v>0.33048299607020398</v>
      </c>
      <c r="D37" s="4">
        <f>VALUE(SUBSTITUTE('1000_заявлений'!D31, ".", ","))</f>
        <v>0.24585122000000001</v>
      </c>
      <c r="E37" s="4">
        <f>VALUE(SUBSTITUTE('1000_заявлений'!E31, ".", ","))</f>
        <v>0.74471109999999996</v>
      </c>
      <c r="F37" s="5">
        <f>VALUE(SUBSTITUTE('1000_заявлений'!F31, ".", ","))</f>
        <v>-1903</v>
      </c>
      <c r="G37" s="5">
        <f>VALUE(SUBSTITUTE('1000_заявлений'!G31, ".", ","))</f>
        <v>-21717</v>
      </c>
      <c r="H37" s="5">
        <f>VALUE(SUBSTITUTE('1000_заявлений'!H31, ".", ","))</f>
        <v>-4150</v>
      </c>
      <c r="I37" s="4">
        <f>VALUE(SUBSTITUTE('1000_заявлений'!I31, ".", ","))</f>
        <v>0.129155555555555</v>
      </c>
      <c r="J37" s="4">
        <f>VALUE(SUBSTITUTE('1000_заявлений'!J31, ".", ","))</f>
        <v>0.65944728718305701</v>
      </c>
      <c r="K37" s="5">
        <f>VALUE(SUBSTITUTE('1000_заявлений'!K31, ".", ","))</f>
        <v>-876</v>
      </c>
      <c r="L37" s="6">
        <f>VALUE(SUBSTITUTE('1000_заявлений'!L31, ".", ","))</f>
        <v>26154</v>
      </c>
      <c r="M37" s="2" t="str">
        <f>IF(Данные6[[#This Row],[proba]]&gt;$C$6, "отказ", "одобрение")</f>
        <v>отказ</v>
      </c>
      <c r="N37" s="7">
        <f>IF(Данные6[[#This Row],[proba]]&lt;$D$2,$C$2,IF(Данные6[[#This Row],[proba]]&lt;$D$3,$C$3,IF(Данные6[[#This Row],[proba]]&gt;$C$6,0,$C$4)))</f>
        <v>0</v>
      </c>
      <c r="O37" s="2">
        <f>IF(Данные6[[#This Row],[weighted_ext_score]]&gt;$O$1,MIN(Данные6[[#This Row],[Базовая сумма]]*$O$2,$C$2),IF(Данные6[[#This Row],[weighted_ext_score]]&lt;$O$3,Данные6[[#This Row],[Базовая сумма]]*$O$4,N37))</f>
        <v>0</v>
      </c>
      <c r="P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" s="2">
        <f>ABS(Данные6[[#This Row],[days_birth]])/365.2425</f>
        <v>59.459126470769419</v>
      </c>
      <c r="S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" s="2">
        <f>IF(Данные6[[#This Row],[ interest_rate]]&gt;$T$1,Данные6[[#This Row],[days_birth4]]*$T$2,Данные6[[#This Row],[days_birth4]])</f>
        <v>0</v>
      </c>
      <c r="U37" s="2">
        <f>IF(Данные6[[#This Row],[Проверка отказа]]="отказ",0,MAX(Данные6[[#This Row],[interest_rate]],$C$1))</f>
        <v>0</v>
      </c>
      <c r="V37" s="2">
        <f>MROUND(Данные6[[#This Row],[Минимум 20000]], 100)</f>
        <v>0</v>
      </c>
      <c r="X37" s="2">
        <v>50000</v>
      </c>
    </row>
    <row r="38" spans="1:35" x14ac:dyDescent="0.25">
      <c r="A38" s="2">
        <f>'1000_заявлений'!A32</f>
        <v>30</v>
      </c>
      <c r="B38" s="4">
        <f>VALUE(SUBSTITUTE('1000_заявлений'!B32, ".", ","))</f>
        <v>0.72471808824264605</v>
      </c>
      <c r="C38" s="4">
        <f>VALUE(SUBSTITUTE('1000_заявлений'!C32, ".", ","))</f>
        <v>0.181606909078696</v>
      </c>
      <c r="D38" s="4">
        <f>VALUE(SUBSTITUTE('1000_заявлений'!D32, ".", ","))</f>
        <v>0.35729327999999999</v>
      </c>
      <c r="E38" s="4">
        <f>VALUE(SUBSTITUTE('1000_заявлений'!E32, ".", ","))</f>
        <v>0.16149798000000001</v>
      </c>
      <c r="F38" s="5">
        <f>VALUE(SUBSTITUTE('1000_заявлений'!F32, ".", ","))</f>
        <v>-5472</v>
      </c>
      <c r="G38" s="5">
        <f>VALUE(SUBSTITUTE('1000_заявлений'!G32, ".", ","))</f>
        <v>-18034</v>
      </c>
      <c r="H38" s="5">
        <f>VALUE(SUBSTITUTE('1000_заявлений'!H32, ".", ","))</f>
        <v>-1574</v>
      </c>
      <c r="I38" s="4">
        <f>VALUE(SUBSTITUTE('1000_заявлений'!I32, ".", ","))</f>
        <v>2.3433734939759001E-2</v>
      </c>
      <c r="J38" s="4">
        <f>VALUE(SUBSTITUTE('1000_заявлений'!J32, ".", ","))</f>
        <v>7.3681583903027299</v>
      </c>
      <c r="K38" s="5">
        <f>VALUE(SUBSTITUTE('1000_заявлений'!K32, ".", ","))</f>
        <v>-4269</v>
      </c>
      <c r="L38" s="6">
        <f>VALUE(SUBSTITUTE('1000_заявлений'!L32, ".", ","))</f>
        <v>8752.5</v>
      </c>
      <c r="M38" s="2" t="str">
        <f>IF(Данные6[[#This Row],[proba]]&gt;$C$6, "отказ", "одобрение")</f>
        <v>отказ</v>
      </c>
      <c r="N38" s="7">
        <f>IF(Данные6[[#This Row],[proba]]&lt;$D$2,$C$2,IF(Данные6[[#This Row],[proba]]&lt;$D$3,$C$3,IF(Данные6[[#This Row],[proba]]&gt;$C$6,0,$C$4)))</f>
        <v>0</v>
      </c>
      <c r="O38" s="2">
        <f>IF(Данные6[[#This Row],[weighted_ext_score]]&gt;$O$1,MIN(Данные6[[#This Row],[Базовая сумма]]*$O$2,$C$2),IF(Данные6[[#This Row],[weighted_ext_score]]&lt;$O$3,Данные6[[#This Row],[Базовая сумма]]*$O$4,N38))</f>
        <v>0</v>
      </c>
      <c r="P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" s="2">
        <f>ABS(Данные6[[#This Row],[days_birth]])/365.2425</f>
        <v>49.375414964030746</v>
      </c>
      <c r="S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" s="2">
        <f>IF(Данные6[[#This Row],[ interest_rate]]&gt;$T$1,Данные6[[#This Row],[days_birth4]]*$T$2,Данные6[[#This Row],[days_birth4]])</f>
        <v>0</v>
      </c>
      <c r="U38" s="2">
        <f>IF(Данные6[[#This Row],[Проверка отказа]]="отказ",0,MAX(Данные6[[#This Row],[interest_rate]],$C$1))</f>
        <v>0</v>
      </c>
      <c r="V38" s="2">
        <f>MROUND(Данные6[[#This Row],[Минимум 20000]], 100)</f>
        <v>0</v>
      </c>
      <c r="X38" s="2">
        <v>117600</v>
      </c>
    </row>
    <row r="39" spans="1:35" x14ac:dyDescent="0.25">
      <c r="A39" s="2">
        <f>'1000_заявлений'!A33</f>
        <v>31</v>
      </c>
      <c r="B39" s="4">
        <f>VALUE(SUBSTITUTE('1000_заявлений'!B33, ".", ","))</f>
        <v>0.52769829658754197</v>
      </c>
      <c r="C39" s="4">
        <f>VALUE(SUBSTITUTE('1000_заявлений'!C33, ".", ","))</f>
        <v>0.28545869082654102</v>
      </c>
      <c r="D39" s="4">
        <f>VALUE(SUBSTITUTE('1000_заявлений'!D33, ".", ","))</f>
        <v>0.55138129999999996</v>
      </c>
      <c r="E39" s="4">
        <f>VALUE(SUBSTITUTE('1000_заявлений'!E33, ".", ","))</f>
        <v>0.26525634999999997</v>
      </c>
      <c r="F39" s="5">
        <f>VALUE(SUBSTITUTE('1000_заявлений'!F33, ".", ","))</f>
        <v>-10927</v>
      </c>
      <c r="G39" s="5">
        <f>VALUE(SUBSTITUTE('1000_заявлений'!G33, ".", ","))</f>
        <v>-22048</v>
      </c>
      <c r="H39" s="5">
        <f>VALUE(SUBSTITUTE('1000_заявлений'!H33, ".", ","))</f>
        <v>-3997</v>
      </c>
      <c r="I39" s="4">
        <f>VALUE(SUBSTITUTE('1000_заявлений'!I33, ".", ","))</f>
        <v>0.29349999999999998</v>
      </c>
      <c r="J39" s="4">
        <f>VALUE(SUBSTITUTE('1000_заявлений'!J33, ".", ","))</f>
        <v>1.9305916734964901</v>
      </c>
      <c r="K39" s="5">
        <f>VALUE(SUBSTITUTE('1000_заявлений'!K33, ".", ","))</f>
        <v>365243</v>
      </c>
      <c r="L39" s="6">
        <f>VALUE(SUBSTITUTE('1000_заявлений'!L33, ".", ","))</f>
        <v>23773.5</v>
      </c>
      <c r="M39" s="2" t="str">
        <f>IF(Данные6[[#This Row],[proba]]&gt;$C$6, "отказ", "одобрение")</f>
        <v>отказ</v>
      </c>
      <c r="N39" s="7">
        <f>IF(Данные6[[#This Row],[proba]]&lt;$D$2,$C$2,IF(Данные6[[#This Row],[proba]]&lt;$D$3,$C$3,IF(Данные6[[#This Row],[proba]]&gt;$C$6,0,$C$4)))</f>
        <v>0</v>
      </c>
      <c r="O39" s="2">
        <f>IF(Данные6[[#This Row],[weighted_ext_score]]&gt;$O$1,MIN(Данные6[[#This Row],[Базовая сумма]]*$O$2,$C$2),IF(Данные6[[#This Row],[weighted_ext_score]]&lt;$O$3,Данные6[[#This Row],[Базовая сумма]]*$O$4,N39))</f>
        <v>0</v>
      </c>
      <c r="P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" s="2">
        <f>ABS(Данные6[[#This Row],[days_birth]])/365.2425</f>
        <v>60.365373690082613</v>
      </c>
      <c r="S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" s="2">
        <f>IF(Данные6[[#This Row],[ interest_rate]]&gt;$T$1,Данные6[[#This Row],[days_birth4]]*$T$2,Данные6[[#This Row],[days_birth4]])</f>
        <v>0</v>
      </c>
      <c r="U39" s="2">
        <f>IF(Данные6[[#This Row],[Проверка отказа]]="отказ",0,MAX(Данные6[[#This Row],[interest_rate]],$C$1))</f>
        <v>0</v>
      </c>
      <c r="V39" s="2">
        <f>MROUND(Данные6[[#This Row],[Минимум 20000]], 100)</f>
        <v>0</v>
      </c>
      <c r="X39" s="2">
        <v>201600</v>
      </c>
    </row>
    <row r="40" spans="1:35" x14ac:dyDescent="0.25">
      <c r="A40" s="2">
        <f>'1000_заявлений'!A34</f>
        <v>32</v>
      </c>
      <c r="B40" s="4">
        <f>VALUE(SUBSTITUTE('1000_заявлений'!B34, ".", ","))</f>
        <v>0.41946951294648099</v>
      </c>
      <c r="C40" s="4">
        <f>VALUE(SUBSTITUTE('1000_заявлений'!C34, ".", ","))</f>
        <v>0.40136736655358302</v>
      </c>
      <c r="D40" s="4">
        <f>VALUE(SUBSTITUTE('1000_заявлений'!D34, ".", ","))</f>
        <v>0.70620510000000003</v>
      </c>
      <c r="E40" s="4">
        <f>VALUE(SUBSTITUTE('1000_заявлений'!E34, ".", ","))</f>
        <v>0.44996195999999999</v>
      </c>
      <c r="F40" s="5">
        <f>VALUE(SUBSTITUTE('1000_заявлений'!F34, ".", ","))</f>
        <v>-7239</v>
      </c>
      <c r="G40" s="5">
        <f>VALUE(SUBSTITUTE('1000_заявлений'!G34, ".", ","))</f>
        <v>-13259</v>
      </c>
      <c r="H40" s="5">
        <f>VALUE(SUBSTITUTE('1000_заявлений'!H34, ".", ","))</f>
        <v>-4117</v>
      </c>
      <c r="I40" s="4">
        <f>VALUE(SUBSTITUTE('1000_заявлений'!I34, ".", ","))</f>
        <v>0.34011999999999998</v>
      </c>
      <c r="J40" s="4">
        <f>VALUE(SUBSTITUTE('1000_заявлений'!J34, ".", ","))</f>
        <v>1.9599044997106601</v>
      </c>
      <c r="K40" s="5">
        <f>VALUE(SUBSTITUTE('1000_заявлений'!K34, ".", ","))</f>
        <v>-179</v>
      </c>
      <c r="L40" s="6">
        <f>VALUE(SUBSTITUTE('1000_заявлений'!L34, ".", ","))</f>
        <v>38263.5</v>
      </c>
      <c r="M40" s="2" t="str">
        <f>IF(Данные6[[#This Row],[proba]]&gt;$C$6, "отказ", "одобрение")</f>
        <v>отказ</v>
      </c>
      <c r="N40" s="7">
        <f>IF(Данные6[[#This Row],[proba]]&lt;$D$2,$C$2,IF(Данные6[[#This Row],[proba]]&lt;$D$3,$C$3,IF(Данные6[[#This Row],[proba]]&gt;$C$6,0,$C$4)))</f>
        <v>0</v>
      </c>
      <c r="O40" s="2">
        <f>IF(Данные6[[#This Row],[weighted_ext_score]]&gt;$O$1,MIN(Данные6[[#This Row],[Базовая сумма]]*$O$2,$C$2),IF(Данные6[[#This Row],[weighted_ext_score]]&lt;$O$3,Данные6[[#This Row],[Базовая сумма]]*$O$4,N40))</f>
        <v>0</v>
      </c>
      <c r="P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" s="2">
        <f>ABS(Данные6[[#This Row],[days_birth]])/365.2425</f>
        <v>36.301909005660619</v>
      </c>
      <c r="S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" s="2">
        <f>IF(Данные6[[#This Row],[ interest_rate]]&gt;$T$1,Данные6[[#This Row],[days_birth4]]*$T$2,Данные6[[#This Row],[days_birth4]])</f>
        <v>0</v>
      </c>
      <c r="U40" s="2">
        <f>IF(Данные6[[#This Row],[Проверка отказа]]="отказ",0,MAX(Данные6[[#This Row],[interest_rate]],$C$1))</f>
        <v>0</v>
      </c>
      <c r="V40" s="2">
        <f>MROUND(Данные6[[#This Row],[Минимум 20000]], 100)</f>
        <v>0</v>
      </c>
      <c r="X40" s="2">
        <v>35300</v>
      </c>
    </row>
    <row r="41" spans="1:35" x14ac:dyDescent="0.25">
      <c r="A41" s="2">
        <f>'1000_заявлений'!A35</f>
        <v>33</v>
      </c>
      <c r="B41" s="4">
        <f>VALUE(SUBSTITUTE('1000_заявлений'!B35, ".", ","))</f>
        <v>0.51344705571024596</v>
      </c>
      <c r="C41" s="4">
        <f>VALUE(SUBSTITUTE('1000_заявлений'!C35, ".", ","))</f>
        <v>0.44097411850012003</v>
      </c>
      <c r="D41" s="4">
        <f>VALUE(SUBSTITUTE('1000_заявлений'!D35, ".", ","))</f>
        <v>0.49386287000000001</v>
      </c>
      <c r="E41" s="4">
        <f>VALUE(SUBSTITUTE('1000_заявлений'!E35, ".", ","))</f>
        <v>0.35322994000000002</v>
      </c>
      <c r="F41" s="5">
        <f>VALUE(SUBSTITUTE('1000_заявлений'!F35, ".", ","))</f>
        <v>-284</v>
      </c>
      <c r="G41" s="5">
        <f>VALUE(SUBSTITUTE('1000_заявлений'!G35, ".", ","))</f>
        <v>-15895</v>
      </c>
      <c r="H41" s="5">
        <f>VALUE(SUBSTITUTE('1000_заявлений'!H35, ".", ","))</f>
        <v>-4570</v>
      </c>
      <c r="I41" s="4">
        <f>VALUE(SUBSTITUTE('1000_заявлений'!I35, ".", ","))</f>
        <v>0.18887999999999999</v>
      </c>
      <c r="J41" s="4">
        <f>VALUE(SUBSTITUTE('1000_заявлений'!J35, ".", ","))</f>
        <v>0.14712370562837099</v>
      </c>
      <c r="K41" s="5">
        <f>VALUE(SUBSTITUTE('1000_заявлений'!K35, ".", ","))</f>
        <v>-733</v>
      </c>
      <c r="L41" s="6">
        <f>VALUE(SUBSTITUTE('1000_заявлений'!L35, ".", ","))</f>
        <v>42498</v>
      </c>
      <c r="M41" s="2" t="str">
        <f>IF(Данные6[[#This Row],[proba]]&gt;$C$6, "отказ", "одобрение")</f>
        <v>отказ</v>
      </c>
      <c r="N41" s="7">
        <f>IF(Данные6[[#This Row],[proba]]&lt;$D$2,$C$2,IF(Данные6[[#This Row],[proba]]&lt;$D$3,$C$3,IF(Данные6[[#This Row],[proba]]&gt;$C$6,0,$C$4)))</f>
        <v>0</v>
      </c>
      <c r="O41" s="2">
        <f>IF(Данные6[[#This Row],[weighted_ext_score]]&gt;$O$1,MIN(Данные6[[#This Row],[Базовая сумма]]*$O$2,$C$2),IF(Данные6[[#This Row],[weighted_ext_score]]&lt;$O$3,Данные6[[#This Row],[Базовая сумма]]*$O$4,N41))</f>
        <v>0</v>
      </c>
      <c r="P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" s="2">
        <f>ABS(Данные6[[#This Row],[days_birth]])/365.2425</f>
        <v>43.51903187608233</v>
      </c>
      <c r="S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" s="2">
        <f>IF(Данные6[[#This Row],[ interest_rate]]&gt;$T$1,Данные6[[#This Row],[days_birth4]]*$T$2,Данные6[[#This Row],[days_birth4]])</f>
        <v>0</v>
      </c>
      <c r="U41" s="2">
        <f>IF(Данные6[[#This Row],[Проверка отказа]]="отказ",0,MAX(Данные6[[#This Row],[interest_rate]],$C$1))</f>
        <v>0</v>
      </c>
      <c r="V41" s="2">
        <f>MROUND(Данные6[[#This Row],[Минимум 20000]], 100)</f>
        <v>0</v>
      </c>
      <c r="X41" s="2">
        <v>160000</v>
      </c>
    </row>
    <row r="42" spans="1:35" x14ac:dyDescent="0.25">
      <c r="A42" s="2">
        <f>'1000_заявлений'!A36</f>
        <v>34</v>
      </c>
      <c r="B42" s="4">
        <f>VALUE(SUBSTITUTE('1000_заявлений'!B36, ".", ","))</f>
        <v>0.238446800302059</v>
      </c>
      <c r="C42" s="4">
        <f>VALUE(SUBSTITUTE('1000_заявлений'!C36, ".", ","))</f>
        <v>0.62909306728097603</v>
      </c>
      <c r="D42" s="4">
        <f>VALUE(SUBSTITUTE('1000_заявлений'!D36, ".", ","))</f>
        <v>0.55316469999999995</v>
      </c>
      <c r="E42" s="4">
        <f>VALUE(SUBSTITUTE('1000_заявлений'!E36, ".", ","))</f>
        <v>0.65336450000000001</v>
      </c>
      <c r="F42" s="5">
        <f>VALUE(SUBSTITUTE('1000_заявлений'!F36, ".", ","))</f>
        <v>-7532</v>
      </c>
      <c r="G42" s="5">
        <f>VALUE(SUBSTITUTE('1000_заявлений'!G36, ".", ","))</f>
        <v>-15913</v>
      </c>
      <c r="H42" s="5">
        <f>VALUE(SUBSTITUTE('1000_заявлений'!H36, ".", ","))</f>
        <v>-3950</v>
      </c>
      <c r="I42" s="4">
        <f>VALUE(SUBSTITUTE('1000_заявлений'!I36, ".", ","))</f>
        <v>0.17499999999999999</v>
      </c>
      <c r="J42" s="4">
        <f>VALUE(SUBSTITUTE('1000_заявлений'!J36, ".", ","))</f>
        <v>10.6209759779781</v>
      </c>
      <c r="K42" s="5">
        <f>VALUE(SUBSTITUTE('1000_заявлений'!K36, ".", ","))</f>
        <v>-3079</v>
      </c>
      <c r="L42" s="6">
        <f>VALUE(SUBSTITUTE('1000_заявлений'!L36, ".", ","))</f>
        <v>15750</v>
      </c>
      <c r="M42" s="2" t="str">
        <f>IF(Данные6[[#This Row],[proba]]&gt;$C$6, "отказ", "одобрение")</f>
        <v>одобрение</v>
      </c>
      <c r="N42" s="7">
        <f>IF(Данные6[[#This Row],[proba]]&lt;$D$2,$C$2,IF(Данные6[[#This Row],[proba]]&lt;$D$3,$C$3,IF(Данные6[[#This Row],[proba]]&gt;$C$6,0,$C$4)))</f>
        <v>50000</v>
      </c>
      <c r="O42" s="2">
        <f>IF(Данные6[[#This Row],[weighted_ext_score]]&gt;$O$1,MIN(Данные6[[#This Row],[Базовая сумма]]*$O$2,$C$2),IF(Данные6[[#This Row],[weighted_ext_score]]&lt;$O$3,Данные6[[#This Row],[Базовая сумма]]*$O$4,N42))</f>
        <v>50000</v>
      </c>
      <c r="P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2" s="2">
        <f>ABS(Данные6[[#This Row],[days_birth]])/365.2425</f>
        <v>43.568314202208121</v>
      </c>
      <c r="S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2" s="2">
        <f>IF(Данные6[[#This Row],[ interest_rate]]&gt;$T$1,Данные6[[#This Row],[days_birth4]]*$T$2,Данные6[[#This Row],[days_birth4]])</f>
        <v>60000</v>
      </c>
      <c r="U42" s="2">
        <f>IF(Данные6[[#This Row],[Проверка отказа]]="отказ",0,MAX(Данные6[[#This Row],[interest_rate]],$C$1))</f>
        <v>60000</v>
      </c>
      <c r="V42" s="2">
        <f>MROUND(Данные6[[#This Row],[Минимум 20000]], 100)</f>
        <v>60000</v>
      </c>
      <c r="X42" s="2">
        <v>200000</v>
      </c>
    </row>
    <row r="43" spans="1:35" x14ac:dyDescent="0.25">
      <c r="A43" s="2">
        <f>'1000_заявлений'!A37</f>
        <v>35</v>
      </c>
      <c r="B43" s="4">
        <f>VALUE(SUBSTITUTE('1000_заявлений'!B37, ".", ","))</f>
        <v>0.68260264343578203</v>
      </c>
      <c r="C43" s="4">
        <f>VALUE(SUBSTITUTE('1000_заявлений'!C37, ".", ","))</f>
        <v>8.6937654251950103E-2</v>
      </c>
      <c r="D43" s="4">
        <f>VALUE(SUBSTITUTE('1000_заявлений'!D37, ".", ","))</f>
        <v>0.53527623000000002</v>
      </c>
      <c r="E43" s="4">
        <f>VALUE(SUBSTITUTE('1000_заявлений'!E37, ".", ","))</f>
        <v>0.26801434000000002</v>
      </c>
      <c r="F43" s="5">
        <f>VALUE(SUBSTITUTE('1000_заявлений'!F37, ".", ","))</f>
        <v>-2626</v>
      </c>
      <c r="G43" s="5">
        <f>VALUE(SUBSTITUTE('1000_заявлений'!G37, ".", ","))</f>
        <v>-15026</v>
      </c>
      <c r="H43" s="5">
        <f>VALUE(SUBSTITUTE('1000_заявлений'!H37, ".", ","))</f>
        <v>-4224</v>
      </c>
      <c r="I43" s="4">
        <f>VALUE(SUBSTITUTE('1000_заявлений'!I37, ".", ","))</f>
        <v>0.19800000000000001</v>
      </c>
      <c r="J43" s="4">
        <f>VALUE(SUBSTITUTE('1000_заявлений'!J37, ".", ","))</f>
        <v>6.1588020226530196</v>
      </c>
      <c r="K43" s="5">
        <f>VALUE(SUBSTITUTE('1000_заявлений'!K37, ".", ","))</f>
        <v>-2916</v>
      </c>
      <c r="L43" s="6">
        <f>VALUE(SUBSTITUTE('1000_заявлений'!L37, ".", ","))</f>
        <v>24948</v>
      </c>
      <c r="M43" s="2" t="str">
        <f>IF(Данные6[[#This Row],[proba]]&gt;$C$6, "отказ", "одобрение")</f>
        <v>отказ</v>
      </c>
      <c r="N43" s="7">
        <f>IF(Данные6[[#This Row],[proba]]&lt;$D$2,$C$2,IF(Данные6[[#This Row],[proba]]&lt;$D$3,$C$3,IF(Данные6[[#This Row],[proba]]&gt;$C$6,0,$C$4)))</f>
        <v>0</v>
      </c>
      <c r="O43" s="2">
        <f>IF(Данные6[[#This Row],[weighted_ext_score]]&gt;$O$1,MIN(Данные6[[#This Row],[Базовая сумма]]*$O$2,$C$2),IF(Данные6[[#This Row],[weighted_ext_score]]&lt;$O$3,Данные6[[#This Row],[Базовая сумма]]*$O$4,N43))</f>
        <v>0</v>
      </c>
      <c r="P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" s="2">
        <f>ABS(Данные6[[#This Row],[days_birth]])/365.2425</f>
        <v>41.139790687009317</v>
      </c>
      <c r="S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" s="2">
        <f>IF(Данные6[[#This Row],[ interest_rate]]&gt;$T$1,Данные6[[#This Row],[days_birth4]]*$T$2,Данные6[[#This Row],[days_birth4]])</f>
        <v>0</v>
      </c>
      <c r="U43" s="2">
        <f>IF(Данные6[[#This Row],[Проверка отказа]]="отказ",0,MAX(Данные6[[#This Row],[interest_rate]],$C$1))</f>
        <v>0</v>
      </c>
      <c r="V43" s="2">
        <f>MROUND(Данные6[[#This Row],[Минимум 20000]], 100)</f>
        <v>0</v>
      </c>
      <c r="X43" s="2">
        <v>112900</v>
      </c>
    </row>
    <row r="44" spans="1:35" x14ac:dyDescent="0.25">
      <c r="A44" s="2">
        <f>'1000_заявлений'!A38</f>
        <v>36</v>
      </c>
      <c r="B44" s="4">
        <f>VALUE(SUBSTITUTE('1000_заявлений'!B38, ".", ","))</f>
        <v>0.15226356523996001</v>
      </c>
      <c r="C44" s="4">
        <f>VALUE(SUBSTITUTE('1000_заявлений'!C38, ".", ","))</f>
        <v>0.71961344962005502</v>
      </c>
      <c r="D44" s="4">
        <f>VALUE(SUBSTITUTE('1000_заявлений'!D38, ".", ","))</f>
        <v>0.78505199999999997</v>
      </c>
      <c r="E44" s="4">
        <f>VALUE(SUBSTITUTE('1000_заявлений'!E38, ".", ","))</f>
        <v>0.71330539999999998</v>
      </c>
      <c r="F44" s="5">
        <f>VALUE(SUBSTITUTE('1000_заявлений'!F38, ".", ","))</f>
        <v>-1281</v>
      </c>
      <c r="G44" s="5">
        <f>VALUE(SUBSTITUTE('1000_заявлений'!G38, ".", ","))</f>
        <v>-11540</v>
      </c>
      <c r="H44" s="5">
        <f>VALUE(SUBSTITUTE('1000_заявлений'!H38, ".", ","))</f>
        <v>-4208</v>
      </c>
      <c r="I44" s="4">
        <f>VALUE(SUBSTITUTE('1000_заявлений'!I38, ".", ","))</f>
        <v>0.15583333333333299</v>
      </c>
      <c r="J44" s="4">
        <f>VALUE(SUBSTITUTE('1000_заявлений'!J38, ".", ","))</f>
        <v>1.9251565171224401</v>
      </c>
      <c r="K44" s="5">
        <f>VALUE(SUBSTITUTE('1000_заявлений'!K38, ".", ","))</f>
        <v>-838</v>
      </c>
      <c r="L44" s="6">
        <f>VALUE(SUBSTITUTE('1000_заявлений'!L38, ".", ","))</f>
        <v>42075</v>
      </c>
      <c r="M44" s="2" t="str">
        <f>IF(Данные6[[#This Row],[proba]]&gt;$C$6, "отказ", "одобрение")</f>
        <v>одобрение</v>
      </c>
      <c r="N44" s="7">
        <f>IF(Данные6[[#This Row],[proba]]&lt;$D$2,$C$2,IF(Данные6[[#This Row],[proba]]&lt;$D$3,$C$3,IF(Данные6[[#This Row],[proba]]&gt;$C$6,0,$C$4)))</f>
        <v>200000</v>
      </c>
      <c r="O44" s="2">
        <f>IF(Данные6[[#This Row],[weighted_ext_score]]&gt;$O$1,MIN(Данные6[[#This Row],[Базовая сумма]]*$O$2,$C$2),IF(Данные6[[#This Row],[weighted_ext_score]]&lt;$O$3,Данные6[[#This Row],[Базовая сумма]]*$O$4,N44))</f>
        <v>300000</v>
      </c>
      <c r="P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210000</v>
      </c>
      <c r="R44" s="2">
        <f>ABS(Данные6[[#This Row],[days_birth]])/365.2425</f>
        <v>31.595446860647378</v>
      </c>
      <c r="S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44" s="2">
        <f>IF(Данные6[[#This Row],[ interest_rate]]&gt;$T$1,Данные6[[#This Row],[days_birth4]]*$T$2,Данные6[[#This Row],[days_birth4]])</f>
        <v>210000</v>
      </c>
      <c r="U44" s="2">
        <f>IF(Данные6[[#This Row],[Проверка отказа]]="отказ",0,MAX(Данные6[[#This Row],[interest_rate]],$C$1))</f>
        <v>210000</v>
      </c>
      <c r="V44" s="2">
        <f>MROUND(Данные6[[#This Row],[Минимум 20000]], 100)</f>
        <v>210000</v>
      </c>
      <c r="X44" s="2">
        <v>48400</v>
      </c>
    </row>
    <row r="45" spans="1:35" x14ac:dyDescent="0.25">
      <c r="A45" s="2">
        <f>'1000_заявлений'!A39</f>
        <v>37</v>
      </c>
      <c r="B45" s="4">
        <f>VALUE(SUBSTITUTE('1000_заявлений'!B39, ".", ","))</f>
        <v>0.52655124341276704</v>
      </c>
      <c r="C45" s="4">
        <f>VALUE(SUBSTITUTE('1000_заявлений'!C39, ".", ","))</f>
        <v>0.31741486170406102</v>
      </c>
      <c r="D45" s="4">
        <f>VALUE(SUBSTITUTE('1000_заявлений'!D39, ".", ","))</f>
        <v>0.62122630000000001</v>
      </c>
      <c r="E45" s="4">
        <f>VALUE(SUBSTITUTE('1000_заявлений'!E39, ".", ","))</f>
        <v>0.28589787999999999</v>
      </c>
      <c r="F45" s="5">
        <f>VALUE(SUBSTITUTE('1000_заявлений'!F39, ".", ","))</f>
        <v>-19</v>
      </c>
      <c r="G45" s="5">
        <f>VALUE(SUBSTITUTE('1000_заявлений'!G39, ".", ","))</f>
        <v>-19197</v>
      </c>
      <c r="H45" s="5">
        <f>VALUE(SUBSTITUTE('1000_заявлений'!H39, ".", ","))</f>
        <v>-2428</v>
      </c>
      <c r="I45" s="4">
        <f>VALUE(SUBSTITUTE('1000_заявлений'!I39, ".", ","))</f>
        <v>0.210433333333333</v>
      </c>
      <c r="J45" s="4">
        <f>VALUE(SUBSTITUTE('1000_заявлений'!J39, ".", ","))</f>
        <v>4.2924571703572196</v>
      </c>
      <c r="K45" s="5">
        <f>VALUE(SUBSTITUTE('1000_заявлений'!K39, ".", ","))</f>
        <v>-449</v>
      </c>
      <c r="L45" s="6">
        <f>VALUE(SUBSTITUTE('1000_заявлений'!L39, ".", ","))</f>
        <v>28408.5</v>
      </c>
      <c r="M45" s="2" t="str">
        <f>IF(Данные6[[#This Row],[proba]]&gt;$C$6, "отказ", "одобрение")</f>
        <v>отказ</v>
      </c>
      <c r="N45" s="7">
        <f>IF(Данные6[[#This Row],[proba]]&lt;$D$2,$C$2,IF(Данные6[[#This Row],[proba]]&lt;$D$3,$C$3,IF(Данные6[[#This Row],[proba]]&gt;$C$6,0,$C$4)))</f>
        <v>0</v>
      </c>
      <c r="O45" s="2">
        <f>IF(Данные6[[#This Row],[weighted_ext_score]]&gt;$O$1,MIN(Данные6[[#This Row],[Базовая сумма]]*$O$2,$C$2),IF(Данные6[[#This Row],[weighted_ext_score]]&lt;$O$3,Данные6[[#This Row],[Базовая сумма]]*$O$4,N45))</f>
        <v>0</v>
      </c>
      <c r="P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" s="2">
        <f>ABS(Данные6[[#This Row],[days_birth]])/365.2425</f>
        <v>52.559600813158383</v>
      </c>
      <c r="S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" s="2">
        <f>IF(Данные6[[#This Row],[ interest_rate]]&gt;$T$1,Данные6[[#This Row],[days_birth4]]*$T$2,Данные6[[#This Row],[days_birth4]])</f>
        <v>0</v>
      </c>
      <c r="U45" s="2">
        <f>IF(Данные6[[#This Row],[Проверка отказа]]="отказ",0,MAX(Данные6[[#This Row],[interest_rate]],$C$1))</f>
        <v>0</v>
      </c>
      <c r="V45" s="2">
        <f>MROUND(Данные6[[#This Row],[Минимум 20000]], 100)</f>
        <v>0</v>
      </c>
      <c r="X45" s="2">
        <v>60500</v>
      </c>
    </row>
    <row r="46" spans="1:35" x14ac:dyDescent="0.25">
      <c r="A46" s="2">
        <f>'1000_заявлений'!A40</f>
        <v>38</v>
      </c>
      <c r="B46" s="4">
        <f>VALUE(SUBSTITUTE('1000_заявлений'!B40, ".", ","))</f>
        <v>0.16108107395879401</v>
      </c>
      <c r="C46" s="4">
        <f>VALUE(SUBSTITUTE('1000_заявлений'!C40, ".", ","))</f>
        <v>0.553344192991022</v>
      </c>
      <c r="D46" s="4">
        <f>VALUE(SUBSTITUTE('1000_заявлений'!D40, ".", ","))</f>
        <v>0.69714690000000001</v>
      </c>
      <c r="E46" s="4">
        <f>VALUE(SUBSTITUTE('1000_заявлений'!E40, ".", ","))</f>
        <v>0.70260453</v>
      </c>
      <c r="F46" s="5">
        <f>VALUE(SUBSTITUTE('1000_заявлений'!F40, ".", ","))</f>
        <v>-5895</v>
      </c>
      <c r="G46" s="5">
        <f>VALUE(SUBSTITUTE('1000_заявлений'!G40, ".", ","))</f>
        <v>-12330</v>
      </c>
      <c r="H46" s="5">
        <f>VALUE(SUBSTITUTE('1000_заявлений'!H40, ".", ","))</f>
        <v>-4627</v>
      </c>
      <c r="I46" s="4">
        <f>VALUE(SUBSTITUTE('1000_заявлений'!I40, ".", ","))</f>
        <v>8.3650000000000002E-2</v>
      </c>
      <c r="J46" s="4">
        <f>VALUE(SUBSTITUTE('1000_заявлений'!J40, ".", ","))</f>
        <v>19.2749646830889</v>
      </c>
      <c r="K46" s="5">
        <f>VALUE(SUBSTITUTE('1000_заявлений'!K40, ".", ","))</f>
        <v>-4770</v>
      </c>
      <c r="L46" s="6">
        <f>VALUE(SUBSTITUTE('1000_заявлений'!L40, ".", ","))</f>
        <v>22585.5</v>
      </c>
      <c r="M46" s="2" t="str">
        <f>IF(Данные6[[#This Row],[proba]]&gt;$C$6, "отказ", "одобрение")</f>
        <v>одобрение</v>
      </c>
      <c r="N46" s="7">
        <f>IF(Данные6[[#This Row],[proba]]&lt;$D$2,$C$2,IF(Данные6[[#This Row],[proba]]&lt;$D$3,$C$3,IF(Данные6[[#This Row],[proba]]&gt;$C$6,0,$C$4)))</f>
        <v>200000</v>
      </c>
      <c r="O46" s="2">
        <f>IF(Данные6[[#This Row],[weighted_ext_score]]&gt;$O$1,MIN(Данные6[[#This Row],[Базовая сумма]]*$O$2,$C$2),IF(Данные6[[#This Row],[weighted_ext_score]]&lt;$O$3,Данные6[[#This Row],[Базовая сумма]]*$O$4,N46))</f>
        <v>200000</v>
      </c>
      <c r="P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240000</v>
      </c>
      <c r="Q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288000</v>
      </c>
      <c r="R46" s="2">
        <f>ABS(Данные6[[#This Row],[days_birth]])/365.2425</f>
        <v>33.758393396168302</v>
      </c>
      <c r="S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288000</v>
      </c>
      <c r="T46" s="2">
        <f>IF(Данные6[[#This Row],[ interest_rate]]&gt;$T$1,Данные6[[#This Row],[days_birth4]]*$T$2,Данные6[[#This Row],[days_birth4]])</f>
        <v>288000</v>
      </c>
      <c r="U46" s="2">
        <f>IF(Данные6[[#This Row],[Проверка отказа]]="отказ",0,MAX(Данные6[[#This Row],[interest_rate]],$C$1))</f>
        <v>288000</v>
      </c>
      <c r="V46" s="2">
        <f>MROUND(Данные6[[#This Row],[Минимум 20000]], 100)</f>
        <v>288000</v>
      </c>
      <c r="X46" s="2">
        <v>23500</v>
      </c>
    </row>
    <row r="47" spans="1:35" x14ac:dyDescent="0.25">
      <c r="A47" s="2">
        <f>'1000_заявлений'!A41</f>
        <v>39</v>
      </c>
      <c r="B47" s="4">
        <f>VALUE(SUBSTITUTE('1000_заявлений'!B41, ".", ","))</f>
        <v>0.47204097157783997</v>
      </c>
      <c r="C47" s="4">
        <f>VALUE(SUBSTITUTE('1000_заявлений'!C41, ".", ","))</f>
        <v>0.34390494099156899</v>
      </c>
      <c r="D47" s="4">
        <f>VALUE(SUBSTITUTE('1000_заявлений'!D41, ".", ","))</f>
        <v>0.60583629999999999</v>
      </c>
      <c r="E47" s="4">
        <f>VALUE(SUBSTITUTE('1000_заявлений'!E41, ".", ","))</f>
        <v>0.38472155000000002</v>
      </c>
      <c r="F47" s="5">
        <f>VALUE(SUBSTITUTE('1000_заявлений'!F41, ".", ","))</f>
        <v>-5694</v>
      </c>
      <c r="G47" s="5">
        <f>VALUE(SUBSTITUTE('1000_заявлений'!G41, ".", ","))</f>
        <v>-13788</v>
      </c>
      <c r="H47" s="5">
        <f>VALUE(SUBSTITUTE('1000_заявлений'!H41, ".", ","))</f>
        <v>-4242</v>
      </c>
      <c r="I47" s="4">
        <f>VALUE(SUBSTITUTE('1000_заявлений'!I41, ".", ","))</f>
        <v>7.9090909090909003E-2</v>
      </c>
      <c r="J47" s="4">
        <f>VALUE(SUBSTITUTE('1000_заявлений'!J41, ".", ","))</f>
        <v>1.4868885179382501</v>
      </c>
      <c r="K47" s="5">
        <f>VALUE(SUBSTITUTE('1000_заявлений'!K41, ".", ","))</f>
        <v>-3822</v>
      </c>
      <c r="L47" s="6">
        <f>VALUE(SUBSTITUTE('1000_заявлений'!L41, ".", ","))</f>
        <v>19575</v>
      </c>
      <c r="M47" s="2" t="str">
        <f>IF(Данные6[[#This Row],[proba]]&gt;$C$6, "отказ", "одобрение")</f>
        <v>отказ</v>
      </c>
      <c r="N47" s="7">
        <f>IF(Данные6[[#This Row],[proba]]&lt;$D$2,$C$2,IF(Данные6[[#This Row],[proba]]&lt;$D$3,$C$3,IF(Данные6[[#This Row],[proba]]&gt;$C$6,0,$C$4)))</f>
        <v>0</v>
      </c>
      <c r="O47" s="2">
        <f>IF(Данные6[[#This Row],[weighted_ext_score]]&gt;$O$1,MIN(Данные6[[#This Row],[Базовая сумма]]*$O$2,$C$2),IF(Данные6[[#This Row],[weighted_ext_score]]&lt;$O$3,Данные6[[#This Row],[Базовая сумма]]*$O$4,N47))</f>
        <v>0</v>
      </c>
      <c r="P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" s="2">
        <f>ABS(Данные6[[#This Row],[days_birth]])/365.2425</f>
        <v>37.750261812357543</v>
      </c>
      <c r="S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" s="2">
        <f>IF(Данные6[[#This Row],[ interest_rate]]&gt;$T$1,Данные6[[#This Row],[days_birth4]]*$T$2,Данные6[[#This Row],[days_birth4]])</f>
        <v>0</v>
      </c>
      <c r="U47" s="2">
        <f>IF(Данные6[[#This Row],[Проверка отказа]]="отказ",0,MAX(Данные6[[#This Row],[interest_rate]],$C$1))</f>
        <v>0</v>
      </c>
      <c r="V47" s="2">
        <f>MROUND(Данные6[[#This Row],[Минимум 20000]], 100)</f>
        <v>0</v>
      </c>
    </row>
    <row r="48" spans="1:35" x14ac:dyDescent="0.25">
      <c r="A48" s="2">
        <f>'1000_заявлений'!A42</f>
        <v>40</v>
      </c>
      <c r="B48" s="4">
        <f>VALUE(SUBSTITUTE('1000_заявлений'!B42, ".", ","))</f>
        <v>0.71941949170416997</v>
      </c>
      <c r="C48" s="4">
        <f>VALUE(SUBSTITUTE('1000_заявлений'!C42, ".", ","))</f>
        <v>0.226587795212912</v>
      </c>
      <c r="D48" s="4">
        <f>VALUE(SUBSTITUTE('1000_заявлений'!D42, ".", ","))</f>
        <v>5.7639290000000003E-2</v>
      </c>
      <c r="E48" s="4">
        <f>VALUE(SUBSTITUTE('1000_заявлений'!E42, ".", ","))</f>
        <v>0.63426729999999998</v>
      </c>
      <c r="F48" s="5">
        <f>VALUE(SUBSTITUTE('1000_заявлений'!F42, ".", ","))</f>
        <v>-550</v>
      </c>
      <c r="G48" s="5">
        <f>VALUE(SUBSTITUTE('1000_заявлений'!G42, ".", ","))</f>
        <v>-15399</v>
      </c>
      <c r="H48" s="5">
        <f>VALUE(SUBSTITUTE('1000_заявлений'!H42, ".", ","))</f>
        <v>-1866</v>
      </c>
      <c r="I48" s="4">
        <f>VALUE(SUBSTITUTE('1000_заявлений'!I42, ".", ","))</f>
        <v>0.10045</v>
      </c>
      <c r="J48" s="4">
        <f>VALUE(SUBSTITUTE('1000_заявлений'!J42, ".", ","))</f>
        <v>1.5550073913220599</v>
      </c>
      <c r="K48" s="5">
        <f>VALUE(SUBSTITUTE('1000_заявлений'!K42, ".", ","))</f>
        <v>-1642</v>
      </c>
      <c r="L48" s="6">
        <f>VALUE(SUBSTITUTE('1000_заявлений'!L42, ".", ","))</f>
        <v>45202.5</v>
      </c>
      <c r="M48" s="2" t="str">
        <f>IF(Данные6[[#This Row],[proba]]&gt;$C$6, "отказ", "одобрение")</f>
        <v>отказ</v>
      </c>
      <c r="N48" s="7">
        <f>IF(Данные6[[#This Row],[proba]]&lt;$D$2,$C$2,IF(Данные6[[#This Row],[proba]]&lt;$D$3,$C$3,IF(Данные6[[#This Row],[proba]]&gt;$C$6,0,$C$4)))</f>
        <v>0</v>
      </c>
      <c r="O48" s="2">
        <f>IF(Данные6[[#This Row],[weighted_ext_score]]&gt;$O$1,MIN(Данные6[[#This Row],[Базовая сумма]]*$O$2,$C$2),IF(Данные6[[#This Row],[weighted_ext_score]]&lt;$O$3,Данные6[[#This Row],[Базовая сумма]]*$O$4,N48))</f>
        <v>0</v>
      </c>
      <c r="P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" s="2">
        <f>ABS(Данные6[[#This Row],[days_birth]])/365.2425</f>
        <v>42.16103000061603</v>
      </c>
      <c r="S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" s="2">
        <f>IF(Данные6[[#This Row],[ interest_rate]]&gt;$T$1,Данные6[[#This Row],[days_birth4]]*$T$2,Данные6[[#This Row],[days_birth4]])</f>
        <v>0</v>
      </c>
      <c r="U48" s="2">
        <f>IF(Данные6[[#This Row],[Проверка отказа]]="отказ",0,MAX(Данные6[[#This Row],[interest_rate]],$C$1))</f>
        <v>0</v>
      </c>
      <c r="V48" s="2">
        <f>MROUND(Данные6[[#This Row],[Минимум 20000]], 100)</f>
        <v>0</v>
      </c>
    </row>
    <row r="49" spans="1:22" x14ac:dyDescent="0.25">
      <c r="A49" s="2">
        <f>'1000_заявлений'!A43</f>
        <v>41</v>
      </c>
      <c r="B49" s="4">
        <f>VALUE(SUBSTITUTE('1000_заявлений'!B43, ".", ","))</f>
        <v>0.53641720761352096</v>
      </c>
      <c r="C49" s="4">
        <f>VALUE(SUBSTITUTE('1000_заявлений'!C43, ".", ","))</f>
        <v>0.17634844538599201</v>
      </c>
      <c r="D49" s="4">
        <f>VALUE(SUBSTITUTE('1000_заявлений'!D43, ".", ","))</f>
        <v>0.53527623000000002</v>
      </c>
      <c r="E49" s="4">
        <f>VALUE(SUBSTITUTE('1000_заявлений'!E43, ".", ","))</f>
        <v>0.54365295000000002</v>
      </c>
      <c r="F49" s="5">
        <f>VALUE(SUBSTITUTE('1000_заявлений'!F43, ".", ","))</f>
        <v>-914</v>
      </c>
      <c r="G49" s="5">
        <f>VALUE(SUBSTITUTE('1000_заявлений'!G43, ".", ","))</f>
        <v>-17467</v>
      </c>
      <c r="H49" s="5">
        <f>VALUE(SUBSTITUTE('1000_заявлений'!H43, ".", ","))</f>
        <v>-998</v>
      </c>
      <c r="I49" s="4">
        <f>VALUE(SUBSTITUTE('1000_заявлений'!I43, ".", ","))</f>
        <v>9.7100000000000006E-2</v>
      </c>
      <c r="J49" s="4">
        <f>VALUE(SUBSTITUTE('1000_заявлений'!J43, ".", ","))</f>
        <v>2.7268436150310298</v>
      </c>
      <c r="K49" s="5">
        <f>VALUE(SUBSTITUTE('1000_заявлений'!K43, ".", ","))</f>
        <v>-1337</v>
      </c>
      <c r="L49" s="6">
        <f>VALUE(SUBSTITUTE('1000_заявлений'!L43, ".", ","))</f>
        <v>26217</v>
      </c>
      <c r="M49" s="2" t="str">
        <f>IF(Данные6[[#This Row],[proba]]&gt;$C$6, "отказ", "одобрение")</f>
        <v>отказ</v>
      </c>
      <c r="N49" s="7">
        <f>IF(Данные6[[#This Row],[proba]]&lt;$D$2,$C$2,IF(Данные6[[#This Row],[proba]]&lt;$D$3,$C$3,IF(Данные6[[#This Row],[proba]]&gt;$C$6,0,$C$4)))</f>
        <v>0</v>
      </c>
      <c r="O49" s="2">
        <f>IF(Данные6[[#This Row],[weighted_ext_score]]&gt;$O$1,MIN(Данные6[[#This Row],[Базовая сумма]]*$O$2,$C$2),IF(Данные6[[#This Row],[weighted_ext_score]]&lt;$O$3,Данные6[[#This Row],[Базовая сумма]]*$O$4,N49))</f>
        <v>0</v>
      </c>
      <c r="P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" s="2">
        <f>ABS(Данные6[[#This Row],[days_birth]])/365.2425</f>
        <v>47.823021691068263</v>
      </c>
      <c r="S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" s="2">
        <f>IF(Данные6[[#This Row],[ interest_rate]]&gt;$T$1,Данные6[[#This Row],[days_birth4]]*$T$2,Данные6[[#This Row],[days_birth4]])</f>
        <v>0</v>
      </c>
      <c r="U49" s="2">
        <f>IF(Данные6[[#This Row],[Проверка отказа]]="отказ",0,MAX(Данные6[[#This Row],[interest_rate]],$C$1))</f>
        <v>0</v>
      </c>
      <c r="V49" s="2">
        <f>MROUND(Данные6[[#This Row],[Минимум 20000]], 100)</f>
        <v>0</v>
      </c>
    </row>
    <row r="50" spans="1:22" x14ac:dyDescent="0.25">
      <c r="A50" s="2">
        <f>'1000_заявлений'!A44</f>
        <v>42</v>
      </c>
      <c r="B50" s="4">
        <f>VALUE(SUBSTITUTE('1000_заявлений'!B44, ".", ","))</f>
        <v>0.60105769622618799</v>
      </c>
      <c r="C50" s="4">
        <f>VALUE(SUBSTITUTE('1000_заявлений'!C44, ".", ","))</f>
        <v>0.27356116619662202</v>
      </c>
      <c r="D50" s="4">
        <f>VALUE(SUBSTITUTE('1000_заявлений'!D44, ".", ","))</f>
        <v>0.25946765999999999</v>
      </c>
      <c r="E50" s="4">
        <f>VALUE(SUBSTITUTE('1000_заявлений'!E44, ".", ","))</f>
        <v>0.55404883999999999</v>
      </c>
      <c r="F50" s="5">
        <f>VALUE(SUBSTITUTE('1000_заявлений'!F44, ".", ","))</f>
        <v>-6230</v>
      </c>
      <c r="G50" s="5">
        <f>VALUE(SUBSTITUTE('1000_заявлений'!G44, ".", ","))</f>
        <v>-15728</v>
      </c>
      <c r="H50" s="5">
        <f>VALUE(SUBSTITUTE('1000_заявлений'!H44, ".", ","))</f>
        <v>-4180</v>
      </c>
      <c r="I50" s="4">
        <f>VALUE(SUBSTITUTE('1000_заявлений'!I44, ".", ","))</f>
        <v>0.06</v>
      </c>
      <c r="J50" s="4">
        <f>VALUE(SUBSTITUTE('1000_заявлений'!J44, ".", ","))</f>
        <v>2.9117343591587601</v>
      </c>
      <c r="K50" s="5">
        <f>VALUE(SUBSTITUTE('1000_заявлений'!K44, ".", ","))</f>
        <v>-1213</v>
      </c>
      <c r="L50" s="6">
        <f>VALUE(SUBSTITUTE('1000_заявлений'!L44, ".", ","))</f>
        <v>17550</v>
      </c>
      <c r="M50" s="2" t="str">
        <f>IF(Данные6[[#This Row],[proba]]&gt;$C$6, "отказ", "одобрение")</f>
        <v>отказ</v>
      </c>
      <c r="N50" s="7">
        <f>IF(Данные6[[#This Row],[proba]]&lt;$D$2,$C$2,IF(Данные6[[#This Row],[proba]]&lt;$D$3,$C$3,IF(Данные6[[#This Row],[proba]]&gt;$C$6,0,$C$4)))</f>
        <v>0</v>
      </c>
      <c r="O50" s="2">
        <f>IF(Данные6[[#This Row],[weighted_ext_score]]&gt;$O$1,MIN(Данные6[[#This Row],[Базовая сумма]]*$O$2,$C$2),IF(Данные6[[#This Row],[weighted_ext_score]]&lt;$O$3,Данные6[[#This Row],[Базовая сумма]]*$O$4,N50))</f>
        <v>0</v>
      </c>
      <c r="P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" s="2">
        <f>ABS(Данные6[[#This Row],[days_birth]])/365.2425</f>
        <v>43.061801405915247</v>
      </c>
      <c r="S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" s="2">
        <f>IF(Данные6[[#This Row],[ interest_rate]]&gt;$T$1,Данные6[[#This Row],[days_birth4]]*$T$2,Данные6[[#This Row],[days_birth4]])</f>
        <v>0</v>
      </c>
      <c r="U50" s="2">
        <f>IF(Данные6[[#This Row],[Проверка отказа]]="отказ",0,MAX(Данные6[[#This Row],[interest_rate]],$C$1))</f>
        <v>0</v>
      </c>
      <c r="V50" s="2">
        <f>MROUND(Данные6[[#This Row],[Минимум 20000]], 100)</f>
        <v>0</v>
      </c>
    </row>
    <row r="51" spans="1:22" x14ac:dyDescent="0.25">
      <c r="A51" s="2">
        <f>'1000_заявлений'!A45</f>
        <v>43</v>
      </c>
      <c r="B51" s="4">
        <f>VALUE(SUBSTITUTE('1000_заявлений'!B45, ".", ","))</f>
        <v>0.81511928615664897</v>
      </c>
      <c r="C51" s="4">
        <f>VALUE(SUBSTITUTE('1000_заявлений'!C45, ".", ","))</f>
        <v>0.16097306354634</v>
      </c>
      <c r="D51" s="4">
        <f>VALUE(SUBSTITUTE('1000_заявлений'!D45, ".", ","))</f>
        <v>9.3225089999999997E-2</v>
      </c>
      <c r="E51" s="4">
        <f>VALUE(SUBSTITUTE('1000_заявлений'!E45, ".", ","))</f>
        <v>0.39231142000000002</v>
      </c>
      <c r="F51" s="5">
        <f>VALUE(SUBSTITUTE('1000_заявлений'!F45, ".", ","))</f>
        <v>-5901</v>
      </c>
      <c r="G51" s="5">
        <f>VALUE(SUBSTITUTE('1000_заявлений'!G45, ".", ","))</f>
        <v>-13835</v>
      </c>
      <c r="H51" s="5">
        <f>VALUE(SUBSTITUTE('1000_заявлений'!H45, ".", ","))</f>
        <v>-4659</v>
      </c>
      <c r="I51" s="4">
        <f>VALUE(SUBSTITUTE('1000_заявлений'!I45, ".", ","))</f>
        <v>0.18384848484848401</v>
      </c>
      <c r="J51" s="4">
        <f>VALUE(SUBSTITUTE('1000_заявлений'!J45, ".", ","))</f>
        <v>0.14607516425368899</v>
      </c>
      <c r="K51" s="5">
        <f>VALUE(SUBSTITUTE('1000_заявлений'!K45, ".", ","))</f>
        <v>-3565</v>
      </c>
      <c r="L51" s="6">
        <f>VALUE(SUBSTITUTE('1000_заявлений'!L45, ".", ","))</f>
        <v>27301.5</v>
      </c>
      <c r="M51" s="2" t="str">
        <f>IF(Данные6[[#This Row],[proba]]&gt;$C$6, "отказ", "одобрение")</f>
        <v>отказ</v>
      </c>
      <c r="N51" s="7">
        <f>IF(Данные6[[#This Row],[proba]]&lt;$D$2,$C$2,IF(Данные6[[#This Row],[proba]]&lt;$D$3,$C$3,IF(Данные6[[#This Row],[proba]]&gt;$C$6,0,$C$4)))</f>
        <v>0</v>
      </c>
      <c r="O51" s="2">
        <f>IF(Данные6[[#This Row],[weighted_ext_score]]&gt;$O$1,MIN(Данные6[[#This Row],[Базовая сумма]]*$O$2,$C$2),IF(Данные6[[#This Row],[weighted_ext_score]]&lt;$O$3,Данные6[[#This Row],[Базовая сумма]]*$O$4,N51))</f>
        <v>0</v>
      </c>
      <c r="P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" s="2">
        <f>ABS(Данные6[[#This Row],[days_birth]])/365.2425</f>
        <v>37.878943441686005</v>
      </c>
      <c r="S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" s="2">
        <f>IF(Данные6[[#This Row],[ interest_rate]]&gt;$T$1,Данные6[[#This Row],[days_birth4]]*$T$2,Данные6[[#This Row],[days_birth4]])</f>
        <v>0</v>
      </c>
      <c r="U51" s="2">
        <f>IF(Данные6[[#This Row],[Проверка отказа]]="отказ",0,MAX(Данные6[[#This Row],[interest_rate]],$C$1))</f>
        <v>0</v>
      </c>
      <c r="V51" s="2">
        <f>MROUND(Данные6[[#This Row],[Минимум 20000]], 100)</f>
        <v>0</v>
      </c>
    </row>
    <row r="52" spans="1:22" x14ac:dyDescent="0.25">
      <c r="A52" s="2">
        <f>'1000_заявлений'!A46</f>
        <v>44</v>
      </c>
      <c r="B52" s="4">
        <f>VALUE(SUBSTITUTE('1000_заявлений'!B46, ".", ","))</f>
        <v>0.240438739342068</v>
      </c>
      <c r="C52" s="4">
        <f>VALUE(SUBSTITUTE('1000_заявлений'!C46, ".", ","))</f>
        <v>0.65886418308569406</v>
      </c>
      <c r="D52" s="4">
        <f>VALUE(SUBSTITUTE('1000_заявлений'!D46, ".", ","))</f>
        <v>0.50828700000000004</v>
      </c>
      <c r="E52" s="4">
        <f>VALUE(SUBSTITUTE('1000_заявлений'!E46, ".", ","))</f>
        <v>0.73609966000000004</v>
      </c>
      <c r="F52" s="5">
        <f>VALUE(SUBSTITUTE('1000_заявлений'!F46, ".", ","))</f>
        <v>-10083</v>
      </c>
      <c r="G52" s="5">
        <f>VALUE(SUBSTITUTE('1000_заявлений'!G46, ".", ","))</f>
        <v>-16927</v>
      </c>
      <c r="H52" s="5">
        <f>VALUE(SUBSTITUTE('1000_заявлений'!H46, ".", ","))</f>
        <v>-455</v>
      </c>
      <c r="I52" s="4">
        <f>VALUE(SUBSTITUTE('1000_заявлений'!I46, ".", ","))</f>
        <v>0.1331</v>
      </c>
      <c r="J52" s="4">
        <f>VALUE(SUBSTITUTE('1000_заявлений'!J46, ".", ","))</f>
        <v>4.1738131229120699</v>
      </c>
      <c r="K52" s="5">
        <f>VALUE(SUBSTITUTE('1000_заявлений'!K46, ".", ","))</f>
        <v>-2654</v>
      </c>
      <c r="L52" s="6">
        <f>VALUE(SUBSTITUTE('1000_заявлений'!L46, ".", ","))</f>
        <v>35937</v>
      </c>
      <c r="M52" s="2" t="str">
        <f>IF(Данные6[[#This Row],[proba]]&gt;$C$6, "отказ", "одобрение")</f>
        <v>одобрение</v>
      </c>
      <c r="N52" s="7">
        <f>IF(Данные6[[#This Row],[proba]]&lt;$D$2,$C$2,IF(Данные6[[#This Row],[proba]]&lt;$D$3,$C$3,IF(Данные6[[#This Row],[proba]]&gt;$C$6,0,$C$4)))</f>
        <v>50000</v>
      </c>
      <c r="O52" s="2">
        <f>IF(Данные6[[#This Row],[weighted_ext_score]]&gt;$O$1,MIN(Данные6[[#This Row],[Базовая сумма]]*$O$2,$C$2),IF(Данные6[[#This Row],[weighted_ext_score]]&lt;$O$3,Данные6[[#This Row],[Базовая сумма]]*$O$4,N52))</f>
        <v>50000</v>
      </c>
      <c r="P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2" s="2">
        <f>ABS(Данные6[[#This Row],[days_birth]])/365.2425</f>
        <v>46.344551907294466</v>
      </c>
      <c r="S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2" s="2">
        <f>IF(Данные6[[#This Row],[ interest_rate]]&gt;$T$1,Данные6[[#This Row],[days_birth4]]*$T$2,Данные6[[#This Row],[days_birth4]])</f>
        <v>35000</v>
      </c>
      <c r="U52" s="2">
        <f>IF(Данные6[[#This Row],[Проверка отказа]]="отказ",0,MAX(Данные6[[#This Row],[interest_rate]],$C$1))</f>
        <v>35000</v>
      </c>
      <c r="V52" s="2">
        <f>MROUND(Данные6[[#This Row],[Минимум 20000]], 100)</f>
        <v>35000</v>
      </c>
    </row>
    <row r="53" spans="1:22" x14ac:dyDescent="0.25">
      <c r="A53" s="2">
        <f>'1000_заявлений'!A47</f>
        <v>45</v>
      </c>
      <c r="B53" s="4">
        <f>VALUE(SUBSTITUTE('1000_заявлений'!B47, ".", ","))</f>
        <v>0.52907946850876897</v>
      </c>
      <c r="C53" s="4">
        <f>VALUE(SUBSTITUTE('1000_заявлений'!C47, ".", ","))</f>
        <v>0.28851786197432999</v>
      </c>
      <c r="D53" s="4">
        <f>VALUE(SUBSTITUTE('1000_заявлений'!D47, ".", ","))</f>
        <v>0.27933532</v>
      </c>
      <c r="E53" s="4">
        <f>VALUE(SUBSTITUTE('1000_заявлений'!E47, ".", ","))</f>
        <v>0.57800629999999997</v>
      </c>
      <c r="F53" s="5">
        <f>VALUE(SUBSTITUTE('1000_заявлений'!F47, ".", ","))</f>
        <v>-3150</v>
      </c>
      <c r="G53" s="5">
        <f>VALUE(SUBSTITUTE('1000_заявлений'!G47, ".", ","))</f>
        <v>-22277</v>
      </c>
      <c r="H53" s="5">
        <f>VALUE(SUBSTITUTE('1000_заявлений'!H47, ".", ","))</f>
        <v>-5818</v>
      </c>
      <c r="I53" s="4">
        <f>VALUE(SUBSTITUTE('1000_заявлений'!I47, ".", ","))</f>
        <v>0.13721428571428501</v>
      </c>
      <c r="J53" s="4">
        <f>VALUE(SUBSTITUTE('1000_заявлений'!J47, ".", ","))</f>
        <v>2.3484815554696001</v>
      </c>
      <c r="K53" s="5">
        <f>VALUE(SUBSTITUTE('1000_заявлений'!K47, ".", ","))</f>
        <v>-1454</v>
      </c>
      <c r="L53" s="6">
        <f>VALUE(SUBSTITUTE('1000_заявлений'!L47, ".", ","))</f>
        <v>43222.5</v>
      </c>
      <c r="M53" s="2" t="str">
        <f>IF(Данные6[[#This Row],[proba]]&gt;$C$6, "отказ", "одобрение")</f>
        <v>отказ</v>
      </c>
      <c r="N53" s="7">
        <f>IF(Данные6[[#This Row],[proba]]&lt;$D$2,$C$2,IF(Данные6[[#This Row],[proba]]&lt;$D$3,$C$3,IF(Данные6[[#This Row],[proba]]&gt;$C$6,0,$C$4)))</f>
        <v>0</v>
      </c>
      <c r="O53" s="2">
        <f>IF(Данные6[[#This Row],[weighted_ext_score]]&gt;$O$1,MIN(Данные6[[#This Row],[Базовая сумма]]*$O$2,$C$2),IF(Данные6[[#This Row],[weighted_ext_score]]&lt;$O$3,Данные6[[#This Row],[Базовая сумма]]*$O$4,N53))</f>
        <v>0</v>
      </c>
      <c r="P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" s="2">
        <f>ABS(Данные6[[#This Row],[days_birth]])/365.2425</f>
        <v>60.992354394682984</v>
      </c>
      <c r="S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" s="2">
        <f>IF(Данные6[[#This Row],[ interest_rate]]&gt;$T$1,Данные6[[#This Row],[days_birth4]]*$T$2,Данные6[[#This Row],[days_birth4]])</f>
        <v>0</v>
      </c>
      <c r="U53" s="2">
        <f>IF(Данные6[[#This Row],[Проверка отказа]]="отказ",0,MAX(Данные6[[#This Row],[interest_rate]],$C$1))</f>
        <v>0</v>
      </c>
      <c r="V53" s="2">
        <f>MROUND(Данные6[[#This Row],[Минимум 20000]], 100)</f>
        <v>0</v>
      </c>
    </row>
    <row r="54" spans="1:22" x14ac:dyDescent="0.25">
      <c r="A54" s="2">
        <f>'1000_заявлений'!A48</f>
        <v>46</v>
      </c>
      <c r="B54" s="4">
        <f>VALUE(SUBSTITUTE('1000_заявлений'!B48, ".", ","))</f>
        <v>0.16227495053874999</v>
      </c>
      <c r="C54" s="4">
        <f>VALUE(SUBSTITUTE('1000_заявлений'!C48, ".", ","))</f>
        <v>0.53275200708858705</v>
      </c>
      <c r="D54" s="4">
        <f>VALUE(SUBSTITUTE('1000_заявлений'!D48, ".", ","))</f>
        <v>0.78626660000000004</v>
      </c>
      <c r="E54" s="4">
        <f>VALUE(SUBSTITUTE('1000_заявлений'!E48, ".", ","))</f>
        <v>0.76573400000000003</v>
      </c>
      <c r="F54" s="5">
        <f>VALUE(SUBSTITUTE('1000_заявлений'!F48, ".", ","))</f>
        <v>-65</v>
      </c>
      <c r="G54" s="5">
        <f>VALUE(SUBSTITUTE('1000_заявлений'!G48, ".", ","))</f>
        <v>-18589</v>
      </c>
      <c r="H54" s="5">
        <f>VALUE(SUBSTITUTE('1000_заявлений'!H48, ".", ","))</f>
        <v>-2112</v>
      </c>
      <c r="I54" s="4">
        <f>VALUE(SUBSTITUTE('1000_заявлений'!I48, ".", ","))</f>
        <v>0.16666666666666599</v>
      </c>
      <c r="J54" s="4">
        <f>VALUE(SUBSTITUTE('1000_заявлений'!J48, ".", ","))</f>
        <v>10.6209759779781</v>
      </c>
      <c r="K54" s="5">
        <f>VALUE(SUBSTITUTE('1000_заявлений'!K48, ".", ","))</f>
        <v>-7927</v>
      </c>
      <c r="L54" s="6">
        <f>VALUE(SUBSTITUTE('1000_заявлений'!L48, ".", ","))</f>
        <v>22500</v>
      </c>
      <c r="M54" s="2" t="str">
        <f>IF(Данные6[[#This Row],[proba]]&gt;$C$6, "отказ", "одобрение")</f>
        <v>одобрение</v>
      </c>
      <c r="N54" s="7">
        <f>IF(Данные6[[#This Row],[proba]]&lt;$D$2,$C$2,IF(Данные6[[#This Row],[proba]]&lt;$D$3,$C$3,IF(Данные6[[#This Row],[proba]]&gt;$C$6,0,$C$4)))</f>
        <v>200000</v>
      </c>
      <c r="O54" s="2">
        <f>IF(Данные6[[#This Row],[weighted_ext_score]]&gt;$O$1,MIN(Данные6[[#This Row],[Базовая сумма]]*$O$2,$C$2),IF(Данные6[[#This Row],[weighted_ext_score]]&lt;$O$3,Данные6[[#This Row],[Базовая сумма]]*$O$4,N54))</f>
        <v>200000</v>
      </c>
      <c r="P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54" s="2">
        <f>ABS(Данные6[[#This Row],[days_birth]])/365.2425</f>
        <v>50.894953352909369</v>
      </c>
      <c r="S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252000</v>
      </c>
      <c r="T54" s="2">
        <f>IF(Данные6[[#This Row],[ interest_rate]]&gt;$T$1,Данные6[[#This Row],[days_birth4]]*$T$2,Данные6[[#This Row],[days_birth4]])</f>
        <v>252000</v>
      </c>
      <c r="U54" s="2">
        <f>IF(Данные6[[#This Row],[Проверка отказа]]="отказ",0,MAX(Данные6[[#This Row],[interest_rate]],$C$1))</f>
        <v>252000</v>
      </c>
      <c r="V54" s="2">
        <f>MROUND(Данные6[[#This Row],[Минимум 20000]], 100)</f>
        <v>252000</v>
      </c>
    </row>
    <row r="55" spans="1:22" x14ac:dyDescent="0.25">
      <c r="A55" s="2">
        <f>'1000_заявлений'!A49</f>
        <v>47</v>
      </c>
      <c r="B55" s="4">
        <f>VALUE(SUBSTITUTE('1000_заявлений'!B49, ".", ","))</f>
        <v>0.34839808031027603</v>
      </c>
      <c r="C55" s="4">
        <f>VALUE(SUBSTITUTE('1000_заявлений'!C49, ".", ","))</f>
        <v>0.52724465405537702</v>
      </c>
      <c r="D55" s="4">
        <f>VALUE(SUBSTITUTE('1000_заявлений'!D49, ".", ","))</f>
        <v>0.51729654999999997</v>
      </c>
      <c r="E55" s="4">
        <f>VALUE(SUBSTITUTE('1000_заявлений'!E49, ".", ","))</f>
        <v>0.64607376000000005</v>
      </c>
      <c r="F55" s="5">
        <f>VALUE(SUBSTITUTE('1000_заявлений'!F49, ".", ","))</f>
        <v>-3286</v>
      </c>
      <c r="G55" s="5">
        <f>VALUE(SUBSTITUTE('1000_заявлений'!G49, ".", ","))</f>
        <v>-17386</v>
      </c>
      <c r="H55" s="5">
        <f>VALUE(SUBSTITUTE('1000_заявлений'!H49, ".", ","))</f>
        <v>-906</v>
      </c>
      <c r="I55" s="4">
        <f>VALUE(SUBSTITUTE('1000_заявлений'!I49, ".", ","))</f>
        <v>0.14572499999999999</v>
      </c>
      <c r="J55" s="4">
        <f>VALUE(SUBSTITUTE('1000_заявлений'!J49, ".", ","))</f>
        <v>1.81777576256554</v>
      </c>
      <c r="K55" s="5">
        <f>VALUE(SUBSTITUTE('1000_заявлений'!K49, ".", ","))</f>
        <v>-7926</v>
      </c>
      <c r="L55" s="6">
        <f>VALUE(SUBSTITUTE('1000_заявлений'!L49, ".", ","))</f>
        <v>26230.5</v>
      </c>
      <c r="M55" s="2" t="str">
        <f>IF(Данные6[[#This Row],[proba]]&gt;$C$6, "отказ", "одобрение")</f>
        <v>отказ</v>
      </c>
      <c r="N55" s="7">
        <f>IF(Данные6[[#This Row],[proba]]&lt;$D$2,$C$2,IF(Данные6[[#This Row],[proba]]&lt;$D$3,$C$3,IF(Данные6[[#This Row],[proba]]&gt;$C$6,0,$C$4)))</f>
        <v>0</v>
      </c>
      <c r="O55" s="2">
        <f>IF(Данные6[[#This Row],[weighted_ext_score]]&gt;$O$1,MIN(Данные6[[#This Row],[Базовая сумма]]*$O$2,$C$2),IF(Данные6[[#This Row],[weighted_ext_score]]&lt;$O$3,Данные6[[#This Row],[Базовая сумма]]*$O$4,N55))</f>
        <v>0</v>
      </c>
      <c r="P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" s="2">
        <f>ABS(Данные6[[#This Row],[days_birth]])/365.2425</f>
        <v>47.601251223502196</v>
      </c>
      <c r="S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" s="2">
        <f>IF(Данные6[[#This Row],[ interest_rate]]&gt;$T$1,Данные6[[#This Row],[days_birth4]]*$T$2,Данные6[[#This Row],[days_birth4]])</f>
        <v>0</v>
      </c>
      <c r="U55" s="2">
        <f>IF(Данные6[[#This Row],[Проверка отказа]]="отказ",0,MAX(Данные6[[#This Row],[interest_rate]],$C$1))</f>
        <v>0</v>
      </c>
      <c r="V55" s="2">
        <f>MROUND(Данные6[[#This Row],[Минимум 20000]], 100)</f>
        <v>0</v>
      </c>
    </row>
    <row r="56" spans="1:22" x14ac:dyDescent="0.25">
      <c r="A56" s="2">
        <f>'1000_заявлений'!A50</f>
        <v>48</v>
      </c>
      <c r="B56" s="4">
        <f>VALUE(SUBSTITUTE('1000_заявлений'!B50, ".", ","))</f>
        <v>0.41753527720480099</v>
      </c>
      <c r="C56" s="4">
        <f>VALUE(SUBSTITUTE('1000_заявлений'!C50, ".", ","))</f>
        <v>0.37990922692037499</v>
      </c>
      <c r="D56" s="4">
        <f>VALUE(SUBSTITUTE('1000_заявлений'!D50, ".", ","))</f>
        <v>0.49927201999999998</v>
      </c>
      <c r="E56" s="4">
        <f>VALUE(SUBSTITUTE('1000_заявлений'!E50, ".", ","))</f>
        <v>0.61453115999999997</v>
      </c>
      <c r="F56" s="5">
        <f>VALUE(SUBSTITUTE('1000_заявлений'!F50, ".", ","))</f>
        <v>-7476</v>
      </c>
      <c r="G56" s="5">
        <f>VALUE(SUBSTITUTE('1000_заявлений'!G50, ".", ","))</f>
        <v>-13422</v>
      </c>
      <c r="H56" s="5">
        <f>VALUE(SUBSTITUTE('1000_заявлений'!H50, ".", ","))</f>
        <v>-4450</v>
      </c>
      <c r="I56" s="4">
        <f>VALUE(SUBSTITUTE('1000_заявлений'!I50, ".", ","))</f>
        <v>0.15297777777777699</v>
      </c>
      <c r="J56" s="4">
        <f>VALUE(SUBSTITUTE('1000_заявлений'!J50, ".", ","))</f>
        <v>2.9312945721189498</v>
      </c>
      <c r="K56" s="5">
        <f>VALUE(SUBSTITUTE('1000_заявлений'!K50, ".", ","))</f>
        <v>-1395</v>
      </c>
      <c r="L56" s="6">
        <f>VALUE(SUBSTITUTE('1000_заявлений'!L50, ".", ","))</f>
        <v>30978</v>
      </c>
      <c r="M56" s="2" t="str">
        <f>IF(Данные6[[#This Row],[proba]]&gt;$C$6, "отказ", "одобрение")</f>
        <v>отказ</v>
      </c>
      <c r="N56" s="7">
        <f>IF(Данные6[[#This Row],[proba]]&lt;$D$2,$C$2,IF(Данные6[[#This Row],[proba]]&lt;$D$3,$C$3,IF(Данные6[[#This Row],[proba]]&gt;$C$6,0,$C$4)))</f>
        <v>0</v>
      </c>
      <c r="O56" s="2">
        <f>IF(Данные6[[#This Row],[weighted_ext_score]]&gt;$O$1,MIN(Данные6[[#This Row],[Базовая сумма]]*$O$2,$C$2),IF(Данные6[[#This Row],[weighted_ext_score]]&lt;$O$3,Данные6[[#This Row],[Базовая сумма]]*$O$4,N56))</f>
        <v>0</v>
      </c>
      <c r="P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" s="2">
        <f>ABS(Данные6[[#This Row],[days_birth]])/365.2425</f>
        <v>36.748187847799748</v>
      </c>
      <c r="S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" s="2">
        <f>IF(Данные6[[#This Row],[ interest_rate]]&gt;$T$1,Данные6[[#This Row],[days_birth4]]*$T$2,Данные6[[#This Row],[days_birth4]])</f>
        <v>0</v>
      </c>
      <c r="U56" s="2">
        <f>IF(Данные6[[#This Row],[Проверка отказа]]="отказ",0,MAX(Данные6[[#This Row],[interest_rate]],$C$1))</f>
        <v>0</v>
      </c>
      <c r="V56" s="2">
        <f>MROUND(Данные6[[#This Row],[Минимум 20000]], 100)</f>
        <v>0</v>
      </c>
    </row>
    <row r="57" spans="1:22" x14ac:dyDescent="0.25">
      <c r="A57" s="2">
        <f>'1000_заявлений'!A51</f>
        <v>49</v>
      </c>
      <c r="B57" s="4">
        <f>VALUE(SUBSTITUTE('1000_заявлений'!B51, ".", ","))</f>
        <v>0.28891504337211499</v>
      </c>
      <c r="C57" s="4">
        <f>VALUE(SUBSTITUTE('1000_заявлений'!C51, ".", ","))</f>
        <v>0.62777912238704303</v>
      </c>
      <c r="D57" s="4">
        <f>VALUE(SUBSTITUTE('1000_заявлений'!D51, ".", ","))</f>
        <v>0.65615840000000003</v>
      </c>
      <c r="E57" s="4">
        <f>VALUE(SUBSTITUTE('1000_заявлений'!E51, ".", ","))</f>
        <v>0.5658164</v>
      </c>
      <c r="F57" s="5">
        <f>VALUE(SUBSTITUTE('1000_заявлений'!F51, ".", ","))</f>
        <v>-972</v>
      </c>
      <c r="G57" s="5">
        <f>VALUE(SUBSTITUTE('1000_заявлений'!G51, ".", ","))</f>
        <v>-10487</v>
      </c>
      <c r="H57" s="5">
        <f>VALUE(SUBSTITUTE('1000_заявлений'!H51, ".", ","))</f>
        <v>-1142</v>
      </c>
      <c r="I57" s="4">
        <f>VALUE(SUBSTITUTE('1000_заявлений'!I51, ".", ","))</f>
        <v>0.18131666666666599</v>
      </c>
      <c r="J57" s="4">
        <f>VALUE(SUBSTITUTE('1000_заявлений'!J51, ".", ","))</f>
        <v>4.05449569901812</v>
      </c>
      <c r="K57" s="5">
        <f>VALUE(SUBSTITUTE('1000_заявлений'!K51, ".", ","))</f>
        <v>-940</v>
      </c>
      <c r="L57" s="6">
        <f>VALUE(SUBSTITUTE('1000_заявлений'!L51, ".", ","))</f>
        <v>48955.5</v>
      </c>
      <c r="M57" s="2" t="str">
        <f>IF(Данные6[[#This Row],[proba]]&gt;$C$6, "отказ", "одобрение")</f>
        <v>одобрение</v>
      </c>
      <c r="N57" s="7">
        <f>IF(Данные6[[#This Row],[proba]]&lt;$D$2,$C$2,IF(Данные6[[#This Row],[proba]]&lt;$D$3,$C$3,IF(Данные6[[#This Row],[proba]]&gt;$C$6,0,$C$4)))</f>
        <v>50000</v>
      </c>
      <c r="O57" s="2">
        <f>IF(Данные6[[#This Row],[weighted_ext_score]]&gt;$O$1,MIN(Данные6[[#This Row],[Базовая сумма]]*$O$2,$C$2),IF(Данные6[[#This Row],[weighted_ext_score]]&lt;$O$3,Данные6[[#This Row],[Базовая сумма]]*$O$4,N57))</f>
        <v>50000</v>
      </c>
      <c r="P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7" s="2">
        <f>ABS(Данные6[[#This Row],[days_birth]])/365.2425</f>
        <v>28.712430782288479</v>
      </c>
      <c r="S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7" s="2">
        <f>IF(Данные6[[#This Row],[ interest_rate]]&gt;$T$1,Данные6[[#This Row],[days_birth4]]*$T$2,Данные6[[#This Row],[days_birth4]])</f>
        <v>35000</v>
      </c>
      <c r="U57" s="2">
        <f>IF(Данные6[[#This Row],[Проверка отказа]]="отказ",0,MAX(Данные6[[#This Row],[interest_rate]],$C$1))</f>
        <v>35000</v>
      </c>
      <c r="V57" s="2">
        <f>MROUND(Данные6[[#This Row],[Минимум 20000]], 100)</f>
        <v>35000</v>
      </c>
    </row>
    <row r="58" spans="1:22" x14ac:dyDescent="0.25">
      <c r="A58" s="2">
        <f>'1000_заявлений'!A52</f>
        <v>50</v>
      </c>
      <c r="B58" s="4">
        <f>VALUE(SUBSTITUTE('1000_заявлений'!B52, ".", ","))</f>
        <v>0.466843495067299</v>
      </c>
      <c r="C58" s="4">
        <f>VALUE(SUBSTITUTE('1000_заявлений'!C52, ".", ","))</f>
        <v>0.55683373487090604</v>
      </c>
      <c r="D58" s="4">
        <f>VALUE(SUBSTITUTE('1000_заявлений'!D52, ".", ","))</f>
        <v>0.23401516999999999</v>
      </c>
      <c r="E58" s="4">
        <f>VALUE(SUBSTITUTE('1000_заявлений'!E52, ".", ","))</f>
        <v>0.67781919999999996</v>
      </c>
      <c r="F58" s="5">
        <f>VALUE(SUBSTITUTE('1000_заявлений'!F52, ".", ","))</f>
        <v>-3383</v>
      </c>
      <c r="G58" s="5">
        <f>VALUE(SUBSTITUTE('1000_заявлений'!G52, ".", ","))</f>
        <v>-14391</v>
      </c>
      <c r="H58" s="5">
        <f>VALUE(SUBSTITUTE('1000_заявлений'!H52, ".", ","))</f>
        <v>-2274</v>
      </c>
      <c r="I58" s="4">
        <f>VALUE(SUBSTITUTE('1000_заявлений'!I52, ".", ","))</f>
        <v>0.14000000000000001</v>
      </c>
      <c r="J58" s="4">
        <f>VALUE(SUBSTITUTE('1000_заявлений'!J52, ".", ","))</f>
        <v>1.7926354583625901</v>
      </c>
      <c r="K58" s="5">
        <f>VALUE(SUBSTITUTE('1000_заявлений'!K52, ".", ","))</f>
        <v>-3010</v>
      </c>
      <c r="L58" s="6">
        <f>VALUE(SUBSTITUTE('1000_заявлений'!L52, ".", ","))</f>
        <v>37800</v>
      </c>
      <c r="M58" s="2" t="str">
        <f>IF(Данные6[[#This Row],[proba]]&gt;$C$6, "отказ", "одобрение")</f>
        <v>отказ</v>
      </c>
      <c r="N58" s="7">
        <f>IF(Данные6[[#This Row],[proba]]&lt;$D$2,$C$2,IF(Данные6[[#This Row],[proba]]&lt;$D$3,$C$3,IF(Данные6[[#This Row],[proba]]&gt;$C$6,0,$C$4)))</f>
        <v>0</v>
      </c>
      <c r="O58" s="2">
        <f>IF(Данные6[[#This Row],[weighted_ext_score]]&gt;$O$1,MIN(Данные6[[#This Row],[Базовая сумма]]*$O$2,$C$2),IF(Данные6[[#This Row],[weighted_ext_score]]&lt;$O$3,Данные6[[#This Row],[Базовая сумма]]*$O$4,N58))</f>
        <v>0</v>
      </c>
      <c r="P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" s="2">
        <f>ABS(Данные6[[#This Row],[days_birth]])/365.2425</f>
        <v>39.401219737571616</v>
      </c>
      <c r="S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" s="2">
        <f>IF(Данные6[[#This Row],[ interest_rate]]&gt;$T$1,Данные6[[#This Row],[days_birth4]]*$T$2,Данные6[[#This Row],[days_birth4]])</f>
        <v>0</v>
      </c>
      <c r="U58" s="2">
        <f>IF(Данные6[[#This Row],[Проверка отказа]]="отказ",0,MAX(Данные6[[#This Row],[interest_rate]],$C$1))</f>
        <v>0</v>
      </c>
      <c r="V58" s="2">
        <f>MROUND(Данные6[[#This Row],[Минимум 20000]], 100)</f>
        <v>0</v>
      </c>
    </row>
    <row r="59" spans="1:22" x14ac:dyDescent="0.25">
      <c r="A59" s="2">
        <f>'1000_заявлений'!A53</f>
        <v>51</v>
      </c>
      <c r="B59" s="4">
        <f>VALUE(SUBSTITUTE('1000_заявлений'!B53, ".", ","))</f>
        <v>0.58952993872931603</v>
      </c>
      <c r="C59" s="4">
        <f>VALUE(SUBSTITUTE('1000_заявлений'!C53, ".", ","))</f>
        <v>0.34971395866406602</v>
      </c>
      <c r="D59" s="4">
        <f>VALUE(SUBSTITUTE('1000_заявлений'!D53, ".", ","))</f>
        <v>0.50828700000000004</v>
      </c>
      <c r="E59" s="4">
        <f>VALUE(SUBSTITUTE('1000_заявлений'!E53, ".", ","))</f>
        <v>0.32022926000000002</v>
      </c>
      <c r="F59" s="5">
        <f>VALUE(SUBSTITUTE('1000_заявлений'!F53, ".", ","))</f>
        <v>-1709</v>
      </c>
      <c r="G59" s="5">
        <f>VALUE(SUBSTITUTE('1000_заявлений'!G53, ".", ","))</f>
        <v>-10594</v>
      </c>
      <c r="H59" s="5">
        <f>VALUE(SUBSTITUTE('1000_заявлений'!H53, ".", ","))</f>
        <v>-2141</v>
      </c>
      <c r="I59" s="4">
        <f>VALUE(SUBSTITUTE('1000_заявлений'!I53, ".", ","))</f>
        <v>7.51E-2</v>
      </c>
      <c r="J59" s="4">
        <f>VALUE(SUBSTITUTE('1000_заявлений'!J53, ".", ","))</f>
        <v>2.7529295466223398</v>
      </c>
      <c r="K59" s="5">
        <f>VALUE(SUBSTITUTE('1000_заявлений'!K53, ".", ","))</f>
        <v>-127</v>
      </c>
      <c r="L59" s="6">
        <f>VALUE(SUBSTITUTE('1000_заявлений'!L53, ".", ","))</f>
        <v>16897.5</v>
      </c>
      <c r="M59" s="2" t="str">
        <f>IF(Данные6[[#This Row],[proba]]&gt;$C$6, "отказ", "одобрение")</f>
        <v>отказ</v>
      </c>
      <c r="N59" s="7">
        <f>IF(Данные6[[#This Row],[proba]]&lt;$D$2,$C$2,IF(Данные6[[#This Row],[proba]]&lt;$D$3,$C$3,IF(Данные6[[#This Row],[proba]]&gt;$C$6,0,$C$4)))</f>
        <v>0</v>
      </c>
      <c r="O59" s="2">
        <f>IF(Данные6[[#This Row],[weighted_ext_score]]&gt;$O$1,MIN(Данные6[[#This Row],[Базовая сумма]]*$O$2,$C$2),IF(Данные6[[#This Row],[weighted_ext_score]]&lt;$O$3,Данные6[[#This Row],[Базовая сумма]]*$O$4,N59))</f>
        <v>0</v>
      </c>
      <c r="P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" s="2">
        <f>ABS(Данные6[[#This Row],[days_birth]])/365.2425</f>
        <v>29.005386832036251</v>
      </c>
      <c r="S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" s="2">
        <f>IF(Данные6[[#This Row],[ interest_rate]]&gt;$T$1,Данные6[[#This Row],[days_birth4]]*$T$2,Данные6[[#This Row],[days_birth4]])</f>
        <v>0</v>
      </c>
      <c r="U59" s="2">
        <f>IF(Данные6[[#This Row],[Проверка отказа]]="отказ",0,MAX(Данные6[[#This Row],[interest_rate]],$C$1))</f>
        <v>0</v>
      </c>
      <c r="V59" s="2">
        <f>MROUND(Данные6[[#This Row],[Минимум 20000]], 100)</f>
        <v>0</v>
      </c>
    </row>
    <row r="60" spans="1:22" x14ac:dyDescent="0.25">
      <c r="A60" s="2">
        <f>'1000_заявлений'!A54</f>
        <v>52</v>
      </c>
      <c r="B60" s="4">
        <f>VALUE(SUBSTITUTE('1000_заявлений'!B54, ".", ","))</f>
        <v>0.72832179476449099</v>
      </c>
      <c r="C60" s="4">
        <f>VALUE(SUBSTITUTE('1000_заявлений'!C54, ".", ","))</f>
        <v>3.4710959640111699E-2</v>
      </c>
      <c r="D60" s="4">
        <f>VALUE(SUBSTITUTE('1000_заявлений'!D54, ".", ","))</f>
        <v>0.53527623000000002</v>
      </c>
      <c r="E60" s="4">
        <f>VALUE(SUBSTITUTE('1000_заявлений'!E54, ".", ","))</f>
        <v>0.10700812</v>
      </c>
      <c r="F60" s="5">
        <f>VALUE(SUBSTITUTE('1000_заявлений'!F54, ".", ","))</f>
        <v>-3074</v>
      </c>
      <c r="G60" s="5">
        <f>VALUE(SUBSTITUTE('1000_заявлений'!G54, ".", ","))</f>
        <v>-20539</v>
      </c>
      <c r="H60" s="5">
        <f>VALUE(SUBSTITUTE('1000_заявлений'!H54, ".", ","))</f>
        <v>-4034</v>
      </c>
      <c r="I60" s="4">
        <f>VALUE(SUBSTITUTE('1000_заявлений'!I54, ".", ","))</f>
        <v>0.107833333333333</v>
      </c>
      <c r="J60" s="4">
        <f>VALUE(SUBSTITUTE('1000_заявлений'!J54, ".", ","))</f>
        <v>3.8377159585066298</v>
      </c>
      <c r="K60" s="5">
        <f>VALUE(SUBSTITUTE('1000_заявлений'!K54, ".", ","))</f>
        <v>-1682</v>
      </c>
      <c r="L60" s="6">
        <f>VALUE(SUBSTITUTE('1000_заявлений'!L54, ".", ","))</f>
        <v>14557.5</v>
      </c>
      <c r="M60" s="2" t="str">
        <f>IF(Данные6[[#This Row],[proba]]&gt;$C$6, "отказ", "одобрение")</f>
        <v>отказ</v>
      </c>
      <c r="N60" s="7">
        <f>IF(Данные6[[#This Row],[proba]]&lt;$D$2,$C$2,IF(Данные6[[#This Row],[proba]]&lt;$D$3,$C$3,IF(Данные6[[#This Row],[proba]]&gt;$C$6,0,$C$4)))</f>
        <v>0</v>
      </c>
      <c r="O60" s="2">
        <f>IF(Данные6[[#This Row],[weighted_ext_score]]&gt;$O$1,MIN(Данные6[[#This Row],[Базовая сумма]]*$O$2,$C$2),IF(Данные6[[#This Row],[weighted_ext_score]]&lt;$O$3,Данные6[[#This Row],[Базовая сумма]]*$O$4,N60))</f>
        <v>0</v>
      </c>
      <c r="P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" s="2">
        <f>ABS(Данные6[[#This Row],[days_birth]])/365.2425</f>
        <v>56.233872016536957</v>
      </c>
      <c r="S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" s="2">
        <f>IF(Данные6[[#This Row],[ interest_rate]]&gt;$T$1,Данные6[[#This Row],[days_birth4]]*$T$2,Данные6[[#This Row],[days_birth4]])</f>
        <v>0</v>
      </c>
      <c r="U60" s="2">
        <f>IF(Данные6[[#This Row],[Проверка отказа]]="отказ",0,MAX(Данные6[[#This Row],[interest_rate]],$C$1))</f>
        <v>0</v>
      </c>
      <c r="V60" s="2">
        <f>MROUND(Данные6[[#This Row],[Минимум 20000]], 100)</f>
        <v>0</v>
      </c>
    </row>
    <row r="61" spans="1:22" x14ac:dyDescent="0.25">
      <c r="A61" s="2">
        <f>'1000_заявлений'!A55</f>
        <v>53</v>
      </c>
      <c r="B61" s="4">
        <f>VALUE(SUBSTITUTE('1000_заявлений'!B55, ".", ","))</f>
        <v>0.192707777408204</v>
      </c>
      <c r="C61" s="4">
        <f>VALUE(SUBSTITUTE('1000_заявлений'!C55, ".", ","))</f>
        <v>0.476290337473188</v>
      </c>
      <c r="D61" s="4">
        <f>VALUE(SUBSTITUTE('1000_заявлений'!D55, ".", ","))</f>
        <v>0.70320329999999998</v>
      </c>
      <c r="E61" s="4">
        <f>VALUE(SUBSTITUTE('1000_заявлений'!E55, ".", ","))</f>
        <v>0.68428389999999994</v>
      </c>
      <c r="F61" s="5">
        <f>VALUE(SUBSTITUTE('1000_заявлений'!F55, ".", ","))</f>
        <v>-1512</v>
      </c>
      <c r="G61" s="5">
        <f>VALUE(SUBSTITUTE('1000_заявлений'!G55, ".", ","))</f>
        <v>-16197</v>
      </c>
      <c r="H61" s="5">
        <f>VALUE(SUBSTITUTE('1000_заявлений'!H55, ".", ","))</f>
        <v>-4301</v>
      </c>
      <c r="I61" s="4">
        <f>VALUE(SUBSTITUTE('1000_заявлений'!I55, ".", ","))</f>
        <v>0.18756666666666599</v>
      </c>
      <c r="J61" s="4">
        <f>VALUE(SUBSTITUTE('1000_заявлений'!J55, ".", ","))</f>
        <v>19.866106837814598</v>
      </c>
      <c r="K61" s="5">
        <f>VALUE(SUBSTITUTE('1000_заявлений'!K55, ".", ","))</f>
        <v>-1428</v>
      </c>
      <c r="L61" s="6">
        <f>VALUE(SUBSTITUTE('1000_заявлений'!L55, ".", ","))</f>
        <v>25321.5</v>
      </c>
      <c r="M61" s="2" t="str">
        <f>IF(Данные6[[#This Row],[proba]]&gt;$C$6, "отказ", "одобрение")</f>
        <v>одобрение</v>
      </c>
      <c r="N61" s="7">
        <f>IF(Данные6[[#This Row],[proba]]&lt;$D$2,$C$2,IF(Данные6[[#This Row],[proba]]&lt;$D$3,$C$3,IF(Данные6[[#This Row],[proba]]&gt;$C$6,0,$C$4)))</f>
        <v>200000</v>
      </c>
      <c r="O61" s="2">
        <f>IF(Данные6[[#This Row],[weighted_ext_score]]&gt;$O$1,MIN(Данные6[[#This Row],[Базовая сумма]]*$O$2,$C$2),IF(Данные6[[#This Row],[weighted_ext_score]]&lt;$O$3,Данные6[[#This Row],[Базовая сумма]]*$O$4,N61))</f>
        <v>160000</v>
      </c>
      <c r="P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112000</v>
      </c>
      <c r="R61" s="2">
        <f>ABS(Данные6[[#This Row],[days_birth]])/365.2425</f>
        <v>44.345879792192861</v>
      </c>
      <c r="S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112000</v>
      </c>
      <c r="T61" s="2">
        <f>IF(Данные6[[#This Row],[ interest_rate]]&gt;$T$1,Данные6[[#This Row],[days_birth4]]*$T$2,Данные6[[#This Row],[days_birth4]])</f>
        <v>112000</v>
      </c>
      <c r="U61" s="2">
        <f>IF(Данные6[[#This Row],[Проверка отказа]]="отказ",0,MAX(Данные6[[#This Row],[interest_rate]],$C$1))</f>
        <v>112000</v>
      </c>
      <c r="V61" s="2">
        <f>MROUND(Данные6[[#This Row],[Минимум 20000]], 100)</f>
        <v>112000</v>
      </c>
    </row>
    <row r="62" spans="1:22" x14ac:dyDescent="0.25">
      <c r="A62" s="2">
        <f>'1000_заявлений'!A56</f>
        <v>54</v>
      </c>
      <c r="B62" s="4">
        <f>VALUE(SUBSTITUTE('1000_заявлений'!B56, ".", ","))</f>
        <v>0.44497086894268101</v>
      </c>
      <c r="C62" s="4">
        <f>VALUE(SUBSTITUTE('1000_заявлений'!C56, ".", ","))</f>
        <v>0.21165503557657001</v>
      </c>
      <c r="D62" s="4">
        <f>VALUE(SUBSTITUTE('1000_заявлений'!D56, ".", ","))</f>
        <v>0.53527623000000002</v>
      </c>
      <c r="E62" s="4">
        <f>VALUE(SUBSTITUTE('1000_заявлений'!E56, ".", ","))</f>
        <v>0.65249729999999995</v>
      </c>
      <c r="F62" s="5">
        <f>VALUE(SUBSTITUTE('1000_заявлений'!F56, ".", ","))</f>
        <v>-7460</v>
      </c>
      <c r="G62" s="5">
        <f>VALUE(SUBSTITUTE('1000_заявлений'!G56, ".", ","))</f>
        <v>-19217</v>
      </c>
      <c r="H62" s="5">
        <f>VALUE(SUBSTITUTE('1000_заявлений'!H56, ".", ","))</f>
        <v>-2691</v>
      </c>
      <c r="I62" s="4">
        <f>VALUE(SUBSTITUTE('1000_заявлений'!I56, ".", ","))</f>
        <v>0.10578</v>
      </c>
      <c r="J62" s="4">
        <f>VALUE(SUBSTITUTE('1000_заявлений'!J56, ".", ","))</f>
        <v>1.55382250415887</v>
      </c>
      <c r="K62" s="5">
        <f>VALUE(SUBSTITUTE('1000_заявлений'!K56, ".", ","))</f>
        <v>-2935</v>
      </c>
      <c r="L62" s="6">
        <f>VALUE(SUBSTITUTE('1000_заявлений'!L56, ".", ","))</f>
        <v>23800.5</v>
      </c>
      <c r="M62" s="2" t="str">
        <f>IF(Данные6[[#This Row],[proba]]&gt;$C$6, "отказ", "одобрение")</f>
        <v>отказ</v>
      </c>
      <c r="N62" s="7">
        <f>IF(Данные6[[#This Row],[proba]]&lt;$D$2,$C$2,IF(Данные6[[#This Row],[proba]]&lt;$D$3,$C$3,IF(Данные6[[#This Row],[proba]]&gt;$C$6,0,$C$4)))</f>
        <v>0</v>
      </c>
      <c r="O62" s="2">
        <f>IF(Данные6[[#This Row],[weighted_ext_score]]&gt;$O$1,MIN(Данные6[[#This Row],[Базовая сумма]]*$O$2,$C$2),IF(Данные6[[#This Row],[weighted_ext_score]]&lt;$O$3,Данные6[[#This Row],[Базовая сумма]]*$O$4,N62))</f>
        <v>0</v>
      </c>
      <c r="P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2" s="2">
        <f>ABS(Данные6[[#This Row],[days_birth]])/365.2425</f>
        <v>52.614358953298151</v>
      </c>
      <c r="S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2" s="2">
        <f>IF(Данные6[[#This Row],[ interest_rate]]&gt;$T$1,Данные6[[#This Row],[days_birth4]]*$T$2,Данные6[[#This Row],[days_birth4]])</f>
        <v>0</v>
      </c>
      <c r="U62" s="2">
        <f>IF(Данные6[[#This Row],[Проверка отказа]]="отказ",0,MAX(Данные6[[#This Row],[interest_rate]],$C$1))</f>
        <v>0</v>
      </c>
      <c r="V62" s="2">
        <f>MROUND(Данные6[[#This Row],[Минимум 20000]], 100)</f>
        <v>0</v>
      </c>
    </row>
    <row r="63" spans="1:22" x14ac:dyDescent="0.25">
      <c r="A63" s="2">
        <f>'1000_заявлений'!A57</f>
        <v>55</v>
      </c>
      <c r="B63" s="4">
        <f>VALUE(SUBSTITUTE('1000_заявлений'!B57, ".", ","))</f>
        <v>0.47282833233508298</v>
      </c>
      <c r="C63" s="4">
        <f>VALUE(SUBSTITUTE('1000_заявлений'!C57, ".", ","))</f>
        <v>0.32442312657971101</v>
      </c>
      <c r="D63" s="4">
        <f>VALUE(SUBSTITUTE('1000_заявлений'!D57, ".", ","))</f>
        <v>0.19862004999999999</v>
      </c>
      <c r="E63" s="4">
        <f>VALUE(SUBSTITUTE('1000_заявлений'!E57, ".", ","))</f>
        <v>0.77869016000000002</v>
      </c>
      <c r="F63" s="5">
        <f>VALUE(SUBSTITUTE('1000_заявлений'!F57, ".", ","))</f>
        <v>-3358</v>
      </c>
      <c r="G63" s="5">
        <f>VALUE(SUBSTITUTE('1000_заявлений'!G57, ".", ","))</f>
        <v>-20632</v>
      </c>
      <c r="H63" s="5">
        <f>VALUE(SUBSTITUTE('1000_заявлений'!H57, ".", ","))</f>
        <v>-3886</v>
      </c>
      <c r="I63" s="4">
        <f>VALUE(SUBSTITUTE('1000_заявлений'!I57, ".", ","))</f>
        <v>0.21759999999999999</v>
      </c>
      <c r="J63" s="4">
        <f>VALUE(SUBSTITUTE('1000_заявлений'!J57, ".", ","))</f>
        <v>4.2767576040916504</v>
      </c>
      <c r="K63" s="5">
        <f>VALUE(SUBSTITUTE('1000_заявлений'!K57, ".", ","))</f>
        <v>365243</v>
      </c>
      <c r="L63" s="6">
        <f>VALUE(SUBSTITUTE('1000_заявлений'!L57, ".", ","))</f>
        <v>29376</v>
      </c>
      <c r="M63" s="2" t="str">
        <f>IF(Данные6[[#This Row],[proba]]&gt;$C$6, "отказ", "одобрение")</f>
        <v>отказ</v>
      </c>
      <c r="N63" s="7">
        <f>IF(Данные6[[#This Row],[proba]]&lt;$D$2,$C$2,IF(Данные6[[#This Row],[proba]]&lt;$D$3,$C$3,IF(Данные6[[#This Row],[proba]]&gt;$C$6,0,$C$4)))</f>
        <v>0</v>
      </c>
      <c r="O63" s="2">
        <f>IF(Данные6[[#This Row],[weighted_ext_score]]&gt;$O$1,MIN(Данные6[[#This Row],[Базовая сумма]]*$O$2,$C$2),IF(Данные6[[#This Row],[weighted_ext_score]]&lt;$O$3,Данные6[[#This Row],[Базовая сумма]]*$O$4,N63))</f>
        <v>0</v>
      </c>
      <c r="P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" s="2">
        <f>ABS(Данные6[[#This Row],[days_birth]])/365.2425</f>
        <v>56.488497368186891</v>
      </c>
      <c r="S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" s="2">
        <f>IF(Данные6[[#This Row],[ interest_rate]]&gt;$T$1,Данные6[[#This Row],[days_birth4]]*$T$2,Данные6[[#This Row],[days_birth4]])</f>
        <v>0</v>
      </c>
      <c r="U63" s="2">
        <f>IF(Данные6[[#This Row],[Проверка отказа]]="отказ",0,MAX(Данные6[[#This Row],[interest_rate]],$C$1))</f>
        <v>0</v>
      </c>
      <c r="V63" s="2">
        <f>MROUND(Данные6[[#This Row],[Минимум 20000]], 100)</f>
        <v>0</v>
      </c>
    </row>
    <row r="64" spans="1:22" x14ac:dyDescent="0.25">
      <c r="A64" s="2">
        <f>'1000_заявлений'!A58</f>
        <v>56</v>
      </c>
      <c r="B64" s="4">
        <f>VALUE(SUBSTITUTE('1000_заявлений'!B58, ".", ","))</f>
        <v>0.64742361146549998</v>
      </c>
      <c r="C64" s="4">
        <f>VALUE(SUBSTITUTE('1000_заявлений'!C58, ".", ","))</f>
        <v>0.26705611814039798</v>
      </c>
      <c r="D64" s="4">
        <f>VALUE(SUBSTITUTE('1000_заявлений'!D58, ".", ","))</f>
        <v>0.35895124</v>
      </c>
      <c r="E64" s="4">
        <f>VALUE(SUBSTITUTE('1000_заявлений'!E58, ".", ","))</f>
        <v>0.42307514000000002</v>
      </c>
      <c r="F64" s="5">
        <f>VALUE(SUBSTITUTE('1000_заявлений'!F58, ".", ","))</f>
        <v>-8789</v>
      </c>
      <c r="G64" s="5">
        <f>VALUE(SUBSTITUTE('1000_заявлений'!G58, ".", ","))</f>
        <v>-15839</v>
      </c>
      <c r="H64" s="5">
        <f>VALUE(SUBSTITUTE('1000_заявлений'!H58, ".", ","))</f>
        <v>-4949</v>
      </c>
      <c r="I64" s="4">
        <f>VALUE(SUBSTITUTE('1000_заявлений'!I58, ".", ","))</f>
        <v>0.30381818181818099</v>
      </c>
      <c r="J64" s="4">
        <f>VALUE(SUBSTITUTE('1000_заявлений'!J58, ".", ","))</f>
        <v>3.1702288732163102</v>
      </c>
      <c r="K64" s="5">
        <f>VALUE(SUBSTITUTE('1000_заявлений'!K58, ".", ","))</f>
        <v>-1391</v>
      </c>
      <c r="L64" s="6">
        <f>VALUE(SUBSTITUTE('1000_заявлений'!L58, ".", ","))</f>
        <v>30078</v>
      </c>
      <c r="M64" s="2" t="str">
        <f>IF(Данные6[[#This Row],[proba]]&gt;$C$6, "отказ", "одобрение")</f>
        <v>отказ</v>
      </c>
      <c r="N64" s="7">
        <f>IF(Данные6[[#This Row],[proba]]&lt;$D$2,$C$2,IF(Данные6[[#This Row],[proba]]&lt;$D$3,$C$3,IF(Данные6[[#This Row],[proba]]&gt;$C$6,0,$C$4)))</f>
        <v>0</v>
      </c>
      <c r="O64" s="2">
        <f>IF(Данные6[[#This Row],[weighted_ext_score]]&gt;$O$1,MIN(Данные6[[#This Row],[Базовая сумма]]*$O$2,$C$2),IF(Данные6[[#This Row],[weighted_ext_score]]&lt;$O$3,Данные6[[#This Row],[Базовая сумма]]*$O$4,N64))</f>
        <v>0</v>
      </c>
      <c r="P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" s="2">
        <f>ABS(Данные6[[#This Row],[days_birth]])/365.2425</f>
        <v>43.365709083690973</v>
      </c>
      <c r="S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" s="2">
        <f>IF(Данные6[[#This Row],[ interest_rate]]&gt;$T$1,Данные6[[#This Row],[days_birth4]]*$T$2,Данные6[[#This Row],[days_birth4]])</f>
        <v>0</v>
      </c>
      <c r="U64" s="2">
        <f>IF(Данные6[[#This Row],[Проверка отказа]]="отказ",0,MAX(Данные6[[#This Row],[interest_rate]],$C$1))</f>
        <v>0</v>
      </c>
      <c r="V64" s="2">
        <f>MROUND(Данные6[[#This Row],[Минимум 20000]], 100)</f>
        <v>0</v>
      </c>
    </row>
    <row r="65" spans="1:22" x14ac:dyDescent="0.25">
      <c r="A65" s="2">
        <f>'1000_заявлений'!A59</f>
        <v>57</v>
      </c>
      <c r="B65" s="4">
        <f>VALUE(SUBSTITUTE('1000_заявлений'!B59, ".", ","))</f>
        <v>0.65929076181875002</v>
      </c>
      <c r="C65" s="4">
        <f>VALUE(SUBSTITUTE('1000_заявлений'!C59, ".", ","))</f>
        <v>0.40202187488593299</v>
      </c>
      <c r="D65" s="4">
        <f>VALUE(SUBSTITUTE('1000_заявлений'!D59, ".", ","))</f>
        <v>0.20092608000000001</v>
      </c>
      <c r="E65" s="4">
        <f>VALUE(SUBSTITUTE('1000_заявлений'!E59, ".", ","))</f>
        <v>0.36729494000000001</v>
      </c>
      <c r="F65" s="5">
        <f>VALUE(SUBSTITUTE('1000_заявлений'!F59, ".", ","))</f>
        <v>-7667</v>
      </c>
      <c r="G65" s="5">
        <f>VALUE(SUBSTITUTE('1000_заявлений'!G59, ".", ","))</f>
        <v>-13521</v>
      </c>
      <c r="H65" s="5">
        <f>VALUE(SUBSTITUTE('1000_заявлений'!H59, ".", ","))</f>
        <v>-4589</v>
      </c>
      <c r="I65" s="4">
        <f>VALUE(SUBSTITUTE('1000_заявлений'!I59, ".", ","))</f>
        <v>2.3841666666666601E-2</v>
      </c>
      <c r="J65" s="4">
        <f>VALUE(SUBSTITUTE('1000_заявлений'!J59, ".", ","))</f>
        <v>0.18626351069559399</v>
      </c>
      <c r="K65" s="5">
        <f>VALUE(SUBSTITUTE('1000_заявлений'!K59, ".", ","))</f>
        <v>-3715</v>
      </c>
      <c r="L65" s="6">
        <f>VALUE(SUBSTITUTE('1000_заявлений'!L59, ".", ","))</f>
        <v>12874.5</v>
      </c>
      <c r="M65" s="2" t="str">
        <f>IF(Данные6[[#This Row],[proba]]&gt;$C$6, "отказ", "одобрение")</f>
        <v>отказ</v>
      </c>
      <c r="N65" s="7">
        <f>IF(Данные6[[#This Row],[proba]]&lt;$D$2,$C$2,IF(Данные6[[#This Row],[proba]]&lt;$D$3,$C$3,IF(Данные6[[#This Row],[proba]]&gt;$C$6,0,$C$4)))</f>
        <v>0</v>
      </c>
      <c r="O65" s="2">
        <f>IF(Данные6[[#This Row],[weighted_ext_score]]&gt;$O$1,MIN(Данные6[[#This Row],[Базовая сумма]]*$O$2,$C$2),IF(Данные6[[#This Row],[weighted_ext_score]]&lt;$O$3,Данные6[[#This Row],[Базовая сумма]]*$O$4,N65))</f>
        <v>0</v>
      </c>
      <c r="P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" s="2">
        <f>ABS(Данные6[[#This Row],[days_birth]])/365.2425</f>
        <v>37.019240641491614</v>
      </c>
      <c r="S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" s="2">
        <f>IF(Данные6[[#This Row],[ interest_rate]]&gt;$T$1,Данные6[[#This Row],[days_birth4]]*$T$2,Данные6[[#This Row],[days_birth4]])</f>
        <v>0</v>
      </c>
      <c r="U65" s="2">
        <f>IF(Данные6[[#This Row],[Проверка отказа]]="отказ",0,MAX(Данные6[[#This Row],[interest_rate]],$C$1))</f>
        <v>0</v>
      </c>
      <c r="V65" s="2">
        <f>MROUND(Данные6[[#This Row],[Минимум 20000]], 100)</f>
        <v>0</v>
      </c>
    </row>
    <row r="66" spans="1:22" x14ac:dyDescent="0.25">
      <c r="A66" s="2">
        <f>'1000_заявлений'!A60</f>
        <v>58</v>
      </c>
      <c r="B66" s="4">
        <f>VALUE(SUBSTITUTE('1000_заявлений'!B60, ".", ","))</f>
        <v>0.37135696018444803</v>
      </c>
      <c r="C66" s="4">
        <f>VALUE(SUBSTITUTE('1000_заявлений'!C60, ".", ","))</f>
        <v>0.392653223966419</v>
      </c>
      <c r="D66" s="4">
        <f>VALUE(SUBSTITUTE('1000_заявлений'!D60, ".", ","))</f>
        <v>0.59892624999999999</v>
      </c>
      <c r="E66" s="4">
        <f>VALUE(SUBSTITUTE('1000_заявлений'!E60, ".", ","))</f>
        <v>0.54270879999999999</v>
      </c>
      <c r="F66" s="5">
        <f>VALUE(SUBSTITUTE('1000_заявлений'!F60, ".", ","))</f>
        <v>-1340</v>
      </c>
      <c r="G66" s="5">
        <f>VALUE(SUBSTITUTE('1000_заявлений'!G60, ".", ","))</f>
        <v>-19731</v>
      </c>
      <c r="H66" s="5">
        <f>VALUE(SUBSTITUTE('1000_заявлений'!H60, ".", ","))</f>
        <v>-3272</v>
      </c>
      <c r="I66" s="4">
        <f>VALUE(SUBSTITUTE('1000_заявлений'!I60, ".", ","))</f>
        <v>0.12772</v>
      </c>
      <c r="J66" s="4">
        <f>VALUE(SUBSTITUTE('1000_заявлений'!J60, ".", ","))</f>
        <v>2.0392096045054502</v>
      </c>
      <c r="K66" s="5">
        <f>VALUE(SUBSTITUTE('1000_заявлений'!K60, ".", ","))</f>
        <v>-3282</v>
      </c>
      <c r="L66" s="6">
        <f>VALUE(SUBSTITUTE('1000_заявлений'!L60, ".", ","))</f>
        <v>28737</v>
      </c>
      <c r="M66" s="2" t="str">
        <f>IF(Данные6[[#This Row],[proba]]&gt;$C$6, "отказ", "одобрение")</f>
        <v>отказ</v>
      </c>
      <c r="N66" s="7">
        <f>IF(Данные6[[#This Row],[proba]]&lt;$D$2,$C$2,IF(Данные6[[#This Row],[proba]]&lt;$D$3,$C$3,IF(Данные6[[#This Row],[proba]]&gt;$C$6,0,$C$4)))</f>
        <v>0</v>
      </c>
      <c r="O66" s="2">
        <f>IF(Данные6[[#This Row],[weighted_ext_score]]&gt;$O$1,MIN(Данные6[[#This Row],[Базовая сумма]]*$O$2,$C$2),IF(Данные6[[#This Row],[weighted_ext_score]]&lt;$O$3,Данные6[[#This Row],[Базовая сумма]]*$O$4,N66))</f>
        <v>0</v>
      </c>
      <c r="P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" s="2">
        <f>ABS(Данные6[[#This Row],[days_birth]])/365.2425</f>
        <v>54.021643154890242</v>
      </c>
      <c r="S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" s="2">
        <f>IF(Данные6[[#This Row],[ interest_rate]]&gt;$T$1,Данные6[[#This Row],[days_birth4]]*$T$2,Данные6[[#This Row],[days_birth4]])</f>
        <v>0</v>
      </c>
      <c r="U66" s="2">
        <f>IF(Данные6[[#This Row],[Проверка отказа]]="отказ",0,MAX(Данные6[[#This Row],[interest_rate]],$C$1))</f>
        <v>0</v>
      </c>
      <c r="V66" s="2">
        <f>MROUND(Данные6[[#This Row],[Минимум 20000]], 100)</f>
        <v>0</v>
      </c>
    </row>
    <row r="67" spans="1:22" x14ac:dyDescent="0.25">
      <c r="A67" s="2">
        <f>'1000_заявлений'!A61</f>
        <v>59</v>
      </c>
      <c r="B67" s="4">
        <f>VALUE(SUBSTITUTE('1000_заявлений'!B61, ".", ","))</f>
        <v>0.27644499183979299</v>
      </c>
      <c r="C67" s="4">
        <f>VALUE(SUBSTITUTE('1000_заявлений'!C61, ".", ","))</f>
        <v>0.65950318715607503</v>
      </c>
      <c r="D67" s="4">
        <f>VALUE(SUBSTITUTE('1000_заявлений'!D61, ".", ","))</f>
        <v>0.33767269999999999</v>
      </c>
      <c r="E67" s="4">
        <f>VALUE(SUBSTITUTE('1000_заявлений'!E61, ".", ","))</f>
        <v>0.78938909999999995</v>
      </c>
      <c r="F67" s="5">
        <f>VALUE(SUBSTITUTE('1000_заявлений'!F61, ".", ","))</f>
        <v>-157</v>
      </c>
      <c r="G67" s="5">
        <f>VALUE(SUBSTITUTE('1000_заявлений'!G61, ".", ","))</f>
        <v>-20390</v>
      </c>
      <c r="H67" s="5">
        <f>VALUE(SUBSTITUTE('1000_заявлений'!H61, ".", ","))</f>
        <v>-3906</v>
      </c>
      <c r="I67" s="4">
        <f>VALUE(SUBSTITUTE('1000_заявлений'!I61, ".", ","))</f>
        <v>0.137862068965517</v>
      </c>
      <c r="J67" s="4">
        <f>VALUE(SUBSTITUTE('1000_заявлений'!J61, ".", ","))</f>
        <v>2.9928653278581798</v>
      </c>
      <c r="K67" s="5">
        <f>VALUE(SUBSTITUTE('1000_заявлений'!K61, ".", ","))</f>
        <v>-5326</v>
      </c>
      <c r="L67" s="6">
        <f>VALUE(SUBSTITUTE('1000_заявлений'!L61, ".", ","))</f>
        <v>35982</v>
      </c>
      <c r="M67" s="2" t="str">
        <f>IF(Данные6[[#This Row],[proba]]&gt;$C$6, "отказ", "одобрение")</f>
        <v>одобрение</v>
      </c>
      <c r="N67" s="7">
        <f>IF(Данные6[[#This Row],[proba]]&lt;$D$2,$C$2,IF(Данные6[[#This Row],[proba]]&lt;$D$3,$C$3,IF(Данные6[[#This Row],[proba]]&gt;$C$6,0,$C$4)))</f>
        <v>50000</v>
      </c>
      <c r="O67" s="2">
        <f>IF(Данные6[[#This Row],[weighted_ext_score]]&gt;$O$1,MIN(Данные6[[#This Row],[Базовая сумма]]*$O$2,$C$2),IF(Данные6[[#This Row],[weighted_ext_score]]&lt;$O$3,Данные6[[#This Row],[Базовая сумма]]*$O$4,N67))</f>
        <v>50000</v>
      </c>
      <c r="P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67" s="2">
        <f>ABS(Данные6[[#This Row],[days_birth]])/365.2425</f>
        <v>55.825923872495672</v>
      </c>
      <c r="S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63000</v>
      </c>
      <c r="T67" s="2">
        <f>IF(Данные6[[#This Row],[ interest_rate]]&gt;$T$1,Данные6[[#This Row],[days_birth4]]*$T$2,Данные6[[#This Row],[days_birth4]])</f>
        <v>63000</v>
      </c>
      <c r="U67" s="2">
        <f>IF(Данные6[[#This Row],[Проверка отказа]]="отказ",0,MAX(Данные6[[#This Row],[interest_rate]],$C$1))</f>
        <v>63000</v>
      </c>
      <c r="V67" s="2">
        <f>MROUND(Данные6[[#This Row],[Минимум 20000]], 100)</f>
        <v>63000</v>
      </c>
    </row>
    <row r="68" spans="1:22" x14ac:dyDescent="0.25">
      <c r="A68" s="2">
        <f>'1000_заявлений'!A62</f>
        <v>60</v>
      </c>
      <c r="B68" s="4">
        <f>VALUE(SUBSTITUTE('1000_заявлений'!B62, ".", ","))</f>
        <v>0.59329295270733395</v>
      </c>
      <c r="C68" s="4">
        <f>VALUE(SUBSTITUTE('1000_заявлений'!C62, ".", ","))</f>
        <v>0.416153746434758</v>
      </c>
      <c r="D68" s="4">
        <f>VALUE(SUBSTITUTE('1000_заявлений'!D62, ".", ","))</f>
        <v>0.27500036</v>
      </c>
      <c r="E68" s="4">
        <f>VALUE(SUBSTITUTE('1000_заявлений'!E62, ".", ","))</f>
        <v>0.55809739999999997</v>
      </c>
      <c r="F68" s="5">
        <f>VALUE(SUBSTITUTE('1000_заявлений'!F62, ".", ","))</f>
        <v>-6</v>
      </c>
      <c r="G68" s="5">
        <f>VALUE(SUBSTITUTE('1000_заявлений'!G62, ".", ","))</f>
        <v>-15994</v>
      </c>
      <c r="H68" s="5">
        <f>VALUE(SUBSTITUTE('1000_заявлений'!H62, ".", ","))</f>
        <v>-4904</v>
      </c>
      <c r="I68" s="4">
        <f>VALUE(SUBSTITUTE('1000_заявлений'!I62, ".", ","))</f>
        <v>0.33600000000000002</v>
      </c>
      <c r="J68" s="4">
        <f>VALUE(SUBSTITUTE('1000_заявлений'!J62, ".", ","))</f>
        <v>1.7926354583625901</v>
      </c>
      <c r="K68" s="5">
        <f>VALUE(SUBSTITUTE('1000_заявлений'!K62, ".", ","))</f>
        <v>-290</v>
      </c>
      <c r="L68" s="6">
        <f>VALUE(SUBSTITUTE('1000_заявлений'!L62, ".", ","))</f>
        <v>37800</v>
      </c>
      <c r="M68" s="2" t="str">
        <f>IF(Данные6[[#This Row],[proba]]&gt;$C$6, "отказ", "одобрение")</f>
        <v>отказ</v>
      </c>
      <c r="N68" s="7">
        <f>IF(Данные6[[#This Row],[proba]]&lt;$D$2,$C$2,IF(Данные6[[#This Row],[proba]]&lt;$D$3,$C$3,IF(Данные6[[#This Row],[proba]]&gt;$C$6,0,$C$4)))</f>
        <v>0</v>
      </c>
      <c r="O68" s="2">
        <f>IF(Данные6[[#This Row],[weighted_ext_score]]&gt;$O$1,MIN(Данные6[[#This Row],[Базовая сумма]]*$O$2,$C$2),IF(Данные6[[#This Row],[weighted_ext_score]]&lt;$O$3,Данные6[[#This Row],[Базовая сумма]]*$O$4,N68))</f>
        <v>0</v>
      </c>
      <c r="P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" s="2">
        <f>ABS(Данные6[[#This Row],[days_birth]])/365.2425</f>
        <v>43.790084669774188</v>
      </c>
      <c r="S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" s="2">
        <f>IF(Данные6[[#This Row],[ interest_rate]]&gt;$T$1,Данные6[[#This Row],[days_birth4]]*$T$2,Данные6[[#This Row],[days_birth4]])</f>
        <v>0</v>
      </c>
      <c r="U68" s="2">
        <f>IF(Данные6[[#This Row],[Проверка отказа]]="отказ",0,MAX(Данные6[[#This Row],[interest_rate]],$C$1))</f>
        <v>0</v>
      </c>
      <c r="V68" s="2">
        <f>MROUND(Данные6[[#This Row],[Минимум 20000]], 100)</f>
        <v>0</v>
      </c>
    </row>
    <row r="69" spans="1:22" x14ac:dyDescent="0.25">
      <c r="A69" s="2">
        <f>'1000_заявлений'!A63</f>
        <v>61</v>
      </c>
      <c r="B69" s="4">
        <f>VALUE(SUBSTITUTE('1000_заявлений'!B63, ".", ","))</f>
        <v>0.26147767454620802</v>
      </c>
      <c r="C69" s="4">
        <f>VALUE(SUBSTITUTE('1000_заявлений'!C63, ".", ","))</f>
        <v>0.532531027550606</v>
      </c>
      <c r="D69" s="4">
        <f>VALUE(SUBSTITUTE('1000_заявлений'!D63, ".", ","))</f>
        <v>0.68482770000000004</v>
      </c>
      <c r="E69" s="4">
        <f>VALUE(SUBSTITUTE('1000_заявлений'!E63, ".", ","))</f>
        <v>0.6255349</v>
      </c>
      <c r="F69" s="5">
        <f>VALUE(SUBSTITUTE('1000_заявлений'!F63, ".", ","))</f>
        <v>-10249</v>
      </c>
      <c r="G69" s="5">
        <f>VALUE(SUBSTITUTE('1000_заявлений'!G63, ".", ","))</f>
        <v>-11533</v>
      </c>
      <c r="H69" s="5">
        <f>VALUE(SUBSTITUTE('1000_заявлений'!H63, ".", ","))</f>
        <v>-3764</v>
      </c>
      <c r="I69" s="4">
        <f>VALUE(SUBSTITUTE('1000_заявлений'!I63, ".", ","))</f>
        <v>0.18677777777777699</v>
      </c>
      <c r="J69" s="4">
        <f>VALUE(SUBSTITUTE('1000_заявлений'!J63, ".", ","))</f>
        <v>6.80456684195791</v>
      </c>
      <c r="K69" s="5">
        <f>VALUE(SUBSTITUTE('1000_заявлений'!K63, ".", ","))</f>
        <v>-4063</v>
      </c>
      <c r="L69" s="6">
        <f>VALUE(SUBSTITUTE('1000_заявлений'!L63, ".", ","))</f>
        <v>22693.5</v>
      </c>
      <c r="M69" s="2" t="str">
        <f>IF(Данные6[[#This Row],[proba]]&gt;$C$6, "отказ", "одобрение")</f>
        <v>одобрение</v>
      </c>
      <c r="N69" s="7">
        <f>IF(Данные6[[#This Row],[proba]]&lt;$D$2,$C$2,IF(Данные6[[#This Row],[proba]]&lt;$D$3,$C$3,IF(Данные6[[#This Row],[proba]]&gt;$C$6,0,$C$4)))</f>
        <v>50000</v>
      </c>
      <c r="O69" s="2">
        <f>IF(Данные6[[#This Row],[weighted_ext_score]]&gt;$O$1,MIN(Данные6[[#This Row],[Базовая сумма]]*$O$2,$C$2),IF(Данные6[[#This Row],[weighted_ext_score]]&lt;$O$3,Данные6[[#This Row],[Базовая сумма]]*$O$4,N69))</f>
        <v>50000</v>
      </c>
      <c r="P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69" s="2">
        <f>ABS(Данные6[[#This Row],[days_birth]])/365.2425</f>
        <v>31.576281511598459</v>
      </c>
      <c r="S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69" s="2">
        <f>IF(Данные6[[#This Row],[ interest_rate]]&gt;$T$1,Данные6[[#This Row],[days_birth4]]*$T$2,Данные6[[#This Row],[days_birth4]])</f>
        <v>60000</v>
      </c>
      <c r="U69" s="2">
        <f>IF(Данные6[[#This Row],[Проверка отказа]]="отказ",0,MAX(Данные6[[#This Row],[interest_rate]],$C$1))</f>
        <v>60000</v>
      </c>
      <c r="V69" s="2">
        <f>MROUND(Данные6[[#This Row],[Минимум 20000]], 100)</f>
        <v>60000</v>
      </c>
    </row>
    <row r="70" spans="1:22" x14ac:dyDescent="0.25">
      <c r="A70" s="2">
        <f>'1000_заявлений'!A64</f>
        <v>62</v>
      </c>
      <c r="B70" s="4">
        <f>VALUE(SUBSTITUTE('1000_заявлений'!B64, ".", ","))</f>
        <v>0.88689439906327905</v>
      </c>
      <c r="C70" s="4">
        <f>VALUE(SUBSTITUTE('1000_заявлений'!C64, ".", ","))</f>
        <v>6.2626337505788304E-2</v>
      </c>
      <c r="D70" s="4">
        <f>VALUE(SUBSTITUTE('1000_заявлений'!D64, ".", ","))</f>
        <v>0.16048893</v>
      </c>
      <c r="E70" s="4">
        <f>VALUE(SUBSTITUTE('1000_заявлений'!E64, ".", ","))</f>
        <v>1.4128651000000001E-2</v>
      </c>
      <c r="F70" s="5">
        <f>VALUE(SUBSTITUTE('1000_заявлений'!F64, ".", ","))</f>
        <v>-3711</v>
      </c>
      <c r="G70" s="5">
        <f>VALUE(SUBSTITUTE('1000_заявлений'!G64, ".", ","))</f>
        <v>-14250</v>
      </c>
      <c r="H70" s="5">
        <f>VALUE(SUBSTITUTE('1000_заявлений'!H64, ".", ","))</f>
        <v>-5027</v>
      </c>
      <c r="I70" s="4">
        <f>VALUE(SUBSTITUTE('1000_заявлений'!I64, ".", ","))</f>
        <v>0.14099999999999999</v>
      </c>
      <c r="J70" s="4">
        <f>VALUE(SUBSTITUTE('1000_заявлений'!J64, ".", ","))</f>
        <v>3.66949904978972</v>
      </c>
      <c r="K70" s="5">
        <f>VALUE(SUBSTITUTE('1000_заявлений'!K64, ".", ","))</f>
        <v>-664</v>
      </c>
      <c r="L70" s="6">
        <f>VALUE(SUBSTITUTE('1000_заявлений'!L64, ".", ","))</f>
        <v>19035</v>
      </c>
      <c r="M70" s="2" t="str">
        <f>IF(Данные6[[#This Row],[proba]]&gt;$C$6, "отказ", "одобрение")</f>
        <v>отказ</v>
      </c>
      <c r="N70" s="7">
        <f>IF(Данные6[[#This Row],[proba]]&lt;$D$2,$C$2,IF(Данные6[[#This Row],[proba]]&lt;$D$3,$C$3,IF(Данные6[[#This Row],[proba]]&gt;$C$6,0,$C$4)))</f>
        <v>0</v>
      </c>
      <c r="O70" s="2">
        <f>IF(Данные6[[#This Row],[weighted_ext_score]]&gt;$O$1,MIN(Данные6[[#This Row],[Базовая сумма]]*$O$2,$C$2),IF(Данные6[[#This Row],[weighted_ext_score]]&lt;$O$3,Данные6[[#This Row],[Базовая сумма]]*$O$4,N70))</f>
        <v>0</v>
      </c>
      <c r="P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0" s="2">
        <f>ABS(Данные6[[#This Row],[days_birth]])/365.2425</f>
        <v>39.015174849586231</v>
      </c>
      <c r="S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0" s="2">
        <f>IF(Данные6[[#This Row],[ interest_rate]]&gt;$T$1,Данные6[[#This Row],[days_birth4]]*$T$2,Данные6[[#This Row],[days_birth4]])</f>
        <v>0</v>
      </c>
      <c r="U70" s="2">
        <f>IF(Данные6[[#This Row],[Проверка отказа]]="отказ",0,MAX(Данные6[[#This Row],[interest_rate]],$C$1))</f>
        <v>0</v>
      </c>
      <c r="V70" s="2">
        <f>MROUND(Данные6[[#This Row],[Минимум 20000]], 100)</f>
        <v>0</v>
      </c>
    </row>
    <row r="71" spans="1:22" x14ac:dyDescent="0.25">
      <c r="A71" s="2">
        <f>'1000_заявлений'!A65</f>
        <v>63</v>
      </c>
      <c r="B71" s="4">
        <f>VALUE(SUBSTITUTE('1000_заявлений'!B65, ".", ","))</f>
        <v>0.188485319894172</v>
      </c>
      <c r="C71" s="4">
        <f>VALUE(SUBSTITUTE('1000_заявлений'!C65, ".", ","))</f>
        <v>0.45719031340285599</v>
      </c>
      <c r="D71" s="4">
        <f>VALUE(SUBSTITUTE('1000_заявлений'!D65, ".", ","))</f>
        <v>0.70320329999999998</v>
      </c>
      <c r="E71" s="4">
        <f>VALUE(SUBSTITUTE('1000_заявлений'!E65, ".", ","))</f>
        <v>0.62540169999999995</v>
      </c>
      <c r="F71" s="5">
        <f>VALUE(SUBSTITUTE('1000_заявлений'!F65, ".", ","))</f>
        <v>-13299</v>
      </c>
      <c r="G71" s="5">
        <f>VALUE(SUBSTITUTE('1000_заявлений'!G65, ".", ","))</f>
        <v>-22689</v>
      </c>
      <c r="H71" s="5">
        <f>VALUE(SUBSTITUTE('1000_заявлений'!H65, ".", ","))</f>
        <v>-5200</v>
      </c>
      <c r="I71" s="4">
        <f>VALUE(SUBSTITUTE('1000_заявлений'!I65, ".", ","))</f>
        <v>0.18955645161290299</v>
      </c>
      <c r="J71" s="4">
        <f>VALUE(SUBSTITUTE('1000_заявлений'!J65, ".", ","))</f>
        <v>6.1514678974473096</v>
      </c>
      <c r="K71" s="5">
        <f>VALUE(SUBSTITUTE('1000_заявлений'!K65, ".", ","))</f>
        <v>365243</v>
      </c>
      <c r="L71" s="6">
        <f>VALUE(SUBSTITUTE('1000_заявлений'!L65, ".", ","))</f>
        <v>21154.5</v>
      </c>
      <c r="M71" s="2" t="str">
        <f>IF(Данные6[[#This Row],[proba]]&gt;$C$6, "отказ", "одобрение")</f>
        <v>одобрение</v>
      </c>
      <c r="N71" s="7">
        <f>IF(Данные6[[#This Row],[proba]]&lt;$D$2,$C$2,IF(Данные6[[#This Row],[proba]]&lt;$D$3,$C$3,IF(Данные6[[#This Row],[proba]]&gt;$C$6,0,$C$4)))</f>
        <v>200000</v>
      </c>
      <c r="O71" s="2">
        <f>IF(Данные6[[#This Row],[weighted_ext_score]]&gt;$O$1,MIN(Данные6[[#This Row],[Базовая сумма]]*$O$2,$C$2),IF(Данные6[[#This Row],[weighted_ext_score]]&lt;$O$3,Данные6[[#This Row],[Базовая сумма]]*$O$4,N71))</f>
        <v>160000</v>
      </c>
      <c r="P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71" s="2">
        <f>ABS(Данные6[[#This Row],[days_birth]])/365.2425</f>
        <v>62.120372081562252</v>
      </c>
      <c r="S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71" s="2">
        <f>IF(Данные6[[#This Row],[ interest_rate]]&gt;$T$1,Данные6[[#This Row],[days_birth4]]*$T$2,Данные6[[#This Row],[days_birth4]])</f>
        <v>168000</v>
      </c>
      <c r="U71" s="2">
        <f>IF(Данные6[[#This Row],[Проверка отказа]]="отказ",0,MAX(Данные6[[#This Row],[interest_rate]],$C$1))</f>
        <v>168000</v>
      </c>
      <c r="V71" s="2">
        <f>MROUND(Данные6[[#This Row],[Минимум 20000]], 100)</f>
        <v>168000</v>
      </c>
    </row>
    <row r="72" spans="1:22" x14ac:dyDescent="0.25">
      <c r="A72" s="2">
        <f>'1000_заявлений'!A66</f>
        <v>64</v>
      </c>
      <c r="B72" s="4">
        <f>VALUE(SUBSTITUTE('1000_заявлений'!B66, ".", ","))</f>
        <v>0.437506135497231</v>
      </c>
      <c r="C72" s="4">
        <f>VALUE(SUBSTITUTE('1000_заявлений'!C66, ".", ","))</f>
        <v>0.24967281635077801</v>
      </c>
      <c r="D72" s="4">
        <f>VALUE(SUBSTITUTE('1000_заявлений'!D66, ".", ","))</f>
        <v>0.53527623000000002</v>
      </c>
      <c r="E72" s="4">
        <f>VALUE(SUBSTITUTE('1000_заявлений'!E66, ".", ","))</f>
        <v>0.76969980000000005</v>
      </c>
      <c r="F72" s="5">
        <f>VALUE(SUBSTITUTE('1000_заявлений'!F66, ".", ","))</f>
        <v>-4202</v>
      </c>
      <c r="G72" s="5">
        <f>VALUE(SUBSTITUTE('1000_заявлений'!G66, ".", ","))</f>
        <v>-12252</v>
      </c>
      <c r="H72" s="5">
        <f>VALUE(SUBSTITUTE('1000_заявлений'!H66, ".", ","))</f>
        <v>-4197</v>
      </c>
      <c r="I72" s="4">
        <f>VALUE(SUBSTITUTE('1000_заявлений'!I66, ".", ","))</f>
        <v>0.25185000000000002</v>
      </c>
      <c r="J72" s="4">
        <f>VALUE(SUBSTITUTE('1000_заявлений'!J66, ".", ","))</f>
        <v>1.7518996957527999</v>
      </c>
      <c r="K72" s="5">
        <f>VALUE(SUBSTITUTE('1000_заявлений'!K66, ".", ","))</f>
        <v>-2662</v>
      </c>
      <c r="L72" s="6">
        <f>VALUE(SUBSTITUTE('1000_заявлений'!L66, ".", ","))</f>
        <v>45333</v>
      </c>
      <c r="M72" s="2" t="str">
        <f>IF(Данные6[[#This Row],[proba]]&gt;$C$6, "отказ", "одобрение")</f>
        <v>отказ</v>
      </c>
      <c r="N72" s="7">
        <f>IF(Данные6[[#This Row],[proba]]&lt;$D$2,$C$2,IF(Данные6[[#This Row],[proba]]&lt;$D$3,$C$3,IF(Данные6[[#This Row],[proba]]&gt;$C$6,0,$C$4)))</f>
        <v>0</v>
      </c>
      <c r="O72" s="2">
        <f>IF(Данные6[[#This Row],[weighted_ext_score]]&gt;$O$1,MIN(Данные6[[#This Row],[Базовая сумма]]*$O$2,$C$2),IF(Данные6[[#This Row],[weighted_ext_score]]&lt;$O$3,Данные6[[#This Row],[Базовая сумма]]*$O$4,N72))</f>
        <v>0</v>
      </c>
      <c r="P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" s="2">
        <f>ABS(Данные6[[#This Row],[days_birth]])/365.2425</f>
        <v>33.544836649623193</v>
      </c>
      <c r="S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" s="2">
        <f>IF(Данные6[[#This Row],[ interest_rate]]&gt;$T$1,Данные6[[#This Row],[days_birth4]]*$T$2,Данные6[[#This Row],[days_birth4]])</f>
        <v>0</v>
      </c>
      <c r="U72" s="2">
        <f>IF(Данные6[[#This Row],[Проверка отказа]]="отказ",0,MAX(Данные6[[#This Row],[interest_rate]],$C$1))</f>
        <v>0</v>
      </c>
      <c r="V72" s="2">
        <f>MROUND(Данные6[[#This Row],[Минимум 20000]], 100)</f>
        <v>0</v>
      </c>
    </row>
    <row r="73" spans="1:22" x14ac:dyDescent="0.25">
      <c r="A73" s="2">
        <f>'1000_заявлений'!A67</f>
        <v>65</v>
      </c>
      <c r="B73" s="4">
        <f>VALUE(SUBSTITUTE('1000_заявлений'!B67, ".", ","))</f>
        <v>0.36958203364974002</v>
      </c>
      <c r="C73" s="4">
        <f>VALUE(SUBSTITUTE('1000_заявлений'!C67, ".", ","))</f>
        <v>0.38982580855879301</v>
      </c>
      <c r="D73" s="4">
        <f>VALUE(SUBSTITUTE('1000_заявлений'!D67, ".", ","))</f>
        <v>0.61099130000000001</v>
      </c>
      <c r="E73" s="4">
        <f>VALUE(SUBSTITUTE('1000_заявлений'!E67, ".", ","))</f>
        <v>0.52054036000000004</v>
      </c>
      <c r="F73" s="5">
        <f>VALUE(SUBSTITUTE('1000_заявлений'!F67, ".", ","))</f>
        <v>-4583</v>
      </c>
      <c r="G73" s="5">
        <f>VALUE(SUBSTITUTE('1000_заявлений'!G67, ".", ","))</f>
        <v>-19389</v>
      </c>
      <c r="H73" s="5">
        <f>VALUE(SUBSTITUTE('1000_заявлений'!H67, ".", ","))</f>
        <v>-2921</v>
      </c>
      <c r="I73" s="4">
        <f>VALUE(SUBSTITUTE('1000_заявлений'!I67, ".", ","))</f>
        <v>7.22E-2</v>
      </c>
      <c r="J73" s="4">
        <f>VALUE(SUBSTITUTE('1000_заявлений'!J67, ".", ","))</f>
        <v>3.5200104837707298</v>
      </c>
      <c r="K73" s="5">
        <f>VALUE(SUBSTITUTE('1000_заявлений'!K67, ".", ","))</f>
        <v>-7472</v>
      </c>
      <c r="L73" s="6">
        <f>VALUE(SUBSTITUTE('1000_заявлений'!L67, ".", ","))</f>
        <v>4873.5</v>
      </c>
      <c r="M73" s="2" t="str">
        <f>IF(Данные6[[#This Row],[proba]]&gt;$C$6, "отказ", "одобрение")</f>
        <v>отказ</v>
      </c>
      <c r="N73" s="7">
        <f>IF(Данные6[[#This Row],[proba]]&lt;$D$2,$C$2,IF(Данные6[[#This Row],[proba]]&lt;$D$3,$C$3,IF(Данные6[[#This Row],[proba]]&gt;$C$6,0,$C$4)))</f>
        <v>0</v>
      </c>
      <c r="O73" s="2">
        <f>IF(Данные6[[#This Row],[weighted_ext_score]]&gt;$O$1,MIN(Данные6[[#This Row],[Базовая сумма]]*$O$2,$C$2),IF(Данные6[[#This Row],[weighted_ext_score]]&lt;$O$3,Данные6[[#This Row],[Базовая сумма]]*$O$4,N73))</f>
        <v>0</v>
      </c>
      <c r="P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" s="2">
        <f>ABS(Данные6[[#This Row],[days_birth]])/365.2425</f>
        <v>53.085278958500176</v>
      </c>
      <c r="S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" s="2">
        <f>IF(Данные6[[#This Row],[ interest_rate]]&gt;$T$1,Данные6[[#This Row],[days_birth4]]*$T$2,Данные6[[#This Row],[days_birth4]])</f>
        <v>0</v>
      </c>
      <c r="U73" s="2">
        <f>IF(Данные6[[#This Row],[Проверка отказа]]="отказ",0,MAX(Данные6[[#This Row],[interest_rate]],$C$1))</f>
        <v>0</v>
      </c>
      <c r="V73" s="2">
        <f>MROUND(Данные6[[#This Row],[Минимум 20000]], 100)</f>
        <v>0</v>
      </c>
    </row>
    <row r="74" spans="1:22" x14ac:dyDescent="0.25">
      <c r="A74" s="2">
        <f>'1000_заявлений'!A68</f>
        <v>66</v>
      </c>
      <c r="B74" s="4">
        <f>VALUE(SUBSTITUTE('1000_заявлений'!B68, ".", ","))</f>
        <v>0.31508447921201299</v>
      </c>
      <c r="C74" s="4">
        <f>VALUE(SUBSTITUTE('1000_заявлений'!C68, ".", ","))</f>
        <v>0.60774784950354899</v>
      </c>
      <c r="D74" s="4">
        <f>VALUE(SUBSTITUTE('1000_заявлений'!D68, ".", ","))</f>
        <v>0.41184854999999998</v>
      </c>
      <c r="E74" s="4">
        <f>VALUE(SUBSTITUTE('1000_заявлений'!E68, ".", ","))</f>
        <v>0.70134189999999996</v>
      </c>
      <c r="F74" s="5">
        <f>VALUE(SUBSTITUTE('1000_заявлений'!F68, ".", ","))</f>
        <v>-4262</v>
      </c>
      <c r="G74" s="5">
        <f>VALUE(SUBSTITUTE('1000_заявлений'!G68, ".", ","))</f>
        <v>-14467</v>
      </c>
      <c r="H74" s="5">
        <f>VALUE(SUBSTITUTE('1000_заявлений'!H68, ".", ","))</f>
        <v>-4262</v>
      </c>
      <c r="I74" s="4">
        <f>VALUE(SUBSTITUTE('1000_заявлений'!I68, ".", ","))</f>
        <v>0.13413345275414201</v>
      </c>
      <c r="J74" s="4">
        <f>VALUE(SUBSTITUTE('1000_заявлений'!J68, ".", ","))</f>
        <v>3.3035993533333898</v>
      </c>
      <c r="K74" s="5">
        <f>VALUE(SUBSTITUTE('1000_заявлений'!K68, ".", ","))</f>
        <v>-1066</v>
      </c>
      <c r="L74" s="6">
        <f>VALUE(SUBSTITUTE('1000_заявлений'!L68, ".", ","))</f>
        <v>33696</v>
      </c>
      <c r="M74" s="2" t="str">
        <f>IF(Данные6[[#This Row],[proba]]&gt;$C$6, "отказ", "одобрение")</f>
        <v>отказ</v>
      </c>
      <c r="N74" s="7">
        <f>IF(Данные6[[#This Row],[proba]]&lt;$D$2,$C$2,IF(Данные6[[#This Row],[proba]]&lt;$D$3,$C$3,IF(Данные6[[#This Row],[proba]]&gt;$C$6,0,$C$4)))</f>
        <v>0</v>
      </c>
      <c r="O74" s="2">
        <f>IF(Данные6[[#This Row],[weighted_ext_score]]&gt;$O$1,MIN(Данные6[[#This Row],[Базовая сумма]]*$O$2,$C$2),IF(Данные6[[#This Row],[weighted_ext_score]]&lt;$O$3,Данные6[[#This Row],[Базовая сумма]]*$O$4,N74))</f>
        <v>0</v>
      </c>
      <c r="P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" s="2">
        <f>ABS(Данные6[[#This Row],[days_birth]])/365.2425</f>
        <v>39.609300670102741</v>
      </c>
      <c r="S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" s="2">
        <f>IF(Данные6[[#This Row],[ interest_rate]]&gt;$T$1,Данные6[[#This Row],[days_birth4]]*$T$2,Данные6[[#This Row],[days_birth4]])</f>
        <v>0</v>
      </c>
      <c r="U74" s="2">
        <f>IF(Данные6[[#This Row],[Проверка отказа]]="отказ",0,MAX(Данные6[[#This Row],[interest_rate]],$C$1))</f>
        <v>0</v>
      </c>
      <c r="V74" s="2">
        <f>MROUND(Данные6[[#This Row],[Минимум 20000]], 100)</f>
        <v>0</v>
      </c>
    </row>
    <row r="75" spans="1:22" x14ac:dyDescent="0.25">
      <c r="A75" s="2">
        <f>'1000_заявлений'!A69</f>
        <v>67</v>
      </c>
      <c r="B75" s="4">
        <f>VALUE(SUBSTITUTE('1000_заявлений'!B69, ".", ","))</f>
        <v>0.27375730820206701</v>
      </c>
      <c r="C75" s="4">
        <f>VALUE(SUBSTITUTE('1000_заявлений'!C69, ".", ","))</f>
        <v>0.42725756830018502</v>
      </c>
      <c r="D75" s="4">
        <f>VALUE(SUBSTITUTE('1000_заявлений'!D69, ".", ","))</f>
        <v>0.71215516000000001</v>
      </c>
      <c r="E75" s="4">
        <f>VALUE(SUBSTITUTE('1000_заявлений'!E69, ".", ","))</f>
        <v>0.52314309999999997</v>
      </c>
      <c r="F75" s="5">
        <f>VALUE(SUBSTITUTE('1000_заявлений'!F69, ".", ","))</f>
        <v>-8758</v>
      </c>
      <c r="G75" s="5">
        <f>VALUE(SUBSTITUTE('1000_заявлений'!G69, ".", ","))</f>
        <v>-15407</v>
      </c>
      <c r="H75" s="5">
        <f>VALUE(SUBSTITUTE('1000_заявлений'!H69, ".", ","))</f>
        <v>-3731</v>
      </c>
      <c r="I75" s="4">
        <f>VALUE(SUBSTITUTE('1000_заявлений'!I69, ".", ","))</f>
        <v>6.2866666666666599E-2</v>
      </c>
      <c r="J75" s="4">
        <f>VALUE(SUBSTITUTE('1000_заявлений'!J69, ".", ","))</f>
        <v>10.283915034473299</v>
      </c>
      <c r="K75" s="5">
        <f>VALUE(SUBSTITUTE('1000_заявлений'!K69, ".", ","))</f>
        <v>-2506</v>
      </c>
      <c r="L75" s="6">
        <f>VALUE(SUBSTITUTE('1000_заявлений'!L69, ".", ","))</f>
        <v>8487</v>
      </c>
      <c r="M75" s="2" t="str">
        <f>IF(Данные6[[#This Row],[proba]]&gt;$C$6, "отказ", "одобрение")</f>
        <v>одобрение</v>
      </c>
      <c r="N75" s="7">
        <f>IF(Данные6[[#This Row],[proba]]&lt;$D$2,$C$2,IF(Данные6[[#This Row],[proba]]&lt;$D$3,$C$3,IF(Данные6[[#This Row],[proba]]&gt;$C$6,0,$C$4)))</f>
        <v>50000</v>
      </c>
      <c r="O75" s="2">
        <f>IF(Данные6[[#This Row],[weighted_ext_score]]&gt;$O$1,MIN(Данные6[[#This Row],[Базовая сумма]]*$O$2,$C$2),IF(Данные6[[#This Row],[weighted_ext_score]]&lt;$O$3,Данные6[[#This Row],[Базовая сумма]]*$O$4,N75))</f>
        <v>40000</v>
      </c>
      <c r="P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33600</v>
      </c>
      <c r="R75" s="2">
        <f>ABS(Данные6[[#This Row],[days_birth]])/365.2425</f>
        <v>42.182933256671937</v>
      </c>
      <c r="S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33600</v>
      </c>
      <c r="T75" s="2">
        <f>IF(Данные6[[#This Row],[ interest_rate]]&gt;$T$1,Данные6[[#This Row],[days_birth4]]*$T$2,Данные6[[#This Row],[days_birth4]])</f>
        <v>33600</v>
      </c>
      <c r="U75" s="2">
        <f>IF(Данные6[[#This Row],[Проверка отказа]]="отказ",0,MAX(Данные6[[#This Row],[interest_rate]],$C$1))</f>
        <v>33600</v>
      </c>
      <c r="V75" s="2">
        <f>MROUND(Данные6[[#This Row],[Минимум 20000]], 100)</f>
        <v>33600</v>
      </c>
    </row>
    <row r="76" spans="1:22" x14ac:dyDescent="0.25">
      <c r="A76" s="2">
        <f>'1000_заявлений'!A70</f>
        <v>68</v>
      </c>
      <c r="B76" s="4">
        <f>VALUE(SUBSTITUTE('1000_заявлений'!B70, ".", ","))</f>
        <v>0.666755953306299</v>
      </c>
      <c r="C76" s="4">
        <f>VALUE(SUBSTITUTE('1000_заявлений'!C70, ".", ","))</f>
        <v>0.24820320656296399</v>
      </c>
      <c r="D76" s="4">
        <f>VALUE(SUBSTITUTE('1000_заявлений'!D70, ".", ","))</f>
        <v>0.50828700000000004</v>
      </c>
      <c r="E76" s="4">
        <f>VALUE(SUBSTITUTE('1000_заявлений'!E70, ".", ","))</f>
        <v>0.19845209</v>
      </c>
      <c r="F76" s="5">
        <f>VALUE(SUBSTITUTE('1000_заявлений'!F70, ".", ","))</f>
        <v>-330</v>
      </c>
      <c r="G76" s="5">
        <f>VALUE(SUBSTITUTE('1000_заявлений'!G70, ".", ","))</f>
        <v>-15370</v>
      </c>
      <c r="H76" s="5">
        <f>VALUE(SUBSTITUTE('1000_заявлений'!H70, ".", ","))</f>
        <v>-4069</v>
      </c>
      <c r="I76" s="4">
        <f>VALUE(SUBSTITUTE('1000_заявлений'!I70, ".", ","))</f>
        <v>0.18990000000000001</v>
      </c>
      <c r="J76" s="4">
        <f>VALUE(SUBSTITUTE('1000_заявлений'!J70, ".", ","))</f>
        <v>1.8143178924610699</v>
      </c>
      <c r="K76" s="5">
        <f>VALUE(SUBSTITUTE('1000_заявлений'!K70, ".", ","))</f>
        <v>-5520</v>
      </c>
      <c r="L76" s="6">
        <f>VALUE(SUBSTITUTE('1000_заявлений'!L70, ".", ","))</f>
        <v>34182</v>
      </c>
      <c r="M76" s="2" t="str">
        <f>IF(Данные6[[#This Row],[proba]]&gt;$C$6, "отказ", "одобрение")</f>
        <v>отказ</v>
      </c>
      <c r="N76" s="7">
        <f>IF(Данные6[[#This Row],[proba]]&lt;$D$2,$C$2,IF(Данные6[[#This Row],[proba]]&lt;$D$3,$C$3,IF(Данные6[[#This Row],[proba]]&gt;$C$6,0,$C$4)))</f>
        <v>0</v>
      </c>
      <c r="O76" s="2">
        <f>IF(Данные6[[#This Row],[weighted_ext_score]]&gt;$O$1,MIN(Данные6[[#This Row],[Базовая сумма]]*$O$2,$C$2),IF(Данные6[[#This Row],[weighted_ext_score]]&lt;$O$3,Данные6[[#This Row],[Базовая сумма]]*$O$4,N76))</f>
        <v>0</v>
      </c>
      <c r="P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" s="2">
        <f>ABS(Данные6[[#This Row],[days_birth]])/365.2425</f>
        <v>42.08163069741336</v>
      </c>
      <c r="S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" s="2">
        <f>IF(Данные6[[#This Row],[ interest_rate]]&gt;$T$1,Данные6[[#This Row],[days_birth4]]*$T$2,Данные6[[#This Row],[days_birth4]])</f>
        <v>0</v>
      </c>
      <c r="U76" s="2">
        <f>IF(Данные6[[#This Row],[Проверка отказа]]="отказ",0,MAX(Данные6[[#This Row],[interest_rate]],$C$1))</f>
        <v>0</v>
      </c>
      <c r="V76" s="2">
        <f>MROUND(Данные6[[#This Row],[Минимум 20000]], 100)</f>
        <v>0</v>
      </c>
    </row>
    <row r="77" spans="1:22" x14ac:dyDescent="0.25">
      <c r="A77" s="2">
        <f>'1000_заявлений'!A71</f>
        <v>69</v>
      </c>
      <c r="B77" s="4">
        <f>VALUE(SUBSTITUTE('1000_заявлений'!B71, ".", ","))</f>
        <v>0.26916869809792299</v>
      </c>
      <c r="C77" s="4">
        <f>VALUE(SUBSTITUTE('1000_заявлений'!C71, ".", ","))</f>
        <v>0.45706764000067601</v>
      </c>
      <c r="D77" s="4">
        <f>VALUE(SUBSTITUTE('1000_заявлений'!D71, ".", ","))</f>
        <v>0.66263777000000001</v>
      </c>
      <c r="E77" s="4">
        <f>VALUE(SUBSTITUTE('1000_заявлений'!E71, ".", ","))</f>
        <v>0.67025226000000004</v>
      </c>
      <c r="F77" s="5">
        <f>VALUE(SUBSTITUTE('1000_заявлений'!F71, ".", ","))</f>
        <v>-999</v>
      </c>
      <c r="G77" s="5">
        <f>VALUE(SUBSTITUTE('1000_заявлений'!G71, ".", ","))</f>
        <v>-16323</v>
      </c>
      <c r="H77" s="5">
        <f>VALUE(SUBSTITUTE('1000_заявлений'!H71, ".", ","))</f>
        <v>-3933</v>
      </c>
      <c r="I77" s="4">
        <f>VALUE(SUBSTITUTE('1000_заявлений'!I71, ".", ","))</f>
        <v>0.17815</v>
      </c>
      <c r="J77" s="4">
        <f>VALUE(SUBSTITUTE('1000_заявлений'!J71, ".", ","))</f>
        <v>6.5919107930292897</v>
      </c>
      <c r="K77" s="5">
        <f>VALUE(SUBSTITUTE('1000_заявлений'!K71, ".", ","))</f>
        <v>-6486</v>
      </c>
      <c r="L77" s="6">
        <f>VALUE(SUBSTITUTE('1000_заявлений'!L71, ".", ","))</f>
        <v>32067</v>
      </c>
      <c r="M77" s="2" t="str">
        <f>IF(Данные6[[#This Row],[proba]]&gt;$C$6, "отказ", "одобрение")</f>
        <v>одобрение</v>
      </c>
      <c r="N77" s="7">
        <f>IF(Данные6[[#This Row],[proba]]&lt;$D$2,$C$2,IF(Данные6[[#This Row],[proba]]&lt;$D$3,$C$3,IF(Данные6[[#This Row],[proba]]&gt;$C$6,0,$C$4)))</f>
        <v>50000</v>
      </c>
      <c r="O77" s="2">
        <f>IF(Данные6[[#This Row],[weighted_ext_score]]&gt;$O$1,MIN(Данные6[[#This Row],[Базовая сумма]]*$O$2,$C$2),IF(Данные6[[#This Row],[weighted_ext_score]]&lt;$O$3,Данные6[[#This Row],[Базовая сумма]]*$O$4,N77))</f>
        <v>40000</v>
      </c>
      <c r="P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77" s="2">
        <f>ABS(Данные6[[#This Row],[days_birth]])/365.2425</f>
        <v>44.690856075073413</v>
      </c>
      <c r="S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77" s="2">
        <f>IF(Данные6[[#This Row],[ interest_rate]]&gt;$T$1,Данные6[[#This Row],[days_birth4]]*$T$2,Данные6[[#This Row],[days_birth4]])</f>
        <v>48000</v>
      </c>
      <c r="U77" s="2">
        <f>IF(Данные6[[#This Row],[Проверка отказа]]="отказ",0,MAX(Данные6[[#This Row],[interest_rate]],$C$1))</f>
        <v>48000</v>
      </c>
      <c r="V77" s="2">
        <f>MROUND(Данные6[[#This Row],[Минимум 20000]], 100)</f>
        <v>48000</v>
      </c>
    </row>
    <row r="78" spans="1:22" x14ac:dyDescent="0.25">
      <c r="A78" s="2">
        <f>'1000_заявлений'!A72</f>
        <v>70</v>
      </c>
      <c r="B78" s="4">
        <f>VALUE(SUBSTITUTE('1000_заявлений'!B72, ".", ","))</f>
        <v>0.82123716054776197</v>
      </c>
      <c r="C78" s="4">
        <f>VALUE(SUBSTITUTE('1000_заявлений'!C72, ".", ","))</f>
        <v>0.159172183294744</v>
      </c>
      <c r="D78" s="4">
        <f>VALUE(SUBSTITUTE('1000_заявлений'!D72, ".", ","))</f>
        <v>0.25123944999999998</v>
      </c>
      <c r="E78" s="4">
        <f>VALUE(SUBSTITUTE('1000_заявлений'!E72, ".", ","))</f>
        <v>0.21058070000000001</v>
      </c>
      <c r="F78" s="5">
        <f>VALUE(SUBSTITUTE('1000_заявлений'!F72, ".", ","))</f>
        <v>-4367</v>
      </c>
      <c r="G78" s="5">
        <f>VALUE(SUBSTITUTE('1000_заявлений'!G72, ".", ","))</f>
        <v>-9658</v>
      </c>
      <c r="H78" s="5">
        <f>VALUE(SUBSTITUTE('1000_заявлений'!H72, ".", ","))</f>
        <v>-2217</v>
      </c>
      <c r="I78" s="4">
        <f>VALUE(SUBSTITUTE('1000_заявлений'!I72, ".", ","))</f>
        <v>0.13600000000000001</v>
      </c>
      <c r="J78" s="4">
        <f>VALUE(SUBSTITUTE('1000_заявлений'!J72, ".", ","))</f>
        <v>4.7111736185995596</v>
      </c>
      <c r="K78" s="5">
        <f>VALUE(SUBSTITUTE('1000_заявлений'!K72, ".", ","))</f>
        <v>-907</v>
      </c>
      <c r="L78" s="6">
        <f>VALUE(SUBSTITUTE('1000_заявлений'!L72, ".", ","))</f>
        <v>16524</v>
      </c>
      <c r="M78" s="2" t="str">
        <f>IF(Данные6[[#This Row],[proba]]&gt;$C$6, "отказ", "одобрение")</f>
        <v>отказ</v>
      </c>
      <c r="N78" s="7">
        <f>IF(Данные6[[#This Row],[proba]]&lt;$D$2,$C$2,IF(Данные6[[#This Row],[proba]]&lt;$D$3,$C$3,IF(Данные6[[#This Row],[proba]]&gt;$C$6,0,$C$4)))</f>
        <v>0</v>
      </c>
      <c r="O78" s="2">
        <f>IF(Данные6[[#This Row],[weighted_ext_score]]&gt;$O$1,MIN(Данные6[[#This Row],[Базовая сумма]]*$O$2,$C$2),IF(Данные6[[#This Row],[weighted_ext_score]]&lt;$O$3,Данные6[[#This Row],[Базовая сумма]]*$O$4,N78))</f>
        <v>0</v>
      </c>
      <c r="P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" s="2">
        <f>ABS(Данные6[[#This Row],[days_birth]])/365.2425</f>
        <v>26.442705873495008</v>
      </c>
      <c r="S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" s="2">
        <f>IF(Данные6[[#This Row],[ interest_rate]]&gt;$T$1,Данные6[[#This Row],[days_birth4]]*$T$2,Данные6[[#This Row],[days_birth4]])</f>
        <v>0</v>
      </c>
      <c r="U78" s="2">
        <f>IF(Данные6[[#This Row],[Проверка отказа]]="отказ",0,MAX(Данные6[[#This Row],[interest_rate]],$C$1))</f>
        <v>0</v>
      </c>
      <c r="V78" s="2">
        <f>MROUND(Данные6[[#This Row],[Минимум 20000]], 100)</f>
        <v>0</v>
      </c>
    </row>
    <row r="79" spans="1:22" x14ac:dyDescent="0.25">
      <c r="A79" s="2">
        <f>'1000_заявлений'!A73</f>
        <v>71</v>
      </c>
      <c r="B79" s="4">
        <f>VALUE(SUBSTITUTE('1000_заявлений'!B73, ".", ","))</f>
        <v>0.29917635285476402</v>
      </c>
      <c r="C79" s="4">
        <f>VALUE(SUBSTITUTE('1000_заявлений'!C73, ".", ","))</f>
        <v>0.56856775222622502</v>
      </c>
      <c r="D79" s="4">
        <f>VALUE(SUBSTITUTE('1000_заявлений'!D73, ".", ","))</f>
        <v>0.70620510000000003</v>
      </c>
      <c r="E79" s="4">
        <f>VALUE(SUBSTITUTE('1000_заявлений'!E73, ".", ","))</f>
        <v>0.49372621999999999</v>
      </c>
      <c r="F79" s="5">
        <f>VALUE(SUBSTITUTE('1000_заявлений'!F73, ".", ","))</f>
        <v>-63</v>
      </c>
      <c r="G79" s="5">
        <f>VALUE(SUBSTITUTE('1000_заявлений'!G73, ".", ","))</f>
        <v>-15195</v>
      </c>
      <c r="H79" s="5">
        <f>VALUE(SUBSTITUTE('1000_заявлений'!H73, ".", ","))</f>
        <v>-4280</v>
      </c>
      <c r="I79" s="4">
        <f>VALUE(SUBSTITUTE('1000_заявлений'!I73, ".", ","))</f>
        <v>0.18691428571428501</v>
      </c>
      <c r="J79" s="4">
        <f>VALUE(SUBSTITUTE('1000_заявлений'!J73, ".", ","))</f>
        <v>0.84218333764933795</v>
      </c>
      <c r="K79" s="5">
        <f>VALUE(SUBSTITUTE('1000_заявлений'!K73, ".", ","))</f>
        <v>-7078</v>
      </c>
      <c r="L79" s="6">
        <f>VALUE(SUBSTITUTE('1000_заявлений'!L73, ".", ","))</f>
        <v>29439</v>
      </c>
      <c r="M79" s="2" t="str">
        <f>IF(Данные6[[#This Row],[proba]]&gt;$C$6, "отказ", "одобрение")</f>
        <v>одобрение</v>
      </c>
      <c r="N79" s="7">
        <f>IF(Данные6[[#This Row],[proba]]&lt;$D$2,$C$2,IF(Данные6[[#This Row],[proba]]&lt;$D$3,$C$3,IF(Данные6[[#This Row],[proba]]&gt;$C$6,0,$C$4)))</f>
        <v>50000</v>
      </c>
      <c r="O79" s="2">
        <f>IF(Данные6[[#This Row],[weighted_ext_score]]&gt;$O$1,MIN(Данные6[[#This Row],[Базовая сумма]]*$O$2,$C$2),IF(Данные6[[#This Row],[weighted_ext_score]]&lt;$O$3,Данные6[[#This Row],[Базовая сумма]]*$O$4,N79))</f>
        <v>50000</v>
      </c>
      <c r="P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79" s="2">
        <f>ABS(Данные6[[#This Row],[days_birth]])/365.2425</f>
        <v>41.602496971190369</v>
      </c>
      <c r="S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79" s="2">
        <f>IF(Данные6[[#This Row],[ interest_rate]]&gt;$T$1,Данные6[[#This Row],[days_birth4]]*$T$2,Данные6[[#This Row],[days_birth4]])</f>
        <v>60000</v>
      </c>
      <c r="U79" s="2">
        <f>IF(Данные6[[#This Row],[Проверка отказа]]="отказ",0,MAX(Данные6[[#This Row],[interest_rate]],$C$1))</f>
        <v>60000</v>
      </c>
      <c r="V79" s="2">
        <f>MROUND(Данные6[[#This Row],[Минимум 20000]], 100)</f>
        <v>60000</v>
      </c>
    </row>
    <row r="80" spans="1:22" x14ac:dyDescent="0.25">
      <c r="A80" s="2">
        <f>'1000_заявлений'!A74</f>
        <v>72</v>
      </c>
      <c r="B80" s="4">
        <f>VALUE(SUBSTITUTE('1000_заявлений'!B74, ".", ","))</f>
        <v>0.220122393195504</v>
      </c>
      <c r="C80" s="4">
        <f>VALUE(SUBSTITUTE('1000_заявлений'!C74, ".", ","))</f>
        <v>0.691404125185765</v>
      </c>
      <c r="D80" s="4">
        <f>VALUE(SUBSTITUTE('1000_заявлений'!D74, ".", ","))</f>
        <v>0.5797274</v>
      </c>
      <c r="E80" s="4">
        <f>VALUE(SUBSTITUTE('1000_заявлений'!E74, ".", ","))</f>
        <v>0.67449610000000004</v>
      </c>
      <c r="F80" s="5">
        <f>VALUE(SUBSTITUTE('1000_заявлений'!F74, ".", ","))</f>
        <v>-2945</v>
      </c>
      <c r="G80" s="5">
        <f>VALUE(SUBSTITUTE('1000_заявлений'!G74, ".", ","))</f>
        <v>-18067</v>
      </c>
      <c r="H80" s="5">
        <f>VALUE(SUBSTITUTE('1000_заявлений'!H74, ".", ","))</f>
        <v>-1616</v>
      </c>
      <c r="I80" s="4">
        <f>VALUE(SUBSTITUTE('1000_заявлений'!I74, ".", ","))</f>
        <v>9.8346666666666596E-2</v>
      </c>
      <c r="J80" s="4">
        <f>VALUE(SUBSTITUTE('1000_заявлений'!J74, ".", ","))</f>
        <v>2.0040427079677401</v>
      </c>
      <c r="K80" s="5">
        <f>VALUE(SUBSTITUTE('1000_заявлений'!K74, ".", ","))</f>
        <v>-3543</v>
      </c>
      <c r="L80" s="6">
        <f>VALUE(SUBSTITUTE('1000_заявлений'!L74, ".", ","))</f>
        <v>33192</v>
      </c>
      <c r="M80" s="2" t="str">
        <f>IF(Данные6[[#This Row],[proba]]&gt;$C$6, "отказ", "одобрение")</f>
        <v>одобрение</v>
      </c>
      <c r="N80" s="7">
        <f>IF(Данные6[[#This Row],[proba]]&lt;$D$2,$C$2,IF(Данные6[[#This Row],[proba]]&lt;$D$3,$C$3,IF(Данные6[[#This Row],[proba]]&gt;$C$6,0,$C$4)))</f>
        <v>50000</v>
      </c>
      <c r="O80" s="2">
        <f>IF(Данные6[[#This Row],[weighted_ext_score]]&gt;$O$1,MIN(Данные6[[#This Row],[Базовая сумма]]*$O$2,$C$2),IF(Данные6[[#This Row],[weighted_ext_score]]&lt;$O$3,Данные6[[#This Row],[Базовая сумма]]*$O$4,N80))</f>
        <v>50000</v>
      </c>
      <c r="P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72000</v>
      </c>
      <c r="R80" s="2">
        <f>ABS(Данные6[[#This Row],[days_birth]])/365.2425</f>
        <v>49.465765895261363</v>
      </c>
      <c r="S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72000</v>
      </c>
      <c r="T80" s="2">
        <f>IF(Данные6[[#This Row],[ interest_rate]]&gt;$T$1,Данные6[[#This Row],[days_birth4]]*$T$2,Данные6[[#This Row],[days_birth4]])</f>
        <v>72000</v>
      </c>
      <c r="U80" s="2">
        <f>IF(Данные6[[#This Row],[Проверка отказа]]="отказ",0,MAX(Данные6[[#This Row],[interest_rate]],$C$1))</f>
        <v>72000</v>
      </c>
      <c r="V80" s="2">
        <f>MROUND(Данные6[[#This Row],[Минимум 20000]], 100)</f>
        <v>72000</v>
      </c>
    </row>
    <row r="81" spans="1:22" x14ac:dyDescent="0.25">
      <c r="A81" s="2">
        <f>'1000_заявлений'!A75</f>
        <v>73</v>
      </c>
      <c r="B81" s="4">
        <f>VALUE(SUBSTITUTE('1000_заявлений'!B75, ".", ","))</f>
        <v>0.51748680165039895</v>
      </c>
      <c r="C81" s="4">
        <f>VALUE(SUBSTITUTE('1000_заявлений'!C75, ".", ","))</f>
        <v>0.31032865972414603</v>
      </c>
      <c r="D81" s="4">
        <f>VALUE(SUBSTITUTE('1000_заявлений'!D75, ".", ","))</f>
        <v>0.24186149000000001</v>
      </c>
      <c r="E81" s="4">
        <f>VALUE(SUBSTITUTE('1000_заявлений'!E75, ".", ","))</f>
        <v>0.68702700000000005</v>
      </c>
      <c r="F81" s="5">
        <f>VALUE(SUBSTITUTE('1000_заявлений'!F75, ".", ","))</f>
        <v>-5458</v>
      </c>
      <c r="G81" s="5">
        <f>VALUE(SUBSTITUTE('1000_заявлений'!G75, ".", ","))</f>
        <v>-16657</v>
      </c>
      <c r="H81" s="5">
        <f>VALUE(SUBSTITUTE('1000_заявлений'!H75, ".", ","))</f>
        <v>-38</v>
      </c>
      <c r="I81" s="4">
        <f>VALUE(SUBSTITUTE('1000_заявлений'!I75, ".", ","))</f>
        <v>7.1400000000000005E-2</v>
      </c>
      <c r="J81" s="4">
        <f>VALUE(SUBSTITUTE('1000_заявлений'!J75, ".", ","))</f>
        <v>14.8570179335033</v>
      </c>
      <c r="K81" s="5">
        <f>VALUE(SUBSTITUTE('1000_заявлений'!K75, ".", ","))</f>
        <v>-3952</v>
      </c>
      <c r="L81" s="6">
        <f>VALUE(SUBSTITUTE('1000_заявлений'!L75, ".", ","))</f>
        <v>4819.5</v>
      </c>
      <c r="M81" s="2" t="str">
        <f>IF(Данные6[[#This Row],[proba]]&gt;$C$6, "отказ", "одобрение")</f>
        <v>отказ</v>
      </c>
      <c r="N81" s="7">
        <f>IF(Данные6[[#This Row],[proba]]&lt;$D$2,$C$2,IF(Данные6[[#This Row],[proba]]&lt;$D$3,$C$3,IF(Данные6[[#This Row],[proba]]&gt;$C$6,0,$C$4)))</f>
        <v>0</v>
      </c>
      <c r="O81" s="2">
        <f>IF(Данные6[[#This Row],[weighted_ext_score]]&gt;$O$1,MIN(Данные6[[#This Row],[Базовая сумма]]*$O$2,$C$2),IF(Данные6[[#This Row],[weighted_ext_score]]&lt;$O$3,Данные6[[#This Row],[Базовая сумма]]*$O$4,N81))</f>
        <v>0</v>
      </c>
      <c r="P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" s="2">
        <f>ABS(Данные6[[#This Row],[days_birth]])/365.2425</f>
        <v>45.605317015407572</v>
      </c>
      <c r="S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" s="2">
        <f>IF(Данные6[[#This Row],[ interest_rate]]&gt;$T$1,Данные6[[#This Row],[days_birth4]]*$T$2,Данные6[[#This Row],[days_birth4]])</f>
        <v>0</v>
      </c>
      <c r="U81" s="2">
        <f>IF(Данные6[[#This Row],[Проверка отказа]]="отказ",0,MAX(Данные6[[#This Row],[interest_rate]],$C$1))</f>
        <v>0</v>
      </c>
      <c r="V81" s="2">
        <f>MROUND(Данные6[[#This Row],[Минимум 20000]], 100)</f>
        <v>0</v>
      </c>
    </row>
    <row r="82" spans="1:22" x14ac:dyDescent="0.25">
      <c r="A82" s="2">
        <f>'1000_заявлений'!A76</f>
        <v>74</v>
      </c>
      <c r="B82" s="4">
        <f>VALUE(SUBSTITUTE('1000_заявлений'!B76, ".", ","))</f>
        <v>0.66974938866209099</v>
      </c>
      <c r="C82" s="4">
        <f>VALUE(SUBSTITUTE('1000_заявлений'!C76, ".", ","))</f>
        <v>0.25176400563224699</v>
      </c>
      <c r="D82" s="4">
        <f>VALUE(SUBSTITUTE('1000_заявлений'!D76, ".", ","))</f>
        <v>8.2268510000000003E-2</v>
      </c>
      <c r="E82" s="4">
        <f>VALUE(SUBSTITUTE('1000_заявлений'!E76, ".", ","))</f>
        <v>0.6844209</v>
      </c>
      <c r="F82" s="5">
        <f>VALUE(SUBSTITUTE('1000_заявлений'!F76, ".", ","))</f>
        <v>-4340</v>
      </c>
      <c r="G82" s="5">
        <f>VALUE(SUBSTITUTE('1000_заявлений'!G76, ".", ","))</f>
        <v>-10309</v>
      </c>
      <c r="H82" s="5">
        <f>VALUE(SUBSTITUTE('1000_заявлений'!H76, ".", ","))</f>
        <v>-2977</v>
      </c>
      <c r="I82" s="4">
        <f>VALUE(SUBSTITUTE('1000_заявлений'!I76, ".", ","))</f>
        <v>7.46E-2</v>
      </c>
      <c r="J82" s="4">
        <f>VALUE(SUBSTITUTE('1000_заявлений'!J76, ".", ","))</f>
        <v>9.8522264590684596</v>
      </c>
      <c r="K82" s="5">
        <f>VALUE(SUBSTITUTE('1000_заявлений'!K76, ".", ","))</f>
        <v>-2821</v>
      </c>
      <c r="L82" s="6">
        <f>VALUE(SUBSTITUTE('1000_заявлений'!L76, ".", ","))</f>
        <v>10071</v>
      </c>
      <c r="M82" s="2" t="str">
        <f>IF(Данные6[[#This Row],[proba]]&gt;$C$6, "отказ", "одобрение")</f>
        <v>отказ</v>
      </c>
      <c r="N82" s="7">
        <f>IF(Данные6[[#This Row],[proba]]&lt;$D$2,$C$2,IF(Данные6[[#This Row],[proba]]&lt;$D$3,$C$3,IF(Данные6[[#This Row],[proba]]&gt;$C$6,0,$C$4)))</f>
        <v>0</v>
      </c>
      <c r="O82" s="2">
        <f>IF(Данные6[[#This Row],[weighted_ext_score]]&gt;$O$1,MIN(Данные6[[#This Row],[Базовая сумма]]*$O$2,$C$2),IF(Данные6[[#This Row],[weighted_ext_score]]&lt;$O$3,Данные6[[#This Row],[Базовая сумма]]*$O$4,N82))</f>
        <v>0</v>
      </c>
      <c r="P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" s="2">
        <f>ABS(Данные6[[#This Row],[days_birth]])/365.2425</f>
        <v>28.225083335044523</v>
      </c>
      <c r="S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" s="2">
        <f>IF(Данные6[[#This Row],[ interest_rate]]&gt;$T$1,Данные6[[#This Row],[days_birth4]]*$T$2,Данные6[[#This Row],[days_birth4]])</f>
        <v>0</v>
      </c>
      <c r="U82" s="2">
        <f>IF(Данные6[[#This Row],[Проверка отказа]]="отказ",0,MAX(Данные6[[#This Row],[interest_rate]],$C$1))</f>
        <v>0</v>
      </c>
      <c r="V82" s="2">
        <f>MROUND(Данные6[[#This Row],[Минимум 20000]], 100)</f>
        <v>0</v>
      </c>
    </row>
    <row r="83" spans="1:22" x14ac:dyDescent="0.25">
      <c r="A83" s="2">
        <f>'1000_заявлений'!A77</f>
        <v>75</v>
      </c>
      <c r="B83" s="4">
        <f>VALUE(SUBSTITUTE('1000_заявлений'!B77, ".", ","))</f>
        <v>0.47280761805343402</v>
      </c>
      <c r="C83" s="4">
        <f>VALUE(SUBSTITUTE('1000_заявлений'!C77, ".", ","))</f>
        <v>0.456444744312823</v>
      </c>
      <c r="D83" s="4">
        <f>VALUE(SUBSTITUTE('1000_заявлений'!D77, ".", ","))</f>
        <v>0.20092608000000001</v>
      </c>
      <c r="E83" s="4">
        <f>VALUE(SUBSTITUTE('1000_заявлений'!E77, ".", ","))</f>
        <v>0.68931229999999999</v>
      </c>
      <c r="F83" s="5">
        <f>VALUE(SUBSTITUTE('1000_заявлений'!F77, ".", ","))</f>
        <v>-1214</v>
      </c>
      <c r="G83" s="5">
        <f>VALUE(SUBSTITUTE('1000_заявлений'!G77, ".", ","))</f>
        <v>-20120</v>
      </c>
      <c r="H83" s="5">
        <f>VALUE(SUBSTITUTE('1000_заявлений'!H77, ".", ","))</f>
        <v>-3608</v>
      </c>
      <c r="I83" s="4">
        <f>VALUE(SUBSTITUTE('1000_заявлений'!I77, ".", ","))</f>
        <v>9.1840000000000005E-2</v>
      </c>
      <c r="J83" s="4">
        <f>VALUE(SUBSTITUTE('1000_заявлений'!J77, ".", ","))</f>
        <v>4.2330044385654899</v>
      </c>
      <c r="K83" s="5">
        <f>VALUE(SUBSTITUTE('1000_заявлений'!K77, ".", ","))</f>
        <v>-1032</v>
      </c>
      <c r="L83" s="6">
        <f>VALUE(SUBSTITUTE('1000_заявлений'!L77, ".", ","))</f>
        <v>20664</v>
      </c>
      <c r="M83" s="2" t="str">
        <f>IF(Данные6[[#This Row],[proba]]&gt;$C$6, "отказ", "одобрение")</f>
        <v>отказ</v>
      </c>
      <c r="N83" s="7">
        <f>IF(Данные6[[#This Row],[proba]]&lt;$D$2,$C$2,IF(Данные6[[#This Row],[proba]]&lt;$D$3,$C$3,IF(Данные6[[#This Row],[proba]]&gt;$C$6,0,$C$4)))</f>
        <v>0</v>
      </c>
      <c r="O83" s="2">
        <f>IF(Данные6[[#This Row],[weighted_ext_score]]&gt;$O$1,MIN(Данные6[[#This Row],[Базовая сумма]]*$O$2,$C$2),IF(Данные6[[#This Row],[weighted_ext_score]]&lt;$O$3,Данные6[[#This Row],[Базовая сумма]]*$O$4,N83))</f>
        <v>0</v>
      </c>
      <c r="P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" s="2">
        <f>ABS(Данные6[[#This Row],[days_birth]])/365.2425</f>
        <v>55.08668898060877</v>
      </c>
      <c r="S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" s="2">
        <f>IF(Данные6[[#This Row],[ interest_rate]]&gt;$T$1,Данные6[[#This Row],[days_birth4]]*$T$2,Данные6[[#This Row],[days_birth4]])</f>
        <v>0</v>
      </c>
      <c r="U83" s="2">
        <f>IF(Данные6[[#This Row],[Проверка отказа]]="отказ",0,MAX(Данные6[[#This Row],[interest_rate]],$C$1))</f>
        <v>0</v>
      </c>
      <c r="V83" s="2">
        <f>MROUND(Данные6[[#This Row],[Минимум 20000]], 100)</f>
        <v>0</v>
      </c>
    </row>
    <row r="84" spans="1:22" x14ac:dyDescent="0.25">
      <c r="A84" s="2">
        <f>'1000_заявлений'!A78</f>
        <v>76</v>
      </c>
      <c r="B84" s="4">
        <f>VALUE(SUBSTITUTE('1000_заявлений'!B78, ".", ","))</f>
        <v>0.33970374867049202</v>
      </c>
      <c r="C84" s="4">
        <f>VALUE(SUBSTITUTE('1000_заявлений'!C78, ".", ","))</f>
        <v>0.56408970644170797</v>
      </c>
      <c r="D84" s="4">
        <f>VALUE(SUBSTITUTE('1000_заявлений'!D78, ".", ","))</f>
        <v>0.53348165999999997</v>
      </c>
      <c r="E84" s="4">
        <f>VALUE(SUBSTITUTE('1000_заявлений'!E78, ".", ","))</f>
        <v>0.63610160000000004</v>
      </c>
      <c r="F84" s="5">
        <f>VALUE(SUBSTITUTE('1000_заявлений'!F78, ".", ","))</f>
        <v>-8731</v>
      </c>
      <c r="G84" s="5">
        <f>VALUE(SUBSTITUTE('1000_заявлений'!G78, ".", ","))</f>
        <v>-10945</v>
      </c>
      <c r="H84" s="5">
        <f>VALUE(SUBSTITUTE('1000_заявлений'!H78, ".", ","))</f>
        <v>-2225</v>
      </c>
      <c r="I84" s="4">
        <f>VALUE(SUBSTITUTE('1000_заявлений'!I78, ".", ","))</f>
        <v>0.10951923076922999</v>
      </c>
      <c r="J84" s="4">
        <f>VALUE(SUBSTITUTE('1000_заявлений'!J78, ".", ","))</f>
        <v>0.63246618577590397</v>
      </c>
      <c r="K84" s="5">
        <f>VALUE(SUBSTITUTE('1000_заявлений'!K78, ".", ","))</f>
        <v>-1085</v>
      </c>
      <c r="L84" s="6">
        <f>VALUE(SUBSTITUTE('1000_заявлений'!L78, ".", ","))</f>
        <v>25627.5</v>
      </c>
      <c r="M84" s="2" t="str">
        <f>IF(Данные6[[#This Row],[proba]]&gt;$C$6, "отказ", "одобрение")</f>
        <v>отказ</v>
      </c>
      <c r="N84" s="7">
        <f>IF(Данные6[[#This Row],[proba]]&lt;$D$2,$C$2,IF(Данные6[[#This Row],[proba]]&lt;$D$3,$C$3,IF(Данные6[[#This Row],[proba]]&gt;$C$6,0,$C$4)))</f>
        <v>0</v>
      </c>
      <c r="O84" s="2">
        <f>IF(Данные6[[#This Row],[weighted_ext_score]]&gt;$O$1,MIN(Данные6[[#This Row],[Базовая сумма]]*$O$2,$C$2),IF(Данные6[[#This Row],[weighted_ext_score]]&lt;$O$3,Данные6[[#This Row],[Базовая сумма]]*$O$4,N84))</f>
        <v>0</v>
      </c>
      <c r="P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" s="2">
        <f>ABS(Данные6[[#This Row],[days_birth]])/365.2425</f>
        <v>29.966392191489216</v>
      </c>
      <c r="S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" s="2">
        <f>IF(Данные6[[#This Row],[ interest_rate]]&gt;$T$1,Данные6[[#This Row],[days_birth4]]*$T$2,Данные6[[#This Row],[days_birth4]])</f>
        <v>0</v>
      </c>
      <c r="U84" s="2">
        <f>IF(Данные6[[#This Row],[Проверка отказа]]="отказ",0,MAX(Данные6[[#This Row],[interest_rate]],$C$1))</f>
        <v>0</v>
      </c>
      <c r="V84" s="2">
        <f>MROUND(Данные6[[#This Row],[Минимум 20000]], 100)</f>
        <v>0</v>
      </c>
    </row>
    <row r="85" spans="1:22" x14ac:dyDescent="0.25">
      <c r="A85" s="2">
        <f>'1000_заявлений'!A79</f>
        <v>77</v>
      </c>
      <c r="B85" s="4">
        <f>VALUE(SUBSTITUTE('1000_заявлений'!B79, ".", ","))</f>
        <v>0.22171444935165299</v>
      </c>
      <c r="C85" s="4">
        <f>VALUE(SUBSTITUTE('1000_заявлений'!C79, ".", ","))</f>
        <v>0.61835443786511002</v>
      </c>
      <c r="D85" s="4">
        <f>VALUE(SUBSTITUTE('1000_заявлений'!D79, ".", ","))</f>
        <v>0.57091652999999998</v>
      </c>
      <c r="E85" s="4">
        <f>VALUE(SUBSTITUTE('1000_заявлений'!E79, ".", ","))</f>
        <v>0.69979599999999997</v>
      </c>
      <c r="F85" s="5">
        <f>VALUE(SUBSTITUTE('1000_заявлений'!F79, ".", ","))</f>
        <v>-3489</v>
      </c>
      <c r="G85" s="5">
        <f>VALUE(SUBSTITUTE('1000_заявлений'!G79, ".", ","))</f>
        <v>-20302</v>
      </c>
      <c r="H85" s="5">
        <f>VALUE(SUBSTITUTE('1000_заявлений'!H79, ".", ","))</f>
        <v>-3489</v>
      </c>
      <c r="I85" s="4">
        <f>VALUE(SUBSTITUTE('1000_заявлений'!I79, ".", ","))</f>
        <v>9.00857142857142E-2</v>
      </c>
      <c r="J85" s="4">
        <f>VALUE(SUBSTITUTE('1000_заявлений'!J79, ".", ","))</f>
        <v>3.6461607409491799</v>
      </c>
      <c r="K85" s="5">
        <f>VALUE(SUBSTITUTE('1000_заявлений'!K79, ".", ","))</f>
        <v>-2247</v>
      </c>
      <c r="L85" s="6">
        <f>VALUE(SUBSTITUTE('1000_заявлений'!L79, ".", ","))</f>
        <v>14188.5</v>
      </c>
      <c r="M85" s="2" t="str">
        <f>IF(Данные6[[#This Row],[proba]]&gt;$C$6, "отказ", "одобрение")</f>
        <v>одобрение</v>
      </c>
      <c r="N85" s="7">
        <f>IF(Данные6[[#This Row],[proba]]&lt;$D$2,$C$2,IF(Данные6[[#This Row],[proba]]&lt;$D$3,$C$3,IF(Данные6[[#This Row],[proba]]&gt;$C$6,0,$C$4)))</f>
        <v>50000</v>
      </c>
      <c r="O85" s="2">
        <f>IF(Данные6[[#This Row],[weighted_ext_score]]&gt;$O$1,MIN(Данные6[[#This Row],[Базовая сумма]]*$O$2,$C$2),IF(Данные6[[#This Row],[weighted_ext_score]]&lt;$O$3,Данные6[[#This Row],[Базовая сумма]]*$O$4,N85))</f>
        <v>50000</v>
      </c>
      <c r="P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42000</v>
      </c>
      <c r="R85" s="2">
        <f>ABS(Данные6[[#This Row],[days_birth]])/365.2425</f>
        <v>55.584988055880679</v>
      </c>
      <c r="S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44100</v>
      </c>
      <c r="T85" s="2">
        <f>IF(Данные6[[#This Row],[ interest_rate]]&gt;$T$1,Данные6[[#This Row],[days_birth4]]*$T$2,Данные6[[#This Row],[days_birth4]])</f>
        <v>44100</v>
      </c>
      <c r="U85" s="2">
        <f>IF(Данные6[[#This Row],[Проверка отказа]]="отказ",0,MAX(Данные6[[#This Row],[interest_rate]],$C$1))</f>
        <v>44100</v>
      </c>
      <c r="V85" s="2">
        <f>MROUND(Данные6[[#This Row],[Минимум 20000]], 100)</f>
        <v>44100</v>
      </c>
    </row>
    <row r="86" spans="1:22" x14ac:dyDescent="0.25">
      <c r="A86" s="2">
        <f>'1000_заявлений'!A80</f>
        <v>78</v>
      </c>
      <c r="B86" s="4">
        <f>VALUE(SUBSTITUTE('1000_заявлений'!B80, ".", ","))</f>
        <v>0.53857483443782295</v>
      </c>
      <c r="C86" s="4">
        <f>VALUE(SUBSTITUTE('1000_заявлений'!C80, ".", ","))</f>
        <v>0.50328433839595998</v>
      </c>
      <c r="D86" s="4">
        <f>VALUE(SUBSTITUTE('1000_заявлений'!D80, ".", ","))</f>
        <v>0.21275630000000001</v>
      </c>
      <c r="E86" s="4">
        <f>VALUE(SUBSTITUTE('1000_заявлений'!E80, ".", ","))</f>
        <v>0.57418274999999996</v>
      </c>
      <c r="F86" s="5">
        <f>VALUE(SUBSTITUTE('1000_заявлений'!F80, ".", ","))</f>
        <v>-8202</v>
      </c>
      <c r="G86" s="5">
        <f>VALUE(SUBSTITUTE('1000_заявлений'!G80, ".", ","))</f>
        <v>-15426</v>
      </c>
      <c r="H86" s="5">
        <f>VALUE(SUBSTITUTE('1000_заявлений'!H80, ".", ","))</f>
        <v>-5005</v>
      </c>
      <c r="I86" s="4">
        <f>VALUE(SUBSTITUTE('1000_заявлений'!I80, ".", ","))</f>
        <v>0.219388888888888</v>
      </c>
      <c r="J86" s="4">
        <f>VALUE(SUBSTITUTE('1000_заявлений'!J80, ".", ","))</f>
        <v>3.2956384783875099</v>
      </c>
      <c r="K86" s="5">
        <f>VALUE(SUBSTITUTE('1000_заявлений'!K80, ".", ","))</f>
        <v>-2885</v>
      </c>
      <c r="L86" s="6">
        <f>VALUE(SUBSTITUTE('1000_заявлений'!L80, ".", ","))</f>
        <v>17770.5</v>
      </c>
      <c r="M86" s="2" t="str">
        <f>IF(Данные6[[#This Row],[proba]]&gt;$C$6, "отказ", "одобрение")</f>
        <v>отказ</v>
      </c>
      <c r="N86" s="7">
        <f>IF(Данные6[[#This Row],[proba]]&lt;$D$2,$C$2,IF(Данные6[[#This Row],[proba]]&lt;$D$3,$C$3,IF(Данные6[[#This Row],[proba]]&gt;$C$6,0,$C$4)))</f>
        <v>0</v>
      </c>
      <c r="O86" s="2">
        <f>IF(Данные6[[#This Row],[weighted_ext_score]]&gt;$O$1,MIN(Данные6[[#This Row],[Базовая сумма]]*$O$2,$C$2),IF(Данные6[[#This Row],[weighted_ext_score]]&lt;$O$3,Данные6[[#This Row],[Базовая сумма]]*$O$4,N86))</f>
        <v>0</v>
      </c>
      <c r="P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" s="2">
        <f>ABS(Данные6[[#This Row],[days_birth]])/365.2425</f>
        <v>42.234953489804717</v>
      </c>
      <c r="S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" s="2">
        <f>IF(Данные6[[#This Row],[ interest_rate]]&gt;$T$1,Данные6[[#This Row],[days_birth4]]*$T$2,Данные6[[#This Row],[days_birth4]])</f>
        <v>0</v>
      </c>
      <c r="U86" s="2">
        <f>IF(Данные6[[#This Row],[Проверка отказа]]="отказ",0,MAX(Данные6[[#This Row],[interest_rate]],$C$1))</f>
        <v>0</v>
      </c>
      <c r="V86" s="2">
        <f>MROUND(Данные6[[#This Row],[Минимум 20000]], 100)</f>
        <v>0</v>
      </c>
    </row>
    <row r="87" spans="1:22" x14ac:dyDescent="0.25">
      <c r="A87" s="2">
        <f>'1000_заявлений'!A81</f>
        <v>79</v>
      </c>
      <c r="B87" s="4">
        <f>VALUE(SUBSTITUTE('1000_заявлений'!B81, ".", ","))</f>
        <v>0.47130473326308697</v>
      </c>
      <c r="C87" s="4">
        <f>VALUE(SUBSTITUTE('1000_заявлений'!C81, ".", ","))</f>
        <v>0.50573645632233799</v>
      </c>
      <c r="D87" s="4">
        <f>VALUE(SUBSTITUTE('1000_заявлений'!D81, ".", ","))</f>
        <v>0.28517989999999999</v>
      </c>
      <c r="E87" s="4">
        <f>VALUE(SUBSTITUTE('1000_заявлений'!E81, ".", ","))</f>
        <v>0.69817185000000004</v>
      </c>
      <c r="F87" s="5">
        <f>VALUE(SUBSTITUTE('1000_заявлений'!F81, ".", ","))</f>
        <v>-3406</v>
      </c>
      <c r="G87" s="5">
        <f>VALUE(SUBSTITUTE('1000_заявлений'!G81, ".", ","))</f>
        <v>-15734</v>
      </c>
      <c r="H87" s="5">
        <f>VALUE(SUBSTITUTE('1000_заявлений'!H81, ".", ","))</f>
        <v>-4949</v>
      </c>
      <c r="I87" s="4">
        <f>VALUE(SUBSTITUTE('1000_заявлений'!I81, ".", ","))</f>
        <v>0.2913</v>
      </c>
      <c r="J87" s="4">
        <f>VALUE(SUBSTITUTE('1000_заявлений'!J81, ".", ","))</f>
        <v>2.7268436150310298</v>
      </c>
      <c r="K87" s="5">
        <f>VALUE(SUBSTITUTE('1000_заявлений'!K81, ".", ","))</f>
        <v>-7319</v>
      </c>
      <c r="L87" s="6">
        <f>VALUE(SUBSTITUTE('1000_заявлений'!L81, ".", ","))</f>
        <v>26217</v>
      </c>
      <c r="M87" s="2" t="str">
        <f>IF(Данные6[[#This Row],[proba]]&gt;$C$6, "отказ", "одобрение")</f>
        <v>отказ</v>
      </c>
      <c r="N87" s="7">
        <f>IF(Данные6[[#This Row],[proba]]&lt;$D$2,$C$2,IF(Данные6[[#This Row],[proba]]&lt;$D$3,$C$3,IF(Данные6[[#This Row],[proba]]&gt;$C$6,0,$C$4)))</f>
        <v>0</v>
      </c>
      <c r="O87" s="2">
        <f>IF(Данные6[[#This Row],[weighted_ext_score]]&gt;$O$1,MIN(Данные6[[#This Row],[Базовая сумма]]*$O$2,$C$2),IF(Данные6[[#This Row],[weighted_ext_score]]&lt;$O$3,Данные6[[#This Row],[Базовая сумма]]*$O$4,N87))</f>
        <v>0</v>
      </c>
      <c r="P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" s="2">
        <f>ABS(Данные6[[#This Row],[days_birth]])/365.2425</f>
        <v>43.078228847957178</v>
      </c>
      <c r="S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" s="2">
        <f>IF(Данные6[[#This Row],[ interest_rate]]&gt;$T$1,Данные6[[#This Row],[days_birth4]]*$T$2,Данные6[[#This Row],[days_birth4]])</f>
        <v>0</v>
      </c>
      <c r="U87" s="2">
        <f>IF(Данные6[[#This Row],[Проверка отказа]]="отказ",0,MAX(Данные6[[#This Row],[interest_rate]],$C$1))</f>
        <v>0</v>
      </c>
      <c r="V87" s="2">
        <f>MROUND(Данные6[[#This Row],[Минимум 20000]], 100)</f>
        <v>0</v>
      </c>
    </row>
    <row r="88" spans="1:22" x14ac:dyDescent="0.25">
      <c r="A88" s="2">
        <f>'1000_заявлений'!A82</f>
        <v>80</v>
      </c>
      <c r="B88" s="4">
        <f>VALUE(SUBSTITUTE('1000_заявлений'!B82, ".", ","))</f>
        <v>0.45093375513753198</v>
      </c>
      <c r="C88" s="4">
        <f>VALUE(SUBSTITUTE('1000_заявлений'!C82, ".", ","))</f>
        <v>0.37313430168274903</v>
      </c>
      <c r="D88" s="4">
        <f>VALUE(SUBSTITUTE('1000_заявлений'!D82, ".", ","))</f>
        <v>0.36896873000000002</v>
      </c>
      <c r="E88" s="4">
        <f>VALUE(SUBSTITUTE('1000_заявлений'!E82, ".", ","))</f>
        <v>0.73892749999999996</v>
      </c>
      <c r="F88" s="5">
        <f>VALUE(SUBSTITUTE('1000_заявлений'!F82, ".", ","))</f>
        <v>-2549</v>
      </c>
      <c r="G88" s="5">
        <f>VALUE(SUBSTITUTE('1000_заявлений'!G82, ".", ","))</f>
        <v>-11788</v>
      </c>
      <c r="H88" s="5">
        <f>VALUE(SUBSTITUTE('1000_заявлений'!H82, ".", ","))</f>
        <v>-2583</v>
      </c>
      <c r="I88" s="4">
        <f>VALUE(SUBSTITUTE('1000_заявлений'!I82, ".", ","))</f>
        <v>0.102466666666666</v>
      </c>
      <c r="J88" s="4">
        <f>VALUE(SUBSTITUTE('1000_заявлений'!J82, ".", ","))</f>
        <v>7.4016662344926099</v>
      </c>
      <c r="K88" s="5">
        <f>VALUE(SUBSTITUTE('1000_заявлений'!K82, ".", ","))</f>
        <v>-720</v>
      </c>
      <c r="L88" s="6">
        <f>VALUE(SUBSTITUTE('1000_заявлений'!L82, ".", ","))</f>
        <v>13833</v>
      </c>
      <c r="M88" s="2" t="str">
        <f>IF(Данные6[[#This Row],[proba]]&gt;$C$6, "отказ", "одобрение")</f>
        <v>отказ</v>
      </c>
      <c r="N88" s="7">
        <f>IF(Данные6[[#This Row],[proba]]&lt;$D$2,$C$2,IF(Данные6[[#This Row],[proba]]&lt;$D$3,$C$3,IF(Данные6[[#This Row],[proba]]&gt;$C$6,0,$C$4)))</f>
        <v>0</v>
      </c>
      <c r="O88" s="2">
        <f>IF(Данные6[[#This Row],[weighted_ext_score]]&gt;$O$1,MIN(Данные6[[#This Row],[Базовая сумма]]*$O$2,$C$2),IF(Данные6[[#This Row],[weighted_ext_score]]&lt;$O$3,Данные6[[#This Row],[Базовая сумма]]*$O$4,N88))</f>
        <v>0</v>
      </c>
      <c r="P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" s="2">
        <f>ABS(Данные6[[#This Row],[days_birth]])/365.2425</f>
        <v>32.274447798380528</v>
      </c>
      <c r="S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" s="2">
        <f>IF(Данные6[[#This Row],[ interest_rate]]&gt;$T$1,Данные6[[#This Row],[days_birth4]]*$T$2,Данные6[[#This Row],[days_birth4]])</f>
        <v>0</v>
      </c>
      <c r="U88" s="2">
        <f>IF(Данные6[[#This Row],[Проверка отказа]]="отказ",0,MAX(Данные6[[#This Row],[interest_rate]],$C$1))</f>
        <v>0</v>
      </c>
      <c r="V88" s="2">
        <f>MROUND(Данные6[[#This Row],[Минимум 20000]], 100)</f>
        <v>0</v>
      </c>
    </row>
    <row r="89" spans="1:22" x14ac:dyDescent="0.25">
      <c r="A89" s="2">
        <f>'1000_заявлений'!A83</f>
        <v>81</v>
      </c>
      <c r="B89" s="4">
        <f>VALUE(SUBSTITUTE('1000_заявлений'!B83, ".", ","))</f>
        <v>0.66538917443665402</v>
      </c>
      <c r="C89" s="4">
        <f>VALUE(SUBSTITUTE('1000_заявлений'!C83, ".", ","))</f>
        <v>0.431060313740181</v>
      </c>
      <c r="D89" s="4">
        <f>VALUE(SUBSTITUTE('1000_заявлений'!D83, ".", ","))</f>
        <v>0.39621958000000002</v>
      </c>
      <c r="E89" s="4">
        <f>VALUE(SUBSTITUTE('1000_заявлений'!E83, ".", ","))</f>
        <v>0.13444519999999999</v>
      </c>
      <c r="F89" s="5">
        <f>VALUE(SUBSTITUTE('1000_заявлений'!F83, ".", ","))</f>
        <v>-1659</v>
      </c>
      <c r="G89" s="5">
        <f>VALUE(SUBSTITUTE('1000_заявлений'!G83, ".", ","))</f>
        <v>-10900</v>
      </c>
      <c r="H89" s="5">
        <f>VALUE(SUBSTITUTE('1000_заявлений'!H83, ".", ","))</f>
        <v>-2407</v>
      </c>
      <c r="I89" s="4">
        <f>VALUE(SUBSTITUTE('1000_заявлений'!I83, ".", ","))</f>
        <v>0.18258333333333299</v>
      </c>
      <c r="J89" s="4">
        <f>VALUE(SUBSTITUTE('1000_заявлений'!J83, ".", ","))</f>
        <v>6.1526136069854598</v>
      </c>
      <c r="K89" s="5">
        <f>VALUE(SUBSTITUTE('1000_заявлений'!K83, ".", ","))</f>
        <v>-2083</v>
      </c>
      <c r="L89" s="6">
        <f>VALUE(SUBSTITUTE('1000_заявлений'!L83, ".", ","))</f>
        <v>49297.5</v>
      </c>
      <c r="M89" s="2" t="str">
        <f>IF(Данные6[[#This Row],[proba]]&gt;$C$6, "отказ", "одобрение")</f>
        <v>отказ</v>
      </c>
      <c r="N89" s="7">
        <f>IF(Данные6[[#This Row],[proba]]&lt;$D$2,$C$2,IF(Данные6[[#This Row],[proba]]&lt;$D$3,$C$3,IF(Данные6[[#This Row],[proba]]&gt;$C$6,0,$C$4)))</f>
        <v>0</v>
      </c>
      <c r="O89" s="2">
        <f>IF(Данные6[[#This Row],[weighted_ext_score]]&gt;$O$1,MIN(Данные6[[#This Row],[Базовая сумма]]*$O$2,$C$2),IF(Данные6[[#This Row],[weighted_ext_score]]&lt;$O$3,Данные6[[#This Row],[Базовая сумма]]*$O$4,N89))</f>
        <v>0</v>
      </c>
      <c r="P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" s="2">
        <f>ABS(Данные6[[#This Row],[days_birth]])/365.2425</f>
        <v>29.843186376174732</v>
      </c>
      <c r="S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" s="2">
        <f>IF(Данные6[[#This Row],[ interest_rate]]&gt;$T$1,Данные6[[#This Row],[days_birth4]]*$T$2,Данные6[[#This Row],[days_birth4]])</f>
        <v>0</v>
      </c>
      <c r="U89" s="2">
        <f>IF(Данные6[[#This Row],[Проверка отказа]]="отказ",0,MAX(Данные6[[#This Row],[interest_rate]],$C$1))</f>
        <v>0</v>
      </c>
      <c r="V89" s="2">
        <f>MROUND(Данные6[[#This Row],[Минимум 20000]], 100)</f>
        <v>0</v>
      </c>
    </row>
    <row r="90" spans="1:22" x14ac:dyDescent="0.25">
      <c r="A90" s="2">
        <f>'1000_заявлений'!A84</f>
        <v>82</v>
      </c>
      <c r="B90" s="4">
        <f>VALUE(SUBSTITUTE('1000_заявлений'!B84, ".", ","))</f>
        <v>0.45093071945118401</v>
      </c>
      <c r="C90" s="4">
        <f>VALUE(SUBSTITUTE('1000_заявлений'!C84, ".", ","))</f>
        <v>0.36666708318666502</v>
      </c>
      <c r="D90" s="4">
        <f>VALUE(SUBSTITUTE('1000_заявлений'!D84, ".", ","))</f>
        <v>0.74355930000000003</v>
      </c>
      <c r="E90" s="4">
        <f>VALUE(SUBSTITUTE('1000_заявлений'!E84, ".", ","))</f>
        <v>0.30133850000000001</v>
      </c>
      <c r="F90" s="5">
        <f>VALUE(SUBSTITUTE('1000_заявлений'!F84, ".", ","))</f>
        <v>-914</v>
      </c>
      <c r="G90" s="5">
        <f>VALUE(SUBSTITUTE('1000_заявлений'!G84, ".", ","))</f>
        <v>-17456</v>
      </c>
      <c r="H90" s="5">
        <f>VALUE(SUBSTITUTE('1000_заявлений'!H84, ".", ","))</f>
        <v>-992</v>
      </c>
      <c r="I90" s="4">
        <f>VALUE(SUBSTITUTE('1000_заявлений'!I84, ".", ","))</f>
        <v>0.17249999999999999</v>
      </c>
      <c r="J90" s="4">
        <f>VALUE(SUBSTITUTE('1000_заявлений'!J84, ".", ","))</f>
        <v>1.8435982397603199</v>
      </c>
      <c r="K90" s="5">
        <f>VALUE(SUBSTITUTE('1000_заявлений'!K84, ".", ","))</f>
        <v>-2423</v>
      </c>
      <c r="L90" s="6">
        <f>VALUE(SUBSTITUTE('1000_заявлений'!L84, ".", ","))</f>
        <v>31050</v>
      </c>
      <c r="M90" s="2" t="str">
        <f>IF(Данные6[[#This Row],[proba]]&gt;$C$6, "отказ", "одобрение")</f>
        <v>отказ</v>
      </c>
      <c r="N90" s="7">
        <f>IF(Данные6[[#This Row],[proba]]&lt;$D$2,$C$2,IF(Данные6[[#This Row],[proba]]&lt;$D$3,$C$3,IF(Данные6[[#This Row],[proba]]&gt;$C$6,0,$C$4)))</f>
        <v>0</v>
      </c>
      <c r="O90" s="2">
        <f>IF(Данные6[[#This Row],[weighted_ext_score]]&gt;$O$1,MIN(Данные6[[#This Row],[Базовая сумма]]*$O$2,$C$2),IF(Данные6[[#This Row],[weighted_ext_score]]&lt;$O$3,Данные6[[#This Row],[Базовая сумма]]*$O$4,N90))</f>
        <v>0</v>
      </c>
      <c r="P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" s="2">
        <f>ABS(Данные6[[#This Row],[days_birth]])/365.2425</f>
        <v>47.792904713991391</v>
      </c>
      <c r="S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" s="2">
        <f>IF(Данные6[[#This Row],[ interest_rate]]&gt;$T$1,Данные6[[#This Row],[days_birth4]]*$T$2,Данные6[[#This Row],[days_birth4]])</f>
        <v>0</v>
      </c>
      <c r="U90" s="2">
        <f>IF(Данные6[[#This Row],[Проверка отказа]]="отказ",0,MAX(Данные6[[#This Row],[interest_rate]],$C$1))</f>
        <v>0</v>
      </c>
      <c r="V90" s="2">
        <f>MROUND(Данные6[[#This Row],[Минимум 20000]], 100)</f>
        <v>0</v>
      </c>
    </row>
    <row r="91" spans="1:22" x14ac:dyDescent="0.25">
      <c r="A91" s="2">
        <f>'1000_заявлений'!A85</f>
        <v>83</v>
      </c>
      <c r="B91" s="4">
        <f>VALUE(SUBSTITUTE('1000_заявлений'!B85, ".", ","))</f>
        <v>0.29313138650223403</v>
      </c>
      <c r="C91" s="4">
        <f>VALUE(SUBSTITUTE('1000_заявлений'!C85, ".", ","))</f>
        <v>0.42981726655979102</v>
      </c>
      <c r="D91" s="4">
        <f>VALUE(SUBSTITUTE('1000_заявлений'!D85, ".", ","))</f>
        <v>0.68947919999999996</v>
      </c>
      <c r="E91" s="4">
        <f>VALUE(SUBSTITUTE('1000_заявлений'!E85, ".", ","))</f>
        <v>0.5563169</v>
      </c>
      <c r="F91" s="5">
        <f>VALUE(SUBSTITUTE('1000_заявлений'!F85, ".", ","))</f>
        <v>-343</v>
      </c>
      <c r="G91" s="5">
        <f>VALUE(SUBSTITUTE('1000_заявлений'!G85, ".", ","))</f>
        <v>-19925</v>
      </c>
      <c r="H91" s="5">
        <f>VALUE(SUBSTITUTE('1000_заявлений'!H85, ".", ","))</f>
        <v>-3273</v>
      </c>
      <c r="I91" s="4">
        <f>VALUE(SUBSTITUTE('1000_заявлений'!I85, ".", ","))</f>
        <v>0.17214285714285699</v>
      </c>
      <c r="J91" s="4">
        <f>VALUE(SUBSTITUTE('1000_заявлений'!J85, ".", ","))</f>
        <v>3.4259161328562699</v>
      </c>
      <c r="K91" s="5">
        <f>VALUE(SUBSTITUTE('1000_заявлений'!K85, ".", ","))</f>
        <v>-6329</v>
      </c>
      <c r="L91" s="6">
        <f>VALUE(SUBSTITUTE('1000_заявлений'!L85, ".", ","))</f>
        <v>54225</v>
      </c>
      <c r="M91" s="2" t="str">
        <f>IF(Данные6[[#This Row],[proba]]&gt;$C$6, "отказ", "одобрение")</f>
        <v>одобрение</v>
      </c>
      <c r="N91" s="7">
        <f>IF(Данные6[[#This Row],[proba]]&lt;$D$2,$C$2,IF(Данные6[[#This Row],[proba]]&lt;$D$3,$C$3,IF(Данные6[[#This Row],[proba]]&gt;$C$6,0,$C$4)))</f>
        <v>50000</v>
      </c>
      <c r="O91" s="2">
        <f>IF(Данные6[[#This Row],[weighted_ext_score]]&gt;$O$1,MIN(Данные6[[#This Row],[Базовая сумма]]*$O$2,$C$2),IF(Данные6[[#This Row],[weighted_ext_score]]&lt;$O$3,Данные6[[#This Row],[Базовая сумма]]*$O$4,N91))</f>
        <v>40000</v>
      </c>
      <c r="P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91" s="2">
        <f>ABS(Данные6[[#This Row],[days_birth]])/365.2425</f>
        <v>54.552797114246012</v>
      </c>
      <c r="S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91" s="2">
        <f>IF(Данные6[[#This Row],[ interest_rate]]&gt;$T$1,Данные6[[#This Row],[days_birth4]]*$T$2,Данные6[[#This Row],[days_birth4]])</f>
        <v>50400</v>
      </c>
      <c r="U91" s="2">
        <f>IF(Данные6[[#This Row],[Проверка отказа]]="отказ",0,MAX(Данные6[[#This Row],[interest_rate]],$C$1))</f>
        <v>50400</v>
      </c>
      <c r="V91" s="2">
        <f>MROUND(Данные6[[#This Row],[Минимум 20000]], 100)</f>
        <v>50400</v>
      </c>
    </row>
    <row r="92" spans="1:22" x14ac:dyDescent="0.25">
      <c r="A92" s="2">
        <f>'1000_заявлений'!A86</f>
        <v>84</v>
      </c>
      <c r="B92" s="4">
        <f>VALUE(SUBSTITUTE('1000_заявлений'!B86, ".", ","))</f>
        <v>0.58828321368469005</v>
      </c>
      <c r="C92" s="4">
        <f>VALUE(SUBSTITUTE('1000_заявлений'!C86, ".", ","))</f>
        <v>0.291039187001085</v>
      </c>
      <c r="D92" s="4">
        <f>VALUE(SUBSTITUTE('1000_заявлений'!D86, ".", ","))</f>
        <v>0.58148370000000005</v>
      </c>
      <c r="E92" s="4">
        <f>VALUE(SUBSTITUTE('1000_заявлений'!E86, ".", ","))</f>
        <v>0.24889727</v>
      </c>
      <c r="F92" s="5">
        <f>VALUE(SUBSTITUTE('1000_заявлений'!F86, ".", ","))</f>
        <v>-1786</v>
      </c>
      <c r="G92" s="5">
        <f>VALUE(SUBSTITUTE('1000_заявлений'!G86, ".", ","))</f>
        <v>-8993</v>
      </c>
      <c r="H92" s="5">
        <f>VALUE(SUBSTITUTE('1000_заявлений'!H86, ".", ","))</f>
        <v>-1674</v>
      </c>
      <c r="I92" s="4">
        <f>VALUE(SUBSTITUTE('1000_заявлений'!I86, ".", ","))</f>
        <v>0.15895000000000001</v>
      </c>
      <c r="J92" s="4">
        <f>VALUE(SUBSTITUTE('1000_заявлений'!J86, ".", ","))</f>
        <v>13.594085045309299</v>
      </c>
      <c r="K92" s="5">
        <f>VALUE(SUBSTITUTE('1000_заявлений'!K86, ".", ","))</f>
        <v>-152</v>
      </c>
      <c r="L92" s="6">
        <f>VALUE(SUBSTITUTE('1000_заявлений'!L86, ".", ","))</f>
        <v>14305.5</v>
      </c>
      <c r="M92" s="2" t="str">
        <f>IF(Данные6[[#This Row],[proba]]&gt;$C$6, "отказ", "одобрение")</f>
        <v>отказ</v>
      </c>
      <c r="N92" s="7">
        <f>IF(Данные6[[#This Row],[proba]]&lt;$D$2,$C$2,IF(Данные6[[#This Row],[proba]]&lt;$D$3,$C$3,IF(Данные6[[#This Row],[proba]]&gt;$C$6,0,$C$4)))</f>
        <v>0</v>
      </c>
      <c r="O92" s="2">
        <f>IF(Данные6[[#This Row],[weighted_ext_score]]&gt;$O$1,MIN(Данные6[[#This Row],[Базовая сумма]]*$O$2,$C$2),IF(Данные6[[#This Row],[weighted_ext_score]]&lt;$O$3,Данные6[[#This Row],[Базовая сумма]]*$O$4,N92))</f>
        <v>0</v>
      </c>
      <c r="P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" s="2">
        <f>ABS(Данные6[[#This Row],[days_birth]])/365.2425</f>
        <v>24.621997713847648</v>
      </c>
      <c r="S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" s="2">
        <f>IF(Данные6[[#This Row],[ interest_rate]]&gt;$T$1,Данные6[[#This Row],[days_birth4]]*$T$2,Данные6[[#This Row],[days_birth4]])</f>
        <v>0</v>
      </c>
      <c r="U92" s="2">
        <f>IF(Данные6[[#This Row],[Проверка отказа]]="отказ",0,MAX(Данные6[[#This Row],[interest_rate]],$C$1))</f>
        <v>0</v>
      </c>
      <c r="V92" s="2">
        <f>MROUND(Данные6[[#This Row],[Минимум 20000]], 100)</f>
        <v>0</v>
      </c>
    </row>
    <row r="93" spans="1:22" x14ac:dyDescent="0.25">
      <c r="A93" s="2">
        <f>'1000_заявлений'!A87</f>
        <v>85</v>
      </c>
      <c r="B93" s="4">
        <f>VALUE(SUBSTITUTE('1000_заявлений'!B87, ".", ","))</f>
        <v>0.21548966266669101</v>
      </c>
      <c r="C93" s="4">
        <f>VALUE(SUBSTITUTE('1000_заявлений'!C87, ".", ","))</f>
        <v>0.63502740686066395</v>
      </c>
      <c r="D93" s="4">
        <f>VALUE(SUBSTITUTE('1000_заявлений'!D87, ".", ","))</f>
        <v>0.63637613999999998</v>
      </c>
      <c r="E93" s="4">
        <f>VALUE(SUBSTITUTE('1000_заявлений'!E87, ".", ","))</f>
        <v>0.70255429999999996</v>
      </c>
      <c r="F93" s="5">
        <f>VALUE(SUBSTITUTE('1000_заявлений'!F87, ".", ","))</f>
        <v>-9436</v>
      </c>
      <c r="G93" s="5">
        <f>VALUE(SUBSTITUTE('1000_заявлений'!G87, ".", ","))</f>
        <v>-17254</v>
      </c>
      <c r="H93" s="5">
        <f>VALUE(SUBSTITUTE('1000_заявлений'!H87, ".", ","))</f>
        <v>-792</v>
      </c>
      <c r="I93" s="4">
        <f>VALUE(SUBSTITUTE('1000_заявлений'!I87, ".", ","))</f>
        <v>0.215159010600706</v>
      </c>
      <c r="J93" s="4">
        <f>VALUE(SUBSTITUTE('1000_заявлений'!J87, ".", ","))</f>
        <v>3.5549687654000199</v>
      </c>
      <c r="K93" s="5">
        <f>VALUE(SUBSTITUTE('1000_заявлений'!K87, ".", ","))</f>
        <v>-9131</v>
      </c>
      <c r="L93" s="6">
        <f>VALUE(SUBSTITUTE('1000_заявлений'!L87, ".", ","))</f>
        <v>54801</v>
      </c>
      <c r="M93" s="2" t="str">
        <f>IF(Данные6[[#This Row],[proba]]&gt;$C$6, "отказ", "одобрение")</f>
        <v>одобрение</v>
      </c>
      <c r="N93" s="7">
        <f>IF(Данные6[[#This Row],[proba]]&lt;$D$2,$C$2,IF(Данные6[[#This Row],[proba]]&lt;$D$3,$C$3,IF(Данные6[[#This Row],[proba]]&gt;$C$6,0,$C$4)))</f>
        <v>50000</v>
      </c>
      <c r="O93" s="2">
        <f>IF(Данные6[[#This Row],[weighted_ext_score]]&gt;$O$1,MIN(Данные6[[#This Row],[Базовая сумма]]*$O$2,$C$2),IF(Данные6[[#This Row],[weighted_ext_score]]&lt;$O$3,Данные6[[#This Row],[Базовая сумма]]*$O$4,N93))</f>
        <v>50000</v>
      </c>
      <c r="P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93" s="2">
        <f>ABS(Данные6[[#This Row],[days_birth]])/365.2425</f>
        <v>47.239847498579707</v>
      </c>
      <c r="S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93" s="2">
        <f>IF(Данные6[[#This Row],[ interest_rate]]&gt;$T$1,Данные6[[#This Row],[days_birth4]]*$T$2,Данные6[[#This Row],[days_birth4]])</f>
        <v>60000</v>
      </c>
      <c r="U93" s="2">
        <f>IF(Данные6[[#This Row],[Проверка отказа]]="отказ",0,MAX(Данные6[[#This Row],[interest_rate]],$C$1))</f>
        <v>60000</v>
      </c>
      <c r="V93" s="2">
        <f>MROUND(Данные6[[#This Row],[Минимум 20000]], 100)</f>
        <v>60000</v>
      </c>
    </row>
    <row r="94" spans="1:22" x14ac:dyDescent="0.25">
      <c r="A94" s="2">
        <f>'1000_заявлений'!A88</f>
        <v>86</v>
      </c>
      <c r="B94" s="4">
        <f>VALUE(SUBSTITUTE('1000_заявлений'!B88, ".", ","))</f>
        <v>0.62730975967222202</v>
      </c>
      <c r="C94" s="4">
        <f>VALUE(SUBSTITUTE('1000_заявлений'!C88, ".", ","))</f>
        <v>0.38644886684229401</v>
      </c>
      <c r="D94" s="4">
        <f>VALUE(SUBSTITUTE('1000_заявлений'!D88, ".", ","))</f>
        <v>0.55316469999999995</v>
      </c>
      <c r="E94" s="4">
        <f>VALUE(SUBSTITUTE('1000_заявлений'!E88, ".", ","))</f>
        <v>6.6663793999999998E-2</v>
      </c>
      <c r="F94" s="5">
        <f>VALUE(SUBSTITUTE('1000_заявлений'!F88, ".", ","))</f>
        <v>-7837</v>
      </c>
      <c r="G94" s="5">
        <f>VALUE(SUBSTITUTE('1000_заявлений'!G88, ".", ","))</f>
        <v>-15658</v>
      </c>
      <c r="H94" s="5">
        <f>VALUE(SUBSTITUTE('1000_заявлений'!H88, ".", ","))</f>
        <v>-4838</v>
      </c>
      <c r="I94" s="4">
        <f>VALUE(SUBSTITUTE('1000_заявлений'!I88, ".", ","))</f>
        <v>0.23946666666666599</v>
      </c>
      <c r="J94" s="4">
        <f>VALUE(SUBSTITUTE('1000_заявлений'!J88, ".", ","))</f>
        <v>3.3619817605943001</v>
      </c>
      <c r="K94" s="5">
        <f>VALUE(SUBSTITUTE('1000_заявлений'!K88, ".", ","))</f>
        <v>-2214</v>
      </c>
      <c r="L94" s="6">
        <f>VALUE(SUBSTITUTE('1000_заявлений'!L88, ".", ","))</f>
        <v>16164</v>
      </c>
      <c r="M94" s="2" t="str">
        <f>IF(Данные6[[#This Row],[proba]]&gt;$C$6, "отказ", "одобрение")</f>
        <v>отказ</v>
      </c>
      <c r="N94" s="7">
        <f>IF(Данные6[[#This Row],[proba]]&lt;$D$2,$C$2,IF(Данные6[[#This Row],[proba]]&lt;$D$3,$C$3,IF(Данные6[[#This Row],[proba]]&gt;$C$6,0,$C$4)))</f>
        <v>0</v>
      </c>
      <c r="O94" s="2">
        <f>IF(Данные6[[#This Row],[weighted_ext_score]]&gt;$O$1,MIN(Данные6[[#This Row],[Базовая сумма]]*$O$2,$C$2),IF(Данные6[[#This Row],[weighted_ext_score]]&lt;$O$3,Данные6[[#This Row],[Базовая сумма]]*$O$4,N94))</f>
        <v>0</v>
      </c>
      <c r="P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" s="2">
        <f>ABS(Данные6[[#This Row],[days_birth]])/365.2425</f>
        <v>42.870147915426053</v>
      </c>
      <c r="S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" s="2">
        <f>IF(Данные6[[#This Row],[ interest_rate]]&gt;$T$1,Данные6[[#This Row],[days_birth4]]*$T$2,Данные6[[#This Row],[days_birth4]])</f>
        <v>0</v>
      </c>
      <c r="U94" s="2">
        <f>IF(Данные6[[#This Row],[Проверка отказа]]="отказ",0,MAX(Данные6[[#This Row],[interest_rate]],$C$1))</f>
        <v>0</v>
      </c>
      <c r="V94" s="2">
        <f>MROUND(Данные6[[#This Row],[Минимум 20000]], 100)</f>
        <v>0</v>
      </c>
    </row>
    <row r="95" spans="1:22" x14ac:dyDescent="0.25">
      <c r="A95" s="2">
        <f>'1000_заявлений'!A89</f>
        <v>87</v>
      </c>
      <c r="B95" s="4">
        <f>VALUE(SUBSTITUTE('1000_заявлений'!B89, ".", ","))</f>
        <v>0.53317398647882497</v>
      </c>
      <c r="C95" s="4">
        <f>VALUE(SUBSTITUTE('1000_заявлений'!C89, ".", ","))</f>
        <v>0.34838228668590898</v>
      </c>
      <c r="D95" s="4">
        <f>VALUE(SUBSTITUTE('1000_заявлений'!D89, ".", ","))</f>
        <v>0.40835884</v>
      </c>
      <c r="E95" s="4">
        <f>VALUE(SUBSTITUTE('1000_заявлений'!E89, ".", ","))</f>
        <v>0.61870294999999997</v>
      </c>
      <c r="F95" s="5">
        <f>VALUE(SUBSTITUTE('1000_заявлений'!F89, ".", ","))</f>
        <v>-5119</v>
      </c>
      <c r="G95" s="5">
        <f>VALUE(SUBSTITUTE('1000_заявлений'!G89, ".", ","))</f>
        <v>-10774</v>
      </c>
      <c r="H95" s="5">
        <f>VALUE(SUBSTITUTE('1000_заявлений'!H89, ".", ","))</f>
        <v>-3436</v>
      </c>
      <c r="I95" s="4">
        <f>VALUE(SUBSTITUTE('1000_заявлений'!I89, ".", ","))</f>
        <v>0.22646666666666601</v>
      </c>
      <c r="J95" s="4">
        <f>VALUE(SUBSTITUTE('1000_заявлений'!J89, ".", ","))</f>
        <v>2.8867379599879199</v>
      </c>
      <c r="K95" s="5">
        <f>VALUE(SUBSTITUTE('1000_заявлений'!K89, ".", ","))</f>
        <v>-412</v>
      </c>
      <c r="L95" s="6">
        <f>VALUE(SUBSTITUTE('1000_заявлений'!L89, ".", ","))</f>
        <v>30573</v>
      </c>
      <c r="M95" s="2" t="str">
        <f>IF(Данные6[[#This Row],[proba]]&gt;$C$6, "отказ", "одобрение")</f>
        <v>отказ</v>
      </c>
      <c r="N95" s="7">
        <f>IF(Данные6[[#This Row],[proba]]&lt;$D$2,$C$2,IF(Данные6[[#This Row],[proba]]&lt;$D$3,$C$3,IF(Данные6[[#This Row],[proba]]&gt;$C$6,0,$C$4)))</f>
        <v>0</v>
      </c>
      <c r="O95" s="2">
        <f>IF(Данные6[[#This Row],[weighted_ext_score]]&gt;$O$1,MIN(Данные6[[#This Row],[Базовая сумма]]*$O$2,$C$2),IF(Данные6[[#This Row],[weighted_ext_score]]&lt;$O$3,Данные6[[#This Row],[Базовая сумма]]*$O$4,N95))</f>
        <v>0</v>
      </c>
      <c r="P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" s="2">
        <f>ABS(Данные6[[#This Row],[days_birth]])/365.2425</f>
        <v>29.49821009329418</v>
      </c>
      <c r="S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" s="2">
        <f>IF(Данные6[[#This Row],[ interest_rate]]&gt;$T$1,Данные6[[#This Row],[days_birth4]]*$T$2,Данные6[[#This Row],[days_birth4]])</f>
        <v>0</v>
      </c>
      <c r="U95" s="2">
        <f>IF(Данные6[[#This Row],[Проверка отказа]]="отказ",0,MAX(Данные6[[#This Row],[interest_rate]],$C$1))</f>
        <v>0</v>
      </c>
      <c r="V95" s="2">
        <f>MROUND(Данные6[[#This Row],[Минимум 20000]], 100)</f>
        <v>0</v>
      </c>
    </row>
    <row r="96" spans="1:22" x14ac:dyDescent="0.25">
      <c r="A96" s="2">
        <f>'1000_заявлений'!A90</f>
        <v>88</v>
      </c>
      <c r="B96" s="4">
        <f>VALUE(SUBSTITUTE('1000_заявлений'!B90, ".", ","))</f>
        <v>0.39379781918453899</v>
      </c>
      <c r="C96" s="4">
        <f>VALUE(SUBSTITUTE('1000_заявлений'!C90, ".", ","))</f>
        <v>0.53065249338881004</v>
      </c>
      <c r="D96" s="4">
        <f>VALUE(SUBSTITUTE('1000_заявлений'!D90, ".", ","))</f>
        <v>0.37740424</v>
      </c>
      <c r="E96" s="4">
        <f>VALUE(SUBSTITUTE('1000_заявлений'!E90, ".", ","))</f>
        <v>0.64435679999999995</v>
      </c>
      <c r="F96" s="5">
        <f>VALUE(SUBSTITUTE('1000_заявлений'!F90, ".", ","))</f>
        <v>-9015</v>
      </c>
      <c r="G96" s="5">
        <f>VALUE(SUBSTITUTE('1000_заявлений'!G90, ".", ","))</f>
        <v>-16690</v>
      </c>
      <c r="H96" s="5">
        <f>VALUE(SUBSTITUTE('1000_заявлений'!H90, ".", ","))</f>
        <v>-241</v>
      </c>
      <c r="I96" s="4">
        <f>VALUE(SUBSTITUTE('1000_заявлений'!I90, ".", ","))</f>
        <v>2.8914285714285701E-2</v>
      </c>
      <c r="J96" s="4">
        <f>VALUE(SUBSTITUTE('1000_заявлений'!J90, ".", ","))</f>
        <v>3.6282869831437901</v>
      </c>
      <c r="K96" s="5">
        <f>VALUE(SUBSTITUTE('1000_заявлений'!K90, ".", ","))</f>
        <v>-9011</v>
      </c>
      <c r="L96" s="6">
        <f>VALUE(SUBSTITUTE('1000_заявлений'!L90, ".", ","))</f>
        <v>4554</v>
      </c>
      <c r="M96" s="2" t="str">
        <f>IF(Данные6[[#This Row],[proba]]&gt;$C$6, "отказ", "одобрение")</f>
        <v>отказ</v>
      </c>
      <c r="N96" s="7">
        <f>IF(Данные6[[#This Row],[proba]]&lt;$D$2,$C$2,IF(Данные6[[#This Row],[proba]]&lt;$D$3,$C$3,IF(Данные6[[#This Row],[proba]]&gt;$C$6,0,$C$4)))</f>
        <v>0</v>
      </c>
      <c r="O96" s="2">
        <f>IF(Данные6[[#This Row],[weighted_ext_score]]&gt;$O$1,MIN(Данные6[[#This Row],[Базовая сумма]]*$O$2,$C$2),IF(Данные6[[#This Row],[weighted_ext_score]]&lt;$O$3,Данные6[[#This Row],[Базовая сумма]]*$O$4,N96))</f>
        <v>0</v>
      </c>
      <c r="P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" s="2">
        <f>ABS(Данные6[[#This Row],[days_birth]])/365.2425</f>
        <v>45.695667946638189</v>
      </c>
      <c r="S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" s="2">
        <f>IF(Данные6[[#This Row],[ interest_rate]]&gt;$T$1,Данные6[[#This Row],[days_birth4]]*$T$2,Данные6[[#This Row],[days_birth4]])</f>
        <v>0</v>
      </c>
      <c r="U96" s="2">
        <f>IF(Данные6[[#This Row],[Проверка отказа]]="отказ",0,MAX(Данные6[[#This Row],[interest_rate]],$C$1))</f>
        <v>0</v>
      </c>
      <c r="V96" s="2">
        <f>MROUND(Данные6[[#This Row],[Минимум 20000]], 100)</f>
        <v>0</v>
      </c>
    </row>
    <row r="97" spans="1:22" x14ac:dyDescent="0.25">
      <c r="A97" s="2">
        <f>'1000_заявлений'!A91</f>
        <v>89</v>
      </c>
      <c r="B97" s="4">
        <f>VALUE(SUBSTITUTE('1000_заявлений'!B91, ".", ","))</f>
        <v>0.27246156329083798</v>
      </c>
      <c r="C97" s="4">
        <f>VALUE(SUBSTITUTE('1000_заявлений'!C91, ".", ","))</f>
        <v>0.44089078748159299</v>
      </c>
      <c r="D97" s="4">
        <f>VALUE(SUBSTITUTE('1000_заявлений'!D91, ".", ","))</f>
        <v>0.66745776000000001</v>
      </c>
      <c r="E97" s="4">
        <f>VALUE(SUBSTITUTE('1000_заявлений'!E91, ".", ","))</f>
        <v>0.61500763999999997</v>
      </c>
      <c r="F97" s="5">
        <f>VALUE(SUBSTITUTE('1000_заявлений'!F91, ".", ","))</f>
        <v>-7875</v>
      </c>
      <c r="G97" s="5">
        <f>VALUE(SUBSTITUTE('1000_заявлений'!G91, ".", ","))</f>
        <v>-15467</v>
      </c>
      <c r="H97" s="5">
        <f>VALUE(SUBSTITUTE('1000_заявлений'!H91, ".", ","))</f>
        <v>-4983</v>
      </c>
      <c r="I97" s="4">
        <f>VALUE(SUBSTITUTE('1000_заявлений'!I91, ".", ","))</f>
        <v>0.2586</v>
      </c>
      <c r="J97" s="4">
        <f>VALUE(SUBSTITUTE('1000_заявлений'!J91, ".", ","))</f>
        <v>2.62954293619444</v>
      </c>
      <c r="K97" s="5">
        <f>VALUE(SUBSTITUTE('1000_заявлений'!K91, ".", ","))</f>
        <v>365243</v>
      </c>
      <c r="L97" s="6">
        <f>VALUE(SUBSTITUTE('1000_заявлений'!L91, ".", ","))</f>
        <v>34911</v>
      </c>
      <c r="M97" s="2" t="str">
        <f>IF(Данные6[[#This Row],[proba]]&gt;$C$6, "отказ", "одобрение")</f>
        <v>одобрение</v>
      </c>
      <c r="N97" s="7">
        <f>IF(Данные6[[#This Row],[proba]]&lt;$D$2,$C$2,IF(Данные6[[#This Row],[proba]]&lt;$D$3,$C$3,IF(Данные6[[#This Row],[proba]]&gt;$C$6,0,$C$4)))</f>
        <v>50000</v>
      </c>
      <c r="O97" s="2">
        <f>IF(Данные6[[#This Row],[weighted_ext_score]]&gt;$O$1,MIN(Данные6[[#This Row],[Базовая сумма]]*$O$2,$C$2),IF(Данные6[[#This Row],[weighted_ext_score]]&lt;$O$3,Данные6[[#This Row],[Базовая сумма]]*$O$4,N97))</f>
        <v>40000</v>
      </c>
      <c r="P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97" s="2">
        <f>ABS(Данные6[[#This Row],[days_birth]])/365.2425</f>
        <v>42.347207677091248</v>
      </c>
      <c r="S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40000</v>
      </c>
      <c r="T97" s="2">
        <f>IF(Данные6[[#This Row],[ interest_rate]]&gt;$T$1,Данные6[[#This Row],[days_birth4]]*$T$2,Данные6[[#This Row],[days_birth4]])</f>
        <v>40000</v>
      </c>
      <c r="U97" s="2">
        <f>IF(Данные6[[#This Row],[Проверка отказа]]="отказ",0,MAX(Данные6[[#This Row],[interest_rate]],$C$1))</f>
        <v>40000</v>
      </c>
      <c r="V97" s="2">
        <f>MROUND(Данные6[[#This Row],[Минимум 20000]], 100)</f>
        <v>40000</v>
      </c>
    </row>
    <row r="98" spans="1:22" x14ac:dyDescent="0.25">
      <c r="A98" s="2">
        <f>'1000_заявлений'!A92</f>
        <v>90</v>
      </c>
      <c r="B98" s="4">
        <f>VALUE(SUBSTITUTE('1000_заявлений'!B92, ".", ","))</f>
        <v>0.28663109916665902</v>
      </c>
      <c r="C98" s="4">
        <f>VALUE(SUBSTITUTE('1000_заявлений'!C92, ".", ","))</f>
        <v>0.52201845410357195</v>
      </c>
      <c r="D98" s="4">
        <f>VALUE(SUBSTITUTE('1000_заявлений'!D92, ".", ","))</f>
        <v>0.73522100000000001</v>
      </c>
      <c r="E98" s="4">
        <f>VALUE(SUBSTITUTE('1000_заявлений'!E92, ".", ","))</f>
        <v>0.37962027999999998</v>
      </c>
      <c r="F98" s="5">
        <f>VALUE(SUBSTITUTE('1000_заявлений'!F92, ".", ","))</f>
        <v>-6664</v>
      </c>
      <c r="G98" s="5">
        <f>VALUE(SUBSTITUTE('1000_заявлений'!G92, ".", ","))</f>
        <v>-20335</v>
      </c>
      <c r="H98" s="5">
        <f>VALUE(SUBSTITUTE('1000_заявлений'!H92, ".", ","))</f>
        <v>-3825</v>
      </c>
      <c r="I98" s="4">
        <f>VALUE(SUBSTITUTE('1000_заявлений'!I92, ".", ","))</f>
        <v>0.108483333333333</v>
      </c>
      <c r="J98" s="4">
        <f>VALUE(SUBSTITUTE('1000_заявлений'!J92, ".", ","))</f>
        <v>1.86007890887476</v>
      </c>
      <c r="K98" s="5">
        <f>VALUE(SUBSTITUTE('1000_заявлений'!K92, ".", ","))</f>
        <v>-2056</v>
      </c>
      <c r="L98" s="6">
        <f>VALUE(SUBSTITUTE('1000_заявлений'!L92, ".", ","))</f>
        <v>29290.5</v>
      </c>
      <c r="M98" s="2" t="str">
        <f>IF(Данные6[[#This Row],[proba]]&gt;$C$6, "отказ", "одобрение")</f>
        <v>одобрение</v>
      </c>
      <c r="N98" s="7">
        <f>IF(Данные6[[#This Row],[proba]]&lt;$D$2,$C$2,IF(Данные6[[#This Row],[proba]]&lt;$D$3,$C$3,IF(Данные6[[#This Row],[proba]]&gt;$C$6,0,$C$4)))</f>
        <v>50000</v>
      </c>
      <c r="O98" s="2">
        <f>IF(Данные6[[#This Row],[weighted_ext_score]]&gt;$O$1,MIN(Данные6[[#This Row],[Базовая сумма]]*$O$2,$C$2),IF(Данные6[[#This Row],[weighted_ext_score]]&lt;$O$3,Данные6[[#This Row],[Базовая сумма]]*$O$4,N98))</f>
        <v>50000</v>
      </c>
      <c r="P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8" s="2">
        <f>ABS(Данные6[[#This Row],[days_birth]])/365.2425</f>
        <v>55.675338987111303</v>
      </c>
      <c r="S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36750</v>
      </c>
      <c r="T98" s="2">
        <f>IF(Данные6[[#This Row],[ interest_rate]]&gt;$T$1,Данные6[[#This Row],[days_birth4]]*$T$2,Данные6[[#This Row],[days_birth4]])</f>
        <v>36750</v>
      </c>
      <c r="U98" s="2">
        <f>IF(Данные6[[#This Row],[Проверка отказа]]="отказ",0,MAX(Данные6[[#This Row],[interest_rate]],$C$1))</f>
        <v>36750</v>
      </c>
      <c r="V98" s="2">
        <f>MROUND(Данные6[[#This Row],[Минимум 20000]], 100)</f>
        <v>36800</v>
      </c>
    </row>
    <row r="99" spans="1:22" x14ac:dyDescent="0.25">
      <c r="A99" s="2">
        <f>'1000_заявлений'!A93</f>
        <v>91</v>
      </c>
      <c r="B99" s="4">
        <f>VALUE(SUBSTITUTE('1000_заявлений'!B93, ".", ","))</f>
        <v>0.19064292746732101</v>
      </c>
      <c r="C99" s="4">
        <f>VALUE(SUBSTITUTE('1000_заявлений'!C93, ".", ","))</f>
        <v>0.52153881177860195</v>
      </c>
      <c r="D99" s="4">
        <f>VALUE(SUBSTITUTE('1000_заявлений'!D93, ".", ","))</f>
        <v>0.82459499999999997</v>
      </c>
      <c r="E99" s="4">
        <f>VALUE(SUBSTITUTE('1000_заявлений'!E93, ".", ","))</f>
        <v>0.68843114000000005</v>
      </c>
      <c r="F99" s="5">
        <f>VALUE(SUBSTITUTE('1000_заявлений'!F93, ".", ","))</f>
        <v>-5806</v>
      </c>
      <c r="G99" s="5">
        <f>VALUE(SUBSTITUTE('1000_заявлений'!G93, ".", ","))</f>
        <v>-11995</v>
      </c>
      <c r="H99" s="5">
        <f>VALUE(SUBSTITUTE('1000_заявлений'!H93, ".", ","))</f>
        <v>-3888</v>
      </c>
      <c r="I99" s="4">
        <f>VALUE(SUBSTITUTE('1000_заявлений'!I93, ".", ","))</f>
        <v>0.27203333333333302</v>
      </c>
      <c r="J99" s="4">
        <f>VALUE(SUBSTITUTE('1000_заявлений'!J93, ".", ","))</f>
        <v>5.5315428676420302</v>
      </c>
      <c r="K99" s="5">
        <f>VALUE(SUBSTITUTE('1000_заявлений'!K93, ".", ","))</f>
        <v>-3785</v>
      </c>
      <c r="L99" s="6">
        <f>VALUE(SUBSTITUTE('1000_заявлений'!L93, ".", ","))</f>
        <v>73449</v>
      </c>
      <c r="M99" s="2" t="str">
        <f>IF(Данные6[[#This Row],[proba]]&gt;$C$6, "отказ", "одобрение")</f>
        <v>одобрение</v>
      </c>
      <c r="N99" s="7">
        <f>IF(Данные6[[#This Row],[proba]]&lt;$D$2,$C$2,IF(Данные6[[#This Row],[proba]]&lt;$D$3,$C$3,IF(Данные6[[#This Row],[proba]]&gt;$C$6,0,$C$4)))</f>
        <v>200000</v>
      </c>
      <c r="O99" s="2">
        <f>IF(Данные6[[#This Row],[weighted_ext_score]]&gt;$O$1,MIN(Данные6[[#This Row],[Базовая сумма]]*$O$2,$C$2),IF(Данные6[[#This Row],[weighted_ext_score]]&lt;$O$3,Данные6[[#This Row],[Базовая сумма]]*$O$4,N99))</f>
        <v>200000</v>
      </c>
      <c r="P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99" s="2">
        <f>ABS(Данные6[[#This Row],[days_birth]])/365.2425</f>
        <v>32.841194548827147</v>
      </c>
      <c r="S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99" s="2">
        <f>IF(Данные6[[#This Row],[ interest_rate]]&gt;$T$1,Данные6[[#This Row],[days_birth4]]*$T$2,Данные6[[#This Row],[days_birth4]])</f>
        <v>240000</v>
      </c>
      <c r="U99" s="2">
        <f>IF(Данные6[[#This Row],[Проверка отказа]]="отказ",0,MAX(Данные6[[#This Row],[interest_rate]],$C$1))</f>
        <v>240000</v>
      </c>
      <c r="V99" s="2">
        <f>MROUND(Данные6[[#This Row],[Минимум 20000]], 100)</f>
        <v>240000</v>
      </c>
    </row>
    <row r="100" spans="1:22" x14ac:dyDescent="0.25">
      <c r="A100" s="2">
        <f>'1000_заявлений'!A94</f>
        <v>92</v>
      </c>
      <c r="B100" s="4">
        <f>VALUE(SUBSTITUTE('1000_заявлений'!B94, ".", ","))</f>
        <v>0.483594678145565</v>
      </c>
      <c r="C100" s="4">
        <f>VALUE(SUBSTITUTE('1000_заявлений'!C94, ".", ","))</f>
        <v>0.492264846903396</v>
      </c>
      <c r="D100" s="4">
        <f>VALUE(SUBSTITUTE('1000_заявлений'!D94, ".", ","))</f>
        <v>0.32965505000000001</v>
      </c>
      <c r="E100" s="4">
        <f>VALUE(SUBSTITUTE('1000_заявлений'!E94, ".", ","))</f>
        <v>0.59001740000000003</v>
      </c>
      <c r="F100" s="5">
        <f>VALUE(SUBSTITUTE('1000_заявлений'!F94, ".", ","))</f>
        <v>-4183</v>
      </c>
      <c r="G100" s="5">
        <f>VALUE(SUBSTITUTE('1000_заявлений'!G94, ".", ","))</f>
        <v>-17237</v>
      </c>
      <c r="H100" s="5">
        <f>VALUE(SUBSTITUTE('1000_заявлений'!H94, ".", ","))</f>
        <v>-647</v>
      </c>
      <c r="I100" s="4">
        <f>VALUE(SUBSTITUTE('1000_заявлений'!I94, ".", ","))</f>
        <v>0.146633333333333</v>
      </c>
      <c r="J100" s="4">
        <f>VALUE(SUBSTITUTE('1000_заявлений'!J94, ".", ","))</f>
        <v>3.7178502237405802</v>
      </c>
      <c r="K100" s="5">
        <f>VALUE(SUBSTITUTE('1000_заявлений'!K94, ".", ","))</f>
        <v>-1458</v>
      </c>
      <c r="L100" s="6">
        <f>VALUE(SUBSTITUTE('1000_заявлений'!L94, ".", ","))</f>
        <v>19795.5</v>
      </c>
      <c r="M100" s="2" t="str">
        <f>IF(Данные6[[#This Row],[proba]]&gt;$C$6, "отказ", "одобрение")</f>
        <v>отказ</v>
      </c>
      <c r="N100" s="7">
        <f>IF(Данные6[[#This Row],[proba]]&lt;$D$2,$C$2,IF(Данные6[[#This Row],[proba]]&lt;$D$3,$C$3,IF(Данные6[[#This Row],[proba]]&gt;$C$6,0,$C$4)))</f>
        <v>0</v>
      </c>
      <c r="O100" s="2">
        <f>IF(Данные6[[#This Row],[weighted_ext_score]]&gt;$O$1,MIN(Данные6[[#This Row],[Базовая сумма]]*$O$2,$C$2),IF(Данные6[[#This Row],[weighted_ext_score]]&lt;$O$3,Данные6[[#This Row],[Базовая сумма]]*$O$4,N100))</f>
        <v>0</v>
      </c>
      <c r="P1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" s="2">
        <f>ABS(Данные6[[#This Row],[days_birth]])/365.2425</f>
        <v>47.193303079460904</v>
      </c>
      <c r="S1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" s="2">
        <f>IF(Данные6[[#This Row],[ interest_rate]]&gt;$T$1,Данные6[[#This Row],[days_birth4]]*$T$2,Данные6[[#This Row],[days_birth4]])</f>
        <v>0</v>
      </c>
      <c r="U100" s="2">
        <f>IF(Данные6[[#This Row],[Проверка отказа]]="отказ",0,MAX(Данные6[[#This Row],[interest_rate]],$C$1))</f>
        <v>0</v>
      </c>
      <c r="V100" s="2">
        <f>MROUND(Данные6[[#This Row],[Минимум 20000]], 100)</f>
        <v>0</v>
      </c>
    </row>
    <row r="101" spans="1:22" x14ac:dyDescent="0.25">
      <c r="A101" s="2">
        <f>'1000_заявлений'!A95</f>
        <v>93</v>
      </c>
      <c r="B101" s="4">
        <f>VALUE(SUBSTITUTE('1000_заявлений'!B95, ".", ","))</f>
        <v>0.69151816184846604</v>
      </c>
      <c r="C101" s="4">
        <f>VALUE(SUBSTITUTE('1000_заявлений'!C95, ".", ","))</f>
        <v>0.27402240578921999</v>
      </c>
      <c r="D101" s="4">
        <f>VALUE(SUBSTITUTE('1000_заявлений'!D95, ".", ","))</f>
        <v>0.25670557999999999</v>
      </c>
      <c r="E101" s="4">
        <f>VALUE(SUBSTITUTE('1000_заявлений'!E95, ".", ","))</f>
        <v>0.55855036000000002</v>
      </c>
      <c r="F101" s="5">
        <f>VALUE(SUBSTITUTE('1000_заявлений'!F95, ".", ","))</f>
        <v>-3370</v>
      </c>
      <c r="G101" s="5">
        <f>VALUE(SUBSTITUTE('1000_заявлений'!G95, ".", ","))</f>
        <v>-10033</v>
      </c>
      <c r="H101" s="5">
        <f>VALUE(SUBSTITUTE('1000_заявлений'!H95, ".", ","))</f>
        <v>-2516</v>
      </c>
      <c r="I101" s="4">
        <f>VALUE(SUBSTITUTE('1000_заявлений'!I95, ".", ","))</f>
        <v>0.15490909090909</v>
      </c>
      <c r="J101" s="4">
        <f>VALUE(SUBSTITUTE('1000_заявлений'!J95, ".", ","))</f>
        <v>0.35327004041301102</v>
      </c>
      <c r="K101" s="5">
        <f>VALUE(SUBSTITUTE('1000_заявлений'!K95, ".", ","))</f>
        <v>-558</v>
      </c>
      <c r="L101" s="6">
        <f>VALUE(SUBSTITUTE('1000_заявлений'!L95, ".", ","))</f>
        <v>15336</v>
      </c>
      <c r="M101" s="2" t="str">
        <f>IF(Данные6[[#This Row],[proba]]&gt;$C$6, "отказ", "одобрение")</f>
        <v>отказ</v>
      </c>
      <c r="N101" s="7">
        <f>IF(Данные6[[#This Row],[proba]]&lt;$D$2,$C$2,IF(Данные6[[#This Row],[proba]]&lt;$D$3,$C$3,IF(Данные6[[#This Row],[proba]]&gt;$C$6,0,$C$4)))</f>
        <v>0</v>
      </c>
      <c r="O101" s="2">
        <f>IF(Данные6[[#This Row],[weighted_ext_score]]&gt;$O$1,MIN(Данные6[[#This Row],[Базовая сумма]]*$O$2,$C$2),IF(Данные6[[#This Row],[weighted_ext_score]]&lt;$O$3,Данные6[[#This Row],[Базовая сумма]]*$O$4,N101))</f>
        <v>0</v>
      </c>
      <c r="P1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1" s="2">
        <f>ABS(Данные6[[#This Row],[days_birth]])/365.2425</f>
        <v>27.469421001115698</v>
      </c>
      <c r="S1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1" s="2">
        <f>IF(Данные6[[#This Row],[ interest_rate]]&gt;$T$1,Данные6[[#This Row],[days_birth4]]*$T$2,Данные6[[#This Row],[days_birth4]])</f>
        <v>0</v>
      </c>
      <c r="U101" s="2">
        <f>IF(Данные6[[#This Row],[Проверка отказа]]="отказ",0,MAX(Данные6[[#This Row],[interest_rate]],$C$1))</f>
        <v>0</v>
      </c>
      <c r="V101" s="2">
        <f>MROUND(Данные6[[#This Row],[Минимум 20000]], 100)</f>
        <v>0</v>
      </c>
    </row>
    <row r="102" spans="1:22" x14ac:dyDescent="0.25">
      <c r="A102" s="2">
        <f>'1000_заявлений'!A96</f>
        <v>94</v>
      </c>
      <c r="B102" s="4">
        <f>VALUE(SUBSTITUTE('1000_заявлений'!B96, ".", ","))</f>
        <v>0.784913317025562</v>
      </c>
      <c r="C102" s="4">
        <f>VALUE(SUBSTITUTE('1000_заявлений'!C96, ".", ","))</f>
        <v>0.20535871510693399</v>
      </c>
      <c r="D102" s="4">
        <f>VALUE(SUBSTITUTE('1000_заявлений'!D96, ".", ","))</f>
        <v>5.7639290000000003E-2</v>
      </c>
      <c r="E102" s="4">
        <f>VALUE(SUBSTITUTE('1000_заявлений'!E96, ".", ","))</f>
        <v>0.44636556999999999</v>
      </c>
      <c r="F102" s="5">
        <f>VALUE(SUBSTITUTE('1000_заявлений'!F96, ".", ","))</f>
        <v>-9298</v>
      </c>
      <c r="G102" s="5">
        <f>VALUE(SUBSTITUTE('1000_заявлений'!G96, ".", ","))</f>
        <v>-11378</v>
      </c>
      <c r="H102" s="5">
        <f>VALUE(SUBSTITUTE('1000_заявлений'!H96, ".", ","))</f>
        <v>-3317</v>
      </c>
      <c r="I102" s="4">
        <f>VALUE(SUBSTITUTE('1000_заявлений'!I96, ".", ","))</f>
        <v>0.10680000000000001</v>
      </c>
      <c r="J102" s="4">
        <f>VALUE(SUBSTITUTE('1000_заявлений'!J96, ".", ","))</f>
        <v>2.8854197754306798</v>
      </c>
      <c r="K102" s="5">
        <f>VALUE(SUBSTITUTE('1000_заявлений'!K96, ".", ","))</f>
        <v>-3440</v>
      </c>
      <c r="L102" s="6">
        <f>VALUE(SUBSTITUTE('1000_заявлений'!L96, ".", ","))</f>
        <v>33642</v>
      </c>
      <c r="M102" s="2" t="str">
        <f>IF(Данные6[[#This Row],[proba]]&gt;$C$6, "отказ", "одобрение")</f>
        <v>отказ</v>
      </c>
      <c r="N102" s="7">
        <f>IF(Данные6[[#This Row],[proba]]&lt;$D$2,$C$2,IF(Данные6[[#This Row],[proba]]&lt;$D$3,$C$3,IF(Данные6[[#This Row],[proba]]&gt;$C$6,0,$C$4)))</f>
        <v>0</v>
      </c>
      <c r="O102" s="2">
        <f>IF(Данные6[[#This Row],[weighted_ext_score]]&gt;$O$1,MIN(Данные6[[#This Row],[Базовая сумма]]*$O$2,$C$2),IF(Данные6[[#This Row],[weighted_ext_score]]&lt;$O$3,Данные6[[#This Row],[Базовая сумма]]*$O$4,N102))</f>
        <v>0</v>
      </c>
      <c r="P1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2" s="2">
        <f>ABS(Данные6[[#This Row],[days_birth]])/365.2425</f>
        <v>31.151905925515241</v>
      </c>
      <c r="S1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2" s="2">
        <f>IF(Данные6[[#This Row],[ interest_rate]]&gt;$T$1,Данные6[[#This Row],[days_birth4]]*$T$2,Данные6[[#This Row],[days_birth4]])</f>
        <v>0</v>
      </c>
      <c r="U102" s="2">
        <f>IF(Данные6[[#This Row],[Проверка отказа]]="отказ",0,MAX(Данные6[[#This Row],[interest_rate]],$C$1))</f>
        <v>0</v>
      </c>
      <c r="V102" s="2">
        <f>MROUND(Данные6[[#This Row],[Минимум 20000]], 100)</f>
        <v>0</v>
      </c>
    </row>
    <row r="103" spans="1:22" x14ac:dyDescent="0.25">
      <c r="A103" s="2">
        <f>'1000_заявлений'!A97</f>
        <v>95</v>
      </c>
      <c r="B103" s="4">
        <f>VALUE(SUBSTITUTE('1000_заявлений'!B97, ".", ","))</f>
        <v>0.21240807023146699</v>
      </c>
      <c r="C103" s="4">
        <f>VALUE(SUBSTITUTE('1000_заявлений'!C97, ".", ","))</f>
        <v>0.61231297864131295</v>
      </c>
      <c r="D103" s="4">
        <f>VALUE(SUBSTITUTE('1000_заявлений'!D97, ".", ","))</f>
        <v>0.68013880000000004</v>
      </c>
      <c r="E103" s="4">
        <f>VALUE(SUBSTITUTE('1000_заявлений'!E97, ".", ","))</f>
        <v>0.72190624000000003</v>
      </c>
      <c r="F103" s="5">
        <f>VALUE(SUBSTITUTE('1000_заявлений'!F97, ".", ","))</f>
        <v>-5740</v>
      </c>
      <c r="G103" s="5">
        <f>VALUE(SUBSTITUTE('1000_заявлений'!G97, ".", ","))</f>
        <v>-13758</v>
      </c>
      <c r="H103" s="5">
        <f>VALUE(SUBSTITUTE('1000_заявлений'!H97, ".", ","))</f>
        <v>-4594</v>
      </c>
      <c r="I103" s="4">
        <f>VALUE(SUBSTITUTE('1000_заявлений'!I97, ".", ","))</f>
        <v>0.157225</v>
      </c>
      <c r="J103" s="4">
        <f>VALUE(SUBSTITUTE('1000_заявлений'!J97, ".", ","))</f>
        <v>0.430864759569837</v>
      </c>
      <c r="K103" s="5">
        <f>VALUE(SUBSTITUTE('1000_заявлений'!K97, ".", ","))</f>
        <v>-1604</v>
      </c>
      <c r="L103" s="6">
        <f>VALUE(SUBSTITUTE('1000_заявлений'!L97, ".", ","))</f>
        <v>28300.5</v>
      </c>
      <c r="M103" s="2" t="str">
        <f>IF(Данные6[[#This Row],[proba]]&gt;$C$6, "отказ", "одобрение")</f>
        <v>одобрение</v>
      </c>
      <c r="N103" s="7">
        <f>IF(Данные6[[#This Row],[proba]]&lt;$D$2,$C$2,IF(Данные6[[#This Row],[proba]]&lt;$D$3,$C$3,IF(Данные6[[#This Row],[proba]]&gt;$C$6,0,$C$4)))</f>
        <v>50000</v>
      </c>
      <c r="O103" s="2">
        <f>IF(Данные6[[#This Row],[weighted_ext_score]]&gt;$O$1,MIN(Данные6[[#This Row],[Базовая сумма]]*$O$2,$C$2),IF(Данные6[[#This Row],[weighted_ext_score]]&lt;$O$3,Данные6[[#This Row],[Базовая сумма]]*$O$4,N103))</f>
        <v>50000</v>
      </c>
      <c r="P1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03" s="2">
        <f>ABS(Данные6[[#This Row],[days_birth]])/365.2425</f>
        <v>37.668124602147884</v>
      </c>
      <c r="S1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103" s="2">
        <f>IF(Данные6[[#This Row],[ interest_rate]]&gt;$T$1,Данные6[[#This Row],[days_birth4]]*$T$2,Данные6[[#This Row],[days_birth4]])</f>
        <v>35000</v>
      </c>
      <c r="U103" s="2">
        <f>IF(Данные6[[#This Row],[Проверка отказа]]="отказ",0,MAX(Данные6[[#This Row],[interest_rate]],$C$1))</f>
        <v>35000</v>
      </c>
      <c r="V103" s="2">
        <f>MROUND(Данные6[[#This Row],[Минимум 20000]], 100)</f>
        <v>35000</v>
      </c>
    </row>
    <row r="104" spans="1:22" x14ac:dyDescent="0.25">
      <c r="A104" s="2">
        <f>'1000_заявлений'!A98</f>
        <v>96</v>
      </c>
      <c r="B104" s="4">
        <f>VALUE(SUBSTITUTE('1000_заявлений'!B98, ".", ","))</f>
        <v>0.34262152611411301</v>
      </c>
      <c r="C104" s="4">
        <f>VALUE(SUBSTITUTE('1000_заявлений'!C98, ".", ","))</f>
        <v>0.56164489758999103</v>
      </c>
      <c r="D104" s="4">
        <f>VALUE(SUBSTITUTE('1000_заявлений'!D98, ".", ","))</f>
        <v>0.82975010000000005</v>
      </c>
      <c r="E104" s="4">
        <f>VALUE(SUBSTITUTE('1000_заявлений'!E98, ".", ","))</f>
        <v>0.20352282999999999</v>
      </c>
      <c r="F104" s="5">
        <f>VALUE(SUBSTITUTE('1000_заявлений'!F98, ".", ","))</f>
        <v>-9512</v>
      </c>
      <c r="G104" s="5">
        <f>VALUE(SUBSTITUTE('1000_заявлений'!G98, ".", ","))</f>
        <v>-17026</v>
      </c>
      <c r="H104" s="5">
        <f>VALUE(SUBSTITUTE('1000_заявлений'!H98, ".", ","))</f>
        <v>-398</v>
      </c>
      <c r="I104" s="4">
        <f>VALUE(SUBSTITUTE('1000_заявлений'!I98, ".", ","))</f>
        <v>0.20235</v>
      </c>
      <c r="J104" s="4">
        <f>VALUE(SUBSTITUTE('1000_заявлений'!J98, ".", ","))</f>
        <v>2.6226309622799899</v>
      </c>
      <c r="K104" s="5">
        <f>VALUE(SUBSTITUTE('1000_заявлений'!K98, ".", ","))</f>
        <v>-3342</v>
      </c>
      <c r="L104" s="6">
        <f>VALUE(SUBSTITUTE('1000_заявлений'!L98, ".", ","))</f>
        <v>36423</v>
      </c>
      <c r="M104" s="2" t="str">
        <f>IF(Данные6[[#This Row],[proba]]&gt;$C$6, "отказ", "одобрение")</f>
        <v>отказ</v>
      </c>
      <c r="N104" s="7">
        <f>IF(Данные6[[#This Row],[proba]]&lt;$D$2,$C$2,IF(Данные6[[#This Row],[proba]]&lt;$D$3,$C$3,IF(Данные6[[#This Row],[proba]]&gt;$C$6,0,$C$4)))</f>
        <v>0</v>
      </c>
      <c r="O104" s="2">
        <f>IF(Данные6[[#This Row],[weighted_ext_score]]&gt;$O$1,MIN(Данные6[[#This Row],[Базовая сумма]]*$O$2,$C$2),IF(Данные6[[#This Row],[weighted_ext_score]]&lt;$O$3,Данные6[[#This Row],[Базовая сумма]]*$O$4,N104))</f>
        <v>0</v>
      </c>
      <c r="P1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4" s="2">
        <f>ABS(Данные6[[#This Row],[days_birth]])/365.2425</f>
        <v>46.615604700986331</v>
      </c>
      <c r="S1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4" s="2">
        <f>IF(Данные6[[#This Row],[ interest_rate]]&gt;$T$1,Данные6[[#This Row],[days_birth4]]*$T$2,Данные6[[#This Row],[days_birth4]])</f>
        <v>0</v>
      </c>
      <c r="U104" s="2">
        <f>IF(Данные6[[#This Row],[Проверка отказа]]="отказ",0,MAX(Данные6[[#This Row],[interest_rate]],$C$1))</f>
        <v>0</v>
      </c>
      <c r="V104" s="2">
        <f>MROUND(Данные6[[#This Row],[Минимум 20000]], 100)</f>
        <v>0</v>
      </c>
    </row>
    <row r="105" spans="1:22" x14ac:dyDescent="0.25">
      <c r="A105" s="2">
        <f>'1000_заявлений'!A99</f>
        <v>97</v>
      </c>
      <c r="B105" s="4">
        <f>VALUE(SUBSTITUTE('1000_заявлений'!B99, ".", ","))</f>
        <v>0.27942584748685301</v>
      </c>
      <c r="C105" s="4">
        <f>VALUE(SUBSTITUTE('1000_заявлений'!C99, ".", ","))</f>
        <v>0.47724311081227</v>
      </c>
      <c r="D105" s="4">
        <f>VALUE(SUBSTITUTE('1000_заявлений'!D99, ".", ","))</f>
        <v>0.71510309999999999</v>
      </c>
      <c r="E105" s="4">
        <f>VALUE(SUBSTITUTE('1000_заявлений'!E99, ".", ","))</f>
        <v>0.67395340000000004</v>
      </c>
      <c r="F105" s="5">
        <f>VALUE(SUBSTITUTE('1000_заявлений'!F99, ".", ","))</f>
        <v>-5237</v>
      </c>
      <c r="G105" s="5">
        <f>VALUE(SUBSTITUTE('1000_заявлений'!G99, ".", ","))</f>
        <v>-16413</v>
      </c>
      <c r="H105" s="5">
        <f>VALUE(SUBSTITUTE('1000_заявлений'!H99, ".", ","))</f>
        <v>-4552</v>
      </c>
      <c r="I105" s="4">
        <f>VALUE(SUBSTITUTE('1000_заявлений'!I99, ".", ","))</f>
        <v>0.37675999999999998</v>
      </c>
      <c r="J105" s="4">
        <f>VALUE(SUBSTITUTE('1000_заявлений'!J99, ".", ","))</f>
        <v>3.06318978938058</v>
      </c>
      <c r="K105" s="5">
        <f>VALUE(SUBSTITUTE('1000_заявлений'!K99, ".", ","))</f>
        <v>-2659</v>
      </c>
      <c r="L105" s="6">
        <f>VALUE(SUBSTITUTE('1000_заявлений'!L99, ".", ","))</f>
        <v>42385.5</v>
      </c>
      <c r="M105" s="2" t="str">
        <f>IF(Данные6[[#This Row],[proba]]&gt;$C$6, "отказ", "одобрение")</f>
        <v>одобрение</v>
      </c>
      <c r="N105" s="7">
        <f>IF(Данные6[[#This Row],[proba]]&lt;$D$2,$C$2,IF(Данные6[[#This Row],[proba]]&lt;$D$3,$C$3,IF(Данные6[[#This Row],[proba]]&gt;$C$6,0,$C$4)))</f>
        <v>50000</v>
      </c>
      <c r="O105" s="2">
        <f>IF(Данные6[[#This Row],[weighted_ext_score]]&gt;$O$1,MIN(Данные6[[#This Row],[Базовая сумма]]*$O$2,$C$2),IF(Данные6[[#This Row],[weighted_ext_score]]&lt;$O$3,Данные6[[#This Row],[Базовая сумма]]*$O$4,N105))</f>
        <v>40000</v>
      </c>
      <c r="P1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05" s="2">
        <f>ABS(Данные6[[#This Row],[days_birth]])/365.2425</f>
        <v>44.937267705702375</v>
      </c>
      <c r="S1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105" s="2">
        <f>IF(Данные6[[#This Row],[ interest_rate]]&gt;$T$1,Данные6[[#This Row],[days_birth4]]*$T$2,Данные6[[#This Row],[days_birth4]])</f>
        <v>28000</v>
      </c>
      <c r="U105" s="2">
        <f>IF(Данные6[[#This Row],[Проверка отказа]]="отказ",0,MAX(Данные6[[#This Row],[interest_rate]],$C$1))</f>
        <v>28000</v>
      </c>
      <c r="V105" s="2">
        <f>MROUND(Данные6[[#This Row],[Минимум 20000]], 100)</f>
        <v>28000</v>
      </c>
    </row>
    <row r="106" spans="1:22" x14ac:dyDescent="0.25">
      <c r="A106" s="2">
        <f>'1000_заявлений'!A100</f>
        <v>98</v>
      </c>
      <c r="B106" s="4">
        <f>VALUE(SUBSTITUTE('1000_заявлений'!B100, ".", ","))</f>
        <v>0.345127251453829</v>
      </c>
      <c r="C106" s="4">
        <f>VALUE(SUBSTITUTE('1000_заявлений'!C100, ".", ","))</f>
        <v>0.44166960326811699</v>
      </c>
      <c r="D106" s="4">
        <f>VALUE(SUBSTITUTE('1000_заявлений'!D100, ".", ","))</f>
        <v>0.65778380000000003</v>
      </c>
      <c r="E106" s="4">
        <f>VALUE(SUBSTITUTE('1000_заявлений'!E100, ".", ","))</f>
        <v>0.62819462999999998</v>
      </c>
      <c r="F106" s="5">
        <f>VALUE(SUBSTITUTE('1000_заявлений'!F100, ".", ","))</f>
        <v>-10953</v>
      </c>
      <c r="G106" s="5">
        <f>VALUE(SUBSTITUTE('1000_заявлений'!G100, ".", ","))</f>
        <v>-17428</v>
      </c>
      <c r="H106" s="5">
        <f>VALUE(SUBSTITUTE('1000_заявлений'!H100, ".", ","))</f>
        <v>-960</v>
      </c>
      <c r="I106" s="4">
        <f>VALUE(SUBSTITUTE('1000_заявлений'!I100, ".", ","))</f>
        <v>0.40510000000000002</v>
      </c>
      <c r="J106" s="4">
        <f>VALUE(SUBSTITUTE('1000_заявлений'!J100, ".", ","))</f>
        <v>6.5526323213506297</v>
      </c>
      <c r="K106" s="5">
        <f>VALUE(SUBSTITUTE('1000_заявлений'!K100, ".", ","))</f>
        <v>-5088</v>
      </c>
      <c r="L106" s="6">
        <f>VALUE(SUBSTITUTE('1000_заявлений'!L100, ".", ","))</f>
        <v>36459</v>
      </c>
      <c r="M106" s="2" t="str">
        <f>IF(Данные6[[#This Row],[proba]]&gt;$C$6, "отказ", "одобрение")</f>
        <v>отказ</v>
      </c>
      <c r="N106" s="7">
        <f>IF(Данные6[[#This Row],[proba]]&lt;$D$2,$C$2,IF(Данные6[[#This Row],[proba]]&lt;$D$3,$C$3,IF(Данные6[[#This Row],[proba]]&gt;$C$6,0,$C$4)))</f>
        <v>0</v>
      </c>
      <c r="O106" s="2">
        <f>IF(Данные6[[#This Row],[weighted_ext_score]]&gt;$O$1,MIN(Данные6[[#This Row],[Базовая сумма]]*$O$2,$C$2),IF(Данные6[[#This Row],[weighted_ext_score]]&lt;$O$3,Данные6[[#This Row],[Базовая сумма]]*$O$4,N106))</f>
        <v>0</v>
      </c>
      <c r="P1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6" s="2">
        <f>ABS(Данные6[[#This Row],[days_birth]])/365.2425</f>
        <v>47.716243317795708</v>
      </c>
      <c r="S1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6" s="2">
        <f>IF(Данные6[[#This Row],[ interest_rate]]&gt;$T$1,Данные6[[#This Row],[days_birth4]]*$T$2,Данные6[[#This Row],[days_birth4]])</f>
        <v>0</v>
      </c>
      <c r="U106" s="2">
        <f>IF(Данные6[[#This Row],[Проверка отказа]]="отказ",0,MAX(Данные6[[#This Row],[interest_rate]],$C$1))</f>
        <v>0</v>
      </c>
      <c r="V106" s="2">
        <f>MROUND(Данные6[[#This Row],[Минимум 20000]], 100)</f>
        <v>0</v>
      </c>
    </row>
    <row r="107" spans="1:22" x14ac:dyDescent="0.25">
      <c r="A107" s="2">
        <f>'1000_заявлений'!A101</f>
        <v>99</v>
      </c>
      <c r="B107" s="4">
        <f>VALUE(SUBSTITUTE('1000_заявлений'!B101, ".", ","))</f>
        <v>0.44322348198697298</v>
      </c>
      <c r="C107" s="4">
        <f>VALUE(SUBSTITUTE('1000_заявлений'!C101, ".", ","))</f>
        <v>0.34195428584041798</v>
      </c>
      <c r="D107" s="4">
        <f>VALUE(SUBSTITUTE('1000_заявлений'!D101, ".", ","))</f>
        <v>0.63470554000000001</v>
      </c>
      <c r="E107" s="4">
        <f>VALUE(SUBSTITUTE('1000_заявлений'!E101, ".", ","))</f>
        <v>0.3465201</v>
      </c>
      <c r="F107" s="5">
        <f>VALUE(SUBSTITUTE('1000_заявлений'!F101, ".", ","))</f>
        <v>-7974</v>
      </c>
      <c r="G107" s="5">
        <f>VALUE(SUBSTITUTE('1000_заявлений'!G101, ".", ","))</f>
        <v>-21144</v>
      </c>
      <c r="H107" s="5">
        <f>VALUE(SUBSTITUTE('1000_заявлений'!H101, ".", ","))</f>
        <v>-4194</v>
      </c>
      <c r="I107" s="4">
        <f>VALUE(SUBSTITUTE('1000_заявлений'!I101, ".", ","))</f>
        <v>0.34186666666666599</v>
      </c>
      <c r="J107" s="4">
        <f>VALUE(SUBSTITUTE('1000_заявлений'!J101, ".", ","))</f>
        <v>2.0256037533076698</v>
      </c>
      <c r="K107" s="5">
        <f>VALUE(SUBSTITUTE('1000_заявлений'!K101, ".", ","))</f>
        <v>365243</v>
      </c>
      <c r="L107" s="6">
        <f>VALUE(SUBSTITUTE('1000_заявлений'!L101, ".", ","))</f>
        <v>23076</v>
      </c>
      <c r="M107" s="2" t="str">
        <f>IF(Данные6[[#This Row],[proba]]&gt;$C$6, "отказ", "одобрение")</f>
        <v>отказ</v>
      </c>
      <c r="N107" s="7">
        <f>IF(Данные6[[#This Row],[proba]]&lt;$D$2,$C$2,IF(Данные6[[#This Row],[proba]]&lt;$D$3,$C$3,IF(Данные6[[#This Row],[proba]]&gt;$C$6,0,$C$4)))</f>
        <v>0</v>
      </c>
      <c r="O107" s="2">
        <f>IF(Данные6[[#This Row],[weighted_ext_score]]&gt;$O$1,MIN(Данные6[[#This Row],[Базовая сумма]]*$O$2,$C$2),IF(Данные6[[#This Row],[weighted_ext_score]]&lt;$O$3,Данные6[[#This Row],[Базовая сумма]]*$O$4,N107))</f>
        <v>0</v>
      </c>
      <c r="P1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7" s="2">
        <f>ABS(Данные6[[#This Row],[days_birth]])/365.2425</f>
        <v>57.890305755765006</v>
      </c>
      <c r="S1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7" s="2">
        <f>IF(Данные6[[#This Row],[ interest_rate]]&gt;$T$1,Данные6[[#This Row],[days_birth4]]*$T$2,Данные6[[#This Row],[days_birth4]])</f>
        <v>0</v>
      </c>
      <c r="U107" s="2">
        <f>IF(Данные6[[#This Row],[Проверка отказа]]="отказ",0,MAX(Данные6[[#This Row],[interest_rate]],$C$1))</f>
        <v>0</v>
      </c>
      <c r="V107" s="2">
        <f>MROUND(Данные6[[#This Row],[Минимум 20000]], 100)</f>
        <v>0</v>
      </c>
    </row>
    <row r="108" spans="1:22" x14ac:dyDescent="0.25">
      <c r="A108" s="2">
        <f>'1000_заявлений'!A102</f>
        <v>100</v>
      </c>
      <c r="B108" s="4">
        <f>VALUE(SUBSTITUTE('1000_заявлений'!B102, ".", ","))</f>
        <v>0.47251973233291</v>
      </c>
      <c r="C108" s="4">
        <f>VALUE(SUBSTITUTE('1000_заявлений'!C102, ".", ","))</f>
        <v>0.30522964484353898</v>
      </c>
      <c r="D108" s="4">
        <f>VALUE(SUBSTITUTE('1000_заявлений'!D102, ".", ","))</f>
        <v>0.19070596000000001</v>
      </c>
      <c r="E108" s="4">
        <f>VALUE(SUBSTITUTE('1000_заявлений'!E102, ".", ","))</f>
        <v>0.72834370000000004</v>
      </c>
      <c r="F108" s="5">
        <f>VALUE(SUBSTITUTE('1000_заявлений'!F102, ".", ","))</f>
        <v>-15644</v>
      </c>
      <c r="G108" s="5">
        <f>VALUE(SUBSTITUTE('1000_заявлений'!G102, ".", ","))</f>
        <v>-23902</v>
      </c>
      <c r="H108" s="5">
        <f>VALUE(SUBSTITUTE('1000_заявлений'!H102, ".", ","))</f>
        <v>-1755</v>
      </c>
      <c r="I108" s="4">
        <f>VALUE(SUBSTITUTE('1000_заявлений'!I102, ".", ","))</f>
        <v>7.8466666666666601E-2</v>
      </c>
      <c r="J108" s="4">
        <f>VALUE(SUBSTITUTE('1000_заявлений'!J102, ".", ","))</f>
        <v>1.4292372294717399</v>
      </c>
      <c r="K108" s="5">
        <f>VALUE(SUBSTITUTE('1000_заявлений'!K102, ".", ","))</f>
        <v>365243</v>
      </c>
      <c r="L108" s="6">
        <f>VALUE(SUBSTITUTE('1000_заявлений'!L102, ".", ","))</f>
        <v>10593</v>
      </c>
      <c r="M108" s="2" t="str">
        <f>IF(Данные6[[#This Row],[proba]]&gt;$C$6, "отказ", "одобрение")</f>
        <v>отказ</v>
      </c>
      <c r="N108" s="7">
        <f>IF(Данные6[[#This Row],[proba]]&lt;$D$2,$C$2,IF(Данные6[[#This Row],[proba]]&lt;$D$3,$C$3,IF(Данные6[[#This Row],[proba]]&gt;$C$6,0,$C$4)))</f>
        <v>0</v>
      </c>
      <c r="O108" s="2">
        <f>IF(Данные6[[#This Row],[weighted_ext_score]]&gt;$O$1,MIN(Данные6[[#This Row],[Базовая сумма]]*$O$2,$C$2),IF(Данные6[[#This Row],[weighted_ext_score]]&lt;$O$3,Данные6[[#This Row],[Базовая сумма]]*$O$4,N108))</f>
        <v>0</v>
      </c>
      <c r="P1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8" s="2">
        <f>ABS(Данные6[[#This Row],[days_birth]])/365.2425</f>
        <v>65.441453281039301</v>
      </c>
      <c r="S1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8" s="2">
        <f>IF(Данные6[[#This Row],[ interest_rate]]&gt;$T$1,Данные6[[#This Row],[days_birth4]]*$T$2,Данные6[[#This Row],[days_birth4]])</f>
        <v>0</v>
      </c>
      <c r="U108" s="2">
        <f>IF(Данные6[[#This Row],[Проверка отказа]]="отказ",0,MAX(Данные6[[#This Row],[interest_rate]],$C$1))</f>
        <v>0</v>
      </c>
      <c r="V108" s="2">
        <f>MROUND(Данные6[[#This Row],[Минимум 20000]], 100)</f>
        <v>0</v>
      </c>
    </row>
    <row r="109" spans="1:22" x14ac:dyDescent="0.25">
      <c r="A109" s="2">
        <f>'1000_заявлений'!A103</f>
        <v>101</v>
      </c>
      <c r="B109" s="4">
        <f>VALUE(SUBSTITUTE('1000_заявлений'!B103, ".", ","))</f>
        <v>0.39691330795812702</v>
      </c>
      <c r="C109" s="4">
        <f>VALUE(SUBSTITUTE('1000_заявлений'!C103, ".", ","))</f>
        <v>0.37323274359280001</v>
      </c>
      <c r="D109" s="4">
        <f>VALUE(SUBSTITUTE('1000_заявлений'!D103, ".", ","))</f>
        <v>0.43828139999999999</v>
      </c>
      <c r="E109" s="4">
        <f>VALUE(SUBSTITUTE('1000_заявлений'!E103, ".", ","))</f>
        <v>0.66195046999999996</v>
      </c>
      <c r="F109" s="5">
        <f>VALUE(SUBSTITUTE('1000_заявлений'!F103, ".", ","))</f>
        <v>-8481</v>
      </c>
      <c r="G109" s="5">
        <f>VALUE(SUBSTITUTE('1000_заявлений'!G103, ".", ","))</f>
        <v>-20490</v>
      </c>
      <c r="H109" s="5">
        <f>VALUE(SUBSTITUTE('1000_заявлений'!H103, ".", ","))</f>
        <v>-4033</v>
      </c>
      <c r="I109" s="4">
        <f>VALUE(SUBSTITUTE('1000_заявлений'!I103, ".", ","))</f>
        <v>0.15662000000000001</v>
      </c>
      <c r="J109" s="4">
        <f>VALUE(SUBSTITUTE('1000_заявлений'!J103, ".", ","))</f>
        <v>1.81176425121121</v>
      </c>
      <c r="K109" s="5">
        <f>VALUE(SUBSTITUTE('1000_заявлений'!K103, ".", ","))</f>
        <v>-5229</v>
      </c>
      <c r="L109" s="6">
        <f>VALUE(SUBSTITUTE('1000_заявлений'!L103, ".", ","))</f>
        <v>35239.5</v>
      </c>
      <c r="M109" s="2" t="str">
        <f>IF(Данные6[[#This Row],[proba]]&gt;$C$6, "отказ", "одобрение")</f>
        <v>отказ</v>
      </c>
      <c r="N109" s="7">
        <f>IF(Данные6[[#This Row],[proba]]&lt;$D$2,$C$2,IF(Данные6[[#This Row],[proba]]&lt;$D$3,$C$3,IF(Данные6[[#This Row],[proba]]&gt;$C$6,0,$C$4)))</f>
        <v>0</v>
      </c>
      <c r="O109" s="2">
        <f>IF(Данные6[[#This Row],[weighted_ext_score]]&gt;$O$1,MIN(Данные6[[#This Row],[Базовая сумма]]*$O$2,$C$2),IF(Данные6[[#This Row],[weighted_ext_score]]&lt;$O$3,Данные6[[#This Row],[Базовая сумма]]*$O$4,N109))</f>
        <v>0</v>
      </c>
      <c r="P1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9" s="2">
        <f>ABS(Данные6[[#This Row],[days_birth]])/365.2425</f>
        <v>56.099714573194518</v>
      </c>
      <c r="S1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9" s="2">
        <f>IF(Данные6[[#This Row],[ interest_rate]]&gt;$T$1,Данные6[[#This Row],[days_birth4]]*$T$2,Данные6[[#This Row],[days_birth4]])</f>
        <v>0</v>
      </c>
      <c r="U109" s="2">
        <f>IF(Данные6[[#This Row],[Проверка отказа]]="отказ",0,MAX(Данные6[[#This Row],[interest_rate]],$C$1))</f>
        <v>0</v>
      </c>
      <c r="V109" s="2">
        <f>MROUND(Данные6[[#This Row],[Минимум 20000]], 100)</f>
        <v>0</v>
      </c>
    </row>
    <row r="110" spans="1:22" x14ac:dyDescent="0.25">
      <c r="A110" s="2">
        <f>'1000_заявлений'!A104</f>
        <v>102</v>
      </c>
      <c r="B110" s="4">
        <f>VALUE(SUBSTITUTE('1000_заявлений'!B104, ".", ","))</f>
        <v>0.37923803256774202</v>
      </c>
      <c r="C110" s="4">
        <f>VALUE(SUBSTITUTE('1000_заявлений'!C104, ".", ","))</f>
        <v>0.390352751224955</v>
      </c>
      <c r="D110" s="4">
        <f>VALUE(SUBSTITUTE('1000_заявлений'!D104, ".", ","))</f>
        <v>0.48845517999999999</v>
      </c>
      <c r="E110" s="4">
        <f>VALUE(SUBSTITUTE('1000_заявлений'!E104, ".", ","))</f>
        <v>0.65878709999999996</v>
      </c>
      <c r="F110" s="5">
        <f>VALUE(SUBSTITUTE('1000_заявлений'!F104, ".", ","))</f>
        <v>-6999</v>
      </c>
      <c r="G110" s="5">
        <f>VALUE(SUBSTITUTE('1000_заявлений'!G104, ".", ","))</f>
        <v>-19803</v>
      </c>
      <c r="H110" s="5">
        <f>VALUE(SUBSTITUTE('1000_заявлений'!H104, ".", ","))</f>
        <v>-3337</v>
      </c>
      <c r="I110" s="4">
        <f>VALUE(SUBSTITUTE('1000_заявлений'!I104, ".", ","))</f>
        <v>0.12791428571428501</v>
      </c>
      <c r="J110" s="4">
        <f>VALUE(SUBSTITUTE('1000_заявлений'!J104, ".", ","))</f>
        <v>1.9928337601827999</v>
      </c>
      <c r="K110" s="5">
        <f>VALUE(SUBSTITUTE('1000_заявлений'!K104, ".", ","))</f>
        <v>-5955</v>
      </c>
      <c r="L110" s="6">
        <f>VALUE(SUBSTITUTE('1000_заявлений'!L104, ".", ","))</f>
        <v>20146.5</v>
      </c>
      <c r="M110" s="2" t="str">
        <f>IF(Данные6[[#This Row],[proba]]&gt;$C$6, "отказ", "одобрение")</f>
        <v>отказ</v>
      </c>
      <c r="N110" s="7">
        <f>IF(Данные6[[#This Row],[proba]]&lt;$D$2,$C$2,IF(Данные6[[#This Row],[proba]]&lt;$D$3,$C$3,IF(Данные6[[#This Row],[proba]]&gt;$C$6,0,$C$4)))</f>
        <v>0</v>
      </c>
      <c r="O110" s="2">
        <f>IF(Данные6[[#This Row],[weighted_ext_score]]&gt;$O$1,MIN(Данные6[[#This Row],[Базовая сумма]]*$O$2,$C$2),IF(Данные6[[#This Row],[weighted_ext_score]]&lt;$O$3,Данные6[[#This Row],[Базовая сумма]]*$O$4,N110))</f>
        <v>0</v>
      </c>
      <c r="P1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0" s="2">
        <f>ABS(Данные6[[#This Row],[days_birth]])/365.2425</f>
        <v>54.218772459393413</v>
      </c>
      <c r="S1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0" s="2">
        <f>IF(Данные6[[#This Row],[ interest_rate]]&gt;$T$1,Данные6[[#This Row],[days_birth4]]*$T$2,Данные6[[#This Row],[days_birth4]])</f>
        <v>0</v>
      </c>
      <c r="U110" s="2">
        <f>IF(Данные6[[#This Row],[Проверка отказа]]="отказ",0,MAX(Данные6[[#This Row],[interest_rate]],$C$1))</f>
        <v>0</v>
      </c>
      <c r="V110" s="2">
        <f>MROUND(Данные6[[#This Row],[Минимум 20000]], 100)</f>
        <v>0</v>
      </c>
    </row>
    <row r="111" spans="1:22" x14ac:dyDescent="0.25">
      <c r="A111" s="2">
        <f>'1000_заявлений'!A105</f>
        <v>103</v>
      </c>
      <c r="B111" s="4">
        <f>VALUE(SUBSTITUTE('1000_заявлений'!B105, ".", ","))</f>
        <v>0.212175255287777</v>
      </c>
      <c r="C111" s="4">
        <f>VALUE(SUBSTITUTE('1000_заявлений'!C105, ".", ","))</f>
        <v>0.55410488517236201</v>
      </c>
      <c r="D111" s="4">
        <f>VALUE(SUBSTITUTE('1000_заявлений'!D105, ".", ","))</f>
        <v>0.68170589999999998</v>
      </c>
      <c r="E111" s="4">
        <f>VALUE(SUBSTITUTE('1000_заявлений'!E105, ".", ","))</f>
        <v>0.64116335000000002</v>
      </c>
      <c r="F111" s="5">
        <f>VALUE(SUBSTITUTE('1000_заявлений'!F105, ".", ","))</f>
        <v>-8425</v>
      </c>
      <c r="G111" s="5">
        <f>VALUE(SUBSTITUTE('1000_заявлений'!G105, ".", ","))</f>
        <v>-11395</v>
      </c>
      <c r="H111" s="5">
        <f>VALUE(SUBSTITUTE('1000_заявлений'!H105, ".", ","))</f>
        <v>-3910</v>
      </c>
      <c r="I111" s="4">
        <f>VALUE(SUBSTITUTE('1000_заявлений'!I105, ".", ","))</f>
        <v>0.1023</v>
      </c>
      <c r="J111" s="4">
        <f>VALUE(SUBSTITUTE('1000_заявлений'!J105, ".", ","))</f>
        <v>13.0736708826512</v>
      </c>
      <c r="K111" s="5">
        <f>VALUE(SUBSTITUTE('1000_заявлений'!K105, ".", ","))</f>
        <v>-4611</v>
      </c>
      <c r="L111" s="6">
        <f>VALUE(SUBSTITUTE('1000_заявлений'!L105, ".", ","))</f>
        <v>18414</v>
      </c>
      <c r="M111" s="2" t="str">
        <f>IF(Данные6[[#This Row],[proba]]&gt;$C$6, "отказ", "одобрение")</f>
        <v>одобрение</v>
      </c>
      <c r="N111" s="7">
        <f>IF(Данные6[[#This Row],[proba]]&lt;$D$2,$C$2,IF(Данные6[[#This Row],[proba]]&lt;$D$3,$C$3,IF(Данные6[[#This Row],[proba]]&gt;$C$6,0,$C$4)))</f>
        <v>50000</v>
      </c>
      <c r="O111" s="2">
        <f>IF(Данные6[[#This Row],[weighted_ext_score]]&gt;$O$1,MIN(Данные6[[#This Row],[Базовая сумма]]*$O$2,$C$2),IF(Данные6[[#This Row],[weighted_ext_score]]&lt;$O$3,Данные6[[#This Row],[Базовая сумма]]*$O$4,N111))</f>
        <v>50000</v>
      </c>
      <c r="P1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111" s="2">
        <f>ABS(Данные6[[#This Row],[days_birth]])/365.2425</f>
        <v>31.198450344634043</v>
      </c>
      <c r="S1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111" s="2">
        <f>IF(Данные6[[#This Row],[ interest_rate]]&gt;$T$1,Данные6[[#This Row],[days_birth4]]*$T$2,Данные6[[#This Row],[days_birth4]])</f>
        <v>60000</v>
      </c>
      <c r="U111" s="2">
        <f>IF(Данные6[[#This Row],[Проверка отказа]]="отказ",0,MAX(Данные6[[#This Row],[interest_rate]],$C$1))</f>
        <v>60000</v>
      </c>
      <c r="V111" s="2">
        <f>MROUND(Данные6[[#This Row],[Минимум 20000]], 100)</f>
        <v>60000</v>
      </c>
    </row>
    <row r="112" spans="1:22" x14ac:dyDescent="0.25">
      <c r="A112" s="2">
        <f>'1000_заявлений'!A106</f>
        <v>104</v>
      </c>
      <c r="B112" s="4">
        <f>VALUE(SUBSTITUTE('1000_заявлений'!B106, ".", ","))</f>
        <v>0.68607024686282403</v>
      </c>
      <c r="C112" s="4">
        <f>VALUE(SUBSTITUTE('1000_заявлений'!C106, ".", ","))</f>
        <v>0.24735861859671801</v>
      </c>
      <c r="D112" s="4">
        <f>VALUE(SUBSTITUTE('1000_заявлений'!D106, ".", ","))</f>
        <v>0.35233998</v>
      </c>
      <c r="E112" s="4">
        <f>VALUE(SUBSTITUTE('1000_заявлений'!E106, ".", ","))</f>
        <v>0.36972228000000001</v>
      </c>
      <c r="F112" s="5">
        <f>VALUE(SUBSTITUTE('1000_заявлений'!F106, ".", ","))</f>
        <v>-888</v>
      </c>
      <c r="G112" s="5">
        <f>VALUE(SUBSTITUTE('1000_заявлений'!G106, ".", ","))</f>
        <v>-10284</v>
      </c>
      <c r="H112" s="5">
        <f>VALUE(SUBSTITUTE('1000_заявлений'!H106, ".", ","))</f>
        <v>-2955</v>
      </c>
      <c r="I112" s="4">
        <f>VALUE(SUBSTITUTE('1000_заявлений'!I106, ".", ","))</f>
        <v>0.110166666666666</v>
      </c>
      <c r="J112" s="4">
        <f>VALUE(SUBSTITUTE('1000_заявлений'!J106, ".", ","))</f>
        <v>4.1948317763984297</v>
      </c>
      <c r="K112" s="5">
        <f>VALUE(SUBSTITUTE('1000_заявлений'!K106, ".", ","))</f>
        <v>-550</v>
      </c>
      <c r="L112" s="6">
        <f>VALUE(SUBSTITUTE('1000_заявлений'!L106, ".", ","))</f>
        <v>29745</v>
      </c>
      <c r="M112" s="2" t="str">
        <f>IF(Данные6[[#This Row],[proba]]&gt;$C$6, "отказ", "одобрение")</f>
        <v>отказ</v>
      </c>
      <c r="N112" s="7">
        <f>IF(Данные6[[#This Row],[proba]]&lt;$D$2,$C$2,IF(Данные6[[#This Row],[proba]]&lt;$D$3,$C$3,IF(Данные6[[#This Row],[proba]]&gt;$C$6,0,$C$4)))</f>
        <v>0</v>
      </c>
      <c r="O112" s="2">
        <f>IF(Данные6[[#This Row],[weighted_ext_score]]&gt;$O$1,MIN(Данные6[[#This Row],[Базовая сумма]]*$O$2,$C$2),IF(Данные6[[#This Row],[weighted_ext_score]]&lt;$O$3,Данные6[[#This Row],[Базовая сумма]]*$O$4,N112))</f>
        <v>0</v>
      </c>
      <c r="P1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2" s="2">
        <f>ABS(Данные6[[#This Row],[days_birth]])/365.2425</f>
        <v>28.156635659869814</v>
      </c>
      <c r="S1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2" s="2">
        <f>IF(Данные6[[#This Row],[ interest_rate]]&gt;$T$1,Данные6[[#This Row],[days_birth4]]*$T$2,Данные6[[#This Row],[days_birth4]])</f>
        <v>0</v>
      </c>
      <c r="U112" s="2">
        <f>IF(Данные6[[#This Row],[Проверка отказа]]="отказ",0,MAX(Данные6[[#This Row],[interest_rate]],$C$1))</f>
        <v>0</v>
      </c>
      <c r="V112" s="2">
        <f>MROUND(Данные6[[#This Row],[Минимум 20000]], 100)</f>
        <v>0</v>
      </c>
    </row>
    <row r="113" spans="1:22" x14ac:dyDescent="0.25">
      <c r="A113" s="2">
        <f>'1000_заявлений'!A107</f>
        <v>105</v>
      </c>
      <c r="B113" s="4">
        <f>VALUE(SUBSTITUTE('1000_заявлений'!B107, ".", ","))</f>
        <v>0.42779020305992699</v>
      </c>
      <c r="C113" s="4">
        <f>VALUE(SUBSTITUTE('1000_заявлений'!C107, ".", ","))</f>
        <v>0.34483295095084898</v>
      </c>
      <c r="D113" s="4">
        <f>VALUE(SUBSTITUTE('1000_заявлений'!D107, ".", ","))</f>
        <v>0.37064964</v>
      </c>
      <c r="E113" s="4">
        <f>VALUE(SUBSTITUTE('1000_заявлений'!E107, ".", ","))</f>
        <v>0.64980499999999997</v>
      </c>
      <c r="F113" s="5">
        <f>VALUE(SUBSTITUTE('1000_заявлений'!F107, ".", ","))</f>
        <v>-12795</v>
      </c>
      <c r="G113" s="5">
        <f>VALUE(SUBSTITUTE('1000_заявлений'!G107, ".", ","))</f>
        <v>-21145</v>
      </c>
      <c r="H113" s="5">
        <f>VALUE(SUBSTITUTE('1000_заявлений'!H107, ".", ","))</f>
        <v>-839</v>
      </c>
      <c r="I113" s="4">
        <f>VALUE(SUBSTITUTE('1000_заявлений'!I107, ".", ","))</f>
        <v>0.25762222222222197</v>
      </c>
      <c r="J113" s="4">
        <f>VALUE(SUBSTITUTE('1000_заявлений'!J107, ".", ","))</f>
        <v>3.0093052346896698</v>
      </c>
      <c r="K113" s="5">
        <f>VALUE(SUBSTITUTE('1000_заявлений'!K107, ".", ","))</f>
        <v>365243</v>
      </c>
      <c r="L113" s="6">
        <f>VALUE(SUBSTITUTE('1000_заявлений'!L107, ".", ","))</f>
        <v>52168.5</v>
      </c>
      <c r="M113" s="2" t="str">
        <f>IF(Данные6[[#This Row],[proba]]&gt;$C$6, "отказ", "одобрение")</f>
        <v>отказ</v>
      </c>
      <c r="N113" s="7">
        <f>IF(Данные6[[#This Row],[proba]]&lt;$D$2,$C$2,IF(Данные6[[#This Row],[proba]]&lt;$D$3,$C$3,IF(Данные6[[#This Row],[proba]]&gt;$C$6,0,$C$4)))</f>
        <v>0</v>
      </c>
      <c r="O113" s="2">
        <f>IF(Данные6[[#This Row],[weighted_ext_score]]&gt;$O$1,MIN(Данные6[[#This Row],[Базовая сумма]]*$O$2,$C$2),IF(Данные6[[#This Row],[weighted_ext_score]]&lt;$O$3,Данные6[[#This Row],[Базовая сумма]]*$O$4,N113))</f>
        <v>0</v>
      </c>
      <c r="P1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3" s="2">
        <f>ABS(Данные6[[#This Row],[days_birth]])/365.2425</f>
        <v>57.893043662771994</v>
      </c>
      <c r="S1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3" s="2">
        <f>IF(Данные6[[#This Row],[ interest_rate]]&gt;$T$1,Данные6[[#This Row],[days_birth4]]*$T$2,Данные6[[#This Row],[days_birth4]])</f>
        <v>0</v>
      </c>
      <c r="U113" s="2">
        <f>IF(Данные6[[#This Row],[Проверка отказа]]="отказ",0,MAX(Данные6[[#This Row],[interest_rate]],$C$1))</f>
        <v>0</v>
      </c>
      <c r="V113" s="2">
        <f>MROUND(Данные6[[#This Row],[Минимум 20000]], 100)</f>
        <v>0</v>
      </c>
    </row>
    <row r="114" spans="1:22" x14ac:dyDescent="0.25">
      <c r="A114" s="2">
        <f>'1000_заявлений'!A108</f>
        <v>106</v>
      </c>
      <c r="B114" s="4">
        <f>VALUE(SUBSTITUTE('1000_заявлений'!B108, ".", ","))</f>
        <v>0.447611500884045</v>
      </c>
      <c r="C114" s="4">
        <f>VALUE(SUBSTITUTE('1000_заявлений'!C108, ".", ","))</f>
        <v>0.36972443314592102</v>
      </c>
      <c r="D114" s="4">
        <f>VALUE(SUBSTITUTE('1000_заявлений'!D108, ".", ","))</f>
        <v>0.66585492999999996</v>
      </c>
      <c r="E114" s="4">
        <f>VALUE(SUBSTITUTE('1000_заявлений'!E108, ".", ","))</f>
        <v>0.39740068000000001</v>
      </c>
      <c r="F114" s="5">
        <f>VALUE(SUBSTITUTE('1000_заявлений'!F108, ".", ","))</f>
        <v>-2728</v>
      </c>
      <c r="G114" s="5">
        <f>VALUE(SUBSTITUTE('1000_заявлений'!G108, ".", ","))</f>
        <v>-17239</v>
      </c>
      <c r="H114" s="5">
        <f>VALUE(SUBSTITUTE('1000_заявлений'!H108, ".", ","))</f>
        <v>-766</v>
      </c>
      <c r="I114" s="4">
        <f>VALUE(SUBSTITUTE('1000_заявлений'!I108, ".", ","))</f>
        <v>0.12723999999999999</v>
      </c>
      <c r="J114" s="4">
        <f>VALUE(SUBSTITUTE('1000_заявлений'!J108, ".", ","))</f>
        <v>2.6335894841311398</v>
      </c>
      <c r="K114" s="5">
        <f>VALUE(SUBSTITUTE('1000_заявлений'!K108, ".", ","))</f>
        <v>-3037</v>
      </c>
      <c r="L114" s="6">
        <f>VALUE(SUBSTITUTE('1000_заявлений'!L108, ".", ","))</f>
        <v>14314.5</v>
      </c>
      <c r="M114" s="2" t="str">
        <f>IF(Данные6[[#This Row],[proba]]&gt;$C$6, "отказ", "одобрение")</f>
        <v>отказ</v>
      </c>
      <c r="N114" s="7">
        <f>IF(Данные6[[#This Row],[proba]]&lt;$D$2,$C$2,IF(Данные6[[#This Row],[proba]]&lt;$D$3,$C$3,IF(Данные6[[#This Row],[proba]]&gt;$C$6,0,$C$4)))</f>
        <v>0</v>
      </c>
      <c r="O114" s="2">
        <f>IF(Данные6[[#This Row],[weighted_ext_score]]&gt;$O$1,MIN(Данные6[[#This Row],[Базовая сумма]]*$O$2,$C$2),IF(Данные6[[#This Row],[weighted_ext_score]]&lt;$O$3,Данные6[[#This Row],[Базовая сумма]]*$O$4,N114))</f>
        <v>0</v>
      </c>
      <c r="P1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4" s="2">
        <f>ABS(Данные6[[#This Row],[days_birth]])/365.2425</f>
        <v>47.198778893474881</v>
      </c>
      <c r="S1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4" s="2">
        <f>IF(Данные6[[#This Row],[ interest_rate]]&gt;$T$1,Данные6[[#This Row],[days_birth4]]*$T$2,Данные6[[#This Row],[days_birth4]])</f>
        <v>0</v>
      </c>
      <c r="U114" s="2">
        <f>IF(Данные6[[#This Row],[Проверка отказа]]="отказ",0,MAX(Данные6[[#This Row],[interest_rate]],$C$1))</f>
        <v>0</v>
      </c>
      <c r="V114" s="2">
        <f>MROUND(Данные6[[#This Row],[Минимум 20000]], 100)</f>
        <v>0</v>
      </c>
    </row>
    <row r="115" spans="1:22" x14ac:dyDescent="0.25">
      <c r="A115" s="2">
        <f>'1000_заявлений'!A109</f>
        <v>107</v>
      </c>
      <c r="B115" s="4">
        <f>VALUE(SUBSTITUTE('1000_заявлений'!B109, ".", ","))</f>
        <v>0.53040466216029103</v>
      </c>
      <c r="C115" s="4">
        <f>VALUE(SUBSTITUTE('1000_заявлений'!C109, ".", ","))</f>
        <v>0.31683347975086101</v>
      </c>
      <c r="D115" s="4">
        <f>VALUE(SUBSTITUTE('1000_заявлений'!D109, ".", ","))</f>
        <v>0.28517989999999999</v>
      </c>
      <c r="E115" s="4">
        <f>VALUE(SUBSTITUTE('1000_заявлений'!E109, ".", ","))</f>
        <v>0.65878219999999998</v>
      </c>
      <c r="F115" s="5">
        <f>VALUE(SUBSTITUTE('1000_заявлений'!F109, ".", ","))</f>
        <v>-10679</v>
      </c>
      <c r="G115" s="5">
        <f>VALUE(SUBSTITUTE('1000_заявлений'!G109, ".", ","))</f>
        <v>-18213</v>
      </c>
      <c r="H115" s="5">
        <f>VALUE(SUBSTITUTE('1000_заявлений'!H109, ".", ","))</f>
        <v>-1766</v>
      </c>
      <c r="I115" s="4">
        <f>VALUE(SUBSTITUTE('1000_заявлений'!I109, ".", ","))</f>
        <v>8.6022222222222194E-2</v>
      </c>
      <c r="J115" s="4">
        <f>VALUE(SUBSTITUTE('1000_заявлений'!J109, ".", ","))</f>
        <v>2.34835056914828</v>
      </c>
      <c r="K115" s="5">
        <f>VALUE(SUBSTITUTE('1000_заявлений'!K109, ".", ","))</f>
        <v>-3025</v>
      </c>
      <c r="L115" s="6">
        <f>VALUE(SUBSTITUTE('1000_заявлений'!L109, ".", ","))</f>
        <v>17419.5</v>
      </c>
      <c r="M115" s="2" t="str">
        <f>IF(Данные6[[#This Row],[proba]]&gt;$C$6, "отказ", "одобрение")</f>
        <v>отказ</v>
      </c>
      <c r="N115" s="7">
        <f>IF(Данные6[[#This Row],[proba]]&lt;$D$2,$C$2,IF(Данные6[[#This Row],[proba]]&lt;$D$3,$C$3,IF(Данные6[[#This Row],[proba]]&gt;$C$6,0,$C$4)))</f>
        <v>0</v>
      </c>
      <c r="O115" s="2">
        <f>IF(Данные6[[#This Row],[weighted_ext_score]]&gt;$O$1,MIN(Данные6[[#This Row],[Базовая сумма]]*$O$2,$C$2),IF(Данные6[[#This Row],[weighted_ext_score]]&lt;$O$3,Данные6[[#This Row],[Базовая сумма]]*$O$4,N115))</f>
        <v>0</v>
      </c>
      <c r="P1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5" s="2">
        <f>ABS(Данные6[[#This Row],[days_birth]])/365.2425</f>
        <v>49.86550031828169</v>
      </c>
      <c r="S1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5" s="2">
        <f>IF(Данные6[[#This Row],[ interest_rate]]&gt;$T$1,Данные6[[#This Row],[days_birth4]]*$T$2,Данные6[[#This Row],[days_birth4]])</f>
        <v>0</v>
      </c>
      <c r="U115" s="2">
        <f>IF(Данные6[[#This Row],[Проверка отказа]]="отказ",0,MAX(Данные6[[#This Row],[interest_rate]],$C$1))</f>
        <v>0</v>
      </c>
      <c r="V115" s="2">
        <f>MROUND(Данные6[[#This Row],[Минимум 20000]], 100)</f>
        <v>0</v>
      </c>
    </row>
    <row r="116" spans="1:22" x14ac:dyDescent="0.25">
      <c r="A116" s="2">
        <f>'1000_заявлений'!A110</f>
        <v>108</v>
      </c>
      <c r="B116" s="4">
        <f>VALUE(SUBSTITUTE('1000_заявлений'!B110, ".", ","))</f>
        <v>0.21735003952846299</v>
      </c>
      <c r="C116" s="4">
        <f>VALUE(SUBSTITUTE('1000_заявлений'!C110, ".", ","))</f>
        <v>0.47169562651790098</v>
      </c>
      <c r="D116" s="4">
        <f>VALUE(SUBSTITUTE('1000_заявлений'!D110, ".", ","))</f>
        <v>0.68013880000000004</v>
      </c>
      <c r="E116" s="4">
        <f>VALUE(SUBSTITUTE('1000_заявлений'!E110, ".", ","))</f>
        <v>0.69583505000000001</v>
      </c>
      <c r="F116" s="5">
        <f>VALUE(SUBSTITUTE('1000_заявлений'!F110, ".", ","))</f>
        <v>-4700</v>
      </c>
      <c r="G116" s="5">
        <f>VALUE(SUBSTITUTE('1000_заявлений'!G110, ".", ","))</f>
        <v>-18821</v>
      </c>
      <c r="H116" s="5">
        <f>VALUE(SUBSTITUTE('1000_заявлений'!H110, ".", ","))</f>
        <v>-2355</v>
      </c>
      <c r="I116" s="4">
        <f>VALUE(SUBSTITUTE('1000_заявлений'!I110, ".", ","))</f>
        <v>0.11085</v>
      </c>
      <c r="J116" s="4">
        <f>VALUE(SUBSTITUTE('1000_заявлений'!J110, ".", ","))</f>
        <v>1.9880377818094199</v>
      </c>
      <c r="K116" s="5">
        <f>VALUE(SUBSTITUTE('1000_заявлений'!K110, ".", ","))</f>
        <v>365243</v>
      </c>
      <c r="L116" s="6">
        <f>VALUE(SUBSTITUTE('1000_заявлений'!L110, ".", ","))</f>
        <v>19953</v>
      </c>
      <c r="M116" s="2" t="str">
        <f>IF(Данные6[[#This Row],[proba]]&gt;$C$6, "отказ", "одобрение")</f>
        <v>одобрение</v>
      </c>
      <c r="N116" s="7">
        <f>IF(Данные6[[#This Row],[proba]]&lt;$D$2,$C$2,IF(Данные6[[#This Row],[proba]]&lt;$D$3,$C$3,IF(Данные6[[#This Row],[proba]]&gt;$C$6,0,$C$4)))</f>
        <v>50000</v>
      </c>
      <c r="O116" s="2">
        <f>IF(Данные6[[#This Row],[weighted_ext_score]]&gt;$O$1,MIN(Данные6[[#This Row],[Базовая сумма]]*$O$2,$C$2),IF(Данные6[[#This Row],[weighted_ext_score]]&lt;$O$3,Данные6[[#This Row],[Базовая сумма]]*$O$4,N116))</f>
        <v>40000</v>
      </c>
      <c r="P1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116" s="2">
        <f>ABS(Данные6[[#This Row],[days_birth]])/365.2425</f>
        <v>51.530147778530704</v>
      </c>
      <c r="S1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116" s="2">
        <f>IF(Данные6[[#This Row],[ interest_rate]]&gt;$T$1,Данные6[[#This Row],[days_birth4]]*$T$2,Данные6[[#This Row],[days_birth4]])</f>
        <v>42000</v>
      </c>
      <c r="U116" s="2">
        <f>IF(Данные6[[#This Row],[Проверка отказа]]="отказ",0,MAX(Данные6[[#This Row],[interest_rate]],$C$1))</f>
        <v>42000</v>
      </c>
      <c r="V116" s="2">
        <f>MROUND(Данные6[[#This Row],[Минимум 20000]], 100)</f>
        <v>42000</v>
      </c>
    </row>
    <row r="117" spans="1:22" x14ac:dyDescent="0.25">
      <c r="A117" s="2">
        <f>'1000_заявлений'!A111</f>
        <v>109</v>
      </c>
      <c r="B117" s="4">
        <f>VALUE(SUBSTITUTE('1000_заявлений'!B111, ".", ","))</f>
        <v>0.815353963002172</v>
      </c>
      <c r="C117" s="4">
        <f>VALUE(SUBSTITUTE('1000_заявлений'!C111, ".", ","))</f>
        <v>0.159696095112073</v>
      </c>
      <c r="D117" s="4">
        <f>VALUE(SUBSTITUTE('1000_заявлений'!D111, ".", ","))</f>
        <v>0.29408309999999999</v>
      </c>
      <c r="E117" s="4">
        <f>VALUE(SUBSTITUTE('1000_заявлений'!E111, ".", ","))</f>
        <v>0.16442709</v>
      </c>
      <c r="F117" s="5">
        <f>VALUE(SUBSTITUTE('1000_заявлений'!F111, ".", ","))</f>
        <v>-935</v>
      </c>
      <c r="G117" s="5">
        <f>VALUE(SUBSTITUTE('1000_заявлений'!G111, ".", ","))</f>
        <v>-11816</v>
      </c>
      <c r="H117" s="5">
        <f>VALUE(SUBSTITUTE('1000_заявлений'!H111, ".", ","))</f>
        <v>-4141</v>
      </c>
      <c r="I117" s="4">
        <f>VALUE(SUBSTITUTE('1000_заявлений'!I111, ".", ","))</f>
        <v>0.28052380952380901</v>
      </c>
      <c r="J117" s="4">
        <f>VALUE(SUBSTITUTE('1000_заявлений'!J111, ".", ","))</f>
        <v>7.3980757530384098</v>
      </c>
      <c r="K117" s="5">
        <f>VALUE(SUBSTITUTE('1000_заявлений'!K111, ".", ","))</f>
        <v>-439</v>
      </c>
      <c r="L117" s="6">
        <f>VALUE(SUBSTITUTE('1000_заявлений'!L111, ".", ","))</f>
        <v>26509.5</v>
      </c>
      <c r="M117" s="2" t="str">
        <f>IF(Данные6[[#This Row],[proba]]&gt;$C$6, "отказ", "одобрение")</f>
        <v>отказ</v>
      </c>
      <c r="N117" s="7">
        <f>IF(Данные6[[#This Row],[proba]]&lt;$D$2,$C$2,IF(Данные6[[#This Row],[proba]]&lt;$D$3,$C$3,IF(Данные6[[#This Row],[proba]]&gt;$C$6,0,$C$4)))</f>
        <v>0</v>
      </c>
      <c r="O117" s="2">
        <f>IF(Данные6[[#This Row],[weighted_ext_score]]&gt;$O$1,MIN(Данные6[[#This Row],[Базовая сумма]]*$O$2,$C$2),IF(Данные6[[#This Row],[weighted_ext_score]]&lt;$O$3,Данные6[[#This Row],[Базовая сумма]]*$O$4,N117))</f>
        <v>0</v>
      </c>
      <c r="P1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7" s="2">
        <f>ABS(Данные6[[#This Row],[days_birth]])/365.2425</f>
        <v>32.351109194576203</v>
      </c>
      <c r="S1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7" s="2">
        <f>IF(Данные6[[#This Row],[ interest_rate]]&gt;$T$1,Данные6[[#This Row],[days_birth4]]*$T$2,Данные6[[#This Row],[days_birth4]])</f>
        <v>0</v>
      </c>
      <c r="U117" s="2">
        <f>IF(Данные6[[#This Row],[Проверка отказа]]="отказ",0,MAX(Данные6[[#This Row],[interest_rate]],$C$1))</f>
        <v>0</v>
      </c>
      <c r="V117" s="2">
        <f>MROUND(Данные6[[#This Row],[Минимум 20000]], 100)</f>
        <v>0</v>
      </c>
    </row>
    <row r="118" spans="1:22" x14ac:dyDescent="0.25">
      <c r="A118" s="2">
        <f>'1000_заявлений'!A112</f>
        <v>110</v>
      </c>
      <c r="B118" s="4">
        <f>VALUE(SUBSTITUTE('1000_заявлений'!B112, ".", ","))</f>
        <v>0.50701259766500095</v>
      </c>
      <c r="C118" s="4">
        <f>VALUE(SUBSTITUTE('1000_заявлений'!C112, ".", ","))</f>
        <v>0.33106554405143102</v>
      </c>
      <c r="D118" s="4">
        <f>VALUE(SUBSTITUTE('1000_заявлений'!D112, ".", ","))</f>
        <v>0.64632990000000001</v>
      </c>
      <c r="E118" s="4">
        <f>VALUE(SUBSTITUTE('1000_заявлений'!E112, ".", ","))</f>
        <v>0.29999128000000003</v>
      </c>
      <c r="F118" s="5">
        <f>VALUE(SUBSTITUTE('1000_заявлений'!F112, ".", ","))</f>
        <v>-4487</v>
      </c>
      <c r="G118" s="5">
        <f>VALUE(SUBSTITUTE('1000_заявлений'!G112, ".", ","))</f>
        <v>-15856</v>
      </c>
      <c r="H118" s="5">
        <f>VALUE(SUBSTITUTE('1000_заявлений'!H112, ".", ","))</f>
        <v>-4626</v>
      </c>
      <c r="I118" s="4">
        <f>VALUE(SUBSTITUTE('1000_заявлений'!I112, ".", ","))</f>
        <v>0.25421874999999999</v>
      </c>
      <c r="J118" s="4">
        <f>VALUE(SUBSTITUTE('1000_заявлений'!J112, ".", ","))</f>
        <v>2.7689264209761699</v>
      </c>
      <c r="K118" s="5">
        <f>VALUE(SUBSTITUTE('1000_заявлений'!K112, ".", ","))</f>
        <v>-1108</v>
      </c>
      <c r="L118" s="6">
        <f>VALUE(SUBSTITUTE('1000_заявлений'!L112, ".", ","))</f>
        <v>36607.5</v>
      </c>
      <c r="M118" s="2" t="str">
        <f>IF(Данные6[[#This Row],[proba]]&gt;$C$6, "отказ", "одобрение")</f>
        <v>отказ</v>
      </c>
      <c r="N118" s="7">
        <f>IF(Данные6[[#This Row],[proba]]&lt;$D$2,$C$2,IF(Данные6[[#This Row],[proba]]&lt;$D$3,$C$3,IF(Данные6[[#This Row],[proba]]&gt;$C$6,0,$C$4)))</f>
        <v>0</v>
      </c>
      <c r="O118" s="2">
        <f>IF(Данные6[[#This Row],[weighted_ext_score]]&gt;$O$1,MIN(Данные6[[#This Row],[Базовая сумма]]*$O$2,$C$2),IF(Данные6[[#This Row],[weighted_ext_score]]&lt;$O$3,Данные6[[#This Row],[Базовая сумма]]*$O$4,N118))</f>
        <v>0</v>
      </c>
      <c r="P1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8" s="2">
        <f>ABS(Данные6[[#This Row],[days_birth]])/365.2425</f>
        <v>43.412253502809776</v>
      </c>
      <c r="S1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8" s="2">
        <f>IF(Данные6[[#This Row],[ interest_rate]]&gt;$T$1,Данные6[[#This Row],[days_birth4]]*$T$2,Данные6[[#This Row],[days_birth4]])</f>
        <v>0</v>
      </c>
      <c r="U118" s="2">
        <f>IF(Данные6[[#This Row],[Проверка отказа]]="отказ",0,MAX(Данные6[[#This Row],[interest_rate]],$C$1))</f>
        <v>0</v>
      </c>
      <c r="V118" s="2">
        <f>MROUND(Данные6[[#This Row],[Минимум 20000]], 100)</f>
        <v>0</v>
      </c>
    </row>
    <row r="119" spans="1:22" x14ac:dyDescent="0.25">
      <c r="A119" s="2">
        <f>'1000_заявлений'!A113</f>
        <v>111</v>
      </c>
      <c r="B119" s="4">
        <f>VALUE(SUBSTITUTE('1000_заявлений'!B113, ".", ","))</f>
        <v>0.364106689857981</v>
      </c>
      <c r="C119" s="4">
        <f>VALUE(SUBSTITUTE('1000_заявлений'!C113, ".", ","))</f>
        <v>0.50922440105062705</v>
      </c>
      <c r="D119" s="4">
        <f>VALUE(SUBSTITUTE('1000_заявлений'!D113, ".", ","))</f>
        <v>0.68170589999999998</v>
      </c>
      <c r="E119" s="4">
        <f>VALUE(SUBSTITUTE('1000_заявлений'!E113, ".", ","))</f>
        <v>0.16040531999999999</v>
      </c>
      <c r="F119" s="5">
        <f>VALUE(SUBSTITUTE('1000_заявлений'!F113, ".", ","))</f>
        <v>-8180</v>
      </c>
      <c r="G119" s="5">
        <f>VALUE(SUBSTITUTE('1000_заявлений'!G113, ".", ","))</f>
        <v>-17865</v>
      </c>
      <c r="H119" s="5">
        <f>VALUE(SUBSTITUTE('1000_заявлений'!H113, ".", ","))</f>
        <v>-1276</v>
      </c>
      <c r="I119" s="4">
        <f>VALUE(SUBSTITUTE('1000_заявлений'!I113, ".", ","))</f>
        <v>0.11748</v>
      </c>
      <c r="J119" s="4">
        <f>VALUE(SUBSTITUTE('1000_заявлений'!J113, ".", ","))</f>
        <v>16.152025818866701</v>
      </c>
      <c r="K119" s="5">
        <f>VALUE(SUBSTITUTE('1000_заявлений'!K113, ".", ","))</f>
        <v>-3178</v>
      </c>
      <c r="L119" s="6">
        <f>VALUE(SUBSTITUTE('1000_заявлений'!L113, ".", ","))</f>
        <v>26433</v>
      </c>
      <c r="M119" s="2" t="str">
        <f>IF(Данные6[[#This Row],[proba]]&gt;$C$6, "отказ", "одобрение")</f>
        <v>отказ</v>
      </c>
      <c r="N119" s="7">
        <f>IF(Данные6[[#This Row],[proba]]&lt;$D$2,$C$2,IF(Данные6[[#This Row],[proba]]&lt;$D$3,$C$3,IF(Данные6[[#This Row],[proba]]&gt;$C$6,0,$C$4)))</f>
        <v>0</v>
      </c>
      <c r="O119" s="2">
        <f>IF(Данные6[[#This Row],[weighted_ext_score]]&gt;$O$1,MIN(Данные6[[#This Row],[Базовая сумма]]*$O$2,$C$2),IF(Данные6[[#This Row],[weighted_ext_score]]&lt;$O$3,Данные6[[#This Row],[Базовая сумма]]*$O$4,N119))</f>
        <v>0</v>
      </c>
      <c r="P1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19" s="2">
        <f>ABS(Данные6[[#This Row],[days_birth]])/365.2425</f>
        <v>48.912708679849686</v>
      </c>
      <c r="S1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19" s="2">
        <f>IF(Данные6[[#This Row],[ interest_rate]]&gt;$T$1,Данные6[[#This Row],[days_birth4]]*$T$2,Данные6[[#This Row],[days_birth4]])</f>
        <v>0</v>
      </c>
      <c r="U119" s="2">
        <f>IF(Данные6[[#This Row],[Проверка отказа]]="отказ",0,MAX(Данные6[[#This Row],[interest_rate]],$C$1))</f>
        <v>0</v>
      </c>
      <c r="V119" s="2">
        <f>MROUND(Данные6[[#This Row],[Минимум 20000]], 100)</f>
        <v>0</v>
      </c>
    </row>
    <row r="120" spans="1:22" x14ac:dyDescent="0.25">
      <c r="A120" s="2">
        <f>'1000_заявлений'!A114</f>
        <v>112</v>
      </c>
      <c r="B120" s="4">
        <f>VALUE(SUBSTITUTE('1000_заявлений'!B114, ".", ","))</f>
        <v>0.60088236606017897</v>
      </c>
      <c r="C120" s="4">
        <f>VALUE(SUBSTITUTE('1000_заявлений'!C114, ".", ","))</f>
        <v>0.40487386210857002</v>
      </c>
      <c r="D120" s="4">
        <f>VALUE(SUBSTITUTE('1000_заявлений'!D114, ".", ","))</f>
        <v>0.48485148</v>
      </c>
      <c r="E120" s="4">
        <f>VALUE(SUBSTITUTE('1000_заявлений'!E114, ".", ","))</f>
        <v>0.33112994000000001</v>
      </c>
      <c r="F120" s="5">
        <f>VALUE(SUBSTITUTE('1000_заявлений'!F114, ".", ","))</f>
        <v>-957</v>
      </c>
      <c r="G120" s="5">
        <f>VALUE(SUBSTITUTE('1000_заявлений'!G114, ".", ","))</f>
        <v>-11825</v>
      </c>
      <c r="H120" s="5">
        <f>VALUE(SUBSTITUTE('1000_заявлений'!H114, ".", ","))</f>
        <v>-3432</v>
      </c>
      <c r="I120" s="4">
        <f>VALUE(SUBSTITUTE('1000_заявлений'!I114, ".", ","))</f>
        <v>0.35887999999999998</v>
      </c>
      <c r="J120" s="4">
        <f>VALUE(SUBSTITUTE('1000_заявлений'!J114, ".", ","))</f>
        <v>5.2829283134532199</v>
      </c>
      <c r="K120" s="5">
        <f>VALUE(SUBSTITUTE('1000_заявлений'!K114, ".", ","))</f>
        <v>-844</v>
      </c>
      <c r="L120" s="6">
        <f>VALUE(SUBSTITUTE('1000_заявлений'!L114, ".", ","))</f>
        <v>40374</v>
      </c>
      <c r="M120" s="2" t="str">
        <f>IF(Данные6[[#This Row],[proba]]&gt;$C$6, "отказ", "одобрение")</f>
        <v>отказ</v>
      </c>
      <c r="N120" s="7">
        <f>IF(Данные6[[#This Row],[proba]]&lt;$D$2,$C$2,IF(Данные6[[#This Row],[proba]]&lt;$D$3,$C$3,IF(Данные6[[#This Row],[proba]]&gt;$C$6,0,$C$4)))</f>
        <v>0</v>
      </c>
      <c r="O120" s="2">
        <f>IF(Данные6[[#This Row],[weighted_ext_score]]&gt;$O$1,MIN(Данные6[[#This Row],[Базовая сумма]]*$O$2,$C$2),IF(Данные6[[#This Row],[weighted_ext_score]]&lt;$O$3,Данные6[[#This Row],[Базовая сумма]]*$O$4,N120))</f>
        <v>0</v>
      </c>
      <c r="P1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0" s="2">
        <f>ABS(Данные6[[#This Row],[days_birth]])/365.2425</f>
        <v>32.375750357639099</v>
      </c>
      <c r="S1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0" s="2">
        <f>IF(Данные6[[#This Row],[ interest_rate]]&gt;$T$1,Данные6[[#This Row],[days_birth4]]*$T$2,Данные6[[#This Row],[days_birth4]])</f>
        <v>0</v>
      </c>
      <c r="U120" s="2">
        <f>IF(Данные6[[#This Row],[Проверка отказа]]="отказ",0,MAX(Данные6[[#This Row],[interest_rate]],$C$1))</f>
        <v>0</v>
      </c>
      <c r="V120" s="2">
        <f>MROUND(Данные6[[#This Row],[Минимум 20000]], 100)</f>
        <v>0</v>
      </c>
    </row>
    <row r="121" spans="1:22" x14ac:dyDescent="0.25">
      <c r="A121" s="2">
        <f>'1000_заявлений'!A115</f>
        <v>113</v>
      </c>
      <c r="B121" s="4">
        <f>VALUE(SUBSTITUTE('1000_заявлений'!B115, ".", ","))</f>
        <v>0.42376270780909298</v>
      </c>
      <c r="C121" s="4">
        <f>VALUE(SUBSTITUTE('1000_заявлений'!C115, ".", ","))</f>
        <v>0.405161351372196</v>
      </c>
      <c r="D121" s="4">
        <f>VALUE(SUBSTITUTE('1000_заявлений'!D115, ".", ","))</f>
        <v>0.53527623000000002</v>
      </c>
      <c r="E121" s="4">
        <f>VALUE(SUBSTITUTE('1000_заявлений'!E115, ".", ","))</f>
        <v>0.56793720000000003</v>
      </c>
      <c r="F121" s="5">
        <f>VALUE(SUBSTITUTE('1000_заявлений'!F115, ".", ","))</f>
        <v>-5081</v>
      </c>
      <c r="G121" s="5">
        <f>VALUE(SUBSTITUTE('1000_заявлений'!G115, ".", ","))</f>
        <v>-12740</v>
      </c>
      <c r="H121" s="5">
        <f>VALUE(SUBSTITUTE('1000_заявлений'!H115, ".", ","))</f>
        <v>-4807</v>
      </c>
      <c r="I121" s="4">
        <f>VALUE(SUBSTITUTE('1000_заявлений'!I115, ".", ","))</f>
        <v>0.14123333333333299</v>
      </c>
      <c r="J121" s="4">
        <f>VALUE(SUBSTITUTE('1000_заявлений'!J115, ".", ","))</f>
        <v>1.62414913429236</v>
      </c>
      <c r="K121" s="5">
        <f>VALUE(SUBSTITUTE('1000_заявлений'!K115, ".", ","))</f>
        <v>-1656</v>
      </c>
      <c r="L121" s="6">
        <f>VALUE(SUBSTITUTE('1000_заявлений'!L115, ".", ","))</f>
        <v>19066.5</v>
      </c>
      <c r="M121" s="2" t="str">
        <f>IF(Данные6[[#This Row],[proba]]&gt;$C$6, "отказ", "одобрение")</f>
        <v>отказ</v>
      </c>
      <c r="N121" s="7">
        <f>IF(Данные6[[#This Row],[proba]]&lt;$D$2,$C$2,IF(Данные6[[#This Row],[proba]]&lt;$D$3,$C$3,IF(Данные6[[#This Row],[proba]]&gt;$C$6,0,$C$4)))</f>
        <v>0</v>
      </c>
      <c r="O121" s="2">
        <f>IF(Данные6[[#This Row],[weighted_ext_score]]&gt;$O$1,MIN(Данные6[[#This Row],[Базовая сумма]]*$O$2,$C$2),IF(Данные6[[#This Row],[weighted_ext_score]]&lt;$O$3,Данные6[[#This Row],[Базовая сумма]]*$O$4,N121))</f>
        <v>0</v>
      </c>
      <c r="P1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1" s="2">
        <f>ABS(Данные6[[#This Row],[days_birth]])/365.2425</f>
        <v>34.880935269033586</v>
      </c>
      <c r="S1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1" s="2">
        <f>IF(Данные6[[#This Row],[ interest_rate]]&gt;$T$1,Данные6[[#This Row],[days_birth4]]*$T$2,Данные6[[#This Row],[days_birth4]])</f>
        <v>0</v>
      </c>
      <c r="U121" s="2">
        <f>IF(Данные6[[#This Row],[Проверка отказа]]="отказ",0,MAX(Данные6[[#This Row],[interest_rate]],$C$1))</f>
        <v>0</v>
      </c>
      <c r="V121" s="2">
        <f>MROUND(Данные6[[#This Row],[Минимум 20000]], 100)</f>
        <v>0</v>
      </c>
    </row>
    <row r="122" spans="1:22" x14ac:dyDescent="0.25">
      <c r="A122" s="2">
        <f>'1000_заявлений'!A116</f>
        <v>114</v>
      </c>
      <c r="B122" s="4">
        <f>VALUE(SUBSTITUTE('1000_заявлений'!B116, ".", ","))</f>
        <v>0.47641817304154299</v>
      </c>
      <c r="C122" s="4">
        <f>VALUE(SUBSTITUTE('1000_заявлений'!C116, ".", ","))</f>
        <v>0.48238224327413198</v>
      </c>
      <c r="D122" s="4">
        <f>VALUE(SUBSTITUTE('1000_заявлений'!D116, ".", ","))</f>
        <v>0.57444660000000003</v>
      </c>
      <c r="E122" s="4">
        <f>VALUE(SUBSTITUTE('1000_заявлений'!E116, ".", ","))</f>
        <v>0.13183565</v>
      </c>
      <c r="F122" s="5">
        <f>VALUE(SUBSTITUTE('1000_заявлений'!F116, ".", ","))</f>
        <v>-11027</v>
      </c>
      <c r="G122" s="5">
        <f>VALUE(SUBSTITUTE('1000_заявлений'!G116, ".", ","))</f>
        <v>-19959</v>
      </c>
      <c r="H122" s="5">
        <f>VALUE(SUBSTITUTE('1000_заявлений'!H116, ".", ","))</f>
        <v>-3405</v>
      </c>
      <c r="I122" s="4">
        <f>VALUE(SUBSTITUTE('1000_заявлений'!I116, ".", ","))</f>
        <v>0.227333333333333</v>
      </c>
      <c r="J122" s="4">
        <f>VALUE(SUBSTITUTE('1000_заявлений'!J116, ".", ","))</f>
        <v>2.6617974302169198</v>
      </c>
      <c r="K122" s="5">
        <f>VALUE(SUBSTITUTE('1000_заявлений'!K116, ".", ","))</f>
        <v>365243</v>
      </c>
      <c r="L122" s="6">
        <f>VALUE(SUBSTITUTE('1000_заявлений'!L116, ".", ","))</f>
        <v>12276</v>
      </c>
      <c r="M122" s="2" t="str">
        <f>IF(Данные6[[#This Row],[proba]]&gt;$C$6, "отказ", "одобрение")</f>
        <v>отказ</v>
      </c>
      <c r="N122" s="7">
        <f>IF(Данные6[[#This Row],[proba]]&lt;$D$2,$C$2,IF(Данные6[[#This Row],[proba]]&lt;$D$3,$C$3,IF(Данные6[[#This Row],[proba]]&gt;$C$6,0,$C$4)))</f>
        <v>0</v>
      </c>
      <c r="O122" s="2">
        <f>IF(Данные6[[#This Row],[weighted_ext_score]]&gt;$O$1,MIN(Данные6[[#This Row],[Базовая сумма]]*$O$2,$C$2),IF(Данные6[[#This Row],[weighted_ext_score]]&lt;$O$3,Данные6[[#This Row],[Базовая сумма]]*$O$4,N122))</f>
        <v>0</v>
      </c>
      <c r="P1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2" s="2">
        <f>ABS(Данные6[[#This Row],[days_birth]])/365.2425</f>
        <v>54.645885952483624</v>
      </c>
      <c r="S1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2" s="2">
        <f>IF(Данные6[[#This Row],[ interest_rate]]&gt;$T$1,Данные6[[#This Row],[days_birth4]]*$T$2,Данные6[[#This Row],[days_birth4]])</f>
        <v>0</v>
      </c>
      <c r="U122" s="2">
        <f>IF(Данные6[[#This Row],[Проверка отказа]]="отказ",0,MAX(Данные6[[#This Row],[interest_rate]],$C$1))</f>
        <v>0</v>
      </c>
      <c r="V122" s="2">
        <f>MROUND(Данные6[[#This Row],[Минимум 20000]], 100)</f>
        <v>0</v>
      </c>
    </row>
    <row r="123" spans="1:22" x14ac:dyDescent="0.25">
      <c r="A123" s="2">
        <f>'1000_заявлений'!A117</f>
        <v>115</v>
      </c>
      <c r="B123" s="4">
        <f>VALUE(SUBSTITUTE('1000_заявлений'!B117, ".", ","))</f>
        <v>0.43236887572343502</v>
      </c>
      <c r="C123" s="4">
        <f>VALUE(SUBSTITUTE('1000_заявлений'!C117, ".", ","))</f>
        <v>0.15575876917053999</v>
      </c>
      <c r="D123" s="4">
        <f>VALUE(SUBSTITUTE('1000_заявлений'!D117, ".", ","))</f>
        <v>0.53527623000000002</v>
      </c>
      <c r="E123" s="4">
        <f>VALUE(SUBSTITUTE('1000_заявлений'!E117, ".", ","))</f>
        <v>0.48017840000000001</v>
      </c>
      <c r="F123" s="5">
        <f>VALUE(SUBSTITUTE('1000_заявлений'!F117, ".", ","))</f>
        <v>-557</v>
      </c>
      <c r="G123" s="5">
        <f>VALUE(SUBSTITUTE('1000_заявлений'!G117, ".", ","))</f>
        <v>-21032</v>
      </c>
      <c r="H123" s="5">
        <f>VALUE(SUBSTITUTE('1000_заявлений'!H117, ".", ","))</f>
        <v>-4042</v>
      </c>
      <c r="I123" s="4">
        <f>VALUE(SUBSTITUTE('1000_заявлений'!I117, ".", ","))</f>
        <v>0.21203333333333299</v>
      </c>
      <c r="J123" s="4">
        <f>VALUE(SUBSTITUTE('1000_заявлений'!J117, ".", ","))</f>
        <v>16.058848345088599</v>
      </c>
      <c r="K123" s="5">
        <f>VALUE(SUBSTITUTE('1000_заявлений'!K117, ".", ","))</f>
        <v>365243</v>
      </c>
      <c r="L123" s="6">
        <f>VALUE(SUBSTITUTE('1000_заявлений'!L117, ".", ","))</f>
        <v>28624.5</v>
      </c>
      <c r="M123" s="2" t="str">
        <f>IF(Данные6[[#This Row],[proba]]&gt;$C$6, "отказ", "одобрение")</f>
        <v>отказ</v>
      </c>
      <c r="N123" s="7">
        <f>IF(Данные6[[#This Row],[proba]]&lt;$D$2,$C$2,IF(Данные6[[#This Row],[proba]]&lt;$D$3,$C$3,IF(Данные6[[#This Row],[proba]]&gt;$C$6,0,$C$4)))</f>
        <v>0</v>
      </c>
      <c r="O123" s="2">
        <f>IF(Данные6[[#This Row],[weighted_ext_score]]&gt;$O$1,MIN(Данные6[[#This Row],[Базовая сумма]]*$O$2,$C$2),IF(Данные6[[#This Row],[weighted_ext_score]]&lt;$O$3,Данные6[[#This Row],[Базовая сумма]]*$O$4,N123))</f>
        <v>0</v>
      </c>
      <c r="P1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3" s="2">
        <f>ABS(Данные6[[#This Row],[days_birth]])/365.2425</f>
        <v>57.583660170982292</v>
      </c>
      <c r="S1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3" s="2">
        <f>IF(Данные6[[#This Row],[ interest_rate]]&gt;$T$1,Данные6[[#This Row],[days_birth4]]*$T$2,Данные6[[#This Row],[days_birth4]])</f>
        <v>0</v>
      </c>
      <c r="U123" s="2">
        <f>IF(Данные6[[#This Row],[Проверка отказа]]="отказ",0,MAX(Данные6[[#This Row],[interest_rate]],$C$1))</f>
        <v>0</v>
      </c>
      <c r="V123" s="2">
        <f>MROUND(Данные6[[#This Row],[Минимум 20000]], 100)</f>
        <v>0</v>
      </c>
    </row>
    <row r="124" spans="1:22" x14ac:dyDescent="0.25">
      <c r="A124" s="2">
        <f>'1000_заявлений'!A118</f>
        <v>116</v>
      </c>
      <c r="B124" s="4">
        <f>VALUE(SUBSTITUTE('1000_заявлений'!B118, ".", ","))</f>
        <v>0.57016467039485996</v>
      </c>
      <c r="C124" s="4">
        <f>VALUE(SUBSTITUTE('1000_заявлений'!C118, ".", ","))</f>
        <v>0.31994644632661601</v>
      </c>
      <c r="D124" s="4">
        <f>VALUE(SUBSTITUTE('1000_заявлений'!D118, ".", ","))</f>
        <v>0.38762533999999998</v>
      </c>
      <c r="E124" s="4">
        <f>VALUE(SUBSTITUTE('1000_заявлений'!E118, ".", ","))</f>
        <v>0.55415689999999995</v>
      </c>
      <c r="F124" s="5">
        <f>VALUE(SUBSTITUTE('1000_заявлений'!F118, ".", ","))</f>
        <v>-3334</v>
      </c>
      <c r="G124" s="5">
        <f>VALUE(SUBSTITUTE('1000_заявлений'!G118, ".", ","))</f>
        <v>-8140</v>
      </c>
      <c r="H124" s="5">
        <f>VALUE(SUBSTITUTE('1000_заявлений'!H118, ".", ","))</f>
        <v>-813</v>
      </c>
      <c r="I124" s="4">
        <f>VALUE(SUBSTITUTE('1000_заявлений'!I118, ".", ","))</f>
        <v>0.11111111111111099</v>
      </c>
      <c r="J124" s="4">
        <f>VALUE(SUBSTITUTE('1000_заявлений'!J118, ".", ","))</f>
        <v>10.6209759779781</v>
      </c>
      <c r="K124" s="5">
        <f>VALUE(SUBSTITUTE('1000_заявлений'!K118, ".", ","))</f>
        <v>-1548</v>
      </c>
      <c r="L124" s="6">
        <f>VALUE(SUBSTITUTE('1000_заявлений'!L118, ".", ","))</f>
        <v>9000</v>
      </c>
      <c r="M124" s="2" t="str">
        <f>IF(Данные6[[#This Row],[proba]]&gt;$C$6, "отказ", "одобрение")</f>
        <v>отказ</v>
      </c>
      <c r="N124" s="7">
        <f>IF(Данные6[[#This Row],[proba]]&lt;$D$2,$C$2,IF(Данные6[[#This Row],[proba]]&lt;$D$3,$C$3,IF(Данные6[[#This Row],[proba]]&gt;$C$6,0,$C$4)))</f>
        <v>0</v>
      </c>
      <c r="O124" s="2">
        <f>IF(Данные6[[#This Row],[weighted_ext_score]]&gt;$O$1,MIN(Данные6[[#This Row],[Базовая сумма]]*$O$2,$C$2),IF(Данные6[[#This Row],[weighted_ext_score]]&lt;$O$3,Данные6[[#This Row],[Базовая сумма]]*$O$4,N124))</f>
        <v>0</v>
      </c>
      <c r="P1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4" s="2">
        <f>ABS(Данные6[[#This Row],[days_birth]])/365.2425</f>
        <v>22.286563036886452</v>
      </c>
      <c r="S1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4" s="2">
        <f>IF(Данные6[[#This Row],[ interest_rate]]&gt;$T$1,Данные6[[#This Row],[days_birth4]]*$T$2,Данные6[[#This Row],[days_birth4]])</f>
        <v>0</v>
      </c>
      <c r="U124" s="2">
        <f>IF(Данные6[[#This Row],[Проверка отказа]]="отказ",0,MAX(Данные6[[#This Row],[interest_rate]],$C$1))</f>
        <v>0</v>
      </c>
      <c r="V124" s="2">
        <f>MROUND(Данные6[[#This Row],[Минимум 20000]], 100)</f>
        <v>0</v>
      </c>
    </row>
    <row r="125" spans="1:22" x14ac:dyDescent="0.25">
      <c r="A125" s="2">
        <f>'1000_заявлений'!A119</f>
        <v>117</v>
      </c>
      <c r="B125" s="4">
        <f>VALUE(SUBSTITUTE('1000_заявлений'!B119, ".", ","))</f>
        <v>0.36342846714266003</v>
      </c>
      <c r="C125" s="4">
        <f>VALUE(SUBSTITUTE('1000_заявлений'!C119, ".", ","))</f>
        <v>0.38020989868112098</v>
      </c>
      <c r="D125" s="4">
        <f>VALUE(SUBSTITUTE('1000_заявлений'!D119, ".", ","))</f>
        <v>0.42589290000000002</v>
      </c>
      <c r="E125" s="4">
        <f>VALUE(SUBSTITUTE('1000_заявлений'!E119, ".", ","))</f>
        <v>0.69727249999999996</v>
      </c>
      <c r="F125" s="5">
        <f>VALUE(SUBSTITUTE('1000_заявлений'!F119, ".", ","))</f>
        <v>-3580</v>
      </c>
      <c r="G125" s="5">
        <f>VALUE(SUBSTITUTE('1000_заявлений'!G119, ".", ","))</f>
        <v>-19570</v>
      </c>
      <c r="H125" s="5">
        <f>VALUE(SUBSTITUTE('1000_заявлений'!H119, ".", ","))</f>
        <v>-3122</v>
      </c>
      <c r="I125" s="4">
        <f>VALUE(SUBSTITUTE('1000_заявлений'!I119, ".", ","))</f>
        <v>0.13307159353348699</v>
      </c>
      <c r="J125" s="4">
        <f>VALUE(SUBSTITUTE('1000_заявлений'!J119, ".", ","))</f>
        <v>1.61870337666849</v>
      </c>
      <c r="K125" s="5">
        <f>VALUE(SUBSTITUTE('1000_заявлений'!K119, ".", ","))</f>
        <v>365243</v>
      </c>
      <c r="L125" s="6">
        <f>VALUE(SUBSTITUTE('1000_заявлений'!L119, ".", ","))</f>
        <v>25929</v>
      </c>
      <c r="M125" s="2" t="str">
        <f>IF(Данные6[[#This Row],[proba]]&gt;$C$6, "отказ", "одобрение")</f>
        <v>отказ</v>
      </c>
      <c r="N125" s="7">
        <f>IF(Данные6[[#This Row],[proba]]&lt;$D$2,$C$2,IF(Данные6[[#This Row],[proba]]&lt;$D$3,$C$3,IF(Данные6[[#This Row],[proba]]&gt;$C$6,0,$C$4)))</f>
        <v>0</v>
      </c>
      <c r="O125" s="2">
        <f>IF(Данные6[[#This Row],[weighted_ext_score]]&gt;$O$1,MIN(Данные6[[#This Row],[Базовая сумма]]*$O$2,$C$2),IF(Данные6[[#This Row],[weighted_ext_score]]&lt;$O$3,Данные6[[#This Row],[Базовая сумма]]*$O$4,N125))</f>
        <v>0</v>
      </c>
      <c r="P1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5" s="2">
        <f>ABS(Данные6[[#This Row],[days_birth]])/365.2425</f>
        <v>53.580840126765096</v>
      </c>
      <c r="S1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5" s="2">
        <f>IF(Данные6[[#This Row],[ interest_rate]]&gt;$T$1,Данные6[[#This Row],[days_birth4]]*$T$2,Данные6[[#This Row],[days_birth4]])</f>
        <v>0</v>
      </c>
      <c r="U125" s="2">
        <f>IF(Данные6[[#This Row],[Проверка отказа]]="отказ",0,MAX(Данные6[[#This Row],[interest_rate]],$C$1))</f>
        <v>0</v>
      </c>
      <c r="V125" s="2">
        <f>MROUND(Данные6[[#This Row],[Минимум 20000]], 100)</f>
        <v>0</v>
      </c>
    </row>
    <row r="126" spans="1:22" x14ac:dyDescent="0.25">
      <c r="A126" s="2">
        <f>'1000_заявлений'!A120</f>
        <v>118</v>
      </c>
      <c r="B126" s="4">
        <f>VALUE(SUBSTITUTE('1000_заявлений'!B120, ".", ","))</f>
        <v>0.23354151801957199</v>
      </c>
      <c r="C126" s="4">
        <f>VALUE(SUBSTITUTE('1000_заявлений'!C120, ".", ","))</f>
        <v>0.48414130700305102</v>
      </c>
      <c r="D126" s="4">
        <f>VALUE(SUBSTITUTE('1000_заявлений'!D120, ".", ","))</f>
        <v>0.81931770000000004</v>
      </c>
      <c r="E126" s="4">
        <f>VALUE(SUBSTITUTE('1000_заявлений'!E120, ".", ","))</f>
        <v>0.57902480000000001</v>
      </c>
      <c r="F126" s="5">
        <f>VALUE(SUBSTITUTE('1000_заявлений'!F120, ".", ","))</f>
        <v>-1370</v>
      </c>
      <c r="G126" s="5">
        <f>VALUE(SUBSTITUTE('1000_заявлений'!G120, ".", ","))</f>
        <v>-17928</v>
      </c>
      <c r="H126" s="5">
        <f>VALUE(SUBSTITUTE('1000_заявлений'!H120, ".", ","))</f>
        <v>-1426</v>
      </c>
      <c r="I126" s="4">
        <f>VALUE(SUBSTITUTE('1000_заявлений'!I120, ".", ","))</f>
        <v>0.157</v>
      </c>
      <c r="J126" s="4">
        <f>VALUE(SUBSTITUTE('1000_заявлений'!J120, ".", ","))</f>
        <v>6.9726452480345102</v>
      </c>
      <c r="K126" s="5">
        <f>VALUE(SUBSTITUTE('1000_заявлений'!K120, ".", ","))</f>
        <v>-3243</v>
      </c>
      <c r="L126" s="6">
        <f>VALUE(SUBSTITUTE('1000_заявлений'!L120, ".", ","))</f>
        <v>17662.5</v>
      </c>
      <c r="M126" s="2" t="str">
        <f>IF(Данные6[[#This Row],[proba]]&gt;$C$6, "отказ", "одобрение")</f>
        <v>одобрение</v>
      </c>
      <c r="N126" s="7">
        <f>IF(Данные6[[#This Row],[proba]]&lt;$D$2,$C$2,IF(Данные6[[#This Row],[proba]]&lt;$D$3,$C$3,IF(Данные6[[#This Row],[proba]]&gt;$C$6,0,$C$4)))</f>
        <v>50000</v>
      </c>
      <c r="O126" s="2">
        <f>IF(Данные6[[#This Row],[weighted_ext_score]]&gt;$O$1,MIN(Данные6[[#This Row],[Базовая сумма]]*$O$2,$C$2),IF(Данные6[[#This Row],[weighted_ext_score]]&lt;$O$3,Данные6[[#This Row],[Базовая сумма]]*$O$4,N126))</f>
        <v>40000</v>
      </c>
      <c r="P1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126" s="2">
        <f>ABS(Данные6[[#This Row],[days_birth]])/365.2425</f>
        <v>49.085196821289962</v>
      </c>
      <c r="S1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126" s="2">
        <f>IF(Данные6[[#This Row],[ interest_rate]]&gt;$T$1,Данные6[[#This Row],[days_birth4]]*$T$2,Данные6[[#This Row],[days_birth4]])</f>
        <v>48000</v>
      </c>
      <c r="U126" s="2">
        <f>IF(Данные6[[#This Row],[Проверка отказа]]="отказ",0,MAX(Данные6[[#This Row],[interest_rate]],$C$1))</f>
        <v>48000</v>
      </c>
      <c r="V126" s="2">
        <f>MROUND(Данные6[[#This Row],[Минимум 20000]], 100)</f>
        <v>48000</v>
      </c>
    </row>
    <row r="127" spans="1:22" x14ac:dyDescent="0.25">
      <c r="A127" s="2">
        <f>'1000_заявлений'!A121</f>
        <v>119</v>
      </c>
      <c r="B127" s="4">
        <f>VALUE(SUBSTITUTE('1000_заявлений'!B121, ".", ","))</f>
        <v>0.21867514184124601</v>
      </c>
      <c r="C127" s="4">
        <f>VALUE(SUBSTITUTE('1000_заявлений'!C121, ".", ","))</f>
        <v>0.62304549579781998</v>
      </c>
      <c r="D127" s="4">
        <f>VALUE(SUBSTITUTE('1000_заявлений'!D121, ".", ","))</f>
        <v>0.73381454000000002</v>
      </c>
      <c r="E127" s="4">
        <f>VALUE(SUBSTITUTE('1000_заявлений'!E121, ".", ","))</f>
        <v>0.68386804999999995</v>
      </c>
      <c r="F127" s="5">
        <f>VALUE(SUBSTITUTE('1000_заявлений'!F121, ".", ","))</f>
        <v>-2916</v>
      </c>
      <c r="G127" s="5">
        <f>VALUE(SUBSTITUTE('1000_заявлений'!G121, ".", ","))</f>
        <v>-11512</v>
      </c>
      <c r="H127" s="5">
        <f>VALUE(SUBSTITUTE('1000_заявлений'!H121, ".", ","))</f>
        <v>-677</v>
      </c>
      <c r="I127" s="4">
        <f>VALUE(SUBSTITUTE('1000_заявлений'!I121, ".", ","))</f>
        <v>0.126931034482758</v>
      </c>
      <c r="J127" s="4">
        <f>VALUE(SUBSTITUTE('1000_заявлений'!J121, ".", ","))</f>
        <v>5.2957932695434797</v>
      </c>
      <c r="K127" s="5">
        <f>VALUE(SUBSTITUTE('1000_заявлений'!K121, ".", ","))</f>
        <v>-1354</v>
      </c>
      <c r="L127" s="6">
        <f>VALUE(SUBSTITUTE('1000_заявлений'!L121, ".", ","))</f>
        <v>16564.5</v>
      </c>
      <c r="M127" s="2" t="str">
        <f>IF(Данные6[[#This Row],[proba]]&gt;$C$6, "отказ", "одобрение")</f>
        <v>одобрение</v>
      </c>
      <c r="N127" s="7">
        <f>IF(Данные6[[#This Row],[proba]]&lt;$D$2,$C$2,IF(Данные6[[#This Row],[proba]]&lt;$D$3,$C$3,IF(Данные6[[#This Row],[proba]]&gt;$C$6,0,$C$4)))</f>
        <v>50000</v>
      </c>
      <c r="O127" s="2">
        <f>IF(Данные6[[#This Row],[weighted_ext_score]]&gt;$O$1,MIN(Данные6[[#This Row],[Базовая сумма]]*$O$2,$C$2),IF(Данные6[[#This Row],[weighted_ext_score]]&lt;$O$3,Данные6[[#This Row],[Базовая сумма]]*$O$4,N127))</f>
        <v>50000</v>
      </c>
      <c r="P1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27" s="2">
        <f>ABS(Данные6[[#This Row],[days_birth]])/365.2425</f>
        <v>31.5187854644517</v>
      </c>
      <c r="S1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127" s="2">
        <f>IF(Данные6[[#This Row],[ interest_rate]]&gt;$T$1,Данные6[[#This Row],[days_birth4]]*$T$2,Данные6[[#This Row],[days_birth4]])</f>
        <v>35000</v>
      </c>
      <c r="U127" s="2">
        <f>IF(Данные6[[#This Row],[Проверка отказа]]="отказ",0,MAX(Данные6[[#This Row],[interest_rate]],$C$1))</f>
        <v>35000</v>
      </c>
      <c r="V127" s="2">
        <f>MROUND(Данные6[[#This Row],[Минимум 20000]], 100)</f>
        <v>35000</v>
      </c>
    </row>
    <row r="128" spans="1:22" x14ac:dyDescent="0.25">
      <c r="A128" s="2">
        <f>'1000_заявлений'!A122</f>
        <v>120</v>
      </c>
      <c r="B128" s="4">
        <f>VALUE(SUBSTITUTE('1000_заявлений'!B122, ".", ","))</f>
        <v>0.65679121787998496</v>
      </c>
      <c r="C128" s="4">
        <f>VALUE(SUBSTITUTE('1000_заявлений'!C122, ".", ","))</f>
        <v>0.129475364043766</v>
      </c>
      <c r="D128" s="4">
        <f>VALUE(SUBSTITUTE('1000_заявлений'!D122, ".", ","))</f>
        <v>0.53527623000000002</v>
      </c>
      <c r="E128" s="4">
        <f>VALUE(SUBSTITUTE('1000_заявлений'!E122, ".", ","))</f>
        <v>0.39915103000000002</v>
      </c>
      <c r="F128" s="5">
        <f>VALUE(SUBSTITUTE('1000_заявлений'!F122, ".", ","))</f>
        <v>-7903</v>
      </c>
      <c r="G128" s="5">
        <f>VALUE(SUBSTITUTE('1000_заявлений'!G122, ".", ","))</f>
        <v>-15526</v>
      </c>
      <c r="H128" s="5">
        <f>VALUE(SUBSTITUTE('1000_заявлений'!H122, ".", ","))</f>
        <v>-1256</v>
      </c>
      <c r="I128" s="4">
        <f>VALUE(SUBSTITUTE('1000_заявлений'!I122, ".", ","))</f>
        <v>0.3</v>
      </c>
      <c r="J128" s="4">
        <f>VALUE(SUBSTITUTE('1000_заявлений'!J122, ".", ","))</f>
        <v>5.8519687623644598</v>
      </c>
      <c r="K128" s="5">
        <f>VALUE(SUBSTITUTE('1000_заявлений'!K122, ".", ","))</f>
        <v>-911</v>
      </c>
      <c r="L128" s="6">
        <f>VALUE(SUBSTITUTE('1000_заявлений'!L122, ".", ","))</f>
        <v>20250</v>
      </c>
      <c r="M128" s="2" t="str">
        <f>IF(Данные6[[#This Row],[proba]]&gt;$C$6, "отказ", "одобрение")</f>
        <v>отказ</v>
      </c>
      <c r="N128" s="7">
        <f>IF(Данные6[[#This Row],[proba]]&lt;$D$2,$C$2,IF(Данные6[[#This Row],[proba]]&lt;$D$3,$C$3,IF(Данные6[[#This Row],[proba]]&gt;$C$6,0,$C$4)))</f>
        <v>0</v>
      </c>
      <c r="O128" s="2">
        <f>IF(Данные6[[#This Row],[weighted_ext_score]]&gt;$O$1,MIN(Данные6[[#This Row],[Базовая сумма]]*$O$2,$C$2),IF(Данные6[[#This Row],[weighted_ext_score]]&lt;$O$3,Данные6[[#This Row],[Базовая сумма]]*$O$4,N128))</f>
        <v>0</v>
      </c>
      <c r="P1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28" s="2">
        <f>ABS(Данные6[[#This Row],[days_birth]])/365.2425</f>
        <v>42.50874419050357</v>
      </c>
      <c r="S1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28" s="2">
        <f>IF(Данные6[[#This Row],[ interest_rate]]&gt;$T$1,Данные6[[#This Row],[days_birth4]]*$T$2,Данные6[[#This Row],[days_birth4]])</f>
        <v>0</v>
      </c>
      <c r="U128" s="2">
        <f>IF(Данные6[[#This Row],[Проверка отказа]]="отказ",0,MAX(Данные6[[#This Row],[interest_rate]],$C$1))</f>
        <v>0</v>
      </c>
      <c r="V128" s="2">
        <f>MROUND(Данные6[[#This Row],[Минимум 20000]], 100)</f>
        <v>0</v>
      </c>
    </row>
    <row r="129" spans="1:22" x14ac:dyDescent="0.25">
      <c r="A129" s="2">
        <f>'1000_заявлений'!A123</f>
        <v>121</v>
      </c>
      <c r="B129" s="4">
        <f>VALUE(SUBSTITUTE('1000_заявлений'!B123, ".", ","))</f>
        <v>7.1522997052612294E-2</v>
      </c>
      <c r="C129" s="4">
        <f>VALUE(SUBSTITUTE('1000_заявлений'!C123, ".", ","))</f>
        <v>0.817907977384288</v>
      </c>
      <c r="D129" s="4">
        <f>VALUE(SUBSTITUTE('1000_заявлений'!D123, ".", ","))</f>
        <v>0.86251029999999995</v>
      </c>
      <c r="E129" s="4">
        <f>VALUE(SUBSTITUTE('1000_заявлений'!E123, ".", ","))</f>
        <v>0.72917365999999995</v>
      </c>
      <c r="F129" s="5">
        <f>VALUE(SUBSTITUTE('1000_заявлений'!F123, ".", ","))</f>
        <v>-5536</v>
      </c>
      <c r="G129" s="5">
        <f>VALUE(SUBSTITUTE('1000_заявлений'!G123, ".", ","))</f>
        <v>-24111</v>
      </c>
      <c r="H129" s="5">
        <f>VALUE(SUBSTITUTE('1000_заявлений'!H123, ".", ","))</f>
        <v>-4475</v>
      </c>
      <c r="I129" s="4">
        <f>VALUE(SUBSTITUTE('1000_заявлений'!I123, ".", ","))</f>
        <v>0.29638461538461502</v>
      </c>
      <c r="J129" s="4">
        <f>VALUE(SUBSTITUTE('1000_заявлений'!J123, ".", ","))</f>
        <v>7.9268600541926304</v>
      </c>
      <c r="K129" s="5">
        <f>VALUE(SUBSTITUTE('1000_заявлений'!K123, ".", ","))</f>
        <v>365243</v>
      </c>
      <c r="L129" s="6">
        <f>VALUE(SUBSTITUTE('1000_заявлений'!L123, ".", ","))</f>
        <v>17338.5</v>
      </c>
      <c r="M129" s="2" t="str">
        <f>IF(Данные6[[#This Row],[proba]]&gt;$C$6, "отказ", "одобрение")</f>
        <v>одобрение</v>
      </c>
      <c r="N129" s="7">
        <f>IF(Данные6[[#This Row],[proba]]&lt;$D$2,$C$2,IF(Данные6[[#This Row],[proba]]&lt;$D$3,$C$3,IF(Данные6[[#This Row],[proba]]&gt;$C$6,0,$C$4)))</f>
        <v>300000</v>
      </c>
      <c r="O129" s="2">
        <f>IF(Данные6[[#This Row],[weighted_ext_score]]&gt;$O$1,MIN(Данные6[[#This Row],[Базовая сумма]]*$O$2,$C$2),IF(Данные6[[#This Row],[weighted_ext_score]]&lt;$O$3,Данные6[[#This Row],[Базовая сумма]]*$O$4,N129))</f>
        <v>300000</v>
      </c>
      <c r="P1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1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129" s="2">
        <f>ABS(Данные6[[#This Row],[days_birth]])/365.2425</f>
        <v>66.013675845499904</v>
      </c>
      <c r="S1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129" s="2">
        <f>IF(Данные6[[#This Row],[ interest_rate]]&gt;$T$1,Данные6[[#This Row],[days_birth4]]*$T$2,Данные6[[#This Row],[days_birth4]])</f>
        <v>300000</v>
      </c>
      <c r="U129" s="2">
        <f>IF(Данные6[[#This Row],[Проверка отказа]]="отказ",0,MAX(Данные6[[#This Row],[interest_rate]],$C$1))</f>
        <v>300000</v>
      </c>
      <c r="V129" s="2">
        <f>MROUND(Данные6[[#This Row],[Минимум 20000]], 100)</f>
        <v>300000</v>
      </c>
    </row>
    <row r="130" spans="1:22" x14ac:dyDescent="0.25">
      <c r="A130" s="2">
        <f>'1000_заявлений'!A124</f>
        <v>122</v>
      </c>
      <c r="B130" s="4">
        <f>VALUE(SUBSTITUTE('1000_заявлений'!B124, ".", ","))</f>
        <v>0.36989711915251</v>
      </c>
      <c r="C130" s="4">
        <f>VALUE(SUBSTITUTE('1000_заявлений'!C124, ".", ","))</f>
        <v>0.21705029883702201</v>
      </c>
      <c r="D130" s="4">
        <f>VALUE(SUBSTITUTE('1000_заявлений'!D124, ".", ","))</f>
        <v>0.53527623000000002</v>
      </c>
      <c r="E130" s="4">
        <f>VALUE(SUBSTITUTE('1000_заявлений'!E124, ".", ","))</f>
        <v>0.66913</v>
      </c>
      <c r="F130" s="5">
        <f>VALUE(SUBSTITUTE('1000_заявлений'!F124, ".", ","))</f>
        <v>-4934</v>
      </c>
      <c r="G130" s="5">
        <f>VALUE(SUBSTITUTE('1000_заявлений'!G124, ".", ","))</f>
        <v>-11419</v>
      </c>
      <c r="H130" s="5">
        <f>VALUE(SUBSTITUTE('1000_заявлений'!H124, ".", ","))</f>
        <v>-3739</v>
      </c>
      <c r="I130" s="4">
        <f>VALUE(SUBSTITUTE('1000_заявлений'!I124, ".", ","))</f>
        <v>6.0028571428571403E-2</v>
      </c>
      <c r="J130" s="4">
        <f>VALUE(SUBSTITUTE('1000_заявлений'!J124, ".", ","))</f>
        <v>21.398878966830299</v>
      </c>
      <c r="K130" s="5">
        <f>VALUE(SUBSTITUTE('1000_заявлений'!K124, ".", ","))</f>
        <v>-963</v>
      </c>
      <c r="L130" s="6">
        <f>VALUE(SUBSTITUTE('1000_заявлений'!L124, ".", ","))</f>
        <v>9454.5</v>
      </c>
      <c r="M130" s="2" t="str">
        <f>IF(Данные6[[#This Row],[proba]]&gt;$C$6, "отказ", "одобрение")</f>
        <v>отказ</v>
      </c>
      <c r="N130" s="7">
        <f>IF(Данные6[[#This Row],[proba]]&lt;$D$2,$C$2,IF(Данные6[[#This Row],[proba]]&lt;$D$3,$C$3,IF(Данные6[[#This Row],[proba]]&gt;$C$6,0,$C$4)))</f>
        <v>0</v>
      </c>
      <c r="O130" s="2">
        <f>IF(Данные6[[#This Row],[weighted_ext_score]]&gt;$O$1,MIN(Данные6[[#This Row],[Базовая сумма]]*$O$2,$C$2),IF(Данные6[[#This Row],[weighted_ext_score]]&lt;$O$3,Данные6[[#This Row],[Базовая сумма]]*$O$4,N130))</f>
        <v>0</v>
      </c>
      <c r="P1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0" s="2">
        <f>ABS(Данные6[[#This Row],[days_birth]])/365.2425</f>
        <v>31.264160112801768</v>
      </c>
      <c r="S1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0" s="2">
        <f>IF(Данные6[[#This Row],[ interest_rate]]&gt;$T$1,Данные6[[#This Row],[days_birth4]]*$T$2,Данные6[[#This Row],[days_birth4]])</f>
        <v>0</v>
      </c>
      <c r="U130" s="2">
        <f>IF(Данные6[[#This Row],[Проверка отказа]]="отказ",0,MAX(Данные6[[#This Row],[interest_rate]],$C$1))</f>
        <v>0</v>
      </c>
      <c r="V130" s="2">
        <f>MROUND(Данные6[[#This Row],[Минимум 20000]], 100)</f>
        <v>0</v>
      </c>
    </row>
    <row r="131" spans="1:22" x14ac:dyDescent="0.25">
      <c r="A131" s="2">
        <f>'1000_заявлений'!A125</f>
        <v>123</v>
      </c>
      <c r="B131" s="4">
        <f>VALUE(SUBSTITUTE('1000_заявлений'!B125, ".", ","))</f>
        <v>0.231428230375992</v>
      </c>
      <c r="C131" s="4">
        <f>VALUE(SUBSTITUTE('1000_заявлений'!C125, ".", ","))</f>
        <v>0.45187143548882402</v>
      </c>
      <c r="D131" s="4">
        <f>VALUE(SUBSTITUTE('1000_заявлений'!D125, ".", ","))</f>
        <v>0.64467940000000001</v>
      </c>
      <c r="E131" s="4">
        <f>VALUE(SUBSTITUTE('1000_заявлений'!E125, ".", ","))</f>
        <v>0.67425599999999997</v>
      </c>
      <c r="F131" s="5">
        <f>VALUE(SUBSTITUTE('1000_заявлений'!F125, ".", ","))</f>
        <v>-14</v>
      </c>
      <c r="G131" s="5">
        <f>VALUE(SUBSTITUTE('1000_заявлений'!G125, ".", ","))</f>
        <v>-21503</v>
      </c>
      <c r="H131" s="5">
        <f>VALUE(SUBSTITUTE('1000_заявлений'!H125, ".", ","))</f>
        <v>-4733</v>
      </c>
      <c r="I131" s="4">
        <f>VALUE(SUBSTITUTE('1000_заявлений'!I125, ".", ","))</f>
        <v>0.147166666666666</v>
      </c>
      <c r="J131" s="4">
        <f>VALUE(SUBSTITUTE('1000_заявлений'!J125, ".", ","))</f>
        <v>2.0106774466545501</v>
      </c>
      <c r="K131" s="5">
        <f>VALUE(SUBSTITUTE('1000_заявлений'!K125, ".", ","))</f>
        <v>365243</v>
      </c>
      <c r="L131" s="6">
        <f>VALUE(SUBSTITUTE('1000_заявлений'!L125, ".", ","))</f>
        <v>19867.5</v>
      </c>
      <c r="M131" s="2" t="str">
        <f>IF(Данные6[[#This Row],[proba]]&gt;$C$6, "отказ", "одобрение")</f>
        <v>одобрение</v>
      </c>
      <c r="N131" s="7">
        <f>IF(Данные6[[#This Row],[proba]]&lt;$D$2,$C$2,IF(Данные6[[#This Row],[proba]]&lt;$D$3,$C$3,IF(Данные6[[#This Row],[proba]]&gt;$C$6,0,$C$4)))</f>
        <v>50000</v>
      </c>
      <c r="O131" s="2">
        <f>IF(Данные6[[#This Row],[weighted_ext_score]]&gt;$O$1,MIN(Данные6[[#This Row],[Базовая сумма]]*$O$2,$C$2),IF(Данные6[[#This Row],[weighted_ext_score]]&lt;$O$3,Данные6[[#This Row],[Базовая сумма]]*$O$4,N131))</f>
        <v>40000</v>
      </c>
      <c r="P1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131" s="2">
        <f>ABS(Данные6[[#This Row],[days_birth]])/365.2425</f>
        <v>58.873214371273882</v>
      </c>
      <c r="S1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131" s="2">
        <f>IF(Данные6[[#This Row],[ interest_rate]]&gt;$T$1,Данные6[[#This Row],[days_birth4]]*$T$2,Данные6[[#This Row],[days_birth4]])</f>
        <v>42000</v>
      </c>
      <c r="U131" s="2">
        <f>IF(Данные6[[#This Row],[Проверка отказа]]="отказ",0,MAX(Данные6[[#This Row],[interest_rate]],$C$1))</f>
        <v>42000</v>
      </c>
      <c r="V131" s="2">
        <f>MROUND(Данные6[[#This Row],[Минимум 20000]], 100)</f>
        <v>42000</v>
      </c>
    </row>
    <row r="132" spans="1:22" x14ac:dyDescent="0.25">
      <c r="A132" s="2">
        <f>'1000_заявлений'!A126</f>
        <v>124</v>
      </c>
      <c r="B132" s="4">
        <f>VALUE(SUBSTITUTE('1000_заявлений'!B126, ".", ","))</f>
        <v>0.64280867627211402</v>
      </c>
      <c r="C132" s="4">
        <f>VALUE(SUBSTITUTE('1000_заявлений'!C126, ".", ","))</f>
        <v>0.35438028480772898</v>
      </c>
      <c r="D132" s="4">
        <f>VALUE(SUBSTITUTE('1000_заявлений'!D126, ".", ","))</f>
        <v>0.36061257000000002</v>
      </c>
      <c r="E132" s="4">
        <f>VALUE(SUBSTITUTE('1000_заявлений'!E126, ".", ","))</f>
        <v>0.39993795999999998</v>
      </c>
      <c r="F132" s="5">
        <f>VALUE(SUBSTITUTE('1000_заявлений'!F126, ".", ","))</f>
        <v>-4604</v>
      </c>
      <c r="G132" s="5">
        <f>VALUE(SUBSTITUTE('1000_заявлений'!G126, ".", ","))</f>
        <v>-9881</v>
      </c>
      <c r="H132" s="5">
        <f>VALUE(SUBSTITUTE('1000_заявлений'!H126, ".", ","))</f>
        <v>-2545</v>
      </c>
      <c r="I132" s="4">
        <f>VALUE(SUBSTITUTE('1000_заявлений'!I126, ".", ","))</f>
        <v>0.25426315789473602</v>
      </c>
      <c r="J132" s="4">
        <f>VALUE(SUBSTITUTE('1000_заявлений'!J126, ".", ","))</f>
        <v>8.5115996873021693</v>
      </c>
      <c r="K132" s="5">
        <f>VALUE(SUBSTITUTE('1000_заявлений'!K126, ".", ","))</f>
        <v>-1350</v>
      </c>
      <c r="L132" s="6">
        <f>VALUE(SUBSTITUTE('1000_заявлений'!L126, ".", ","))</f>
        <v>21739.5</v>
      </c>
      <c r="M132" s="2" t="str">
        <f>IF(Данные6[[#This Row],[proba]]&gt;$C$6, "отказ", "одобрение")</f>
        <v>отказ</v>
      </c>
      <c r="N132" s="7">
        <f>IF(Данные6[[#This Row],[proba]]&lt;$D$2,$C$2,IF(Данные6[[#This Row],[proba]]&lt;$D$3,$C$3,IF(Данные6[[#This Row],[proba]]&gt;$C$6,0,$C$4)))</f>
        <v>0</v>
      </c>
      <c r="O132" s="2">
        <f>IF(Данные6[[#This Row],[weighted_ext_score]]&gt;$O$1,MIN(Данные6[[#This Row],[Базовая сумма]]*$O$2,$C$2),IF(Данные6[[#This Row],[weighted_ext_score]]&lt;$O$3,Данные6[[#This Row],[Базовая сумма]]*$O$4,N132))</f>
        <v>0</v>
      </c>
      <c r="P1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2" s="2">
        <f>ABS(Данные6[[#This Row],[days_birth]])/365.2425</f>
        <v>27.053259136053445</v>
      </c>
      <c r="S1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2" s="2">
        <f>IF(Данные6[[#This Row],[ interest_rate]]&gt;$T$1,Данные6[[#This Row],[days_birth4]]*$T$2,Данные6[[#This Row],[days_birth4]])</f>
        <v>0</v>
      </c>
      <c r="U132" s="2">
        <f>IF(Данные6[[#This Row],[Проверка отказа]]="отказ",0,MAX(Данные6[[#This Row],[interest_rate]],$C$1))</f>
        <v>0</v>
      </c>
      <c r="V132" s="2">
        <f>MROUND(Данные6[[#This Row],[Минимум 20000]], 100)</f>
        <v>0</v>
      </c>
    </row>
    <row r="133" spans="1:22" x14ac:dyDescent="0.25">
      <c r="A133" s="2">
        <f>'1000_заявлений'!A127</f>
        <v>125</v>
      </c>
      <c r="B133" s="4">
        <f>VALUE(SUBSTITUTE('1000_заявлений'!B127, ".", ","))</f>
        <v>0.39250300918637399</v>
      </c>
      <c r="C133" s="4">
        <f>VALUE(SUBSTITUTE('1000_заявлений'!C127, ".", ","))</f>
        <v>0.24591220818642101</v>
      </c>
      <c r="D133" s="4">
        <f>VALUE(SUBSTITUTE('1000_заявлений'!D127, ".", ","))</f>
        <v>0.53527623000000002</v>
      </c>
      <c r="E133" s="4">
        <f>VALUE(SUBSTITUTE('1000_заявлений'!E127, ".", ","))</f>
        <v>0.75810646999999998</v>
      </c>
      <c r="F133" s="5">
        <f>VALUE(SUBSTITUTE('1000_заявлений'!F127, ".", ","))</f>
        <v>-9650</v>
      </c>
      <c r="G133" s="5">
        <f>VALUE(SUBSTITUTE('1000_заявлений'!G127, ".", ","))</f>
        <v>-15690</v>
      </c>
      <c r="H133" s="5">
        <f>VALUE(SUBSTITUTE('1000_заявлений'!H127, ".", ","))</f>
        <v>-4448</v>
      </c>
      <c r="I133" s="4">
        <f>VALUE(SUBSTITUTE('1000_заявлений'!I127, ".", ","))</f>
        <v>0.20008888888888801</v>
      </c>
      <c r="J133" s="4">
        <f>VALUE(SUBSTITUTE('1000_заявлений'!J127, ".", ","))</f>
        <v>2.96900627739904</v>
      </c>
      <c r="K133" s="5">
        <f>VALUE(SUBSTITUTE('1000_заявлений'!K127, ".", ","))</f>
        <v>-244</v>
      </c>
      <c r="L133" s="6">
        <f>VALUE(SUBSTITUTE('1000_заявлений'!L127, ".", ","))</f>
        <v>40518</v>
      </c>
      <c r="M133" s="2" t="str">
        <f>IF(Данные6[[#This Row],[proba]]&gt;$C$6, "отказ", "одобрение")</f>
        <v>отказ</v>
      </c>
      <c r="N133" s="7">
        <f>IF(Данные6[[#This Row],[proba]]&lt;$D$2,$C$2,IF(Данные6[[#This Row],[proba]]&lt;$D$3,$C$3,IF(Данные6[[#This Row],[proba]]&gt;$C$6,0,$C$4)))</f>
        <v>0</v>
      </c>
      <c r="O133" s="2">
        <f>IF(Данные6[[#This Row],[weighted_ext_score]]&gt;$O$1,MIN(Данные6[[#This Row],[Базовая сумма]]*$O$2,$C$2),IF(Данные6[[#This Row],[weighted_ext_score]]&lt;$O$3,Данные6[[#This Row],[Базовая сумма]]*$O$4,N133))</f>
        <v>0</v>
      </c>
      <c r="P1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3" s="2">
        <f>ABS(Данные6[[#This Row],[days_birth]])/365.2425</f>
        <v>42.957760939649681</v>
      </c>
      <c r="S1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3" s="2">
        <f>IF(Данные6[[#This Row],[ interest_rate]]&gt;$T$1,Данные6[[#This Row],[days_birth4]]*$T$2,Данные6[[#This Row],[days_birth4]])</f>
        <v>0</v>
      </c>
      <c r="U133" s="2">
        <f>IF(Данные6[[#This Row],[Проверка отказа]]="отказ",0,MAX(Данные6[[#This Row],[interest_rate]],$C$1))</f>
        <v>0</v>
      </c>
      <c r="V133" s="2">
        <f>MROUND(Данные6[[#This Row],[Минимум 20000]], 100)</f>
        <v>0</v>
      </c>
    </row>
    <row r="134" spans="1:22" x14ac:dyDescent="0.25">
      <c r="A134" s="2">
        <f>'1000_заявлений'!A128</f>
        <v>126</v>
      </c>
      <c r="B134" s="4">
        <f>VALUE(SUBSTITUTE('1000_заявлений'!B128, ".", ","))</f>
        <v>0.36617931047807301</v>
      </c>
      <c r="C134" s="4">
        <f>VALUE(SUBSTITUTE('1000_заявлений'!C128, ".", ","))</f>
        <v>0.54198882071773302</v>
      </c>
      <c r="D134" s="4">
        <f>VALUE(SUBSTITUTE('1000_заявлений'!D128, ".", ","))</f>
        <v>0.44896227</v>
      </c>
      <c r="E134" s="4">
        <f>VALUE(SUBSTITUTE('1000_заявлений'!E128, ".", ","))</f>
        <v>0.606101</v>
      </c>
      <c r="F134" s="5">
        <f>VALUE(SUBSTITUTE('1000_заявлений'!F128, ".", ","))</f>
        <v>-1673</v>
      </c>
      <c r="G134" s="5">
        <f>VALUE(SUBSTITUTE('1000_заявлений'!G128, ".", ","))</f>
        <v>-16127</v>
      </c>
      <c r="H134" s="5">
        <f>VALUE(SUBSTITUTE('1000_заявлений'!H128, ".", ","))</f>
        <v>-4186</v>
      </c>
      <c r="I134" s="4">
        <f>VALUE(SUBSTITUTE('1000_заявлений'!I128, ".", ","))</f>
        <v>0.17526666666666599</v>
      </c>
      <c r="J134" s="4">
        <f>VALUE(SUBSTITUTE('1000_заявлений'!J128, ".", ","))</f>
        <v>1.8914674618260401</v>
      </c>
      <c r="K134" s="5">
        <f>VALUE(SUBSTITUTE('1000_заявлений'!K128, ".", ","))</f>
        <v>-1087</v>
      </c>
      <c r="L134" s="6">
        <f>VALUE(SUBSTITUTE('1000_заявлений'!L128, ".", ","))</f>
        <v>47322</v>
      </c>
      <c r="M134" s="2" t="str">
        <f>IF(Данные6[[#This Row],[proba]]&gt;$C$6, "отказ", "одобрение")</f>
        <v>отказ</v>
      </c>
      <c r="N134" s="7">
        <f>IF(Данные6[[#This Row],[proba]]&lt;$D$2,$C$2,IF(Данные6[[#This Row],[proba]]&lt;$D$3,$C$3,IF(Данные6[[#This Row],[proba]]&gt;$C$6,0,$C$4)))</f>
        <v>0</v>
      </c>
      <c r="O134" s="2">
        <f>IF(Данные6[[#This Row],[weighted_ext_score]]&gt;$O$1,MIN(Данные6[[#This Row],[Базовая сумма]]*$O$2,$C$2),IF(Данные6[[#This Row],[weighted_ext_score]]&lt;$O$3,Данные6[[#This Row],[Базовая сумма]]*$O$4,N134))</f>
        <v>0</v>
      </c>
      <c r="P1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4" s="2">
        <f>ABS(Данные6[[#This Row],[days_birth]])/365.2425</f>
        <v>44.154226301703659</v>
      </c>
      <c r="S1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4" s="2">
        <f>IF(Данные6[[#This Row],[ interest_rate]]&gt;$T$1,Данные6[[#This Row],[days_birth4]]*$T$2,Данные6[[#This Row],[days_birth4]])</f>
        <v>0</v>
      </c>
      <c r="U134" s="2">
        <f>IF(Данные6[[#This Row],[Проверка отказа]]="отказ",0,MAX(Данные6[[#This Row],[interest_rate]],$C$1))</f>
        <v>0</v>
      </c>
      <c r="V134" s="2">
        <f>MROUND(Данные6[[#This Row],[Минимум 20000]], 100)</f>
        <v>0</v>
      </c>
    </row>
    <row r="135" spans="1:22" x14ac:dyDescent="0.25">
      <c r="A135" s="2">
        <f>'1000_заявлений'!A129</f>
        <v>127</v>
      </c>
      <c r="B135" s="4">
        <f>VALUE(SUBSTITUTE('1000_заявлений'!B129, ".", ","))</f>
        <v>0.39520510811841397</v>
      </c>
      <c r="C135" s="4">
        <f>VALUE(SUBSTITUTE('1000_заявлений'!C129, ".", ","))</f>
        <v>0.40619667103682</v>
      </c>
      <c r="D135" s="4">
        <f>VALUE(SUBSTITUTE('1000_заявлений'!D129, ".", ","))</f>
        <v>0.53168610000000005</v>
      </c>
      <c r="E135" s="4">
        <f>VALUE(SUBSTITUTE('1000_заявлений'!E129, ".", ","))</f>
        <v>0.65943074000000002</v>
      </c>
      <c r="F135" s="5">
        <f>VALUE(SUBSTITUTE('1000_заявлений'!F129, ".", ","))</f>
        <v>-3291</v>
      </c>
      <c r="G135" s="5">
        <f>VALUE(SUBSTITUTE('1000_заявлений'!G129, ".", ","))</f>
        <v>-19444</v>
      </c>
      <c r="H135" s="5">
        <f>VALUE(SUBSTITUTE('1000_заявлений'!H129, ".", ","))</f>
        <v>-2974</v>
      </c>
      <c r="I135" s="4">
        <f>VALUE(SUBSTITUTE('1000_заявлений'!I129, ".", ","))</f>
        <v>0.25595000000000001</v>
      </c>
      <c r="J135" s="4">
        <f>VALUE(SUBSTITUTE('1000_заявлений'!J129, ".", ","))</f>
        <v>1.61328665869147</v>
      </c>
      <c r="K135" s="5">
        <f>VALUE(SUBSTITUTE('1000_заявлений'!K129, ".", ","))</f>
        <v>-377</v>
      </c>
      <c r="L135" s="6">
        <f>VALUE(SUBSTITUTE('1000_заявлений'!L129, ".", ","))</f>
        <v>23035.5</v>
      </c>
      <c r="M135" s="2" t="str">
        <f>IF(Данные6[[#This Row],[proba]]&gt;$C$6, "отказ", "одобрение")</f>
        <v>отказ</v>
      </c>
      <c r="N135" s="7">
        <f>IF(Данные6[[#This Row],[proba]]&lt;$D$2,$C$2,IF(Данные6[[#This Row],[proba]]&lt;$D$3,$C$3,IF(Данные6[[#This Row],[proba]]&gt;$C$6,0,$C$4)))</f>
        <v>0</v>
      </c>
      <c r="O135" s="2">
        <f>IF(Данные6[[#This Row],[weighted_ext_score]]&gt;$O$1,MIN(Данные6[[#This Row],[Базовая сумма]]*$O$2,$C$2),IF(Данные6[[#This Row],[weighted_ext_score]]&lt;$O$3,Данные6[[#This Row],[Базовая сумма]]*$O$4,N135))</f>
        <v>0</v>
      </c>
      <c r="P1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5" s="2">
        <f>ABS(Данные6[[#This Row],[days_birth]])/365.2425</f>
        <v>53.235863843884545</v>
      </c>
      <c r="S1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5" s="2">
        <f>IF(Данные6[[#This Row],[ interest_rate]]&gt;$T$1,Данные6[[#This Row],[days_birth4]]*$T$2,Данные6[[#This Row],[days_birth4]])</f>
        <v>0</v>
      </c>
      <c r="U135" s="2">
        <f>IF(Данные6[[#This Row],[Проверка отказа]]="отказ",0,MAX(Данные6[[#This Row],[interest_rate]],$C$1))</f>
        <v>0</v>
      </c>
      <c r="V135" s="2">
        <f>MROUND(Данные6[[#This Row],[Минимум 20000]], 100)</f>
        <v>0</v>
      </c>
    </row>
    <row r="136" spans="1:22" x14ac:dyDescent="0.25">
      <c r="A136" s="2">
        <f>'1000_заявлений'!A130</f>
        <v>128</v>
      </c>
      <c r="B136" s="4">
        <f>VALUE(SUBSTITUTE('1000_заявлений'!B130, ".", ","))</f>
        <v>0.71553988129745005</v>
      </c>
      <c r="C136" s="4">
        <f>VALUE(SUBSTITUTE('1000_заявлений'!C130, ".", ","))</f>
        <v>0.17912495756680599</v>
      </c>
      <c r="D136" s="4">
        <f>VALUE(SUBSTITUTE('1000_заявлений'!D130, ".", ","))</f>
        <v>0.21396684999999999</v>
      </c>
      <c r="E136" s="4">
        <f>VALUE(SUBSTITUTE('1000_заявлений'!E130, ".", ","))</f>
        <v>0.31364905999999998</v>
      </c>
      <c r="F136" s="5">
        <f>VALUE(SUBSTITUTE('1000_заявлений'!F130, ".", ","))</f>
        <v>-4003</v>
      </c>
      <c r="G136" s="5">
        <f>VALUE(SUBSTITUTE('1000_заявлений'!G130, ".", ","))</f>
        <v>-22795</v>
      </c>
      <c r="H136" s="5">
        <f>VALUE(SUBSTITUTE('1000_заявлений'!H130, ".", ","))</f>
        <v>-4423</v>
      </c>
      <c r="I136" s="4">
        <f>VALUE(SUBSTITUTE('1000_заявлений'!I130, ".", ","))</f>
        <v>0.15133333333333299</v>
      </c>
      <c r="J136" s="4">
        <f>VALUE(SUBSTITUTE('1000_заявлений'!J130, ".", ","))</f>
        <v>0.47159589466623197</v>
      </c>
      <c r="K136" s="5">
        <f>VALUE(SUBSTITUTE('1000_заявлений'!K130, ".", ","))</f>
        <v>365243</v>
      </c>
      <c r="L136" s="6">
        <f>VALUE(SUBSTITUTE('1000_заявлений'!L130, ".", ","))</f>
        <v>10215</v>
      </c>
      <c r="M136" s="2" t="str">
        <f>IF(Данные6[[#This Row],[proba]]&gt;$C$6, "отказ", "одобрение")</f>
        <v>отказ</v>
      </c>
      <c r="N136" s="7">
        <f>IF(Данные6[[#This Row],[proba]]&lt;$D$2,$C$2,IF(Данные6[[#This Row],[proba]]&lt;$D$3,$C$3,IF(Данные6[[#This Row],[proba]]&gt;$C$6,0,$C$4)))</f>
        <v>0</v>
      </c>
      <c r="O136" s="2">
        <f>IF(Данные6[[#This Row],[weighted_ext_score]]&gt;$O$1,MIN(Данные6[[#This Row],[Базовая сумма]]*$O$2,$C$2),IF(Данные6[[#This Row],[weighted_ext_score]]&lt;$O$3,Данные6[[#This Row],[Базовая сумма]]*$O$4,N136))</f>
        <v>0</v>
      </c>
      <c r="P1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6" s="2">
        <f>ABS(Данные6[[#This Row],[days_birth]])/365.2425</f>
        <v>62.410590224303029</v>
      </c>
      <c r="S1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6" s="2">
        <f>IF(Данные6[[#This Row],[ interest_rate]]&gt;$T$1,Данные6[[#This Row],[days_birth4]]*$T$2,Данные6[[#This Row],[days_birth4]])</f>
        <v>0</v>
      </c>
      <c r="U136" s="2">
        <f>IF(Данные6[[#This Row],[Проверка отказа]]="отказ",0,MAX(Данные6[[#This Row],[interest_rate]],$C$1))</f>
        <v>0</v>
      </c>
      <c r="V136" s="2">
        <f>MROUND(Данные6[[#This Row],[Минимум 20000]], 100)</f>
        <v>0</v>
      </c>
    </row>
    <row r="137" spans="1:22" x14ac:dyDescent="0.25">
      <c r="A137" s="2">
        <f>'1000_заявлений'!A131</f>
        <v>129</v>
      </c>
      <c r="B137" s="4">
        <f>VALUE(SUBSTITUTE('1000_заявлений'!B131, ".", ","))</f>
        <v>0.78340310229509103</v>
      </c>
      <c r="C137" s="4">
        <f>VALUE(SUBSTITUTE('1000_заявлений'!C131, ".", ","))</f>
        <v>0.195246465596431</v>
      </c>
      <c r="D137" s="4">
        <f>VALUE(SUBSTITUTE('1000_заявлений'!D131, ".", ","))</f>
        <v>0.36561650000000001</v>
      </c>
      <c r="E137" s="4">
        <f>VALUE(SUBSTITUTE('1000_заявлений'!E131, ".", ","))</f>
        <v>0.19426645000000001</v>
      </c>
      <c r="F137" s="5">
        <f>VALUE(SUBSTITUTE('1000_заявлений'!F131, ".", ","))</f>
        <v>-10735</v>
      </c>
      <c r="G137" s="5">
        <f>VALUE(SUBSTITUTE('1000_заявлений'!G131, ".", ","))</f>
        <v>-21450</v>
      </c>
      <c r="H137" s="5">
        <f>VALUE(SUBSTITUTE('1000_заявлений'!H131, ".", ","))</f>
        <v>-4043</v>
      </c>
      <c r="I137" s="4">
        <f>VALUE(SUBSTITUTE('1000_заявлений'!I131, ".", ","))</f>
        <v>0.69329411764705795</v>
      </c>
      <c r="J137" s="4">
        <f>VALUE(SUBSTITUTE('1000_заявлений'!J131, ".", ","))</f>
        <v>2.06813091819697</v>
      </c>
      <c r="K137" s="5">
        <f>VALUE(SUBSTITUTE('1000_заявлений'!K131, ".", ","))</f>
        <v>365243</v>
      </c>
      <c r="L137" s="6">
        <f>VALUE(SUBSTITUTE('1000_заявлений'!L131, ".", ","))</f>
        <v>26518.5</v>
      </c>
      <c r="M137" s="2" t="str">
        <f>IF(Данные6[[#This Row],[proba]]&gt;$C$6, "отказ", "одобрение")</f>
        <v>отказ</v>
      </c>
      <c r="N137" s="7">
        <f>IF(Данные6[[#This Row],[proba]]&lt;$D$2,$C$2,IF(Данные6[[#This Row],[proba]]&lt;$D$3,$C$3,IF(Данные6[[#This Row],[proba]]&gt;$C$6,0,$C$4)))</f>
        <v>0</v>
      </c>
      <c r="O137" s="2">
        <f>IF(Данные6[[#This Row],[weighted_ext_score]]&gt;$O$1,MIN(Данные6[[#This Row],[Базовая сумма]]*$O$2,$C$2),IF(Данные6[[#This Row],[weighted_ext_score]]&lt;$O$3,Данные6[[#This Row],[Базовая сумма]]*$O$4,N137))</f>
        <v>0</v>
      </c>
      <c r="P1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7" s="2">
        <f>ABS(Данные6[[#This Row],[days_birth]])/365.2425</f>
        <v>58.72810529990349</v>
      </c>
      <c r="S1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7" s="2">
        <f>IF(Данные6[[#This Row],[ interest_rate]]&gt;$T$1,Данные6[[#This Row],[days_birth4]]*$T$2,Данные6[[#This Row],[days_birth4]])</f>
        <v>0</v>
      </c>
      <c r="U137" s="2">
        <f>IF(Данные6[[#This Row],[Проверка отказа]]="отказ",0,MAX(Данные6[[#This Row],[interest_rate]],$C$1))</f>
        <v>0</v>
      </c>
      <c r="V137" s="2">
        <f>MROUND(Данные6[[#This Row],[Минимум 20000]], 100)</f>
        <v>0</v>
      </c>
    </row>
    <row r="138" spans="1:22" x14ac:dyDescent="0.25">
      <c r="A138" s="2">
        <f>'1000_заявлений'!A132</f>
        <v>130</v>
      </c>
      <c r="B138" s="4">
        <f>VALUE(SUBSTITUTE('1000_заявлений'!B132, ".", ","))</f>
        <v>0.658747813174136</v>
      </c>
      <c r="C138" s="4">
        <f>VALUE(SUBSTITUTE('1000_заявлений'!C132, ".", ","))</f>
        <v>0.25717650428531003</v>
      </c>
      <c r="D138" s="4">
        <f>VALUE(SUBSTITUTE('1000_заявлений'!D132, ".", ","))</f>
        <v>0.55850659999999996</v>
      </c>
      <c r="E138" s="4">
        <f>VALUE(SUBSTITUTE('1000_заявлений'!E132, ".", ","))</f>
        <v>0.17012268</v>
      </c>
      <c r="F138" s="5">
        <f>VALUE(SUBSTITUTE('1000_заявлений'!F132, ".", ","))</f>
        <v>-1856</v>
      </c>
      <c r="G138" s="5">
        <f>VALUE(SUBSTITUTE('1000_заявлений'!G132, ".", ","))</f>
        <v>-19767</v>
      </c>
      <c r="H138" s="5">
        <f>VALUE(SUBSTITUTE('1000_заявлений'!H132, ".", ","))</f>
        <v>-1778</v>
      </c>
      <c r="I138" s="4">
        <f>VALUE(SUBSTITUTE('1000_заявлений'!I132, ".", ","))</f>
        <v>0.20729411764705799</v>
      </c>
      <c r="J138" s="4">
        <f>VALUE(SUBSTITUTE('1000_заявлений'!J132, ".", ","))</f>
        <v>1.31765245344361</v>
      </c>
      <c r="K138" s="5">
        <f>VALUE(SUBSTITUTE('1000_заявлений'!K132, ".", ","))</f>
        <v>-481</v>
      </c>
      <c r="L138" s="6">
        <f>VALUE(SUBSTITUTE('1000_заявлений'!L132, ".", ","))</f>
        <v>15858</v>
      </c>
      <c r="M138" s="2" t="str">
        <f>IF(Данные6[[#This Row],[proba]]&gt;$C$6, "отказ", "одобрение")</f>
        <v>отказ</v>
      </c>
      <c r="N138" s="7">
        <f>IF(Данные6[[#This Row],[proba]]&lt;$D$2,$C$2,IF(Данные6[[#This Row],[proba]]&lt;$D$3,$C$3,IF(Данные6[[#This Row],[proba]]&gt;$C$6,0,$C$4)))</f>
        <v>0</v>
      </c>
      <c r="O138" s="2">
        <f>IF(Данные6[[#This Row],[weighted_ext_score]]&gt;$O$1,MIN(Данные6[[#This Row],[Базовая сумма]]*$O$2,$C$2),IF(Данные6[[#This Row],[weighted_ext_score]]&lt;$O$3,Данные6[[#This Row],[Базовая сумма]]*$O$4,N138))</f>
        <v>0</v>
      </c>
      <c r="P1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8" s="2">
        <f>ABS(Данные6[[#This Row],[days_birth]])/365.2425</f>
        <v>54.120207807141831</v>
      </c>
      <c r="S1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8" s="2">
        <f>IF(Данные6[[#This Row],[ interest_rate]]&gt;$T$1,Данные6[[#This Row],[days_birth4]]*$T$2,Данные6[[#This Row],[days_birth4]])</f>
        <v>0</v>
      </c>
      <c r="U138" s="2">
        <f>IF(Данные6[[#This Row],[Проверка отказа]]="отказ",0,MAX(Данные6[[#This Row],[interest_rate]],$C$1))</f>
        <v>0</v>
      </c>
      <c r="V138" s="2">
        <f>MROUND(Данные6[[#This Row],[Минимум 20000]], 100)</f>
        <v>0</v>
      </c>
    </row>
    <row r="139" spans="1:22" x14ac:dyDescent="0.25">
      <c r="A139" s="2">
        <f>'1000_заявлений'!A133</f>
        <v>131</v>
      </c>
      <c r="B139" s="4">
        <f>VALUE(SUBSTITUTE('1000_заявлений'!B133, ".", ","))</f>
        <v>0.32229960822194198</v>
      </c>
      <c r="C139" s="4">
        <f>VALUE(SUBSTITUTE('1000_заявлений'!C133, ".", ","))</f>
        <v>0.41636488651166298</v>
      </c>
      <c r="D139" s="4">
        <f>VALUE(SUBSTITUTE('1000_заявлений'!D133, ".", ","))</f>
        <v>0.49927201999999998</v>
      </c>
      <c r="E139" s="4">
        <f>VALUE(SUBSTITUTE('1000_заявлений'!E133, ".", ","))</f>
        <v>0.72691790000000001</v>
      </c>
      <c r="F139" s="5">
        <f>VALUE(SUBSTITUTE('1000_заявлений'!F133, ".", ","))</f>
        <v>-8095</v>
      </c>
      <c r="G139" s="5">
        <f>VALUE(SUBSTITUTE('1000_заявлений'!G133, ".", ","))</f>
        <v>-19611</v>
      </c>
      <c r="H139" s="5">
        <f>VALUE(SUBSTITUTE('1000_заявлений'!H133, ".", ","))</f>
        <v>-3061</v>
      </c>
      <c r="I139" s="4">
        <f>VALUE(SUBSTITUTE('1000_заявлений'!I133, ".", ","))</f>
        <v>8.5584615384615301E-2</v>
      </c>
      <c r="J139" s="4">
        <f>VALUE(SUBSTITUTE('1000_заявлений'!J133, ".", ","))</f>
        <v>1.9089036897522</v>
      </c>
      <c r="K139" s="5">
        <f>VALUE(SUBSTITUTE('1000_заявлений'!K133, ".", ","))</f>
        <v>-76</v>
      </c>
      <c r="L139" s="6">
        <f>VALUE(SUBSTITUTE('1000_заявлений'!L133, ".", ","))</f>
        <v>25033.5</v>
      </c>
      <c r="M139" s="2" t="str">
        <f>IF(Данные6[[#This Row],[proba]]&gt;$C$6, "отказ", "одобрение")</f>
        <v>отказ</v>
      </c>
      <c r="N139" s="7">
        <f>IF(Данные6[[#This Row],[proba]]&lt;$D$2,$C$2,IF(Данные6[[#This Row],[proba]]&lt;$D$3,$C$3,IF(Данные6[[#This Row],[proba]]&gt;$C$6,0,$C$4)))</f>
        <v>0</v>
      </c>
      <c r="O139" s="2">
        <f>IF(Данные6[[#This Row],[weighted_ext_score]]&gt;$O$1,MIN(Данные6[[#This Row],[Базовая сумма]]*$O$2,$C$2),IF(Данные6[[#This Row],[weighted_ext_score]]&lt;$O$3,Данные6[[#This Row],[Базовая сумма]]*$O$4,N139))</f>
        <v>0</v>
      </c>
      <c r="P1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39" s="2">
        <f>ABS(Данные6[[#This Row],[days_birth]])/365.2425</f>
        <v>53.693094314051621</v>
      </c>
      <c r="S1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39" s="2">
        <f>IF(Данные6[[#This Row],[ interest_rate]]&gt;$T$1,Данные6[[#This Row],[days_birth4]]*$T$2,Данные6[[#This Row],[days_birth4]])</f>
        <v>0</v>
      </c>
      <c r="U139" s="2">
        <f>IF(Данные6[[#This Row],[Проверка отказа]]="отказ",0,MAX(Данные6[[#This Row],[interest_rate]],$C$1))</f>
        <v>0</v>
      </c>
      <c r="V139" s="2">
        <f>MROUND(Данные6[[#This Row],[Минимум 20000]], 100)</f>
        <v>0</v>
      </c>
    </row>
    <row r="140" spans="1:22" x14ac:dyDescent="0.25">
      <c r="A140" s="2">
        <f>'1000_заявлений'!A134</f>
        <v>132</v>
      </c>
      <c r="B140" s="4">
        <f>VALUE(SUBSTITUTE('1000_заявлений'!B134, ".", ","))</f>
        <v>0.429277421231895</v>
      </c>
      <c r="C140" s="4">
        <f>VALUE(SUBSTITUTE('1000_заявлений'!C134, ".", ","))</f>
        <v>0.38285738489013299</v>
      </c>
      <c r="D140" s="4">
        <f>VALUE(SUBSTITUTE('1000_заявлений'!D134, ".", ","))</f>
        <v>0.42589290000000002</v>
      </c>
      <c r="E140" s="4">
        <f>VALUE(SUBSTITUTE('1000_заявлений'!E134, ".", ","))</f>
        <v>0.70543425999999998</v>
      </c>
      <c r="F140" s="5">
        <f>VALUE(SUBSTITUTE('1000_заявлений'!F134, ".", ","))</f>
        <v>-3822</v>
      </c>
      <c r="G140" s="5">
        <f>VALUE(SUBSTITUTE('1000_заявлений'!G134, ".", ","))</f>
        <v>-15276</v>
      </c>
      <c r="H140" s="5">
        <f>VALUE(SUBSTITUTE('1000_заявлений'!H134, ".", ","))</f>
        <v>-4880</v>
      </c>
      <c r="I140" s="4">
        <f>VALUE(SUBSTITUTE('1000_заявлений'!I134, ".", ","))</f>
        <v>0.200971428571428</v>
      </c>
      <c r="J140" s="4">
        <f>VALUE(SUBSTITUTE('1000_заявлений'!J134, ".", ","))</f>
        <v>1.83324182632016</v>
      </c>
      <c r="K140" s="5">
        <f>VALUE(SUBSTITUTE('1000_заявлений'!K134, ".", ","))</f>
        <v>-1184</v>
      </c>
      <c r="L140" s="6">
        <f>VALUE(SUBSTITUTE('1000_заявлений'!L134, ".", ","))</f>
        <v>31653</v>
      </c>
      <c r="M140" s="2" t="str">
        <f>IF(Данные6[[#This Row],[proba]]&gt;$C$6, "отказ", "одобрение")</f>
        <v>отказ</v>
      </c>
      <c r="N140" s="7">
        <f>IF(Данные6[[#This Row],[proba]]&lt;$D$2,$C$2,IF(Данные6[[#This Row],[proba]]&lt;$D$3,$C$3,IF(Данные6[[#This Row],[proba]]&gt;$C$6,0,$C$4)))</f>
        <v>0</v>
      </c>
      <c r="O140" s="2">
        <f>IF(Данные6[[#This Row],[weighted_ext_score]]&gt;$O$1,MIN(Данные6[[#This Row],[Базовая сумма]]*$O$2,$C$2),IF(Данные6[[#This Row],[weighted_ext_score]]&lt;$O$3,Данные6[[#This Row],[Базовая сумма]]*$O$4,N140))</f>
        <v>0</v>
      </c>
      <c r="P1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0" s="2">
        <f>ABS(Данные6[[#This Row],[days_birth]])/365.2425</f>
        <v>41.824267438756443</v>
      </c>
      <c r="S1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0" s="2">
        <f>IF(Данные6[[#This Row],[ interest_rate]]&gt;$T$1,Данные6[[#This Row],[days_birth4]]*$T$2,Данные6[[#This Row],[days_birth4]])</f>
        <v>0</v>
      </c>
      <c r="U140" s="2">
        <f>IF(Данные6[[#This Row],[Проверка отказа]]="отказ",0,MAX(Данные6[[#This Row],[interest_rate]],$C$1))</f>
        <v>0</v>
      </c>
      <c r="V140" s="2">
        <f>MROUND(Данные6[[#This Row],[Минимум 20000]], 100)</f>
        <v>0</v>
      </c>
    </row>
    <row r="141" spans="1:22" x14ac:dyDescent="0.25">
      <c r="A141" s="2">
        <f>'1000_заявлений'!A135</f>
        <v>133</v>
      </c>
      <c r="B141" s="4">
        <f>VALUE(SUBSTITUTE('1000_заявлений'!B135, ".", ","))</f>
        <v>0.30926371048575502</v>
      </c>
      <c r="C141" s="4">
        <f>VALUE(SUBSTITUTE('1000_заявлений'!C135, ".", ","))</f>
        <v>0.44131286677538301</v>
      </c>
      <c r="D141" s="4">
        <f>VALUE(SUBSTITUTE('1000_заявлений'!D135, ".", ","))</f>
        <v>0.64302559999999997</v>
      </c>
      <c r="E141" s="4">
        <f>VALUE(SUBSTITUTE('1000_заявлений'!E135, ".", ","))</f>
        <v>0.64354960000000005</v>
      </c>
      <c r="F141" s="5">
        <f>VALUE(SUBSTITUTE('1000_заявлений'!F135, ".", ","))</f>
        <v>-8719</v>
      </c>
      <c r="G141" s="5">
        <f>VALUE(SUBSTITUTE('1000_заявлений'!G135, ".", ","))</f>
        <v>-16257</v>
      </c>
      <c r="H141" s="5">
        <f>VALUE(SUBSTITUTE('1000_заявлений'!H135, ".", ","))</f>
        <v>-4128</v>
      </c>
      <c r="I141" s="4">
        <f>VALUE(SUBSTITUTE('1000_заявлений'!I135, ".", ","))</f>
        <v>0.22140000000000001</v>
      </c>
      <c r="J141" s="4">
        <f>VALUE(SUBSTITUTE('1000_заявлений'!J135, ".", ","))</f>
        <v>2.6785816018740101</v>
      </c>
      <c r="K141" s="5">
        <f>VALUE(SUBSTITUTE('1000_заявлений'!K135, ".", ","))</f>
        <v>-3861</v>
      </c>
      <c r="L141" s="6">
        <f>VALUE(SUBSTITUTE('1000_заявлений'!L135, ".", ","))</f>
        <v>29889</v>
      </c>
      <c r="M141" s="2" t="str">
        <f>IF(Данные6[[#This Row],[proba]]&gt;$C$6, "отказ", "одобрение")</f>
        <v>отказ</v>
      </c>
      <c r="N141" s="7">
        <f>IF(Данные6[[#This Row],[proba]]&lt;$D$2,$C$2,IF(Данные6[[#This Row],[proba]]&lt;$D$3,$C$3,IF(Данные6[[#This Row],[proba]]&gt;$C$6,0,$C$4)))</f>
        <v>0</v>
      </c>
      <c r="O141" s="2">
        <f>IF(Данные6[[#This Row],[weighted_ext_score]]&gt;$O$1,MIN(Данные6[[#This Row],[Базовая сумма]]*$O$2,$C$2),IF(Данные6[[#This Row],[weighted_ext_score]]&lt;$O$3,Данные6[[#This Row],[Базовая сумма]]*$O$4,N141))</f>
        <v>0</v>
      </c>
      <c r="P1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1" s="2">
        <f>ABS(Данные6[[#This Row],[days_birth]])/365.2425</f>
        <v>44.510154212612164</v>
      </c>
      <c r="S1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1" s="2">
        <f>IF(Данные6[[#This Row],[ interest_rate]]&gt;$T$1,Данные6[[#This Row],[days_birth4]]*$T$2,Данные6[[#This Row],[days_birth4]])</f>
        <v>0</v>
      </c>
      <c r="U141" s="2">
        <f>IF(Данные6[[#This Row],[Проверка отказа]]="отказ",0,MAX(Данные6[[#This Row],[interest_rate]],$C$1))</f>
        <v>0</v>
      </c>
      <c r="V141" s="2">
        <f>MROUND(Данные6[[#This Row],[Минимум 20000]], 100)</f>
        <v>0</v>
      </c>
    </row>
    <row r="142" spans="1:22" x14ac:dyDescent="0.25">
      <c r="A142" s="2">
        <f>'1000_заявлений'!A136</f>
        <v>134</v>
      </c>
      <c r="B142" s="4">
        <f>VALUE(SUBSTITUTE('1000_заявлений'!B136, ".", ","))</f>
        <v>0.39877706340318397</v>
      </c>
      <c r="C142" s="4">
        <f>VALUE(SUBSTITUTE('1000_заявлений'!C136, ".", ","))</f>
        <v>0.516048064216305</v>
      </c>
      <c r="D142" s="4">
        <f>VALUE(SUBSTITUTE('1000_заявлений'!D136, ".", ","))</f>
        <v>0.50468135000000003</v>
      </c>
      <c r="E142" s="4">
        <f>VALUE(SUBSTITUTE('1000_заявлений'!E136, ".", ","))</f>
        <v>0.59326654999999995</v>
      </c>
      <c r="F142" s="5">
        <f>VALUE(SUBSTITUTE('1000_заявлений'!F136, ".", ","))</f>
        <v>-8404</v>
      </c>
      <c r="G142" s="5">
        <f>VALUE(SUBSTITUTE('1000_заявлений'!G136, ".", ","))</f>
        <v>-17096</v>
      </c>
      <c r="H142" s="5">
        <f>VALUE(SUBSTITUTE('1000_заявлений'!H136, ".", ","))</f>
        <v>-647</v>
      </c>
      <c r="I142" s="4">
        <f>VALUE(SUBSTITUTE('1000_заявлений'!I136, ".", ","))</f>
        <v>0.28854999999999997</v>
      </c>
      <c r="J142" s="4">
        <f>VALUE(SUBSTITUTE('1000_заявлений'!J136, ".", ","))</f>
        <v>4.5741332740013299</v>
      </c>
      <c r="K142" s="5">
        <f>VALUE(SUBSTITUTE('1000_заявлений'!K136, ".", ","))</f>
        <v>-3101</v>
      </c>
      <c r="L142" s="6">
        <f>VALUE(SUBSTITUTE('1000_заявлений'!L136, ".", ","))</f>
        <v>25969.5</v>
      </c>
      <c r="M142" s="2" t="str">
        <f>IF(Данные6[[#This Row],[proba]]&gt;$C$6, "отказ", "одобрение")</f>
        <v>отказ</v>
      </c>
      <c r="N142" s="7">
        <f>IF(Данные6[[#This Row],[proba]]&lt;$D$2,$C$2,IF(Данные6[[#This Row],[proba]]&lt;$D$3,$C$3,IF(Данные6[[#This Row],[proba]]&gt;$C$6,0,$C$4)))</f>
        <v>0</v>
      </c>
      <c r="O142" s="2">
        <f>IF(Данные6[[#This Row],[weighted_ext_score]]&gt;$O$1,MIN(Данные6[[#This Row],[Базовая сумма]]*$O$2,$C$2),IF(Данные6[[#This Row],[weighted_ext_score]]&lt;$O$3,Данные6[[#This Row],[Базовая сумма]]*$O$4,N142))</f>
        <v>0</v>
      </c>
      <c r="P1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2" s="2">
        <f>ABS(Данные6[[#This Row],[days_birth]])/365.2425</f>
        <v>46.807258191475526</v>
      </c>
      <c r="S1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2" s="2">
        <f>IF(Данные6[[#This Row],[ interest_rate]]&gt;$T$1,Данные6[[#This Row],[days_birth4]]*$T$2,Данные6[[#This Row],[days_birth4]])</f>
        <v>0</v>
      </c>
      <c r="U142" s="2">
        <f>IF(Данные6[[#This Row],[Проверка отказа]]="отказ",0,MAX(Данные6[[#This Row],[interest_rate]],$C$1))</f>
        <v>0</v>
      </c>
      <c r="V142" s="2">
        <f>MROUND(Данные6[[#This Row],[Минимум 20000]], 100)</f>
        <v>0</v>
      </c>
    </row>
    <row r="143" spans="1:22" x14ac:dyDescent="0.25">
      <c r="A143" s="2">
        <f>'1000_заявлений'!A137</f>
        <v>135</v>
      </c>
      <c r="B143" s="4">
        <f>VALUE(SUBSTITUTE('1000_заявлений'!B137, ".", ","))</f>
        <v>0.112007651652371</v>
      </c>
      <c r="C143" s="4">
        <f>VALUE(SUBSTITUTE('1000_заявлений'!C137, ".", ","))</f>
        <v>0.68725438211943402</v>
      </c>
      <c r="D143" s="4">
        <f>VALUE(SUBSTITUTE('1000_заявлений'!D137, ".", ","))</f>
        <v>0.75839305000000001</v>
      </c>
      <c r="E143" s="4">
        <f>VALUE(SUBSTITUTE('1000_заявлений'!E137, ".", ","))</f>
        <v>0.75689340000000005</v>
      </c>
      <c r="F143" s="5">
        <f>VALUE(SUBSTITUTE('1000_заявлений'!F137, ".", ","))</f>
        <v>-1316</v>
      </c>
      <c r="G143" s="5">
        <f>VALUE(SUBSTITUTE('1000_заявлений'!G137, ".", ","))</f>
        <v>-17241</v>
      </c>
      <c r="H143" s="5">
        <f>VALUE(SUBSTITUTE('1000_заявлений'!H137, ".", ","))</f>
        <v>-731</v>
      </c>
      <c r="I143" s="4">
        <f>VALUE(SUBSTITUTE('1000_заявлений'!I137, ".", ","))</f>
        <v>0.1318</v>
      </c>
      <c r="J143" s="4">
        <f>VALUE(SUBSTITUTE('1000_заявлений'!J137, ".", ","))</f>
        <v>19.6826049733214</v>
      </c>
      <c r="K143" s="5">
        <f>VALUE(SUBSTITUTE('1000_заявлений'!K137, ".", ","))</f>
        <v>-3326</v>
      </c>
      <c r="L143" s="6">
        <f>VALUE(SUBSTITUTE('1000_заявлений'!L137, ".", ","))</f>
        <v>29655</v>
      </c>
      <c r="M143" s="2" t="str">
        <f>IF(Данные6[[#This Row],[proba]]&gt;$C$6, "отказ", "одобрение")</f>
        <v>одобрение</v>
      </c>
      <c r="N143" s="7">
        <f>IF(Данные6[[#This Row],[proba]]&lt;$D$2,$C$2,IF(Данные6[[#This Row],[proba]]&lt;$D$3,$C$3,IF(Данные6[[#This Row],[proba]]&gt;$C$6,0,$C$4)))</f>
        <v>200000</v>
      </c>
      <c r="O143" s="2">
        <f>IF(Данные6[[#This Row],[weighted_ext_score]]&gt;$O$1,MIN(Данные6[[#This Row],[Базовая сумма]]*$O$2,$C$2),IF(Данные6[[#This Row],[weighted_ext_score]]&lt;$O$3,Данные6[[#This Row],[Базовая сумма]]*$O$4,N143))</f>
        <v>200000</v>
      </c>
      <c r="P1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1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143" s="2">
        <f>ABS(Данные6[[#This Row],[days_birth]])/365.2425</f>
        <v>47.204254707488857</v>
      </c>
      <c r="S1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143" s="2">
        <f>IF(Данные6[[#This Row],[ interest_rate]]&gt;$T$1,Данные6[[#This Row],[days_birth4]]*$T$2,Данные6[[#This Row],[days_birth4]])</f>
        <v>240000</v>
      </c>
      <c r="U143" s="2">
        <f>IF(Данные6[[#This Row],[Проверка отказа]]="отказ",0,MAX(Данные6[[#This Row],[interest_rate]],$C$1))</f>
        <v>240000</v>
      </c>
      <c r="V143" s="2">
        <f>MROUND(Данные6[[#This Row],[Минимум 20000]], 100)</f>
        <v>240000</v>
      </c>
    </row>
    <row r="144" spans="1:22" x14ac:dyDescent="0.25">
      <c r="A144" s="2">
        <f>'1000_заявлений'!A138</f>
        <v>136</v>
      </c>
      <c r="B144" s="4">
        <f>VALUE(SUBSTITUTE('1000_заявлений'!B138, ".", ","))</f>
        <v>0.671463185240469</v>
      </c>
      <c r="C144" s="4">
        <f>VALUE(SUBSTITUTE('1000_заявлений'!C138, ".", ","))</f>
        <v>0.38223164363981099</v>
      </c>
      <c r="D144" s="4">
        <f>VALUE(SUBSTITUTE('1000_заявлений'!D138, ".", ","))</f>
        <v>0.14199154</v>
      </c>
      <c r="E144" s="4">
        <f>VALUE(SUBSTITUTE('1000_заявлений'!E138, ".", ","))</f>
        <v>0.45711583</v>
      </c>
      <c r="F144" s="5">
        <f>VALUE(SUBSTITUTE('1000_заявлений'!F138, ".", ","))</f>
        <v>-173</v>
      </c>
      <c r="G144" s="5">
        <f>VALUE(SUBSTITUTE('1000_заявлений'!G138, ".", ","))</f>
        <v>-14622</v>
      </c>
      <c r="H144" s="5">
        <f>VALUE(SUBSTITUTE('1000_заявлений'!H138, ".", ","))</f>
        <v>-4304</v>
      </c>
      <c r="I144" s="4">
        <f>VALUE(SUBSTITUTE('1000_заявлений'!I138, ".", ","))</f>
        <v>9.1524999999999995E-2</v>
      </c>
      <c r="J144" s="4">
        <f>VALUE(SUBSTITUTE('1000_заявлений'!J138, ".", ","))</f>
        <v>3.4100067210835099</v>
      </c>
      <c r="K144" s="5">
        <f>VALUE(SUBSTITUTE('1000_заявлений'!K138, ".", ","))</f>
        <v>-1145</v>
      </c>
      <c r="L144" s="6">
        <f>VALUE(SUBSTITUTE('1000_заявлений'!L138, ".", ","))</f>
        <v>16474.5</v>
      </c>
      <c r="M144" s="2" t="str">
        <f>IF(Данные6[[#This Row],[proba]]&gt;$C$6, "отказ", "одобрение")</f>
        <v>отказ</v>
      </c>
      <c r="N144" s="7">
        <f>IF(Данные6[[#This Row],[proba]]&lt;$D$2,$C$2,IF(Данные6[[#This Row],[proba]]&lt;$D$3,$C$3,IF(Данные6[[#This Row],[proba]]&gt;$C$6,0,$C$4)))</f>
        <v>0</v>
      </c>
      <c r="O144" s="2">
        <f>IF(Данные6[[#This Row],[weighted_ext_score]]&gt;$O$1,MIN(Данные6[[#This Row],[Базовая сумма]]*$O$2,$C$2),IF(Данные6[[#This Row],[weighted_ext_score]]&lt;$O$3,Данные6[[#This Row],[Базовая сумма]]*$O$4,N144))</f>
        <v>0</v>
      </c>
      <c r="P1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4" s="2">
        <f>ABS(Данные6[[#This Row],[days_birth]])/365.2425</f>
        <v>40.033676256185956</v>
      </c>
      <c r="S1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4" s="2">
        <f>IF(Данные6[[#This Row],[ interest_rate]]&gt;$T$1,Данные6[[#This Row],[days_birth4]]*$T$2,Данные6[[#This Row],[days_birth4]])</f>
        <v>0</v>
      </c>
      <c r="U144" s="2">
        <f>IF(Данные6[[#This Row],[Проверка отказа]]="отказ",0,MAX(Данные6[[#This Row],[interest_rate]],$C$1))</f>
        <v>0</v>
      </c>
      <c r="V144" s="2">
        <f>MROUND(Данные6[[#This Row],[Минимум 20000]], 100)</f>
        <v>0</v>
      </c>
    </row>
    <row r="145" spans="1:22" x14ac:dyDescent="0.25">
      <c r="A145" s="2">
        <f>'1000_заявлений'!A139</f>
        <v>137</v>
      </c>
      <c r="B145" s="4">
        <f>VALUE(SUBSTITUTE('1000_заявлений'!B139, ".", ","))</f>
        <v>0.26011577262216501</v>
      </c>
      <c r="C145" s="4">
        <f>VALUE(SUBSTITUTE('1000_заявлений'!C139, ".", ","))</f>
        <v>0.42886420188622199</v>
      </c>
      <c r="D145" s="4">
        <f>VALUE(SUBSTITUTE('1000_заявлений'!D139, ".", ","))</f>
        <v>0.68947919999999996</v>
      </c>
      <c r="E145" s="4">
        <f>VALUE(SUBSTITUTE('1000_заявлений'!E139, ".", ","))</f>
        <v>0.55337875999999997</v>
      </c>
      <c r="F145" s="5">
        <f>VALUE(SUBSTITUTE('1000_заявлений'!F139, ".", ","))</f>
        <v>-1295</v>
      </c>
      <c r="G145" s="5">
        <f>VALUE(SUBSTITUTE('1000_заявлений'!G139, ".", ","))</f>
        <v>-21154</v>
      </c>
      <c r="H145" s="5">
        <f>VALUE(SUBSTITUTE('1000_заявлений'!H139, ".", ","))</f>
        <v>-4654</v>
      </c>
      <c r="I145" s="4">
        <f>VALUE(SUBSTITUTE('1000_заявлений'!I139, ".", ","))</f>
        <v>0.13888888888888801</v>
      </c>
      <c r="J145" s="4">
        <f>VALUE(SUBSTITUTE('1000_заявлений'!J139, ".", ","))</f>
        <v>10.6209759779781</v>
      </c>
      <c r="K145" s="5">
        <f>VALUE(SUBSTITUTE('1000_заявлений'!K139, ".", ","))</f>
        <v>-520</v>
      </c>
      <c r="L145" s="6">
        <f>VALUE(SUBSTITUTE('1000_заявлений'!L139, ".", ","))</f>
        <v>16875</v>
      </c>
      <c r="M145" s="2" t="str">
        <f>IF(Данные6[[#This Row],[proba]]&gt;$C$6, "отказ", "одобрение")</f>
        <v>одобрение</v>
      </c>
      <c r="N145" s="7">
        <f>IF(Данные6[[#This Row],[proba]]&lt;$D$2,$C$2,IF(Данные6[[#This Row],[proba]]&lt;$D$3,$C$3,IF(Данные6[[#This Row],[proba]]&gt;$C$6,0,$C$4)))</f>
        <v>50000</v>
      </c>
      <c r="O145" s="2">
        <f>IF(Данные6[[#This Row],[weighted_ext_score]]&gt;$O$1,MIN(Данные6[[#This Row],[Базовая сумма]]*$O$2,$C$2),IF(Данные6[[#This Row],[weighted_ext_score]]&lt;$O$3,Данные6[[#This Row],[Базовая сумма]]*$O$4,N145))</f>
        <v>40000</v>
      </c>
      <c r="P1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45" s="2">
        <f>ABS(Данные6[[#This Row],[days_birth]])/365.2425</f>
        <v>57.91768482583489</v>
      </c>
      <c r="S1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145" s="2">
        <f>IF(Данные6[[#This Row],[ interest_rate]]&gt;$T$1,Данные6[[#This Row],[days_birth4]]*$T$2,Данные6[[#This Row],[days_birth4]])</f>
        <v>29400</v>
      </c>
      <c r="U145" s="2">
        <f>IF(Данные6[[#This Row],[Проверка отказа]]="отказ",0,MAX(Данные6[[#This Row],[interest_rate]],$C$1))</f>
        <v>29400</v>
      </c>
      <c r="V145" s="2">
        <f>MROUND(Данные6[[#This Row],[Минимум 20000]], 100)</f>
        <v>29400</v>
      </c>
    </row>
    <row r="146" spans="1:22" x14ac:dyDescent="0.25">
      <c r="A146" s="2">
        <f>'1000_заявлений'!A140</f>
        <v>138</v>
      </c>
      <c r="B146" s="4">
        <f>VALUE(SUBSTITUTE('1000_заявлений'!B140, ".", ","))</f>
        <v>0.75316932394742697</v>
      </c>
      <c r="C146" s="4">
        <f>VALUE(SUBSTITUTE('1000_заявлений'!C140, ".", ","))</f>
        <v>0.34560439079759098</v>
      </c>
      <c r="D146" s="4">
        <f>VALUE(SUBSTITUTE('1000_заявлений'!D140, ".", ","))</f>
        <v>0.12217975</v>
      </c>
      <c r="E146" s="4">
        <f>VALUE(SUBSTITUTE('1000_заявлений'!E140, ".", ","))</f>
        <v>0.45867913999999999</v>
      </c>
      <c r="F146" s="5">
        <f>VALUE(SUBSTITUTE('1000_заявлений'!F140, ".", ","))</f>
        <v>-3497</v>
      </c>
      <c r="G146" s="5">
        <f>VALUE(SUBSTITUTE('1000_заявлений'!G140, ".", ","))</f>
        <v>-8729</v>
      </c>
      <c r="H146" s="5">
        <f>VALUE(SUBSTITUTE('1000_заявлений'!H140, ".", ","))</f>
        <v>-278</v>
      </c>
      <c r="I146" s="4">
        <f>VALUE(SUBSTITUTE('1000_заявлений'!I140, ".", ","))</f>
        <v>0.17521999999999999</v>
      </c>
      <c r="J146" s="4">
        <f>VALUE(SUBSTITUTE('1000_заявлений'!J140, ".", ","))</f>
        <v>3.5736040808111298</v>
      </c>
      <c r="K146" s="5">
        <f>VALUE(SUBSTITUTE('1000_заявлений'!K140, ".", ","))</f>
        <v>-1060</v>
      </c>
      <c r="L146" s="6">
        <f>VALUE(SUBSTITUTE('1000_заявлений'!L140, ".", ","))</f>
        <v>39424.5</v>
      </c>
      <c r="M146" s="2" t="str">
        <f>IF(Данные6[[#This Row],[proba]]&gt;$C$6, "отказ", "одобрение")</f>
        <v>отказ</v>
      </c>
      <c r="N146" s="7">
        <f>IF(Данные6[[#This Row],[proba]]&lt;$D$2,$C$2,IF(Данные6[[#This Row],[proba]]&lt;$D$3,$C$3,IF(Данные6[[#This Row],[proba]]&gt;$C$6,0,$C$4)))</f>
        <v>0</v>
      </c>
      <c r="O146" s="2">
        <f>IF(Данные6[[#This Row],[weighted_ext_score]]&gt;$O$1,MIN(Данные6[[#This Row],[Базовая сумма]]*$O$2,$C$2),IF(Данные6[[#This Row],[weighted_ext_score]]&lt;$O$3,Данные6[[#This Row],[Базовая сумма]]*$O$4,N146))</f>
        <v>0</v>
      </c>
      <c r="P1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6" s="2">
        <f>ABS(Данные6[[#This Row],[days_birth]])/365.2425</f>
        <v>23.899190264002684</v>
      </c>
      <c r="S1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6" s="2">
        <f>IF(Данные6[[#This Row],[ interest_rate]]&gt;$T$1,Данные6[[#This Row],[days_birth4]]*$T$2,Данные6[[#This Row],[days_birth4]])</f>
        <v>0</v>
      </c>
      <c r="U146" s="2">
        <f>IF(Данные6[[#This Row],[Проверка отказа]]="отказ",0,MAX(Данные6[[#This Row],[interest_rate]],$C$1))</f>
        <v>0</v>
      </c>
      <c r="V146" s="2">
        <f>MROUND(Данные6[[#This Row],[Минимум 20000]], 100)</f>
        <v>0</v>
      </c>
    </row>
    <row r="147" spans="1:22" x14ac:dyDescent="0.25">
      <c r="A147" s="2">
        <f>'1000_заявлений'!A141</f>
        <v>139</v>
      </c>
      <c r="B147" s="4">
        <f>VALUE(SUBSTITUTE('1000_заявлений'!B141, ".", ","))</f>
        <v>0.48961935905235798</v>
      </c>
      <c r="C147" s="4">
        <f>VALUE(SUBSTITUTE('1000_заявлений'!C141, ".", ","))</f>
        <v>0.46282776323740199</v>
      </c>
      <c r="D147" s="4">
        <f>VALUE(SUBSTITUTE('1000_заявлений'!D141, ".", ","))</f>
        <v>0.56560796000000002</v>
      </c>
      <c r="E147" s="4">
        <f>VALUE(SUBSTITUTE('1000_заявлений'!E141, ".", ","))</f>
        <v>0.39320846999999998</v>
      </c>
      <c r="F147" s="5">
        <f>VALUE(SUBSTITUTE('1000_заявлений'!F141, ".", ","))</f>
        <v>-11551</v>
      </c>
      <c r="G147" s="5">
        <f>VALUE(SUBSTITUTE('1000_заявлений'!G141, ".", ","))</f>
        <v>-11592</v>
      </c>
      <c r="H147" s="5">
        <f>VALUE(SUBSTITUTE('1000_заявлений'!H141, ".", ","))</f>
        <v>-579</v>
      </c>
      <c r="I147" s="4">
        <f>VALUE(SUBSTITUTE('1000_заявлений'!I141, ".", ","))</f>
        <v>0.19472</v>
      </c>
      <c r="J147" s="4">
        <f>VALUE(SUBSTITUTE('1000_заявлений'!J141, ".", ","))</f>
        <v>2.8029246753719899</v>
      </c>
      <c r="K147" s="5">
        <f>VALUE(SUBSTITUTE('1000_заявлений'!K141, ".", ","))</f>
        <v>-2253</v>
      </c>
      <c r="L147" s="6">
        <f>VALUE(SUBSTITUTE('1000_заявлений'!L141, ".", ","))</f>
        <v>21906</v>
      </c>
      <c r="M147" s="2" t="str">
        <f>IF(Данные6[[#This Row],[proba]]&gt;$C$6, "отказ", "одобрение")</f>
        <v>отказ</v>
      </c>
      <c r="N147" s="7">
        <f>IF(Данные6[[#This Row],[proba]]&lt;$D$2,$C$2,IF(Данные6[[#This Row],[proba]]&lt;$D$3,$C$3,IF(Данные6[[#This Row],[proba]]&gt;$C$6,0,$C$4)))</f>
        <v>0</v>
      </c>
      <c r="O147" s="2">
        <f>IF(Данные6[[#This Row],[weighted_ext_score]]&gt;$O$1,MIN(Данные6[[#This Row],[Базовая сумма]]*$O$2,$C$2),IF(Данные6[[#This Row],[weighted_ext_score]]&lt;$O$3,Данные6[[#This Row],[Базовая сумма]]*$O$4,N147))</f>
        <v>0</v>
      </c>
      <c r="P1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7" s="2">
        <f>ABS(Данные6[[#This Row],[days_birth]])/365.2425</f>
        <v>31.737818025010778</v>
      </c>
      <c r="S1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7" s="2">
        <f>IF(Данные6[[#This Row],[ interest_rate]]&gt;$T$1,Данные6[[#This Row],[days_birth4]]*$T$2,Данные6[[#This Row],[days_birth4]])</f>
        <v>0</v>
      </c>
      <c r="U147" s="2">
        <f>IF(Данные6[[#This Row],[Проверка отказа]]="отказ",0,MAX(Данные6[[#This Row],[interest_rate]],$C$1))</f>
        <v>0</v>
      </c>
      <c r="V147" s="2">
        <f>MROUND(Данные6[[#This Row],[Минимум 20000]], 100)</f>
        <v>0</v>
      </c>
    </row>
    <row r="148" spans="1:22" x14ac:dyDescent="0.25">
      <c r="A148" s="2">
        <f>'1000_заявлений'!A142</f>
        <v>140</v>
      </c>
      <c r="B148" s="4">
        <f>VALUE(SUBSTITUTE('1000_заявлений'!B142, ".", ","))</f>
        <v>0.236173274901742</v>
      </c>
      <c r="C148" s="4">
        <f>VALUE(SUBSTITUTE('1000_заявлений'!C142, ".", ","))</f>
        <v>0.67747104052275597</v>
      </c>
      <c r="D148" s="4">
        <f>VALUE(SUBSTITUTE('1000_заявлений'!D142, ".", ","))</f>
        <v>0.8050197</v>
      </c>
      <c r="E148" s="4">
        <f>VALUE(SUBSTITUTE('1000_заявлений'!E142, ".", ","))</f>
        <v>0.44542009999999999</v>
      </c>
      <c r="F148" s="5">
        <f>VALUE(SUBSTITUTE('1000_заявлений'!F142, ".", ","))</f>
        <v>-6274</v>
      </c>
      <c r="G148" s="5">
        <f>VALUE(SUBSTITUTE('1000_заявлений'!G142, ".", ","))</f>
        <v>-14278</v>
      </c>
      <c r="H148" s="5">
        <f>VALUE(SUBSTITUTE('1000_заявлений'!H142, ".", ","))</f>
        <v>-4921</v>
      </c>
      <c r="I148" s="4">
        <f>VALUE(SUBSTITUTE('1000_заявлений'!I142, ".", ","))</f>
        <v>0.27183333333333298</v>
      </c>
      <c r="J148" s="4">
        <f>VALUE(SUBSTITUTE('1000_заявлений'!J142, ".", ","))</f>
        <v>0.365690780211336</v>
      </c>
      <c r="K148" s="5">
        <f>VALUE(SUBSTITUTE('1000_заявлений'!K142, ".", ","))</f>
        <v>-3282</v>
      </c>
      <c r="L148" s="6">
        <f>VALUE(SUBSTITUTE('1000_заявлений'!L142, ".", ","))</f>
        <v>36697.5</v>
      </c>
      <c r="M148" s="2" t="str">
        <f>IF(Данные6[[#This Row],[proba]]&gt;$C$6, "отказ", "одобрение")</f>
        <v>одобрение</v>
      </c>
      <c r="N148" s="7">
        <f>IF(Данные6[[#This Row],[proba]]&lt;$D$2,$C$2,IF(Данные6[[#This Row],[proba]]&lt;$D$3,$C$3,IF(Данные6[[#This Row],[proba]]&gt;$C$6,0,$C$4)))</f>
        <v>50000</v>
      </c>
      <c r="O148" s="2">
        <f>IF(Данные6[[#This Row],[weighted_ext_score]]&gt;$O$1,MIN(Данные6[[#This Row],[Базовая сумма]]*$O$2,$C$2),IF(Данные6[[#This Row],[weighted_ext_score]]&lt;$O$3,Данные6[[#This Row],[Базовая сумма]]*$O$4,N148))</f>
        <v>50000</v>
      </c>
      <c r="P1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148" s="2">
        <f>ABS(Данные6[[#This Row],[days_birth]])/365.2425</f>
        <v>39.091836245781913</v>
      </c>
      <c r="S1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148" s="2">
        <f>IF(Данные6[[#This Row],[ interest_rate]]&gt;$T$1,Данные6[[#This Row],[days_birth4]]*$T$2,Данные6[[#This Row],[days_birth4]])</f>
        <v>60000</v>
      </c>
      <c r="U148" s="2">
        <f>IF(Данные6[[#This Row],[Проверка отказа]]="отказ",0,MAX(Данные6[[#This Row],[interest_rate]],$C$1))</f>
        <v>60000</v>
      </c>
      <c r="V148" s="2">
        <f>MROUND(Данные6[[#This Row],[Минимум 20000]], 100)</f>
        <v>60000</v>
      </c>
    </row>
    <row r="149" spans="1:22" x14ac:dyDescent="0.25">
      <c r="A149" s="2">
        <f>'1000_заявлений'!A143</f>
        <v>141</v>
      </c>
      <c r="B149" s="4">
        <f>VALUE(SUBSTITUTE('1000_заявлений'!B143, ".", ","))</f>
        <v>0.48543403424397702</v>
      </c>
      <c r="C149" s="4">
        <f>VALUE(SUBSTITUTE('1000_заявлений'!C143, ".", ","))</f>
        <v>0.28624396693762399</v>
      </c>
      <c r="D149" s="4">
        <f>VALUE(SUBSTITUTE('1000_заявлений'!D143, ".", ","))</f>
        <v>0.30467218000000001</v>
      </c>
      <c r="E149" s="4">
        <f>VALUE(SUBSTITUTE('1000_заявлений'!E143, ".", ","))</f>
        <v>0.54274679999999997</v>
      </c>
      <c r="F149" s="5">
        <f>VALUE(SUBSTITUTE('1000_заявлений'!F143, ".", ","))</f>
        <v>-9743</v>
      </c>
      <c r="G149" s="5">
        <f>VALUE(SUBSTITUTE('1000_заявлений'!G143, ".", ","))</f>
        <v>-22464</v>
      </c>
      <c r="H149" s="5">
        <f>VALUE(SUBSTITUTE('1000_заявлений'!H143, ".", ","))</f>
        <v>-4001</v>
      </c>
      <c r="I149" s="4">
        <f>VALUE(SUBSTITUTE('1000_заявлений'!I143, ".", ","))</f>
        <v>0.123945454545454</v>
      </c>
      <c r="J149" s="4">
        <f>VALUE(SUBSTITUTE('1000_заявлений'!J143, ".", ","))</f>
        <v>3.1611984847545802</v>
      </c>
      <c r="K149" s="5">
        <f>VALUE(SUBSTITUTE('1000_заявлений'!K143, ".", ","))</f>
        <v>365243</v>
      </c>
      <c r="L149" s="6">
        <f>VALUE(SUBSTITUTE('1000_заявлений'!L143, ".", ","))</f>
        <v>30676.5</v>
      </c>
      <c r="M149" s="2" t="str">
        <f>IF(Данные6[[#This Row],[proba]]&gt;$C$6, "отказ", "одобрение")</f>
        <v>отказ</v>
      </c>
      <c r="N149" s="7">
        <f>IF(Данные6[[#This Row],[proba]]&lt;$D$2,$C$2,IF(Данные6[[#This Row],[proba]]&lt;$D$3,$C$3,IF(Данные6[[#This Row],[proba]]&gt;$C$6,0,$C$4)))</f>
        <v>0</v>
      </c>
      <c r="O149" s="2">
        <f>IF(Данные6[[#This Row],[weighted_ext_score]]&gt;$O$1,MIN(Данные6[[#This Row],[Базовая сумма]]*$O$2,$C$2),IF(Данные6[[#This Row],[weighted_ext_score]]&lt;$O$3,Данные6[[#This Row],[Базовая сумма]]*$O$4,N149))</f>
        <v>0</v>
      </c>
      <c r="P1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49" s="2">
        <f>ABS(Данные6[[#This Row],[days_birth]])/365.2425</f>
        <v>61.504343004989835</v>
      </c>
      <c r="S1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49" s="2">
        <f>IF(Данные6[[#This Row],[ interest_rate]]&gt;$T$1,Данные6[[#This Row],[days_birth4]]*$T$2,Данные6[[#This Row],[days_birth4]])</f>
        <v>0</v>
      </c>
      <c r="U149" s="2">
        <f>IF(Данные6[[#This Row],[Проверка отказа]]="отказ",0,MAX(Данные6[[#This Row],[interest_rate]],$C$1))</f>
        <v>0</v>
      </c>
      <c r="V149" s="2">
        <f>MROUND(Данные6[[#This Row],[Минимум 20000]], 100)</f>
        <v>0</v>
      </c>
    </row>
    <row r="150" spans="1:22" x14ac:dyDescent="0.25">
      <c r="A150" s="2">
        <f>'1000_заявлений'!A144</f>
        <v>142</v>
      </c>
      <c r="B150" s="4">
        <f>VALUE(SUBSTITUTE('1000_заявлений'!B144, ".", ","))</f>
        <v>0.36231316334586899</v>
      </c>
      <c r="C150" s="4">
        <f>VALUE(SUBSTITUTE('1000_заявлений'!C144, ".", ","))</f>
        <v>0.40002858258850998</v>
      </c>
      <c r="D150" s="4">
        <f>VALUE(SUBSTITUTE('1000_заявлений'!D144, ".", ","))</f>
        <v>0.44183581999999999</v>
      </c>
      <c r="E150" s="4">
        <f>VALUE(SUBSTITUTE('1000_заявлений'!E144, ".", ","))</f>
        <v>0.74059456999999995</v>
      </c>
      <c r="F150" s="5">
        <f>VALUE(SUBSTITUTE('1000_заявлений'!F144, ".", ","))</f>
        <v>-8827</v>
      </c>
      <c r="G150" s="5">
        <f>VALUE(SUBSTITUTE('1000_заявлений'!G144, ".", ","))</f>
        <v>-19368</v>
      </c>
      <c r="H150" s="5">
        <f>VALUE(SUBSTITUTE('1000_заявлений'!H144, ".", ","))</f>
        <v>-2784</v>
      </c>
      <c r="I150" s="4">
        <f>VALUE(SUBSTITUTE('1000_заявлений'!I144, ".", ","))</f>
        <v>0.11182</v>
      </c>
      <c r="J150" s="4">
        <f>VALUE(SUBSTITUTE('1000_заявлений'!J144, ".", ","))</f>
        <v>1.9258198119999901</v>
      </c>
      <c r="K150" s="5">
        <f>VALUE(SUBSTITUTE('1000_заявлений'!K144, ".", ","))</f>
        <v>-3018</v>
      </c>
      <c r="L150" s="6">
        <f>VALUE(SUBSTITUTE('1000_заявлений'!L144, ".", ","))</f>
        <v>25159.5</v>
      </c>
      <c r="M150" s="2" t="str">
        <f>IF(Данные6[[#This Row],[proba]]&gt;$C$6, "отказ", "одобрение")</f>
        <v>отказ</v>
      </c>
      <c r="N150" s="7">
        <f>IF(Данные6[[#This Row],[proba]]&lt;$D$2,$C$2,IF(Данные6[[#This Row],[proba]]&lt;$D$3,$C$3,IF(Данные6[[#This Row],[proba]]&gt;$C$6,0,$C$4)))</f>
        <v>0</v>
      </c>
      <c r="O150" s="2">
        <f>IF(Данные6[[#This Row],[weighted_ext_score]]&gt;$O$1,MIN(Данные6[[#This Row],[Базовая сумма]]*$O$2,$C$2),IF(Данные6[[#This Row],[weighted_ext_score]]&lt;$O$3,Данные6[[#This Row],[Базовая сумма]]*$O$4,N150))</f>
        <v>0</v>
      </c>
      <c r="P1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0" s="2">
        <f>ABS(Данные6[[#This Row],[days_birth]])/365.2425</f>
        <v>53.027782911353412</v>
      </c>
      <c r="S1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0" s="2">
        <f>IF(Данные6[[#This Row],[ interest_rate]]&gt;$T$1,Данные6[[#This Row],[days_birth4]]*$T$2,Данные6[[#This Row],[days_birth4]])</f>
        <v>0</v>
      </c>
      <c r="U150" s="2">
        <f>IF(Данные6[[#This Row],[Проверка отказа]]="отказ",0,MAX(Данные6[[#This Row],[interest_rate]],$C$1))</f>
        <v>0</v>
      </c>
      <c r="V150" s="2">
        <f>MROUND(Данные6[[#This Row],[Минимум 20000]], 100)</f>
        <v>0</v>
      </c>
    </row>
    <row r="151" spans="1:22" x14ac:dyDescent="0.25">
      <c r="A151" s="2">
        <f>'1000_заявлений'!A145</f>
        <v>143</v>
      </c>
      <c r="B151" s="4">
        <f>VALUE(SUBSTITUTE('1000_заявлений'!B145, ".", ","))</f>
        <v>0.58384110032185998</v>
      </c>
      <c r="C151" s="4">
        <f>VALUE(SUBSTITUTE('1000_заявлений'!C145, ".", ","))</f>
        <v>0.309001910208062</v>
      </c>
      <c r="D151" s="4">
        <f>VALUE(SUBSTITUTE('1000_заявлений'!D145, ".", ","))</f>
        <v>0.30467218000000001</v>
      </c>
      <c r="E151" s="4">
        <f>VALUE(SUBSTITUTE('1000_заявлений'!E145, ".", ","))</f>
        <v>0.44241871999999999</v>
      </c>
      <c r="F151" s="5">
        <f>VALUE(SUBSTITUTE('1000_заявлений'!F145, ".", ","))</f>
        <v>-10010</v>
      </c>
      <c r="G151" s="5">
        <f>VALUE(SUBSTITUTE('1000_заявлений'!G145, ".", ","))</f>
        <v>-18919</v>
      </c>
      <c r="H151" s="5">
        <f>VALUE(SUBSTITUTE('1000_заявлений'!H145, ".", ","))</f>
        <v>-671</v>
      </c>
      <c r="I151" s="4">
        <f>VALUE(SUBSTITUTE('1000_заявлений'!I145, ".", ","))</f>
        <v>0.17514285714285699</v>
      </c>
      <c r="J151" s="4">
        <f>VALUE(SUBSTITUTE('1000_заявлений'!J145, ".", ","))</f>
        <v>4.0182967010297297</v>
      </c>
      <c r="K151" s="5">
        <f>VALUE(SUBSTITUTE('1000_заявлений'!K145, ".", ","))</f>
        <v>365243</v>
      </c>
      <c r="L151" s="6">
        <f>VALUE(SUBSTITUTE('1000_заявлений'!L145, ".", ","))</f>
        <v>22068</v>
      </c>
      <c r="M151" s="2" t="str">
        <f>IF(Данные6[[#This Row],[proba]]&gt;$C$6, "отказ", "одобрение")</f>
        <v>отказ</v>
      </c>
      <c r="N151" s="7">
        <f>IF(Данные6[[#This Row],[proba]]&lt;$D$2,$C$2,IF(Данные6[[#This Row],[proba]]&lt;$D$3,$C$3,IF(Данные6[[#This Row],[proba]]&gt;$C$6,0,$C$4)))</f>
        <v>0</v>
      </c>
      <c r="O151" s="2">
        <f>IF(Данные6[[#This Row],[weighted_ext_score]]&gt;$O$1,MIN(Данные6[[#This Row],[Базовая сумма]]*$O$2,$C$2),IF(Данные6[[#This Row],[weighted_ext_score]]&lt;$O$3,Данные6[[#This Row],[Базовая сумма]]*$O$4,N151))</f>
        <v>0</v>
      </c>
      <c r="P1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1" s="2">
        <f>ABS(Данные6[[#This Row],[days_birth]])/365.2425</f>
        <v>51.798462665215574</v>
      </c>
      <c r="S1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1" s="2">
        <f>IF(Данные6[[#This Row],[ interest_rate]]&gt;$T$1,Данные6[[#This Row],[days_birth4]]*$T$2,Данные6[[#This Row],[days_birth4]])</f>
        <v>0</v>
      </c>
      <c r="U151" s="2">
        <f>IF(Данные6[[#This Row],[Проверка отказа]]="отказ",0,MAX(Данные6[[#This Row],[interest_rate]],$C$1))</f>
        <v>0</v>
      </c>
      <c r="V151" s="2">
        <f>MROUND(Данные6[[#This Row],[Минимум 20000]], 100)</f>
        <v>0</v>
      </c>
    </row>
    <row r="152" spans="1:22" x14ac:dyDescent="0.25">
      <c r="A152" s="2">
        <f>'1000_заявлений'!A146</f>
        <v>144</v>
      </c>
      <c r="B152" s="4">
        <f>VALUE(SUBSTITUTE('1000_заявлений'!B146, ".", ","))</f>
        <v>0.54547950233132803</v>
      </c>
      <c r="C152" s="4">
        <f>VALUE(SUBSTITUTE('1000_заявлений'!C146, ".", ","))</f>
        <v>0.44688231060398098</v>
      </c>
      <c r="D152" s="4">
        <f>VALUE(SUBSTITUTE('1000_заявлений'!D146, ".", ","))</f>
        <v>0.45610972999999999</v>
      </c>
      <c r="E152" s="4">
        <f>VALUE(SUBSTITUTE('1000_заявлений'!E146, ".", ","))</f>
        <v>0.47097254</v>
      </c>
      <c r="F152" s="5">
        <f>VALUE(SUBSTITUTE('1000_заявлений'!F146, ".", ","))</f>
        <v>-1569</v>
      </c>
      <c r="G152" s="5">
        <f>VALUE(SUBSTITUTE('1000_заявлений'!G146, ".", ","))</f>
        <v>-12215</v>
      </c>
      <c r="H152" s="5">
        <f>VALUE(SUBSTITUTE('1000_заявлений'!H146, ".", ","))</f>
        <v>-2757</v>
      </c>
      <c r="I152" s="4">
        <f>VALUE(SUBSTITUTE('1000_заявлений'!I146, ".", ","))</f>
        <v>0.32479999999999998</v>
      </c>
      <c r="J152" s="4">
        <f>VALUE(SUBSTITUTE('1000_заявлений'!J146, ".", ","))</f>
        <v>6.3048776243870197</v>
      </c>
      <c r="K152" s="5">
        <f>VALUE(SUBSTITUTE('1000_заявлений'!K146, ".", ","))</f>
        <v>-1449</v>
      </c>
      <c r="L152" s="6">
        <f>VALUE(SUBSTITUTE('1000_заявлений'!L146, ".", ","))</f>
        <v>14616</v>
      </c>
      <c r="M152" s="2" t="str">
        <f>IF(Данные6[[#This Row],[proba]]&gt;$C$6, "отказ", "одобрение")</f>
        <v>отказ</v>
      </c>
      <c r="N152" s="7">
        <f>IF(Данные6[[#This Row],[proba]]&lt;$D$2,$C$2,IF(Данные6[[#This Row],[proba]]&lt;$D$3,$C$3,IF(Данные6[[#This Row],[proba]]&gt;$C$6,0,$C$4)))</f>
        <v>0</v>
      </c>
      <c r="O152" s="2">
        <f>IF(Данные6[[#This Row],[weighted_ext_score]]&gt;$O$1,MIN(Данные6[[#This Row],[Базовая сумма]]*$O$2,$C$2),IF(Данные6[[#This Row],[weighted_ext_score]]&lt;$O$3,Данные6[[#This Row],[Базовая сумма]]*$O$4,N152))</f>
        <v>0</v>
      </c>
      <c r="P1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2" s="2">
        <f>ABS(Данные6[[#This Row],[days_birth]])/365.2425</f>
        <v>33.443534090364622</v>
      </c>
      <c r="S1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2" s="2">
        <f>IF(Данные6[[#This Row],[ interest_rate]]&gt;$T$1,Данные6[[#This Row],[days_birth4]]*$T$2,Данные6[[#This Row],[days_birth4]])</f>
        <v>0</v>
      </c>
      <c r="U152" s="2">
        <f>IF(Данные6[[#This Row],[Проверка отказа]]="отказ",0,MAX(Данные6[[#This Row],[interest_rate]],$C$1))</f>
        <v>0</v>
      </c>
      <c r="V152" s="2">
        <f>MROUND(Данные6[[#This Row],[Минимум 20000]], 100)</f>
        <v>0</v>
      </c>
    </row>
    <row r="153" spans="1:22" x14ac:dyDescent="0.25">
      <c r="A153" s="2">
        <f>'1000_заявлений'!A147</f>
        <v>145</v>
      </c>
      <c r="B153" s="4">
        <f>VALUE(SUBSTITUTE('1000_заявлений'!B147, ".", ","))</f>
        <v>0.51347117452270996</v>
      </c>
      <c r="C153" s="4">
        <f>VALUE(SUBSTITUTE('1000_заявлений'!C147, ".", ","))</f>
        <v>0.46938875705980898</v>
      </c>
      <c r="D153" s="4">
        <f>VALUE(SUBSTITUTE('1000_заявлений'!D147, ".", ","))</f>
        <v>0.23661082999999999</v>
      </c>
      <c r="E153" s="4">
        <f>VALUE(SUBSTITUTE('1000_заявлений'!E147, ".", ","))</f>
        <v>0.72028786</v>
      </c>
      <c r="F153" s="5">
        <f>VALUE(SUBSTITUTE('1000_заявлений'!F147, ".", ","))</f>
        <v>-1403</v>
      </c>
      <c r="G153" s="5">
        <f>VALUE(SUBSTITUTE('1000_заявлений'!G147, ".", ","))</f>
        <v>-12343</v>
      </c>
      <c r="H153" s="5">
        <f>VALUE(SUBSTITUTE('1000_заявлений'!H147, ".", ","))</f>
        <v>-3769</v>
      </c>
      <c r="I153" s="4">
        <f>VALUE(SUBSTITUTE('1000_заявлений'!I147, ".", ","))</f>
        <v>0.228679245283018</v>
      </c>
      <c r="J153" s="4">
        <f>VALUE(SUBSTITUTE('1000_заявлений'!J147, ".", ","))</f>
        <v>0.64317479737601102</v>
      </c>
      <c r="K153" s="5">
        <f>VALUE(SUBSTITUTE('1000_заявлений'!K147, ".", ","))</f>
        <v>-1799</v>
      </c>
      <c r="L153" s="6">
        <f>VALUE(SUBSTITUTE('1000_заявлений'!L147, ".", ","))</f>
        <v>54540</v>
      </c>
      <c r="M153" s="2" t="str">
        <f>IF(Данные6[[#This Row],[proba]]&gt;$C$6, "отказ", "одобрение")</f>
        <v>отказ</v>
      </c>
      <c r="N153" s="7">
        <f>IF(Данные6[[#This Row],[proba]]&lt;$D$2,$C$2,IF(Данные6[[#This Row],[proba]]&lt;$D$3,$C$3,IF(Данные6[[#This Row],[proba]]&gt;$C$6,0,$C$4)))</f>
        <v>0</v>
      </c>
      <c r="O153" s="2">
        <f>IF(Данные6[[#This Row],[weighted_ext_score]]&gt;$O$1,MIN(Данные6[[#This Row],[Базовая сумма]]*$O$2,$C$2),IF(Данные6[[#This Row],[weighted_ext_score]]&lt;$O$3,Данные6[[#This Row],[Базовая сумма]]*$O$4,N153))</f>
        <v>0</v>
      </c>
      <c r="P1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3" s="2">
        <f>ABS(Данные6[[#This Row],[days_birth]])/365.2425</f>
        <v>33.793986187259151</v>
      </c>
      <c r="S1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3" s="2">
        <f>IF(Данные6[[#This Row],[ interest_rate]]&gt;$T$1,Данные6[[#This Row],[days_birth4]]*$T$2,Данные6[[#This Row],[days_birth4]])</f>
        <v>0</v>
      </c>
      <c r="U153" s="2">
        <f>IF(Данные6[[#This Row],[Проверка отказа]]="отказ",0,MAX(Данные6[[#This Row],[interest_rate]],$C$1))</f>
        <v>0</v>
      </c>
      <c r="V153" s="2">
        <f>MROUND(Данные6[[#This Row],[Минимум 20000]], 100)</f>
        <v>0</v>
      </c>
    </row>
    <row r="154" spans="1:22" x14ac:dyDescent="0.25">
      <c r="A154" s="2">
        <f>'1000_заявлений'!A148</f>
        <v>146</v>
      </c>
      <c r="B154" s="4">
        <f>VALUE(SUBSTITUTE('1000_заявлений'!B148, ".", ","))</f>
        <v>0.27371933174743301</v>
      </c>
      <c r="C154" s="4">
        <f>VALUE(SUBSTITUTE('1000_заявлений'!C148, ".", ","))</f>
        <v>0.56588298307508</v>
      </c>
      <c r="D154" s="4">
        <f>VALUE(SUBSTITUTE('1000_заявлений'!D148, ".", ","))</f>
        <v>0.6769925</v>
      </c>
      <c r="E154" s="4">
        <f>VALUE(SUBSTITUTE('1000_заявлений'!E148, ".", ","))</f>
        <v>0.5410857</v>
      </c>
      <c r="F154" s="5">
        <f>VALUE(SUBSTITUTE('1000_заявлений'!F148, ".", ","))</f>
        <v>-1542</v>
      </c>
      <c r="G154" s="5">
        <f>VALUE(SUBSTITUTE('1000_заявлений'!G148, ".", ","))</f>
        <v>-19688</v>
      </c>
      <c r="H154" s="5">
        <f>VALUE(SUBSTITUTE('1000_заявлений'!H148, ".", ","))</f>
        <v>-3237</v>
      </c>
      <c r="I154" s="4">
        <f>VALUE(SUBSTITUTE('1000_заявлений'!I148, ".", ","))</f>
        <v>0.26197142857142802</v>
      </c>
      <c r="J154" s="4">
        <f>VALUE(SUBSTITUTE('1000_заявлений'!J148, ".", ","))</f>
        <v>4.1078608391877003</v>
      </c>
      <c r="K154" s="5">
        <f>VALUE(SUBSTITUTE('1000_заявлений'!K148, ".", ","))</f>
        <v>-2171</v>
      </c>
      <c r="L154" s="6">
        <f>VALUE(SUBSTITUTE('1000_заявлений'!L148, ".", ","))</f>
        <v>41260.5</v>
      </c>
      <c r="M154" s="2" t="str">
        <f>IF(Данные6[[#This Row],[proba]]&gt;$C$6, "отказ", "одобрение")</f>
        <v>одобрение</v>
      </c>
      <c r="N154" s="7">
        <f>IF(Данные6[[#This Row],[proba]]&lt;$D$2,$C$2,IF(Данные6[[#This Row],[proba]]&lt;$D$3,$C$3,IF(Данные6[[#This Row],[proba]]&gt;$C$6,0,$C$4)))</f>
        <v>50000</v>
      </c>
      <c r="O154" s="2">
        <f>IF(Данные6[[#This Row],[weighted_ext_score]]&gt;$O$1,MIN(Данные6[[#This Row],[Базовая сумма]]*$O$2,$C$2),IF(Данные6[[#This Row],[weighted_ext_score]]&lt;$O$3,Данные6[[#This Row],[Базовая сумма]]*$O$4,N154))</f>
        <v>50000</v>
      </c>
      <c r="P1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54" s="2">
        <f>ABS(Данные6[[#This Row],[days_birth]])/365.2425</f>
        <v>53.903913153589734</v>
      </c>
      <c r="S1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36750</v>
      </c>
      <c r="T154" s="2">
        <f>IF(Данные6[[#This Row],[ interest_rate]]&gt;$T$1,Данные6[[#This Row],[days_birth4]]*$T$2,Данные6[[#This Row],[days_birth4]])</f>
        <v>36750</v>
      </c>
      <c r="U154" s="2">
        <f>IF(Данные6[[#This Row],[Проверка отказа]]="отказ",0,MAX(Данные6[[#This Row],[interest_rate]],$C$1))</f>
        <v>36750</v>
      </c>
      <c r="V154" s="2">
        <f>MROUND(Данные6[[#This Row],[Минимум 20000]], 100)</f>
        <v>36800</v>
      </c>
    </row>
    <row r="155" spans="1:22" x14ac:dyDescent="0.25">
      <c r="A155" s="2">
        <f>'1000_заявлений'!A149</f>
        <v>147</v>
      </c>
      <c r="B155" s="4">
        <f>VALUE(SUBSTITUTE('1000_заявлений'!B149, ".", ","))</f>
        <v>0.57073614046868504</v>
      </c>
      <c r="C155" s="4">
        <f>VALUE(SUBSTITUTE('1000_заявлений'!C149, ".", ","))</f>
        <v>0.28535549747441602</v>
      </c>
      <c r="D155" s="4">
        <f>VALUE(SUBSTITUTE('1000_заявлений'!D149, ".", ","))</f>
        <v>0.37910047000000002</v>
      </c>
      <c r="E155" s="4">
        <f>VALUE(SUBSTITUTE('1000_заявлений'!E149, ".", ","))</f>
        <v>0.45702359999999997</v>
      </c>
      <c r="F155" s="5">
        <f>VALUE(SUBSTITUTE('1000_заявлений'!F149, ".", ","))</f>
        <v>-1296</v>
      </c>
      <c r="G155" s="5">
        <f>VALUE(SUBSTITUTE('1000_заявлений'!G149, ".", ","))</f>
        <v>-17368</v>
      </c>
      <c r="H155" s="5">
        <f>VALUE(SUBSTITUTE('1000_заявлений'!H149, ".", ","))</f>
        <v>-880</v>
      </c>
      <c r="I155" s="4">
        <f>VALUE(SUBSTITUTE('1000_заявлений'!I149, ".", ","))</f>
        <v>7.3418181818181799E-2</v>
      </c>
      <c r="J155" s="4">
        <f>VALUE(SUBSTITUTE('1000_заявлений'!J149, ".", ","))</f>
        <v>8.76645358415524</v>
      </c>
      <c r="K155" s="5">
        <f>VALUE(SUBSTITUTE('1000_заявлений'!K149, ".", ","))</f>
        <v>-2540</v>
      </c>
      <c r="L155" s="6">
        <f>VALUE(SUBSTITUTE('1000_заявлений'!L149, ".", ","))</f>
        <v>18171</v>
      </c>
      <c r="M155" s="2" t="str">
        <f>IF(Данные6[[#This Row],[proba]]&gt;$C$6, "отказ", "одобрение")</f>
        <v>отказ</v>
      </c>
      <c r="N155" s="7">
        <f>IF(Данные6[[#This Row],[proba]]&lt;$D$2,$C$2,IF(Данные6[[#This Row],[proba]]&lt;$D$3,$C$3,IF(Данные6[[#This Row],[proba]]&gt;$C$6,0,$C$4)))</f>
        <v>0</v>
      </c>
      <c r="O155" s="2">
        <f>IF(Данные6[[#This Row],[weighted_ext_score]]&gt;$O$1,MIN(Данные6[[#This Row],[Базовая сумма]]*$O$2,$C$2),IF(Данные6[[#This Row],[weighted_ext_score]]&lt;$O$3,Данные6[[#This Row],[Базовая сумма]]*$O$4,N155))</f>
        <v>0</v>
      </c>
      <c r="P1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5" s="2">
        <f>ABS(Данные6[[#This Row],[days_birth]])/365.2425</f>
        <v>47.551968897376398</v>
      </c>
      <c r="S1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5" s="2">
        <f>IF(Данные6[[#This Row],[ interest_rate]]&gt;$T$1,Данные6[[#This Row],[days_birth4]]*$T$2,Данные6[[#This Row],[days_birth4]])</f>
        <v>0</v>
      </c>
      <c r="U155" s="2">
        <f>IF(Данные6[[#This Row],[Проверка отказа]]="отказ",0,MAX(Данные6[[#This Row],[interest_rate]],$C$1))</f>
        <v>0</v>
      </c>
      <c r="V155" s="2">
        <f>MROUND(Данные6[[#This Row],[Минимум 20000]], 100)</f>
        <v>0</v>
      </c>
    </row>
    <row r="156" spans="1:22" x14ac:dyDescent="0.25">
      <c r="A156" s="2">
        <f>'1000_заявлений'!A150</f>
        <v>148</v>
      </c>
      <c r="B156" s="4">
        <f>VALUE(SUBSTITUTE('1000_заявлений'!B150, ".", ","))</f>
        <v>0.38510933972067102</v>
      </c>
      <c r="C156" s="4">
        <f>VALUE(SUBSTITUTE('1000_заявлений'!C150, ".", ","))</f>
        <v>0.48564216057956999</v>
      </c>
      <c r="D156" s="4">
        <f>VALUE(SUBSTITUTE('1000_заявлений'!D150, ".", ","))</f>
        <v>0.3457848</v>
      </c>
      <c r="E156" s="4">
        <f>VALUE(SUBSTITUTE('1000_заявлений'!E150, ".", ","))</f>
        <v>0.60591819999999996</v>
      </c>
      <c r="F156" s="5">
        <f>VALUE(SUBSTITUTE('1000_заявлений'!F150, ".", ","))</f>
        <v>-7217</v>
      </c>
      <c r="G156" s="5">
        <f>VALUE(SUBSTITUTE('1000_заявлений'!G150, ".", ","))</f>
        <v>-14984</v>
      </c>
      <c r="H156" s="5">
        <f>VALUE(SUBSTITUTE('1000_заявлений'!H150, ".", ","))</f>
        <v>-5181</v>
      </c>
      <c r="I156" s="4">
        <f>VALUE(SUBSTITUTE('1000_заявлений'!I150, ".", ","))</f>
        <v>0.1</v>
      </c>
      <c r="J156" s="4">
        <f>VALUE(SUBSTITUTE('1000_заявлений'!J150, ".", ","))</f>
        <v>10.6209759779781</v>
      </c>
      <c r="K156" s="5">
        <f>VALUE(SUBSTITUTE('1000_заявлений'!K150, ".", ","))</f>
        <v>-3165</v>
      </c>
      <c r="L156" s="6">
        <f>VALUE(SUBSTITUTE('1000_заявлений'!L150, ".", ","))</f>
        <v>24750</v>
      </c>
      <c r="M156" s="2" t="str">
        <f>IF(Данные6[[#This Row],[proba]]&gt;$C$6, "отказ", "одобрение")</f>
        <v>отказ</v>
      </c>
      <c r="N156" s="7">
        <f>IF(Данные6[[#This Row],[proba]]&lt;$D$2,$C$2,IF(Данные6[[#This Row],[proba]]&lt;$D$3,$C$3,IF(Данные6[[#This Row],[proba]]&gt;$C$6,0,$C$4)))</f>
        <v>0</v>
      </c>
      <c r="O156" s="2">
        <f>IF(Данные6[[#This Row],[weighted_ext_score]]&gt;$O$1,MIN(Данные6[[#This Row],[Базовая сумма]]*$O$2,$C$2),IF(Данные6[[#This Row],[weighted_ext_score]]&lt;$O$3,Данные6[[#This Row],[Базовая сумма]]*$O$4,N156))</f>
        <v>0</v>
      </c>
      <c r="P1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6" s="2">
        <f>ABS(Данные6[[#This Row],[days_birth]])/365.2425</f>
        <v>41.024798592715797</v>
      </c>
      <c r="S1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6" s="2">
        <f>IF(Данные6[[#This Row],[ interest_rate]]&gt;$T$1,Данные6[[#This Row],[days_birth4]]*$T$2,Данные6[[#This Row],[days_birth4]])</f>
        <v>0</v>
      </c>
      <c r="U156" s="2">
        <f>IF(Данные6[[#This Row],[Проверка отказа]]="отказ",0,MAX(Данные6[[#This Row],[interest_rate]],$C$1))</f>
        <v>0</v>
      </c>
      <c r="V156" s="2">
        <f>MROUND(Данные6[[#This Row],[Минимум 20000]], 100)</f>
        <v>0</v>
      </c>
    </row>
    <row r="157" spans="1:22" x14ac:dyDescent="0.25">
      <c r="A157" s="2">
        <f>'1000_заявлений'!A151</f>
        <v>149</v>
      </c>
      <c r="B157" s="4">
        <f>VALUE(SUBSTITUTE('1000_заявлений'!B151, ".", ","))</f>
        <v>0.20139309324143301</v>
      </c>
      <c r="C157" s="4">
        <f>VALUE(SUBSTITUTE('1000_заявлений'!C151, ".", ","))</f>
        <v>0.663387389824591</v>
      </c>
      <c r="D157" s="4">
        <f>VALUE(SUBSTITUTE('1000_заявлений'!D151, ".", ","))</f>
        <v>0.72527640000000004</v>
      </c>
      <c r="E157" s="4">
        <f>VALUE(SUBSTITUTE('1000_заявлений'!E151, ".", ","))</f>
        <v>0.64895360000000002</v>
      </c>
      <c r="F157" s="5">
        <f>VALUE(SUBSTITUTE('1000_заявлений'!F151, ".", ","))</f>
        <v>-5192</v>
      </c>
      <c r="G157" s="5">
        <f>VALUE(SUBSTITUTE('1000_заявлений'!G151, ".", ","))</f>
        <v>-12649</v>
      </c>
      <c r="H157" s="5">
        <f>VALUE(SUBSTITUTE('1000_заявлений'!H151, ".", ","))</f>
        <v>-3498</v>
      </c>
      <c r="I157" s="4">
        <f>VALUE(SUBSTITUTE('1000_заявлений'!I151, ".", ","))</f>
        <v>0.116184615384615</v>
      </c>
      <c r="J157" s="4">
        <f>VALUE(SUBSTITUTE('1000_заявлений'!J151, ".", ","))</f>
        <v>0.14529046441096299</v>
      </c>
      <c r="K157" s="5">
        <f>VALUE(SUBSTITUTE('1000_заявлений'!K151, ".", ","))</f>
        <v>-1167</v>
      </c>
      <c r="L157" s="6">
        <f>VALUE(SUBSTITUTE('1000_заявлений'!L151, ".", ","))</f>
        <v>33984</v>
      </c>
      <c r="M157" s="2" t="str">
        <f>IF(Данные6[[#This Row],[proba]]&gt;$C$6, "отказ", "одобрение")</f>
        <v>одобрение</v>
      </c>
      <c r="N157" s="7">
        <f>IF(Данные6[[#This Row],[proba]]&lt;$D$2,$C$2,IF(Данные6[[#This Row],[proba]]&lt;$D$3,$C$3,IF(Данные6[[#This Row],[proba]]&gt;$C$6,0,$C$4)))</f>
        <v>50000</v>
      </c>
      <c r="O157" s="2">
        <f>IF(Данные6[[#This Row],[weighted_ext_score]]&gt;$O$1,MIN(Данные6[[#This Row],[Базовая сумма]]*$O$2,$C$2),IF(Данные6[[#This Row],[weighted_ext_score]]&lt;$O$3,Данные6[[#This Row],[Базовая сумма]]*$O$4,N157))</f>
        <v>50000</v>
      </c>
      <c r="P1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57" s="2">
        <f>ABS(Данные6[[#This Row],[days_birth]])/365.2425</f>
        <v>34.631785731397635</v>
      </c>
      <c r="S1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157" s="2">
        <f>IF(Данные6[[#This Row],[ interest_rate]]&gt;$T$1,Данные6[[#This Row],[days_birth4]]*$T$2,Данные6[[#This Row],[days_birth4]])</f>
        <v>35000</v>
      </c>
      <c r="U157" s="2">
        <f>IF(Данные6[[#This Row],[Проверка отказа]]="отказ",0,MAX(Данные6[[#This Row],[interest_rate]],$C$1))</f>
        <v>35000</v>
      </c>
      <c r="V157" s="2">
        <f>MROUND(Данные6[[#This Row],[Минимум 20000]], 100)</f>
        <v>35000</v>
      </c>
    </row>
    <row r="158" spans="1:22" x14ac:dyDescent="0.25">
      <c r="A158" s="2">
        <f>'1000_заявлений'!A152</f>
        <v>150</v>
      </c>
      <c r="B158" s="4">
        <f>VALUE(SUBSTITUTE('1000_заявлений'!B152, ".", ","))</f>
        <v>0.25336923744969497</v>
      </c>
      <c r="C158" s="4">
        <f>VALUE(SUBSTITUTE('1000_заявлений'!C152, ".", ","))</f>
        <v>0.46695584944804203</v>
      </c>
      <c r="D158" s="4">
        <f>VALUE(SUBSTITUTE('1000_заявлений'!D152, ".", ","))</f>
        <v>0.68326885000000004</v>
      </c>
      <c r="E158" s="4">
        <f>VALUE(SUBSTITUTE('1000_заявлений'!E152, ".", ","))</f>
        <v>0.67773324000000001</v>
      </c>
      <c r="F158" s="5">
        <f>VALUE(SUBSTITUTE('1000_заявлений'!F152, ".", ","))</f>
        <v>-9404</v>
      </c>
      <c r="G158" s="5">
        <f>VALUE(SUBSTITUTE('1000_заявлений'!G152, ".", ","))</f>
        <v>-11676</v>
      </c>
      <c r="H158" s="5">
        <f>VALUE(SUBSTITUTE('1000_заявлений'!H152, ".", ","))</f>
        <v>-3965</v>
      </c>
      <c r="I158" s="4">
        <f>VALUE(SUBSTITUTE('1000_заявлений'!I152, ".", ","))</f>
        <v>0.12673999999999999</v>
      </c>
      <c r="J158" s="4">
        <f>VALUE(SUBSTITUTE('1000_заявлений'!J152, ".", ","))</f>
        <v>6.6588028389767899</v>
      </c>
      <c r="K158" s="5">
        <f>VALUE(SUBSTITUTE('1000_заявлений'!K152, ".", ","))</f>
        <v>-1216</v>
      </c>
      <c r="L158" s="6">
        <f>VALUE(SUBSTITUTE('1000_заявлений'!L152, ".", ","))</f>
        <v>28516.5</v>
      </c>
      <c r="M158" s="2" t="str">
        <f>IF(Данные6[[#This Row],[proba]]&gt;$C$6, "отказ", "одобрение")</f>
        <v>одобрение</v>
      </c>
      <c r="N158" s="7">
        <f>IF(Данные6[[#This Row],[proba]]&lt;$D$2,$C$2,IF(Данные6[[#This Row],[proba]]&lt;$D$3,$C$3,IF(Данные6[[#This Row],[proba]]&gt;$C$6,0,$C$4)))</f>
        <v>50000</v>
      </c>
      <c r="O158" s="2">
        <f>IF(Данные6[[#This Row],[weighted_ext_score]]&gt;$O$1,MIN(Данные6[[#This Row],[Базовая сумма]]*$O$2,$C$2),IF(Данные6[[#This Row],[weighted_ext_score]]&lt;$O$3,Данные6[[#This Row],[Базовая сумма]]*$O$4,N158))</f>
        <v>40000</v>
      </c>
      <c r="P1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58" s="2">
        <f>ABS(Данные6[[#This Row],[days_birth]])/365.2425</f>
        <v>31.967802213597814</v>
      </c>
      <c r="S1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158" s="2">
        <f>IF(Данные6[[#This Row],[ interest_rate]]&gt;$T$1,Данные6[[#This Row],[days_birth4]]*$T$2,Данные6[[#This Row],[days_birth4]])</f>
        <v>28000</v>
      </c>
      <c r="U158" s="2">
        <f>IF(Данные6[[#This Row],[Проверка отказа]]="отказ",0,MAX(Данные6[[#This Row],[interest_rate]],$C$1))</f>
        <v>28000</v>
      </c>
      <c r="V158" s="2">
        <f>MROUND(Данные6[[#This Row],[Минимум 20000]], 100)</f>
        <v>28000</v>
      </c>
    </row>
    <row r="159" spans="1:22" x14ac:dyDescent="0.25">
      <c r="A159" s="2">
        <f>'1000_заявлений'!A153</f>
        <v>151</v>
      </c>
      <c r="B159" s="4">
        <f>VALUE(SUBSTITUTE('1000_заявлений'!B153, ".", ","))</f>
        <v>0.45811161755133301</v>
      </c>
      <c r="C159" s="4">
        <f>VALUE(SUBSTITUTE('1000_заявлений'!C153, ".", ","))</f>
        <v>0.337471486968481</v>
      </c>
      <c r="D159" s="4">
        <f>VALUE(SUBSTITUTE('1000_заявлений'!D153, ".", ","))</f>
        <v>0.51369374999999995</v>
      </c>
      <c r="E159" s="4">
        <f>VALUE(SUBSTITUTE('1000_заявлений'!E153, ".", ","))</f>
        <v>0.46762308000000002</v>
      </c>
      <c r="F159" s="5">
        <f>VALUE(SUBSTITUTE('1000_заявлений'!F153, ".", ","))</f>
        <v>-10656</v>
      </c>
      <c r="G159" s="5">
        <f>VALUE(SUBSTITUTE('1000_заявлений'!G153, ".", ","))</f>
        <v>-22864</v>
      </c>
      <c r="H159" s="5">
        <f>VALUE(SUBSTITUTE('1000_заявлений'!H153, ".", ","))</f>
        <v>-4497</v>
      </c>
      <c r="I159" s="4">
        <f>VALUE(SUBSTITUTE('1000_заявлений'!I153, ".", ","))</f>
        <v>0.29190909090909001</v>
      </c>
      <c r="J159" s="4">
        <f>VALUE(SUBSTITUTE('1000_заявлений'!J153, ".", ","))</f>
        <v>4.5372820847421096</v>
      </c>
      <c r="K159" s="5">
        <f>VALUE(SUBSTITUTE('1000_заявлений'!K153, ".", ","))</f>
        <v>-381</v>
      </c>
      <c r="L159" s="6">
        <f>VALUE(SUBSTITUTE('1000_заявлений'!L153, ".", ","))</f>
        <v>28899</v>
      </c>
      <c r="M159" s="2" t="str">
        <f>IF(Данные6[[#This Row],[proba]]&gt;$C$6, "отказ", "одобрение")</f>
        <v>отказ</v>
      </c>
      <c r="N159" s="7">
        <f>IF(Данные6[[#This Row],[proba]]&lt;$D$2,$C$2,IF(Данные6[[#This Row],[proba]]&lt;$D$3,$C$3,IF(Данные6[[#This Row],[proba]]&gt;$C$6,0,$C$4)))</f>
        <v>0</v>
      </c>
      <c r="O159" s="2">
        <f>IF(Данные6[[#This Row],[weighted_ext_score]]&gt;$O$1,MIN(Данные6[[#This Row],[Базовая сумма]]*$O$2,$C$2),IF(Данные6[[#This Row],[weighted_ext_score]]&lt;$O$3,Данные6[[#This Row],[Базовая сумма]]*$O$4,N159))</f>
        <v>0</v>
      </c>
      <c r="P1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59" s="2">
        <f>ABS(Данные6[[#This Row],[days_birth]])/365.2425</f>
        <v>62.599505807785235</v>
      </c>
      <c r="S1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59" s="2">
        <f>IF(Данные6[[#This Row],[ interest_rate]]&gt;$T$1,Данные6[[#This Row],[days_birth4]]*$T$2,Данные6[[#This Row],[days_birth4]])</f>
        <v>0</v>
      </c>
      <c r="U159" s="2">
        <f>IF(Данные6[[#This Row],[Проверка отказа]]="отказ",0,MAX(Данные6[[#This Row],[interest_rate]],$C$1))</f>
        <v>0</v>
      </c>
      <c r="V159" s="2">
        <f>MROUND(Данные6[[#This Row],[Минимум 20000]], 100)</f>
        <v>0</v>
      </c>
    </row>
    <row r="160" spans="1:22" x14ac:dyDescent="0.25">
      <c r="A160" s="2">
        <f>'1000_заявлений'!A154</f>
        <v>152</v>
      </c>
      <c r="B160" s="4">
        <f>VALUE(SUBSTITUTE('1000_заявлений'!B154, ".", ","))</f>
        <v>0.37007090523751501</v>
      </c>
      <c r="C160" s="4">
        <f>VALUE(SUBSTITUTE('1000_заявлений'!C154, ".", ","))</f>
        <v>0.48207585490065702</v>
      </c>
      <c r="D160" s="4">
        <f>VALUE(SUBSTITUTE('1000_заявлений'!D154, ".", ","))</f>
        <v>0.50648420000000005</v>
      </c>
      <c r="E160" s="4">
        <f>VALUE(SUBSTITUTE('1000_заявлений'!E154, ".", ","))</f>
        <v>0.65305239999999998</v>
      </c>
      <c r="F160" s="5">
        <f>VALUE(SUBSTITUTE('1000_заявлений'!F154, ".", ","))</f>
        <v>-3538</v>
      </c>
      <c r="G160" s="5">
        <f>VALUE(SUBSTITUTE('1000_заявлений'!G154, ".", ","))</f>
        <v>-8687</v>
      </c>
      <c r="H160" s="5">
        <f>VALUE(SUBSTITUTE('1000_заявлений'!H154, ".", ","))</f>
        <v>-1374</v>
      </c>
      <c r="I160" s="4">
        <f>VALUE(SUBSTITUTE('1000_заявлений'!I154, ".", ","))</f>
        <v>9.0909090909090898E-2</v>
      </c>
      <c r="J160" s="4">
        <f>VALUE(SUBSTITUTE('1000_заявлений'!J154, ".", ","))</f>
        <v>10.6209759779781</v>
      </c>
      <c r="K160" s="5">
        <f>VALUE(SUBSTITUTE('1000_заявлений'!K154, ".", ","))</f>
        <v>-211</v>
      </c>
      <c r="L160" s="6">
        <f>VALUE(SUBSTITUTE('1000_заявлений'!L154, ".", ","))</f>
        <v>9000</v>
      </c>
      <c r="M160" s="2" t="str">
        <f>IF(Данные6[[#This Row],[proba]]&gt;$C$6, "отказ", "одобрение")</f>
        <v>отказ</v>
      </c>
      <c r="N160" s="7">
        <f>IF(Данные6[[#This Row],[proba]]&lt;$D$2,$C$2,IF(Данные6[[#This Row],[proba]]&lt;$D$3,$C$3,IF(Данные6[[#This Row],[proba]]&gt;$C$6,0,$C$4)))</f>
        <v>0</v>
      </c>
      <c r="O160" s="2">
        <f>IF(Данные6[[#This Row],[weighted_ext_score]]&gt;$O$1,MIN(Данные6[[#This Row],[Базовая сумма]]*$O$2,$C$2),IF(Данные6[[#This Row],[weighted_ext_score]]&lt;$O$3,Данные6[[#This Row],[Базовая сумма]]*$O$4,N160))</f>
        <v>0</v>
      </c>
      <c r="P1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0" s="2">
        <f>ABS(Данные6[[#This Row],[days_birth]])/365.2425</f>
        <v>23.784198169709164</v>
      </c>
      <c r="S1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0" s="2">
        <f>IF(Данные6[[#This Row],[ interest_rate]]&gt;$T$1,Данные6[[#This Row],[days_birth4]]*$T$2,Данные6[[#This Row],[days_birth4]])</f>
        <v>0</v>
      </c>
      <c r="U160" s="2">
        <f>IF(Данные6[[#This Row],[Проверка отказа]]="отказ",0,MAX(Данные6[[#This Row],[interest_rate]],$C$1))</f>
        <v>0</v>
      </c>
      <c r="V160" s="2">
        <f>MROUND(Данные6[[#This Row],[Минимум 20000]], 100)</f>
        <v>0</v>
      </c>
    </row>
    <row r="161" spans="1:22" x14ac:dyDescent="0.25">
      <c r="A161" s="2">
        <f>'1000_заявлений'!A155</f>
        <v>153</v>
      </c>
      <c r="B161" s="4">
        <f>VALUE(SUBSTITUTE('1000_заявлений'!B155, ".", ","))</f>
        <v>0.52087965536469105</v>
      </c>
      <c r="C161" s="4">
        <f>VALUE(SUBSTITUTE('1000_заявлений'!C155, ".", ","))</f>
        <v>0.351347409309262</v>
      </c>
      <c r="D161" s="4">
        <f>VALUE(SUBSTITUTE('1000_заявлений'!D155, ".", ","))</f>
        <v>0.66905669999999995</v>
      </c>
      <c r="E161" s="4">
        <f>VALUE(SUBSTITUTE('1000_заявлений'!E155, ".", ","))</f>
        <v>0.33717754</v>
      </c>
      <c r="F161" s="5">
        <f>VALUE(SUBSTITUTE('1000_заявлений'!F155, ".", ","))</f>
        <v>-1427</v>
      </c>
      <c r="G161" s="5">
        <f>VALUE(SUBSTITUTE('1000_заявлений'!G155, ".", ","))</f>
        <v>-13334</v>
      </c>
      <c r="H161" s="5">
        <f>VALUE(SUBSTITUTE('1000_заявлений'!H155, ".", ","))</f>
        <v>-1250</v>
      </c>
      <c r="I161" s="4">
        <f>VALUE(SUBSTITUTE('1000_заявлений'!I155, ".", ","))</f>
        <v>0.27713888888888799</v>
      </c>
      <c r="J161" s="4">
        <f>VALUE(SUBSTITUTE('1000_заявлений'!J155, ".", ","))</f>
        <v>2.7668361934235701</v>
      </c>
      <c r="K161" s="5">
        <f>VALUE(SUBSTITUTE('1000_заявлений'!K155, ".", ","))</f>
        <v>-356</v>
      </c>
      <c r="L161" s="6">
        <f>VALUE(SUBSTITUTE('1000_заявлений'!L155, ".", ","))</f>
        <v>44896.5</v>
      </c>
      <c r="M161" s="2" t="str">
        <f>IF(Данные6[[#This Row],[proba]]&gt;$C$6, "отказ", "одобрение")</f>
        <v>отказ</v>
      </c>
      <c r="N161" s="7">
        <f>IF(Данные6[[#This Row],[proba]]&lt;$D$2,$C$2,IF(Данные6[[#This Row],[proba]]&lt;$D$3,$C$3,IF(Данные6[[#This Row],[proba]]&gt;$C$6,0,$C$4)))</f>
        <v>0</v>
      </c>
      <c r="O161" s="2">
        <f>IF(Данные6[[#This Row],[weighted_ext_score]]&gt;$O$1,MIN(Данные6[[#This Row],[Базовая сумма]]*$O$2,$C$2),IF(Данные6[[#This Row],[weighted_ext_score]]&lt;$O$3,Данные6[[#This Row],[Базовая сумма]]*$O$4,N161))</f>
        <v>0</v>
      </c>
      <c r="P1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1" s="2">
        <f>ABS(Данные6[[#This Row],[days_birth]])/365.2425</f>
        <v>36.507252031184763</v>
      </c>
      <c r="S1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1" s="2">
        <f>IF(Данные6[[#This Row],[ interest_rate]]&gt;$T$1,Данные6[[#This Row],[days_birth4]]*$T$2,Данные6[[#This Row],[days_birth4]])</f>
        <v>0</v>
      </c>
      <c r="U161" s="2">
        <f>IF(Данные6[[#This Row],[Проверка отказа]]="отказ",0,MAX(Данные6[[#This Row],[interest_rate]],$C$1))</f>
        <v>0</v>
      </c>
      <c r="V161" s="2">
        <f>MROUND(Данные6[[#This Row],[Минимум 20000]], 100)</f>
        <v>0</v>
      </c>
    </row>
    <row r="162" spans="1:22" x14ac:dyDescent="0.25">
      <c r="A162" s="2">
        <f>'1000_заявлений'!A156</f>
        <v>154</v>
      </c>
      <c r="B162" s="4">
        <f>VALUE(SUBSTITUTE('1000_заявлений'!B156, ".", ","))</f>
        <v>0.22290984689569199</v>
      </c>
      <c r="C162" s="4">
        <f>VALUE(SUBSTITUTE('1000_заявлений'!C156, ".", ","))</f>
        <v>0.67215455373344402</v>
      </c>
      <c r="D162" s="4">
        <f>VALUE(SUBSTITUTE('1000_заявлений'!D156, ".", ","))</f>
        <v>0.76752310000000001</v>
      </c>
      <c r="E162" s="4">
        <f>VALUE(SUBSTITUTE('1000_заявлений'!E156, ".", ","))</f>
        <v>0.60632545000000004</v>
      </c>
      <c r="F162" s="5">
        <f>VALUE(SUBSTITUTE('1000_заявлений'!F156, ".", ","))</f>
        <v>-1125</v>
      </c>
      <c r="G162" s="5">
        <f>VALUE(SUBSTITUTE('1000_заявлений'!G156, ".", ","))</f>
        <v>-14955</v>
      </c>
      <c r="H162" s="5">
        <f>VALUE(SUBSTITUTE('1000_заявлений'!H156, ".", ","))</f>
        <v>-4207</v>
      </c>
      <c r="I162" s="4">
        <f>VALUE(SUBSTITUTE('1000_заявлений'!I156, ".", ","))</f>
        <v>0.312823529411764</v>
      </c>
      <c r="J162" s="4">
        <f>VALUE(SUBSTITUTE('1000_заявлений'!J156, ".", ","))</f>
        <v>1.9277550027685999</v>
      </c>
      <c r="K162" s="5">
        <f>VALUE(SUBSTITUTE('1000_заявлений'!K156, ".", ","))</f>
        <v>-1987</v>
      </c>
      <c r="L162" s="6">
        <f>VALUE(SUBSTITUTE('1000_заявлений'!L156, ".", ","))</f>
        <v>23931</v>
      </c>
      <c r="M162" s="2" t="str">
        <f>IF(Данные6[[#This Row],[proba]]&gt;$C$6, "отказ", "одобрение")</f>
        <v>одобрение</v>
      </c>
      <c r="N162" s="7">
        <f>IF(Данные6[[#This Row],[proba]]&lt;$D$2,$C$2,IF(Данные6[[#This Row],[proba]]&lt;$D$3,$C$3,IF(Данные6[[#This Row],[proba]]&gt;$C$6,0,$C$4)))</f>
        <v>50000</v>
      </c>
      <c r="O162" s="2">
        <f>IF(Данные6[[#This Row],[weighted_ext_score]]&gt;$O$1,MIN(Данные6[[#This Row],[Базовая сумма]]*$O$2,$C$2),IF(Данные6[[#This Row],[weighted_ext_score]]&lt;$O$3,Данные6[[#This Row],[Базовая сумма]]*$O$4,N162))</f>
        <v>50000</v>
      </c>
      <c r="P1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62" s="2">
        <f>ABS(Данные6[[#This Row],[days_birth]])/365.2425</f>
        <v>40.945399289513134</v>
      </c>
      <c r="S1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162" s="2">
        <f>IF(Данные6[[#This Row],[ interest_rate]]&gt;$T$1,Данные6[[#This Row],[days_birth4]]*$T$2,Данные6[[#This Row],[days_birth4]])</f>
        <v>35000</v>
      </c>
      <c r="U162" s="2">
        <f>IF(Данные6[[#This Row],[Проверка отказа]]="отказ",0,MAX(Данные6[[#This Row],[interest_rate]],$C$1))</f>
        <v>35000</v>
      </c>
      <c r="V162" s="2">
        <f>MROUND(Данные6[[#This Row],[Минимум 20000]], 100)</f>
        <v>35000</v>
      </c>
    </row>
    <row r="163" spans="1:22" x14ac:dyDescent="0.25">
      <c r="A163" s="2">
        <f>'1000_заявлений'!A157</f>
        <v>155</v>
      </c>
      <c r="B163" s="4">
        <f>VALUE(SUBSTITUTE('1000_заявлений'!B157, ".", ","))</f>
        <v>0.63600493149217896</v>
      </c>
      <c r="C163" s="4">
        <f>VALUE(SUBSTITUTE('1000_заявлений'!C157, ".", ","))</f>
        <v>0.29527269081297702</v>
      </c>
      <c r="D163" s="4">
        <f>VALUE(SUBSTITUTE('1000_заявлений'!D157, ".", ","))</f>
        <v>0.2091547</v>
      </c>
      <c r="E163" s="4">
        <f>VALUE(SUBSTITUTE('1000_заявлений'!E157, ".", ","))</f>
        <v>0.67707854999999995</v>
      </c>
      <c r="F163" s="5">
        <f>VALUE(SUBSTITUTE('1000_заявлений'!F157, ".", ","))</f>
        <v>-7589</v>
      </c>
      <c r="G163" s="5">
        <f>VALUE(SUBSTITUTE('1000_заявлений'!G157, ".", ","))</f>
        <v>-13469</v>
      </c>
      <c r="H163" s="5">
        <f>VALUE(SUBSTITUTE('1000_заявлений'!H157, ".", ","))</f>
        <v>-4332</v>
      </c>
      <c r="I163" s="4">
        <f>VALUE(SUBSTITUTE('1000_заявлений'!I157, ".", ","))</f>
        <v>0.3599</v>
      </c>
      <c r="J163" s="4">
        <f>VALUE(SUBSTITUTE('1000_заявлений'!J157, ".", ","))</f>
        <v>2.9354350402932501</v>
      </c>
      <c r="K163" s="5">
        <f>VALUE(SUBSTITUTE('1000_заявлений'!K157, ".", ","))</f>
        <v>-2862</v>
      </c>
      <c r="L163" s="6">
        <f>VALUE(SUBSTITUTE('1000_заявлений'!L157, ".", ","))</f>
        <v>48586.5</v>
      </c>
      <c r="M163" s="2" t="str">
        <f>IF(Данные6[[#This Row],[proba]]&gt;$C$6, "отказ", "одобрение")</f>
        <v>отказ</v>
      </c>
      <c r="N163" s="7">
        <f>IF(Данные6[[#This Row],[proba]]&lt;$D$2,$C$2,IF(Данные6[[#This Row],[proba]]&lt;$D$3,$C$3,IF(Данные6[[#This Row],[proba]]&gt;$C$6,0,$C$4)))</f>
        <v>0</v>
      </c>
      <c r="O163" s="2">
        <f>IF(Данные6[[#This Row],[weighted_ext_score]]&gt;$O$1,MIN(Данные6[[#This Row],[Базовая сумма]]*$O$2,$C$2),IF(Данные6[[#This Row],[weighted_ext_score]]&lt;$O$3,Данные6[[#This Row],[Базовая сумма]]*$O$4,N163))</f>
        <v>0</v>
      </c>
      <c r="P1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3" s="2">
        <f>ABS(Данные6[[#This Row],[days_birth]])/365.2425</f>
        <v>36.87686947712821</v>
      </c>
      <c r="S1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3" s="2">
        <f>IF(Данные6[[#This Row],[ interest_rate]]&gt;$T$1,Данные6[[#This Row],[days_birth4]]*$T$2,Данные6[[#This Row],[days_birth4]])</f>
        <v>0</v>
      </c>
      <c r="U163" s="2">
        <f>IF(Данные6[[#This Row],[Проверка отказа]]="отказ",0,MAX(Данные6[[#This Row],[interest_rate]],$C$1))</f>
        <v>0</v>
      </c>
      <c r="V163" s="2">
        <f>MROUND(Данные6[[#This Row],[Минимум 20000]], 100)</f>
        <v>0</v>
      </c>
    </row>
    <row r="164" spans="1:22" x14ac:dyDescent="0.25">
      <c r="A164" s="2">
        <f>'1000_заявлений'!A158</f>
        <v>156</v>
      </c>
      <c r="B164" s="4">
        <f>VALUE(SUBSTITUTE('1000_заявлений'!B158, ".", ","))</f>
        <v>0.78323137673866405</v>
      </c>
      <c r="C164" s="4">
        <f>VALUE(SUBSTITUTE('1000_заявлений'!C158, ".", ","))</f>
        <v>0.179359422619151</v>
      </c>
      <c r="D164" s="4">
        <f>VALUE(SUBSTITUTE('1000_заявлений'!D158, ".", ","))</f>
        <v>0.29708663000000002</v>
      </c>
      <c r="E164" s="4">
        <f>VALUE(SUBSTITUTE('1000_заявлений'!E158, ".", ","))</f>
        <v>0.22169706</v>
      </c>
      <c r="F164" s="5">
        <f>VALUE(SUBSTITUTE('1000_заявлений'!F158, ".", ","))</f>
        <v>-3816</v>
      </c>
      <c r="G164" s="5">
        <f>VALUE(SUBSTITUTE('1000_заявлений'!G158, ".", ","))</f>
        <v>-12141</v>
      </c>
      <c r="H164" s="5">
        <f>VALUE(SUBSTITUTE('1000_заявлений'!H158, ".", ","))</f>
        <v>-3817</v>
      </c>
      <c r="I164" s="4">
        <f>VALUE(SUBSTITUTE('1000_заявлений'!I158, ".", ","))</f>
        <v>0.183025354533734</v>
      </c>
      <c r="J164" s="4">
        <f>VALUE(SUBSTITUTE('1000_заявлений'!J158, ".", ","))</f>
        <v>2.48252919616061</v>
      </c>
      <c r="K164" s="5">
        <f>VALUE(SUBSTITUTE('1000_заявлений'!K158, ".", ","))</f>
        <v>-3279</v>
      </c>
      <c r="L164" s="6">
        <f>VALUE(SUBSTITUTE('1000_заявлений'!L158, ".", ","))</f>
        <v>38331</v>
      </c>
      <c r="M164" s="2" t="str">
        <f>IF(Данные6[[#This Row],[proba]]&gt;$C$6, "отказ", "одобрение")</f>
        <v>отказ</v>
      </c>
      <c r="N164" s="7">
        <f>IF(Данные6[[#This Row],[proba]]&lt;$D$2,$C$2,IF(Данные6[[#This Row],[proba]]&lt;$D$3,$C$3,IF(Данные6[[#This Row],[proba]]&gt;$C$6,0,$C$4)))</f>
        <v>0</v>
      </c>
      <c r="O164" s="2">
        <f>IF(Данные6[[#This Row],[weighted_ext_score]]&gt;$O$1,MIN(Данные6[[#This Row],[Базовая сумма]]*$O$2,$C$2),IF(Данные6[[#This Row],[weighted_ext_score]]&lt;$O$3,Данные6[[#This Row],[Базовая сумма]]*$O$4,N164))</f>
        <v>0</v>
      </c>
      <c r="P1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4" s="2">
        <f>ABS(Данные6[[#This Row],[days_birth]])/365.2425</f>
        <v>33.240928971847474</v>
      </c>
      <c r="S1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4" s="2">
        <f>IF(Данные6[[#This Row],[ interest_rate]]&gt;$T$1,Данные6[[#This Row],[days_birth4]]*$T$2,Данные6[[#This Row],[days_birth4]])</f>
        <v>0</v>
      </c>
      <c r="U164" s="2">
        <f>IF(Данные6[[#This Row],[Проверка отказа]]="отказ",0,MAX(Данные6[[#This Row],[interest_rate]],$C$1))</f>
        <v>0</v>
      </c>
      <c r="V164" s="2">
        <f>MROUND(Данные6[[#This Row],[Минимум 20000]], 100)</f>
        <v>0</v>
      </c>
    </row>
    <row r="165" spans="1:22" x14ac:dyDescent="0.25">
      <c r="A165" s="2">
        <f>'1000_заявлений'!A159</f>
        <v>157</v>
      </c>
      <c r="B165" s="4">
        <f>VALUE(SUBSTITUTE('1000_заявлений'!B159, ".", ","))</f>
        <v>0.65810793143634505</v>
      </c>
      <c r="C165" s="4">
        <f>VALUE(SUBSTITUTE('1000_заявлений'!C159, ".", ","))</f>
        <v>0.27898589641472699</v>
      </c>
      <c r="D165" s="4">
        <f>VALUE(SUBSTITUTE('1000_заявлений'!D159, ".", ","))</f>
        <v>0.24585122000000001</v>
      </c>
      <c r="E165" s="4">
        <f>VALUE(SUBSTITUTE('1000_заявлений'!E159, ".", ","))</f>
        <v>0.58595410000000003</v>
      </c>
      <c r="F165" s="5">
        <f>VALUE(SUBSTITUTE('1000_заявлений'!F159, ".", ","))</f>
        <v>-3940</v>
      </c>
      <c r="G165" s="5">
        <f>VALUE(SUBSTITUTE('1000_заявлений'!G159, ".", ","))</f>
        <v>-10192</v>
      </c>
      <c r="H165" s="5">
        <f>VALUE(SUBSTITUTE('1000_заявлений'!H159, ".", ","))</f>
        <v>-2167</v>
      </c>
      <c r="I165" s="4">
        <f>VALUE(SUBSTITUTE('1000_заявлений'!I159, ".", ","))</f>
        <v>0.490863636363636</v>
      </c>
      <c r="J165" s="4">
        <f>VALUE(SUBSTITUTE('1000_заявлений'!J159, ".", ","))</f>
        <v>18.472240322533398</v>
      </c>
      <c r="K165" s="5">
        <f>VALUE(SUBSTITUTE('1000_заявлений'!K159, ".", ","))</f>
        <v>-1371</v>
      </c>
      <c r="L165" s="6">
        <f>VALUE(SUBSTITUTE('1000_заявлений'!L159, ".", ","))</f>
        <v>48595.5</v>
      </c>
      <c r="M165" s="2" t="str">
        <f>IF(Данные6[[#This Row],[proba]]&gt;$C$6, "отказ", "одобрение")</f>
        <v>отказ</v>
      </c>
      <c r="N165" s="7">
        <f>IF(Данные6[[#This Row],[proba]]&lt;$D$2,$C$2,IF(Данные6[[#This Row],[proba]]&lt;$D$3,$C$3,IF(Данные6[[#This Row],[proba]]&gt;$C$6,0,$C$4)))</f>
        <v>0</v>
      </c>
      <c r="O165" s="2">
        <f>IF(Данные6[[#This Row],[weighted_ext_score]]&gt;$O$1,MIN(Данные6[[#This Row],[Базовая сумма]]*$O$2,$C$2),IF(Данные6[[#This Row],[weighted_ext_score]]&lt;$O$3,Данные6[[#This Row],[Базовая сумма]]*$O$4,N165))</f>
        <v>0</v>
      </c>
      <c r="P1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5" s="2">
        <f>ABS(Данные6[[#This Row],[days_birth]])/365.2425</f>
        <v>27.904748215226871</v>
      </c>
      <c r="S1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5" s="2">
        <f>IF(Данные6[[#This Row],[ interest_rate]]&gt;$T$1,Данные6[[#This Row],[days_birth4]]*$T$2,Данные6[[#This Row],[days_birth4]])</f>
        <v>0</v>
      </c>
      <c r="U165" s="2">
        <f>IF(Данные6[[#This Row],[Проверка отказа]]="отказ",0,MAX(Данные6[[#This Row],[interest_rate]],$C$1))</f>
        <v>0</v>
      </c>
      <c r="V165" s="2">
        <f>MROUND(Данные6[[#This Row],[Минимум 20000]], 100)</f>
        <v>0</v>
      </c>
    </row>
    <row r="166" spans="1:22" x14ac:dyDescent="0.25">
      <c r="A166" s="2">
        <f>'1000_заявлений'!A160</f>
        <v>158</v>
      </c>
      <c r="B166" s="4">
        <f>VALUE(SUBSTITUTE('1000_заявлений'!B160, ".", ","))</f>
        <v>0.56312028960934901</v>
      </c>
      <c r="C166" s="4">
        <f>VALUE(SUBSTITUTE('1000_заявлений'!C160, ".", ","))</f>
        <v>0.29106916729378202</v>
      </c>
      <c r="D166" s="4">
        <f>VALUE(SUBSTITUTE('1000_заявлений'!D160, ".", ","))</f>
        <v>0.32806316000000002</v>
      </c>
      <c r="E166" s="4">
        <f>VALUE(SUBSTITUTE('1000_заявлений'!E160, ".", ","))</f>
        <v>0.53154219999999996</v>
      </c>
      <c r="F166" s="5">
        <f>VALUE(SUBSTITUTE('1000_заявлений'!F160, ".", ","))</f>
        <v>-1416</v>
      </c>
      <c r="G166" s="5">
        <f>VALUE(SUBSTITUTE('1000_заявлений'!G160, ".", ","))</f>
        <v>-12046</v>
      </c>
      <c r="H166" s="5">
        <f>VALUE(SUBSTITUTE('1000_заявлений'!H160, ".", ","))</f>
        <v>-3903</v>
      </c>
      <c r="I166" s="4">
        <f>VALUE(SUBSTITUTE('1000_заявлений'!I160, ".", ","))</f>
        <v>5.7142857142857099E-2</v>
      </c>
      <c r="J166" s="4">
        <f>VALUE(SUBSTITUTE('1000_заявлений'!J160, ".", ","))</f>
        <v>10.6209759779781</v>
      </c>
      <c r="K166" s="5">
        <f>VALUE(SUBSTITUTE('1000_заявлений'!K160, ".", ","))</f>
        <v>-954</v>
      </c>
      <c r="L166" s="6">
        <f>VALUE(SUBSTITUTE('1000_заявлений'!L160, ".", ","))</f>
        <v>9000</v>
      </c>
      <c r="M166" s="2" t="str">
        <f>IF(Данные6[[#This Row],[proba]]&gt;$C$6, "отказ", "одобрение")</f>
        <v>отказ</v>
      </c>
      <c r="N166" s="7">
        <f>IF(Данные6[[#This Row],[proba]]&lt;$D$2,$C$2,IF(Данные6[[#This Row],[proba]]&lt;$D$3,$C$3,IF(Данные6[[#This Row],[proba]]&gt;$C$6,0,$C$4)))</f>
        <v>0</v>
      </c>
      <c r="O166" s="2">
        <f>IF(Данные6[[#This Row],[weighted_ext_score]]&gt;$O$1,MIN(Данные6[[#This Row],[Базовая сумма]]*$O$2,$C$2),IF(Данные6[[#This Row],[weighted_ext_score]]&lt;$O$3,Данные6[[#This Row],[Базовая сумма]]*$O$4,N166))</f>
        <v>0</v>
      </c>
      <c r="P1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6" s="2">
        <f>ABS(Данные6[[#This Row],[days_birth]])/365.2425</f>
        <v>32.980827806183562</v>
      </c>
      <c r="S1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6" s="2">
        <f>IF(Данные6[[#This Row],[ interest_rate]]&gt;$T$1,Данные6[[#This Row],[days_birth4]]*$T$2,Данные6[[#This Row],[days_birth4]])</f>
        <v>0</v>
      </c>
      <c r="U166" s="2">
        <f>IF(Данные6[[#This Row],[Проверка отказа]]="отказ",0,MAX(Данные6[[#This Row],[interest_rate]],$C$1))</f>
        <v>0</v>
      </c>
      <c r="V166" s="2">
        <f>MROUND(Данные6[[#This Row],[Минимум 20000]], 100)</f>
        <v>0</v>
      </c>
    </row>
    <row r="167" spans="1:22" x14ac:dyDescent="0.25">
      <c r="A167" s="2">
        <f>'1000_заявлений'!A161</f>
        <v>159</v>
      </c>
      <c r="B167" s="4">
        <f>VALUE(SUBSTITUTE('1000_заявлений'!B161, ".", ","))</f>
        <v>0.48775734449112301</v>
      </c>
      <c r="C167" s="4">
        <f>VALUE(SUBSTITUTE('1000_заявлений'!C161, ".", ","))</f>
        <v>0.50634726129414598</v>
      </c>
      <c r="D167" s="4">
        <f>VALUE(SUBSTITUTE('1000_заявлений'!D161, ".", ","))</f>
        <v>0.30773669999999997</v>
      </c>
      <c r="E167" s="4">
        <f>VALUE(SUBSTITUTE('1000_заявлений'!E161, ".", ","))</f>
        <v>0.67337170000000002</v>
      </c>
      <c r="F167" s="5">
        <f>VALUE(SUBSTITUTE('1000_заявлений'!F161, ".", ","))</f>
        <v>-5629</v>
      </c>
      <c r="G167" s="5">
        <f>VALUE(SUBSTITUTE('1000_заявлений'!G161, ".", ","))</f>
        <v>-11280</v>
      </c>
      <c r="H167" s="5">
        <f>VALUE(SUBSTITUTE('1000_заявлений'!H161, ".", ","))</f>
        <v>-1499</v>
      </c>
      <c r="I167" s="4">
        <f>VALUE(SUBSTITUTE('1000_заявлений'!I161, ".", ","))</f>
        <v>0.26408571428571398</v>
      </c>
      <c r="J167" s="4">
        <f>VALUE(SUBSTITUTE('1000_заявлений'!J161, ".", ","))</f>
        <v>5.4005051750974902</v>
      </c>
      <c r="K167" s="5">
        <f>VALUE(SUBSTITUTE('1000_заявлений'!K161, ".", ","))</f>
        <v>-2012</v>
      </c>
      <c r="L167" s="6">
        <f>VALUE(SUBSTITUTE('1000_заявлений'!L161, ".", ","))</f>
        <v>41593.5</v>
      </c>
      <c r="M167" s="2" t="str">
        <f>IF(Данные6[[#This Row],[proba]]&gt;$C$6, "отказ", "одобрение")</f>
        <v>отказ</v>
      </c>
      <c r="N167" s="7">
        <f>IF(Данные6[[#This Row],[proba]]&lt;$D$2,$C$2,IF(Данные6[[#This Row],[proba]]&lt;$D$3,$C$3,IF(Данные6[[#This Row],[proba]]&gt;$C$6,0,$C$4)))</f>
        <v>0</v>
      </c>
      <c r="O167" s="2">
        <f>IF(Данные6[[#This Row],[weighted_ext_score]]&gt;$O$1,MIN(Данные6[[#This Row],[Базовая сумма]]*$O$2,$C$2),IF(Данные6[[#This Row],[weighted_ext_score]]&lt;$O$3,Данные6[[#This Row],[Базовая сумма]]*$O$4,N167))</f>
        <v>0</v>
      </c>
      <c r="P1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7" s="2">
        <f>ABS(Данные6[[#This Row],[days_birth]])/365.2425</f>
        <v>30.883591038830364</v>
      </c>
      <c r="S1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7" s="2">
        <f>IF(Данные6[[#This Row],[ interest_rate]]&gt;$T$1,Данные6[[#This Row],[days_birth4]]*$T$2,Данные6[[#This Row],[days_birth4]])</f>
        <v>0</v>
      </c>
      <c r="U167" s="2">
        <f>IF(Данные6[[#This Row],[Проверка отказа]]="отказ",0,MAX(Данные6[[#This Row],[interest_rate]],$C$1))</f>
        <v>0</v>
      </c>
      <c r="V167" s="2">
        <f>MROUND(Данные6[[#This Row],[Минимум 20000]], 100)</f>
        <v>0</v>
      </c>
    </row>
    <row r="168" spans="1:22" x14ac:dyDescent="0.25">
      <c r="A168" s="2">
        <f>'1000_заявлений'!A162</f>
        <v>160</v>
      </c>
      <c r="B168" s="4">
        <f>VALUE(SUBSTITUTE('1000_заявлений'!B162, ".", ","))</f>
        <v>0.28472898522346002</v>
      </c>
      <c r="C168" s="4">
        <f>VALUE(SUBSTITUTE('1000_заявлений'!C162, ".", ","))</f>
        <v>0.44147063406687298</v>
      </c>
      <c r="D168" s="4">
        <f>VALUE(SUBSTITUTE('1000_заявлений'!D162, ".", ","))</f>
        <v>0.7223929</v>
      </c>
      <c r="E168" s="4">
        <f>VALUE(SUBSTITUTE('1000_заявлений'!E162, ".", ","))</f>
        <v>0.55554499999999996</v>
      </c>
      <c r="F168" s="5">
        <f>VALUE(SUBSTITUTE('1000_заявлений'!F162, ".", ","))</f>
        <v>-6585</v>
      </c>
      <c r="G168" s="5">
        <f>VALUE(SUBSTITUTE('1000_заявлений'!G162, ".", ","))</f>
        <v>-16539</v>
      </c>
      <c r="H168" s="5">
        <f>VALUE(SUBSTITUTE('1000_заявлений'!H162, ".", ","))</f>
        <v>-83</v>
      </c>
      <c r="I168" s="4">
        <f>VALUE(SUBSTITUTE('1000_заявлений'!I162, ".", ","))</f>
        <v>0.16250000000000001</v>
      </c>
      <c r="J168" s="4">
        <f>VALUE(SUBSTITUTE('1000_заявлений'!J162, ".", ","))</f>
        <v>10.6209759779781</v>
      </c>
      <c r="K168" s="5">
        <f>VALUE(SUBSTITUTE('1000_заявлений'!K162, ".", ","))</f>
        <v>-1250</v>
      </c>
      <c r="L168" s="6">
        <f>VALUE(SUBSTITUTE('1000_заявлений'!L162, ".", ","))</f>
        <v>29250</v>
      </c>
      <c r="M168" s="2" t="str">
        <f>IF(Данные6[[#This Row],[proba]]&gt;$C$6, "отказ", "одобрение")</f>
        <v>одобрение</v>
      </c>
      <c r="N168" s="7">
        <f>IF(Данные6[[#This Row],[proba]]&lt;$D$2,$C$2,IF(Данные6[[#This Row],[proba]]&lt;$D$3,$C$3,IF(Данные6[[#This Row],[proba]]&gt;$C$6,0,$C$4)))</f>
        <v>50000</v>
      </c>
      <c r="O168" s="2">
        <f>IF(Данные6[[#This Row],[weighted_ext_score]]&gt;$O$1,MIN(Данные6[[#This Row],[Базовая сумма]]*$O$2,$C$2),IF(Данные6[[#This Row],[weighted_ext_score]]&lt;$O$3,Данные6[[#This Row],[Базовая сумма]]*$O$4,N168))</f>
        <v>40000</v>
      </c>
      <c r="P1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68" s="2">
        <f>ABS(Данные6[[#This Row],[days_birth]])/365.2425</f>
        <v>45.282243988582927</v>
      </c>
      <c r="S1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168" s="2">
        <f>IF(Данные6[[#This Row],[ interest_rate]]&gt;$T$1,Данные6[[#This Row],[days_birth4]]*$T$2,Данные6[[#This Row],[days_birth4]])</f>
        <v>28000</v>
      </c>
      <c r="U168" s="2">
        <f>IF(Данные6[[#This Row],[Проверка отказа]]="отказ",0,MAX(Данные6[[#This Row],[interest_rate]],$C$1))</f>
        <v>28000</v>
      </c>
      <c r="V168" s="2">
        <f>MROUND(Данные6[[#This Row],[Минимум 20000]], 100)</f>
        <v>28000</v>
      </c>
    </row>
    <row r="169" spans="1:22" x14ac:dyDescent="0.25">
      <c r="A169" s="2">
        <f>'1000_заявлений'!A163</f>
        <v>161</v>
      </c>
      <c r="B169" s="4">
        <f>VALUE(SUBSTITUTE('1000_заявлений'!B163, ".", ","))</f>
        <v>0.66806814101106604</v>
      </c>
      <c r="C169" s="4">
        <f>VALUE(SUBSTITUTE('1000_заявлений'!C163, ".", ","))</f>
        <v>0.339931980844555</v>
      </c>
      <c r="D169" s="4">
        <f>VALUE(SUBSTITUTE('1000_заявлений'!D163, ".", ","))</f>
        <v>0.23401516999999999</v>
      </c>
      <c r="E169" s="4">
        <f>VALUE(SUBSTITUTE('1000_заявлений'!E163, ".", ","))</f>
        <v>0.49858049999999998</v>
      </c>
      <c r="F169" s="5">
        <f>VALUE(SUBSTITUTE('1000_заявлений'!F163, ".", ","))</f>
        <v>-8685</v>
      </c>
      <c r="G169" s="5">
        <f>VALUE(SUBSTITUTE('1000_заявлений'!G163, ".", ","))</f>
        <v>-8708</v>
      </c>
      <c r="H169" s="5">
        <f>VALUE(SUBSTITUTE('1000_заявлений'!H163, ".", ","))</f>
        <v>-1139</v>
      </c>
      <c r="I169" s="4">
        <f>VALUE(SUBSTITUTE('1000_заявлений'!I163, ".", ","))</f>
        <v>4.2381818181818097E-2</v>
      </c>
      <c r="J169" s="4">
        <f>VALUE(SUBSTITUTE('1000_заявлений'!J163, ".", ","))</f>
        <v>2.6874890980188502</v>
      </c>
      <c r="K169" s="5">
        <f>VALUE(SUBSTITUTE('1000_заявлений'!K163, ".", ","))</f>
        <v>-990</v>
      </c>
      <c r="L169" s="6">
        <f>VALUE(SUBSTITUTE('1000_заявлений'!L163, ".", ","))</f>
        <v>10489.5</v>
      </c>
      <c r="M169" s="2" t="str">
        <f>IF(Данные6[[#This Row],[proba]]&gt;$C$6, "отказ", "одобрение")</f>
        <v>отказ</v>
      </c>
      <c r="N169" s="7">
        <f>IF(Данные6[[#This Row],[proba]]&lt;$D$2,$C$2,IF(Данные6[[#This Row],[proba]]&lt;$D$3,$C$3,IF(Данные6[[#This Row],[proba]]&gt;$C$6,0,$C$4)))</f>
        <v>0</v>
      </c>
      <c r="O169" s="2">
        <f>IF(Данные6[[#This Row],[weighted_ext_score]]&gt;$O$1,MIN(Данные6[[#This Row],[Базовая сумма]]*$O$2,$C$2),IF(Данные6[[#This Row],[weighted_ext_score]]&lt;$O$3,Данные6[[#This Row],[Базовая сумма]]*$O$4,N169))</f>
        <v>0</v>
      </c>
      <c r="P1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69" s="2">
        <f>ABS(Данные6[[#This Row],[days_birth]])/365.2425</f>
        <v>23.841694216855924</v>
      </c>
      <c r="S1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69" s="2">
        <f>IF(Данные6[[#This Row],[ interest_rate]]&gt;$T$1,Данные6[[#This Row],[days_birth4]]*$T$2,Данные6[[#This Row],[days_birth4]])</f>
        <v>0</v>
      </c>
      <c r="U169" s="2">
        <f>IF(Данные6[[#This Row],[Проверка отказа]]="отказ",0,MAX(Данные6[[#This Row],[interest_rate]],$C$1))</f>
        <v>0</v>
      </c>
      <c r="V169" s="2">
        <f>MROUND(Данные6[[#This Row],[Минимум 20000]], 100)</f>
        <v>0</v>
      </c>
    </row>
    <row r="170" spans="1:22" x14ac:dyDescent="0.25">
      <c r="A170" s="2">
        <f>'1000_заявлений'!A164</f>
        <v>162</v>
      </c>
      <c r="B170" s="4">
        <f>VALUE(SUBSTITUTE('1000_заявлений'!B164, ".", ","))</f>
        <v>0.63913298110526195</v>
      </c>
      <c r="C170" s="4">
        <f>VALUE(SUBSTITUTE('1000_заявлений'!C164, ".", ","))</f>
        <v>0.38123204446166098</v>
      </c>
      <c r="D170" s="4">
        <f>VALUE(SUBSTITUTE('1000_заявлений'!D164, ".", ","))</f>
        <v>0.13595104</v>
      </c>
      <c r="E170" s="4">
        <f>VALUE(SUBSTITUTE('1000_заявлений'!E164, ".", ","))</f>
        <v>0.58036745000000001</v>
      </c>
      <c r="F170" s="5">
        <f>VALUE(SUBSTITUTE('1000_заявлений'!F164, ".", ","))</f>
        <v>-6303</v>
      </c>
      <c r="G170" s="5">
        <f>VALUE(SUBSTITUTE('1000_заявлений'!G164, ".", ","))</f>
        <v>-12291</v>
      </c>
      <c r="H170" s="5">
        <f>VALUE(SUBSTITUTE('1000_заявлений'!H164, ".", ","))</f>
        <v>-4129</v>
      </c>
      <c r="I170" s="4">
        <f>VALUE(SUBSTITUTE('1000_заявлений'!I164, ".", ","))</f>
        <v>0.107123076923076</v>
      </c>
      <c r="J170" s="4">
        <f>VALUE(SUBSTITUTE('1000_заявлений'!J164, ".", ","))</f>
        <v>0.66233239007120703</v>
      </c>
      <c r="K170" s="5">
        <f>VALUE(SUBSTITUTE('1000_заявлений'!K164, ".", ","))</f>
        <v>-2682</v>
      </c>
      <c r="L170" s="6">
        <f>VALUE(SUBSTITUTE('1000_заявлений'!L164, ".", ","))</f>
        <v>31333.5</v>
      </c>
      <c r="M170" s="2" t="str">
        <f>IF(Данные6[[#This Row],[proba]]&gt;$C$6, "отказ", "одобрение")</f>
        <v>отказ</v>
      </c>
      <c r="N170" s="7">
        <f>IF(Данные6[[#This Row],[proba]]&lt;$D$2,$C$2,IF(Данные6[[#This Row],[proba]]&lt;$D$3,$C$3,IF(Данные6[[#This Row],[proba]]&gt;$C$6,0,$C$4)))</f>
        <v>0</v>
      </c>
      <c r="O170" s="2">
        <f>IF(Данные6[[#This Row],[weighted_ext_score]]&gt;$O$1,MIN(Данные6[[#This Row],[Базовая сумма]]*$O$2,$C$2),IF(Данные6[[#This Row],[weighted_ext_score]]&lt;$O$3,Данные6[[#This Row],[Базовая сумма]]*$O$4,N170))</f>
        <v>0</v>
      </c>
      <c r="P1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0" s="2">
        <f>ABS(Данные6[[#This Row],[days_birth]])/365.2425</f>
        <v>33.651615022895747</v>
      </c>
      <c r="S1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0" s="2">
        <f>IF(Данные6[[#This Row],[ interest_rate]]&gt;$T$1,Данные6[[#This Row],[days_birth4]]*$T$2,Данные6[[#This Row],[days_birth4]])</f>
        <v>0</v>
      </c>
      <c r="U170" s="2">
        <f>IF(Данные6[[#This Row],[Проверка отказа]]="отказ",0,MAX(Данные6[[#This Row],[interest_rate]],$C$1))</f>
        <v>0</v>
      </c>
      <c r="V170" s="2">
        <f>MROUND(Данные6[[#This Row],[Минимум 20000]], 100)</f>
        <v>0</v>
      </c>
    </row>
    <row r="171" spans="1:22" x14ac:dyDescent="0.25">
      <c r="A171" s="2">
        <f>'1000_заявлений'!A165</f>
        <v>163</v>
      </c>
      <c r="B171" s="4">
        <f>VALUE(SUBSTITUTE('1000_заявлений'!B165, ".", ","))</f>
        <v>0.29768816167666901</v>
      </c>
      <c r="C171" s="4">
        <f>VALUE(SUBSTITUTE('1000_заявлений'!C165, ".", ","))</f>
        <v>0.4074410469759</v>
      </c>
      <c r="D171" s="4">
        <f>VALUE(SUBSTITUTE('1000_заявлений'!D165, ".", ","))</f>
        <v>0.89600955999999998</v>
      </c>
      <c r="E171" s="4">
        <f>VALUE(SUBSTITUTE('1000_заявлений'!E165, ".", ","))</f>
        <v>0.25706266999999999</v>
      </c>
      <c r="F171" s="5">
        <f>VALUE(SUBSTITUTE('1000_заявлений'!F165, ".", ","))</f>
        <v>-9448</v>
      </c>
      <c r="G171" s="5">
        <f>VALUE(SUBSTITUTE('1000_заявлений'!G165, ".", ","))</f>
        <v>-22671</v>
      </c>
      <c r="H171" s="5">
        <f>VALUE(SUBSTITUTE('1000_заявлений'!H165, ".", ","))</f>
        <v>-1623</v>
      </c>
      <c r="I171" s="4">
        <f>VALUE(SUBSTITUTE('1000_заявлений'!I165, ".", ","))</f>
        <v>0.25584000000000001</v>
      </c>
      <c r="J171" s="4">
        <f>VALUE(SUBSTITUTE('1000_заявлений'!J165, ".", ","))</f>
        <v>1.8620842611752599</v>
      </c>
      <c r="K171" s="5">
        <f>VALUE(SUBSTITUTE('1000_заявлений'!K165, ".", ","))</f>
        <v>365243</v>
      </c>
      <c r="L171" s="6">
        <f>VALUE(SUBSTITUTE('1000_заявлений'!L165, ".", ","))</f>
        <v>28782</v>
      </c>
      <c r="M171" s="2" t="str">
        <f>IF(Данные6[[#This Row],[proba]]&gt;$C$6, "отказ", "одобрение")</f>
        <v>одобрение</v>
      </c>
      <c r="N171" s="7">
        <f>IF(Данные6[[#This Row],[proba]]&lt;$D$2,$C$2,IF(Данные6[[#This Row],[proba]]&lt;$D$3,$C$3,IF(Данные6[[#This Row],[proba]]&gt;$C$6,0,$C$4)))</f>
        <v>50000</v>
      </c>
      <c r="O171" s="2">
        <f>IF(Данные6[[#This Row],[weighted_ext_score]]&gt;$O$1,MIN(Данные6[[#This Row],[Базовая сумма]]*$O$2,$C$2),IF(Данные6[[#This Row],[weighted_ext_score]]&lt;$O$3,Данные6[[#This Row],[Базовая сумма]]*$O$4,N171))</f>
        <v>40000</v>
      </c>
      <c r="P1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171" s="2">
        <f>ABS(Данные6[[#This Row],[days_birth]])/365.2425</f>
        <v>62.071089755436454</v>
      </c>
      <c r="S1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171" s="2">
        <f>IF(Данные6[[#This Row],[ interest_rate]]&gt;$T$1,Данные6[[#This Row],[days_birth4]]*$T$2,Данные6[[#This Row],[days_birth4]])</f>
        <v>42000</v>
      </c>
      <c r="U171" s="2">
        <f>IF(Данные6[[#This Row],[Проверка отказа]]="отказ",0,MAX(Данные6[[#This Row],[interest_rate]],$C$1))</f>
        <v>42000</v>
      </c>
      <c r="V171" s="2">
        <f>MROUND(Данные6[[#This Row],[Минимум 20000]], 100)</f>
        <v>42000</v>
      </c>
    </row>
    <row r="172" spans="1:22" x14ac:dyDescent="0.25">
      <c r="A172" s="2">
        <f>'1000_заявлений'!A166</f>
        <v>164</v>
      </c>
      <c r="B172" s="4">
        <f>VALUE(SUBSTITUTE('1000_заявлений'!B166, ".", ","))</f>
        <v>0.52716796764043306</v>
      </c>
      <c r="C172" s="4">
        <f>VALUE(SUBSTITUTE('1000_заявлений'!C166, ".", ","))</f>
        <v>0.34735057999086599</v>
      </c>
      <c r="D172" s="4">
        <f>VALUE(SUBSTITUTE('1000_заявлений'!D166, ".", ","))</f>
        <v>0.41184854999999998</v>
      </c>
      <c r="E172" s="4">
        <f>VALUE(SUBSTITUTE('1000_заявлений'!E166, ".", ","))</f>
        <v>0.61163149999999999</v>
      </c>
      <c r="F172" s="5">
        <f>VALUE(SUBSTITUTE('1000_заявлений'!F166, ".", ","))</f>
        <v>-3128</v>
      </c>
      <c r="G172" s="5">
        <f>VALUE(SUBSTITUTE('1000_заявлений'!G166, ".", ","))</f>
        <v>-13882</v>
      </c>
      <c r="H172" s="5">
        <f>VALUE(SUBSTITUTE('1000_заявлений'!H166, ".", ","))</f>
        <v>-4667</v>
      </c>
      <c r="I172" s="4">
        <f>VALUE(SUBSTITUTE('1000_заявлений'!I166, ".", ","))</f>
        <v>0.28375</v>
      </c>
      <c r="J172" s="4">
        <f>VALUE(SUBSTITUTE('1000_заявлений'!J166, ".", ","))</f>
        <v>3.2308359537540801</v>
      </c>
      <c r="K172" s="5">
        <f>VALUE(SUBSTITUTE('1000_заявлений'!K166, ".", ","))</f>
        <v>-3967</v>
      </c>
      <c r="L172" s="6">
        <f>VALUE(SUBSTITUTE('1000_заявлений'!L166, ".", ","))</f>
        <v>25537.5</v>
      </c>
      <c r="M172" s="2" t="str">
        <f>IF(Данные6[[#This Row],[proba]]&gt;$C$6, "отказ", "одобрение")</f>
        <v>отказ</v>
      </c>
      <c r="N172" s="7">
        <f>IF(Данные6[[#This Row],[proba]]&lt;$D$2,$C$2,IF(Данные6[[#This Row],[proba]]&lt;$D$3,$C$3,IF(Данные6[[#This Row],[proba]]&gt;$C$6,0,$C$4)))</f>
        <v>0</v>
      </c>
      <c r="O172" s="2">
        <f>IF(Данные6[[#This Row],[weighted_ext_score]]&gt;$O$1,MIN(Данные6[[#This Row],[Базовая сумма]]*$O$2,$C$2),IF(Данные6[[#This Row],[weighted_ext_score]]&lt;$O$3,Данные6[[#This Row],[Базовая сумма]]*$O$4,N172))</f>
        <v>0</v>
      </c>
      <c r="P1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2" s="2">
        <f>ABS(Данные6[[#This Row],[days_birth]])/365.2425</f>
        <v>38.007625071014459</v>
      </c>
      <c r="S1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2" s="2">
        <f>IF(Данные6[[#This Row],[ interest_rate]]&gt;$T$1,Данные6[[#This Row],[days_birth4]]*$T$2,Данные6[[#This Row],[days_birth4]])</f>
        <v>0</v>
      </c>
      <c r="U172" s="2">
        <f>IF(Данные6[[#This Row],[Проверка отказа]]="отказ",0,MAX(Данные6[[#This Row],[interest_rate]],$C$1))</f>
        <v>0</v>
      </c>
      <c r="V172" s="2">
        <f>MROUND(Данные6[[#This Row],[Минимум 20000]], 100)</f>
        <v>0</v>
      </c>
    </row>
    <row r="173" spans="1:22" x14ac:dyDescent="0.25">
      <c r="A173" s="2">
        <f>'1000_заявлений'!A167</f>
        <v>165</v>
      </c>
      <c r="B173" s="4">
        <f>VALUE(SUBSTITUTE('1000_заявлений'!B167, ".", ","))</f>
        <v>0.69442287364545197</v>
      </c>
      <c r="C173" s="4">
        <f>VALUE(SUBSTITUTE('1000_заявлений'!C167, ".", ","))</f>
        <v>0.23637993108639799</v>
      </c>
      <c r="D173" s="4">
        <f>VALUE(SUBSTITUTE('1000_заявлений'!D167, ".", ","))</f>
        <v>0.40314168</v>
      </c>
      <c r="E173" s="4">
        <f>VALUE(SUBSTITUTE('1000_заявлений'!E167, ".", ","))</f>
        <v>0.27923520000000002</v>
      </c>
      <c r="F173" s="5">
        <f>VALUE(SUBSTITUTE('1000_заявлений'!F167, ".", ","))</f>
        <v>-3533</v>
      </c>
      <c r="G173" s="5">
        <f>VALUE(SUBSTITUTE('1000_заявлений'!G167, ".", ","))</f>
        <v>-17325</v>
      </c>
      <c r="H173" s="5">
        <f>VALUE(SUBSTITUTE('1000_заявлений'!H167, ".", ","))</f>
        <v>-848</v>
      </c>
      <c r="I173" s="4">
        <f>VALUE(SUBSTITUTE('1000_заявлений'!I167, ".", ","))</f>
        <v>0.19400000000000001</v>
      </c>
      <c r="J173" s="4">
        <f>VALUE(SUBSTITUTE('1000_заявлений'!J167, ".", ","))</f>
        <v>3.9138817118157201</v>
      </c>
      <c r="K173" s="5">
        <f>VALUE(SUBSTITUTE('1000_заявлений'!K167, ".", ","))</f>
        <v>-1168</v>
      </c>
      <c r="L173" s="6">
        <f>VALUE(SUBSTITUTE('1000_заявлений'!L167, ".", ","))</f>
        <v>30555</v>
      </c>
      <c r="M173" s="2" t="str">
        <f>IF(Данные6[[#This Row],[proba]]&gt;$C$6, "отказ", "одобрение")</f>
        <v>отказ</v>
      </c>
      <c r="N173" s="7">
        <f>IF(Данные6[[#This Row],[proba]]&lt;$D$2,$C$2,IF(Данные6[[#This Row],[proba]]&lt;$D$3,$C$3,IF(Данные6[[#This Row],[proba]]&gt;$C$6,0,$C$4)))</f>
        <v>0</v>
      </c>
      <c r="O173" s="2">
        <f>IF(Данные6[[#This Row],[weighted_ext_score]]&gt;$O$1,MIN(Данные6[[#This Row],[Базовая сумма]]*$O$2,$C$2),IF(Данные6[[#This Row],[weighted_ext_score]]&lt;$O$3,Данные6[[#This Row],[Базовая сумма]]*$O$4,N173))</f>
        <v>0</v>
      </c>
      <c r="P1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3" s="2">
        <f>ABS(Данные6[[#This Row],[days_birth]])/365.2425</f>
        <v>47.434238896075897</v>
      </c>
      <c r="S1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3" s="2">
        <f>IF(Данные6[[#This Row],[ interest_rate]]&gt;$T$1,Данные6[[#This Row],[days_birth4]]*$T$2,Данные6[[#This Row],[days_birth4]])</f>
        <v>0</v>
      </c>
      <c r="U173" s="2">
        <f>IF(Данные6[[#This Row],[Проверка отказа]]="отказ",0,MAX(Данные6[[#This Row],[interest_rate]],$C$1))</f>
        <v>0</v>
      </c>
      <c r="V173" s="2">
        <f>MROUND(Данные6[[#This Row],[Минимум 20000]], 100)</f>
        <v>0</v>
      </c>
    </row>
    <row r="174" spans="1:22" x14ac:dyDescent="0.25">
      <c r="A174" s="2">
        <f>'1000_заявлений'!A168</f>
        <v>166</v>
      </c>
      <c r="B174" s="4">
        <f>VALUE(SUBSTITUTE('1000_заявлений'!B168, ".", ","))</f>
        <v>0.25646463246086199</v>
      </c>
      <c r="C174" s="4">
        <f>VALUE(SUBSTITUTE('1000_заявлений'!C168, ".", ","))</f>
        <v>0.45113186179617898</v>
      </c>
      <c r="D174" s="4">
        <f>VALUE(SUBSTITUTE('1000_заявлений'!D168, ".", ","))</f>
        <v>0.62461465999999999</v>
      </c>
      <c r="E174" s="4">
        <f>VALUE(SUBSTITUTE('1000_заявлений'!E168, ".", ","))</f>
        <v>0.6943473</v>
      </c>
      <c r="F174" s="5">
        <f>VALUE(SUBSTITUTE('1000_заявлений'!F168, ".", ","))</f>
        <v>-6807</v>
      </c>
      <c r="G174" s="5">
        <f>VALUE(SUBSTITUTE('1000_заявлений'!G168, ".", ","))</f>
        <v>-21406</v>
      </c>
      <c r="H174" s="5">
        <f>VALUE(SUBSTITUTE('1000_заявлений'!H168, ".", ","))</f>
        <v>-3969</v>
      </c>
      <c r="I174" s="4">
        <f>VALUE(SUBSTITUTE('1000_заявлений'!I168, ".", ","))</f>
        <v>0.106583333333333</v>
      </c>
      <c r="J174" s="4">
        <f>VALUE(SUBSTITUTE('1000_заявлений'!J168, ".", ","))</f>
        <v>0.852780867511437</v>
      </c>
      <c r="K174" s="5">
        <f>VALUE(SUBSTITUTE('1000_заявлений'!K168, ".", ","))</f>
        <v>-4472</v>
      </c>
      <c r="L174" s="6">
        <f>VALUE(SUBSTITUTE('1000_заявлений'!L168, ".", ","))</f>
        <v>28777.5</v>
      </c>
      <c r="M174" s="2" t="str">
        <f>IF(Данные6[[#This Row],[proba]]&gt;$C$6, "отказ", "одобрение")</f>
        <v>одобрение</v>
      </c>
      <c r="N174" s="7">
        <f>IF(Данные6[[#This Row],[proba]]&lt;$D$2,$C$2,IF(Данные6[[#This Row],[proba]]&lt;$D$3,$C$3,IF(Данные6[[#This Row],[proba]]&gt;$C$6,0,$C$4)))</f>
        <v>50000</v>
      </c>
      <c r="O174" s="2">
        <f>IF(Данные6[[#This Row],[weighted_ext_score]]&gt;$O$1,MIN(Данные6[[#This Row],[Базовая сумма]]*$O$2,$C$2),IF(Данные6[[#This Row],[weighted_ext_score]]&lt;$O$3,Данные6[[#This Row],[Базовая сумма]]*$O$4,N174))</f>
        <v>40000</v>
      </c>
      <c r="P1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174" s="2">
        <f>ABS(Данные6[[#This Row],[days_birth]])/365.2425</f>
        <v>58.607637391595993</v>
      </c>
      <c r="S1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174" s="2">
        <f>IF(Данные6[[#This Row],[ interest_rate]]&gt;$T$1,Данные6[[#This Row],[days_birth4]]*$T$2,Данные6[[#This Row],[days_birth4]])</f>
        <v>50400</v>
      </c>
      <c r="U174" s="2">
        <f>IF(Данные6[[#This Row],[Проверка отказа]]="отказ",0,MAX(Данные6[[#This Row],[interest_rate]],$C$1))</f>
        <v>50400</v>
      </c>
      <c r="V174" s="2">
        <f>MROUND(Данные6[[#This Row],[Минимум 20000]], 100)</f>
        <v>50400</v>
      </c>
    </row>
    <row r="175" spans="1:22" x14ac:dyDescent="0.25">
      <c r="A175" s="2">
        <f>'1000_заявлений'!A169</f>
        <v>167</v>
      </c>
      <c r="B175" s="4">
        <f>VALUE(SUBSTITUTE('1000_заявлений'!B169, ".", ","))</f>
        <v>0.30332415505911298</v>
      </c>
      <c r="C175" s="4">
        <f>VALUE(SUBSTITUTE('1000_заявлений'!C169, ".", ","))</f>
        <v>0.21887659254751199</v>
      </c>
      <c r="D175" s="4">
        <f>VALUE(SUBSTITUTE('1000_заявлений'!D169, ".", ","))</f>
        <v>0.53527623000000002</v>
      </c>
      <c r="E175" s="4">
        <f>VALUE(SUBSTITUTE('1000_заявлений'!E169, ".", ","))</f>
        <v>0.67476016000000005</v>
      </c>
      <c r="F175" s="5">
        <f>VALUE(SUBSTITUTE('1000_заявлений'!F169, ".", ","))</f>
        <v>-6454</v>
      </c>
      <c r="G175" s="5">
        <f>VALUE(SUBSTITUTE('1000_заявлений'!G169, ".", ","))</f>
        <v>-24559</v>
      </c>
      <c r="H175" s="5">
        <f>VALUE(SUBSTITUTE('1000_заявлений'!H169, ".", ","))</f>
        <v>-2310</v>
      </c>
      <c r="I175" s="4">
        <f>VALUE(SUBSTITUTE('1000_заявлений'!I169, ".", ","))</f>
        <v>0.16685</v>
      </c>
      <c r="J175" s="4">
        <f>VALUE(SUBSTITUTE('1000_заявлений'!J169, ".", ","))</f>
        <v>17.033016141112501</v>
      </c>
      <c r="K175" s="5">
        <f>VALUE(SUBSTITUTE('1000_заявлений'!K169, ".", ","))</f>
        <v>365243</v>
      </c>
      <c r="L175" s="6">
        <f>VALUE(SUBSTITUTE('1000_заявлений'!L169, ".", ","))</f>
        <v>15016.5</v>
      </c>
      <c r="M175" s="2" t="str">
        <f>IF(Данные6[[#This Row],[proba]]&gt;$C$6, "отказ", "одобрение")</f>
        <v>отказ</v>
      </c>
      <c r="N175" s="7">
        <f>IF(Данные6[[#This Row],[proba]]&lt;$D$2,$C$2,IF(Данные6[[#This Row],[proba]]&lt;$D$3,$C$3,IF(Данные6[[#This Row],[proba]]&gt;$C$6,0,$C$4)))</f>
        <v>0</v>
      </c>
      <c r="O175" s="2">
        <f>IF(Данные6[[#This Row],[weighted_ext_score]]&gt;$O$1,MIN(Данные6[[#This Row],[Базовая сумма]]*$O$2,$C$2),IF(Данные6[[#This Row],[weighted_ext_score]]&lt;$O$3,Данные6[[#This Row],[Базовая сумма]]*$O$4,N175))</f>
        <v>0</v>
      </c>
      <c r="P1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5" s="2">
        <f>ABS(Данные6[[#This Row],[days_birth]])/365.2425</f>
        <v>67.240258184630761</v>
      </c>
      <c r="S1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5" s="2">
        <f>IF(Данные6[[#This Row],[ interest_rate]]&gt;$T$1,Данные6[[#This Row],[days_birth4]]*$T$2,Данные6[[#This Row],[days_birth4]])</f>
        <v>0</v>
      </c>
      <c r="U175" s="2">
        <f>IF(Данные6[[#This Row],[Проверка отказа]]="отказ",0,MAX(Данные6[[#This Row],[interest_rate]],$C$1))</f>
        <v>0</v>
      </c>
      <c r="V175" s="2">
        <f>MROUND(Данные6[[#This Row],[Минимум 20000]], 100)</f>
        <v>0</v>
      </c>
    </row>
    <row r="176" spans="1:22" x14ac:dyDescent="0.25">
      <c r="A176" s="2">
        <f>'1000_заявлений'!A170</f>
        <v>168</v>
      </c>
      <c r="B176" s="4">
        <f>VALUE(SUBSTITUTE('1000_заявлений'!B170, ".", ","))</f>
        <v>0.435899058014658</v>
      </c>
      <c r="C176" s="4">
        <f>VALUE(SUBSTITUTE('1000_заявлений'!C170, ".", ","))</f>
        <v>0.29088082610460703</v>
      </c>
      <c r="D176" s="4">
        <f>VALUE(SUBSTITUTE('1000_заявлений'!D170, ".", ","))</f>
        <v>0.53527623000000002</v>
      </c>
      <c r="E176" s="4">
        <f>VALUE(SUBSTITUTE('1000_заявлений'!E170, ".", ","))</f>
        <v>0.70436525000000005</v>
      </c>
      <c r="F176" s="5">
        <f>VALUE(SUBSTITUTE('1000_заявлений'!F170, ".", ","))</f>
        <v>-4305</v>
      </c>
      <c r="G176" s="5">
        <f>VALUE(SUBSTITUTE('1000_заявлений'!G170, ".", ","))</f>
        <v>-11983</v>
      </c>
      <c r="H176" s="5">
        <f>VALUE(SUBSTITUTE('1000_заявлений'!H170, ".", ","))</f>
        <v>-1716</v>
      </c>
      <c r="I176" s="4">
        <f>VALUE(SUBSTITUTE('1000_заявлений'!I170, ".", ","))</f>
        <v>0.19216</v>
      </c>
      <c r="J176" s="4">
        <f>VALUE(SUBSTITUTE('1000_заявлений'!J170, ".", ","))</f>
        <v>4.6977512469178597</v>
      </c>
      <c r="K176" s="5">
        <f>VALUE(SUBSTITUTE('1000_заявлений'!K170, ".", ","))</f>
        <v>-1825</v>
      </c>
      <c r="L176" s="6">
        <f>VALUE(SUBSTITUTE('1000_заявлений'!L170, ".", ","))</f>
        <v>43236</v>
      </c>
      <c r="M176" s="2" t="str">
        <f>IF(Данные6[[#This Row],[proba]]&gt;$C$6, "отказ", "одобрение")</f>
        <v>отказ</v>
      </c>
      <c r="N176" s="7">
        <f>IF(Данные6[[#This Row],[proba]]&lt;$D$2,$C$2,IF(Данные6[[#This Row],[proba]]&lt;$D$3,$C$3,IF(Данные6[[#This Row],[proba]]&gt;$C$6,0,$C$4)))</f>
        <v>0</v>
      </c>
      <c r="O176" s="2">
        <f>IF(Данные6[[#This Row],[weighted_ext_score]]&gt;$O$1,MIN(Данные6[[#This Row],[Базовая сумма]]*$O$2,$C$2),IF(Данные6[[#This Row],[weighted_ext_score]]&lt;$O$3,Данные6[[#This Row],[Базовая сумма]]*$O$4,N176))</f>
        <v>0</v>
      </c>
      <c r="P1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6" s="2">
        <f>ABS(Данные6[[#This Row],[days_birth]])/365.2425</f>
        <v>32.808339664743286</v>
      </c>
      <c r="S1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6" s="2">
        <f>IF(Данные6[[#This Row],[ interest_rate]]&gt;$T$1,Данные6[[#This Row],[days_birth4]]*$T$2,Данные6[[#This Row],[days_birth4]])</f>
        <v>0</v>
      </c>
      <c r="U176" s="2">
        <f>IF(Данные6[[#This Row],[Проверка отказа]]="отказ",0,MAX(Данные6[[#This Row],[interest_rate]],$C$1))</f>
        <v>0</v>
      </c>
      <c r="V176" s="2">
        <f>MROUND(Данные6[[#This Row],[Минимум 20000]], 100)</f>
        <v>0</v>
      </c>
    </row>
    <row r="177" spans="1:22" x14ac:dyDescent="0.25">
      <c r="A177" s="2">
        <f>'1000_заявлений'!A171</f>
        <v>169</v>
      </c>
      <c r="B177" s="4">
        <f>VALUE(SUBSTITUTE('1000_заявлений'!B171, ".", ","))</f>
        <v>0.50960638382979195</v>
      </c>
      <c r="C177" s="4">
        <f>VALUE(SUBSTITUTE('1000_заявлений'!C171, ".", ","))</f>
        <v>0.19758603197296701</v>
      </c>
      <c r="D177" s="4">
        <f>VALUE(SUBSTITUTE('1000_заявлений'!D171, ".", ","))</f>
        <v>0.53527623000000002</v>
      </c>
      <c r="E177" s="4">
        <f>VALUE(SUBSTITUTE('1000_заявлений'!E171, ".", ","))</f>
        <v>0.60912489999999997</v>
      </c>
      <c r="F177" s="5">
        <f>VALUE(SUBSTITUTE('1000_заявлений'!F171, ".", ","))</f>
        <v>-528</v>
      </c>
      <c r="G177" s="5">
        <f>VALUE(SUBSTITUTE('1000_заявлений'!G171, ".", ","))</f>
        <v>-16509</v>
      </c>
      <c r="H177" s="5">
        <f>VALUE(SUBSTITUTE('1000_заявлений'!H171, ".", ","))</f>
        <v>-22</v>
      </c>
      <c r="I177" s="4">
        <f>VALUE(SUBSTITUTE('1000_заявлений'!I171, ".", ","))</f>
        <v>0.14488888888888801</v>
      </c>
      <c r="J177" s="4">
        <f>VALUE(SUBSTITUTE('1000_заявлений'!J171, ".", ","))</f>
        <v>5.5113876435199201</v>
      </c>
      <c r="K177" s="5">
        <f>VALUE(SUBSTITUTE('1000_заявлений'!K171, ".", ","))</f>
        <v>-1901</v>
      </c>
      <c r="L177" s="6">
        <f>VALUE(SUBSTITUTE('1000_заявлений'!L171, ".", ","))</f>
        <v>29340</v>
      </c>
      <c r="M177" s="2" t="str">
        <f>IF(Данные6[[#This Row],[proba]]&gt;$C$6, "отказ", "одобрение")</f>
        <v>отказ</v>
      </c>
      <c r="N177" s="7">
        <f>IF(Данные6[[#This Row],[proba]]&lt;$D$2,$C$2,IF(Данные6[[#This Row],[proba]]&lt;$D$3,$C$3,IF(Данные6[[#This Row],[proba]]&gt;$C$6,0,$C$4)))</f>
        <v>0</v>
      </c>
      <c r="O177" s="2">
        <f>IF(Данные6[[#This Row],[weighted_ext_score]]&gt;$O$1,MIN(Данные6[[#This Row],[Базовая сумма]]*$O$2,$C$2),IF(Данные6[[#This Row],[weighted_ext_score]]&lt;$O$3,Данные6[[#This Row],[Базовая сумма]]*$O$4,N177))</f>
        <v>0</v>
      </c>
      <c r="P1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7" s="2">
        <f>ABS(Данные6[[#This Row],[days_birth]])/365.2425</f>
        <v>45.200106778373275</v>
      </c>
      <c r="S1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7" s="2">
        <f>IF(Данные6[[#This Row],[ interest_rate]]&gt;$T$1,Данные6[[#This Row],[days_birth4]]*$T$2,Данные6[[#This Row],[days_birth4]])</f>
        <v>0</v>
      </c>
      <c r="U177" s="2">
        <f>IF(Данные6[[#This Row],[Проверка отказа]]="отказ",0,MAX(Данные6[[#This Row],[interest_rate]],$C$1))</f>
        <v>0</v>
      </c>
      <c r="V177" s="2">
        <f>MROUND(Данные6[[#This Row],[Минимум 20000]], 100)</f>
        <v>0</v>
      </c>
    </row>
    <row r="178" spans="1:22" x14ac:dyDescent="0.25">
      <c r="A178" s="2">
        <f>'1000_заявлений'!A172</f>
        <v>170</v>
      </c>
      <c r="B178" s="4">
        <f>VALUE(SUBSTITUTE('1000_заявлений'!B172, ".", ","))</f>
        <v>0.42187450933302401</v>
      </c>
      <c r="C178" s="4">
        <f>VALUE(SUBSTITUTE('1000_заявлений'!C172, ".", ","))</f>
        <v>0.23654667901177201</v>
      </c>
      <c r="D178" s="4">
        <f>VALUE(SUBSTITUTE('1000_заявлений'!D172, ".", ","))</f>
        <v>0.53527623000000002</v>
      </c>
      <c r="E178" s="4">
        <f>VALUE(SUBSTITUTE('1000_заявлений'!E172, ".", ","))</f>
        <v>0.7292341</v>
      </c>
      <c r="F178" s="5">
        <f>VALUE(SUBSTITUTE('1000_заявлений'!F172, ".", ","))</f>
        <v>-2967</v>
      </c>
      <c r="G178" s="5">
        <f>VALUE(SUBSTITUTE('1000_заявлений'!G172, ".", ","))</f>
        <v>-19142</v>
      </c>
      <c r="H178" s="5">
        <f>VALUE(SUBSTITUTE('1000_заявлений'!H172, ".", ","))</f>
        <v>-2689</v>
      </c>
      <c r="I178" s="4">
        <f>VALUE(SUBSTITUTE('1000_заявлений'!I172, ".", ","))</f>
        <v>0.33454285714285698</v>
      </c>
      <c r="J178" s="4">
        <f>VALUE(SUBSTITUTE('1000_заявлений'!J172, ".", ","))</f>
        <v>7.1150470899487797</v>
      </c>
      <c r="K178" s="5">
        <f>VALUE(SUBSTITUTE('1000_заявлений'!K172, ".", ","))</f>
        <v>-2554</v>
      </c>
      <c r="L178" s="6">
        <f>VALUE(SUBSTITUTE('1000_заявлений'!L172, ".", ","))</f>
        <v>52690.5</v>
      </c>
      <c r="M178" s="2" t="str">
        <f>IF(Данные6[[#This Row],[proba]]&gt;$C$6, "отказ", "одобрение")</f>
        <v>отказ</v>
      </c>
      <c r="N178" s="7">
        <f>IF(Данные6[[#This Row],[proba]]&lt;$D$2,$C$2,IF(Данные6[[#This Row],[proba]]&lt;$D$3,$C$3,IF(Данные6[[#This Row],[proba]]&gt;$C$6,0,$C$4)))</f>
        <v>0</v>
      </c>
      <c r="O178" s="2">
        <f>IF(Данные6[[#This Row],[weighted_ext_score]]&gt;$O$1,MIN(Данные6[[#This Row],[Базовая сумма]]*$O$2,$C$2),IF(Данные6[[#This Row],[weighted_ext_score]]&lt;$O$3,Данные6[[#This Row],[Базовая сумма]]*$O$4,N178))</f>
        <v>0</v>
      </c>
      <c r="P1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8" s="2">
        <f>ABS(Данные6[[#This Row],[days_birth]])/365.2425</f>
        <v>52.409015927774014</v>
      </c>
      <c r="S1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8" s="2">
        <f>IF(Данные6[[#This Row],[ interest_rate]]&gt;$T$1,Данные6[[#This Row],[days_birth4]]*$T$2,Данные6[[#This Row],[days_birth4]])</f>
        <v>0</v>
      </c>
      <c r="U178" s="2">
        <f>IF(Данные6[[#This Row],[Проверка отказа]]="отказ",0,MAX(Данные6[[#This Row],[interest_rate]],$C$1))</f>
        <v>0</v>
      </c>
      <c r="V178" s="2">
        <f>MROUND(Данные6[[#This Row],[Минимум 20000]], 100)</f>
        <v>0</v>
      </c>
    </row>
    <row r="179" spans="1:22" x14ac:dyDescent="0.25">
      <c r="A179" s="2">
        <f>'1000_заявлений'!A173</f>
        <v>171</v>
      </c>
      <c r="B179" s="4">
        <f>VALUE(SUBSTITUTE('1000_заявлений'!B173, ".", ","))</f>
        <v>0.58227720982931996</v>
      </c>
      <c r="C179" s="4">
        <f>VALUE(SUBSTITUTE('1000_заявлений'!C173, ".", ","))</f>
        <v>0.35931651196543801</v>
      </c>
      <c r="D179" s="4">
        <f>VALUE(SUBSTITUTE('1000_заявлений'!D173, ".", ","))</f>
        <v>0.29859498000000001</v>
      </c>
      <c r="E179" s="4">
        <f>VALUE(SUBSTITUTE('1000_заявлений'!E173, ".", ","))</f>
        <v>0.60420423999999995</v>
      </c>
      <c r="F179" s="5">
        <f>VALUE(SUBSTITUTE('1000_заявлений'!F173, ".", ","))</f>
        <v>-4156</v>
      </c>
      <c r="G179" s="5">
        <f>VALUE(SUBSTITUTE('1000_заявлений'!G173, ".", ","))</f>
        <v>-13742</v>
      </c>
      <c r="H179" s="5">
        <f>VALUE(SUBSTITUTE('1000_заявлений'!H173, ".", ","))</f>
        <v>-5016</v>
      </c>
      <c r="I179" s="4">
        <f>VALUE(SUBSTITUTE('1000_заявлений'!I173, ".", ","))</f>
        <v>0.31564999999999999</v>
      </c>
      <c r="J179" s="4">
        <f>VALUE(SUBSTITUTE('1000_заявлений'!J173, ".", ","))</f>
        <v>4.2924571703572196</v>
      </c>
      <c r="K179" s="5">
        <f>VALUE(SUBSTITUTE('1000_заявлений'!K173, ".", ","))</f>
        <v>-524</v>
      </c>
      <c r="L179" s="6">
        <f>VALUE(SUBSTITUTE('1000_заявлений'!L173, ".", ","))</f>
        <v>28408.5</v>
      </c>
      <c r="M179" s="2" t="str">
        <f>IF(Данные6[[#This Row],[proba]]&gt;$C$6, "отказ", "одобрение")</f>
        <v>отказ</v>
      </c>
      <c r="N179" s="7">
        <f>IF(Данные6[[#This Row],[proba]]&lt;$D$2,$C$2,IF(Данные6[[#This Row],[proba]]&lt;$D$3,$C$3,IF(Данные6[[#This Row],[proba]]&gt;$C$6,0,$C$4)))</f>
        <v>0</v>
      </c>
      <c r="O179" s="2">
        <f>IF(Данные6[[#This Row],[weighted_ext_score]]&gt;$O$1,MIN(Данные6[[#This Row],[Базовая сумма]]*$O$2,$C$2),IF(Данные6[[#This Row],[weighted_ext_score]]&lt;$O$3,Данные6[[#This Row],[Базовая сумма]]*$O$4,N179))</f>
        <v>0</v>
      </c>
      <c r="P1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79" s="2">
        <f>ABS(Данные6[[#This Row],[days_birth]])/365.2425</f>
        <v>37.62431809003607</v>
      </c>
      <c r="S1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79" s="2">
        <f>IF(Данные6[[#This Row],[ interest_rate]]&gt;$T$1,Данные6[[#This Row],[days_birth4]]*$T$2,Данные6[[#This Row],[days_birth4]])</f>
        <v>0</v>
      </c>
      <c r="U179" s="2">
        <f>IF(Данные6[[#This Row],[Проверка отказа]]="отказ",0,MAX(Данные6[[#This Row],[interest_rate]],$C$1))</f>
        <v>0</v>
      </c>
      <c r="V179" s="2">
        <f>MROUND(Данные6[[#This Row],[Минимум 20000]], 100)</f>
        <v>0</v>
      </c>
    </row>
    <row r="180" spans="1:22" x14ac:dyDescent="0.25">
      <c r="A180" s="2">
        <f>'1000_заявлений'!A174</f>
        <v>172</v>
      </c>
      <c r="B180" s="4">
        <f>VALUE(SUBSTITUTE('1000_заявлений'!B174, ".", ","))</f>
        <v>0.68562618224092198</v>
      </c>
      <c r="C180" s="4">
        <f>VALUE(SUBSTITUTE('1000_заявлений'!C174, ".", ","))</f>
        <v>0.313418893519676</v>
      </c>
      <c r="D180" s="4">
        <f>VALUE(SUBSTITUTE('1000_заявлений'!D174, ".", ","))</f>
        <v>0.20796417</v>
      </c>
      <c r="E180" s="4">
        <f>VALUE(SUBSTITUTE('1000_заявлений'!E174, ".", ","))</f>
        <v>0.35240605000000003</v>
      </c>
      <c r="F180" s="5">
        <f>VALUE(SUBSTITUTE('1000_заявлений'!F174, ".", ","))</f>
        <v>-5592</v>
      </c>
      <c r="G180" s="5">
        <f>VALUE(SUBSTITUTE('1000_заявлений'!G174, ".", ","))</f>
        <v>-15213</v>
      </c>
      <c r="H180" s="5">
        <f>VALUE(SUBSTITUTE('1000_заявлений'!H174, ".", ","))</f>
        <v>-4088</v>
      </c>
      <c r="I180" s="4">
        <f>VALUE(SUBSTITUTE('1000_заявлений'!I174, ".", ","))</f>
        <v>8.0291666666666595E-2</v>
      </c>
      <c r="J180" s="4">
        <f>VALUE(SUBSTITUTE('1000_заявлений'!J174, ".", ","))</f>
        <v>6.3024393739735203</v>
      </c>
      <c r="K180" s="5">
        <f>VALUE(SUBSTITUTE('1000_заявлений'!K174, ".", ","))</f>
        <v>-1091</v>
      </c>
      <c r="L180" s="6">
        <f>VALUE(SUBSTITUTE('1000_заявлений'!L174, ".", ","))</f>
        <v>8671.5</v>
      </c>
      <c r="M180" s="2" t="str">
        <f>IF(Данные6[[#This Row],[proba]]&gt;$C$6, "отказ", "одобрение")</f>
        <v>отказ</v>
      </c>
      <c r="N180" s="7">
        <f>IF(Данные6[[#This Row],[proba]]&lt;$D$2,$C$2,IF(Данные6[[#This Row],[proba]]&lt;$D$3,$C$3,IF(Данные6[[#This Row],[proba]]&gt;$C$6,0,$C$4)))</f>
        <v>0</v>
      </c>
      <c r="O180" s="2">
        <f>IF(Данные6[[#This Row],[weighted_ext_score]]&gt;$O$1,MIN(Данные6[[#This Row],[Базовая сумма]]*$O$2,$C$2),IF(Данные6[[#This Row],[weighted_ext_score]]&lt;$O$3,Данные6[[#This Row],[Базовая сумма]]*$O$4,N180))</f>
        <v>0</v>
      </c>
      <c r="P1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0" s="2">
        <f>ABS(Данные6[[#This Row],[days_birth]])/365.2425</f>
        <v>41.651779297316168</v>
      </c>
      <c r="S1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0" s="2">
        <f>IF(Данные6[[#This Row],[ interest_rate]]&gt;$T$1,Данные6[[#This Row],[days_birth4]]*$T$2,Данные6[[#This Row],[days_birth4]])</f>
        <v>0</v>
      </c>
      <c r="U180" s="2">
        <f>IF(Данные6[[#This Row],[Проверка отказа]]="отказ",0,MAX(Данные6[[#This Row],[interest_rate]],$C$1))</f>
        <v>0</v>
      </c>
      <c r="V180" s="2">
        <f>MROUND(Данные6[[#This Row],[Минимум 20000]], 100)</f>
        <v>0</v>
      </c>
    </row>
    <row r="181" spans="1:22" x14ac:dyDescent="0.25">
      <c r="A181" s="2">
        <f>'1000_заявлений'!A175</f>
        <v>173</v>
      </c>
      <c r="B181" s="4">
        <f>VALUE(SUBSTITUTE('1000_заявлений'!B175, ".", ","))</f>
        <v>0.44691986181230497</v>
      </c>
      <c r="C181" s="4">
        <f>VALUE(SUBSTITUTE('1000_заявлений'!C175, ".", ","))</f>
        <v>0.35421951953063602</v>
      </c>
      <c r="D181" s="4">
        <f>VALUE(SUBSTITUTE('1000_заявлений'!D175, ".", ","))</f>
        <v>0.43828139999999999</v>
      </c>
      <c r="E181" s="4">
        <f>VALUE(SUBSTITUTE('1000_заявлений'!E175, ".", ","))</f>
        <v>0.60333585999999995</v>
      </c>
      <c r="F181" s="5">
        <f>VALUE(SUBSTITUTE('1000_заявлений'!F175, ".", ","))</f>
        <v>-18337</v>
      </c>
      <c r="G181" s="5">
        <f>VALUE(SUBSTITUTE('1000_заявлений'!G175, ".", ","))</f>
        <v>-18665</v>
      </c>
      <c r="H181" s="5">
        <f>VALUE(SUBSTITUTE('1000_заявлений'!H175, ".", ","))</f>
        <v>-2144</v>
      </c>
      <c r="I181" s="4">
        <f>VALUE(SUBSTITUTE('1000_заявлений'!I175, ".", ","))</f>
        <v>0.20143333333333299</v>
      </c>
      <c r="J181" s="4">
        <f>VALUE(SUBSTITUTE('1000_заявлений'!J175, ".", ","))</f>
        <v>3.6727932085766302</v>
      </c>
      <c r="K181" s="5">
        <f>VALUE(SUBSTITUTE('1000_заявлений'!K175, ".", ","))</f>
        <v>-2595</v>
      </c>
      <c r="L181" s="6">
        <f>VALUE(SUBSTITUTE('1000_заявлений'!L175, ".", ","))</f>
        <v>27193.5</v>
      </c>
      <c r="M181" s="2" t="str">
        <f>IF(Данные6[[#This Row],[proba]]&gt;$C$6, "отказ", "одобрение")</f>
        <v>отказ</v>
      </c>
      <c r="N181" s="7">
        <f>IF(Данные6[[#This Row],[proba]]&lt;$D$2,$C$2,IF(Данные6[[#This Row],[proba]]&lt;$D$3,$C$3,IF(Данные6[[#This Row],[proba]]&gt;$C$6,0,$C$4)))</f>
        <v>0</v>
      </c>
      <c r="O181" s="2">
        <f>IF(Данные6[[#This Row],[weighted_ext_score]]&gt;$O$1,MIN(Данные6[[#This Row],[Базовая сумма]]*$O$2,$C$2),IF(Данные6[[#This Row],[weighted_ext_score]]&lt;$O$3,Данные6[[#This Row],[Базовая сумма]]*$O$4,N181))</f>
        <v>0</v>
      </c>
      <c r="P1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1" s="2">
        <f>ABS(Данные6[[#This Row],[days_birth]])/365.2425</f>
        <v>51.103034285440494</v>
      </c>
      <c r="S1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1" s="2">
        <f>IF(Данные6[[#This Row],[ interest_rate]]&gt;$T$1,Данные6[[#This Row],[days_birth4]]*$T$2,Данные6[[#This Row],[days_birth4]])</f>
        <v>0</v>
      </c>
      <c r="U181" s="2">
        <f>IF(Данные6[[#This Row],[Проверка отказа]]="отказ",0,MAX(Данные6[[#This Row],[interest_rate]],$C$1))</f>
        <v>0</v>
      </c>
      <c r="V181" s="2">
        <f>MROUND(Данные6[[#This Row],[Минимум 20000]], 100)</f>
        <v>0</v>
      </c>
    </row>
    <row r="182" spans="1:22" x14ac:dyDescent="0.25">
      <c r="A182" s="2">
        <f>'1000_заявлений'!A176</f>
        <v>174</v>
      </c>
      <c r="B182" s="4">
        <f>VALUE(SUBSTITUTE('1000_заявлений'!B176, ".", ","))</f>
        <v>0.47958385516803897</v>
      </c>
      <c r="C182" s="4">
        <f>VALUE(SUBSTITUTE('1000_заявлений'!C176, ".", ","))</f>
        <v>0.35476173196456201</v>
      </c>
      <c r="D182" s="4">
        <f>VALUE(SUBSTITUTE('1000_заявлений'!D176, ".", ","))</f>
        <v>0.39794633000000001</v>
      </c>
      <c r="E182" s="4">
        <f>VALUE(SUBSTITUTE('1000_заявлений'!E176, ".", ","))</f>
        <v>0.64997919999999998</v>
      </c>
      <c r="F182" s="5">
        <f>VALUE(SUBSTITUTE('1000_заявлений'!F176, ".", ","))</f>
        <v>-979</v>
      </c>
      <c r="G182" s="5">
        <f>VALUE(SUBSTITUTE('1000_заявлений'!G176, ".", ","))</f>
        <v>-11826</v>
      </c>
      <c r="H182" s="5">
        <f>VALUE(SUBSTITUTE('1000_заявлений'!H176, ".", ","))</f>
        <v>-3847</v>
      </c>
      <c r="I182" s="4">
        <f>VALUE(SUBSTITUTE('1000_заявлений'!I176, ".", ","))</f>
        <v>6.3333333333333297E-2</v>
      </c>
      <c r="J182" s="4">
        <f>VALUE(SUBSTITUTE('1000_заявлений'!J176, ".", ","))</f>
        <v>3.1417683407939299</v>
      </c>
      <c r="K182" s="5">
        <f>VALUE(SUBSTITUTE('1000_заявлений'!K176, ".", ","))</f>
        <v>-516</v>
      </c>
      <c r="L182" s="6">
        <f>VALUE(SUBSTITUTE('1000_заявлений'!L176, ".", ","))</f>
        <v>21375</v>
      </c>
      <c r="M182" s="2" t="str">
        <f>IF(Данные6[[#This Row],[proba]]&gt;$C$6, "отказ", "одобрение")</f>
        <v>отказ</v>
      </c>
      <c r="N182" s="7">
        <f>IF(Данные6[[#This Row],[proba]]&lt;$D$2,$C$2,IF(Данные6[[#This Row],[proba]]&lt;$D$3,$C$3,IF(Данные6[[#This Row],[proba]]&gt;$C$6,0,$C$4)))</f>
        <v>0</v>
      </c>
      <c r="O182" s="2">
        <f>IF(Данные6[[#This Row],[weighted_ext_score]]&gt;$O$1,MIN(Данные6[[#This Row],[Базовая сумма]]*$O$2,$C$2),IF(Данные6[[#This Row],[weighted_ext_score]]&lt;$O$3,Данные6[[#This Row],[Базовая сумма]]*$O$4,N182))</f>
        <v>0</v>
      </c>
      <c r="P1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2" s="2">
        <f>ABS(Данные6[[#This Row],[days_birth]])/365.2425</f>
        <v>32.378488264646087</v>
      </c>
      <c r="S1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2" s="2">
        <f>IF(Данные6[[#This Row],[ interest_rate]]&gt;$T$1,Данные6[[#This Row],[days_birth4]]*$T$2,Данные6[[#This Row],[days_birth4]])</f>
        <v>0</v>
      </c>
      <c r="U182" s="2">
        <f>IF(Данные6[[#This Row],[Проверка отказа]]="отказ",0,MAX(Данные6[[#This Row],[interest_rate]],$C$1))</f>
        <v>0</v>
      </c>
      <c r="V182" s="2">
        <f>MROUND(Данные6[[#This Row],[Минимум 20000]], 100)</f>
        <v>0</v>
      </c>
    </row>
    <row r="183" spans="1:22" x14ac:dyDescent="0.25">
      <c r="A183" s="2">
        <f>'1000_заявлений'!A177</f>
        <v>175</v>
      </c>
      <c r="B183" s="4">
        <f>VALUE(SUBSTITUTE('1000_заявлений'!B177, ".", ","))</f>
        <v>0.22342094123540401</v>
      </c>
      <c r="C183" s="4">
        <f>VALUE(SUBSTITUTE('1000_заявлений'!C177, ".", ","))</f>
        <v>0.629251814430835</v>
      </c>
      <c r="D183" s="4">
        <f>VALUE(SUBSTITUTE('1000_заявлений'!D177, ".", ","))</f>
        <v>0.78260784999999999</v>
      </c>
      <c r="E183" s="4">
        <f>VALUE(SUBSTITUTE('1000_заявлений'!E177, ".", ","))</f>
        <v>0.62631314999999999</v>
      </c>
      <c r="F183" s="5">
        <f>VALUE(SUBSTITUTE('1000_заявлений'!F177, ".", ","))</f>
        <v>-6231</v>
      </c>
      <c r="G183" s="5">
        <f>VALUE(SUBSTITUTE('1000_заявлений'!G177, ".", ","))</f>
        <v>-11904</v>
      </c>
      <c r="H183" s="5">
        <f>VALUE(SUBSTITUTE('1000_заявлений'!H177, ".", ","))</f>
        <v>-2218</v>
      </c>
      <c r="I183" s="4">
        <f>VALUE(SUBSTITUTE('1000_заявлений'!I177, ".", ","))</f>
        <v>0.213233333333333</v>
      </c>
      <c r="J183" s="4">
        <f>VALUE(SUBSTITUTE('1000_заявлений'!J177, ".", ","))</f>
        <v>1.6108143884238</v>
      </c>
      <c r="K183" s="5">
        <f>VALUE(SUBSTITUTE('1000_заявлений'!K177, ".", ","))</f>
        <v>-1057</v>
      </c>
      <c r="L183" s="6">
        <f>VALUE(SUBSTITUTE('1000_заявлений'!L177, ".", ","))</f>
        <v>28786.5</v>
      </c>
      <c r="M183" s="2" t="str">
        <f>IF(Данные6[[#This Row],[proba]]&gt;$C$6, "отказ", "одобрение")</f>
        <v>одобрение</v>
      </c>
      <c r="N183" s="7">
        <f>IF(Данные6[[#This Row],[proba]]&lt;$D$2,$C$2,IF(Данные6[[#This Row],[proba]]&lt;$D$3,$C$3,IF(Данные6[[#This Row],[proba]]&gt;$C$6,0,$C$4)))</f>
        <v>50000</v>
      </c>
      <c r="O183" s="2">
        <f>IF(Данные6[[#This Row],[weighted_ext_score]]&gt;$O$1,MIN(Данные6[[#This Row],[Базовая сумма]]*$O$2,$C$2),IF(Данные6[[#This Row],[weighted_ext_score]]&lt;$O$3,Данные6[[#This Row],[Базовая сумма]]*$O$4,N183))</f>
        <v>50000</v>
      </c>
      <c r="P1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1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183" s="2">
        <f>ABS(Данные6[[#This Row],[days_birth]])/365.2425</f>
        <v>32.592045011191196</v>
      </c>
      <c r="S1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183" s="2">
        <f>IF(Данные6[[#This Row],[ interest_rate]]&gt;$T$1,Данные6[[#This Row],[days_birth4]]*$T$2,Данные6[[#This Row],[days_birth4]])</f>
        <v>35000</v>
      </c>
      <c r="U183" s="2">
        <f>IF(Данные6[[#This Row],[Проверка отказа]]="отказ",0,MAX(Данные6[[#This Row],[interest_rate]],$C$1))</f>
        <v>35000</v>
      </c>
      <c r="V183" s="2">
        <f>MROUND(Данные6[[#This Row],[Минимум 20000]], 100)</f>
        <v>35000</v>
      </c>
    </row>
    <row r="184" spans="1:22" x14ac:dyDescent="0.25">
      <c r="A184" s="2">
        <f>'1000_заявлений'!A178</f>
        <v>176</v>
      </c>
      <c r="B184" s="4">
        <f>VALUE(SUBSTITUTE('1000_заявлений'!B178, ".", ","))</f>
        <v>0.34359710878691502</v>
      </c>
      <c r="C184" s="4">
        <f>VALUE(SUBSTITUTE('1000_заявлений'!C178, ".", ","))</f>
        <v>0.53669839349793802</v>
      </c>
      <c r="D184" s="4">
        <f>VALUE(SUBSTITUTE('1000_заявлений'!D178, ".", ","))</f>
        <v>0.41359675000000001</v>
      </c>
      <c r="E184" s="4">
        <f>VALUE(SUBSTITUTE('1000_заявлений'!E178, ".", ","))</f>
        <v>0.71742404000000004</v>
      </c>
      <c r="F184" s="5">
        <f>VALUE(SUBSTITUTE('1000_заявлений'!F178, ".", ","))</f>
        <v>-2938</v>
      </c>
      <c r="G184" s="5">
        <f>VALUE(SUBSTITUTE('1000_заявлений'!G178, ".", ","))</f>
        <v>-15921</v>
      </c>
      <c r="H184" s="5">
        <f>VALUE(SUBSTITUTE('1000_заявлений'!H178, ".", ","))</f>
        <v>-4639</v>
      </c>
      <c r="I184" s="4">
        <f>VALUE(SUBSTITUTE('1000_заявлений'!I178, ".", ","))</f>
        <v>0.14355000000000001</v>
      </c>
      <c r="J184" s="4">
        <f>VALUE(SUBSTITUTE('1000_заявлений'!J178, ".", ","))</f>
        <v>2.34856880541416</v>
      </c>
      <c r="K184" s="5">
        <f>VALUE(SUBSTITUTE('1000_заявлений'!K178, ".", ","))</f>
        <v>-246</v>
      </c>
      <c r="L184" s="6">
        <f>VALUE(SUBSTITUTE('1000_заявлений'!L178, ".", ","))</f>
        <v>25839</v>
      </c>
      <c r="M184" s="2" t="str">
        <f>IF(Данные6[[#This Row],[proba]]&gt;$C$6, "отказ", "одобрение")</f>
        <v>отказ</v>
      </c>
      <c r="N184" s="7">
        <f>IF(Данные6[[#This Row],[proba]]&lt;$D$2,$C$2,IF(Данные6[[#This Row],[proba]]&lt;$D$3,$C$3,IF(Данные6[[#This Row],[proba]]&gt;$C$6,0,$C$4)))</f>
        <v>0</v>
      </c>
      <c r="O184" s="2">
        <f>IF(Данные6[[#This Row],[weighted_ext_score]]&gt;$O$1,MIN(Данные6[[#This Row],[Базовая сумма]]*$O$2,$C$2),IF(Данные6[[#This Row],[weighted_ext_score]]&lt;$O$3,Данные6[[#This Row],[Базовая сумма]]*$O$4,N184))</f>
        <v>0</v>
      </c>
      <c r="P1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4" s="2">
        <f>ABS(Данные6[[#This Row],[days_birth]])/365.2425</f>
        <v>43.590217458264028</v>
      </c>
      <c r="S1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4" s="2">
        <f>IF(Данные6[[#This Row],[ interest_rate]]&gt;$T$1,Данные6[[#This Row],[days_birth4]]*$T$2,Данные6[[#This Row],[days_birth4]])</f>
        <v>0</v>
      </c>
      <c r="U184" s="2">
        <f>IF(Данные6[[#This Row],[Проверка отказа]]="отказ",0,MAX(Данные6[[#This Row],[interest_rate]],$C$1))</f>
        <v>0</v>
      </c>
      <c r="V184" s="2">
        <f>MROUND(Данные6[[#This Row],[Минимум 20000]], 100)</f>
        <v>0</v>
      </c>
    </row>
    <row r="185" spans="1:22" x14ac:dyDescent="0.25">
      <c r="A185" s="2">
        <f>'1000_заявлений'!A179</f>
        <v>177</v>
      </c>
      <c r="B185" s="4">
        <f>VALUE(SUBSTITUTE('1000_заявлений'!B179, ".", ","))</f>
        <v>0.18688735661386199</v>
      </c>
      <c r="C185" s="4">
        <f>VALUE(SUBSTITUTE('1000_заявлений'!C179, ".", ","))</f>
        <v>0.689852990949268</v>
      </c>
      <c r="D185" s="4">
        <f>VALUE(SUBSTITUTE('1000_заявлений'!D179, ".", ","))</f>
        <v>0.65289649999999999</v>
      </c>
      <c r="E185" s="4">
        <f>VALUE(SUBSTITUTE('1000_заявлений'!E179, ".", ","))</f>
        <v>0.65271044</v>
      </c>
      <c r="F185" s="5">
        <f>VALUE(SUBSTITUTE('1000_заявлений'!F179, ".", ","))</f>
        <v>-9725</v>
      </c>
      <c r="G185" s="5">
        <f>VALUE(SUBSTITUTE('1000_заявлений'!G179, ".", ","))</f>
        <v>-21284</v>
      </c>
      <c r="H185" s="5">
        <f>VALUE(SUBSTITUTE('1000_заявлений'!H179, ".", ","))</f>
        <v>-4456</v>
      </c>
      <c r="I185" s="4">
        <f>VALUE(SUBSTITUTE('1000_заявлений'!I179, ".", ","))</f>
        <v>0.199375</v>
      </c>
      <c r="J185" s="4">
        <f>VALUE(SUBSTITUTE('1000_заявлений'!J179, ".", ","))</f>
        <v>1.9292258400437501</v>
      </c>
      <c r="K185" s="5">
        <f>VALUE(SUBSTITUTE('1000_заявлений'!K179, ".", ","))</f>
        <v>-1847</v>
      </c>
      <c r="L185" s="6">
        <f>VALUE(SUBSTITUTE('1000_заявлений'!L179, ".", ","))</f>
        <v>21532.5</v>
      </c>
      <c r="M185" s="2" t="str">
        <f>IF(Данные6[[#This Row],[proba]]&gt;$C$6, "отказ", "одобрение")</f>
        <v>одобрение</v>
      </c>
      <c r="N185" s="7">
        <f>IF(Данные6[[#This Row],[proba]]&lt;$D$2,$C$2,IF(Данные6[[#This Row],[proba]]&lt;$D$3,$C$3,IF(Данные6[[#This Row],[proba]]&gt;$C$6,0,$C$4)))</f>
        <v>200000</v>
      </c>
      <c r="O185" s="2">
        <f>IF(Данные6[[#This Row],[weighted_ext_score]]&gt;$O$1,MIN(Данные6[[#This Row],[Базовая сумма]]*$O$2,$C$2),IF(Данные6[[#This Row],[weighted_ext_score]]&lt;$O$3,Данные6[[#This Row],[Базовая сумма]]*$O$4,N185))</f>
        <v>200000</v>
      </c>
      <c r="P1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1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185" s="2">
        <f>ABS(Данные6[[#This Row],[days_birth]])/365.2425</f>
        <v>58.273612736743395</v>
      </c>
      <c r="S1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147000</v>
      </c>
      <c r="T185" s="2">
        <f>IF(Данные6[[#This Row],[ interest_rate]]&gt;$T$1,Данные6[[#This Row],[days_birth4]]*$T$2,Данные6[[#This Row],[days_birth4]])</f>
        <v>147000</v>
      </c>
      <c r="U185" s="2">
        <f>IF(Данные6[[#This Row],[Проверка отказа]]="отказ",0,MAX(Данные6[[#This Row],[interest_rate]],$C$1))</f>
        <v>147000</v>
      </c>
      <c r="V185" s="2">
        <f>MROUND(Данные6[[#This Row],[Минимум 20000]], 100)</f>
        <v>147000</v>
      </c>
    </row>
    <row r="186" spans="1:22" x14ac:dyDescent="0.25">
      <c r="A186" s="2">
        <f>'1000_заявлений'!A180</f>
        <v>178</v>
      </c>
      <c r="B186" s="4">
        <f>VALUE(SUBSTITUTE('1000_заявлений'!B180, ".", ","))</f>
        <v>0.383373965699498</v>
      </c>
      <c r="C186" s="4">
        <f>VALUE(SUBSTITUTE('1000_заявлений'!C180, ".", ","))</f>
        <v>0.38075164720131</v>
      </c>
      <c r="D186" s="4">
        <f>VALUE(SUBSTITUTE('1000_заявлений'!D180, ".", ","))</f>
        <v>0.82770264000000005</v>
      </c>
      <c r="E186" s="4">
        <f>VALUE(SUBSTITUTE('1000_заявлений'!E180, ".", ","))</f>
        <v>0.25094283000000001</v>
      </c>
      <c r="F186" s="5">
        <f>VALUE(SUBSTITUTE('1000_заявлений'!F180, ".", ","))</f>
        <v>-9247</v>
      </c>
      <c r="G186" s="5">
        <f>VALUE(SUBSTITUTE('1000_заявлений'!G180, ".", ","))</f>
        <v>-19584</v>
      </c>
      <c r="H186" s="5">
        <f>VALUE(SUBSTITUTE('1000_заявлений'!H180, ".", ","))</f>
        <v>-3121</v>
      </c>
      <c r="I186" s="4">
        <f>VALUE(SUBSTITUTE('1000_заявлений'!I180, ".", ","))</f>
        <v>0.20845</v>
      </c>
      <c r="J186" s="4">
        <f>VALUE(SUBSTITUTE('1000_заявлений'!J180, ".", ","))</f>
        <v>3.2507636321376099</v>
      </c>
      <c r="K186" s="5">
        <f>VALUE(SUBSTITUTE('1000_заявлений'!K180, ".", ","))</f>
        <v>-1258</v>
      </c>
      <c r="L186" s="6">
        <f>VALUE(SUBSTITUTE('1000_заявлений'!L180, ".", ","))</f>
        <v>18760.5</v>
      </c>
      <c r="M186" s="2" t="str">
        <f>IF(Данные6[[#This Row],[proba]]&gt;$C$6, "отказ", "одобрение")</f>
        <v>отказ</v>
      </c>
      <c r="N186" s="7">
        <f>IF(Данные6[[#This Row],[proba]]&lt;$D$2,$C$2,IF(Данные6[[#This Row],[proba]]&lt;$D$3,$C$3,IF(Данные6[[#This Row],[proba]]&gt;$C$6,0,$C$4)))</f>
        <v>0</v>
      </c>
      <c r="O186" s="2">
        <f>IF(Данные6[[#This Row],[weighted_ext_score]]&gt;$O$1,MIN(Данные6[[#This Row],[Базовая сумма]]*$O$2,$C$2),IF(Данные6[[#This Row],[weighted_ext_score]]&lt;$O$3,Данные6[[#This Row],[Базовая сумма]]*$O$4,N186))</f>
        <v>0</v>
      </c>
      <c r="P1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6" s="2">
        <f>ABS(Данные6[[#This Row],[days_birth]])/365.2425</f>
        <v>53.619170824862934</v>
      </c>
      <c r="S1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6" s="2">
        <f>IF(Данные6[[#This Row],[ interest_rate]]&gt;$T$1,Данные6[[#This Row],[days_birth4]]*$T$2,Данные6[[#This Row],[days_birth4]])</f>
        <v>0</v>
      </c>
      <c r="U186" s="2">
        <f>IF(Данные6[[#This Row],[Проверка отказа]]="отказ",0,MAX(Данные6[[#This Row],[interest_rate]],$C$1))</f>
        <v>0</v>
      </c>
      <c r="V186" s="2">
        <f>MROUND(Данные6[[#This Row],[Минимум 20000]], 100)</f>
        <v>0</v>
      </c>
    </row>
    <row r="187" spans="1:22" x14ac:dyDescent="0.25">
      <c r="A187" s="2">
        <f>'1000_заявлений'!A181</f>
        <v>179</v>
      </c>
      <c r="B187" s="4">
        <f>VALUE(SUBSTITUTE('1000_заявлений'!B181, ".", ","))</f>
        <v>0.25942058293398701</v>
      </c>
      <c r="C187" s="4">
        <f>VALUE(SUBSTITUTE('1000_заявлений'!C181, ".", ","))</f>
        <v>0.48058439960794502</v>
      </c>
      <c r="D187" s="4">
        <f>VALUE(SUBSTITUTE('1000_заявлений'!D181, ".", ","))</f>
        <v>0.69562190000000002</v>
      </c>
      <c r="E187" s="4">
        <f>VALUE(SUBSTITUTE('1000_заявлений'!E181, ".", ","))</f>
        <v>0.70597469999999996</v>
      </c>
      <c r="F187" s="5">
        <f>VALUE(SUBSTITUTE('1000_заявлений'!F181, ".", ","))</f>
        <v>-10111</v>
      </c>
      <c r="G187" s="5">
        <f>VALUE(SUBSTITUTE('1000_заявлений'!G181, ".", ","))</f>
        <v>-18001</v>
      </c>
      <c r="H187" s="5">
        <f>VALUE(SUBSTITUTE('1000_заявлений'!H181, ".", ","))</f>
        <v>-1554</v>
      </c>
      <c r="I187" s="4">
        <f>VALUE(SUBSTITUTE('1000_заявлений'!I181, ".", ","))</f>
        <v>0.24068000000000001</v>
      </c>
      <c r="J187" s="4">
        <f>VALUE(SUBSTITUTE('1000_заявлений'!J181, ".", ","))</f>
        <v>3.2151445841177302</v>
      </c>
      <c r="K187" s="5">
        <f>VALUE(SUBSTITUTE('1000_заявлений'!K181, ".", ","))</f>
        <v>-1255</v>
      </c>
      <c r="L187" s="6">
        <f>VALUE(SUBSTITUTE('1000_заявлений'!L181, ".", ","))</f>
        <v>27076.5</v>
      </c>
      <c r="M187" s="2" t="str">
        <f>IF(Данные6[[#This Row],[proba]]&gt;$C$6, "отказ", "одобрение")</f>
        <v>одобрение</v>
      </c>
      <c r="N187" s="7">
        <f>IF(Данные6[[#This Row],[proba]]&lt;$D$2,$C$2,IF(Данные6[[#This Row],[proba]]&lt;$D$3,$C$3,IF(Данные6[[#This Row],[proba]]&gt;$C$6,0,$C$4)))</f>
        <v>50000</v>
      </c>
      <c r="O187" s="2">
        <f>IF(Данные6[[#This Row],[weighted_ext_score]]&gt;$O$1,MIN(Данные6[[#This Row],[Базовая сумма]]*$O$2,$C$2),IF(Данные6[[#This Row],[weighted_ext_score]]&lt;$O$3,Данные6[[#This Row],[Базовая сумма]]*$O$4,N187))</f>
        <v>40000</v>
      </c>
      <c r="P1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87" s="2">
        <f>ABS(Данные6[[#This Row],[days_birth]])/365.2425</f>
        <v>49.285064032800122</v>
      </c>
      <c r="S1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187" s="2">
        <f>IF(Данные6[[#This Row],[ interest_rate]]&gt;$T$1,Данные6[[#This Row],[days_birth4]]*$T$2,Данные6[[#This Row],[days_birth4]])</f>
        <v>28000</v>
      </c>
      <c r="U187" s="2">
        <f>IF(Данные6[[#This Row],[Проверка отказа]]="отказ",0,MAX(Данные6[[#This Row],[interest_rate]],$C$1))</f>
        <v>28000</v>
      </c>
      <c r="V187" s="2">
        <f>MROUND(Данные6[[#This Row],[Минимум 20000]], 100)</f>
        <v>28000</v>
      </c>
    </row>
    <row r="188" spans="1:22" x14ac:dyDescent="0.25">
      <c r="A188" s="2">
        <f>'1000_заявлений'!A182</f>
        <v>180</v>
      </c>
      <c r="B188" s="4">
        <f>VALUE(SUBSTITUTE('1000_заявлений'!B182, ".", ","))</f>
        <v>0.55135743452012898</v>
      </c>
      <c r="C188" s="4">
        <f>VALUE(SUBSTITUTE('1000_заявлений'!C182, ".", ","))</f>
        <v>0.32183880289866101</v>
      </c>
      <c r="D188" s="4">
        <f>VALUE(SUBSTITUTE('1000_заявлений'!D182, ".", ","))</f>
        <v>0.66585492999999996</v>
      </c>
      <c r="E188" s="4">
        <f>VALUE(SUBSTITUTE('1000_заявлений'!E182, ".", ","))</f>
        <v>0.24977724000000001</v>
      </c>
      <c r="F188" s="5">
        <f>VALUE(SUBSTITUTE('1000_заявлений'!F182, ".", ","))</f>
        <v>-160</v>
      </c>
      <c r="G188" s="5">
        <f>VALUE(SUBSTITUTE('1000_заявлений'!G182, ".", ","))</f>
        <v>-11284</v>
      </c>
      <c r="H188" s="5">
        <f>VALUE(SUBSTITUTE('1000_заявлений'!H182, ".", ","))</f>
        <v>-3966</v>
      </c>
      <c r="I188" s="4">
        <f>VALUE(SUBSTITUTE('1000_заявлений'!I182, ".", ","))</f>
        <v>0.19045714285714199</v>
      </c>
      <c r="J188" s="4">
        <f>VALUE(SUBSTITUTE('1000_заявлений'!J182, ".", ","))</f>
        <v>2.93533404894572</v>
      </c>
      <c r="K188" s="5">
        <f>VALUE(SUBSTITUTE('1000_заявлений'!K182, ".", ","))</f>
        <v>-1801</v>
      </c>
      <c r="L188" s="6">
        <f>VALUE(SUBSTITUTE('1000_заявлений'!L182, ".", ","))</f>
        <v>29997</v>
      </c>
      <c r="M188" s="2" t="str">
        <f>IF(Данные6[[#This Row],[proba]]&gt;$C$6, "отказ", "одобрение")</f>
        <v>отказ</v>
      </c>
      <c r="N188" s="7">
        <f>IF(Данные6[[#This Row],[proba]]&lt;$D$2,$C$2,IF(Данные6[[#This Row],[proba]]&lt;$D$3,$C$3,IF(Данные6[[#This Row],[proba]]&gt;$C$6,0,$C$4)))</f>
        <v>0</v>
      </c>
      <c r="O188" s="2">
        <f>IF(Данные6[[#This Row],[weighted_ext_score]]&gt;$O$1,MIN(Данные6[[#This Row],[Базовая сумма]]*$O$2,$C$2),IF(Данные6[[#This Row],[weighted_ext_score]]&lt;$O$3,Данные6[[#This Row],[Базовая сумма]]*$O$4,N188))</f>
        <v>0</v>
      </c>
      <c r="P1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8" s="2">
        <f>ABS(Данные6[[#This Row],[days_birth]])/365.2425</f>
        <v>30.894542666858321</v>
      </c>
      <c r="S1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8" s="2">
        <f>IF(Данные6[[#This Row],[ interest_rate]]&gt;$T$1,Данные6[[#This Row],[days_birth4]]*$T$2,Данные6[[#This Row],[days_birth4]])</f>
        <v>0</v>
      </c>
      <c r="U188" s="2">
        <f>IF(Данные6[[#This Row],[Проверка отказа]]="отказ",0,MAX(Данные6[[#This Row],[interest_rate]],$C$1))</f>
        <v>0</v>
      </c>
      <c r="V188" s="2">
        <f>MROUND(Данные6[[#This Row],[Минимум 20000]], 100)</f>
        <v>0</v>
      </c>
    </row>
    <row r="189" spans="1:22" x14ac:dyDescent="0.25">
      <c r="A189" s="2">
        <f>'1000_заявлений'!A183</f>
        <v>181</v>
      </c>
      <c r="B189" s="4">
        <f>VALUE(SUBSTITUTE('1000_заявлений'!B183, ".", ","))</f>
        <v>0.58479914422867396</v>
      </c>
      <c r="C189" s="4">
        <f>VALUE(SUBSTITUTE('1000_заявлений'!C183, ".", ","))</f>
        <v>0.26147763116446998</v>
      </c>
      <c r="D189" s="4">
        <f>VALUE(SUBSTITUTE('1000_заявлений'!D183, ".", ","))</f>
        <v>0.39794633000000001</v>
      </c>
      <c r="E189" s="4">
        <f>VALUE(SUBSTITUTE('1000_заявлений'!E183, ".", ","))</f>
        <v>0.36239981999999998</v>
      </c>
      <c r="F189" s="5">
        <f>VALUE(SUBSTITUTE('1000_заявлений'!F183, ".", ","))</f>
        <v>-4975</v>
      </c>
      <c r="G189" s="5">
        <f>VALUE(SUBSTITUTE('1000_заявлений'!G183, ".", ","))</f>
        <v>-20924</v>
      </c>
      <c r="H189" s="5">
        <f>VALUE(SUBSTITUTE('1000_заявлений'!H183, ".", ","))</f>
        <v>-3660</v>
      </c>
      <c r="I189" s="4">
        <f>VALUE(SUBSTITUTE('1000_заявлений'!I183, ".", ","))</f>
        <v>0.23528571428571399</v>
      </c>
      <c r="J189" s="4">
        <f>VALUE(SUBSTITUTE('1000_заявлений'!J183, ".", ","))</f>
        <v>2.7556620031779602</v>
      </c>
      <c r="K189" s="5">
        <f>VALUE(SUBSTITUTE('1000_заявлений'!K183, ".", ","))</f>
        <v>365243</v>
      </c>
      <c r="L189" s="6">
        <f>VALUE(SUBSTITUTE('1000_заявлений'!L183, ".", ","))</f>
        <v>22234.5</v>
      </c>
      <c r="M189" s="2" t="str">
        <f>IF(Данные6[[#This Row],[proba]]&gt;$C$6, "отказ", "одобрение")</f>
        <v>отказ</v>
      </c>
      <c r="N189" s="7">
        <f>IF(Данные6[[#This Row],[proba]]&lt;$D$2,$C$2,IF(Данные6[[#This Row],[proba]]&lt;$D$3,$C$3,IF(Данные6[[#This Row],[proba]]&gt;$C$6,0,$C$4)))</f>
        <v>0</v>
      </c>
      <c r="O189" s="2">
        <f>IF(Данные6[[#This Row],[weighted_ext_score]]&gt;$O$1,MIN(Данные6[[#This Row],[Базовая сумма]]*$O$2,$C$2),IF(Данные6[[#This Row],[weighted_ext_score]]&lt;$O$3,Данные6[[#This Row],[Базовая сумма]]*$O$4,N189))</f>
        <v>0</v>
      </c>
      <c r="P1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89" s="2">
        <f>ABS(Данные6[[#This Row],[days_birth]])/365.2425</f>
        <v>57.287966214227531</v>
      </c>
      <c r="S1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89" s="2">
        <f>IF(Данные6[[#This Row],[ interest_rate]]&gt;$T$1,Данные6[[#This Row],[days_birth4]]*$T$2,Данные6[[#This Row],[days_birth4]])</f>
        <v>0</v>
      </c>
      <c r="U189" s="2">
        <f>IF(Данные6[[#This Row],[Проверка отказа]]="отказ",0,MAX(Данные6[[#This Row],[interest_rate]],$C$1))</f>
        <v>0</v>
      </c>
      <c r="V189" s="2">
        <f>MROUND(Данные6[[#This Row],[Минимум 20000]], 100)</f>
        <v>0</v>
      </c>
    </row>
    <row r="190" spans="1:22" x14ac:dyDescent="0.25">
      <c r="A190" s="2">
        <f>'1000_заявлений'!A184</f>
        <v>182</v>
      </c>
      <c r="B190" s="4">
        <f>VALUE(SUBSTITUTE('1000_заявлений'!B184, ".", ","))</f>
        <v>0.58256193605645901</v>
      </c>
      <c r="C190" s="4">
        <f>VALUE(SUBSTITUTE('1000_заявлений'!C184, ".", ","))</f>
        <v>0.133658044911246</v>
      </c>
      <c r="D190" s="4">
        <f>VALUE(SUBSTITUTE('1000_заявлений'!D184, ".", ","))</f>
        <v>0.53527623000000002</v>
      </c>
      <c r="E190" s="4">
        <f>VALUE(SUBSTITUTE('1000_заявлений'!E184, ".", ","))</f>
        <v>0.41204553999999999</v>
      </c>
      <c r="F190" s="5">
        <f>VALUE(SUBSTITUTE('1000_заявлений'!F184, ".", ","))</f>
        <v>-901</v>
      </c>
      <c r="G190" s="5">
        <f>VALUE(SUBSTITUTE('1000_заявлений'!G184, ".", ","))</f>
        <v>-13275</v>
      </c>
      <c r="H190" s="5">
        <f>VALUE(SUBSTITUTE('1000_заявлений'!H184, ".", ","))</f>
        <v>-4628</v>
      </c>
      <c r="I190" s="4">
        <f>VALUE(SUBSTITUTE('1000_заявлений'!I184, ".", ","))</f>
        <v>0.15</v>
      </c>
      <c r="J190" s="4">
        <f>VALUE(SUBSTITUTE('1000_заявлений'!J184, ".", ","))</f>
        <v>10.6209759779781</v>
      </c>
      <c r="K190" s="5">
        <f>VALUE(SUBSTITUTE('1000_заявлений'!K184, ".", ","))</f>
        <v>-3611</v>
      </c>
      <c r="L190" s="6">
        <f>VALUE(SUBSTITUTE('1000_заявлений'!L184, ".", ","))</f>
        <v>20250</v>
      </c>
      <c r="M190" s="2" t="str">
        <f>IF(Данные6[[#This Row],[proba]]&gt;$C$6, "отказ", "одобрение")</f>
        <v>отказ</v>
      </c>
      <c r="N190" s="7">
        <f>IF(Данные6[[#This Row],[proba]]&lt;$D$2,$C$2,IF(Данные6[[#This Row],[proba]]&lt;$D$3,$C$3,IF(Данные6[[#This Row],[proba]]&gt;$C$6,0,$C$4)))</f>
        <v>0</v>
      </c>
      <c r="O190" s="2">
        <f>IF(Данные6[[#This Row],[weighted_ext_score]]&gt;$O$1,MIN(Данные6[[#This Row],[Базовая сумма]]*$O$2,$C$2),IF(Данные6[[#This Row],[weighted_ext_score]]&lt;$O$3,Данные6[[#This Row],[Базовая сумма]]*$O$4,N190))</f>
        <v>0</v>
      </c>
      <c r="P1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0" s="2">
        <f>ABS(Данные6[[#This Row],[days_birth]])/365.2425</f>
        <v>36.34571551777244</v>
      </c>
      <c r="S1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0" s="2">
        <f>IF(Данные6[[#This Row],[ interest_rate]]&gt;$T$1,Данные6[[#This Row],[days_birth4]]*$T$2,Данные6[[#This Row],[days_birth4]])</f>
        <v>0</v>
      </c>
      <c r="U190" s="2">
        <f>IF(Данные6[[#This Row],[Проверка отказа]]="отказ",0,MAX(Данные6[[#This Row],[interest_rate]],$C$1))</f>
        <v>0</v>
      </c>
      <c r="V190" s="2">
        <f>MROUND(Данные6[[#This Row],[Минимум 20000]], 100)</f>
        <v>0</v>
      </c>
    </row>
    <row r="191" spans="1:22" x14ac:dyDescent="0.25">
      <c r="A191" s="2">
        <f>'1000_заявлений'!A185</f>
        <v>183</v>
      </c>
      <c r="B191" s="4">
        <f>VALUE(SUBSTITUTE('1000_заявлений'!B185, ".", ","))</f>
        <v>0.21554242272685001</v>
      </c>
      <c r="C191" s="4">
        <f>VALUE(SUBSTITUTE('1000_заявлений'!C185, ".", ","))</f>
        <v>0.48645480947298197</v>
      </c>
      <c r="D191" s="4">
        <f>VALUE(SUBSTITUTE('1000_заявлений'!D185, ".", ","))</f>
        <v>0.63470554000000001</v>
      </c>
      <c r="E191" s="4">
        <f>VALUE(SUBSTITUTE('1000_заявлений'!E185, ".", ","))</f>
        <v>0.79199120000000001</v>
      </c>
      <c r="F191" s="5">
        <f>VALUE(SUBSTITUTE('1000_заявлений'!F185, ".", ","))</f>
        <v>-854</v>
      </c>
      <c r="G191" s="5">
        <f>VALUE(SUBSTITUTE('1000_заявлений'!G185, ".", ","))</f>
        <v>-18886</v>
      </c>
      <c r="H191" s="5">
        <f>VALUE(SUBSTITUTE('1000_заявлений'!H185, ".", ","))</f>
        <v>-2427</v>
      </c>
      <c r="I191" s="4">
        <f>VALUE(SUBSTITUTE('1000_заявлений'!I185, ".", ","))</f>
        <v>0.103085714285714</v>
      </c>
      <c r="J191" s="4">
        <f>VALUE(SUBSTITUTE('1000_заявлений'!J185, ".", ","))</f>
        <v>6.1510714313004398</v>
      </c>
      <c r="K191" s="5">
        <f>VALUE(SUBSTITUTE('1000_заявлений'!K185, ".", ","))</f>
        <v>-95</v>
      </c>
      <c r="L191" s="6">
        <f>VALUE(SUBSTITUTE('1000_заявлений'!L185, ".", ","))</f>
        <v>32472</v>
      </c>
      <c r="M191" s="2" t="str">
        <f>IF(Данные6[[#This Row],[proba]]&gt;$C$6, "отказ", "одобрение")</f>
        <v>одобрение</v>
      </c>
      <c r="N191" s="7">
        <f>IF(Данные6[[#This Row],[proba]]&lt;$D$2,$C$2,IF(Данные6[[#This Row],[proba]]&lt;$D$3,$C$3,IF(Данные6[[#This Row],[proba]]&gt;$C$6,0,$C$4)))</f>
        <v>50000</v>
      </c>
      <c r="O191" s="2">
        <f>IF(Данные6[[#This Row],[weighted_ext_score]]&gt;$O$1,MIN(Данные6[[#This Row],[Базовая сумма]]*$O$2,$C$2),IF(Данные6[[#This Row],[weighted_ext_score]]&lt;$O$3,Данные6[[#This Row],[Базовая сумма]]*$O$4,N191))</f>
        <v>40000</v>
      </c>
      <c r="P1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191" s="2">
        <f>ABS(Данные6[[#This Row],[days_birth]])/365.2425</f>
        <v>51.708111733984957</v>
      </c>
      <c r="S1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191" s="2">
        <f>IF(Данные6[[#This Row],[ interest_rate]]&gt;$T$1,Данные6[[#This Row],[days_birth4]]*$T$2,Данные6[[#This Row],[days_birth4]])</f>
        <v>42000</v>
      </c>
      <c r="U191" s="2">
        <f>IF(Данные6[[#This Row],[Проверка отказа]]="отказ",0,MAX(Данные6[[#This Row],[interest_rate]],$C$1))</f>
        <v>42000</v>
      </c>
      <c r="V191" s="2">
        <f>MROUND(Данные6[[#This Row],[Минимум 20000]], 100)</f>
        <v>42000</v>
      </c>
    </row>
    <row r="192" spans="1:22" x14ac:dyDescent="0.25">
      <c r="A192" s="2">
        <f>'1000_заявлений'!A186</f>
        <v>184</v>
      </c>
      <c r="B192" s="4">
        <f>VALUE(SUBSTITUTE('1000_заявлений'!B186, ".", ","))</f>
        <v>0.69529639874228399</v>
      </c>
      <c r="C192" s="4">
        <f>VALUE(SUBSTITUTE('1000_заявлений'!C186, ".", ","))</f>
        <v>0.25308527310464901</v>
      </c>
      <c r="D192" s="4">
        <f>VALUE(SUBSTITUTE('1000_заявлений'!D186, ".", ","))</f>
        <v>0.22009465</v>
      </c>
      <c r="E192" s="4">
        <f>VALUE(SUBSTITUTE('1000_заявлений'!E186, ".", ","))</f>
        <v>0.53482419999999997</v>
      </c>
      <c r="F192" s="5">
        <f>VALUE(SUBSTITUTE('1000_заявлений'!F186, ".", ","))</f>
        <v>-2018</v>
      </c>
      <c r="G192" s="5">
        <f>VALUE(SUBSTITUTE('1000_заявлений'!G186, ".", ","))</f>
        <v>-16722</v>
      </c>
      <c r="H192" s="5">
        <f>VALUE(SUBSTITUTE('1000_заявлений'!H186, ".", ","))</f>
        <v>-251</v>
      </c>
      <c r="I192" s="4">
        <f>VALUE(SUBSTITUTE('1000_заявлений'!I186, ".", ","))</f>
        <v>0.14849999999999999</v>
      </c>
      <c r="J192" s="4">
        <f>VALUE(SUBSTITUTE('1000_заявлений'!J186, ".", ","))</f>
        <v>3.38888975284359</v>
      </c>
      <c r="K192" s="5">
        <f>VALUE(SUBSTITUTE('1000_заявлений'!K186, ".", ","))</f>
        <v>-1984</v>
      </c>
      <c r="L192" s="6">
        <f>VALUE(SUBSTITUTE('1000_заявлений'!L186, ".", ","))</f>
        <v>13365</v>
      </c>
      <c r="M192" s="2" t="str">
        <f>IF(Данные6[[#This Row],[proba]]&gt;$C$6, "отказ", "одобрение")</f>
        <v>отказ</v>
      </c>
      <c r="N192" s="7">
        <f>IF(Данные6[[#This Row],[proba]]&lt;$D$2,$C$2,IF(Данные6[[#This Row],[proba]]&lt;$D$3,$C$3,IF(Данные6[[#This Row],[proba]]&gt;$C$6,0,$C$4)))</f>
        <v>0</v>
      </c>
      <c r="O192" s="2">
        <f>IF(Данные6[[#This Row],[weighted_ext_score]]&gt;$O$1,MIN(Данные6[[#This Row],[Базовая сумма]]*$O$2,$C$2),IF(Данные6[[#This Row],[weighted_ext_score]]&lt;$O$3,Данные6[[#This Row],[Базовая сумма]]*$O$4,N192))</f>
        <v>0</v>
      </c>
      <c r="P1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2" s="2">
        <f>ABS(Данные6[[#This Row],[days_birth]])/365.2425</f>
        <v>45.783280970861824</v>
      </c>
      <c r="S1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2" s="2">
        <f>IF(Данные6[[#This Row],[ interest_rate]]&gt;$T$1,Данные6[[#This Row],[days_birth4]]*$T$2,Данные6[[#This Row],[days_birth4]])</f>
        <v>0</v>
      </c>
      <c r="U192" s="2">
        <f>IF(Данные6[[#This Row],[Проверка отказа]]="отказ",0,MAX(Данные6[[#This Row],[interest_rate]],$C$1))</f>
        <v>0</v>
      </c>
      <c r="V192" s="2">
        <f>MROUND(Данные6[[#This Row],[Минимум 20000]], 100)</f>
        <v>0</v>
      </c>
    </row>
    <row r="193" spans="1:22" x14ac:dyDescent="0.25">
      <c r="A193" s="2">
        <f>'1000_заявлений'!A187</f>
        <v>185</v>
      </c>
      <c r="B193" s="4">
        <f>VALUE(SUBSTITUTE('1000_заявлений'!B187, ".", ","))</f>
        <v>0.34902247063139702</v>
      </c>
      <c r="C193" s="4">
        <f>VALUE(SUBSTITUTE('1000_заявлений'!C187, ".", ","))</f>
        <v>0.38802316670776099</v>
      </c>
      <c r="D193" s="4">
        <f>VALUE(SUBSTITUTE('1000_заявлений'!D187, ".", ","))</f>
        <v>0.53707000000000005</v>
      </c>
      <c r="E193" s="4">
        <f>VALUE(SUBSTITUTE('1000_заявлений'!E187, ".", ","))</f>
        <v>0.59740203999999997</v>
      </c>
      <c r="F193" s="5">
        <f>VALUE(SUBSTITUTE('1000_заявлений'!F187, ".", ","))</f>
        <v>-5318</v>
      </c>
      <c r="G193" s="5">
        <f>VALUE(SUBSTITUTE('1000_заявлений'!G187, ".", ","))</f>
        <v>-19219</v>
      </c>
      <c r="H193" s="5">
        <f>VALUE(SUBSTITUTE('1000_заявлений'!H187, ".", ","))</f>
        <v>-2753</v>
      </c>
      <c r="I193" s="4">
        <f>VALUE(SUBSTITUTE('1000_заявлений'!I187, ".", ","))</f>
        <v>0.138328571428571</v>
      </c>
      <c r="J193" s="4">
        <f>VALUE(SUBSTITUTE('1000_заявлений'!J187, ".", ","))</f>
        <v>7.1302883489143998</v>
      </c>
      <c r="K193" s="5">
        <f>VALUE(SUBSTITUTE('1000_заявлений'!K187, ".", ","))</f>
        <v>-665</v>
      </c>
      <c r="L193" s="6">
        <f>VALUE(SUBSTITUTE('1000_заявлений'!L187, ".", ","))</f>
        <v>43573.5</v>
      </c>
      <c r="M193" s="2" t="str">
        <f>IF(Данные6[[#This Row],[proba]]&gt;$C$6, "отказ", "одобрение")</f>
        <v>отказ</v>
      </c>
      <c r="N193" s="7">
        <f>IF(Данные6[[#This Row],[proba]]&lt;$D$2,$C$2,IF(Данные6[[#This Row],[proba]]&lt;$D$3,$C$3,IF(Данные6[[#This Row],[proba]]&gt;$C$6,0,$C$4)))</f>
        <v>0</v>
      </c>
      <c r="O193" s="2">
        <f>IF(Данные6[[#This Row],[weighted_ext_score]]&gt;$O$1,MIN(Данные6[[#This Row],[Базовая сумма]]*$O$2,$C$2),IF(Данные6[[#This Row],[weighted_ext_score]]&lt;$O$3,Данные6[[#This Row],[Базовая сумма]]*$O$4,N193))</f>
        <v>0</v>
      </c>
      <c r="P1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3" s="2">
        <f>ABS(Данные6[[#This Row],[days_birth]])/365.2425</f>
        <v>52.619834767312128</v>
      </c>
      <c r="S1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3" s="2">
        <f>IF(Данные6[[#This Row],[ interest_rate]]&gt;$T$1,Данные6[[#This Row],[days_birth4]]*$T$2,Данные6[[#This Row],[days_birth4]])</f>
        <v>0</v>
      </c>
      <c r="U193" s="2">
        <f>IF(Данные6[[#This Row],[Проверка отказа]]="отказ",0,MAX(Данные6[[#This Row],[interest_rate]],$C$1))</f>
        <v>0</v>
      </c>
      <c r="V193" s="2">
        <f>MROUND(Данные6[[#This Row],[Минимум 20000]], 100)</f>
        <v>0</v>
      </c>
    </row>
    <row r="194" spans="1:22" x14ac:dyDescent="0.25">
      <c r="A194" s="2">
        <f>'1000_заявлений'!A188</f>
        <v>186</v>
      </c>
      <c r="B194" s="4">
        <f>VALUE(SUBSTITUTE('1000_заявлений'!B188, ".", ","))</f>
        <v>0.47795591158302803</v>
      </c>
      <c r="C194" s="4">
        <f>VALUE(SUBSTITUTE('1000_заявлений'!C188, ".", ","))</f>
        <v>0.380822946370106</v>
      </c>
      <c r="D194" s="4">
        <f>VALUE(SUBSTITUTE('1000_заявлений'!D188, ".", ","))</f>
        <v>0.41534715999999999</v>
      </c>
      <c r="E194" s="4">
        <f>VALUE(SUBSTITUTE('1000_заявлений'!E188, ".", ","))</f>
        <v>0.71092045000000004</v>
      </c>
      <c r="F194" s="5">
        <f>VALUE(SUBSTITUTE('1000_заявлений'!F188, ".", ","))</f>
        <v>-1001</v>
      </c>
      <c r="G194" s="5">
        <f>VALUE(SUBSTITUTE('1000_заявлений'!G188, ".", ","))</f>
        <v>-14037</v>
      </c>
      <c r="H194" s="5">
        <f>VALUE(SUBSTITUTE('1000_заявлений'!H188, ".", ","))</f>
        <v>-4893</v>
      </c>
      <c r="I194" s="4">
        <f>VALUE(SUBSTITUTE('1000_заявлений'!I188, ".", ","))</f>
        <v>0.240466666666666</v>
      </c>
      <c r="J194" s="4">
        <f>VALUE(SUBSTITUTE('1000_заявлений'!J188, ".", ","))</f>
        <v>0.57967341454907495</v>
      </c>
      <c r="K194" s="5">
        <f>VALUE(SUBSTITUTE('1000_заявлений'!K188, ".", ","))</f>
        <v>-5443</v>
      </c>
      <c r="L194" s="6">
        <f>VALUE(SUBSTITUTE('1000_заявлений'!L188, ".", ","))</f>
        <v>16231.5</v>
      </c>
      <c r="M194" s="2" t="str">
        <f>IF(Данные6[[#This Row],[proba]]&gt;$C$6, "отказ", "одобрение")</f>
        <v>отказ</v>
      </c>
      <c r="N194" s="7">
        <f>IF(Данные6[[#This Row],[proba]]&lt;$D$2,$C$2,IF(Данные6[[#This Row],[proba]]&lt;$D$3,$C$3,IF(Данные6[[#This Row],[proba]]&gt;$C$6,0,$C$4)))</f>
        <v>0</v>
      </c>
      <c r="O194" s="2">
        <f>IF(Данные6[[#This Row],[weighted_ext_score]]&gt;$O$1,MIN(Данные6[[#This Row],[Базовая сумма]]*$O$2,$C$2),IF(Данные6[[#This Row],[weighted_ext_score]]&lt;$O$3,Данные6[[#This Row],[Базовая сумма]]*$O$4,N194))</f>
        <v>0</v>
      </c>
      <c r="P1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4" s="2">
        <f>ABS(Данные6[[#This Row],[days_birth]])/365.2425</f>
        <v>38.432000657097682</v>
      </c>
      <c r="S1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4" s="2">
        <f>IF(Данные6[[#This Row],[ interest_rate]]&gt;$T$1,Данные6[[#This Row],[days_birth4]]*$T$2,Данные6[[#This Row],[days_birth4]])</f>
        <v>0</v>
      </c>
      <c r="U194" s="2">
        <f>IF(Данные6[[#This Row],[Проверка отказа]]="отказ",0,MAX(Данные6[[#This Row],[interest_rate]],$C$1))</f>
        <v>0</v>
      </c>
      <c r="V194" s="2">
        <f>MROUND(Данные6[[#This Row],[Минимум 20000]], 100)</f>
        <v>0</v>
      </c>
    </row>
    <row r="195" spans="1:22" x14ac:dyDescent="0.25">
      <c r="A195" s="2">
        <f>'1000_заявлений'!A189</f>
        <v>187</v>
      </c>
      <c r="B195" s="4">
        <f>VALUE(SUBSTITUTE('1000_заявлений'!B189, ".", ","))</f>
        <v>0.23397132708418</v>
      </c>
      <c r="C195" s="4">
        <f>VALUE(SUBSTITUTE('1000_заявлений'!C189, ".", ","))</f>
        <v>0.46066188719214202</v>
      </c>
      <c r="D195" s="4">
        <f>VALUE(SUBSTITUTE('1000_заявлений'!D189, ".", ","))</f>
        <v>0.79813725000000002</v>
      </c>
      <c r="E195" s="4">
        <f>VALUE(SUBSTITUTE('1000_заявлений'!E189, ".", ","))</f>
        <v>0.53025690000000003</v>
      </c>
      <c r="F195" s="5">
        <f>VALUE(SUBSTITUTE('1000_заявлений'!F189, ".", ","))</f>
        <v>-13337</v>
      </c>
      <c r="G195" s="5">
        <f>VALUE(SUBSTITUTE('1000_заявлений'!G189, ".", ","))</f>
        <v>-19898</v>
      </c>
      <c r="H195" s="5">
        <f>VALUE(SUBSTITUTE('1000_заявлений'!H189, ".", ","))</f>
        <v>-3428</v>
      </c>
      <c r="I195" s="4">
        <f>VALUE(SUBSTITUTE('1000_заявлений'!I189, ".", ","))</f>
        <v>0.11219999999999999</v>
      </c>
      <c r="J195" s="4">
        <f>VALUE(SUBSTITUTE('1000_заявлений'!J189, ".", ","))</f>
        <v>2.03892461762584</v>
      </c>
      <c r="K195" s="5">
        <f>VALUE(SUBSTITUTE('1000_заявлений'!K189, ".", ","))</f>
        <v>-6163</v>
      </c>
      <c r="L195" s="6">
        <f>VALUE(SUBSTITUTE('1000_заявлений'!L189, ".", ","))</f>
        <v>22720.5</v>
      </c>
      <c r="M195" s="2" t="str">
        <f>IF(Данные6[[#This Row],[proba]]&gt;$C$6, "отказ", "одобрение")</f>
        <v>одобрение</v>
      </c>
      <c r="N195" s="7">
        <f>IF(Данные6[[#This Row],[proba]]&lt;$D$2,$C$2,IF(Данные6[[#This Row],[proba]]&lt;$D$3,$C$3,IF(Данные6[[#This Row],[proba]]&gt;$C$6,0,$C$4)))</f>
        <v>50000</v>
      </c>
      <c r="O195" s="2">
        <f>IF(Данные6[[#This Row],[weighted_ext_score]]&gt;$O$1,MIN(Данные6[[#This Row],[Базовая сумма]]*$O$2,$C$2),IF(Данные6[[#This Row],[weighted_ext_score]]&lt;$O$3,Данные6[[#This Row],[Базовая сумма]]*$O$4,N195))</f>
        <v>40000</v>
      </c>
      <c r="P1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195" s="2">
        <f>ABS(Данные6[[#This Row],[days_birth]])/365.2425</f>
        <v>54.478873625057325</v>
      </c>
      <c r="S1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195" s="2">
        <f>IF(Данные6[[#This Row],[ interest_rate]]&gt;$T$1,Данные6[[#This Row],[days_birth4]]*$T$2,Данные6[[#This Row],[days_birth4]])</f>
        <v>50400</v>
      </c>
      <c r="U195" s="2">
        <f>IF(Данные6[[#This Row],[Проверка отказа]]="отказ",0,MAX(Данные6[[#This Row],[interest_rate]],$C$1))</f>
        <v>50400</v>
      </c>
      <c r="V195" s="2">
        <f>MROUND(Данные6[[#This Row],[Минимум 20000]], 100)</f>
        <v>50400</v>
      </c>
    </row>
    <row r="196" spans="1:22" x14ac:dyDescent="0.25">
      <c r="A196" s="2">
        <f>'1000_заявлений'!A190</f>
        <v>188</v>
      </c>
      <c r="B196" s="4">
        <f>VALUE(SUBSTITUTE('1000_заявлений'!B190, ".", ","))</f>
        <v>0.32679936628860201</v>
      </c>
      <c r="C196" s="4">
        <f>VALUE(SUBSTITUTE('1000_заявлений'!C190, ".", ","))</f>
        <v>0.54112500207775804</v>
      </c>
      <c r="D196" s="4">
        <f>VALUE(SUBSTITUTE('1000_заявлений'!D190, ".", ","))</f>
        <v>0.38420680000000001</v>
      </c>
      <c r="E196" s="4">
        <f>VALUE(SUBSTITUTE('1000_заявлений'!E190, ".", ","))</f>
        <v>0.66804949999999996</v>
      </c>
      <c r="F196" s="5">
        <f>VALUE(SUBSTITUTE('1000_заявлений'!F190, ".", ","))</f>
        <v>-6544</v>
      </c>
      <c r="G196" s="5">
        <f>VALUE(SUBSTITUTE('1000_заявлений'!G190, ".", ","))</f>
        <v>-19985</v>
      </c>
      <c r="H196" s="5">
        <f>VALUE(SUBSTITUTE('1000_заявлений'!H190, ".", ","))</f>
        <v>-3431</v>
      </c>
      <c r="I196" s="4">
        <f>VALUE(SUBSTITUTE('1000_заявлений'!I190, ".", ","))</f>
        <v>9.6771428571428494E-2</v>
      </c>
      <c r="J196" s="4">
        <f>VALUE(SUBSTITUTE('1000_заявлений'!J190, ".", ","))</f>
        <v>7.1314488883586096</v>
      </c>
      <c r="K196" s="5">
        <f>VALUE(SUBSTITUTE('1000_заявлений'!K190, ".", ","))</f>
        <v>-2467</v>
      </c>
      <c r="L196" s="6">
        <f>VALUE(SUBSTITUTE('1000_заявлений'!L190, ".", ","))</f>
        <v>15241.5</v>
      </c>
      <c r="M196" s="2" t="str">
        <f>IF(Данные6[[#This Row],[proba]]&gt;$C$6, "отказ", "одобрение")</f>
        <v>отказ</v>
      </c>
      <c r="N196" s="7">
        <f>IF(Данные6[[#This Row],[proba]]&lt;$D$2,$C$2,IF(Данные6[[#This Row],[proba]]&lt;$D$3,$C$3,IF(Данные6[[#This Row],[proba]]&gt;$C$6,0,$C$4)))</f>
        <v>0</v>
      </c>
      <c r="O196" s="2">
        <f>IF(Данные6[[#This Row],[weighted_ext_score]]&gt;$O$1,MIN(Данные6[[#This Row],[Базовая сумма]]*$O$2,$C$2),IF(Данные6[[#This Row],[weighted_ext_score]]&lt;$O$3,Данные6[[#This Row],[Базовая сумма]]*$O$4,N196))</f>
        <v>0</v>
      </c>
      <c r="P1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6" s="2">
        <f>ABS(Данные6[[#This Row],[days_birth]])/365.2425</f>
        <v>54.717071534665322</v>
      </c>
      <c r="S1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6" s="2">
        <f>IF(Данные6[[#This Row],[ interest_rate]]&gt;$T$1,Данные6[[#This Row],[days_birth4]]*$T$2,Данные6[[#This Row],[days_birth4]])</f>
        <v>0</v>
      </c>
      <c r="U196" s="2">
        <f>IF(Данные6[[#This Row],[Проверка отказа]]="отказ",0,MAX(Данные6[[#This Row],[interest_rate]],$C$1))</f>
        <v>0</v>
      </c>
      <c r="V196" s="2">
        <f>MROUND(Данные6[[#This Row],[Минимум 20000]], 100)</f>
        <v>0</v>
      </c>
    </row>
    <row r="197" spans="1:22" x14ac:dyDescent="0.25">
      <c r="A197" s="2">
        <f>'1000_заявлений'!A191</f>
        <v>189</v>
      </c>
      <c r="B197" s="4">
        <f>VALUE(SUBSTITUTE('1000_заявлений'!B191, ".", ","))</f>
        <v>0.63479419988239105</v>
      </c>
      <c r="C197" s="4">
        <f>VALUE(SUBSTITUTE('1000_заявлений'!C191, ".", ","))</f>
        <v>0.33722448456704401</v>
      </c>
      <c r="D197" s="4">
        <f>VALUE(SUBSTITUTE('1000_заявлений'!D191, ".", ","))</f>
        <v>0.27213367999999999</v>
      </c>
      <c r="E197" s="4">
        <f>VALUE(SUBSTITUTE('1000_заявлений'!E191, ".", ","))</f>
        <v>0.36667516999999999</v>
      </c>
      <c r="F197" s="5">
        <f>VALUE(SUBSTITUTE('1000_заявлений'!F191, ".", ","))</f>
        <v>-4616</v>
      </c>
      <c r="G197" s="5">
        <f>VALUE(SUBSTITUTE('1000_заявлений'!G191, ".", ","))</f>
        <v>-11273</v>
      </c>
      <c r="H197" s="5">
        <f>VALUE(SUBSTITUTE('1000_заявлений'!H191, ".", ","))</f>
        <v>-3891</v>
      </c>
      <c r="I197" s="4">
        <f>VALUE(SUBSTITUTE('1000_заявлений'!I191, ".", ","))</f>
        <v>6.6666666666666596E-2</v>
      </c>
      <c r="J197" s="4">
        <f>VALUE(SUBSTITUTE('1000_заявлений'!J191, ".", ","))</f>
        <v>10.6209759779781</v>
      </c>
      <c r="K197" s="5">
        <f>VALUE(SUBSTITUTE('1000_заявлений'!K191, ".", ","))</f>
        <v>-1167</v>
      </c>
      <c r="L197" s="6">
        <f>VALUE(SUBSTITUTE('1000_заявлений'!L191, ".", ","))</f>
        <v>13500</v>
      </c>
      <c r="M197" s="2" t="str">
        <f>IF(Данные6[[#This Row],[proba]]&gt;$C$6, "отказ", "одобрение")</f>
        <v>отказ</v>
      </c>
      <c r="N197" s="7">
        <f>IF(Данные6[[#This Row],[proba]]&lt;$D$2,$C$2,IF(Данные6[[#This Row],[proba]]&lt;$D$3,$C$3,IF(Данные6[[#This Row],[proba]]&gt;$C$6,0,$C$4)))</f>
        <v>0</v>
      </c>
      <c r="O197" s="2">
        <f>IF(Данные6[[#This Row],[weighted_ext_score]]&gt;$O$1,MIN(Данные6[[#This Row],[Базовая сумма]]*$O$2,$C$2),IF(Данные6[[#This Row],[weighted_ext_score]]&lt;$O$3,Данные6[[#This Row],[Базовая сумма]]*$O$4,N197))</f>
        <v>0</v>
      </c>
      <c r="P1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7" s="2">
        <f>ABS(Данные6[[#This Row],[days_birth]])/365.2425</f>
        <v>30.864425689781445</v>
      </c>
      <c r="S1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7" s="2">
        <f>IF(Данные6[[#This Row],[ interest_rate]]&gt;$T$1,Данные6[[#This Row],[days_birth4]]*$T$2,Данные6[[#This Row],[days_birth4]])</f>
        <v>0</v>
      </c>
      <c r="U197" s="2">
        <f>IF(Данные6[[#This Row],[Проверка отказа]]="отказ",0,MAX(Данные6[[#This Row],[interest_rate]],$C$1))</f>
        <v>0</v>
      </c>
      <c r="V197" s="2">
        <f>MROUND(Данные6[[#This Row],[Минимум 20000]], 100)</f>
        <v>0</v>
      </c>
    </row>
    <row r="198" spans="1:22" x14ac:dyDescent="0.25">
      <c r="A198" s="2">
        <f>'1000_заявлений'!A192</f>
        <v>190</v>
      </c>
      <c r="B198" s="4">
        <f>VALUE(SUBSTITUTE('1000_заявлений'!B192, ".", ","))</f>
        <v>0.59212116377019697</v>
      </c>
      <c r="C198" s="4">
        <f>VALUE(SUBSTITUTE('1000_заявлений'!C192, ".", ","))</f>
        <v>0.21920043392764901</v>
      </c>
      <c r="D198" s="4">
        <f>VALUE(SUBSTITUTE('1000_заявлений'!D192, ".", ","))</f>
        <v>0.52089759999999996</v>
      </c>
      <c r="E198" s="4">
        <f>VALUE(SUBSTITUTE('1000_заявлений'!E192, ".", ","))</f>
        <v>9.4981109999999994E-2</v>
      </c>
      <c r="F198" s="5">
        <f>VALUE(SUBSTITUTE('1000_заявлений'!F192, ".", ","))</f>
        <v>-4445</v>
      </c>
      <c r="G198" s="5">
        <f>VALUE(SUBSTITUTE('1000_заявлений'!G192, ".", ","))</f>
        <v>-23533</v>
      </c>
      <c r="H198" s="5">
        <f>VALUE(SUBSTITUTE('1000_заявлений'!H192, ".", ","))</f>
        <v>-4439</v>
      </c>
      <c r="I198" s="4">
        <f>VALUE(SUBSTITUTE('1000_заявлений'!I192, ".", ","))</f>
        <v>0.123136363636363</v>
      </c>
      <c r="J198" s="4">
        <f>VALUE(SUBSTITUTE('1000_заявлений'!J192, ".", ","))</f>
        <v>4.8217977773832699</v>
      </c>
      <c r="K198" s="5">
        <f>VALUE(SUBSTITUTE('1000_заявлений'!K192, ".", ","))</f>
        <v>365243</v>
      </c>
      <c r="L198" s="6">
        <f>VALUE(SUBSTITUTE('1000_заявлений'!L192, ".", ","))</f>
        <v>12190.5</v>
      </c>
      <c r="M198" s="2" t="str">
        <f>IF(Данные6[[#This Row],[proba]]&gt;$C$6, "отказ", "одобрение")</f>
        <v>отказ</v>
      </c>
      <c r="N198" s="7">
        <f>IF(Данные6[[#This Row],[proba]]&lt;$D$2,$C$2,IF(Данные6[[#This Row],[proba]]&lt;$D$3,$C$3,IF(Данные6[[#This Row],[proba]]&gt;$C$6,0,$C$4)))</f>
        <v>0</v>
      </c>
      <c r="O198" s="2">
        <f>IF(Данные6[[#This Row],[weighted_ext_score]]&gt;$O$1,MIN(Данные6[[#This Row],[Базовая сумма]]*$O$2,$C$2),IF(Данные6[[#This Row],[weighted_ext_score]]&lt;$O$3,Данные6[[#This Row],[Базовая сумма]]*$O$4,N198))</f>
        <v>0</v>
      </c>
      <c r="P1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98" s="2">
        <f>ABS(Данные6[[#This Row],[days_birth]])/365.2425</f>
        <v>64.431165595460556</v>
      </c>
      <c r="S1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98" s="2">
        <f>IF(Данные6[[#This Row],[ interest_rate]]&gt;$T$1,Данные6[[#This Row],[days_birth4]]*$T$2,Данные6[[#This Row],[days_birth4]])</f>
        <v>0</v>
      </c>
      <c r="U198" s="2">
        <f>IF(Данные6[[#This Row],[Проверка отказа]]="отказ",0,MAX(Данные6[[#This Row],[interest_rate]],$C$1))</f>
        <v>0</v>
      </c>
      <c r="V198" s="2">
        <f>MROUND(Данные6[[#This Row],[Минимум 20000]], 100)</f>
        <v>0</v>
      </c>
    </row>
    <row r="199" spans="1:22" x14ac:dyDescent="0.25">
      <c r="A199" s="2">
        <f>'1000_заявлений'!A193</f>
        <v>191</v>
      </c>
      <c r="B199" s="4">
        <f>VALUE(SUBSTITUTE('1000_заявлений'!B193, ".", ","))</f>
        <v>0.29576809737588999</v>
      </c>
      <c r="C199" s="4">
        <f>VALUE(SUBSTITUTE('1000_заявлений'!C193, ".", ","))</f>
        <v>0.41078584553340802</v>
      </c>
      <c r="D199" s="4">
        <f>VALUE(SUBSTITUTE('1000_заявлений'!D193, ".", ","))</f>
        <v>0.55138129999999996</v>
      </c>
      <c r="E199" s="4">
        <f>VALUE(SUBSTITUTE('1000_заявлений'!E193, ".", ","))</f>
        <v>0.65161913999999999</v>
      </c>
      <c r="F199" s="5">
        <f>VALUE(SUBSTITUTE('1000_заявлений'!F193, ".", ","))</f>
        <v>-4260</v>
      </c>
      <c r="G199" s="5">
        <f>VALUE(SUBSTITUTE('1000_заявлений'!G193, ".", ","))</f>
        <v>-21814</v>
      </c>
      <c r="H199" s="5">
        <f>VALUE(SUBSTITUTE('1000_заявлений'!H193, ".", ","))</f>
        <v>-4408</v>
      </c>
      <c r="I199" s="4">
        <f>VALUE(SUBSTITUTE('1000_заявлений'!I193, ".", ","))</f>
        <v>0.157481481481481</v>
      </c>
      <c r="J199" s="4">
        <f>VALUE(SUBSTITUTE('1000_заявлений'!J193, ".", ","))</f>
        <v>1.0200492132227601</v>
      </c>
      <c r="K199" s="5">
        <f>VALUE(SUBSTITUTE('1000_заявлений'!K193, ".", ","))</f>
        <v>365243</v>
      </c>
      <c r="L199" s="6">
        <f>VALUE(SUBSTITUTE('1000_заявлений'!L193, ".", ","))</f>
        <v>19134</v>
      </c>
      <c r="M199" s="2" t="str">
        <f>IF(Данные6[[#This Row],[proba]]&gt;$C$6, "отказ", "одобрение")</f>
        <v>одобрение</v>
      </c>
      <c r="N199" s="7">
        <f>IF(Данные6[[#This Row],[proba]]&lt;$D$2,$C$2,IF(Данные6[[#This Row],[proba]]&lt;$D$3,$C$3,IF(Данные6[[#This Row],[proba]]&gt;$C$6,0,$C$4)))</f>
        <v>50000</v>
      </c>
      <c r="O199" s="2">
        <f>IF(Данные6[[#This Row],[weighted_ext_score]]&gt;$O$1,MIN(Данные6[[#This Row],[Базовая сумма]]*$O$2,$C$2),IF(Данные6[[#This Row],[weighted_ext_score]]&lt;$O$3,Данные6[[#This Row],[Базовая сумма]]*$O$4,N199))</f>
        <v>40000</v>
      </c>
      <c r="P1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199" s="2">
        <f>ABS(Данные6[[#This Row],[days_birth]])/365.2425</f>
        <v>59.724703450447308</v>
      </c>
      <c r="S1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199" s="2">
        <f>IF(Данные6[[#This Row],[ interest_rate]]&gt;$T$1,Данные6[[#This Row],[days_birth4]]*$T$2,Данные6[[#This Row],[days_birth4]])</f>
        <v>42000</v>
      </c>
      <c r="U199" s="2">
        <f>IF(Данные6[[#This Row],[Проверка отказа]]="отказ",0,MAX(Данные6[[#This Row],[interest_rate]],$C$1))</f>
        <v>42000</v>
      </c>
      <c r="V199" s="2">
        <f>MROUND(Данные6[[#This Row],[Минимум 20000]], 100)</f>
        <v>42000</v>
      </c>
    </row>
    <row r="200" spans="1:22" x14ac:dyDescent="0.25">
      <c r="A200" s="2">
        <f>'1000_заявлений'!A194</f>
        <v>192</v>
      </c>
      <c r="B200" s="4">
        <f>VALUE(SUBSTITUTE('1000_заявлений'!B194, ".", ","))</f>
        <v>0.396244049457812</v>
      </c>
      <c r="C200" s="4">
        <f>VALUE(SUBSTITUTE('1000_заявлений'!C194, ".", ","))</f>
        <v>0.41154554767715301</v>
      </c>
      <c r="D200" s="4">
        <f>VALUE(SUBSTITUTE('1000_заявлений'!D194, ".", ","))</f>
        <v>0.56383499999999998</v>
      </c>
      <c r="E200" s="4">
        <f>VALUE(SUBSTITUTE('1000_заявлений'!E194, ".", ","))</f>
        <v>0.64007586000000005</v>
      </c>
      <c r="F200" s="5">
        <f>VALUE(SUBSTITUTE('1000_заявлений'!F194, ".", ","))</f>
        <v>-4544</v>
      </c>
      <c r="G200" s="5">
        <f>VALUE(SUBSTITUTE('1000_заявлений'!G194, ".", ","))</f>
        <v>-10008</v>
      </c>
      <c r="H200" s="5">
        <f>VALUE(SUBSTITUTE('1000_заявлений'!H194, ".", ","))</f>
        <v>-2676</v>
      </c>
      <c r="I200" s="4">
        <f>VALUE(SUBSTITUTE('1000_заявлений'!I194, ".", ","))</f>
        <v>0.124454545454545</v>
      </c>
      <c r="J200" s="4">
        <f>VALUE(SUBSTITUTE('1000_заявлений'!J194, ".", ","))</f>
        <v>2.0296992496886301</v>
      </c>
      <c r="K200" s="5">
        <f>VALUE(SUBSTITUTE('1000_заявлений'!K194, ".", ","))</f>
        <v>-708</v>
      </c>
      <c r="L200" s="6">
        <f>VALUE(SUBSTITUTE('1000_заявлений'!L194, ".", ","))</f>
        <v>30802.5</v>
      </c>
      <c r="M200" s="2" t="str">
        <f>IF(Данные6[[#This Row],[proba]]&gt;$C$6, "отказ", "одобрение")</f>
        <v>отказ</v>
      </c>
      <c r="N200" s="7">
        <f>IF(Данные6[[#This Row],[proba]]&lt;$D$2,$C$2,IF(Данные6[[#This Row],[proba]]&lt;$D$3,$C$3,IF(Данные6[[#This Row],[proba]]&gt;$C$6,0,$C$4)))</f>
        <v>0</v>
      </c>
      <c r="O200" s="2">
        <f>IF(Данные6[[#This Row],[weighted_ext_score]]&gt;$O$1,MIN(Данные6[[#This Row],[Базовая сумма]]*$O$2,$C$2),IF(Данные6[[#This Row],[weighted_ext_score]]&lt;$O$3,Данные6[[#This Row],[Базовая сумма]]*$O$4,N200))</f>
        <v>0</v>
      </c>
      <c r="P2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0" s="2">
        <f>ABS(Данные6[[#This Row],[days_birth]])/365.2425</f>
        <v>27.400973325940985</v>
      </c>
      <c r="S2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0" s="2">
        <f>IF(Данные6[[#This Row],[ interest_rate]]&gt;$T$1,Данные6[[#This Row],[days_birth4]]*$T$2,Данные6[[#This Row],[days_birth4]])</f>
        <v>0</v>
      </c>
      <c r="U200" s="2">
        <f>IF(Данные6[[#This Row],[Проверка отказа]]="отказ",0,MAX(Данные6[[#This Row],[interest_rate]],$C$1))</f>
        <v>0</v>
      </c>
      <c r="V200" s="2">
        <f>MROUND(Данные6[[#This Row],[Минимум 20000]], 100)</f>
        <v>0</v>
      </c>
    </row>
    <row r="201" spans="1:22" x14ac:dyDescent="0.25">
      <c r="A201" s="2">
        <f>'1000_заявлений'!A195</f>
        <v>193</v>
      </c>
      <c r="B201" s="4">
        <f>VALUE(SUBSTITUTE('1000_заявлений'!B195, ".", ","))</f>
        <v>0.78829009694096697</v>
      </c>
      <c r="C201" s="4">
        <f>VALUE(SUBSTITUTE('1000_заявлений'!C195, ".", ","))</f>
        <v>0.163257583870521</v>
      </c>
      <c r="D201" s="4">
        <f>VALUE(SUBSTITUTE('1000_заявлений'!D195, ".", ","))</f>
        <v>0.16540746000000001</v>
      </c>
      <c r="E201" s="4">
        <f>VALUE(SUBSTITUTE('1000_заявлений'!E195, ".", ","))</f>
        <v>0.31887411999999998</v>
      </c>
      <c r="F201" s="5">
        <f>VALUE(SUBSTITUTE('1000_заявлений'!F195, ".", ","))</f>
        <v>-8867</v>
      </c>
      <c r="G201" s="5">
        <f>VALUE(SUBSTITUTE('1000_заявлений'!G195, ".", ","))</f>
        <v>-16132</v>
      </c>
      <c r="H201" s="5">
        <f>VALUE(SUBSTITUTE('1000_заявлений'!H195, ".", ","))</f>
        <v>-4382</v>
      </c>
      <c r="I201" s="4">
        <f>VALUE(SUBSTITUTE('1000_заявлений'!I195, ".", ","))</f>
        <v>0.22511111111111101</v>
      </c>
      <c r="J201" s="4">
        <f>VALUE(SUBSTITUTE('1000_заявлений'!J195, ".", ","))</f>
        <v>7.3260126146686897</v>
      </c>
      <c r="K201" s="5">
        <f>VALUE(SUBSTITUTE('1000_заявлений'!K195, ".", ","))</f>
        <v>-1671</v>
      </c>
      <c r="L201" s="6">
        <f>VALUE(SUBSTITUTE('1000_заявлений'!L195, ".", ","))</f>
        <v>9117</v>
      </c>
      <c r="M201" s="2" t="str">
        <f>IF(Данные6[[#This Row],[proba]]&gt;$C$6, "отказ", "одобрение")</f>
        <v>отказ</v>
      </c>
      <c r="N201" s="7">
        <f>IF(Данные6[[#This Row],[proba]]&lt;$D$2,$C$2,IF(Данные6[[#This Row],[proba]]&lt;$D$3,$C$3,IF(Данные6[[#This Row],[proba]]&gt;$C$6,0,$C$4)))</f>
        <v>0</v>
      </c>
      <c r="O201" s="2">
        <f>IF(Данные6[[#This Row],[weighted_ext_score]]&gt;$O$1,MIN(Данные6[[#This Row],[Базовая сумма]]*$O$2,$C$2),IF(Данные6[[#This Row],[weighted_ext_score]]&lt;$O$3,Данные6[[#This Row],[Базовая сумма]]*$O$4,N201))</f>
        <v>0</v>
      </c>
      <c r="P2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1" s="2">
        <f>ABS(Данные6[[#This Row],[days_birth]])/365.2425</f>
        <v>44.167915836738601</v>
      </c>
      <c r="S2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1" s="2">
        <f>IF(Данные6[[#This Row],[ interest_rate]]&gt;$T$1,Данные6[[#This Row],[days_birth4]]*$T$2,Данные6[[#This Row],[days_birth4]])</f>
        <v>0</v>
      </c>
      <c r="U201" s="2">
        <f>IF(Данные6[[#This Row],[Проверка отказа]]="отказ",0,MAX(Данные6[[#This Row],[interest_rate]],$C$1))</f>
        <v>0</v>
      </c>
      <c r="V201" s="2">
        <f>MROUND(Данные6[[#This Row],[Минимум 20000]], 100)</f>
        <v>0</v>
      </c>
    </row>
    <row r="202" spans="1:22" x14ac:dyDescent="0.25">
      <c r="A202" s="2">
        <f>'1000_заявлений'!A196</f>
        <v>194</v>
      </c>
      <c r="B202" s="4">
        <f>VALUE(SUBSTITUTE('1000_заявлений'!B196, ".", ","))</f>
        <v>0.112196333997422</v>
      </c>
      <c r="C202" s="4">
        <f>VALUE(SUBSTITUTE('1000_заявлений'!C196, ".", ","))</f>
        <v>0.51981127232042401</v>
      </c>
      <c r="D202" s="4">
        <f>VALUE(SUBSTITUTE('1000_заявлений'!D196, ".", ","))</f>
        <v>0.81824750000000002</v>
      </c>
      <c r="E202" s="4">
        <f>VALUE(SUBSTITUTE('1000_заявлений'!E196, ".", ","))</f>
        <v>0.69018259999999998</v>
      </c>
      <c r="F202" s="5">
        <f>VALUE(SUBSTITUTE('1000_заявлений'!F196, ".", ","))</f>
        <v>-6225</v>
      </c>
      <c r="G202" s="5">
        <f>VALUE(SUBSTITUTE('1000_заявлений'!G196, ".", ","))</f>
        <v>-24536</v>
      </c>
      <c r="H202" s="5">
        <f>VALUE(SUBSTITUTE('1000_заявлений'!H196, ".", ","))</f>
        <v>-4586</v>
      </c>
      <c r="I202" s="4">
        <f>VALUE(SUBSTITUTE('1000_заявлений'!I196, ".", ","))</f>
        <v>0.26105</v>
      </c>
      <c r="J202" s="4">
        <f>VALUE(SUBSTITUTE('1000_заявлений'!J196, ".", ","))</f>
        <v>16.285286095096101</v>
      </c>
      <c r="K202" s="5">
        <f>VALUE(SUBSTITUTE('1000_заявлений'!K196, ".", ","))</f>
        <v>365243</v>
      </c>
      <c r="L202" s="6">
        <f>VALUE(SUBSTITUTE('1000_заявлений'!L196, ".", ","))</f>
        <v>23494.5</v>
      </c>
      <c r="M202" s="2" t="str">
        <f>IF(Данные6[[#This Row],[proba]]&gt;$C$6, "отказ", "одобрение")</f>
        <v>одобрение</v>
      </c>
      <c r="N202" s="7">
        <f>IF(Данные6[[#This Row],[proba]]&lt;$D$2,$C$2,IF(Данные6[[#This Row],[proba]]&lt;$D$3,$C$3,IF(Данные6[[#This Row],[proba]]&gt;$C$6,0,$C$4)))</f>
        <v>200000</v>
      </c>
      <c r="O202" s="2">
        <f>IF(Данные6[[#This Row],[weighted_ext_score]]&gt;$O$1,MIN(Данные6[[#This Row],[Базовая сумма]]*$O$2,$C$2),IF(Данные6[[#This Row],[weighted_ext_score]]&lt;$O$3,Данные6[[#This Row],[Базовая сумма]]*$O$4,N202))</f>
        <v>200000</v>
      </c>
      <c r="P2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202" s="2">
        <f>ABS(Данные6[[#This Row],[days_birth]])/365.2425</f>
        <v>67.177286323470028</v>
      </c>
      <c r="S2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202" s="2">
        <f>IF(Данные6[[#This Row],[ interest_rate]]&gt;$T$1,Данные6[[#This Row],[days_birth4]]*$T$2,Данные6[[#This Row],[days_birth4]])</f>
        <v>210000</v>
      </c>
      <c r="U202" s="2">
        <f>IF(Данные6[[#This Row],[Проверка отказа]]="отказ",0,MAX(Данные6[[#This Row],[interest_rate]],$C$1))</f>
        <v>210000</v>
      </c>
      <c r="V202" s="2">
        <f>MROUND(Данные6[[#This Row],[Минимум 20000]], 100)</f>
        <v>210000</v>
      </c>
    </row>
    <row r="203" spans="1:22" x14ac:dyDescent="0.25">
      <c r="A203" s="2">
        <f>'1000_заявлений'!A197</f>
        <v>195</v>
      </c>
      <c r="B203" s="4">
        <f>VALUE(SUBSTITUTE('1000_заявлений'!B197, ".", ","))</f>
        <v>0.45789152776080799</v>
      </c>
      <c r="C203" s="4">
        <f>VALUE(SUBSTITUTE('1000_заявлений'!C197, ".", ","))</f>
        <v>0.38182823530090998</v>
      </c>
      <c r="D203" s="4">
        <f>VALUE(SUBSTITUTE('1000_заявлений'!D197, ".", ","))</f>
        <v>0.57268249999999998</v>
      </c>
      <c r="E203" s="4">
        <f>VALUE(SUBSTITUTE('1000_заявлений'!E197, ".", ","))</f>
        <v>0.53859776000000004</v>
      </c>
      <c r="F203" s="5">
        <f>VALUE(SUBSTITUTE('1000_заявлений'!F197, ".", ","))</f>
        <v>-4199</v>
      </c>
      <c r="G203" s="5">
        <f>VALUE(SUBSTITUTE('1000_заявлений'!G197, ".", ","))</f>
        <v>-10815</v>
      </c>
      <c r="H203" s="5">
        <f>VALUE(SUBSTITUTE('1000_заявлений'!H197, ".", ","))</f>
        <v>-2185</v>
      </c>
      <c r="I203" s="4">
        <f>VALUE(SUBSTITUTE('1000_заявлений'!I197, ".", ","))</f>
        <v>0.17544000000000001</v>
      </c>
      <c r="J203" s="4">
        <f>VALUE(SUBSTITUTE('1000_заявлений'!J197, ".", ","))</f>
        <v>1.55972200073934</v>
      </c>
      <c r="K203" s="5">
        <f>VALUE(SUBSTITUTE('1000_заявлений'!K197, ".", ","))</f>
        <v>-193</v>
      </c>
      <c r="L203" s="6">
        <f>VALUE(SUBSTITUTE('1000_заявлений'!L197, ".", ","))</f>
        <v>39474</v>
      </c>
      <c r="M203" s="2" t="str">
        <f>IF(Данные6[[#This Row],[proba]]&gt;$C$6, "отказ", "одобрение")</f>
        <v>отказ</v>
      </c>
      <c r="N203" s="7">
        <f>IF(Данные6[[#This Row],[proba]]&lt;$D$2,$C$2,IF(Данные6[[#This Row],[proba]]&lt;$D$3,$C$3,IF(Данные6[[#This Row],[proba]]&gt;$C$6,0,$C$4)))</f>
        <v>0</v>
      </c>
      <c r="O203" s="2">
        <f>IF(Данные6[[#This Row],[weighted_ext_score]]&gt;$O$1,MIN(Данные6[[#This Row],[Базовая сумма]]*$O$2,$C$2),IF(Данные6[[#This Row],[weighted_ext_score]]&lt;$O$3,Данные6[[#This Row],[Базовая сумма]]*$O$4,N203))</f>
        <v>0</v>
      </c>
      <c r="P2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3" s="2">
        <f>ABS(Данные6[[#This Row],[days_birth]])/365.2425</f>
        <v>29.610464280580711</v>
      </c>
      <c r="S2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3" s="2">
        <f>IF(Данные6[[#This Row],[ interest_rate]]&gt;$T$1,Данные6[[#This Row],[days_birth4]]*$T$2,Данные6[[#This Row],[days_birth4]])</f>
        <v>0</v>
      </c>
      <c r="U203" s="2">
        <f>IF(Данные6[[#This Row],[Проверка отказа]]="отказ",0,MAX(Данные6[[#This Row],[interest_rate]],$C$1))</f>
        <v>0</v>
      </c>
      <c r="V203" s="2">
        <f>MROUND(Данные6[[#This Row],[Минимум 20000]], 100)</f>
        <v>0</v>
      </c>
    </row>
    <row r="204" spans="1:22" x14ac:dyDescent="0.25">
      <c r="A204" s="2">
        <f>'1000_заявлений'!A198</f>
        <v>196</v>
      </c>
      <c r="B204" s="4">
        <f>VALUE(SUBSTITUTE('1000_заявлений'!B198, ".", ","))</f>
        <v>0.43162736759993803</v>
      </c>
      <c r="C204" s="4">
        <f>VALUE(SUBSTITUTE('1000_заявлений'!C198, ".", ","))</f>
        <v>0.352586265637445</v>
      </c>
      <c r="D204" s="4">
        <f>VALUE(SUBSTITUTE('1000_заявлений'!D198, ".", ","))</f>
        <v>0.48124932999999998</v>
      </c>
      <c r="E204" s="4">
        <f>VALUE(SUBSTITUTE('1000_заявлений'!E198, ".", ","))</f>
        <v>0.55039349999999998</v>
      </c>
      <c r="F204" s="5">
        <f>VALUE(SUBSTITUTE('1000_заявлений'!F198, ".", ","))</f>
        <v>-3512</v>
      </c>
      <c r="G204" s="5">
        <f>VALUE(SUBSTITUTE('1000_заявлений'!G198, ".", ","))</f>
        <v>-15914</v>
      </c>
      <c r="H204" s="5">
        <f>VALUE(SUBSTITUTE('1000_заявлений'!H198, ".", ","))</f>
        <v>-5291</v>
      </c>
      <c r="I204" s="4">
        <f>VALUE(SUBSTITUTE('1000_заявлений'!I198, ".", ","))</f>
        <v>6.1800000000000001E-2</v>
      </c>
      <c r="J204" s="4">
        <f>VALUE(SUBSTITUTE('1000_заявлений'!J198, ".", ","))</f>
        <v>5.4316907254036302</v>
      </c>
      <c r="K204" s="5">
        <f>VALUE(SUBSTITUTE('1000_заявлений'!K198, ".", ","))</f>
        <v>-2801</v>
      </c>
      <c r="L204" s="6">
        <f>VALUE(SUBSTITUTE('1000_заявлений'!L198, ".", ","))</f>
        <v>6952.5</v>
      </c>
      <c r="M204" s="2" t="str">
        <f>IF(Данные6[[#This Row],[proba]]&gt;$C$6, "отказ", "одобрение")</f>
        <v>отказ</v>
      </c>
      <c r="N204" s="7">
        <f>IF(Данные6[[#This Row],[proba]]&lt;$D$2,$C$2,IF(Данные6[[#This Row],[proba]]&lt;$D$3,$C$3,IF(Данные6[[#This Row],[proba]]&gt;$C$6,0,$C$4)))</f>
        <v>0</v>
      </c>
      <c r="O204" s="2">
        <f>IF(Данные6[[#This Row],[weighted_ext_score]]&gt;$O$1,MIN(Данные6[[#This Row],[Базовая сумма]]*$O$2,$C$2),IF(Данные6[[#This Row],[weighted_ext_score]]&lt;$O$3,Данные6[[#This Row],[Базовая сумма]]*$O$4,N204))</f>
        <v>0</v>
      </c>
      <c r="P2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4" s="2">
        <f>ABS(Данные6[[#This Row],[days_birth]])/365.2425</f>
        <v>43.57105210921511</v>
      </c>
      <c r="S2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4" s="2">
        <f>IF(Данные6[[#This Row],[ interest_rate]]&gt;$T$1,Данные6[[#This Row],[days_birth4]]*$T$2,Данные6[[#This Row],[days_birth4]])</f>
        <v>0</v>
      </c>
      <c r="U204" s="2">
        <f>IF(Данные6[[#This Row],[Проверка отказа]]="отказ",0,MAX(Данные6[[#This Row],[interest_rate]],$C$1))</f>
        <v>0</v>
      </c>
      <c r="V204" s="2">
        <f>MROUND(Данные6[[#This Row],[Минимум 20000]], 100)</f>
        <v>0</v>
      </c>
    </row>
    <row r="205" spans="1:22" x14ac:dyDescent="0.25">
      <c r="A205" s="2">
        <f>'1000_заявлений'!A199</f>
        <v>197</v>
      </c>
      <c r="B205" s="4">
        <f>VALUE(SUBSTITUTE('1000_заявлений'!B199, ".", ","))</f>
        <v>0.51790852757677097</v>
      </c>
      <c r="C205" s="4">
        <f>VALUE(SUBSTITUTE('1000_заявлений'!C199, ".", ","))</f>
        <v>0.28595650801828398</v>
      </c>
      <c r="D205" s="4">
        <f>VALUE(SUBSTITUTE('1000_заявлений'!D199, ".", ","))</f>
        <v>0.20559815000000001</v>
      </c>
      <c r="E205" s="4">
        <f>VALUE(SUBSTITUTE('1000_заявлений'!E199, ".", ","))</f>
        <v>0.65232369999999995</v>
      </c>
      <c r="F205" s="5">
        <f>VALUE(SUBSTITUTE('1000_заявлений'!F199, ".", ","))</f>
        <v>-9380</v>
      </c>
      <c r="G205" s="5">
        <f>VALUE(SUBSTITUTE('1000_заявлений'!G199, ".", ","))</f>
        <v>-21797</v>
      </c>
      <c r="H205" s="5">
        <f>VALUE(SUBSTITUTE('1000_заявлений'!H199, ".", ","))</f>
        <v>-1445</v>
      </c>
      <c r="I205" s="4">
        <f>VALUE(SUBSTITUTE('1000_заявлений'!I199, ".", ","))</f>
        <v>4.8192771084337303E-2</v>
      </c>
      <c r="J205" s="4">
        <f>VALUE(SUBSTITUTE('1000_заявлений'!J199, ".", ","))</f>
        <v>10.6209759779781</v>
      </c>
      <c r="K205" s="5">
        <f>VALUE(SUBSTITUTE('1000_заявлений'!K199, ".", ","))</f>
        <v>-3575</v>
      </c>
      <c r="L205" s="6">
        <f>VALUE(SUBSTITUTE('1000_заявлений'!L199, ".", ","))</f>
        <v>18000</v>
      </c>
      <c r="M205" s="2" t="str">
        <f>IF(Данные6[[#This Row],[proba]]&gt;$C$6, "отказ", "одобрение")</f>
        <v>отказ</v>
      </c>
      <c r="N205" s="7">
        <f>IF(Данные6[[#This Row],[proba]]&lt;$D$2,$C$2,IF(Данные6[[#This Row],[proba]]&lt;$D$3,$C$3,IF(Данные6[[#This Row],[proba]]&gt;$C$6,0,$C$4)))</f>
        <v>0</v>
      </c>
      <c r="O205" s="2">
        <f>IF(Данные6[[#This Row],[weighted_ext_score]]&gt;$O$1,MIN(Данные6[[#This Row],[Базовая сумма]]*$O$2,$C$2),IF(Данные6[[#This Row],[weighted_ext_score]]&lt;$O$3,Данные6[[#This Row],[Базовая сумма]]*$O$4,N205))</f>
        <v>0</v>
      </c>
      <c r="P2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5" s="2">
        <f>ABS(Данные6[[#This Row],[days_birth]])/365.2425</f>
        <v>59.678159031328498</v>
      </c>
      <c r="S2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5" s="2">
        <f>IF(Данные6[[#This Row],[ interest_rate]]&gt;$T$1,Данные6[[#This Row],[days_birth4]]*$T$2,Данные6[[#This Row],[days_birth4]])</f>
        <v>0</v>
      </c>
      <c r="U205" s="2">
        <f>IF(Данные6[[#This Row],[Проверка отказа]]="отказ",0,MAX(Данные6[[#This Row],[interest_rate]],$C$1))</f>
        <v>0</v>
      </c>
      <c r="V205" s="2">
        <f>MROUND(Данные6[[#This Row],[Минимум 20000]], 100)</f>
        <v>0</v>
      </c>
    </row>
    <row r="206" spans="1:22" x14ac:dyDescent="0.25">
      <c r="A206" s="2">
        <f>'1000_заявлений'!A200</f>
        <v>198</v>
      </c>
      <c r="B206" s="4">
        <f>VALUE(SUBSTITUTE('1000_заявлений'!B200, ".", ","))</f>
        <v>0.83310249627418498</v>
      </c>
      <c r="C206" s="4">
        <f>VALUE(SUBSTITUTE('1000_заявлений'!C200, ".", ","))</f>
        <v>0.116223387427353</v>
      </c>
      <c r="D206" s="4">
        <f>VALUE(SUBSTITUTE('1000_заявлений'!D200, ".", ","))</f>
        <v>0.13259749000000001</v>
      </c>
      <c r="E206" s="4">
        <f>VALUE(SUBSTITUTE('1000_заявлений'!E200, ".", ","))</f>
        <v>0.21045715000000001</v>
      </c>
      <c r="F206" s="5">
        <f>VALUE(SUBSTITUTE('1000_заявлений'!F200, ".", ","))</f>
        <v>-5908</v>
      </c>
      <c r="G206" s="5">
        <f>VALUE(SUBSTITUTE('1000_заявлений'!G200, ".", ","))</f>
        <v>-14208</v>
      </c>
      <c r="H206" s="5">
        <f>VALUE(SUBSTITUTE('1000_заявлений'!H200, ".", ","))</f>
        <v>-4487</v>
      </c>
      <c r="I206" s="4">
        <f>VALUE(SUBSTITUTE('1000_заявлений'!I200, ".", ","))</f>
        <v>6.9142857142857103E-2</v>
      </c>
      <c r="J206" s="4">
        <f>VALUE(SUBSTITUTE('1000_заявлений'!J200, ".", ","))</f>
        <v>4.6156471859143799</v>
      </c>
      <c r="K206" s="5">
        <f>VALUE(SUBSTITUTE('1000_заявлений'!K200, ".", ","))</f>
        <v>-872</v>
      </c>
      <c r="L206" s="6">
        <f>VALUE(SUBSTITUTE('1000_заявлений'!L200, ".", ","))</f>
        <v>10890</v>
      </c>
      <c r="M206" s="2" t="str">
        <f>IF(Данные6[[#This Row],[proba]]&gt;$C$6, "отказ", "одобрение")</f>
        <v>отказ</v>
      </c>
      <c r="N206" s="7">
        <f>IF(Данные6[[#This Row],[proba]]&lt;$D$2,$C$2,IF(Данные6[[#This Row],[proba]]&lt;$D$3,$C$3,IF(Данные6[[#This Row],[proba]]&gt;$C$6,0,$C$4)))</f>
        <v>0</v>
      </c>
      <c r="O206" s="2">
        <f>IF(Данные6[[#This Row],[weighted_ext_score]]&gt;$O$1,MIN(Данные6[[#This Row],[Базовая сумма]]*$O$2,$C$2),IF(Данные6[[#This Row],[weighted_ext_score]]&lt;$O$3,Данные6[[#This Row],[Базовая сумма]]*$O$4,N206))</f>
        <v>0</v>
      </c>
      <c r="P2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6" s="2">
        <f>ABS(Данные6[[#This Row],[days_birth]])/365.2425</f>
        <v>38.900182755292718</v>
      </c>
      <c r="S2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6" s="2">
        <f>IF(Данные6[[#This Row],[ interest_rate]]&gt;$T$1,Данные6[[#This Row],[days_birth4]]*$T$2,Данные6[[#This Row],[days_birth4]])</f>
        <v>0</v>
      </c>
      <c r="U206" s="2">
        <f>IF(Данные6[[#This Row],[Проверка отказа]]="отказ",0,MAX(Данные6[[#This Row],[interest_rate]],$C$1))</f>
        <v>0</v>
      </c>
      <c r="V206" s="2">
        <f>MROUND(Данные6[[#This Row],[Минимум 20000]], 100)</f>
        <v>0</v>
      </c>
    </row>
    <row r="207" spans="1:22" x14ac:dyDescent="0.25">
      <c r="A207" s="2">
        <f>'1000_заявлений'!A201</f>
        <v>199</v>
      </c>
      <c r="B207" s="4">
        <f>VALUE(SUBSTITUTE('1000_заявлений'!B201, ".", ","))</f>
        <v>0.370273598964867</v>
      </c>
      <c r="C207" s="4">
        <f>VALUE(SUBSTITUTE('1000_заявлений'!C201, ".", ","))</f>
        <v>0.52362729544443098</v>
      </c>
      <c r="D207" s="4">
        <f>VALUE(SUBSTITUTE('1000_заявлений'!D201, ".", ","))</f>
        <v>0.55138129999999996</v>
      </c>
      <c r="E207" s="4">
        <f>VALUE(SUBSTITUTE('1000_заявлений'!E201, ".", ","))</f>
        <v>0.62383789999999995</v>
      </c>
      <c r="F207" s="5">
        <f>VALUE(SUBSTITUTE('1000_заявлений'!F201, ".", ","))</f>
        <v>-2777</v>
      </c>
      <c r="G207" s="5">
        <f>VALUE(SUBSTITUTE('1000_заявлений'!G201, ".", ","))</f>
        <v>-10111</v>
      </c>
      <c r="H207" s="5">
        <f>VALUE(SUBSTITUTE('1000_заявлений'!H201, ".", ","))</f>
        <v>-2513</v>
      </c>
      <c r="I207" s="4">
        <f>VALUE(SUBSTITUTE('1000_заявлений'!I201, ".", ","))</f>
        <v>0.18672</v>
      </c>
      <c r="J207" s="4">
        <f>VALUE(SUBSTITUTE('1000_заявлений'!J201, ".", ","))</f>
        <v>4.7239018639166401</v>
      </c>
      <c r="K207" s="5">
        <f>VALUE(SUBSTITUTE('1000_заявлений'!K201, ".", ","))</f>
        <v>-1859</v>
      </c>
      <c r="L207" s="6">
        <f>VALUE(SUBSTITUTE('1000_заявлений'!L201, ".", ","))</f>
        <v>21006</v>
      </c>
      <c r="M207" s="2" t="str">
        <f>IF(Данные6[[#This Row],[proba]]&gt;$C$6, "отказ", "одобрение")</f>
        <v>отказ</v>
      </c>
      <c r="N207" s="7">
        <f>IF(Данные6[[#This Row],[proba]]&lt;$D$2,$C$2,IF(Данные6[[#This Row],[proba]]&lt;$D$3,$C$3,IF(Данные6[[#This Row],[proba]]&gt;$C$6,0,$C$4)))</f>
        <v>0</v>
      </c>
      <c r="O207" s="2">
        <f>IF(Данные6[[#This Row],[weighted_ext_score]]&gt;$O$1,MIN(Данные6[[#This Row],[Базовая сумма]]*$O$2,$C$2),IF(Данные6[[#This Row],[weighted_ext_score]]&lt;$O$3,Данные6[[#This Row],[Базовая сумма]]*$O$4,N207))</f>
        <v>0</v>
      </c>
      <c r="P2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7" s="2">
        <f>ABS(Данные6[[#This Row],[days_birth]])/365.2425</f>
        <v>27.6829777476608</v>
      </c>
      <c r="S2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7" s="2">
        <f>IF(Данные6[[#This Row],[ interest_rate]]&gt;$T$1,Данные6[[#This Row],[days_birth4]]*$T$2,Данные6[[#This Row],[days_birth4]])</f>
        <v>0</v>
      </c>
      <c r="U207" s="2">
        <f>IF(Данные6[[#This Row],[Проверка отказа]]="отказ",0,MAX(Данные6[[#This Row],[interest_rate]],$C$1))</f>
        <v>0</v>
      </c>
      <c r="V207" s="2">
        <f>MROUND(Данные6[[#This Row],[Минимум 20000]], 100)</f>
        <v>0</v>
      </c>
    </row>
    <row r="208" spans="1:22" x14ac:dyDescent="0.25">
      <c r="A208" s="2">
        <f>'1000_заявлений'!A202</f>
        <v>200</v>
      </c>
      <c r="B208" s="4">
        <f>VALUE(SUBSTITUTE('1000_заявлений'!B202, ".", ","))</f>
        <v>0.44442211597745401</v>
      </c>
      <c r="C208" s="4">
        <f>VALUE(SUBSTITUTE('1000_заявлений'!C202, ".", ","))</f>
        <v>0.50334964437251295</v>
      </c>
      <c r="D208" s="4">
        <f>VALUE(SUBSTITUTE('1000_заявлений'!D202, ".", ","))</f>
        <v>0.51008949999999997</v>
      </c>
      <c r="E208" s="4">
        <f>VALUE(SUBSTITUTE('1000_заявлений'!E202, ".", ","))</f>
        <v>0.21346687</v>
      </c>
      <c r="F208" s="5">
        <f>VALUE(SUBSTITUTE('1000_заявлений'!F202, ".", ","))</f>
        <v>-5965</v>
      </c>
      <c r="G208" s="5">
        <f>VALUE(SUBSTITUTE('1000_заявлений'!G202, ".", ","))</f>
        <v>-19526</v>
      </c>
      <c r="H208" s="5">
        <f>VALUE(SUBSTITUTE('1000_заявлений'!H202, ".", ","))</f>
        <v>-3066</v>
      </c>
      <c r="I208" s="4">
        <f>VALUE(SUBSTITUTE('1000_заявлений'!I202, ".", ","))</f>
        <v>3.6997500000000003E-2</v>
      </c>
      <c r="J208" s="4">
        <f>VALUE(SUBSTITUTE('1000_заявлений'!J202, ".", ","))</f>
        <v>0.89091687720583801</v>
      </c>
      <c r="K208" s="5">
        <f>VALUE(SUBSTITUTE('1000_заявлений'!K202, ".", ","))</f>
        <v>-2279</v>
      </c>
      <c r="L208" s="6">
        <f>VALUE(SUBSTITUTE('1000_заявлений'!L202, ".", ","))</f>
        <v>66595.5</v>
      </c>
      <c r="M208" s="2" t="str">
        <f>IF(Данные6[[#This Row],[proba]]&gt;$C$6, "отказ", "одобрение")</f>
        <v>отказ</v>
      </c>
      <c r="N208" s="7">
        <f>IF(Данные6[[#This Row],[proba]]&lt;$D$2,$C$2,IF(Данные6[[#This Row],[proba]]&lt;$D$3,$C$3,IF(Данные6[[#This Row],[proba]]&gt;$C$6,0,$C$4)))</f>
        <v>0</v>
      </c>
      <c r="O208" s="2">
        <f>IF(Данные6[[#This Row],[weighted_ext_score]]&gt;$O$1,MIN(Данные6[[#This Row],[Базовая сумма]]*$O$2,$C$2),IF(Данные6[[#This Row],[weighted_ext_score]]&lt;$O$3,Данные6[[#This Row],[Базовая сумма]]*$O$4,N208))</f>
        <v>0</v>
      </c>
      <c r="P2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8" s="2">
        <f>ABS(Данные6[[#This Row],[days_birth]])/365.2425</f>
        <v>53.4603722184576</v>
      </c>
      <c r="S2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8" s="2">
        <f>IF(Данные6[[#This Row],[ interest_rate]]&gt;$T$1,Данные6[[#This Row],[days_birth4]]*$T$2,Данные6[[#This Row],[days_birth4]])</f>
        <v>0</v>
      </c>
      <c r="U208" s="2">
        <f>IF(Данные6[[#This Row],[Проверка отказа]]="отказ",0,MAX(Данные6[[#This Row],[interest_rate]],$C$1))</f>
        <v>0</v>
      </c>
      <c r="V208" s="2">
        <f>MROUND(Данные6[[#This Row],[Минимум 20000]], 100)</f>
        <v>0</v>
      </c>
    </row>
    <row r="209" spans="1:22" x14ac:dyDescent="0.25">
      <c r="A209" s="2">
        <f>'1000_заявлений'!A203</f>
        <v>201</v>
      </c>
      <c r="B209" s="4">
        <f>VALUE(SUBSTITUTE('1000_заявлений'!B203, ".", ","))</f>
        <v>0.56611845438339603</v>
      </c>
      <c r="C209" s="4">
        <f>VALUE(SUBSTITUTE('1000_заявлений'!C203, ".", ","))</f>
        <v>0.34222818906554198</v>
      </c>
      <c r="D209" s="4">
        <f>VALUE(SUBSTITUTE('1000_заявлений'!D203, ".", ","))</f>
        <v>0.29708663000000002</v>
      </c>
      <c r="E209" s="4">
        <f>VALUE(SUBSTITUTE('1000_заявлений'!E203, ".", ","))</f>
        <v>0.72379439999999995</v>
      </c>
      <c r="F209" s="5">
        <f>VALUE(SUBSTITUTE('1000_заявлений'!F203, ".", ","))</f>
        <v>-4147</v>
      </c>
      <c r="G209" s="5">
        <f>VALUE(SUBSTITUTE('1000_заявлений'!G203, ".", ","))</f>
        <v>-13400</v>
      </c>
      <c r="H209" s="5">
        <f>VALUE(SUBSTITUTE('1000_заявлений'!H203, ".", ","))</f>
        <v>-1525</v>
      </c>
      <c r="I209" s="4">
        <f>VALUE(SUBSTITUTE('1000_заявлений'!I203, ".", ","))</f>
        <v>0.26640000000000003</v>
      </c>
      <c r="J209" s="4">
        <f>VALUE(SUBSTITUTE('1000_заявлений'!J203, ".", ","))</f>
        <v>3.1563858036098398</v>
      </c>
      <c r="K209" s="5">
        <f>VALUE(SUBSTITUTE('1000_заявлений'!K203, ".", ","))</f>
        <v>-109</v>
      </c>
      <c r="L209" s="6">
        <f>VALUE(SUBSTITUTE('1000_заявлений'!L203, ".", ","))</f>
        <v>29970</v>
      </c>
      <c r="M209" s="2" t="str">
        <f>IF(Данные6[[#This Row],[proba]]&gt;$C$6, "отказ", "одобрение")</f>
        <v>отказ</v>
      </c>
      <c r="N209" s="7">
        <f>IF(Данные6[[#This Row],[proba]]&lt;$D$2,$C$2,IF(Данные6[[#This Row],[proba]]&lt;$D$3,$C$3,IF(Данные6[[#This Row],[proba]]&gt;$C$6,0,$C$4)))</f>
        <v>0</v>
      </c>
      <c r="O209" s="2">
        <f>IF(Данные6[[#This Row],[weighted_ext_score]]&gt;$O$1,MIN(Данные6[[#This Row],[Базовая сумма]]*$O$2,$C$2),IF(Данные6[[#This Row],[weighted_ext_score]]&lt;$O$3,Данные6[[#This Row],[Базовая сумма]]*$O$4,N209))</f>
        <v>0</v>
      </c>
      <c r="P2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09" s="2">
        <f>ABS(Данные6[[#This Row],[days_birth]])/365.2425</f>
        <v>36.687953893646004</v>
      </c>
      <c r="S2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09" s="2">
        <f>IF(Данные6[[#This Row],[ interest_rate]]&gt;$T$1,Данные6[[#This Row],[days_birth4]]*$T$2,Данные6[[#This Row],[days_birth4]])</f>
        <v>0</v>
      </c>
      <c r="U209" s="2">
        <f>IF(Данные6[[#This Row],[Проверка отказа]]="отказ",0,MAX(Данные6[[#This Row],[interest_rate]],$C$1))</f>
        <v>0</v>
      </c>
      <c r="V209" s="2">
        <f>MROUND(Данные6[[#This Row],[Минимум 20000]], 100)</f>
        <v>0</v>
      </c>
    </row>
    <row r="210" spans="1:22" x14ac:dyDescent="0.25">
      <c r="A210" s="2">
        <f>'1000_заявлений'!A204</f>
        <v>202</v>
      </c>
      <c r="B210" s="4">
        <f>VALUE(SUBSTITUTE('1000_заявлений'!B204, ".", ","))</f>
        <v>0.29624442460998102</v>
      </c>
      <c r="C210" s="4">
        <f>VALUE(SUBSTITUTE('1000_заявлений'!C204, ".", ","))</f>
        <v>0.479367345838422</v>
      </c>
      <c r="D210" s="4">
        <f>VALUE(SUBSTITUTE('1000_заявлений'!D204, ".", ","))</f>
        <v>0.74630019999999997</v>
      </c>
      <c r="E210" s="4">
        <f>VALUE(SUBSTITUTE('1000_заявлений'!E204, ".", ","))</f>
        <v>0.64571869999999998</v>
      </c>
      <c r="F210" s="5">
        <f>VALUE(SUBSTITUTE('1000_заявлений'!F204, ".", ","))</f>
        <v>-6860</v>
      </c>
      <c r="G210" s="5">
        <f>VALUE(SUBSTITUTE('1000_заявлений'!G204, ".", ","))</f>
        <v>-14575</v>
      </c>
      <c r="H210" s="5">
        <f>VALUE(SUBSTITUTE('1000_заявлений'!H204, ".", ","))</f>
        <v>-2130</v>
      </c>
      <c r="I210" s="4">
        <f>VALUE(SUBSTITUTE('1000_заявлений'!I204, ".", ","))</f>
        <v>0.36806666666666599</v>
      </c>
      <c r="J210" s="4">
        <f>VALUE(SUBSTITUTE('1000_заявлений'!J204, ".", ","))</f>
        <v>5.6463095175507396</v>
      </c>
      <c r="K210" s="5">
        <f>VALUE(SUBSTITUTE('1000_заявлений'!K204, ".", ","))</f>
        <v>-2146</v>
      </c>
      <c r="L210" s="6">
        <f>VALUE(SUBSTITUTE('1000_заявлений'!L204, ".", ","))</f>
        <v>24844.5</v>
      </c>
      <c r="M210" s="2" t="str">
        <f>IF(Данные6[[#This Row],[proba]]&gt;$C$6, "отказ", "одобрение")</f>
        <v>одобрение</v>
      </c>
      <c r="N210" s="7">
        <f>IF(Данные6[[#This Row],[proba]]&lt;$D$2,$C$2,IF(Данные6[[#This Row],[proba]]&lt;$D$3,$C$3,IF(Данные6[[#This Row],[proba]]&gt;$C$6,0,$C$4)))</f>
        <v>50000</v>
      </c>
      <c r="O210" s="2">
        <f>IF(Данные6[[#This Row],[weighted_ext_score]]&gt;$O$1,MIN(Данные6[[#This Row],[Базовая сумма]]*$O$2,$C$2),IF(Данные6[[#This Row],[weighted_ext_score]]&lt;$O$3,Данные6[[#This Row],[Базовая сумма]]*$O$4,N210))</f>
        <v>40000</v>
      </c>
      <c r="P2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210" s="2">
        <f>ABS(Данные6[[#This Row],[days_birth]])/365.2425</f>
        <v>39.904994626857501</v>
      </c>
      <c r="S2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210" s="2">
        <f>IF(Данные6[[#This Row],[ interest_rate]]&gt;$T$1,Данные6[[#This Row],[days_birth4]]*$T$2,Данные6[[#This Row],[days_birth4]])</f>
        <v>28000</v>
      </c>
      <c r="U210" s="2">
        <f>IF(Данные6[[#This Row],[Проверка отказа]]="отказ",0,MAX(Данные6[[#This Row],[interest_rate]],$C$1))</f>
        <v>28000</v>
      </c>
      <c r="V210" s="2">
        <f>MROUND(Данные6[[#This Row],[Минимум 20000]], 100)</f>
        <v>28000</v>
      </c>
    </row>
    <row r="211" spans="1:22" x14ac:dyDescent="0.25">
      <c r="A211" s="2">
        <f>'1000_заявлений'!A205</f>
        <v>203</v>
      </c>
      <c r="B211" s="4">
        <f>VALUE(SUBSTITUTE('1000_заявлений'!B205, ".", ","))</f>
        <v>0.28776287494963998</v>
      </c>
      <c r="C211" s="4">
        <f>VALUE(SUBSTITUTE('1000_заявлений'!C205, ".", ","))</f>
        <v>0.45501528415488601</v>
      </c>
      <c r="D211" s="4">
        <f>VALUE(SUBSTITUTE('1000_заявлений'!D205, ".", ","))</f>
        <v>0.67224289999999998</v>
      </c>
      <c r="E211" s="4">
        <f>VALUE(SUBSTITUTE('1000_заявлений'!E205, ".", ","))</f>
        <v>0.65321589999999996</v>
      </c>
      <c r="F211" s="5">
        <f>VALUE(SUBSTITUTE('1000_заявлений'!F205, ".", ","))</f>
        <v>-6218</v>
      </c>
      <c r="G211" s="5">
        <f>VALUE(SUBSTITUTE('1000_заявлений'!G205, ".", ","))</f>
        <v>-15803</v>
      </c>
      <c r="H211" s="5">
        <f>VALUE(SUBSTITUTE('1000_заявлений'!H205, ".", ","))</f>
        <v>-4547</v>
      </c>
      <c r="I211" s="4">
        <f>VALUE(SUBSTITUTE('1000_заявлений'!I205, ".", ","))</f>
        <v>0.30686666666666601</v>
      </c>
      <c r="J211" s="4">
        <f>VALUE(SUBSTITUTE('1000_заявлений'!J205, ".", ","))</f>
        <v>5.8590378733198696</v>
      </c>
      <c r="K211" s="5">
        <f>VALUE(SUBSTITUTE('1000_заявлений'!K205, ".", ","))</f>
        <v>-1071</v>
      </c>
      <c r="L211" s="6">
        <f>VALUE(SUBSTITUTE('1000_заявлений'!L205, ".", ","))</f>
        <v>41427</v>
      </c>
      <c r="M211" s="2" t="str">
        <f>IF(Данные6[[#This Row],[proba]]&gt;$C$6, "отказ", "одобрение")</f>
        <v>одобрение</v>
      </c>
      <c r="N211" s="7">
        <f>IF(Данные6[[#This Row],[proba]]&lt;$D$2,$C$2,IF(Данные6[[#This Row],[proba]]&lt;$D$3,$C$3,IF(Данные6[[#This Row],[proba]]&gt;$C$6,0,$C$4)))</f>
        <v>50000</v>
      </c>
      <c r="O211" s="2">
        <f>IF(Данные6[[#This Row],[weighted_ext_score]]&gt;$O$1,MIN(Данные6[[#This Row],[Базовая сумма]]*$O$2,$C$2),IF(Данные6[[#This Row],[weighted_ext_score]]&lt;$O$3,Данные6[[#This Row],[Базовая сумма]]*$O$4,N211))</f>
        <v>40000</v>
      </c>
      <c r="P2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211" s="2">
        <f>ABS(Данные6[[#This Row],[days_birth]])/365.2425</f>
        <v>43.267144431439384</v>
      </c>
      <c r="S2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211" s="2">
        <f>IF(Данные6[[#This Row],[ interest_rate]]&gt;$T$1,Данные6[[#This Row],[days_birth4]]*$T$2,Данные6[[#This Row],[days_birth4]])</f>
        <v>28000</v>
      </c>
      <c r="U211" s="2">
        <f>IF(Данные6[[#This Row],[Проверка отказа]]="отказ",0,MAX(Данные6[[#This Row],[interest_rate]],$C$1))</f>
        <v>28000</v>
      </c>
      <c r="V211" s="2">
        <f>MROUND(Данные6[[#This Row],[Минимум 20000]], 100)</f>
        <v>28000</v>
      </c>
    </row>
    <row r="212" spans="1:22" x14ac:dyDescent="0.25">
      <c r="A212" s="2">
        <f>'1000_заявлений'!A206</f>
        <v>204</v>
      </c>
      <c r="B212" s="4">
        <f>VALUE(SUBSTITUTE('1000_заявлений'!B206, ".", ","))</f>
        <v>0.20455532150501399</v>
      </c>
      <c r="C212" s="4">
        <f>VALUE(SUBSTITUTE('1000_заявлений'!C206, ".", ","))</f>
        <v>0.46856766608771</v>
      </c>
      <c r="D212" s="4">
        <f>VALUE(SUBSTITUTE('1000_заявлений'!D206, ".", ","))</f>
        <v>0.64797689999999997</v>
      </c>
      <c r="E212" s="4">
        <f>VALUE(SUBSTITUTE('1000_заявлений'!E206, ".", ","))</f>
        <v>0.72205114000000004</v>
      </c>
      <c r="F212" s="5">
        <f>VALUE(SUBSTITUTE('1000_заявлений'!F206, ".", ","))</f>
        <v>-1137</v>
      </c>
      <c r="G212" s="5">
        <f>VALUE(SUBSTITUTE('1000_заявлений'!G206, ".", ","))</f>
        <v>-20626</v>
      </c>
      <c r="H212" s="5">
        <f>VALUE(SUBSTITUTE('1000_заявлений'!H206, ".", ","))</f>
        <v>-4059</v>
      </c>
      <c r="I212" s="4">
        <f>VALUE(SUBSTITUTE('1000_заявлений'!I206, ".", ","))</f>
        <v>0.30349999999999999</v>
      </c>
      <c r="J212" s="4">
        <f>VALUE(SUBSTITUTE('1000_заявлений'!J206, ".", ","))</f>
        <v>9.4032211204061404</v>
      </c>
      <c r="K212" s="5">
        <f>VALUE(SUBSTITUTE('1000_заявлений'!K206, ".", ","))</f>
        <v>-664</v>
      </c>
      <c r="L212" s="6">
        <f>VALUE(SUBSTITUTE('1000_заявлений'!L206, ".", ","))</f>
        <v>109260</v>
      </c>
      <c r="M212" s="2" t="str">
        <f>IF(Данные6[[#This Row],[proba]]&gt;$C$6, "отказ", "одобрение")</f>
        <v>одобрение</v>
      </c>
      <c r="N212" s="7">
        <f>IF(Данные6[[#This Row],[proba]]&lt;$D$2,$C$2,IF(Данные6[[#This Row],[proba]]&lt;$D$3,$C$3,IF(Данные6[[#This Row],[proba]]&gt;$C$6,0,$C$4)))</f>
        <v>50000</v>
      </c>
      <c r="O212" s="2">
        <f>IF(Данные6[[#This Row],[weighted_ext_score]]&gt;$O$1,MIN(Данные6[[#This Row],[Базовая сумма]]*$O$2,$C$2),IF(Данные6[[#This Row],[weighted_ext_score]]&lt;$O$3,Данные6[[#This Row],[Базовая сумма]]*$O$4,N212))</f>
        <v>40000</v>
      </c>
      <c r="P2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212" s="2">
        <f>ABS(Данные6[[#This Row],[days_birth]])/365.2425</f>
        <v>56.472069926144954</v>
      </c>
      <c r="S2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212" s="2">
        <f>IF(Данные6[[#This Row],[ interest_rate]]&gt;$T$1,Данные6[[#This Row],[days_birth4]]*$T$2,Данные6[[#This Row],[days_birth4]])</f>
        <v>29400</v>
      </c>
      <c r="U212" s="2">
        <f>IF(Данные6[[#This Row],[Проверка отказа]]="отказ",0,MAX(Данные6[[#This Row],[interest_rate]],$C$1))</f>
        <v>29400</v>
      </c>
      <c r="V212" s="2">
        <f>MROUND(Данные6[[#This Row],[Минимум 20000]], 100)</f>
        <v>29400</v>
      </c>
    </row>
    <row r="213" spans="1:22" x14ac:dyDescent="0.25">
      <c r="A213" s="2">
        <f>'1000_заявлений'!A207</f>
        <v>205</v>
      </c>
      <c r="B213" s="4">
        <f>VALUE(SUBSTITUTE('1000_заявлений'!B207, ".", ","))</f>
        <v>0.429914543546279</v>
      </c>
      <c r="C213" s="4">
        <f>VALUE(SUBSTITUTE('1000_заявлений'!C207, ".", ","))</f>
        <v>0.46511415331593298</v>
      </c>
      <c r="D213" s="4">
        <f>VALUE(SUBSTITUTE('1000_заявлений'!D207, ".", ","))</f>
        <v>0.66263777000000001</v>
      </c>
      <c r="E213" s="4">
        <f>VALUE(SUBSTITUTE('1000_заявлений'!E207, ".", ","))</f>
        <v>0.44845786999999998</v>
      </c>
      <c r="F213" s="5">
        <f>VALUE(SUBSTITUTE('1000_заявлений'!F207, ".", ","))</f>
        <v>-279</v>
      </c>
      <c r="G213" s="5">
        <f>VALUE(SUBSTITUTE('1000_заявлений'!G207, ".", ","))</f>
        <v>-10892</v>
      </c>
      <c r="H213" s="5">
        <f>VALUE(SUBSTITUTE('1000_заявлений'!H207, ".", ","))</f>
        <v>-3463</v>
      </c>
      <c r="I213" s="4">
        <f>VALUE(SUBSTITUTE('1000_заявлений'!I207, ".", ","))</f>
        <v>0.26860000000000001</v>
      </c>
      <c r="J213" s="4">
        <f>VALUE(SUBSTITUTE('1000_заявлений'!J207, ".", ","))</f>
        <v>1.61679290308431</v>
      </c>
      <c r="K213" s="5">
        <f>VALUE(SUBSTITUTE('1000_заявлений'!K207, ".", ","))</f>
        <v>-2264</v>
      </c>
      <c r="L213" s="6">
        <f>VALUE(SUBSTITUTE('1000_заявлений'!L207, ".", ","))</f>
        <v>36261</v>
      </c>
      <c r="M213" s="2" t="str">
        <f>IF(Данные6[[#This Row],[proba]]&gt;$C$6, "отказ", "одобрение")</f>
        <v>отказ</v>
      </c>
      <c r="N213" s="7">
        <f>IF(Данные6[[#This Row],[proba]]&lt;$D$2,$C$2,IF(Данные6[[#This Row],[proba]]&lt;$D$3,$C$3,IF(Данные6[[#This Row],[proba]]&gt;$C$6,0,$C$4)))</f>
        <v>0</v>
      </c>
      <c r="O213" s="2">
        <f>IF(Данные6[[#This Row],[weighted_ext_score]]&gt;$O$1,MIN(Данные6[[#This Row],[Базовая сумма]]*$O$2,$C$2),IF(Данные6[[#This Row],[weighted_ext_score]]&lt;$O$3,Данные6[[#This Row],[Базовая сумма]]*$O$4,N213))</f>
        <v>0</v>
      </c>
      <c r="P2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3" s="2">
        <f>ABS(Данные6[[#This Row],[days_birth]])/365.2425</f>
        <v>29.821283120118824</v>
      </c>
      <c r="S2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3" s="2">
        <f>IF(Данные6[[#This Row],[ interest_rate]]&gt;$T$1,Данные6[[#This Row],[days_birth4]]*$T$2,Данные6[[#This Row],[days_birth4]])</f>
        <v>0</v>
      </c>
      <c r="U213" s="2">
        <f>IF(Данные6[[#This Row],[Проверка отказа]]="отказ",0,MAX(Данные6[[#This Row],[interest_rate]],$C$1))</f>
        <v>0</v>
      </c>
      <c r="V213" s="2">
        <f>MROUND(Данные6[[#This Row],[Минимум 20000]], 100)</f>
        <v>0</v>
      </c>
    </row>
    <row r="214" spans="1:22" x14ac:dyDescent="0.25">
      <c r="A214" s="2">
        <f>'1000_заявлений'!A208</f>
        <v>206</v>
      </c>
      <c r="B214" s="4">
        <f>VALUE(SUBSTITUTE('1000_заявлений'!B208, ".", ","))</f>
        <v>0.88744682014814302</v>
      </c>
      <c r="C214" s="4">
        <f>VALUE(SUBSTITUTE('1000_заявлений'!C208, ".", ","))</f>
        <v>0.103619373791056</v>
      </c>
      <c r="D214" s="4">
        <f>VALUE(SUBSTITUTE('1000_заявлений'!D208, ".", ","))</f>
        <v>0.23661082999999999</v>
      </c>
      <c r="E214" s="4">
        <f>VALUE(SUBSTITUTE('1000_заявлений'!E208, ".", ","))</f>
        <v>5.5630873999999997E-2</v>
      </c>
      <c r="F214" s="5">
        <f>VALUE(SUBSTITUTE('1000_заявлений'!F208, ".", ","))</f>
        <v>-110</v>
      </c>
      <c r="G214" s="5">
        <f>VALUE(SUBSTITUTE('1000_заявлений'!G208, ".", ","))</f>
        <v>-9555</v>
      </c>
      <c r="H214" s="5">
        <f>VALUE(SUBSTITUTE('1000_заявлений'!H208, ".", ","))</f>
        <v>-712</v>
      </c>
      <c r="I214" s="4">
        <f>VALUE(SUBSTITUTE('1000_заявлений'!I208, ".", ","))</f>
        <v>6.8781250000000002E-2</v>
      </c>
      <c r="J214" s="4">
        <f>VALUE(SUBSTITUTE('1000_заявлений'!J208, ".", ","))</f>
        <v>0.19376321711837</v>
      </c>
      <c r="K214" s="5">
        <f>VALUE(SUBSTITUTE('1000_заявлений'!K208, ".", ","))</f>
        <v>-618</v>
      </c>
      <c r="L214" s="6">
        <f>VALUE(SUBSTITUTE('1000_заявлений'!L208, ".", ","))</f>
        <v>9904.5</v>
      </c>
      <c r="M214" s="2" t="str">
        <f>IF(Данные6[[#This Row],[proba]]&gt;$C$6, "отказ", "одобрение")</f>
        <v>отказ</v>
      </c>
      <c r="N214" s="7">
        <f>IF(Данные6[[#This Row],[proba]]&lt;$D$2,$C$2,IF(Данные6[[#This Row],[proba]]&lt;$D$3,$C$3,IF(Данные6[[#This Row],[proba]]&gt;$C$6,0,$C$4)))</f>
        <v>0</v>
      </c>
      <c r="O214" s="2">
        <f>IF(Данные6[[#This Row],[weighted_ext_score]]&gt;$O$1,MIN(Данные6[[#This Row],[Базовая сумма]]*$O$2,$C$2),IF(Данные6[[#This Row],[weighted_ext_score]]&lt;$O$3,Данные6[[#This Row],[Базовая сумма]]*$O$4,N214))</f>
        <v>0</v>
      </c>
      <c r="P2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4" s="2">
        <f>ABS(Данные6[[#This Row],[days_birth]])/365.2425</f>
        <v>26.160701451775189</v>
      </c>
      <c r="S2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4" s="2">
        <f>IF(Данные6[[#This Row],[ interest_rate]]&gt;$T$1,Данные6[[#This Row],[days_birth4]]*$T$2,Данные6[[#This Row],[days_birth4]])</f>
        <v>0</v>
      </c>
      <c r="U214" s="2">
        <f>IF(Данные6[[#This Row],[Проверка отказа]]="отказ",0,MAX(Данные6[[#This Row],[interest_rate]],$C$1))</f>
        <v>0</v>
      </c>
      <c r="V214" s="2">
        <f>MROUND(Данные6[[#This Row],[Минимум 20000]], 100)</f>
        <v>0</v>
      </c>
    </row>
    <row r="215" spans="1:22" x14ac:dyDescent="0.25">
      <c r="A215" s="2">
        <f>'1000_заявлений'!A209</f>
        <v>207</v>
      </c>
      <c r="B215" s="4">
        <f>VALUE(SUBSTITUTE('1000_заявлений'!B209, ".", ","))</f>
        <v>0.75097452621869898</v>
      </c>
      <c r="C215" s="4">
        <f>VALUE(SUBSTITUTE('1000_заявлений'!C209, ".", ","))</f>
        <v>0.18019265006507901</v>
      </c>
      <c r="D215" s="4">
        <f>VALUE(SUBSTITUTE('1000_заявлений'!D209, ".", ","))</f>
        <v>0.38420680000000001</v>
      </c>
      <c r="E215" s="4">
        <f>VALUE(SUBSTITUTE('1000_заявлений'!E209, ".", ","))</f>
        <v>0.12713068999999999</v>
      </c>
      <c r="F215" s="5">
        <f>VALUE(SUBSTITUTE('1000_заявлений'!F209, ".", ","))</f>
        <v>-9147</v>
      </c>
      <c r="G215" s="5">
        <f>VALUE(SUBSTITUTE('1000_заявлений'!G209, ".", ","))</f>
        <v>-21383</v>
      </c>
      <c r="H215" s="5">
        <f>VALUE(SUBSTITUTE('1000_заявлений'!H209, ".", ","))</f>
        <v>-1075</v>
      </c>
      <c r="I215" s="4">
        <f>VALUE(SUBSTITUTE('1000_заявлений'!I209, ".", ","))</f>
        <v>0.32933333333333298</v>
      </c>
      <c r="J215" s="4">
        <f>VALUE(SUBSTITUTE('1000_заявлений'!J209, ".", ","))</f>
        <v>2.6702755583181998</v>
      </c>
      <c r="K215" s="5">
        <f>VALUE(SUBSTITUTE('1000_заявлений'!K209, ".", ","))</f>
        <v>365243</v>
      </c>
      <c r="L215" s="6">
        <f>VALUE(SUBSTITUTE('1000_заявлений'!L209, ".", ","))</f>
        <v>17784</v>
      </c>
      <c r="M215" s="2" t="str">
        <f>IF(Данные6[[#This Row],[proba]]&gt;$C$6, "отказ", "одобрение")</f>
        <v>отказ</v>
      </c>
      <c r="N215" s="7">
        <f>IF(Данные6[[#This Row],[proba]]&lt;$D$2,$C$2,IF(Данные6[[#This Row],[proba]]&lt;$D$3,$C$3,IF(Данные6[[#This Row],[proba]]&gt;$C$6,0,$C$4)))</f>
        <v>0</v>
      </c>
      <c r="O215" s="2">
        <f>IF(Данные6[[#This Row],[weighted_ext_score]]&gt;$O$1,MIN(Данные6[[#This Row],[Базовая сумма]]*$O$2,$C$2),IF(Данные6[[#This Row],[weighted_ext_score]]&lt;$O$3,Данные6[[#This Row],[Базовая сумма]]*$O$4,N215))</f>
        <v>0</v>
      </c>
      <c r="P2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5" s="2">
        <f>ABS(Данные6[[#This Row],[days_birth]])/365.2425</f>
        <v>58.54466553043526</v>
      </c>
      <c r="S2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5" s="2">
        <f>IF(Данные6[[#This Row],[ interest_rate]]&gt;$T$1,Данные6[[#This Row],[days_birth4]]*$T$2,Данные6[[#This Row],[days_birth4]])</f>
        <v>0</v>
      </c>
      <c r="U215" s="2">
        <f>IF(Данные6[[#This Row],[Проверка отказа]]="отказ",0,MAX(Данные6[[#This Row],[interest_rate]],$C$1))</f>
        <v>0</v>
      </c>
      <c r="V215" s="2">
        <f>MROUND(Данные6[[#This Row],[Минимум 20000]], 100)</f>
        <v>0</v>
      </c>
    </row>
    <row r="216" spans="1:22" x14ac:dyDescent="0.25">
      <c r="A216" s="2">
        <f>'1000_заявлений'!A210</f>
        <v>208</v>
      </c>
      <c r="B216" s="4">
        <f>VALUE(SUBSTITUTE('1000_заявлений'!B210, ".", ","))</f>
        <v>0.17785108241962699</v>
      </c>
      <c r="C216" s="4">
        <f>VALUE(SUBSTITUTE('1000_заявлений'!C210, ".", ","))</f>
        <v>0.64218063710523199</v>
      </c>
      <c r="D216" s="4">
        <f>VALUE(SUBSTITUTE('1000_заявлений'!D210, ".", ","))</f>
        <v>0.68326885000000004</v>
      </c>
      <c r="E216" s="4">
        <f>VALUE(SUBSTITUTE('1000_заявлений'!E210, ".", ","))</f>
        <v>0.75918759999999996</v>
      </c>
      <c r="F216" s="5">
        <f>VALUE(SUBSTITUTE('1000_заявлений'!F210, ".", ","))</f>
        <v>-2398</v>
      </c>
      <c r="G216" s="5">
        <f>VALUE(SUBSTITUTE('1000_заявлений'!G210, ".", ","))</f>
        <v>-14400</v>
      </c>
      <c r="H216" s="5">
        <f>VALUE(SUBSTITUTE('1000_заявлений'!H210, ".", ","))</f>
        <v>-4731</v>
      </c>
      <c r="I216" s="4">
        <f>VALUE(SUBSTITUTE('1000_заявлений'!I210, ".", ","))</f>
        <v>0.128816666666666</v>
      </c>
      <c r="J216" s="4">
        <f>VALUE(SUBSTITUTE('1000_заявлений'!J210, ".", ","))</f>
        <v>2.34741022261553</v>
      </c>
      <c r="K216" s="5">
        <f>VALUE(SUBSTITUTE('1000_заявлений'!K210, ".", ","))</f>
        <v>-787</v>
      </c>
      <c r="L216" s="6">
        <f>VALUE(SUBSTITUTE('1000_заявлений'!L210, ".", ","))</f>
        <v>34780.5</v>
      </c>
      <c r="M216" s="2" t="str">
        <f>IF(Данные6[[#This Row],[proba]]&gt;$C$6, "отказ", "одобрение")</f>
        <v>одобрение</v>
      </c>
      <c r="N216" s="7">
        <f>IF(Данные6[[#This Row],[proba]]&lt;$D$2,$C$2,IF(Данные6[[#This Row],[proba]]&lt;$D$3,$C$3,IF(Данные6[[#This Row],[proba]]&gt;$C$6,0,$C$4)))</f>
        <v>200000</v>
      </c>
      <c r="O216" s="2">
        <f>IF(Данные6[[#This Row],[weighted_ext_score]]&gt;$O$1,MIN(Данные6[[#This Row],[Базовая сумма]]*$O$2,$C$2),IF(Данные6[[#This Row],[weighted_ext_score]]&lt;$O$3,Данные6[[#This Row],[Базовая сумма]]*$O$4,N216))</f>
        <v>200000</v>
      </c>
      <c r="P2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216" s="2">
        <f>ABS(Данные6[[#This Row],[days_birth]])/365.2425</f>
        <v>39.425860900634511</v>
      </c>
      <c r="S2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140000</v>
      </c>
      <c r="T216" s="2">
        <f>IF(Данные6[[#This Row],[ interest_rate]]&gt;$T$1,Данные6[[#This Row],[days_birth4]]*$T$2,Данные6[[#This Row],[days_birth4]])</f>
        <v>140000</v>
      </c>
      <c r="U216" s="2">
        <f>IF(Данные6[[#This Row],[Проверка отказа]]="отказ",0,MAX(Данные6[[#This Row],[interest_rate]],$C$1))</f>
        <v>140000</v>
      </c>
      <c r="V216" s="2">
        <f>MROUND(Данные6[[#This Row],[Минимум 20000]], 100)</f>
        <v>140000</v>
      </c>
    </row>
    <row r="217" spans="1:22" x14ac:dyDescent="0.25">
      <c r="A217" s="2">
        <f>'1000_заявлений'!A211</f>
        <v>209</v>
      </c>
      <c r="B217" s="4">
        <f>VALUE(SUBSTITUTE('1000_заявлений'!B211, ".", ","))</f>
        <v>0.49722837637166101</v>
      </c>
      <c r="C217" s="4">
        <f>VALUE(SUBSTITUTE('1000_заявлений'!C211, ".", ","))</f>
        <v>0.44459983921665203</v>
      </c>
      <c r="D217" s="4">
        <f>VALUE(SUBSTITUTE('1000_заявлений'!D211, ".", ","))</f>
        <v>0.37402079999999999</v>
      </c>
      <c r="E217" s="4">
        <f>VALUE(SUBSTITUTE('1000_заявлений'!E211, ".", ","))</f>
        <v>0.40508126999999999</v>
      </c>
      <c r="F217" s="5">
        <f>VALUE(SUBSTITUTE('1000_заявлений'!F211, ".", ","))</f>
        <v>-2258</v>
      </c>
      <c r="G217" s="5">
        <f>VALUE(SUBSTITUTE('1000_заявлений'!G211, ".", ","))</f>
        <v>-10379</v>
      </c>
      <c r="H217" s="5">
        <f>VALUE(SUBSTITUTE('1000_заявлений'!H211, ".", ","))</f>
        <v>-2878</v>
      </c>
      <c r="I217" s="4">
        <f>VALUE(SUBSTITUTE('1000_заявлений'!I211, ".", ","))</f>
        <v>0.14014285714285701</v>
      </c>
      <c r="J217" s="4">
        <f>VALUE(SUBSTITUTE('1000_заявлений'!J211, ".", ","))</f>
        <v>19.2957609326103</v>
      </c>
      <c r="K217" s="5">
        <f>VALUE(SUBSTITUTE('1000_заявлений'!K211, ".", ","))</f>
        <v>-2336</v>
      </c>
      <c r="L217" s="6">
        <f>VALUE(SUBSTITUTE('1000_заявлений'!L211, ".", ","))</f>
        <v>22072.5</v>
      </c>
      <c r="M217" s="2" t="str">
        <f>IF(Данные6[[#This Row],[proba]]&gt;$C$6, "отказ", "одобрение")</f>
        <v>отказ</v>
      </c>
      <c r="N217" s="7">
        <f>IF(Данные6[[#This Row],[proba]]&lt;$D$2,$C$2,IF(Данные6[[#This Row],[proba]]&lt;$D$3,$C$3,IF(Данные6[[#This Row],[proba]]&gt;$C$6,0,$C$4)))</f>
        <v>0</v>
      </c>
      <c r="O217" s="2">
        <f>IF(Данные6[[#This Row],[weighted_ext_score]]&gt;$O$1,MIN(Данные6[[#This Row],[Базовая сумма]]*$O$2,$C$2),IF(Данные6[[#This Row],[weighted_ext_score]]&lt;$O$3,Данные6[[#This Row],[Базовая сумма]]*$O$4,N217))</f>
        <v>0</v>
      </c>
      <c r="P2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7" s="2">
        <f>ABS(Данные6[[#This Row],[days_birth]])/365.2425</f>
        <v>28.416736825533722</v>
      </c>
      <c r="S2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7" s="2">
        <f>IF(Данные6[[#This Row],[ interest_rate]]&gt;$T$1,Данные6[[#This Row],[days_birth4]]*$T$2,Данные6[[#This Row],[days_birth4]])</f>
        <v>0</v>
      </c>
      <c r="U217" s="2">
        <f>IF(Данные6[[#This Row],[Проверка отказа]]="отказ",0,MAX(Данные6[[#This Row],[interest_rate]],$C$1))</f>
        <v>0</v>
      </c>
      <c r="V217" s="2">
        <f>MROUND(Данные6[[#This Row],[Минимум 20000]], 100)</f>
        <v>0</v>
      </c>
    </row>
    <row r="218" spans="1:22" x14ac:dyDescent="0.25">
      <c r="A218" s="2">
        <f>'1000_заявлений'!A212</f>
        <v>210</v>
      </c>
      <c r="B218" s="4">
        <f>VALUE(SUBSTITUTE('1000_заявлений'!B212, ".", ","))</f>
        <v>0.25850549016218699</v>
      </c>
      <c r="C218" s="4">
        <f>VALUE(SUBSTITUTE('1000_заявлений'!C212, ".", ","))</f>
        <v>0.41962120460164098</v>
      </c>
      <c r="D218" s="4">
        <f>VALUE(SUBSTITUTE('1000_заявлений'!D212, ".", ","))</f>
        <v>0.56737923999999995</v>
      </c>
      <c r="E218" s="4">
        <f>VALUE(SUBSTITUTE('1000_заявлений'!E212, ".", ","))</f>
        <v>0.6610201</v>
      </c>
      <c r="F218" s="5">
        <f>VALUE(SUBSTITUTE('1000_заявлений'!F212, ".", ","))</f>
        <v>-14632</v>
      </c>
      <c r="G218" s="5">
        <f>VALUE(SUBSTITUTE('1000_заявлений'!G212, ".", ","))</f>
        <v>-22552</v>
      </c>
      <c r="H218" s="5">
        <f>VALUE(SUBSTITUTE('1000_заявлений'!H212, ".", ","))</f>
        <v>-1627</v>
      </c>
      <c r="I218" s="4">
        <f>VALUE(SUBSTITUTE('1000_заявлений'!I212, ".", ","))</f>
        <v>9.7607142857142795E-2</v>
      </c>
      <c r="J218" s="4">
        <f>VALUE(SUBSTITUTE('1000_заявлений'!J212, ".", ","))</f>
        <v>4.0340303407808404</v>
      </c>
      <c r="K218" s="5">
        <f>VALUE(SUBSTITUTE('1000_заявлений'!K212, ".", ","))</f>
        <v>365243</v>
      </c>
      <c r="L218" s="6">
        <f>VALUE(SUBSTITUTE('1000_заявлений'!L212, ".", ","))</f>
        <v>12298.5</v>
      </c>
      <c r="M218" s="2" t="str">
        <f>IF(Данные6[[#This Row],[proba]]&gt;$C$6, "отказ", "одобрение")</f>
        <v>одобрение</v>
      </c>
      <c r="N218" s="7">
        <f>IF(Данные6[[#This Row],[proba]]&lt;$D$2,$C$2,IF(Данные6[[#This Row],[proba]]&lt;$D$3,$C$3,IF(Данные6[[#This Row],[proba]]&gt;$C$6,0,$C$4)))</f>
        <v>50000</v>
      </c>
      <c r="O218" s="2">
        <f>IF(Данные6[[#This Row],[weighted_ext_score]]&gt;$O$1,MIN(Данные6[[#This Row],[Базовая сумма]]*$O$2,$C$2),IF(Данные6[[#This Row],[weighted_ext_score]]&lt;$O$3,Данные6[[#This Row],[Базовая сумма]]*$O$4,N218))</f>
        <v>40000</v>
      </c>
      <c r="P2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2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218" s="2">
        <f>ABS(Данные6[[#This Row],[days_birth]])/365.2425</f>
        <v>61.745278821604821</v>
      </c>
      <c r="S2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218" s="2">
        <f>IF(Данные6[[#This Row],[ interest_rate]]&gt;$T$1,Данные6[[#This Row],[days_birth4]]*$T$2,Данные6[[#This Row],[days_birth4]])</f>
        <v>50400</v>
      </c>
      <c r="U218" s="2">
        <f>IF(Данные6[[#This Row],[Проверка отказа]]="отказ",0,MAX(Данные6[[#This Row],[interest_rate]],$C$1))</f>
        <v>50400</v>
      </c>
      <c r="V218" s="2">
        <f>MROUND(Данные6[[#This Row],[Минимум 20000]], 100)</f>
        <v>50400</v>
      </c>
    </row>
    <row r="219" spans="1:22" x14ac:dyDescent="0.25">
      <c r="A219" s="2">
        <f>'1000_заявлений'!A213</f>
        <v>211</v>
      </c>
      <c r="B219" s="4">
        <f>VALUE(SUBSTITUTE('1000_заявлений'!B213, ".", ","))</f>
        <v>0.388200726042981</v>
      </c>
      <c r="C219" s="4">
        <f>VALUE(SUBSTITUTE('1000_заявлений'!C213, ".", ","))</f>
        <v>0.516206059902376</v>
      </c>
      <c r="D219" s="4">
        <f>VALUE(SUBSTITUTE('1000_заявлений'!D213, ".", ","))</f>
        <v>0.44717857</v>
      </c>
      <c r="E219" s="4">
        <f>VALUE(SUBSTITUTE('1000_заявлений'!E213, ".", ","))</f>
        <v>0.72927295999999997</v>
      </c>
      <c r="F219" s="5">
        <f>VALUE(SUBSTITUTE('1000_заявлений'!F213, ".", ","))</f>
        <v>-3163</v>
      </c>
      <c r="G219" s="5">
        <f>VALUE(SUBSTITUTE('1000_заявлений'!G213, ".", ","))</f>
        <v>-12588</v>
      </c>
      <c r="H219" s="5">
        <f>VALUE(SUBSTITUTE('1000_заявлений'!H213, ".", ","))</f>
        <v>-5028</v>
      </c>
      <c r="I219" s="4">
        <f>VALUE(SUBSTITUTE('1000_заявлений'!I213, ".", ","))</f>
        <v>0.29239130434782601</v>
      </c>
      <c r="J219" s="4">
        <f>VALUE(SUBSTITUTE('1000_заявлений'!J213, ".", ","))</f>
        <v>1.5576936610682299</v>
      </c>
      <c r="K219" s="5">
        <f>VALUE(SUBSTITUTE('1000_заявлений'!K213, ".", ","))</f>
        <v>-3824</v>
      </c>
      <c r="L219" s="6">
        <f>VALUE(SUBSTITUTE('1000_заявлений'!L213, ".", ","))</f>
        <v>30262.5</v>
      </c>
      <c r="M219" s="2" t="str">
        <f>IF(Данные6[[#This Row],[proba]]&gt;$C$6, "отказ", "одобрение")</f>
        <v>отказ</v>
      </c>
      <c r="N219" s="7">
        <f>IF(Данные6[[#This Row],[proba]]&lt;$D$2,$C$2,IF(Данные6[[#This Row],[proba]]&lt;$D$3,$C$3,IF(Данные6[[#This Row],[proba]]&gt;$C$6,0,$C$4)))</f>
        <v>0</v>
      </c>
      <c r="O219" s="2">
        <f>IF(Данные6[[#This Row],[weighted_ext_score]]&gt;$O$1,MIN(Данные6[[#This Row],[Базовая сумма]]*$O$2,$C$2),IF(Данные6[[#This Row],[weighted_ext_score]]&lt;$O$3,Данные6[[#This Row],[Базовая сумма]]*$O$4,N219))</f>
        <v>0</v>
      </c>
      <c r="P2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19" s="2">
        <f>ABS(Данные6[[#This Row],[days_birth]])/365.2425</f>
        <v>34.464773403971336</v>
      </c>
      <c r="S2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19" s="2">
        <f>IF(Данные6[[#This Row],[ interest_rate]]&gt;$T$1,Данные6[[#This Row],[days_birth4]]*$T$2,Данные6[[#This Row],[days_birth4]])</f>
        <v>0</v>
      </c>
      <c r="U219" s="2">
        <f>IF(Данные6[[#This Row],[Проверка отказа]]="отказ",0,MAX(Данные6[[#This Row],[interest_rate]],$C$1))</f>
        <v>0</v>
      </c>
      <c r="V219" s="2">
        <f>MROUND(Данные6[[#This Row],[Минимум 20000]], 100)</f>
        <v>0</v>
      </c>
    </row>
    <row r="220" spans="1:22" x14ac:dyDescent="0.25">
      <c r="A220" s="2">
        <f>'1000_заявлений'!A214</f>
        <v>212</v>
      </c>
      <c r="B220" s="4">
        <f>VALUE(SUBSTITUTE('1000_заявлений'!B214, ".", ","))</f>
        <v>0.460038889061477</v>
      </c>
      <c r="C220" s="4">
        <f>VALUE(SUBSTITUTE('1000_заявлений'!C214, ".", ","))</f>
        <v>0.21347675557311299</v>
      </c>
      <c r="D220" s="4">
        <f>VALUE(SUBSTITUTE('1000_заявлений'!D214, ".", ","))</f>
        <v>0.53527623000000002</v>
      </c>
      <c r="E220" s="4">
        <f>VALUE(SUBSTITUTE('1000_заявлений'!E214, ".", ","))</f>
        <v>0.65811335999999998</v>
      </c>
      <c r="F220" s="5">
        <f>VALUE(SUBSTITUTE('1000_заявлений'!F214, ".", ","))</f>
        <v>-8933</v>
      </c>
      <c r="G220" s="5">
        <f>VALUE(SUBSTITUTE('1000_заявлений'!G214, ".", ","))</f>
        <v>-18598</v>
      </c>
      <c r="H220" s="5">
        <f>VALUE(SUBSTITUTE('1000_заявлений'!H214, ".", ","))</f>
        <v>-2139</v>
      </c>
      <c r="I220" s="4">
        <f>VALUE(SUBSTITUTE('1000_заявлений'!I214, ".", ","))</f>
        <v>0.10047058823529401</v>
      </c>
      <c r="J220" s="4">
        <f>VALUE(SUBSTITUTE('1000_заявлений'!J214, ".", ","))</f>
        <v>1.29044811520808</v>
      </c>
      <c r="K220" s="5">
        <f>VALUE(SUBSTITUTE('1000_заявлений'!K214, ".", ","))</f>
        <v>-1810</v>
      </c>
      <c r="L220" s="6">
        <f>VALUE(SUBSTITUTE('1000_заявлений'!L214, ".", ","))</f>
        <v>7686</v>
      </c>
      <c r="M220" s="2" t="str">
        <f>IF(Данные6[[#This Row],[proba]]&gt;$C$6, "отказ", "одобрение")</f>
        <v>отказ</v>
      </c>
      <c r="N220" s="7">
        <f>IF(Данные6[[#This Row],[proba]]&lt;$D$2,$C$2,IF(Данные6[[#This Row],[proba]]&lt;$D$3,$C$3,IF(Данные6[[#This Row],[proba]]&gt;$C$6,0,$C$4)))</f>
        <v>0</v>
      </c>
      <c r="O220" s="2">
        <f>IF(Данные6[[#This Row],[weighted_ext_score]]&gt;$O$1,MIN(Данные6[[#This Row],[Базовая сумма]]*$O$2,$C$2),IF(Данные6[[#This Row],[weighted_ext_score]]&lt;$O$3,Данные6[[#This Row],[Базовая сумма]]*$O$4,N220))</f>
        <v>0</v>
      </c>
      <c r="P2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0" s="2">
        <f>ABS(Данные6[[#This Row],[days_birth]])/365.2425</f>
        <v>50.919594515972264</v>
      </c>
      <c r="S2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0" s="2">
        <f>IF(Данные6[[#This Row],[ interest_rate]]&gt;$T$1,Данные6[[#This Row],[days_birth4]]*$T$2,Данные6[[#This Row],[days_birth4]])</f>
        <v>0</v>
      </c>
      <c r="U220" s="2">
        <f>IF(Данные6[[#This Row],[Проверка отказа]]="отказ",0,MAX(Данные6[[#This Row],[interest_rate]],$C$1))</f>
        <v>0</v>
      </c>
      <c r="V220" s="2">
        <f>MROUND(Данные6[[#This Row],[Минимум 20000]], 100)</f>
        <v>0</v>
      </c>
    </row>
    <row r="221" spans="1:22" x14ac:dyDescent="0.25">
      <c r="A221" s="2">
        <f>'1000_заявлений'!A215</f>
        <v>213</v>
      </c>
      <c r="B221" s="4">
        <f>VALUE(SUBSTITUTE('1000_заявлений'!B215, ".", ","))</f>
        <v>0.26699646701952701</v>
      </c>
      <c r="C221" s="4">
        <f>VALUE(SUBSTITUTE('1000_заявлений'!C215, ".", ","))</f>
        <v>0.587888359589406</v>
      </c>
      <c r="D221" s="4">
        <f>VALUE(SUBSTITUTE('1000_заявлений'!D215, ".", ","))</f>
        <v>0.59371759999999996</v>
      </c>
      <c r="E221" s="4">
        <f>VALUE(SUBSTITUTE('1000_заявлений'!E215, ".", ","))</f>
        <v>0.70532969999999995</v>
      </c>
      <c r="F221" s="5">
        <f>VALUE(SUBSTITUTE('1000_заявлений'!F215, ".", ","))</f>
        <v>-5023</v>
      </c>
      <c r="G221" s="5">
        <f>VALUE(SUBSTITUTE('1000_заявлений'!G215, ".", ","))</f>
        <v>-10988</v>
      </c>
      <c r="H221" s="5">
        <f>VALUE(SUBSTITUTE('1000_заявлений'!H215, ".", ","))</f>
        <v>-3184</v>
      </c>
      <c r="I221" s="4">
        <f>VALUE(SUBSTITUTE('1000_заявлений'!I215, ".", ","))</f>
        <v>8.4581818181818105E-2</v>
      </c>
      <c r="J221" s="4">
        <f>VALUE(SUBSTITUTE('1000_заявлений'!J215, ".", ","))</f>
        <v>1.9742512978304601</v>
      </c>
      <c r="K221" s="5">
        <f>VALUE(SUBSTITUTE('1000_заявлений'!K215, ".", ","))</f>
        <v>-3821</v>
      </c>
      <c r="L221" s="6">
        <f>VALUE(SUBSTITUTE('1000_заявлений'!L215, ".", ","))</f>
        <v>20934</v>
      </c>
      <c r="M221" s="2" t="str">
        <f>IF(Данные6[[#This Row],[proba]]&gt;$C$6, "отказ", "одобрение")</f>
        <v>одобрение</v>
      </c>
      <c r="N221" s="7">
        <f>IF(Данные6[[#This Row],[proba]]&lt;$D$2,$C$2,IF(Данные6[[#This Row],[proba]]&lt;$D$3,$C$3,IF(Данные6[[#This Row],[proba]]&gt;$C$6,0,$C$4)))</f>
        <v>50000</v>
      </c>
      <c r="O221" s="2">
        <f>IF(Данные6[[#This Row],[weighted_ext_score]]&gt;$O$1,MIN(Данные6[[#This Row],[Базовая сумма]]*$O$2,$C$2),IF(Данные6[[#This Row],[weighted_ext_score]]&lt;$O$3,Данные6[[#This Row],[Базовая сумма]]*$O$4,N221))</f>
        <v>50000</v>
      </c>
      <c r="P2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2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72000</v>
      </c>
      <c r="R221" s="2">
        <f>ABS(Данные6[[#This Row],[days_birth]])/365.2425</f>
        <v>30.084122192789721</v>
      </c>
      <c r="S2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72000</v>
      </c>
      <c r="T221" s="2">
        <f>IF(Данные6[[#This Row],[ interest_rate]]&gt;$T$1,Данные6[[#This Row],[days_birth4]]*$T$2,Данные6[[#This Row],[days_birth4]])</f>
        <v>72000</v>
      </c>
      <c r="U221" s="2">
        <f>IF(Данные6[[#This Row],[Проверка отказа]]="отказ",0,MAX(Данные6[[#This Row],[interest_rate]],$C$1))</f>
        <v>72000</v>
      </c>
      <c r="V221" s="2">
        <f>MROUND(Данные6[[#This Row],[Минимум 20000]], 100)</f>
        <v>72000</v>
      </c>
    </row>
    <row r="222" spans="1:22" x14ac:dyDescent="0.25">
      <c r="A222" s="2">
        <f>'1000_заявлений'!A216</f>
        <v>214</v>
      </c>
      <c r="B222" s="4">
        <f>VALUE(SUBSTITUTE('1000_заявлений'!B216, ".", ","))</f>
        <v>0.61979171035106695</v>
      </c>
      <c r="C222" s="4">
        <f>VALUE(SUBSTITUTE('1000_заявлений'!C216, ".", ","))</f>
        <v>0.378169706130558</v>
      </c>
      <c r="D222" s="4">
        <f>VALUE(SUBSTITUTE('1000_заявлений'!D216, ".", ","))</f>
        <v>0.18959527000000001</v>
      </c>
      <c r="E222" s="4">
        <f>VALUE(SUBSTITUTE('1000_заявлений'!E216, ".", ","))</f>
        <v>0.5260281</v>
      </c>
      <c r="F222" s="5">
        <f>VALUE(SUBSTITUTE('1000_заявлений'!F216, ".", ","))</f>
        <v>-784</v>
      </c>
      <c r="G222" s="5">
        <f>VALUE(SUBSTITUTE('1000_заявлений'!G216, ".", ","))</f>
        <v>-10066</v>
      </c>
      <c r="H222" s="5">
        <f>VALUE(SUBSTITUTE('1000_заявлений'!H216, ".", ","))</f>
        <v>-2759</v>
      </c>
      <c r="I222" s="4">
        <f>VALUE(SUBSTITUTE('1000_заявлений'!I216, ".", ","))</f>
        <v>0.05</v>
      </c>
      <c r="J222" s="4">
        <f>VALUE(SUBSTITUTE('1000_заявлений'!J216, ".", ","))</f>
        <v>10.6209759779781</v>
      </c>
      <c r="K222" s="5">
        <f>VALUE(SUBSTITUTE('1000_заявлений'!K216, ".", ","))</f>
        <v>-516</v>
      </c>
      <c r="L222" s="6">
        <f>VALUE(SUBSTITUTE('1000_заявлений'!L216, ".", ","))</f>
        <v>6750</v>
      </c>
      <c r="M222" s="2" t="str">
        <f>IF(Данные6[[#This Row],[proba]]&gt;$C$6, "отказ", "одобрение")</f>
        <v>отказ</v>
      </c>
      <c r="N222" s="7">
        <f>IF(Данные6[[#This Row],[proba]]&lt;$D$2,$C$2,IF(Данные6[[#This Row],[proba]]&lt;$D$3,$C$3,IF(Данные6[[#This Row],[proba]]&gt;$C$6,0,$C$4)))</f>
        <v>0</v>
      </c>
      <c r="O222" s="2">
        <f>IF(Данные6[[#This Row],[weighted_ext_score]]&gt;$O$1,MIN(Данные6[[#This Row],[Базовая сумма]]*$O$2,$C$2),IF(Данные6[[#This Row],[weighted_ext_score]]&lt;$O$3,Данные6[[#This Row],[Базовая сумма]]*$O$4,N222))</f>
        <v>0</v>
      </c>
      <c r="P2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2" s="2">
        <f>ABS(Данные6[[#This Row],[days_birth]])/365.2425</f>
        <v>27.559771932346319</v>
      </c>
      <c r="S2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2" s="2">
        <f>IF(Данные6[[#This Row],[ interest_rate]]&gt;$T$1,Данные6[[#This Row],[days_birth4]]*$T$2,Данные6[[#This Row],[days_birth4]])</f>
        <v>0</v>
      </c>
      <c r="U222" s="2">
        <f>IF(Данные6[[#This Row],[Проверка отказа]]="отказ",0,MAX(Данные6[[#This Row],[interest_rate]],$C$1))</f>
        <v>0</v>
      </c>
      <c r="V222" s="2">
        <f>MROUND(Данные6[[#This Row],[Минимум 20000]], 100)</f>
        <v>0</v>
      </c>
    </row>
    <row r="223" spans="1:22" x14ac:dyDescent="0.25">
      <c r="A223" s="2">
        <f>'1000_заявлений'!A217</f>
        <v>215</v>
      </c>
      <c r="B223" s="4">
        <f>VALUE(SUBSTITUTE('1000_заявлений'!B217, ".", ","))</f>
        <v>0.184353296368377</v>
      </c>
      <c r="C223" s="4">
        <f>VALUE(SUBSTITUTE('1000_заявлений'!C217, ".", ","))</f>
        <v>0.68634510070043397</v>
      </c>
      <c r="D223" s="4">
        <f>VALUE(SUBSTITUTE('1000_заявлений'!D217, ".", ","))</f>
        <v>0.72527640000000004</v>
      </c>
      <c r="E223" s="4">
        <f>VALUE(SUBSTITUTE('1000_заявлений'!E217, ".", ","))</f>
        <v>0.47678429999999999</v>
      </c>
      <c r="F223" s="5">
        <f>VALUE(SUBSTITUTE('1000_заявлений'!F217, ".", ","))</f>
        <v>-7656</v>
      </c>
      <c r="G223" s="5">
        <f>VALUE(SUBSTITUTE('1000_заявлений'!G217, ".", ","))</f>
        <v>-22972</v>
      </c>
      <c r="H223" s="5">
        <f>VALUE(SUBSTITUTE('1000_заявлений'!H217, ".", ","))</f>
        <v>-4725</v>
      </c>
      <c r="I223" s="4">
        <f>VALUE(SUBSTITUTE('1000_заявлений'!I217, ".", ","))</f>
        <v>0.36433333333333301</v>
      </c>
      <c r="J223" s="4">
        <f>VALUE(SUBSTITUTE('1000_заявлений'!J217, ".", ","))</f>
        <v>6.7529529522816798</v>
      </c>
      <c r="K223" s="5">
        <f>VALUE(SUBSTITUTE('1000_заявлений'!K217, ".", ","))</f>
        <v>365243</v>
      </c>
      <c r="L223" s="6">
        <f>VALUE(SUBSTITUTE('1000_заявлений'!L217, ".", ","))</f>
        <v>24592.5</v>
      </c>
      <c r="M223" s="2" t="str">
        <f>IF(Данные6[[#This Row],[proba]]&gt;$C$6, "отказ", "одобрение")</f>
        <v>одобрение</v>
      </c>
      <c r="N223" s="7">
        <f>IF(Данные6[[#This Row],[proba]]&lt;$D$2,$C$2,IF(Данные6[[#This Row],[proba]]&lt;$D$3,$C$3,IF(Данные6[[#This Row],[proba]]&gt;$C$6,0,$C$4)))</f>
        <v>200000</v>
      </c>
      <c r="O223" s="2">
        <f>IF(Данные6[[#This Row],[weighted_ext_score]]&gt;$O$1,MIN(Данные6[[#This Row],[Базовая сумма]]*$O$2,$C$2),IF(Данные6[[#This Row],[weighted_ext_score]]&lt;$O$3,Данные6[[#This Row],[Базовая сумма]]*$O$4,N223))</f>
        <v>200000</v>
      </c>
      <c r="P2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223" s="2">
        <f>ABS(Данные6[[#This Row],[days_birth]])/365.2425</f>
        <v>62.895199764539996</v>
      </c>
      <c r="S2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223" s="2">
        <f>IF(Данные6[[#This Row],[ interest_rate]]&gt;$T$1,Данные6[[#This Row],[days_birth4]]*$T$2,Данные6[[#This Row],[days_birth4]])</f>
        <v>210000</v>
      </c>
      <c r="U223" s="2">
        <f>IF(Данные6[[#This Row],[Проверка отказа]]="отказ",0,MAX(Данные6[[#This Row],[interest_rate]],$C$1))</f>
        <v>210000</v>
      </c>
      <c r="V223" s="2">
        <f>MROUND(Данные6[[#This Row],[Минимум 20000]], 100)</f>
        <v>210000</v>
      </c>
    </row>
    <row r="224" spans="1:22" x14ac:dyDescent="0.25">
      <c r="A224" s="2">
        <f>'1000_заявлений'!A218</f>
        <v>216</v>
      </c>
      <c r="B224" s="4">
        <f>VALUE(SUBSTITUTE('1000_заявлений'!B218, ".", ","))</f>
        <v>0.35339418243590598</v>
      </c>
      <c r="C224" s="4">
        <f>VALUE(SUBSTITUTE('1000_заявлений'!C218, ".", ","))</f>
        <v>0.58629308559785498</v>
      </c>
      <c r="D224" s="4">
        <f>VALUE(SUBSTITUTE('1000_заявлений'!D218, ".", ","))</f>
        <v>0.27213367999999999</v>
      </c>
      <c r="E224" s="4">
        <f>VALUE(SUBSTITUTE('1000_заявлений'!E218, ".", ","))</f>
        <v>0.74790319999999999</v>
      </c>
      <c r="F224" s="5">
        <f>VALUE(SUBSTITUTE('1000_заявлений'!F218, ".", ","))</f>
        <v>-5494</v>
      </c>
      <c r="G224" s="5">
        <f>VALUE(SUBSTITUTE('1000_заявлений'!G218, ".", ","))</f>
        <v>-15795</v>
      </c>
      <c r="H224" s="5">
        <f>VALUE(SUBSTITUTE('1000_заявлений'!H218, ".", ","))</f>
        <v>-4650</v>
      </c>
      <c r="I224" s="4">
        <f>VALUE(SUBSTITUTE('1000_заявлений'!I218, ".", ","))</f>
        <v>0.105766666666666</v>
      </c>
      <c r="J224" s="4">
        <f>VALUE(SUBSTITUTE('1000_заявлений'!J218, ".", ","))</f>
        <v>4.5484804553368603</v>
      </c>
      <c r="K224" s="5">
        <f>VALUE(SUBSTITUTE('1000_заявлений'!K218, ".", ","))</f>
        <v>-1855</v>
      </c>
      <c r="L224" s="6">
        <f>VALUE(SUBSTITUTE('1000_заявлений'!L218, ".", ","))</f>
        <v>28557</v>
      </c>
      <c r="M224" s="2" t="str">
        <f>IF(Данные6[[#This Row],[proba]]&gt;$C$6, "отказ", "одобрение")</f>
        <v>отказ</v>
      </c>
      <c r="N224" s="7">
        <f>IF(Данные6[[#This Row],[proba]]&lt;$D$2,$C$2,IF(Данные6[[#This Row],[proba]]&lt;$D$3,$C$3,IF(Данные6[[#This Row],[proba]]&gt;$C$6,0,$C$4)))</f>
        <v>0</v>
      </c>
      <c r="O224" s="2">
        <f>IF(Данные6[[#This Row],[weighted_ext_score]]&gt;$O$1,MIN(Данные6[[#This Row],[Базовая сумма]]*$O$2,$C$2),IF(Данные6[[#This Row],[weighted_ext_score]]&lt;$O$3,Данные6[[#This Row],[Базовая сумма]]*$O$4,N224))</f>
        <v>0</v>
      </c>
      <c r="P2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4" s="2">
        <f>ABS(Данные6[[#This Row],[days_birth]])/365.2425</f>
        <v>43.245241175383477</v>
      </c>
      <c r="S2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4" s="2">
        <f>IF(Данные6[[#This Row],[ interest_rate]]&gt;$T$1,Данные6[[#This Row],[days_birth4]]*$T$2,Данные6[[#This Row],[days_birth4]])</f>
        <v>0</v>
      </c>
      <c r="U224" s="2">
        <f>IF(Данные6[[#This Row],[Проверка отказа]]="отказ",0,MAX(Данные6[[#This Row],[interest_rate]],$C$1))</f>
        <v>0</v>
      </c>
      <c r="V224" s="2">
        <f>MROUND(Данные6[[#This Row],[Минимум 20000]], 100)</f>
        <v>0</v>
      </c>
    </row>
    <row r="225" spans="1:22" x14ac:dyDescent="0.25">
      <c r="A225" s="2">
        <f>'1000_заявлений'!A219</f>
        <v>217</v>
      </c>
      <c r="B225" s="4">
        <f>VALUE(SUBSTITUTE('1000_заявлений'!B219, ".", ","))</f>
        <v>0.49117535091752101</v>
      </c>
      <c r="C225" s="4">
        <f>VALUE(SUBSTITUTE('1000_заявлений'!C219, ".", ","))</f>
        <v>0.29501775287032</v>
      </c>
      <c r="D225" s="4">
        <f>VALUE(SUBSTITUTE('1000_заявлений'!D219, ".", ","))</f>
        <v>0.78626660000000004</v>
      </c>
      <c r="E225" s="4">
        <f>VALUE(SUBSTITUTE('1000_заявлений'!E219, ".", ","))</f>
        <v>3.2838803E-2</v>
      </c>
      <c r="F225" s="5">
        <f>VALUE(SUBSTITUTE('1000_заявлений'!F219, ".", ","))</f>
        <v>-4135</v>
      </c>
      <c r="G225" s="5">
        <f>VALUE(SUBSTITUTE('1000_заявлений'!G219, ".", ","))</f>
        <v>-10047</v>
      </c>
      <c r="H225" s="5">
        <f>VALUE(SUBSTITUTE('1000_заявлений'!H219, ".", ","))</f>
        <v>-2599</v>
      </c>
      <c r="I225" s="4">
        <f>VALUE(SUBSTITUTE('1000_заявлений'!I219, ".", ","))</f>
        <v>0.100407407407407</v>
      </c>
      <c r="J225" s="4">
        <f>VALUE(SUBSTITUTE('1000_заявлений'!J219, ".", ","))</f>
        <v>20.6078276905636</v>
      </c>
      <c r="K225" s="5">
        <f>VALUE(SUBSTITUTE('1000_заявлений'!K219, ".", ","))</f>
        <v>-2468</v>
      </c>
      <c r="L225" s="6">
        <f>VALUE(SUBSTITUTE('1000_заявлений'!L219, ".", ","))</f>
        <v>12199.5</v>
      </c>
      <c r="M225" s="2" t="str">
        <f>IF(Данные6[[#This Row],[proba]]&gt;$C$6, "отказ", "одобрение")</f>
        <v>отказ</v>
      </c>
      <c r="N225" s="7">
        <f>IF(Данные6[[#This Row],[proba]]&lt;$D$2,$C$2,IF(Данные6[[#This Row],[proba]]&lt;$D$3,$C$3,IF(Данные6[[#This Row],[proba]]&gt;$C$6,0,$C$4)))</f>
        <v>0</v>
      </c>
      <c r="O225" s="2">
        <f>IF(Данные6[[#This Row],[weighted_ext_score]]&gt;$O$1,MIN(Данные6[[#This Row],[Базовая сумма]]*$O$2,$C$2),IF(Данные6[[#This Row],[weighted_ext_score]]&lt;$O$3,Данные6[[#This Row],[Базовая сумма]]*$O$4,N225))</f>
        <v>0</v>
      </c>
      <c r="P2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5" s="2">
        <f>ABS(Данные6[[#This Row],[days_birth]])/365.2425</f>
        <v>27.507751699213536</v>
      </c>
      <c r="S2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5" s="2">
        <f>IF(Данные6[[#This Row],[ interest_rate]]&gt;$T$1,Данные6[[#This Row],[days_birth4]]*$T$2,Данные6[[#This Row],[days_birth4]])</f>
        <v>0</v>
      </c>
      <c r="U225" s="2">
        <f>IF(Данные6[[#This Row],[Проверка отказа]]="отказ",0,MAX(Данные6[[#This Row],[interest_rate]],$C$1))</f>
        <v>0</v>
      </c>
      <c r="V225" s="2">
        <f>MROUND(Данные6[[#This Row],[Минимум 20000]], 100)</f>
        <v>0</v>
      </c>
    </row>
    <row r="226" spans="1:22" x14ac:dyDescent="0.25">
      <c r="A226" s="2">
        <f>'1000_заявлений'!A220</f>
        <v>218</v>
      </c>
      <c r="B226" s="4">
        <f>VALUE(SUBSTITUTE('1000_заявлений'!B220, ".", ","))</f>
        <v>0.56264754995378996</v>
      </c>
      <c r="C226" s="4">
        <f>VALUE(SUBSTITUTE('1000_заявлений'!C220, ".", ","))</f>
        <v>0.36307055824968798</v>
      </c>
      <c r="D226" s="4">
        <f>VALUE(SUBSTITUTE('1000_заявлений'!D220, ".", ","))</f>
        <v>0.41709964999999999</v>
      </c>
      <c r="E226" s="4">
        <f>VALUE(SUBSTITUTE('1000_заявлений'!E220, ".", ","))</f>
        <v>0.40160795999999999</v>
      </c>
      <c r="F226" s="5">
        <f>VALUE(SUBSTITUTE('1000_заявлений'!F220, ".", ","))</f>
        <v>-2946</v>
      </c>
      <c r="G226" s="5">
        <f>VALUE(SUBSTITUTE('1000_заявлений'!G220, ".", ","))</f>
        <v>-10580</v>
      </c>
      <c r="H226" s="5">
        <f>VALUE(SUBSTITUTE('1000_заявлений'!H220, ".", ","))</f>
        <v>-3269</v>
      </c>
      <c r="I226" s="4">
        <f>VALUE(SUBSTITUTE('1000_заявлений'!I220, ".", ","))</f>
        <v>0.11840000000000001</v>
      </c>
      <c r="J226" s="4">
        <f>VALUE(SUBSTITUTE('1000_заявлений'!J220, ".", ","))</f>
        <v>7.9620143797618903</v>
      </c>
      <c r="K226" s="5">
        <f>VALUE(SUBSTITUTE('1000_заявлений'!K220, ".", ","))</f>
        <v>-124</v>
      </c>
      <c r="L226" s="6">
        <f>VALUE(SUBSTITUTE('1000_заявлений'!L220, ".", ","))</f>
        <v>26640</v>
      </c>
      <c r="M226" s="2" t="str">
        <f>IF(Данные6[[#This Row],[proba]]&gt;$C$6, "отказ", "одобрение")</f>
        <v>отказ</v>
      </c>
      <c r="N226" s="7">
        <f>IF(Данные6[[#This Row],[proba]]&lt;$D$2,$C$2,IF(Данные6[[#This Row],[proba]]&lt;$D$3,$C$3,IF(Данные6[[#This Row],[proba]]&gt;$C$6,0,$C$4)))</f>
        <v>0</v>
      </c>
      <c r="O226" s="2">
        <f>IF(Данные6[[#This Row],[weighted_ext_score]]&gt;$O$1,MIN(Данные6[[#This Row],[Базовая сумма]]*$O$2,$C$2),IF(Данные6[[#This Row],[weighted_ext_score]]&lt;$O$3,Данные6[[#This Row],[Базовая сумма]]*$O$4,N226))</f>
        <v>0</v>
      </c>
      <c r="P2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6" s="2">
        <f>ABS(Данные6[[#This Row],[days_birth]])/365.2425</f>
        <v>28.96705613393841</v>
      </c>
      <c r="S2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6" s="2">
        <f>IF(Данные6[[#This Row],[ interest_rate]]&gt;$T$1,Данные6[[#This Row],[days_birth4]]*$T$2,Данные6[[#This Row],[days_birth4]])</f>
        <v>0</v>
      </c>
      <c r="U226" s="2">
        <f>IF(Данные6[[#This Row],[Проверка отказа]]="отказ",0,MAX(Данные6[[#This Row],[interest_rate]],$C$1))</f>
        <v>0</v>
      </c>
      <c r="V226" s="2">
        <f>MROUND(Данные6[[#This Row],[Минимум 20000]], 100)</f>
        <v>0</v>
      </c>
    </row>
    <row r="227" spans="1:22" x14ac:dyDescent="0.25">
      <c r="A227" s="2">
        <f>'1000_заявлений'!A221</f>
        <v>219</v>
      </c>
      <c r="B227" s="4">
        <f>VALUE(SUBSTITUTE('1000_заявлений'!B221, ".", ","))</f>
        <v>0.32135432001657399</v>
      </c>
      <c r="C227" s="4">
        <f>VALUE(SUBSTITUTE('1000_заявлений'!C221, ".", ","))</f>
        <v>0.57622065662811905</v>
      </c>
      <c r="D227" s="4">
        <f>VALUE(SUBSTITUTE('1000_заявлений'!D221, ".", ","))</f>
        <v>0.48485148</v>
      </c>
      <c r="E227" s="4">
        <f>VALUE(SUBSTITUTE('1000_заявлений'!E221, ".", ","))</f>
        <v>0.63376999999999994</v>
      </c>
      <c r="F227" s="5">
        <f>VALUE(SUBSTITUTE('1000_заявлений'!F221, ".", ","))</f>
        <v>-2163</v>
      </c>
      <c r="G227" s="5">
        <f>VALUE(SUBSTITUTE('1000_заявлений'!G221, ".", ","))</f>
        <v>-15262</v>
      </c>
      <c r="H227" s="5">
        <f>VALUE(SUBSTITUTE('1000_заявлений'!H221, ".", ","))</f>
        <v>-5517</v>
      </c>
      <c r="I227" s="4">
        <f>VALUE(SUBSTITUTE('1000_заявлений'!I221, ".", ","))</f>
        <v>0.13469999999999999</v>
      </c>
      <c r="J227" s="4">
        <f>VALUE(SUBSTITUTE('1000_заявлений'!J221, ".", ","))</f>
        <v>1.9221929010054299</v>
      </c>
      <c r="K227" s="5">
        <f>VALUE(SUBSTITUTE('1000_заявлений'!K221, ".", ","))</f>
        <v>-365</v>
      </c>
      <c r="L227" s="6">
        <f>VALUE(SUBSTITUTE('1000_заявлений'!L221, ".", ","))</f>
        <v>24246</v>
      </c>
      <c r="M227" s="2" t="str">
        <f>IF(Данные6[[#This Row],[proba]]&gt;$C$6, "отказ", "одобрение")</f>
        <v>отказ</v>
      </c>
      <c r="N227" s="7">
        <f>IF(Данные6[[#This Row],[proba]]&lt;$D$2,$C$2,IF(Данные6[[#This Row],[proba]]&lt;$D$3,$C$3,IF(Данные6[[#This Row],[proba]]&gt;$C$6,0,$C$4)))</f>
        <v>0</v>
      </c>
      <c r="O227" s="2">
        <f>IF(Данные6[[#This Row],[weighted_ext_score]]&gt;$O$1,MIN(Данные6[[#This Row],[Базовая сумма]]*$O$2,$C$2),IF(Данные6[[#This Row],[weighted_ext_score]]&lt;$O$3,Данные6[[#This Row],[Базовая сумма]]*$O$4,N227))</f>
        <v>0</v>
      </c>
      <c r="P2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7" s="2">
        <f>ABS(Данные6[[#This Row],[days_birth]])/365.2425</f>
        <v>41.785936740658606</v>
      </c>
      <c r="S2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7" s="2">
        <f>IF(Данные6[[#This Row],[ interest_rate]]&gt;$T$1,Данные6[[#This Row],[days_birth4]]*$T$2,Данные6[[#This Row],[days_birth4]])</f>
        <v>0</v>
      </c>
      <c r="U227" s="2">
        <f>IF(Данные6[[#This Row],[Проверка отказа]]="отказ",0,MAX(Данные6[[#This Row],[interest_rate]],$C$1))</f>
        <v>0</v>
      </c>
      <c r="V227" s="2">
        <f>MROUND(Данные6[[#This Row],[Минимум 20000]], 100)</f>
        <v>0</v>
      </c>
    </row>
    <row r="228" spans="1:22" x14ac:dyDescent="0.25">
      <c r="A228" s="2">
        <f>'1000_заявлений'!A222</f>
        <v>220</v>
      </c>
      <c r="B228" s="4">
        <f>VALUE(SUBSTITUTE('1000_заявлений'!B222, ".", ","))</f>
        <v>0.51383493928206003</v>
      </c>
      <c r="C228" s="4">
        <f>VALUE(SUBSTITUTE('1000_заявлений'!C222, ".", ","))</f>
        <v>0.35225511734786502</v>
      </c>
      <c r="D228" s="4">
        <f>VALUE(SUBSTITUTE('1000_заявлений'!D222, ".", ","))</f>
        <v>0.58323795</v>
      </c>
      <c r="E228" s="4">
        <f>VALUE(SUBSTITUTE('1000_заявлений'!E222, ".", ","))</f>
        <v>0.43565989999999999</v>
      </c>
      <c r="F228" s="5">
        <f>VALUE(SUBSTITUTE('1000_заявлений'!F222, ".", ","))</f>
        <v>-1084</v>
      </c>
      <c r="G228" s="5">
        <f>VALUE(SUBSTITUTE('1000_заявлений'!G222, ".", ","))</f>
        <v>-11330</v>
      </c>
      <c r="H228" s="5">
        <f>VALUE(SUBSTITUTE('1000_заявлений'!H222, ".", ","))</f>
        <v>-2729</v>
      </c>
      <c r="I228" s="4">
        <f>VALUE(SUBSTITUTE('1000_заявлений'!I222, ".", ","))</f>
        <v>0.192194444444444</v>
      </c>
      <c r="J228" s="4">
        <f>VALUE(SUBSTITUTE('1000_заявлений'!J222, ".", ","))</f>
        <v>2.6649247534693701</v>
      </c>
      <c r="K228" s="5">
        <f>VALUE(SUBSTITUTE('1000_заявлений'!K222, ".", ","))</f>
        <v>-2477</v>
      </c>
      <c r="L228" s="6">
        <f>VALUE(SUBSTITUTE('1000_заявлений'!L222, ".", ","))</f>
        <v>31135.5</v>
      </c>
      <c r="M228" s="2" t="str">
        <f>IF(Данные6[[#This Row],[proba]]&gt;$C$6, "отказ", "одобрение")</f>
        <v>отказ</v>
      </c>
      <c r="N228" s="7">
        <f>IF(Данные6[[#This Row],[proba]]&lt;$D$2,$C$2,IF(Данные6[[#This Row],[proba]]&lt;$D$3,$C$3,IF(Данные6[[#This Row],[proba]]&gt;$C$6,0,$C$4)))</f>
        <v>0</v>
      </c>
      <c r="O228" s="2">
        <f>IF(Данные6[[#This Row],[weighted_ext_score]]&gt;$O$1,MIN(Данные6[[#This Row],[Базовая сумма]]*$O$2,$C$2),IF(Данные6[[#This Row],[weighted_ext_score]]&lt;$O$3,Данные6[[#This Row],[Базовая сумма]]*$O$4,N228))</f>
        <v>0</v>
      </c>
      <c r="P2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8" s="2">
        <f>ABS(Данные6[[#This Row],[days_birth]])/365.2425</f>
        <v>31.020486389179791</v>
      </c>
      <c r="S2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8" s="2">
        <f>IF(Данные6[[#This Row],[ interest_rate]]&gt;$T$1,Данные6[[#This Row],[days_birth4]]*$T$2,Данные6[[#This Row],[days_birth4]])</f>
        <v>0</v>
      </c>
      <c r="U228" s="2">
        <f>IF(Данные6[[#This Row],[Проверка отказа]]="отказ",0,MAX(Данные6[[#This Row],[interest_rate]],$C$1))</f>
        <v>0</v>
      </c>
      <c r="V228" s="2">
        <f>MROUND(Данные6[[#This Row],[Минимум 20000]], 100)</f>
        <v>0</v>
      </c>
    </row>
    <row r="229" spans="1:22" x14ac:dyDescent="0.25">
      <c r="A229" s="2">
        <f>'1000_заявлений'!A223</f>
        <v>221</v>
      </c>
      <c r="B229" s="4">
        <f>VALUE(SUBSTITUTE('1000_заявлений'!B223, ".", ","))</f>
        <v>0.52117283139730097</v>
      </c>
      <c r="C229" s="4">
        <f>VALUE(SUBSTITUTE('1000_заявлений'!C223, ".", ","))</f>
        <v>0.47412832797140098</v>
      </c>
      <c r="D229" s="4">
        <f>VALUE(SUBSTITUTE('1000_заявлений'!D223, ".", ","))</f>
        <v>0.29408309999999999</v>
      </c>
      <c r="E229" s="4">
        <f>VALUE(SUBSTITUTE('1000_заявлений'!E223, ".", ","))</f>
        <v>0.31112200000000001</v>
      </c>
      <c r="F229" s="5">
        <f>VALUE(SUBSTITUTE('1000_заявлений'!F223, ".", ","))</f>
        <v>-9847</v>
      </c>
      <c r="G229" s="5">
        <f>VALUE(SUBSTITUTE('1000_заявлений'!G223, ".", ","))</f>
        <v>-24117</v>
      </c>
      <c r="H229" s="5">
        <f>VALUE(SUBSTITUTE('1000_заявлений'!H223, ".", ","))</f>
        <v>-4718</v>
      </c>
      <c r="I229" s="4">
        <f>VALUE(SUBSTITUTE('1000_заявлений'!I223, ".", ","))</f>
        <v>8.6099999999999996E-2</v>
      </c>
      <c r="J229" s="4">
        <f>VALUE(SUBSTITUTE('1000_заявлений'!J223, ".", ","))</f>
        <v>4.8544084659133402</v>
      </c>
      <c r="K229" s="5">
        <f>VALUE(SUBSTITUTE('1000_заявлений'!K223, ".", ","))</f>
        <v>-2715</v>
      </c>
      <c r="L229" s="6">
        <f>VALUE(SUBSTITUTE('1000_заявлений'!L223, ".", ","))</f>
        <v>11623.5</v>
      </c>
      <c r="M229" s="2" t="str">
        <f>IF(Данные6[[#This Row],[proba]]&gt;$C$6, "отказ", "одобрение")</f>
        <v>отказ</v>
      </c>
      <c r="N229" s="7">
        <f>IF(Данные6[[#This Row],[proba]]&lt;$D$2,$C$2,IF(Данные6[[#This Row],[proba]]&lt;$D$3,$C$3,IF(Данные6[[#This Row],[proba]]&gt;$C$6,0,$C$4)))</f>
        <v>0</v>
      </c>
      <c r="O229" s="2">
        <f>IF(Данные6[[#This Row],[weighted_ext_score]]&gt;$O$1,MIN(Данные6[[#This Row],[Базовая сумма]]*$O$2,$C$2),IF(Данные6[[#This Row],[weighted_ext_score]]&lt;$O$3,Данные6[[#This Row],[Базовая сумма]]*$O$4,N229))</f>
        <v>0</v>
      </c>
      <c r="P2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29" s="2">
        <f>ABS(Данные6[[#This Row],[days_birth]])/365.2425</f>
        <v>66.030103287541834</v>
      </c>
      <c r="S2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29" s="2">
        <f>IF(Данные6[[#This Row],[ interest_rate]]&gt;$T$1,Данные6[[#This Row],[days_birth4]]*$T$2,Данные6[[#This Row],[days_birth4]])</f>
        <v>0</v>
      </c>
      <c r="U229" s="2">
        <f>IF(Данные6[[#This Row],[Проверка отказа]]="отказ",0,MAX(Данные6[[#This Row],[interest_rate]],$C$1))</f>
        <v>0</v>
      </c>
      <c r="V229" s="2">
        <f>MROUND(Данные6[[#This Row],[Минимум 20000]], 100)</f>
        <v>0</v>
      </c>
    </row>
    <row r="230" spans="1:22" x14ac:dyDescent="0.25">
      <c r="A230" s="2">
        <f>'1000_заявлений'!A224</f>
        <v>222</v>
      </c>
      <c r="B230" s="4">
        <f>VALUE(SUBSTITUTE('1000_заявлений'!B224, ".", ","))</f>
        <v>0.35476079726298998</v>
      </c>
      <c r="C230" s="4">
        <f>VALUE(SUBSTITUTE('1000_заявлений'!C224, ".", ","))</f>
        <v>0.40780215618457399</v>
      </c>
      <c r="D230" s="4">
        <f>VALUE(SUBSTITUTE('1000_заявлений'!D224, ".", ","))</f>
        <v>0.63135450000000004</v>
      </c>
      <c r="E230" s="4">
        <f>VALUE(SUBSTITUTE('1000_заявлений'!E224, ".", ","))</f>
        <v>0.55325440000000004</v>
      </c>
      <c r="F230" s="5">
        <f>VALUE(SUBSTITUTE('1000_заявлений'!F224, ".", ","))</f>
        <v>-2634</v>
      </c>
      <c r="G230" s="5">
        <f>VALUE(SUBSTITUTE('1000_заявлений'!G224, ".", ","))</f>
        <v>-13715</v>
      </c>
      <c r="H230" s="5">
        <f>VALUE(SUBSTITUTE('1000_заявлений'!H224, ".", ","))</f>
        <v>-4809</v>
      </c>
      <c r="I230" s="4">
        <f>VALUE(SUBSTITUTE('1000_заявлений'!I224, ".", ","))</f>
        <v>0.13493333333333299</v>
      </c>
      <c r="J230" s="4">
        <f>VALUE(SUBSTITUTE('1000_заявлений'!J224, ".", ","))</f>
        <v>4.3425486746510904</v>
      </c>
      <c r="K230" s="5">
        <f>VALUE(SUBSTITUTE('1000_заявлений'!K224, ".", ","))</f>
        <v>-4174</v>
      </c>
      <c r="L230" s="6">
        <f>VALUE(SUBSTITUTE('1000_заявлений'!L224, ".", ","))</f>
        <v>27324</v>
      </c>
      <c r="M230" s="2" t="str">
        <f>IF(Данные6[[#This Row],[proba]]&gt;$C$6, "отказ", "одобрение")</f>
        <v>отказ</v>
      </c>
      <c r="N230" s="7">
        <f>IF(Данные6[[#This Row],[proba]]&lt;$D$2,$C$2,IF(Данные6[[#This Row],[proba]]&lt;$D$3,$C$3,IF(Данные6[[#This Row],[proba]]&gt;$C$6,0,$C$4)))</f>
        <v>0</v>
      </c>
      <c r="O230" s="2">
        <f>IF(Данные6[[#This Row],[weighted_ext_score]]&gt;$O$1,MIN(Данные6[[#This Row],[Базовая сумма]]*$O$2,$C$2),IF(Данные6[[#This Row],[weighted_ext_score]]&lt;$O$3,Данные6[[#This Row],[Базовая сумма]]*$O$4,N230))</f>
        <v>0</v>
      </c>
      <c r="P2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0" s="2">
        <f>ABS(Данные6[[#This Row],[days_birth]])/365.2425</f>
        <v>37.550394600847383</v>
      </c>
      <c r="S2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0" s="2">
        <f>IF(Данные6[[#This Row],[ interest_rate]]&gt;$T$1,Данные6[[#This Row],[days_birth4]]*$T$2,Данные6[[#This Row],[days_birth4]])</f>
        <v>0</v>
      </c>
      <c r="U230" s="2">
        <f>IF(Данные6[[#This Row],[Проверка отказа]]="отказ",0,MAX(Данные6[[#This Row],[interest_rate]],$C$1))</f>
        <v>0</v>
      </c>
      <c r="V230" s="2">
        <f>MROUND(Данные6[[#This Row],[Минимум 20000]], 100)</f>
        <v>0</v>
      </c>
    </row>
    <row r="231" spans="1:22" x14ac:dyDescent="0.25">
      <c r="A231" s="2">
        <f>'1000_заявлений'!A225</f>
        <v>223</v>
      </c>
      <c r="B231" s="4">
        <f>VALUE(SUBSTITUTE('1000_заявлений'!B225, ".", ","))</f>
        <v>0.84516567155433997</v>
      </c>
      <c r="C231" s="4">
        <f>VALUE(SUBSTITUTE('1000_заявлений'!C225, ".", ","))</f>
        <v>0.27337863407733898</v>
      </c>
      <c r="D231" s="4">
        <f>VALUE(SUBSTITUTE('1000_заявлений'!D225, ".", ","))</f>
        <v>6.5993204999999999E-2</v>
      </c>
      <c r="E231" s="4">
        <f>VALUE(SUBSTITUTE('1000_заявлений'!E225, ".", ","))</f>
        <v>0.26314359999999998</v>
      </c>
      <c r="F231" s="5">
        <f>VALUE(SUBSTITUTE('1000_заявлений'!F225, ".", ","))</f>
        <v>-4504</v>
      </c>
      <c r="G231" s="5">
        <f>VALUE(SUBSTITUTE('1000_заявлений'!G225, ".", ","))</f>
        <v>-10649</v>
      </c>
      <c r="H231" s="5">
        <f>VALUE(SUBSTITUTE('1000_заявлений'!H225, ".", ","))</f>
        <v>-1002</v>
      </c>
      <c r="I231" s="4">
        <f>VALUE(SUBSTITUTE('1000_заявлений'!I225, ".", ","))</f>
        <v>0.29426666666666601</v>
      </c>
      <c r="J231" s="4">
        <f>VALUE(SUBSTITUTE('1000_заявлений'!J225, ".", ","))</f>
        <v>6.7100044535153698</v>
      </c>
      <c r="K231" s="5">
        <f>VALUE(SUBSTITUTE('1000_заявлений'!K225, ".", ","))</f>
        <v>-1044</v>
      </c>
      <c r="L231" s="6">
        <f>VALUE(SUBSTITUTE('1000_заявлений'!L225, ".", ","))</f>
        <v>39726</v>
      </c>
      <c r="M231" s="2" t="str">
        <f>IF(Данные6[[#This Row],[proba]]&gt;$C$6, "отказ", "одобрение")</f>
        <v>отказ</v>
      </c>
      <c r="N231" s="7">
        <f>IF(Данные6[[#This Row],[proba]]&lt;$D$2,$C$2,IF(Данные6[[#This Row],[proba]]&lt;$D$3,$C$3,IF(Данные6[[#This Row],[proba]]&gt;$C$6,0,$C$4)))</f>
        <v>0</v>
      </c>
      <c r="O231" s="2">
        <f>IF(Данные6[[#This Row],[weighted_ext_score]]&gt;$O$1,MIN(Данные6[[#This Row],[Базовая сумма]]*$O$2,$C$2),IF(Данные6[[#This Row],[weighted_ext_score]]&lt;$O$3,Данные6[[#This Row],[Базовая сумма]]*$O$4,N231))</f>
        <v>0</v>
      </c>
      <c r="P2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1" s="2">
        <f>ABS(Данные6[[#This Row],[days_birth]])/365.2425</f>
        <v>29.155971717420616</v>
      </c>
      <c r="S2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1" s="2">
        <f>IF(Данные6[[#This Row],[ interest_rate]]&gt;$T$1,Данные6[[#This Row],[days_birth4]]*$T$2,Данные6[[#This Row],[days_birth4]])</f>
        <v>0</v>
      </c>
      <c r="U231" s="2">
        <f>IF(Данные6[[#This Row],[Проверка отказа]]="отказ",0,MAX(Данные6[[#This Row],[interest_rate]],$C$1))</f>
        <v>0</v>
      </c>
      <c r="V231" s="2">
        <f>MROUND(Данные6[[#This Row],[Минимум 20000]], 100)</f>
        <v>0</v>
      </c>
    </row>
    <row r="232" spans="1:22" x14ac:dyDescent="0.25">
      <c r="A232" s="2">
        <f>'1000_заявлений'!A226</f>
        <v>224</v>
      </c>
      <c r="B232" s="4">
        <f>VALUE(SUBSTITUTE('1000_заявлений'!B226, ".", ","))</f>
        <v>0.81254638279720404</v>
      </c>
      <c r="C232" s="4">
        <f>VALUE(SUBSTITUTE('1000_заявлений'!C226, ".", ","))</f>
        <v>0.18417853477625401</v>
      </c>
      <c r="D232" s="4">
        <f>VALUE(SUBSTITUTE('1000_заявлений'!D226, ".", ","))</f>
        <v>0.18629295000000001</v>
      </c>
      <c r="E232" s="4">
        <f>VALUE(SUBSTITUTE('1000_заявлений'!E226, ".", ","))</f>
        <v>0.26957880000000001</v>
      </c>
      <c r="F232" s="5">
        <f>VALUE(SUBSTITUTE('1000_заявлений'!F226, ".", ","))</f>
        <v>-10175</v>
      </c>
      <c r="G232" s="5">
        <f>VALUE(SUBSTITUTE('1000_заявлений'!G226, ".", ","))</f>
        <v>-10571</v>
      </c>
      <c r="H232" s="5">
        <f>VALUE(SUBSTITUTE('1000_заявлений'!H226, ".", ","))</f>
        <v>-3195</v>
      </c>
      <c r="I232" s="4">
        <f>VALUE(SUBSTITUTE('1000_заявлений'!I226, ".", ","))</f>
        <v>0.122133333333333</v>
      </c>
      <c r="J232" s="4">
        <f>VALUE(SUBSTITUTE('1000_заявлений'!J226, ".", ","))</f>
        <v>0.47317284767640599</v>
      </c>
      <c r="K232" s="5">
        <f>VALUE(SUBSTITUTE('1000_заявлений'!K226, ".", ","))</f>
        <v>-986</v>
      </c>
      <c r="L232" s="6">
        <f>VALUE(SUBSTITUTE('1000_заявлений'!L226, ".", ","))</f>
        <v>24732</v>
      </c>
      <c r="M232" s="2" t="str">
        <f>IF(Данные6[[#This Row],[proba]]&gt;$C$6, "отказ", "одобрение")</f>
        <v>отказ</v>
      </c>
      <c r="N232" s="7">
        <f>IF(Данные6[[#This Row],[proba]]&lt;$D$2,$C$2,IF(Данные6[[#This Row],[proba]]&lt;$D$3,$C$3,IF(Данные6[[#This Row],[proba]]&gt;$C$6,0,$C$4)))</f>
        <v>0</v>
      </c>
      <c r="O232" s="2">
        <f>IF(Данные6[[#This Row],[weighted_ext_score]]&gt;$O$1,MIN(Данные6[[#This Row],[Базовая сумма]]*$O$2,$C$2),IF(Данные6[[#This Row],[weighted_ext_score]]&lt;$O$3,Данные6[[#This Row],[Базовая сумма]]*$O$4,N232))</f>
        <v>0</v>
      </c>
      <c r="P2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2" s="2">
        <f>ABS(Данные6[[#This Row],[days_birth]])/365.2425</f>
        <v>28.942414970875515</v>
      </c>
      <c r="S2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2" s="2">
        <f>IF(Данные6[[#This Row],[ interest_rate]]&gt;$T$1,Данные6[[#This Row],[days_birth4]]*$T$2,Данные6[[#This Row],[days_birth4]])</f>
        <v>0</v>
      </c>
      <c r="U232" s="2">
        <f>IF(Данные6[[#This Row],[Проверка отказа]]="отказ",0,MAX(Данные6[[#This Row],[interest_rate]],$C$1))</f>
        <v>0</v>
      </c>
      <c r="V232" s="2">
        <f>MROUND(Данные6[[#This Row],[Минимум 20000]], 100)</f>
        <v>0</v>
      </c>
    </row>
    <row r="233" spans="1:22" x14ac:dyDescent="0.25">
      <c r="A233" s="2">
        <f>'1000_заявлений'!A227</f>
        <v>225</v>
      </c>
      <c r="B233" s="4">
        <f>VALUE(SUBSTITUTE('1000_заявлений'!B227, ".", ","))</f>
        <v>0.65119097110492896</v>
      </c>
      <c r="C233" s="4">
        <f>VALUE(SUBSTITUTE('1000_заявлений'!C227, ".", ","))</f>
        <v>0.385964930769717</v>
      </c>
      <c r="D233" s="4">
        <f>VALUE(SUBSTITUTE('1000_заявлений'!D227, ".", ","))</f>
        <v>0.33125088000000003</v>
      </c>
      <c r="E233" s="4">
        <f>VALUE(SUBSTITUTE('1000_заявлений'!E227, ".", ","))</f>
        <v>0.32799420000000001</v>
      </c>
      <c r="F233" s="5">
        <f>VALUE(SUBSTITUTE('1000_заявлений'!F227, ".", ","))</f>
        <v>-5621</v>
      </c>
      <c r="G233" s="5">
        <f>VALUE(SUBSTITUTE('1000_заявлений'!G227, ".", ","))</f>
        <v>-11647</v>
      </c>
      <c r="H233" s="5">
        <f>VALUE(SUBSTITUTE('1000_заявлений'!H227, ".", ","))</f>
        <v>-2932</v>
      </c>
      <c r="I233" s="4">
        <f>VALUE(SUBSTITUTE('1000_заявлений'!I227, ".", ","))</f>
        <v>0.15427272727272701</v>
      </c>
      <c r="J233" s="4">
        <f>VALUE(SUBSTITUTE('1000_заявлений'!J227, ".", ","))</f>
        <v>5.1140567339106902</v>
      </c>
      <c r="K233" s="5">
        <f>VALUE(SUBSTITUTE('1000_заявлений'!K227, ".", ","))</f>
        <v>-391</v>
      </c>
      <c r="L233" s="6">
        <f>VALUE(SUBSTITUTE('1000_заявлений'!L227, ".", ","))</f>
        <v>15273</v>
      </c>
      <c r="M233" s="2" t="str">
        <f>IF(Данные6[[#This Row],[proba]]&gt;$C$6, "отказ", "одобрение")</f>
        <v>отказ</v>
      </c>
      <c r="N233" s="7">
        <f>IF(Данные6[[#This Row],[proba]]&lt;$D$2,$C$2,IF(Данные6[[#This Row],[proba]]&lt;$D$3,$C$3,IF(Данные6[[#This Row],[proba]]&gt;$C$6,0,$C$4)))</f>
        <v>0</v>
      </c>
      <c r="O233" s="2">
        <f>IF(Данные6[[#This Row],[weighted_ext_score]]&gt;$O$1,MIN(Данные6[[#This Row],[Базовая сумма]]*$O$2,$C$2),IF(Данные6[[#This Row],[weighted_ext_score]]&lt;$O$3,Данные6[[#This Row],[Базовая сумма]]*$O$4,N233))</f>
        <v>0</v>
      </c>
      <c r="P2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3" s="2">
        <f>ABS(Данные6[[#This Row],[days_birth]])/365.2425</f>
        <v>31.888402910395147</v>
      </c>
      <c r="S2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3" s="2">
        <f>IF(Данные6[[#This Row],[ interest_rate]]&gt;$T$1,Данные6[[#This Row],[days_birth4]]*$T$2,Данные6[[#This Row],[days_birth4]])</f>
        <v>0</v>
      </c>
      <c r="U233" s="2">
        <f>IF(Данные6[[#This Row],[Проверка отказа]]="отказ",0,MAX(Данные6[[#This Row],[interest_rate]],$C$1))</f>
        <v>0</v>
      </c>
      <c r="V233" s="2">
        <f>MROUND(Данные6[[#This Row],[Минимум 20000]], 100)</f>
        <v>0</v>
      </c>
    </row>
    <row r="234" spans="1:22" x14ac:dyDescent="0.25">
      <c r="A234" s="2">
        <f>'1000_заявлений'!A228</f>
        <v>226</v>
      </c>
      <c r="B234" s="4">
        <f>VALUE(SUBSTITUTE('1000_заявлений'!B228, ".", ","))</f>
        <v>0.72981885460302898</v>
      </c>
      <c r="C234" s="4">
        <f>VALUE(SUBSTITUTE('1000_заявлений'!C228, ".", ","))</f>
        <v>0.22887311806132099</v>
      </c>
      <c r="D234" s="4">
        <f>VALUE(SUBSTITUTE('1000_заявлений'!D228, ".", ","))</f>
        <v>0.11175636999999999</v>
      </c>
      <c r="E234" s="4">
        <f>VALUE(SUBSTITUTE('1000_заявлений'!E228, ".", ","))</f>
        <v>0.58097445999999997</v>
      </c>
      <c r="F234" s="5">
        <f>VALUE(SUBSTITUTE('1000_заявлений'!F228, ".", ","))</f>
        <v>-399</v>
      </c>
      <c r="G234" s="5">
        <f>VALUE(SUBSTITUTE('1000_заявлений'!G228, ".", ","))</f>
        <v>-11082</v>
      </c>
      <c r="H234" s="5">
        <f>VALUE(SUBSTITUTE('1000_заявлений'!H228, ".", ","))</f>
        <v>-3435</v>
      </c>
      <c r="I234" s="4">
        <f>VALUE(SUBSTITUTE('1000_заявлений'!I228, ".", ","))</f>
        <v>0.104842105263157</v>
      </c>
      <c r="J234" s="4">
        <f>VALUE(SUBSTITUTE('1000_заявлений'!J228, ".", ","))</f>
        <v>4.2410016173807596</v>
      </c>
      <c r="K234" s="5">
        <f>VALUE(SUBSTITUTE('1000_заявлений'!K228, ".", ","))</f>
        <v>-3593</v>
      </c>
      <c r="L234" s="6">
        <f>VALUE(SUBSTITUTE('1000_заявлений'!L228, ".", ","))</f>
        <v>17928</v>
      </c>
      <c r="M234" s="2" t="str">
        <f>IF(Данные6[[#This Row],[proba]]&gt;$C$6, "отказ", "одобрение")</f>
        <v>отказ</v>
      </c>
      <c r="N234" s="7">
        <f>IF(Данные6[[#This Row],[proba]]&lt;$D$2,$C$2,IF(Данные6[[#This Row],[proba]]&lt;$D$3,$C$3,IF(Данные6[[#This Row],[proba]]&gt;$C$6,0,$C$4)))</f>
        <v>0</v>
      </c>
      <c r="O234" s="2">
        <f>IF(Данные6[[#This Row],[weighted_ext_score]]&gt;$O$1,MIN(Данные6[[#This Row],[Базовая сумма]]*$O$2,$C$2),IF(Данные6[[#This Row],[weighted_ext_score]]&lt;$O$3,Данные6[[#This Row],[Базовая сумма]]*$O$4,N234))</f>
        <v>0</v>
      </c>
      <c r="P2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4" s="2">
        <f>ABS(Данные6[[#This Row],[days_birth]])/365.2425</f>
        <v>30.341485451446641</v>
      </c>
      <c r="S2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4" s="2">
        <f>IF(Данные6[[#This Row],[ interest_rate]]&gt;$T$1,Данные6[[#This Row],[days_birth4]]*$T$2,Данные6[[#This Row],[days_birth4]])</f>
        <v>0</v>
      </c>
      <c r="U234" s="2">
        <f>IF(Данные6[[#This Row],[Проверка отказа]]="отказ",0,MAX(Данные6[[#This Row],[interest_rate]],$C$1))</f>
        <v>0</v>
      </c>
      <c r="V234" s="2">
        <f>MROUND(Данные6[[#This Row],[Минимум 20000]], 100)</f>
        <v>0</v>
      </c>
    </row>
    <row r="235" spans="1:22" x14ac:dyDescent="0.25">
      <c r="A235" s="2">
        <f>'1000_заявлений'!A229</f>
        <v>227</v>
      </c>
      <c r="B235" s="4">
        <f>VALUE(SUBSTITUTE('1000_заявлений'!B229, ".", ","))</f>
        <v>0.542583852886657</v>
      </c>
      <c r="C235" s="4">
        <f>VALUE(SUBSTITUTE('1000_заявлений'!C229, ".", ","))</f>
        <v>0.369272130968195</v>
      </c>
      <c r="D235" s="4">
        <f>VALUE(SUBSTITUTE('1000_заявлений'!D229, ".", ","))</f>
        <v>0.30620229999999998</v>
      </c>
      <c r="E235" s="4">
        <f>VALUE(SUBSTITUTE('1000_заявлений'!E229, ".", ","))</f>
        <v>0.62828150000000005</v>
      </c>
      <c r="F235" s="5">
        <f>VALUE(SUBSTITUTE('1000_заявлений'!F229, ".", ","))</f>
        <v>-2247</v>
      </c>
      <c r="G235" s="5">
        <f>VALUE(SUBSTITUTE('1000_заявлений'!G229, ".", ","))</f>
        <v>-8649</v>
      </c>
      <c r="H235" s="5">
        <f>VALUE(SUBSTITUTE('1000_заявлений'!H229, ".", ","))</f>
        <v>-1156</v>
      </c>
      <c r="I235" s="4">
        <f>VALUE(SUBSTITUTE('1000_заявлений'!I229, ".", ","))</f>
        <v>6.6666666666666596E-2</v>
      </c>
      <c r="J235" s="4">
        <f>VALUE(SUBSTITUTE('1000_заявлений'!J229, ".", ","))</f>
        <v>10.6209759779781</v>
      </c>
      <c r="K235" s="5">
        <f>VALUE(SUBSTITUTE('1000_заявлений'!K229, ".", ","))</f>
        <v>-1119</v>
      </c>
      <c r="L235" s="6">
        <f>VALUE(SUBSTITUTE('1000_заявлений'!L229, ".", ","))</f>
        <v>9000</v>
      </c>
      <c r="M235" s="2" t="str">
        <f>IF(Данные6[[#This Row],[proba]]&gt;$C$6, "отказ", "одобрение")</f>
        <v>отказ</v>
      </c>
      <c r="N235" s="7">
        <f>IF(Данные6[[#This Row],[proba]]&lt;$D$2,$C$2,IF(Данные6[[#This Row],[proba]]&lt;$D$3,$C$3,IF(Данные6[[#This Row],[proba]]&gt;$C$6,0,$C$4)))</f>
        <v>0</v>
      </c>
      <c r="O235" s="2">
        <f>IF(Данные6[[#This Row],[weighted_ext_score]]&gt;$O$1,MIN(Данные6[[#This Row],[Базовая сумма]]*$O$2,$C$2),IF(Данные6[[#This Row],[weighted_ext_score]]&lt;$O$3,Данные6[[#This Row],[Базовая сумма]]*$O$4,N235))</f>
        <v>0</v>
      </c>
      <c r="P2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5" s="2">
        <f>ABS(Данные6[[#This Row],[days_birth]])/365.2425</f>
        <v>23.680157703443601</v>
      </c>
      <c r="S2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5" s="2">
        <f>IF(Данные6[[#This Row],[ interest_rate]]&gt;$T$1,Данные6[[#This Row],[days_birth4]]*$T$2,Данные6[[#This Row],[days_birth4]])</f>
        <v>0</v>
      </c>
      <c r="U235" s="2">
        <f>IF(Данные6[[#This Row],[Проверка отказа]]="отказ",0,MAX(Данные6[[#This Row],[interest_rate]],$C$1))</f>
        <v>0</v>
      </c>
      <c r="V235" s="2">
        <f>MROUND(Данные6[[#This Row],[Минимум 20000]], 100)</f>
        <v>0</v>
      </c>
    </row>
    <row r="236" spans="1:22" x14ac:dyDescent="0.25">
      <c r="A236" s="2">
        <f>'1000_заявлений'!A230</f>
        <v>228</v>
      </c>
      <c r="B236" s="4">
        <f>VALUE(SUBSTITUTE('1000_заявлений'!B230, ".", ","))</f>
        <v>0.35978307165356699</v>
      </c>
      <c r="C236" s="4">
        <f>VALUE(SUBSTITUTE('1000_заявлений'!C230, ".", ","))</f>
        <v>0.36601372579192798</v>
      </c>
      <c r="D236" s="4">
        <f>VALUE(SUBSTITUTE('1000_заявлений'!D230, ".", ","))</f>
        <v>0.67383009999999999</v>
      </c>
      <c r="E236" s="4">
        <f>VALUE(SUBSTITUTE('1000_заявлений'!E230, ".", ","))</f>
        <v>0.37706922999999998</v>
      </c>
      <c r="F236" s="5">
        <f>VALUE(SUBSTITUTE('1000_заявлений'!F230, ".", ","))</f>
        <v>-5</v>
      </c>
      <c r="G236" s="5">
        <f>VALUE(SUBSTITUTE('1000_заявлений'!G230, ".", ","))</f>
        <v>-22626</v>
      </c>
      <c r="H236" s="5">
        <f>VALUE(SUBSTITUTE('1000_заявлений'!H230, ".", ","))</f>
        <v>-4207</v>
      </c>
      <c r="I236" s="4">
        <f>VALUE(SUBSTITUTE('1000_заявлений'!I230, ".", ","))</f>
        <v>0.14285714285714199</v>
      </c>
      <c r="J236" s="4">
        <f>VALUE(SUBSTITUTE('1000_заявлений'!J230, ".", ","))</f>
        <v>10.6209759779781</v>
      </c>
      <c r="K236" s="5">
        <f>VALUE(SUBSTITUTE('1000_заявлений'!K230, ".", ","))</f>
        <v>-217</v>
      </c>
      <c r="L236" s="6">
        <f>VALUE(SUBSTITUTE('1000_заявлений'!L230, ".", ","))</f>
        <v>11250</v>
      </c>
      <c r="M236" s="2" t="str">
        <f>IF(Данные6[[#This Row],[proba]]&gt;$C$6, "отказ", "одобрение")</f>
        <v>отказ</v>
      </c>
      <c r="N236" s="7">
        <f>IF(Данные6[[#This Row],[proba]]&lt;$D$2,$C$2,IF(Данные6[[#This Row],[proba]]&lt;$D$3,$C$3,IF(Данные6[[#This Row],[proba]]&gt;$C$6,0,$C$4)))</f>
        <v>0</v>
      </c>
      <c r="O236" s="2">
        <f>IF(Данные6[[#This Row],[weighted_ext_score]]&gt;$O$1,MIN(Данные6[[#This Row],[Базовая сумма]]*$O$2,$C$2),IF(Данные6[[#This Row],[weighted_ext_score]]&lt;$O$3,Данные6[[#This Row],[Базовая сумма]]*$O$4,N236))</f>
        <v>0</v>
      </c>
      <c r="P2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6" s="2">
        <f>ABS(Данные6[[#This Row],[days_birth]])/365.2425</f>
        <v>61.947883940121976</v>
      </c>
      <c r="S2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6" s="2">
        <f>IF(Данные6[[#This Row],[ interest_rate]]&gt;$T$1,Данные6[[#This Row],[days_birth4]]*$T$2,Данные6[[#This Row],[days_birth4]])</f>
        <v>0</v>
      </c>
      <c r="U236" s="2">
        <f>IF(Данные6[[#This Row],[Проверка отказа]]="отказ",0,MAX(Данные6[[#This Row],[interest_rate]],$C$1))</f>
        <v>0</v>
      </c>
      <c r="V236" s="2">
        <f>MROUND(Данные6[[#This Row],[Минимум 20000]], 100)</f>
        <v>0</v>
      </c>
    </row>
    <row r="237" spans="1:22" x14ac:dyDescent="0.25">
      <c r="A237" s="2">
        <f>'1000_заявлений'!A231</f>
        <v>229</v>
      </c>
      <c r="B237" s="4">
        <f>VALUE(SUBSTITUTE('1000_заявлений'!B231, ".", ","))</f>
        <v>0.37065142825462</v>
      </c>
      <c r="C237" s="4">
        <f>VALUE(SUBSTITUTE('1000_заявлений'!C231, ".", ","))</f>
        <v>0.49926031957946398</v>
      </c>
      <c r="D237" s="4">
        <f>VALUE(SUBSTITUTE('1000_заявлений'!D231, ".", ","))</f>
        <v>0.53707000000000005</v>
      </c>
      <c r="E237" s="4">
        <f>VALUE(SUBSTITUTE('1000_заявлений'!E231, ".", ","))</f>
        <v>0.53039855000000002</v>
      </c>
      <c r="F237" s="5">
        <f>VALUE(SUBSTITUTE('1000_заявлений'!F231, ".", ","))</f>
        <v>-4685</v>
      </c>
      <c r="G237" s="5">
        <f>VALUE(SUBSTITUTE('1000_заявлений'!G231, ".", ","))</f>
        <v>-15767</v>
      </c>
      <c r="H237" s="5">
        <f>VALUE(SUBSTITUTE('1000_заявлений'!H231, ".", ","))</f>
        <v>-3576</v>
      </c>
      <c r="I237" s="4">
        <f>VALUE(SUBSTITUTE('1000_заявлений'!I231, ".", ","))</f>
        <v>0.16864000000000001</v>
      </c>
      <c r="J237" s="4">
        <f>VALUE(SUBSTITUTE('1000_заявлений'!J231, ".", ","))</f>
        <v>5.94847071743105</v>
      </c>
      <c r="K237" s="5">
        <f>VALUE(SUBSTITUTE('1000_заявлений'!K231, ".", ","))</f>
        <v>-5400</v>
      </c>
      <c r="L237" s="6">
        <f>VALUE(SUBSTITUTE('1000_заявлений'!L231, ".", ","))</f>
        <v>18972</v>
      </c>
      <c r="M237" s="2" t="str">
        <f>IF(Данные6[[#This Row],[proba]]&gt;$C$6, "отказ", "одобрение")</f>
        <v>отказ</v>
      </c>
      <c r="N237" s="7">
        <f>IF(Данные6[[#This Row],[proba]]&lt;$D$2,$C$2,IF(Данные6[[#This Row],[proba]]&lt;$D$3,$C$3,IF(Данные6[[#This Row],[proba]]&gt;$C$6,0,$C$4)))</f>
        <v>0</v>
      </c>
      <c r="O237" s="2">
        <f>IF(Данные6[[#This Row],[weighted_ext_score]]&gt;$O$1,MIN(Данные6[[#This Row],[Базовая сумма]]*$O$2,$C$2),IF(Данные6[[#This Row],[weighted_ext_score]]&lt;$O$3,Данные6[[#This Row],[Базовая сумма]]*$O$4,N237))</f>
        <v>0</v>
      </c>
      <c r="P2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7" s="2">
        <f>ABS(Данные6[[#This Row],[days_birth]])/365.2425</f>
        <v>43.168579779187802</v>
      </c>
      <c r="S2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7" s="2">
        <f>IF(Данные6[[#This Row],[ interest_rate]]&gt;$T$1,Данные6[[#This Row],[days_birth4]]*$T$2,Данные6[[#This Row],[days_birth4]])</f>
        <v>0</v>
      </c>
      <c r="U237" s="2">
        <f>IF(Данные6[[#This Row],[Проверка отказа]]="отказ",0,MAX(Данные6[[#This Row],[interest_rate]],$C$1))</f>
        <v>0</v>
      </c>
      <c r="V237" s="2">
        <f>MROUND(Данные6[[#This Row],[Минимум 20000]], 100)</f>
        <v>0</v>
      </c>
    </row>
    <row r="238" spans="1:22" x14ac:dyDescent="0.25">
      <c r="A238" s="2">
        <f>'1000_заявлений'!A232</f>
        <v>230</v>
      </c>
      <c r="B238" s="4">
        <f>VALUE(SUBSTITUTE('1000_заявлений'!B232, ".", ","))</f>
        <v>0.134920645216004</v>
      </c>
      <c r="C238" s="4">
        <f>VALUE(SUBSTITUTE('1000_заявлений'!C232, ".", ","))</f>
        <v>0.71536334902145604</v>
      </c>
      <c r="D238" s="4">
        <f>VALUE(SUBSTITUTE('1000_заявлений'!D232, ".", ","))</f>
        <v>0.72814129999999999</v>
      </c>
      <c r="E238" s="4">
        <f>VALUE(SUBSTITUTE('1000_заявлений'!E232, ".", ","))</f>
        <v>0.70959740000000004</v>
      </c>
      <c r="F238" s="5">
        <f>VALUE(SUBSTITUTE('1000_заявлений'!F232, ".", ","))</f>
        <v>-8948</v>
      </c>
      <c r="G238" s="5">
        <f>VALUE(SUBSTITUTE('1000_заявлений'!G232, ".", ","))</f>
        <v>-14805</v>
      </c>
      <c r="H238" s="5">
        <f>VALUE(SUBSTITUTE('1000_заявлений'!H232, ".", ","))</f>
        <v>-5490</v>
      </c>
      <c r="I238" s="4">
        <f>VALUE(SUBSTITUTE('1000_заявлений'!I232, ".", ","))</f>
        <v>0.29534210526315702</v>
      </c>
      <c r="J238" s="4">
        <f>VALUE(SUBSTITUTE('1000_заявлений'!J232, ".", ","))</f>
        <v>11.973330598845701</v>
      </c>
      <c r="K238" s="5">
        <f>VALUE(SUBSTITUTE('1000_заявлений'!K232, ".", ","))</f>
        <v>-240</v>
      </c>
      <c r="L238" s="6">
        <f>VALUE(SUBSTITUTE('1000_заявлений'!L232, ".", ","))</f>
        <v>50503.5</v>
      </c>
      <c r="M238" s="2" t="str">
        <f>IF(Данные6[[#This Row],[proba]]&gt;$C$6, "отказ", "одобрение")</f>
        <v>одобрение</v>
      </c>
      <c r="N238" s="7">
        <f>IF(Данные6[[#This Row],[proba]]&lt;$D$2,$C$2,IF(Данные6[[#This Row],[proba]]&lt;$D$3,$C$3,IF(Данные6[[#This Row],[proba]]&gt;$C$6,0,$C$4)))</f>
        <v>200000</v>
      </c>
      <c r="O238" s="2">
        <f>IF(Данные6[[#This Row],[weighted_ext_score]]&gt;$O$1,MIN(Данные6[[#This Row],[Базовая сумма]]*$O$2,$C$2),IF(Данные6[[#This Row],[weighted_ext_score]]&lt;$O$3,Данные6[[#This Row],[Базовая сумма]]*$O$4,N238))</f>
        <v>300000</v>
      </c>
      <c r="P2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2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238" s="2">
        <f>ABS(Данные6[[#This Row],[days_birth]])/365.2425</f>
        <v>40.534713238464853</v>
      </c>
      <c r="S2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238" s="2">
        <f>IF(Данные6[[#This Row],[ interest_rate]]&gt;$T$1,Данные6[[#This Row],[days_birth4]]*$T$2,Данные6[[#This Row],[days_birth4]])</f>
        <v>300000</v>
      </c>
      <c r="U238" s="2">
        <f>IF(Данные6[[#This Row],[Проверка отказа]]="отказ",0,MAX(Данные6[[#This Row],[interest_rate]],$C$1))</f>
        <v>300000</v>
      </c>
      <c r="V238" s="2">
        <f>MROUND(Данные6[[#This Row],[Минимум 20000]], 100)</f>
        <v>300000</v>
      </c>
    </row>
    <row r="239" spans="1:22" x14ac:dyDescent="0.25">
      <c r="A239" s="2">
        <f>'1000_заявлений'!A233</f>
        <v>231</v>
      </c>
      <c r="B239" s="4">
        <f>VALUE(SUBSTITUTE('1000_заявлений'!B233, ".", ","))</f>
        <v>0.381061542141101</v>
      </c>
      <c r="C239" s="4">
        <f>VALUE(SUBSTITUTE('1000_заявлений'!C233, ".", ","))</f>
        <v>0.52804181017173502</v>
      </c>
      <c r="D239" s="4">
        <f>VALUE(SUBSTITUTE('1000_заявлений'!D233, ".", ","))</f>
        <v>0.45969044999999997</v>
      </c>
      <c r="E239" s="4">
        <f>VALUE(SUBSTITUTE('1000_заявлений'!E233, ".", ","))</f>
        <v>0.6071029</v>
      </c>
      <c r="F239" s="5">
        <f>VALUE(SUBSTITUTE('1000_заявлений'!F233, ".", ","))</f>
        <v>-11398</v>
      </c>
      <c r="G239" s="5">
        <f>VALUE(SUBSTITUTE('1000_заявлений'!G233, ".", ","))</f>
        <v>-19431</v>
      </c>
      <c r="H239" s="5">
        <f>VALUE(SUBSTITUTE('1000_заявлений'!H233, ".", ","))</f>
        <v>-2115</v>
      </c>
      <c r="I239" s="4">
        <f>VALUE(SUBSTITUTE('1000_заявлений'!I233, ".", ","))</f>
        <v>0.257275336718922</v>
      </c>
      <c r="J239" s="4">
        <f>VALUE(SUBSTITUTE('1000_заявлений'!J233, ".", ","))</f>
        <v>2.7268436150310298</v>
      </c>
      <c r="K239" s="5">
        <f>VALUE(SUBSTITUTE('1000_заявлений'!K233, ".", ","))</f>
        <v>-11824</v>
      </c>
      <c r="L239" s="6">
        <f>VALUE(SUBSTITUTE('1000_заявлений'!L233, ".", ","))</f>
        <v>26217</v>
      </c>
      <c r="M239" s="2" t="str">
        <f>IF(Данные6[[#This Row],[proba]]&gt;$C$6, "отказ", "одобрение")</f>
        <v>отказ</v>
      </c>
      <c r="N239" s="7">
        <f>IF(Данные6[[#This Row],[proba]]&lt;$D$2,$C$2,IF(Данные6[[#This Row],[proba]]&lt;$D$3,$C$3,IF(Данные6[[#This Row],[proba]]&gt;$C$6,0,$C$4)))</f>
        <v>0</v>
      </c>
      <c r="O239" s="2">
        <f>IF(Данные6[[#This Row],[weighted_ext_score]]&gt;$O$1,MIN(Данные6[[#This Row],[Базовая сумма]]*$O$2,$C$2),IF(Данные6[[#This Row],[weighted_ext_score]]&lt;$O$3,Данные6[[#This Row],[Базовая сумма]]*$O$4,N239))</f>
        <v>0</v>
      </c>
      <c r="P2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39" s="2">
        <f>ABS(Данные6[[#This Row],[days_birth]])/365.2425</f>
        <v>53.200271052793688</v>
      </c>
      <c r="S2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39" s="2">
        <f>IF(Данные6[[#This Row],[ interest_rate]]&gt;$T$1,Данные6[[#This Row],[days_birth4]]*$T$2,Данные6[[#This Row],[days_birth4]])</f>
        <v>0</v>
      </c>
      <c r="U239" s="2">
        <f>IF(Данные6[[#This Row],[Проверка отказа]]="отказ",0,MAX(Данные6[[#This Row],[interest_rate]],$C$1))</f>
        <v>0</v>
      </c>
      <c r="V239" s="2">
        <f>MROUND(Данные6[[#This Row],[Минимум 20000]], 100)</f>
        <v>0</v>
      </c>
    </row>
    <row r="240" spans="1:22" x14ac:dyDescent="0.25">
      <c r="A240" s="2">
        <f>'1000_заявлений'!A234</f>
        <v>232</v>
      </c>
      <c r="B240" s="4">
        <f>VALUE(SUBSTITUTE('1000_заявлений'!B234, ".", ","))</f>
        <v>0.58262527627628002</v>
      </c>
      <c r="C240" s="4">
        <f>VALUE(SUBSTITUTE('1000_заявлений'!C234, ".", ","))</f>
        <v>0.29737672611144</v>
      </c>
      <c r="D240" s="4">
        <f>VALUE(SUBSTITUTE('1000_заявлений'!D234, ".", ","))</f>
        <v>0.4632753</v>
      </c>
      <c r="E240" s="4">
        <f>VALUE(SUBSTITUTE('1000_заявлений'!E234, ".", ","))</f>
        <v>0.40023189999999997</v>
      </c>
      <c r="F240" s="5">
        <f>VALUE(SUBSTITUTE('1000_заявлений'!F234, ".", ","))</f>
        <v>-3556</v>
      </c>
      <c r="G240" s="5">
        <f>VALUE(SUBSTITUTE('1000_заявлений'!G234, ".", ","))</f>
        <v>-15361</v>
      </c>
      <c r="H240" s="5">
        <f>VALUE(SUBSTITUTE('1000_заявлений'!H234, ".", ","))</f>
        <v>-4874</v>
      </c>
      <c r="I240" s="4">
        <f>VALUE(SUBSTITUTE('1000_заявлений'!I234, ".", ","))</f>
        <v>0.24079999999999999</v>
      </c>
      <c r="J240" s="4">
        <f>VALUE(SUBSTITUTE('1000_заявлений'!J234, ".", ","))</f>
        <v>4.6585883921962301</v>
      </c>
      <c r="K240" s="5">
        <f>VALUE(SUBSTITUTE('1000_заявлений'!K234, ".", ","))</f>
        <v>-3326</v>
      </c>
      <c r="L240" s="6">
        <f>VALUE(SUBSTITUTE('1000_заявлений'!L234, ".", ","))</f>
        <v>21672</v>
      </c>
      <c r="M240" s="2" t="str">
        <f>IF(Данные6[[#This Row],[proba]]&gt;$C$6, "отказ", "одобрение")</f>
        <v>отказ</v>
      </c>
      <c r="N240" s="7">
        <f>IF(Данные6[[#This Row],[proba]]&lt;$D$2,$C$2,IF(Данные6[[#This Row],[proba]]&lt;$D$3,$C$3,IF(Данные6[[#This Row],[proba]]&gt;$C$6,0,$C$4)))</f>
        <v>0</v>
      </c>
      <c r="O240" s="2">
        <f>IF(Данные6[[#This Row],[weighted_ext_score]]&gt;$O$1,MIN(Данные6[[#This Row],[Базовая сумма]]*$O$2,$C$2),IF(Данные6[[#This Row],[weighted_ext_score]]&lt;$O$3,Данные6[[#This Row],[Базовая сумма]]*$O$4,N240))</f>
        <v>0</v>
      </c>
      <c r="P2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0" s="2">
        <f>ABS(Данные6[[#This Row],[days_birth]])/365.2425</f>
        <v>42.056989534350464</v>
      </c>
      <c r="S2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0" s="2">
        <f>IF(Данные6[[#This Row],[ interest_rate]]&gt;$T$1,Данные6[[#This Row],[days_birth4]]*$T$2,Данные6[[#This Row],[days_birth4]])</f>
        <v>0</v>
      </c>
      <c r="U240" s="2">
        <f>IF(Данные6[[#This Row],[Проверка отказа]]="отказ",0,MAX(Данные6[[#This Row],[interest_rate]],$C$1))</f>
        <v>0</v>
      </c>
      <c r="V240" s="2">
        <f>MROUND(Данные6[[#This Row],[Минимум 20000]], 100)</f>
        <v>0</v>
      </c>
    </row>
    <row r="241" spans="1:22" x14ac:dyDescent="0.25">
      <c r="A241" s="2">
        <f>'1000_заявлений'!A235</f>
        <v>233</v>
      </c>
      <c r="B241" s="4">
        <f>VALUE(SUBSTITUTE('1000_заявлений'!B235, ".", ","))</f>
        <v>0.55167286155030004</v>
      </c>
      <c r="C241" s="4">
        <f>VALUE(SUBSTITUTE('1000_заявлений'!C235, ".", ","))</f>
        <v>0.25866721847100599</v>
      </c>
      <c r="D241" s="4">
        <f>VALUE(SUBSTITUTE('1000_заявлений'!D235, ".", ","))</f>
        <v>0.21035023</v>
      </c>
      <c r="E241" s="4">
        <f>VALUE(SUBSTITUTE('1000_заявлений'!E235, ".", ","))</f>
        <v>0.56289699999999998</v>
      </c>
      <c r="F241" s="5">
        <f>VALUE(SUBSTITUTE('1000_заявлений'!F235, ".", ","))</f>
        <v>-1495</v>
      </c>
      <c r="G241" s="5">
        <f>VALUE(SUBSTITUTE('1000_заявлений'!G235, ".", ","))</f>
        <v>-22221</v>
      </c>
      <c r="H241" s="5">
        <f>VALUE(SUBSTITUTE('1000_заявлений'!H235, ".", ","))</f>
        <v>-4713</v>
      </c>
      <c r="I241" s="4">
        <f>VALUE(SUBSTITUTE('1000_заявлений'!I235, ".", ","))</f>
        <v>5.6666666666666601E-2</v>
      </c>
      <c r="J241" s="4">
        <f>VALUE(SUBSTITUTE('1000_заявлений'!J235, ".", ","))</f>
        <v>10.6209759779781</v>
      </c>
      <c r="K241" s="5">
        <f>VALUE(SUBSTITUTE('1000_заявлений'!K235, ".", ","))</f>
        <v>-1786</v>
      </c>
      <c r="L241" s="6">
        <f>VALUE(SUBSTITUTE('1000_заявлений'!L235, ".", ","))</f>
        <v>19125</v>
      </c>
      <c r="M241" s="2" t="str">
        <f>IF(Данные6[[#This Row],[proba]]&gt;$C$6, "отказ", "одобрение")</f>
        <v>отказ</v>
      </c>
      <c r="N241" s="7">
        <f>IF(Данные6[[#This Row],[proba]]&lt;$D$2,$C$2,IF(Данные6[[#This Row],[proba]]&lt;$D$3,$C$3,IF(Данные6[[#This Row],[proba]]&gt;$C$6,0,$C$4)))</f>
        <v>0</v>
      </c>
      <c r="O241" s="2">
        <f>IF(Данные6[[#This Row],[weighted_ext_score]]&gt;$O$1,MIN(Данные6[[#This Row],[Базовая сумма]]*$O$2,$C$2),IF(Данные6[[#This Row],[weighted_ext_score]]&lt;$O$3,Данные6[[#This Row],[Базовая сумма]]*$O$4,N241))</f>
        <v>0</v>
      </c>
      <c r="P2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1" s="2">
        <f>ABS(Данные6[[#This Row],[days_birth]])/365.2425</f>
        <v>60.839031602291627</v>
      </c>
      <c r="S2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1" s="2">
        <f>IF(Данные6[[#This Row],[ interest_rate]]&gt;$T$1,Данные6[[#This Row],[days_birth4]]*$T$2,Данные6[[#This Row],[days_birth4]])</f>
        <v>0</v>
      </c>
      <c r="U241" s="2">
        <f>IF(Данные6[[#This Row],[Проверка отказа]]="отказ",0,MAX(Данные6[[#This Row],[interest_rate]],$C$1))</f>
        <v>0</v>
      </c>
      <c r="V241" s="2">
        <f>MROUND(Данные6[[#This Row],[Минимум 20000]], 100)</f>
        <v>0</v>
      </c>
    </row>
    <row r="242" spans="1:22" x14ac:dyDescent="0.25">
      <c r="A242" s="2">
        <f>'1000_заявлений'!A236</f>
        <v>234</v>
      </c>
      <c r="B242" s="4">
        <f>VALUE(SUBSTITUTE('1000_заявлений'!B236, ".", ","))</f>
        <v>0.55484629237902705</v>
      </c>
      <c r="C242" s="4">
        <f>VALUE(SUBSTITUTE('1000_заявлений'!C236, ".", ","))</f>
        <v>0.296405179518832</v>
      </c>
      <c r="D242" s="4">
        <f>VALUE(SUBSTITUTE('1000_заявлений'!D236, ".", ","))</f>
        <v>0.56383499999999998</v>
      </c>
      <c r="E242" s="4">
        <f>VALUE(SUBSTITUTE('1000_заявлений'!E236, ".", ","))</f>
        <v>0.28511723999999999</v>
      </c>
      <c r="F242" s="5">
        <f>VALUE(SUBSTITUTE('1000_заявлений'!F236, ".", ","))</f>
        <v>-2666</v>
      </c>
      <c r="G242" s="5">
        <f>VALUE(SUBSTITUTE('1000_заявлений'!G236, ".", ","))</f>
        <v>-13261</v>
      </c>
      <c r="H242" s="5">
        <f>VALUE(SUBSTITUTE('1000_заявлений'!H236, ".", ","))</f>
        <v>-2666</v>
      </c>
      <c r="I242" s="4">
        <f>VALUE(SUBSTITUTE('1000_заявлений'!I236, ".", ","))</f>
        <v>0.10100000000000001</v>
      </c>
      <c r="J242" s="4">
        <f>VALUE(SUBSTITUTE('1000_заявлений'!J236, ".", ","))</f>
        <v>9.6108451239791606</v>
      </c>
      <c r="K242" s="5">
        <f>VALUE(SUBSTITUTE('1000_заявлений'!K236, ".", ","))</f>
        <v>-659</v>
      </c>
      <c r="L242" s="6">
        <f>VALUE(SUBSTITUTE('1000_заявлений'!L236, ".", ","))</f>
        <v>6817.5</v>
      </c>
      <c r="M242" s="2" t="str">
        <f>IF(Данные6[[#This Row],[proba]]&gt;$C$6, "отказ", "одобрение")</f>
        <v>отказ</v>
      </c>
      <c r="N242" s="7">
        <f>IF(Данные6[[#This Row],[proba]]&lt;$D$2,$C$2,IF(Данные6[[#This Row],[proba]]&lt;$D$3,$C$3,IF(Данные6[[#This Row],[proba]]&gt;$C$6,0,$C$4)))</f>
        <v>0</v>
      </c>
      <c r="O242" s="2">
        <f>IF(Данные6[[#This Row],[weighted_ext_score]]&gt;$O$1,MIN(Данные6[[#This Row],[Базовая сумма]]*$O$2,$C$2),IF(Данные6[[#This Row],[weighted_ext_score]]&lt;$O$3,Данные6[[#This Row],[Базовая сумма]]*$O$4,N242))</f>
        <v>0</v>
      </c>
      <c r="P2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2" s="2">
        <f>ABS(Данные6[[#This Row],[days_birth]])/365.2425</f>
        <v>36.307384819674596</v>
      </c>
      <c r="S2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2" s="2">
        <f>IF(Данные6[[#This Row],[ interest_rate]]&gt;$T$1,Данные6[[#This Row],[days_birth4]]*$T$2,Данные6[[#This Row],[days_birth4]])</f>
        <v>0</v>
      </c>
      <c r="U242" s="2">
        <f>IF(Данные6[[#This Row],[Проверка отказа]]="отказ",0,MAX(Данные6[[#This Row],[interest_rate]],$C$1))</f>
        <v>0</v>
      </c>
      <c r="V242" s="2">
        <f>MROUND(Данные6[[#This Row],[Минимум 20000]], 100)</f>
        <v>0</v>
      </c>
    </row>
    <row r="243" spans="1:22" x14ac:dyDescent="0.25">
      <c r="A243" s="2">
        <f>'1000_заявлений'!A237</f>
        <v>235</v>
      </c>
      <c r="B243" s="4">
        <f>VALUE(SUBSTITUTE('1000_заявлений'!B237, ".", ","))</f>
        <v>0.45180509594833002</v>
      </c>
      <c r="C243" s="4">
        <f>VALUE(SUBSTITUTE('1000_заявлений'!C237, ".", ","))</f>
        <v>0.28890434908498103</v>
      </c>
      <c r="D243" s="4">
        <f>VALUE(SUBSTITUTE('1000_заявлений'!D237, ".", ","))</f>
        <v>0.53527623000000002</v>
      </c>
      <c r="E243" s="4">
        <f>VALUE(SUBSTITUTE('1000_заявлений'!E237, ".", ","))</f>
        <v>0.67808179999999996</v>
      </c>
      <c r="F243" s="5">
        <f>VALUE(SUBSTITUTE('1000_заявлений'!F237, ".", ","))</f>
        <v>-10968</v>
      </c>
      <c r="G243" s="5">
        <f>VALUE(SUBSTITUTE('1000_заявлений'!G237, ".", ","))</f>
        <v>-11000</v>
      </c>
      <c r="H243" s="5">
        <f>VALUE(SUBSTITUTE('1000_заявлений'!H237, ".", ","))</f>
        <v>-2274</v>
      </c>
      <c r="I243" s="4">
        <f>VALUE(SUBSTITUTE('1000_заявлений'!I237, ".", ","))</f>
        <v>0.27788000000000002</v>
      </c>
      <c r="J243" s="4">
        <f>VALUE(SUBSTITUTE('1000_заявлений'!J237, ".", ","))</f>
        <v>7.8744259631260096</v>
      </c>
      <c r="K243" s="5">
        <f>VALUE(SUBSTITUTE('1000_заявлений'!K237, ".", ","))</f>
        <v>-968</v>
      </c>
      <c r="L243" s="6">
        <f>VALUE(SUBSTITUTE('1000_заявлений'!L237, ".", ","))</f>
        <v>31261.5</v>
      </c>
      <c r="M243" s="2" t="str">
        <f>IF(Данные6[[#This Row],[proba]]&gt;$C$6, "отказ", "одобрение")</f>
        <v>отказ</v>
      </c>
      <c r="N243" s="7">
        <f>IF(Данные6[[#This Row],[proba]]&lt;$D$2,$C$2,IF(Данные6[[#This Row],[proba]]&lt;$D$3,$C$3,IF(Данные6[[#This Row],[proba]]&gt;$C$6,0,$C$4)))</f>
        <v>0</v>
      </c>
      <c r="O243" s="2">
        <f>IF(Данные6[[#This Row],[weighted_ext_score]]&gt;$O$1,MIN(Данные6[[#This Row],[Базовая сумма]]*$O$2,$C$2),IF(Данные6[[#This Row],[weighted_ext_score]]&lt;$O$3,Данные6[[#This Row],[Базовая сумма]]*$O$4,N243))</f>
        <v>0</v>
      </c>
      <c r="P2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3" s="2">
        <f>ABS(Данные6[[#This Row],[days_birth]])/365.2425</f>
        <v>30.116977076873585</v>
      </c>
      <c r="S2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3" s="2">
        <f>IF(Данные6[[#This Row],[ interest_rate]]&gt;$T$1,Данные6[[#This Row],[days_birth4]]*$T$2,Данные6[[#This Row],[days_birth4]])</f>
        <v>0</v>
      </c>
      <c r="U243" s="2">
        <f>IF(Данные6[[#This Row],[Проверка отказа]]="отказ",0,MAX(Данные6[[#This Row],[interest_rate]],$C$1))</f>
        <v>0</v>
      </c>
      <c r="V243" s="2">
        <f>MROUND(Данные6[[#This Row],[Минимум 20000]], 100)</f>
        <v>0</v>
      </c>
    </row>
    <row r="244" spans="1:22" x14ac:dyDescent="0.25">
      <c r="A244" s="2">
        <f>'1000_заявлений'!A238</f>
        <v>236</v>
      </c>
      <c r="B244" s="4">
        <f>VALUE(SUBSTITUTE('1000_заявлений'!B238, ".", ","))</f>
        <v>0.70772371003115897</v>
      </c>
      <c r="C244" s="4">
        <f>VALUE(SUBSTITUTE('1000_заявлений'!C238, ".", ","))</f>
        <v>0.22955709907324101</v>
      </c>
      <c r="D244" s="4">
        <f>VALUE(SUBSTITUTE('1000_заявлений'!D238, ".", ","))</f>
        <v>0.27788568000000002</v>
      </c>
      <c r="E244" s="4">
        <f>VALUE(SUBSTITUTE('1000_заявлений'!E238, ".", ","))</f>
        <v>0.39785635000000003</v>
      </c>
      <c r="F244" s="5">
        <f>VALUE(SUBSTITUTE('1000_заявлений'!F238, ".", ","))</f>
        <v>-6936</v>
      </c>
      <c r="G244" s="5">
        <f>VALUE(SUBSTITUTE('1000_заявлений'!G238, ".", ","))</f>
        <v>-15827</v>
      </c>
      <c r="H244" s="5">
        <f>VALUE(SUBSTITUTE('1000_заявлений'!H238, ".", ","))</f>
        <v>-1777</v>
      </c>
      <c r="I244" s="4">
        <f>VALUE(SUBSTITUTE('1000_заявлений'!I238, ".", ","))</f>
        <v>0.16800000000000001</v>
      </c>
      <c r="J244" s="4">
        <f>VALUE(SUBSTITUTE('1000_заявлений'!J238, ".", ","))</f>
        <v>1.7926354583625901</v>
      </c>
      <c r="K244" s="5">
        <f>VALUE(SUBSTITUTE('1000_заявлений'!K238, ".", ","))</f>
        <v>-3010</v>
      </c>
      <c r="L244" s="6">
        <f>VALUE(SUBSTITUTE('1000_заявлений'!L238, ".", ","))</f>
        <v>37800</v>
      </c>
      <c r="M244" s="2" t="str">
        <f>IF(Данные6[[#This Row],[proba]]&gt;$C$6, "отказ", "одобрение")</f>
        <v>отказ</v>
      </c>
      <c r="N244" s="7">
        <f>IF(Данные6[[#This Row],[proba]]&lt;$D$2,$C$2,IF(Данные6[[#This Row],[proba]]&lt;$D$3,$C$3,IF(Данные6[[#This Row],[proba]]&gt;$C$6,0,$C$4)))</f>
        <v>0</v>
      </c>
      <c r="O244" s="2">
        <f>IF(Данные6[[#This Row],[weighted_ext_score]]&gt;$O$1,MIN(Данные6[[#This Row],[Базовая сумма]]*$O$2,$C$2),IF(Данные6[[#This Row],[weighted_ext_score]]&lt;$O$3,Данные6[[#This Row],[Базовая сумма]]*$O$4,N244))</f>
        <v>0</v>
      </c>
      <c r="P2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4" s="2">
        <f>ABS(Данные6[[#This Row],[days_birth]])/365.2425</f>
        <v>43.332854199607112</v>
      </c>
      <c r="S2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4" s="2">
        <f>IF(Данные6[[#This Row],[ interest_rate]]&gt;$T$1,Данные6[[#This Row],[days_birth4]]*$T$2,Данные6[[#This Row],[days_birth4]])</f>
        <v>0</v>
      </c>
      <c r="U244" s="2">
        <f>IF(Данные6[[#This Row],[Проверка отказа]]="отказ",0,MAX(Данные6[[#This Row],[interest_rate]],$C$1))</f>
        <v>0</v>
      </c>
      <c r="V244" s="2">
        <f>MROUND(Данные6[[#This Row],[Минимум 20000]], 100)</f>
        <v>0</v>
      </c>
    </row>
    <row r="245" spans="1:22" x14ac:dyDescent="0.25">
      <c r="A245" s="2">
        <f>'1000_заявлений'!A239</f>
        <v>237</v>
      </c>
      <c r="B245" s="4">
        <f>VALUE(SUBSTITUTE('1000_заявлений'!B239, ".", ","))</f>
        <v>0.28683321732174799</v>
      </c>
      <c r="C245" s="4">
        <f>VALUE(SUBSTITUTE('1000_заявлений'!C239, ".", ","))</f>
        <v>0.426498714023335</v>
      </c>
      <c r="D245" s="4">
        <f>VALUE(SUBSTITUTE('1000_заявлений'!D239, ".", ","))</f>
        <v>0.62630427</v>
      </c>
      <c r="E245" s="4">
        <f>VALUE(SUBSTITUTE('1000_заявлений'!E239, ".", ","))</f>
        <v>0.61652355999999997</v>
      </c>
      <c r="F245" s="5">
        <f>VALUE(SUBSTITUTE('1000_заявлений'!F239, ".", ","))</f>
        <v>-3087</v>
      </c>
      <c r="G245" s="5">
        <f>VALUE(SUBSTITUTE('1000_заявлений'!G239, ".", ","))</f>
        <v>-18773</v>
      </c>
      <c r="H245" s="5">
        <f>VALUE(SUBSTITUTE('1000_заявлений'!H239, ".", ","))</f>
        <v>-2314</v>
      </c>
      <c r="I245" s="4">
        <f>VALUE(SUBSTITUTE('1000_заявлений'!I239, ".", ","))</f>
        <v>0.14444444444444399</v>
      </c>
      <c r="J245" s="4">
        <f>VALUE(SUBSTITUTE('1000_заявлений'!J239, ".", ","))</f>
        <v>10.6209759779781</v>
      </c>
      <c r="K245" s="5">
        <f>VALUE(SUBSTITUTE('1000_заявлений'!K239, ".", ","))</f>
        <v>-251</v>
      </c>
      <c r="L245" s="6">
        <f>VALUE(SUBSTITUTE('1000_заявлений'!L239, ".", ","))</f>
        <v>29250</v>
      </c>
      <c r="M245" s="2" t="str">
        <f>IF(Данные6[[#This Row],[proba]]&gt;$C$6, "отказ", "одобрение")</f>
        <v>одобрение</v>
      </c>
      <c r="N245" s="7">
        <f>IF(Данные6[[#This Row],[proba]]&lt;$D$2,$C$2,IF(Данные6[[#This Row],[proba]]&lt;$D$3,$C$3,IF(Данные6[[#This Row],[proba]]&gt;$C$6,0,$C$4)))</f>
        <v>50000</v>
      </c>
      <c r="O245" s="2">
        <f>IF(Данные6[[#This Row],[weighted_ext_score]]&gt;$O$1,MIN(Данные6[[#This Row],[Базовая сумма]]*$O$2,$C$2),IF(Данные6[[#This Row],[weighted_ext_score]]&lt;$O$3,Данные6[[#This Row],[Базовая сумма]]*$O$4,N245))</f>
        <v>40000</v>
      </c>
      <c r="P2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245" s="2">
        <f>ABS(Данные6[[#This Row],[days_birth]])/365.2425</f>
        <v>51.398728242195254</v>
      </c>
      <c r="S2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245" s="2">
        <f>IF(Данные6[[#This Row],[ interest_rate]]&gt;$T$1,Данные6[[#This Row],[days_birth4]]*$T$2,Данные6[[#This Row],[days_birth4]])</f>
        <v>42000</v>
      </c>
      <c r="U245" s="2">
        <f>IF(Данные6[[#This Row],[Проверка отказа]]="отказ",0,MAX(Данные6[[#This Row],[interest_rate]],$C$1))</f>
        <v>42000</v>
      </c>
      <c r="V245" s="2">
        <f>MROUND(Данные6[[#This Row],[Минимум 20000]], 100)</f>
        <v>42000</v>
      </c>
    </row>
    <row r="246" spans="1:22" x14ac:dyDescent="0.25">
      <c r="A246" s="2">
        <f>'1000_заявлений'!A240</f>
        <v>238</v>
      </c>
      <c r="B246" s="4">
        <f>VALUE(SUBSTITUTE('1000_заявлений'!B240, ".", ","))</f>
        <v>0.28818974808456999</v>
      </c>
      <c r="C246" s="4">
        <f>VALUE(SUBSTITUTE('1000_заявлений'!C240, ".", ","))</f>
        <v>0.42334786580456502</v>
      </c>
      <c r="D246" s="4">
        <f>VALUE(SUBSTITUTE('1000_заявлений'!D240, ".", ","))</f>
        <v>0.66263777000000001</v>
      </c>
      <c r="E246" s="4">
        <f>VALUE(SUBSTITUTE('1000_заявлений'!E240, ".", ","))</f>
        <v>0.56629980000000002</v>
      </c>
      <c r="F246" s="5">
        <f>VALUE(SUBSTITUTE('1000_заявлений'!F240, ".", ","))</f>
        <v>-9953</v>
      </c>
      <c r="G246" s="5">
        <f>VALUE(SUBSTITUTE('1000_заявлений'!G240, ".", ","))</f>
        <v>-20278</v>
      </c>
      <c r="H246" s="5">
        <f>VALUE(SUBSTITUTE('1000_заявлений'!H240, ".", ","))</f>
        <v>-2560</v>
      </c>
      <c r="I246" s="4">
        <f>VALUE(SUBSTITUTE('1000_заявлений'!I240, ".", ","))</f>
        <v>0.29522500000000002</v>
      </c>
      <c r="J246" s="4">
        <f>VALUE(SUBSTITUTE('1000_заявлений'!J240, ".", ","))</f>
        <v>1.8585352948174501</v>
      </c>
      <c r="K246" s="5">
        <f>VALUE(SUBSTITUTE('1000_заявлений'!K240, ".", ","))</f>
        <v>365243</v>
      </c>
      <c r="L246" s="6">
        <f>VALUE(SUBSTITUTE('1000_заявлений'!L240, ".", ","))</f>
        <v>53140.5</v>
      </c>
      <c r="M246" s="2" t="str">
        <f>IF(Данные6[[#This Row],[proba]]&gt;$C$6, "отказ", "одобрение")</f>
        <v>одобрение</v>
      </c>
      <c r="N246" s="7">
        <f>IF(Данные6[[#This Row],[proba]]&lt;$D$2,$C$2,IF(Данные6[[#This Row],[proba]]&lt;$D$3,$C$3,IF(Данные6[[#This Row],[proba]]&gt;$C$6,0,$C$4)))</f>
        <v>50000</v>
      </c>
      <c r="O246" s="2">
        <f>IF(Данные6[[#This Row],[weighted_ext_score]]&gt;$O$1,MIN(Данные6[[#This Row],[Базовая сумма]]*$O$2,$C$2),IF(Данные6[[#This Row],[weighted_ext_score]]&lt;$O$3,Данные6[[#This Row],[Базовая сумма]]*$O$4,N246))</f>
        <v>40000</v>
      </c>
      <c r="P2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246" s="2">
        <f>ABS(Данные6[[#This Row],[days_birth]])/365.2425</f>
        <v>55.519278287712957</v>
      </c>
      <c r="S2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246" s="2">
        <f>IF(Данные6[[#This Row],[ interest_rate]]&gt;$T$1,Данные6[[#This Row],[days_birth4]]*$T$2,Данные6[[#This Row],[days_birth4]])</f>
        <v>42000</v>
      </c>
      <c r="U246" s="2">
        <f>IF(Данные6[[#This Row],[Проверка отказа]]="отказ",0,MAX(Данные6[[#This Row],[interest_rate]],$C$1))</f>
        <v>42000</v>
      </c>
      <c r="V246" s="2">
        <f>MROUND(Данные6[[#This Row],[Минимум 20000]], 100)</f>
        <v>42000</v>
      </c>
    </row>
    <row r="247" spans="1:22" x14ac:dyDescent="0.25">
      <c r="A247" s="2">
        <f>'1000_заявлений'!A241</f>
        <v>239</v>
      </c>
      <c r="B247" s="4">
        <f>VALUE(SUBSTITUTE('1000_заявлений'!B241, ".", ","))</f>
        <v>0.25292146892329698</v>
      </c>
      <c r="C247" s="4">
        <f>VALUE(SUBSTITUTE('1000_заявлений'!C241, ".", ","))</f>
        <v>0.45804064033122199</v>
      </c>
      <c r="D247" s="4">
        <f>VALUE(SUBSTITUTE('1000_заявлений'!D241, ".", ","))</f>
        <v>0.64632990000000001</v>
      </c>
      <c r="E247" s="4">
        <f>VALUE(SUBSTITUTE('1000_заявлений'!E241, ".", ","))</f>
        <v>0.6914344</v>
      </c>
      <c r="F247" s="5">
        <f>VALUE(SUBSTITUTE('1000_заявлений'!F241, ".", ","))</f>
        <v>-11753</v>
      </c>
      <c r="G247" s="5">
        <f>VALUE(SUBSTITUTE('1000_заявлений'!G241, ".", ","))</f>
        <v>-19303</v>
      </c>
      <c r="H247" s="5">
        <f>VALUE(SUBSTITUTE('1000_заявлений'!H241, ".", ","))</f>
        <v>-2855</v>
      </c>
      <c r="I247" s="4">
        <f>VALUE(SUBSTITUTE('1000_заявлений'!I241, ".", ","))</f>
        <v>0.25864999999999999</v>
      </c>
      <c r="J247" s="4">
        <f>VALUE(SUBSTITUTE('1000_заявлений'!J241, ".", ","))</f>
        <v>6.8067579836325702</v>
      </c>
      <c r="K247" s="5">
        <f>VALUE(SUBSTITUTE('1000_заявлений'!K241, ".", ","))</f>
        <v>-4266</v>
      </c>
      <c r="L247" s="6">
        <f>VALUE(SUBSTITUTE('1000_заявлений'!L241, ".", ","))</f>
        <v>46557</v>
      </c>
      <c r="M247" s="2" t="str">
        <f>IF(Данные6[[#This Row],[proba]]&gt;$C$6, "отказ", "одобрение")</f>
        <v>одобрение</v>
      </c>
      <c r="N247" s="7">
        <f>IF(Данные6[[#This Row],[proba]]&lt;$D$2,$C$2,IF(Данные6[[#This Row],[proba]]&lt;$D$3,$C$3,IF(Данные6[[#This Row],[proba]]&gt;$C$6,0,$C$4)))</f>
        <v>50000</v>
      </c>
      <c r="O247" s="2">
        <f>IF(Данные6[[#This Row],[weighted_ext_score]]&gt;$O$1,MIN(Данные6[[#This Row],[Базовая сумма]]*$O$2,$C$2),IF(Данные6[[#This Row],[weighted_ext_score]]&lt;$O$3,Данные6[[#This Row],[Базовая сумма]]*$O$4,N247))</f>
        <v>40000</v>
      </c>
      <c r="P2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247" s="2">
        <f>ABS(Данные6[[#This Row],[days_birth]])/365.2425</f>
        <v>52.84981895589916</v>
      </c>
      <c r="S2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247" s="2">
        <f>IF(Данные6[[#This Row],[ interest_rate]]&gt;$T$1,Данные6[[#This Row],[days_birth4]]*$T$2,Данные6[[#This Row],[days_birth4]])</f>
        <v>50400</v>
      </c>
      <c r="U247" s="2">
        <f>IF(Данные6[[#This Row],[Проверка отказа]]="отказ",0,MAX(Данные6[[#This Row],[interest_rate]],$C$1))</f>
        <v>50400</v>
      </c>
      <c r="V247" s="2">
        <f>MROUND(Данные6[[#This Row],[Минимум 20000]], 100)</f>
        <v>50400</v>
      </c>
    </row>
    <row r="248" spans="1:22" x14ac:dyDescent="0.25">
      <c r="A248" s="2">
        <f>'1000_заявлений'!A242</f>
        <v>240</v>
      </c>
      <c r="B248" s="4">
        <f>VALUE(SUBSTITUTE('1000_заявлений'!B242, ".", ","))</f>
        <v>0.33426636089185902</v>
      </c>
      <c r="C248" s="4">
        <f>VALUE(SUBSTITUTE('1000_заявлений'!C242, ".", ","))</f>
        <v>0.52732873424563698</v>
      </c>
      <c r="D248" s="4">
        <f>VALUE(SUBSTITUTE('1000_заявлений'!D242, ".", ","))</f>
        <v>0.5797274</v>
      </c>
      <c r="E248" s="4">
        <f>VALUE(SUBSTITUTE('1000_заявлений'!E242, ".", ","))</f>
        <v>0.65174323000000001</v>
      </c>
      <c r="F248" s="5">
        <f>VALUE(SUBSTITUTE('1000_заявлений'!F242, ".", ","))</f>
        <v>-3383</v>
      </c>
      <c r="G248" s="5">
        <f>VALUE(SUBSTITUTE('1000_заявлений'!G242, ".", ","))</f>
        <v>-11629</v>
      </c>
      <c r="H248" s="5">
        <f>VALUE(SUBSTITUTE('1000_заявлений'!H242, ".", ","))</f>
        <v>-3485</v>
      </c>
      <c r="I248" s="4">
        <f>VALUE(SUBSTITUTE('1000_заявлений'!I242, ".", ","))</f>
        <v>0.19420000000000001</v>
      </c>
      <c r="J248" s="4">
        <f>VALUE(SUBSTITUTE('1000_заявлений'!J242, ".", ","))</f>
        <v>2.7268436150310298</v>
      </c>
      <c r="K248" s="5">
        <f>VALUE(SUBSTITUTE('1000_заявлений'!K242, ".", ","))</f>
        <v>-2567</v>
      </c>
      <c r="L248" s="6">
        <f>VALUE(SUBSTITUTE('1000_заявлений'!L242, ".", ","))</f>
        <v>26217</v>
      </c>
      <c r="M248" s="2" t="str">
        <f>IF(Данные6[[#This Row],[proba]]&gt;$C$6, "отказ", "одобрение")</f>
        <v>отказ</v>
      </c>
      <c r="N248" s="7">
        <f>IF(Данные6[[#This Row],[proba]]&lt;$D$2,$C$2,IF(Данные6[[#This Row],[proba]]&lt;$D$3,$C$3,IF(Данные6[[#This Row],[proba]]&gt;$C$6,0,$C$4)))</f>
        <v>0</v>
      </c>
      <c r="O248" s="2">
        <f>IF(Данные6[[#This Row],[weighted_ext_score]]&gt;$O$1,MIN(Данные6[[#This Row],[Базовая сумма]]*$O$2,$C$2),IF(Данные6[[#This Row],[weighted_ext_score]]&lt;$O$3,Данные6[[#This Row],[Базовая сумма]]*$O$4,N248))</f>
        <v>0</v>
      </c>
      <c r="P2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8" s="2">
        <f>ABS(Данные6[[#This Row],[days_birth]])/365.2425</f>
        <v>31.839120584269356</v>
      </c>
      <c r="S2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8" s="2">
        <f>IF(Данные6[[#This Row],[ interest_rate]]&gt;$T$1,Данные6[[#This Row],[days_birth4]]*$T$2,Данные6[[#This Row],[days_birth4]])</f>
        <v>0</v>
      </c>
      <c r="U248" s="2">
        <f>IF(Данные6[[#This Row],[Проверка отказа]]="отказ",0,MAX(Данные6[[#This Row],[interest_rate]],$C$1))</f>
        <v>0</v>
      </c>
      <c r="V248" s="2">
        <f>MROUND(Данные6[[#This Row],[Минимум 20000]], 100)</f>
        <v>0</v>
      </c>
    </row>
    <row r="249" spans="1:22" x14ac:dyDescent="0.25">
      <c r="A249" s="2">
        <f>'1000_заявлений'!A243</f>
        <v>241</v>
      </c>
      <c r="B249" s="4">
        <f>VALUE(SUBSTITUTE('1000_заявлений'!B243, ".", ","))</f>
        <v>0.33974937248693199</v>
      </c>
      <c r="C249" s="4">
        <f>VALUE(SUBSTITUTE('1000_заявлений'!C243, ".", ","))</f>
        <v>0.41520326407976099</v>
      </c>
      <c r="D249" s="4">
        <f>VALUE(SUBSTITUTE('1000_заявлений'!D243, ".", ","))</f>
        <v>0.70769936</v>
      </c>
      <c r="E249" s="4">
        <f>VALUE(SUBSTITUTE('1000_заявлений'!E243, ".", ","))</f>
        <v>0.49094969999999999</v>
      </c>
      <c r="F249" s="5">
        <f>VALUE(SUBSTITUTE('1000_заявлений'!F243, ".", ","))</f>
        <v>-7791</v>
      </c>
      <c r="G249" s="5">
        <f>VALUE(SUBSTITUTE('1000_заявлений'!G243, ".", ","))</f>
        <v>-20697</v>
      </c>
      <c r="H249" s="5">
        <f>VALUE(SUBSTITUTE('1000_заявлений'!H243, ".", ","))</f>
        <v>-3892</v>
      </c>
      <c r="I249" s="4">
        <f>VALUE(SUBSTITUTE('1000_заявлений'!I243, ".", ","))</f>
        <v>0.26914285714285702</v>
      </c>
      <c r="J249" s="4">
        <f>VALUE(SUBSTITUTE('1000_заявлений'!J243, ".", ","))</f>
        <v>0.34912527522254999</v>
      </c>
      <c r="K249" s="5">
        <f>VALUE(SUBSTITUTE('1000_заявлений'!K243, ".", ","))</f>
        <v>-6821</v>
      </c>
      <c r="L249" s="6">
        <f>VALUE(SUBSTITUTE('1000_заявлений'!L243, ".", ","))</f>
        <v>42390</v>
      </c>
      <c r="M249" s="2" t="str">
        <f>IF(Данные6[[#This Row],[proba]]&gt;$C$6, "отказ", "одобрение")</f>
        <v>отказ</v>
      </c>
      <c r="N249" s="7">
        <f>IF(Данные6[[#This Row],[proba]]&lt;$D$2,$C$2,IF(Данные6[[#This Row],[proba]]&lt;$D$3,$C$3,IF(Данные6[[#This Row],[proba]]&gt;$C$6,0,$C$4)))</f>
        <v>0</v>
      </c>
      <c r="O249" s="2">
        <f>IF(Данные6[[#This Row],[weighted_ext_score]]&gt;$O$1,MIN(Данные6[[#This Row],[Базовая сумма]]*$O$2,$C$2),IF(Данные6[[#This Row],[weighted_ext_score]]&lt;$O$3,Данные6[[#This Row],[Базовая сумма]]*$O$4,N249))</f>
        <v>0</v>
      </c>
      <c r="P2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49" s="2">
        <f>ABS(Данные6[[#This Row],[days_birth]])/365.2425</f>
        <v>56.666461323641144</v>
      </c>
      <c r="S2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49" s="2">
        <f>IF(Данные6[[#This Row],[ interest_rate]]&gt;$T$1,Данные6[[#This Row],[days_birth4]]*$T$2,Данные6[[#This Row],[days_birth4]])</f>
        <v>0</v>
      </c>
      <c r="U249" s="2">
        <f>IF(Данные6[[#This Row],[Проверка отказа]]="отказ",0,MAX(Данные6[[#This Row],[interest_rate]],$C$1))</f>
        <v>0</v>
      </c>
      <c r="V249" s="2">
        <f>MROUND(Данные6[[#This Row],[Минимум 20000]], 100)</f>
        <v>0</v>
      </c>
    </row>
    <row r="250" spans="1:22" x14ac:dyDescent="0.25">
      <c r="A250" s="2">
        <f>'1000_заявлений'!A244</f>
        <v>242</v>
      </c>
      <c r="B250" s="4">
        <f>VALUE(SUBSTITUTE('1000_заявлений'!B244, ".", ","))</f>
        <v>0.43249144989023403</v>
      </c>
      <c r="C250" s="4">
        <f>VALUE(SUBSTITUTE('1000_заявлений'!C244, ".", ","))</f>
        <v>0.35952539561678298</v>
      </c>
      <c r="D250" s="4">
        <f>VALUE(SUBSTITUTE('1000_заявлений'!D244, ".", ","))</f>
        <v>0.51909729999999998</v>
      </c>
      <c r="E250" s="4">
        <f>VALUE(SUBSTITUTE('1000_заявлений'!E244, ".", ","))</f>
        <v>0.52958689999999997</v>
      </c>
      <c r="F250" s="5">
        <f>VALUE(SUBSTITUTE('1000_заявлений'!F244, ".", ","))</f>
        <v>-372</v>
      </c>
      <c r="G250" s="5">
        <f>VALUE(SUBSTITUTE('1000_заявлений'!G244, ".", ","))</f>
        <v>-12840</v>
      </c>
      <c r="H250" s="5">
        <f>VALUE(SUBSTITUTE('1000_заявлений'!H244, ".", ","))</f>
        <v>-363</v>
      </c>
      <c r="I250" s="4">
        <f>VALUE(SUBSTITUTE('1000_заявлений'!I244, ".", ","))</f>
        <v>0.12257999999999999</v>
      </c>
      <c r="J250" s="4">
        <f>VALUE(SUBSTITUTE('1000_заявлений'!J244, ".", ","))</f>
        <v>15.1252623623545</v>
      </c>
      <c r="K250" s="5">
        <f>VALUE(SUBSTITUTE('1000_заявлений'!K244, ".", ","))</f>
        <v>-1201</v>
      </c>
      <c r="L250" s="6">
        <f>VALUE(SUBSTITUTE('1000_заявлений'!L244, ".", ","))</f>
        <v>27580.5</v>
      </c>
      <c r="M250" s="2" t="str">
        <f>IF(Данные6[[#This Row],[proba]]&gt;$C$6, "отказ", "одобрение")</f>
        <v>отказ</v>
      </c>
      <c r="N250" s="7">
        <f>IF(Данные6[[#This Row],[proba]]&lt;$D$2,$C$2,IF(Данные6[[#This Row],[proba]]&lt;$D$3,$C$3,IF(Данные6[[#This Row],[proba]]&gt;$C$6,0,$C$4)))</f>
        <v>0</v>
      </c>
      <c r="O250" s="2">
        <f>IF(Данные6[[#This Row],[weighted_ext_score]]&gt;$O$1,MIN(Данные6[[#This Row],[Базовая сумма]]*$O$2,$C$2),IF(Данные6[[#This Row],[weighted_ext_score]]&lt;$O$3,Данные6[[#This Row],[Базовая сумма]]*$O$4,N250))</f>
        <v>0</v>
      </c>
      <c r="P2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0" s="2">
        <f>ABS(Данные6[[#This Row],[days_birth]])/365.2425</f>
        <v>35.154725969732439</v>
      </c>
      <c r="S2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0" s="2">
        <f>IF(Данные6[[#This Row],[ interest_rate]]&gt;$T$1,Данные6[[#This Row],[days_birth4]]*$T$2,Данные6[[#This Row],[days_birth4]])</f>
        <v>0</v>
      </c>
      <c r="U250" s="2">
        <f>IF(Данные6[[#This Row],[Проверка отказа]]="отказ",0,MAX(Данные6[[#This Row],[interest_rate]],$C$1))</f>
        <v>0</v>
      </c>
      <c r="V250" s="2">
        <f>MROUND(Данные6[[#This Row],[Минимум 20000]], 100)</f>
        <v>0</v>
      </c>
    </row>
    <row r="251" spans="1:22" x14ac:dyDescent="0.25">
      <c r="A251" s="2">
        <f>'1000_заявлений'!A245</f>
        <v>243</v>
      </c>
      <c r="B251" s="4">
        <f>VALUE(SUBSTITUTE('1000_заявлений'!B245, ".", ","))</f>
        <v>0.43864489540404</v>
      </c>
      <c r="C251" s="4">
        <f>VALUE(SUBSTITUTE('1000_заявлений'!C245, ".", ","))</f>
        <v>0.51335775270288597</v>
      </c>
      <c r="D251" s="4">
        <f>VALUE(SUBSTITUTE('1000_заявлений'!D245, ".", ","))</f>
        <v>9.2617169999999999E-2</v>
      </c>
      <c r="E251" s="4">
        <f>VALUE(SUBSTITUTE('1000_заявлений'!E245, ".", ","))</f>
        <v>0.66361709999999996</v>
      </c>
      <c r="F251" s="5">
        <f>VALUE(SUBSTITUTE('1000_заявлений'!F245, ".", ","))</f>
        <v>-3692</v>
      </c>
      <c r="G251" s="5">
        <f>VALUE(SUBSTITUTE('1000_заявлений'!G245, ".", ","))</f>
        <v>-21596</v>
      </c>
      <c r="H251" s="5">
        <f>VALUE(SUBSTITUTE('1000_заявлений'!H245, ".", ","))</f>
        <v>-5056</v>
      </c>
      <c r="I251" s="4">
        <f>VALUE(SUBSTITUTE('1000_заявлений'!I245, ".", ","))</f>
        <v>9.6788888888888799E-2</v>
      </c>
      <c r="J251" s="4">
        <f>VALUE(SUBSTITUTE('1000_заявлений'!J245, ".", ","))</f>
        <v>1.8851410580202801</v>
      </c>
      <c r="K251" s="5">
        <f>VALUE(SUBSTITUTE('1000_заявлений'!K245, ".", ","))</f>
        <v>365243</v>
      </c>
      <c r="L251" s="6">
        <f>VALUE(SUBSTITUTE('1000_заявлений'!L245, ".", ","))</f>
        <v>39199.5</v>
      </c>
      <c r="M251" s="2" t="str">
        <f>IF(Данные6[[#This Row],[proba]]&gt;$C$6, "отказ", "одобрение")</f>
        <v>отказ</v>
      </c>
      <c r="N251" s="7">
        <f>IF(Данные6[[#This Row],[proba]]&lt;$D$2,$C$2,IF(Данные6[[#This Row],[proba]]&lt;$D$3,$C$3,IF(Данные6[[#This Row],[proba]]&gt;$C$6,0,$C$4)))</f>
        <v>0</v>
      </c>
      <c r="O251" s="2">
        <f>IF(Данные6[[#This Row],[weighted_ext_score]]&gt;$O$1,MIN(Данные6[[#This Row],[Базовая сумма]]*$O$2,$C$2),IF(Данные6[[#This Row],[weighted_ext_score]]&lt;$O$3,Данные6[[#This Row],[Базовая сумма]]*$O$4,N251))</f>
        <v>0</v>
      </c>
      <c r="P2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1" s="2">
        <f>ABS(Данные6[[#This Row],[days_birth]])/365.2425</f>
        <v>59.12783972292381</v>
      </c>
      <c r="S2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1" s="2">
        <f>IF(Данные6[[#This Row],[ interest_rate]]&gt;$T$1,Данные6[[#This Row],[days_birth4]]*$T$2,Данные6[[#This Row],[days_birth4]])</f>
        <v>0</v>
      </c>
      <c r="U251" s="2">
        <f>IF(Данные6[[#This Row],[Проверка отказа]]="отказ",0,MAX(Данные6[[#This Row],[interest_rate]],$C$1))</f>
        <v>0</v>
      </c>
      <c r="V251" s="2">
        <f>MROUND(Данные6[[#This Row],[Минимум 20000]], 100)</f>
        <v>0</v>
      </c>
    </row>
    <row r="252" spans="1:22" x14ac:dyDescent="0.25">
      <c r="A252" s="2">
        <f>'1000_заявлений'!A246</f>
        <v>244</v>
      </c>
      <c r="B252" s="4">
        <f>VALUE(SUBSTITUTE('1000_заявлений'!B246, ".", ","))</f>
        <v>0.29599513845009701</v>
      </c>
      <c r="C252" s="4">
        <f>VALUE(SUBSTITUTE('1000_заявлений'!C246, ".", ","))</f>
        <v>0.446313395494014</v>
      </c>
      <c r="D252" s="4">
        <f>VALUE(SUBSTITUTE('1000_заявлений'!D246, ".", ","))</f>
        <v>0.57444660000000003</v>
      </c>
      <c r="E252" s="4">
        <f>VALUE(SUBSTITUTE('1000_заявлений'!E246, ".", ","))</f>
        <v>0.73542790000000002</v>
      </c>
      <c r="F252" s="5">
        <f>VALUE(SUBSTITUTE('1000_заявлений'!F246, ".", ","))</f>
        <v>-5329</v>
      </c>
      <c r="G252" s="5">
        <f>VALUE(SUBSTITUTE('1000_заявлений'!G246, ".", ","))</f>
        <v>-16355</v>
      </c>
      <c r="H252" s="5">
        <f>VALUE(SUBSTITUTE('1000_заявлений'!H246, ".", ","))</f>
        <v>-4330</v>
      </c>
      <c r="I252" s="4">
        <f>VALUE(SUBSTITUTE('1000_заявлений'!I246, ".", ","))</f>
        <v>0.15422</v>
      </c>
      <c r="J252" s="4">
        <f>VALUE(SUBSTITUTE('1000_заявлений'!J246, ".", ","))</f>
        <v>1.6360935604026099</v>
      </c>
      <c r="K252" s="5">
        <f>VALUE(SUBSTITUTE('1000_заявлений'!K246, ".", ","))</f>
        <v>-7428</v>
      </c>
      <c r="L252" s="6">
        <f>VALUE(SUBSTITUTE('1000_заявлений'!L246, ".", ","))</f>
        <v>34699.5</v>
      </c>
      <c r="M252" s="2" t="str">
        <f>IF(Данные6[[#This Row],[proba]]&gt;$C$6, "отказ", "одобрение")</f>
        <v>одобрение</v>
      </c>
      <c r="N252" s="7">
        <f>IF(Данные6[[#This Row],[proba]]&lt;$D$2,$C$2,IF(Данные6[[#This Row],[proba]]&lt;$D$3,$C$3,IF(Данные6[[#This Row],[proba]]&gt;$C$6,0,$C$4)))</f>
        <v>50000</v>
      </c>
      <c r="O252" s="2">
        <f>IF(Данные6[[#This Row],[weighted_ext_score]]&gt;$O$1,MIN(Данные6[[#This Row],[Базовая сумма]]*$O$2,$C$2),IF(Данные6[[#This Row],[weighted_ext_score]]&lt;$O$3,Данные6[[#This Row],[Базовая сумма]]*$O$4,N252))</f>
        <v>40000</v>
      </c>
      <c r="P2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252" s="2">
        <f>ABS(Данные6[[#This Row],[days_birth]])/365.2425</f>
        <v>44.778469099297041</v>
      </c>
      <c r="S2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252" s="2">
        <f>IF(Данные6[[#This Row],[ interest_rate]]&gt;$T$1,Данные6[[#This Row],[days_birth4]]*$T$2,Данные6[[#This Row],[days_birth4]])</f>
        <v>48000</v>
      </c>
      <c r="U252" s="2">
        <f>IF(Данные6[[#This Row],[Проверка отказа]]="отказ",0,MAX(Данные6[[#This Row],[interest_rate]],$C$1))</f>
        <v>48000</v>
      </c>
      <c r="V252" s="2">
        <f>MROUND(Данные6[[#This Row],[Минимум 20000]], 100)</f>
        <v>48000</v>
      </c>
    </row>
    <row r="253" spans="1:22" x14ac:dyDescent="0.25">
      <c r="A253" s="2">
        <f>'1000_заявлений'!A247</f>
        <v>245</v>
      </c>
      <c r="B253" s="4">
        <f>VALUE(SUBSTITUTE('1000_заявлений'!B247, ".", ","))</f>
        <v>0.27598942620085998</v>
      </c>
      <c r="C253" s="4">
        <f>VALUE(SUBSTITUTE('1000_заявлений'!C247, ".", ","))</f>
        <v>0.55889449865857799</v>
      </c>
      <c r="D253" s="4">
        <f>VALUE(SUBSTITUTE('1000_заявлений'!D247, ".", ","))</f>
        <v>0.54602320000000004</v>
      </c>
      <c r="E253" s="4">
        <f>VALUE(SUBSTITUTE('1000_заявлений'!E247, ".", ","))</f>
        <v>0.50439714999999996</v>
      </c>
      <c r="F253" s="5">
        <f>VALUE(SUBSTITUTE('1000_заявлений'!F247, ".", ","))</f>
        <v>-9661</v>
      </c>
      <c r="G253" s="5">
        <f>VALUE(SUBSTITUTE('1000_заявлений'!G247, ".", ","))</f>
        <v>-22435</v>
      </c>
      <c r="H253" s="5">
        <f>VALUE(SUBSTITUTE('1000_заявлений'!H247, ".", ","))</f>
        <v>-4914</v>
      </c>
      <c r="I253" s="4">
        <f>VALUE(SUBSTITUTE('1000_заявлений'!I247, ".", ","))</f>
        <v>8.6505050505050501E-2</v>
      </c>
      <c r="J253" s="4">
        <f>VALUE(SUBSTITUTE('1000_заявлений'!J247, ".", ","))</f>
        <v>5.3892565607281</v>
      </c>
      <c r="K253" s="5">
        <f>VALUE(SUBSTITUTE('1000_заявлений'!K247, ".", ","))</f>
        <v>-6054</v>
      </c>
      <c r="L253" s="6">
        <f>VALUE(SUBSTITUTE('1000_заявлений'!L247, ".", ","))</f>
        <v>19269</v>
      </c>
      <c r="M253" s="2" t="str">
        <f>IF(Данные6[[#This Row],[proba]]&gt;$C$6, "отказ", "одобрение")</f>
        <v>одобрение</v>
      </c>
      <c r="N253" s="7">
        <f>IF(Данные6[[#This Row],[proba]]&lt;$D$2,$C$2,IF(Данные6[[#This Row],[proba]]&lt;$D$3,$C$3,IF(Данные6[[#This Row],[proba]]&gt;$C$6,0,$C$4)))</f>
        <v>50000</v>
      </c>
      <c r="O253" s="2">
        <f>IF(Данные6[[#This Row],[weighted_ext_score]]&gt;$O$1,MIN(Данные6[[#This Row],[Базовая сумма]]*$O$2,$C$2),IF(Данные6[[#This Row],[weighted_ext_score]]&lt;$O$3,Данные6[[#This Row],[Базовая сумма]]*$O$4,N253))</f>
        <v>50000</v>
      </c>
      <c r="P2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2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72000</v>
      </c>
      <c r="R253" s="2">
        <f>ABS(Данные6[[#This Row],[days_birth]])/365.2425</f>
        <v>61.424943701787164</v>
      </c>
      <c r="S2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75600</v>
      </c>
      <c r="T253" s="2">
        <f>IF(Данные6[[#This Row],[ interest_rate]]&gt;$T$1,Данные6[[#This Row],[days_birth4]]*$T$2,Данные6[[#This Row],[days_birth4]])</f>
        <v>75600</v>
      </c>
      <c r="U253" s="2">
        <f>IF(Данные6[[#This Row],[Проверка отказа]]="отказ",0,MAX(Данные6[[#This Row],[interest_rate]],$C$1))</f>
        <v>75600</v>
      </c>
      <c r="V253" s="2">
        <f>MROUND(Данные6[[#This Row],[Минимум 20000]], 100)</f>
        <v>75600</v>
      </c>
    </row>
    <row r="254" spans="1:22" x14ac:dyDescent="0.25">
      <c r="A254" s="2">
        <f>'1000_заявлений'!A248</f>
        <v>246</v>
      </c>
      <c r="B254" s="4">
        <f>VALUE(SUBSTITUTE('1000_заявлений'!B248, ".", ","))</f>
        <v>0.62627599836080805</v>
      </c>
      <c r="C254" s="4">
        <f>VALUE(SUBSTITUTE('1000_заявлений'!C248, ".", ","))</f>
        <v>0.27575755153875198</v>
      </c>
      <c r="D254" s="4">
        <f>VALUE(SUBSTITUTE('1000_заявлений'!D248, ".", ","))</f>
        <v>0.42413032000000001</v>
      </c>
      <c r="E254" s="4">
        <f>VALUE(SUBSTITUTE('1000_заявлений'!E248, ".", ","))</f>
        <v>0.37722846999999998</v>
      </c>
      <c r="F254" s="5">
        <f>VALUE(SUBSTITUTE('1000_заявлений'!F248, ".", ","))</f>
        <v>-6464</v>
      </c>
      <c r="G254" s="5">
        <f>VALUE(SUBSTITUTE('1000_заявлений'!G248, ".", ","))</f>
        <v>-12995</v>
      </c>
      <c r="H254" s="5">
        <f>VALUE(SUBSTITUTE('1000_заявлений'!H248, ".", ","))</f>
        <v>-4043</v>
      </c>
      <c r="I254" s="4">
        <f>VALUE(SUBSTITUTE('1000_заявлений'!I248, ".", ","))</f>
        <v>9.6921052631578894E-2</v>
      </c>
      <c r="J254" s="4">
        <f>VALUE(SUBSTITUTE('1000_заявлений'!J248, ".", ","))</f>
        <v>0.304490999829165</v>
      </c>
      <c r="K254" s="5">
        <f>VALUE(SUBSTITUTE('1000_заявлений'!K248, ".", ","))</f>
        <v>-3287</v>
      </c>
      <c r="L254" s="6">
        <f>VALUE(SUBSTITUTE('1000_заявлений'!L248, ".", ","))</f>
        <v>16573.5</v>
      </c>
      <c r="M254" s="2" t="str">
        <f>IF(Данные6[[#This Row],[proba]]&gt;$C$6, "отказ", "одобрение")</f>
        <v>отказ</v>
      </c>
      <c r="N254" s="7">
        <f>IF(Данные6[[#This Row],[proba]]&lt;$D$2,$C$2,IF(Данные6[[#This Row],[proba]]&lt;$D$3,$C$3,IF(Данные6[[#This Row],[proba]]&gt;$C$6,0,$C$4)))</f>
        <v>0</v>
      </c>
      <c r="O254" s="2">
        <f>IF(Данные6[[#This Row],[weighted_ext_score]]&gt;$O$1,MIN(Данные6[[#This Row],[Базовая сумма]]*$O$2,$C$2),IF(Данные6[[#This Row],[weighted_ext_score]]&lt;$O$3,Данные6[[#This Row],[Базовая сумма]]*$O$4,N254))</f>
        <v>0</v>
      </c>
      <c r="P2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4" s="2">
        <f>ABS(Данные6[[#This Row],[days_birth]])/365.2425</f>
        <v>35.579101555815654</v>
      </c>
      <c r="S2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4" s="2">
        <f>IF(Данные6[[#This Row],[ interest_rate]]&gt;$T$1,Данные6[[#This Row],[days_birth4]]*$T$2,Данные6[[#This Row],[days_birth4]])</f>
        <v>0</v>
      </c>
      <c r="U254" s="2">
        <f>IF(Данные6[[#This Row],[Проверка отказа]]="отказ",0,MAX(Данные6[[#This Row],[interest_rate]],$C$1))</f>
        <v>0</v>
      </c>
      <c r="V254" s="2">
        <f>MROUND(Данные6[[#This Row],[Минимум 20000]], 100)</f>
        <v>0</v>
      </c>
    </row>
    <row r="255" spans="1:22" x14ac:dyDescent="0.25">
      <c r="A255" s="2">
        <f>'1000_заявлений'!A249</f>
        <v>247</v>
      </c>
      <c r="B255" s="4">
        <f>VALUE(SUBSTITUTE('1000_заявлений'!B249, ".", ","))</f>
        <v>0.606436954812545</v>
      </c>
      <c r="C255" s="4">
        <f>VALUE(SUBSTITUTE('1000_заявлений'!C249, ".", ","))</f>
        <v>0.383914421274343</v>
      </c>
      <c r="D255" s="4">
        <f>VALUE(SUBSTITUTE('1000_заявлений'!D249, ".", ","))</f>
        <v>0.21640296000000001</v>
      </c>
      <c r="E255" s="4">
        <f>VALUE(SUBSTITUTE('1000_заявлений'!E249, ".", ","))</f>
        <v>0.564446</v>
      </c>
      <c r="F255" s="5">
        <f>VALUE(SUBSTITUTE('1000_заявлений'!F249, ".", ","))</f>
        <v>-3856</v>
      </c>
      <c r="G255" s="5">
        <f>VALUE(SUBSTITUTE('1000_заявлений'!G249, ".", ","))</f>
        <v>-9005</v>
      </c>
      <c r="H255" s="5">
        <f>VALUE(SUBSTITUTE('1000_заявлений'!H249, ".", ","))</f>
        <v>-1620</v>
      </c>
      <c r="I255" s="4">
        <f>VALUE(SUBSTITUTE('1000_заявлений'!I249, ".", ","))</f>
        <v>0.1</v>
      </c>
      <c r="J255" s="4">
        <f>VALUE(SUBSTITUTE('1000_заявлений'!J249, ".", ","))</f>
        <v>10.6209759779781</v>
      </c>
      <c r="K255" s="5">
        <f>VALUE(SUBSTITUTE('1000_заявлений'!K249, ".", ","))</f>
        <v>-764</v>
      </c>
      <c r="L255" s="6">
        <f>VALUE(SUBSTITUTE('1000_заявлений'!L249, ".", ","))</f>
        <v>13500</v>
      </c>
      <c r="M255" s="2" t="str">
        <f>IF(Данные6[[#This Row],[proba]]&gt;$C$6, "отказ", "одобрение")</f>
        <v>отказ</v>
      </c>
      <c r="N255" s="7">
        <f>IF(Данные6[[#This Row],[proba]]&lt;$D$2,$C$2,IF(Данные6[[#This Row],[proba]]&lt;$D$3,$C$3,IF(Данные6[[#This Row],[proba]]&gt;$C$6,0,$C$4)))</f>
        <v>0</v>
      </c>
      <c r="O255" s="2">
        <f>IF(Данные6[[#This Row],[weighted_ext_score]]&gt;$O$1,MIN(Данные6[[#This Row],[Базовая сумма]]*$O$2,$C$2),IF(Данные6[[#This Row],[weighted_ext_score]]&lt;$O$3,Данные6[[#This Row],[Базовая сумма]]*$O$4,N255))</f>
        <v>0</v>
      </c>
      <c r="P2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5" s="2">
        <f>ABS(Данные6[[#This Row],[days_birth]])/365.2425</f>
        <v>24.654852597931512</v>
      </c>
      <c r="S2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5" s="2">
        <f>IF(Данные6[[#This Row],[ interest_rate]]&gt;$T$1,Данные6[[#This Row],[days_birth4]]*$T$2,Данные6[[#This Row],[days_birth4]])</f>
        <v>0</v>
      </c>
      <c r="U255" s="2">
        <f>IF(Данные6[[#This Row],[Проверка отказа]]="отказ",0,MAX(Данные6[[#This Row],[interest_rate]],$C$1))</f>
        <v>0</v>
      </c>
      <c r="V255" s="2">
        <f>MROUND(Данные6[[#This Row],[Минимум 20000]], 100)</f>
        <v>0</v>
      </c>
    </row>
    <row r="256" spans="1:22" x14ac:dyDescent="0.25">
      <c r="A256" s="2">
        <f>'1000_заявлений'!A250</f>
        <v>248</v>
      </c>
      <c r="B256" s="4">
        <f>VALUE(SUBSTITUTE('1000_заявлений'!B250, ".", ","))</f>
        <v>0.37191980755021897</v>
      </c>
      <c r="C256" s="4">
        <f>VALUE(SUBSTITUTE('1000_заявлений'!C250, ".", ","))</f>
        <v>0.41389133430369501</v>
      </c>
      <c r="D256" s="4">
        <f>VALUE(SUBSTITUTE('1000_заявлений'!D250, ".", ","))</f>
        <v>0.53527623000000002</v>
      </c>
      <c r="E256" s="4">
        <f>VALUE(SUBSTITUTE('1000_заявлений'!E250, ".", ","))</f>
        <v>0.67041176999999996</v>
      </c>
      <c r="F256" s="5">
        <f>VALUE(SUBSTITUTE('1000_заявлений'!F250, ".", ","))</f>
        <v>-3551</v>
      </c>
      <c r="G256" s="5">
        <f>VALUE(SUBSTITUTE('1000_заявлений'!G250, ".", ","))</f>
        <v>-8729</v>
      </c>
      <c r="H256" s="5">
        <f>VALUE(SUBSTITUTE('1000_заявлений'!H250, ".", ","))</f>
        <v>-1410</v>
      </c>
      <c r="I256" s="4">
        <f>VALUE(SUBSTITUTE('1000_заявлений'!I250, ".", ","))</f>
        <v>6.4285714285714196E-2</v>
      </c>
      <c r="J256" s="4">
        <f>VALUE(SUBSTITUTE('1000_заявлений'!J250, ".", ","))</f>
        <v>10.6209759779781</v>
      </c>
      <c r="K256" s="5">
        <f>VALUE(SUBSTITUTE('1000_заявлений'!K250, ".", ","))</f>
        <v>-824</v>
      </c>
      <c r="L256" s="6">
        <f>VALUE(SUBSTITUTE('1000_заявлений'!L250, ".", ","))</f>
        <v>10125</v>
      </c>
      <c r="M256" s="2" t="str">
        <f>IF(Данные6[[#This Row],[proba]]&gt;$C$6, "отказ", "одобрение")</f>
        <v>отказ</v>
      </c>
      <c r="N256" s="7">
        <f>IF(Данные6[[#This Row],[proba]]&lt;$D$2,$C$2,IF(Данные6[[#This Row],[proba]]&lt;$D$3,$C$3,IF(Данные6[[#This Row],[proba]]&gt;$C$6,0,$C$4)))</f>
        <v>0</v>
      </c>
      <c r="O256" s="2">
        <f>IF(Данные6[[#This Row],[weighted_ext_score]]&gt;$O$1,MIN(Данные6[[#This Row],[Базовая сумма]]*$O$2,$C$2),IF(Данные6[[#This Row],[weighted_ext_score]]&lt;$O$3,Данные6[[#This Row],[Базовая сумма]]*$O$4,N256))</f>
        <v>0</v>
      </c>
      <c r="P2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6" s="2">
        <f>ABS(Данные6[[#This Row],[days_birth]])/365.2425</f>
        <v>23.899190264002684</v>
      </c>
      <c r="S2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6" s="2">
        <f>IF(Данные6[[#This Row],[ interest_rate]]&gt;$T$1,Данные6[[#This Row],[days_birth4]]*$T$2,Данные6[[#This Row],[days_birth4]])</f>
        <v>0</v>
      </c>
      <c r="U256" s="2">
        <f>IF(Данные6[[#This Row],[Проверка отказа]]="отказ",0,MAX(Данные6[[#This Row],[interest_rate]],$C$1))</f>
        <v>0</v>
      </c>
      <c r="V256" s="2">
        <f>MROUND(Данные6[[#This Row],[Минимум 20000]], 100)</f>
        <v>0</v>
      </c>
    </row>
    <row r="257" spans="1:22" x14ac:dyDescent="0.25">
      <c r="A257" s="2">
        <f>'1000_заявлений'!A251</f>
        <v>249</v>
      </c>
      <c r="B257" s="4">
        <f>VALUE(SUBSTITUTE('1000_заявлений'!B251, ".", ","))</f>
        <v>0.18715889469083799</v>
      </c>
      <c r="C257" s="4">
        <f>VALUE(SUBSTITUTE('1000_заявлений'!C251, ".", ","))</f>
        <v>0.61937614558502396</v>
      </c>
      <c r="D257" s="4">
        <f>VALUE(SUBSTITUTE('1000_заявлений'!D251, ".", ","))</f>
        <v>0.62630427</v>
      </c>
      <c r="E257" s="4">
        <f>VALUE(SUBSTITUTE('1000_заявлений'!E251, ".", ","))</f>
        <v>0.70189124000000003</v>
      </c>
      <c r="F257" s="5">
        <f>VALUE(SUBSTITUTE('1000_заявлений'!F251, ".", ","))</f>
        <v>-1160</v>
      </c>
      <c r="G257" s="5">
        <f>VALUE(SUBSTITUTE('1000_заявлений'!G251, ".", ","))</f>
        <v>-11918</v>
      </c>
      <c r="H257" s="5">
        <f>VALUE(SUBSTITUTE('1000_заявлений'!H251, ".", ","))</f>
        <v>-4579</v>
      </c>
      <c r="I257" s="4">
        <f>VALUE(SUBSTITUTE('1000_заявлений'!I251, ".", ","))</f>
        <v>0.17258333333333301</v>
      </c>
      <c r="J257" s="4">
        <f>VALUE(SUBSTITUTE('1000_заявлений'!J251, ".", ","))</f>
        <v>15.6406787987139</v>
      </c>
      <c r="K257" s="5">
        <f>VALUE(SUBSTITUTE('1000_заявлений'!K251, ".", ","))</f>
        <v>-2756</v>
      </c>
      <c r="L257" s="6">
        <f>VALUE(SUBSTITUTE('1000_заявлений'!L251, ".", ","))</f>
        <v>46597.5</v>
      </c>
      <c r="M257" s="2" t="str">
        <f>IF(Данные6[[#This Row],[proba]]&gt;$C$6, "отказ", "одобрение")</f>
        <v>одобрение</v>
      </c>
      <c r="N257" s="7">
        <f>IF(Данные6[[#This Row],[proba]]&lt;$D$2,$C$2,IF(Данные6[[#This Row],[proba]]&lt;$D$3,$C$3,IF(Данные6[[#This Row],[proba]]&gt;$C$6,0,$C$4)))</f>
        <v>200000</v>
      </c>
      <c r="O257" s="2">
        <f>IF(Данные6[[#This Row],[weighted_ext_score]]&gt;$O$1,MIN(Данные6[[#This Row],[Базовая сумма]]*$O$2,$C$2),IF(Данные6[[#This Row],[weighted_ext_score]]&lt;$O$3,Данные6[[#This Row],[Базовая сумма]]*$O$4,N257))</f>
        <v>200000</v>
      </c>
      <c r="P2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257" s="2">
        <f>ABS(Данные6[[#This Row],[days_birth]])/365.2425</f>
        <v>32.630375709289034</v>
      </c>
      <c r="S2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140000</v>
      </c>
      <c r="T257" s="2">
        <f>IF(Данные6[[#This Row],[ interest_rate]]&gt;$T$1,Данные6[[#This Row],[days_birth4]]*$T$2,Данные6[[#This Row],[days_birth4]])</f>
        <v>140000</v>
      </c>
      <c r="U257" s="2">
        <f>IF(Данные6[[#This Row],[Проверка отказа]]="отказ",0,MAX(Данные6[[#This Row],[interest_rate]],$C$1))</f>
        <v>140000</v>
      </c>
      <c r="V257" s="2">
        <f>MROUND(Данные6[[#This Row],[Минимум 20000]], 100)</f>
        <v>140000</v>
      </c>
    </row>
    <row r="258" spans="1:22" x14ac:dyDescent="0.25">
      <c r="A258" s="2">
        <f>'1000_заявлений'!A252</f>
        <v>250</v>
      </c>
      <c r="B258" s="4">
        <f>VALUE(SUBSTITUTE('1000_заявлений'!B252, ".", ","))</f>
        <v>0.175577797812107</v>
      </c>
      <c r="C258" s="4">
        <f>VALUE(SUBSTITUTE('1000_заявлений'!C252, ".", ","))</f>
        <v>0.70418615616351199</v>
      </c>
      <c r="D258" s="4">
        <f>VALUE(SUBSTITUTE('1000_заявлений'!D252, ".", ","))</f>
        <v>0.55672739999999998</v>
      </c>
      <c r="E258" s="4">
        <f>VALUE(SUBSTITUTE('1000_заявлений'!E252, ".", ","))</f>
        <v>0.77460490000000004</v>
      </c>
      <c r="F258" s="5">
        <f>VALUE(SUBSTITUTE('1000_заявлений'!F252, ".", ","))</f>
        <v>-7662</v>
      </c>
      <c r="G258" s="5">
        <f>VALUE(SUBSTITUTE('1000_заявлений'!G252, ".", ","))</f>
        <v>-22881</v>
      </c>
      <c r="H258" s="5">
        <f>VALUE(SUBSTITUTE('1000_заявлений'!H252, ".", ","))</f>
        <v>-2601</v>
      </c>
      <c r="I258" s="4">
        <f>VALUE(SUBSTITUTE('1000_заявлений'!I252, ".", ","))</f>
        <v>0.39776</v>
      </c>
      <c r="J258" s="4">
        <f>VALUE(SUBSTITUTE('1000_заявлений'!J252, ".", ","))</f>
        <v>4.4204847528084699</v>
      </c>
      <c r="K258" s="5">
        <f>VALUE(SUBSTITUTE('1000_заявлений'!K252, ".", ","))</f>
        <v>365243</v>
      </c>
      <c r="L258" s="6">
        <f>VALUE(SUBSTITUTE('1000_заявлений'!L252, ".", ","))</f>
        <v>44748</v>
      </c>
      <c r="M258" s="2" t="str">
        <f>IF(Данные6[[#This Row],[proba]]&gt;$C$6, "отказ", "одобрение")</f>
        <v>одобрение</v>
      </c>
      <c r="N258" s="7">
        <f>IF(Данные6[[#This Row],[proba]]&lt;$D$2,$C$2,IF(Данные6[[#This Row],[proba]]&lt;$D$3,$C$3,IF(Данные6[[#This Row],[proba]]&gt;$C$6,0,$C$4)))</f>
        <v>200000</v>
      </c>
      <c r="O258" s="2">
        <f>IF(Данные6[[#This Row],[weighted_ext_score]]&gt;$O$1,MIN(Данные6[[#This Row],[Базовая сумма]]*$O$2,$C$2),IF(Данные6[[#This Row],[weighted_ext_score]]&lt;$O$3,Данные6[[#This Row],[Базовая сумма]]*$O$4,N258))</f>
        <v>300000</v>
      </c>
      <c r="P2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2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258" s="2">
        <f>ABS(Данные6[[#This Row],[days_birth]])/365.2425</f>
        <v>62.646050226904045</v>
      </c>
      <c r="S2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258" s="2">
        <f>IF(Данные6[[#This Row],[ interest_rate]]&gt;$T$1,Данные6[[#This Row],[days_birth4]]*$T$2,Данные6[[#This Row],[days_birth4]])</f>
        <v>300000</v>
      </c>
      <c r="U258" s="2">
        <f>IF(Данные6[[#This Row],[Проверка отказа]]="отказ",0,MAX(Данные6[[#This Row],[interest_rate]],$C$1))</f>
        <v>300000</v>
      </c>
      <c r="V258" s="2">
        <f>MROUND(Данные6[[#This Row],[Минимум 20000]], 100)</f>
        <v>300000</v>
      </c>
    </row>
    <row r="259" spans="1:22" x14ac:dyDescent="0.25">
      <c r="A259" s="2">
        <f>'1000_заявлений'!A253</f>
        <v>251</v>
      </c>
      <c r="B259" s="4">
        <f>VALUE(SUBSTITUTE('1000_заявлений'!B253, ".", ","))</f>
        <v>0.35624573681659299</v>
      </c>
      <c r="C259" s="4">
        <f>VALUE(SUBSTITUTE('1000_заявлений'!C253, ".", ","))</f>
        <v>0.38074586213606898</v>
      </c>
      <c r="D259" s="4">
        <f>VALUE(SUBSTITUTE('1000_заявлений'!D253, ".", ","))</f>
        <v>0.56914880000000001</v>
      </c>
      <c r="E259" s="4">
        <f>VALUE(SUBSTITUTE('1000_заявлений'!E253, ".", ","))</f>
        <v>0.53920089999999998</v>
      </c>
      <c r="F259" s="5">
        <f>VALUE(SUBSTITUTE('1000_заявлений'!F253, ".", ","))</f>
        <v>-6613</v>
      </c>
      <c r="G259" s="5">
        <f>VALUE(SUBSTITUTE('1000_заявлений'!G253, ".", ","))</f>
        <v>-13352</v>
      </c>
      <c r="H259" s="5">
        <f>VALUE(SUBSTITUTE('1000_заявлений'!H253, ".", ","))</f>
        <v>-4500</v>
      </c>
      <c r="I259" s="4">
        <f>VALUE(SUBSTITUTE('1000_заявлений'!I253, ".", ","))</f>
        <v>3.125E-2</v>
      </c>
      <c r="J259" s="4">
        <f>VALUE(SUBSTITUTE('1000_заявлений'!J253, ".", ","))</f>
        <v>10.6209759779781</v>
      </c>
      <c r="K259" s="5">
        <f>VALUE(SUBSTITUTE('1000_заявлений'!K253, ".", ","))</f>
        <v>-6095</v>
      </c>
      <c r="L259" s="6">
        <f>VALUE(SUBSTITUTE('1000_заявлений'!L253, ".", ","))</f>
        <v>7875</v>
      </c>
      <c r="M259" s="2" t="str">
        <f>IF(Данные6[[#This Row],[proba]]&gt;$C$6, "отказ", "одобрение")</f>
        <v>отказ</v>
      </c>
      <c r="N259" s="7">
        <f>IF(Данные6[[#This Row],[proba]]&lt;$D$2,$C$2,IF(Данные6[[#This Row],[proba]]&lt;$D$3,$C$3,IF(Данные6[[#This Row],[proba]]&gt;$C$6,0,$C$4)))</f>
        <v>0</v>
      </c>
      <c r="O259" s="2">
        <f>IF(Данные6[[#This Row],[weighted_ext_score]]&gt;$O$1,MIN(Данные6[[#This Row],[Базовая сумма]]*$O$2,$C$2),IF(Данные6[[#This Row],[weighted_ext_score]]&lt;$O$3,Данные6[[#This Row],[Базовая сумма]]*$O$4,N259))</f>
        <v>0</v>
      </c>
      <c r="P2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59" s="2">
        <f>ABS(Данные6[[#This Row],[days_birth]])/365.2425</f>
        <v>36.556534357310554</v>
      </c>
      <c r="S2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59" s="2">
        <f>IF(Данные6[[#This Row],[ interest_rate]]&gt;$T$1,Данные6[[#This Row],[days_birth4]]*$T$2,Данные6[[#This Row],[days_birth4]])</f>
        <v>0</v>
      </c>
      <c r="U259" s="2">
        <f>IF(Данные6[[#This Row],[Проверка отказа]]="отказ",0,MAX(Данные6[[#This Row],[interest_rate]],$C$1))</f>
        <v>0</v>
      </c>
      <c r="V259" s="2">
        <f>MROUND(Данные6[[#This Row],[Минимум 20000]], 100)</f>
        <v>0</v>
      </c>
    </row>
    <row r="260" spans="1:22" x14ac:dyDescent="0.25">
      <c r="A260" s="2">
        <f>'1000_заявлений'!A254</f>
        <v>252</v>
      </c>
      <c r="B260" s="4">
        <f>VALUE(SUBSTITUTE('1000_заявлений'!B254, ".", ","))</f>
        <v>0.86805683478915296</v>
      </c>
      <c r="C260" s="4">
        <f>VALUE(SUBSTITUTE('1000_заявлений'!C254, ".", ","))</f>
        <v>0.17121597938630101</v>
      </c>
      <c r="D260" s="4">
        <f>VALUE(SUBSTITUTE('1000_заявлений'!D254, ".", ","))</f>
        <v>5.7248769999999997E-2</v>
      </c>
      <c r="E260" s="4">
        <f>VALUE(SUBSTITUTE('1000_заявлений'!E254, ".", ","))</f>
        <v>0.34488782000000001</v>
      </c>
      <c r="F260" s="5">
        <f>VALUE(SUBSTITUTE('1000_заявлений'!F254, ".", ","))</f>
        <v>-3077</v>
      </c>
      <c r="G260" s="5">
        <f>VALUE(SUBSTITUTE('1000_заявлений'!G254, ".", ","))</f>
        <v>-8296</v>
      </c>
      <c r="H260" s="5">
        <f>VALUE(SUBSTITUTE('1000_заявлений'!H254, ".", ","))</f>
        <v>-556</v>
      </c>
      <c r="I260" s="4">
        <f>VALUE(SUBSTITUTE('1000_заявлений'!I254, ".", ","))</f>
        <v>0.20843999999999999</v>
      </c>
      <c r="J260" s="4">
        <f>VALUE(SUBSTITUTE('1000_заявлений'!J254, ".", ","))</f>
        <v>4.0233439542941696</v>
      </c>
      <c r="K260" s="5">
        <f>VALUE(SUBSTITUTE('1000_заявлений'!K254, ".", ","))</f>
        <v>-164</v>
      </c>
      <c r="L260" s="6">
        <f>VALUE(SUBSTITUTE('1000_заявлений'!L254, ".", ","))</f>
        <v>23449.5</v>
      </c>
      <c r="M260" s="2" t="str">
        <f>IF(Данные6[[#This Row],[proba]]&gt;$C$6, "отказ", "одобрение")</f>
        <v>отказ</v>
      </c>
      <c r="N260" s="7">
        <f>IF(Данные6[[#This Row],[proba]]&lt;$D$2,$C$2,IF(Данные6[[#This Row],[proba]]&lt;$D$3,$C$3,IF(Данные6[[#This Row],[proba]]&gt;$C$6,0,$C$4)))</f>
        <v>0</v>
      </c>
      <c r="O260" s="2">
        <f>IF(Данные6[[#This Row],[weighted_ext_score]]&gt;$O$1,MIN(Данные6[[#This Row],[Базовая сумма]]*$O$2,$C$2),IF(Данные6[[#This Row],[weighted_ext_score]]&lt;$O$3,Данные6[[#This Row],[Базовая сумма]]*$O$4,N260))</f>
        <v>0</v>
      </c>
      <c r="P2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0" s="2">
        <f>ABS(Данные6[[#This Row],[days_birth]])/365.2425</f>
        <v>22.713676529976659</v>
      </c>
      <c r="S2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0" s="2">
        <f>IF(Данные6[[#This Row],[ interest_rate]]&gt;$T$1,Данные6[[#This Row],[days_birth4]]*$T$2,Данные6[[#This Row],[days_birth4]])</f>
        <v>0</v>
      </c>
      <c r="U260" s="2">
        <f>IF(Данные6[[#This Row],[Проверка отказа]]="отказ",0,MAX(Данные6[[#This Row],[interest_rate]],$C$1))</f>
        <v>0</v>
      </c>
      <c r="V260" s="2">
        <f>MROUND(Данные6[[#This Row],[Минимум 20000]], 100)</f>
        <v>0</v>
      </c>
    </row>
    <row r="261" spans="1:22" x14ac:dyDescent="0.25">
      <c r="A261" s="2">
        <f>'1000_заявлений'!A255</f>
        <v>253</v>
      </c>
      <c r="B261" s="4">
        <f>VALUE(SUBSTITUTE('1000_заявлений'!B255, ".", ","))</f>
        <v>0.53187765028625</v>
      </c>
      <c r="C261" s="4">
        <f>VALUE(SUBSTITUTE('1000_заявлений'!C255, ".", ","))</f>
        <v>0.48709801643746098</v>
      </c>
      <c r="D261" s="4">
        <f>VALUE(SUBSTITUTE('1000_заявлений'!D255, ".", ","))</f>
        <v>0.30314636</v>
      </c>
      <c r="E261" s="4">
        <f>VALUE(SUBSTITUTE('1000_заявлений'!E255, ".", ","))</f>
        <v>0.5426491</v>
      </c>
      <c r="F261" s="5">
        <f>VALUE(SUBSTITUTE('1000_заявлений'!F255, ".", ","))</f>
        <v>-5716</v>
      </c>
      <c r="G261" s="5">
        <f>VALUE(SUBSTITUTE('1000_заявлений'!G255, ".", ","))</f>
        <v>-17044</v>
      </c>
      <c r="H261" s="5">
        <f>VALUE(SUBSTITUTE('1000_заявлений'!H255, ".", ","))</f>
        <v>-576</v>
      </c>
      <c r="I261" s="4">
        <f>VALUE(SUBSTITUTE('1000_заявлений'!I255, ".", ","))</f>
        <v>0.20050000000000001</v>
      </c>
      <c r="J261" s="4">
        <f>VALUE(SUBSTITUTE('1000_заявлений'!J255, ".", ","))</f>
        <v>1.97520726385054</v>
      </c>
      <c r="K261" s="5">
        <f>VALUE(SUBSTITUTE('1000_заявлений'!K255, ".", ","))</f>
        <v>-2187</v>
      </c>
      <c r="L261" s="6">
        <f>VALUE(SUBSTITUTE('1000_заявлений'!L255, ".", ","))</f>
        <v>36090</v>
      </c>
      <c r="M261" s="2" t="str">
        <f>IF(Данные6[[#This Row],[proba]]&gt;$C$6, "отказ", "одобрение")</f>
        <v>отказ</v>
      </c>
      <c r="N261" s="7">
        <f>IF(Данные6[[#This Row],[proba]]&lt;$D$2,$C$2,IF(Данные6[[#This Row],[proba]]&lt;$D$3,$C$3,IF(Данные6[[#This Row],[proba]]&gt;$C$6,0,$C$4)))</f>
        <v>0</v>
      </c>
      <c r="O261" s="2">
        <f>IF(Данные6[[#This Row],[weighted_ext_score]]&gt;$O$1,MIN(Данные6[[#This Row],[Базовая сумма]]*$O$2,$C$2),IF(Данные6[[#This Row],[weighted_ext_score]]&lt;$O$3,Данные6[[#This Row],[Базовая сумма]]*$O$4,N261))</f>
        <v>0</v>
      </c>
      <c r="P2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1" s="2">
        <f>ABS(Данные6[[#This Row],[days_birth]])/365.2425</f>
        <v>46.664887027112123</v>
      </c>
      <c r="S2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1" s="2">
        <f>IF(Данные6[[#This Row],[ interest_rate]]&gt;$T$1,Данные6[[#This Row],[days_birth4]]*$T$2,Данные6[[#This Row],[days_birth4]])</f>
        <v>0</v>
      </c>
      <c r="U261" s="2">
        <f>IF(Данные6[[#This Row],[Проверка отказа]]="отказ",0,MAX(Данные6[[#This Row],[interest_rate]],$C$1))</f>
        <v>0</v>
      </c>
      <c r="V261" s="2">
        <f>MROUND(Данные6[[#This Row],[Минимум 20000]], 100)</f>
        <v>0</v>
      </c>
    </row>
    <row r="262" spans="1:22" x14ac:dyDescent="0.25">
      <c r="A262" s="2">
        <f>'1000_заявлений'!A256</f>
        <v>254</v>
      </c>
      <c r="B262" s="4">
        <f>VALUE(SUBSTITUTE('1000_заявлений'!B256, ".", ","))</f>
        <v>0.61057789660901196</v>
      </c>
      <c r="C262" s="4">
        <f>VALUE(SUBSTITUTE('1000_заявлений'!C256, ".", ","))</f>
        <v>0.34280579232417502</v>
      </c>
      <c r="D262" s="4">
        <f>VALUE(SUBSTITUTE('1000_заявлений'!D256, ".", ","))</f>
        <v>0.46506920000000002</v>
      </c>
      <c r="E262" s="4">
        <f>VALUE(SUBSTITUTE('1000_заявлений'!E256, ".", ","))</f>
        <v>0.39996419999999999</v>
      </c>
      <c r="F262" s="5">
        <f>VALUE(SUBSTITUTE('1000_заявлений'!F256, ".", ","))</f>
        <v>-1437</v>
      </c>
      <c r="G262" s="5">
        <f>VALUE(SUBSTITUTE('1000_заявлений'!G256, ".", ","))</f>
        <v>-9073</v>
      </c>
      <c r="H262" s="5">
        <f>VALUE(SUBSTITUTE('1000_заявлений'!H256, ".", ","))</f>
        <v>-1751</v>
      </c>
      <c r="I262" s="4">
        <f>VALUE(SUBSTITUTE('1000_заявлений'!I256, ".", ","))</f>
        <v>7.434375E-2</v>
      </c>
      <c r="J262" s="4">
        <f>VALUE(SUBSTITUTE('1000_заявлений'!J256, ".", ","))</f>
        <v>1.0283256470433799</v>
      </c>
      <c r="K262" s="5">
        <f>VALUE(SUBSTITUTE('1000_заявлений'!K256, ".", ","))</f>
        <v>-1032</v>
      </c>
      <c r="L262" s="6">
        <f>VALUE(SUBSTITUTE('1000_заявлений'!L256, ".", ","))</f>
        <v>10705.5</v>
      </c>
      <c r="M262" s="2" t="str">
        <f>IF(Данные6[[#This Row],[proba]]&gt;$C$6, "отказ", "одобрение")</f>
        <v>отказ</v>
      </c>
      <c r="N262" s="7">
        <f>IF(Данные6[[#This Row],[proba]]&lt;$D$2,$C$2,IF(Данные6[[#This Row],[proba]]&lt;$D$3,$C$3,IF(Данные6[[#This Row],[proba]]&gt;$C$6,0,$C$4)))</f>
        <v>0</v>
      </c>
      <c r="O262" s="2">
        <f>IF(Данные6[[#This Row],[weighted_ext_score]]&gt;$O$1,MIN(Данные6[[#This Row],[Базовая сумма]]*$O$2,$C$2),IF(Данные6[[#This Row],[weighted_ext_score]]&lt;$O$3,Данные6[[#This Row],[Базовая сумма]]*$O$4,N262))</f>
        <v>0</v>
      </c>
      <c r="P2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2" s="2">
        <f>ABS(Данные6[[#This Row],[days_birth]])/365.2425</f>
        <v>24.84103027440673</v>
      </c>
      <c r="S2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2" s="2">
        <f>IF(Данные6[[#This Row],[ interest_rate]]&gt;$T$1,Данные6[[#This Row],[days_birth4]]*$T$2,Данные6[[#This Row],[days_birth4]])</f>
        <v>0</v>
      </c>
      <c r="U262" s="2">
        <f>IF(Данные6[[#This Row],[Проверка отказа]]="отказ",0,MAX(Данные6[[#This Row],[interest_rate]],$C$1))</f>
        <v>0</v>
      </c>
      <c r="V262" s="2">
        <f>MROUND(Данные6[[#This Row],[Минимум 20000]], 100)</f>
        <v>0</v>
      </c>
    </row>
    <row r="263" spans="1:22" x14ac:dyDescent="0.25">
      <c r="A263" s="2">
        <f>'1000_заявлений'!A257</f>
        <v>255</v>
      </c>
      <c r="B263" s="4">
        <f>VALUE(SUBSTITUTE('1000_заявлений'!B257, ".", ","))</f>
        <v>0.73322722559378495</v>
      </c>
      <c r="C263" s="4">
        <f>VALUE(SUBSTITUTE('1000_заявлений'!C257, ".", ","))</f>
        <v>0.110176886382475</v>
      </c>
      <c r="D263" s="4">
        <f>VALUE(SUBSTITUTE('1000_заявлений'!D257, ".", ","))</f>
        <v>0.53527623000000002</v>
      </c>
      <c r="E263" s="4">
        <f>VALUE(SUBSTITUTE('1000_заявлений'!E257, ".", ","))</f>
        <v>0.1003587</v>
      </c>
      <c r="F263" s="5">
        <f>VALUE(SUBSTITUTE('1000_заявлений'!F257, ".", ","))</f>
        <v>-2795</v>
      </c>
      <c r="G263" s="5">
        <f>VALUE(SUBSTITUTE('1000_заявлений'!G257, ".", ","))</f>
        <v>-13136</v>
      </c>
      <c r="H263" s="5">
        <f>VALUE(SUBSTITUTE('1000_заявлений'!H257, ".", ","))</f>
        <v>-4088</v>
      </c>
      <c r="I263" s="4">
        <f>VALUE(SUBSTITUTE('1000_заявлений'!I257, ".", ","))</f>
        <v>0.136523076923076</v>
      </c>
      <c r="J263" s="4">
        <f>VALUE(SUBSTITUTE('1000_заявлений'!J257, ".", ","))</f>
        <v>2.7750950317010799</v>
      </c>
      <c r="K263" s="5">
        <f>VALUE(SUBSTITUTE('1000_заявлений'!K257, ".", ","))</f>
        <v>-5574</v>
      </c>
      <c r="L263" s="6">
        <f>VALUE(SUBSTITUTE('1000_заявлений'!L257, ".", ","))</f>
        <v>39933</v>
      </c>
      <c r="M263" s="2" t="str">
        <f>IF(Данные6[[#This Row],[proba]]&gt;$C$6, "отказ", "одобрение")</f>
        <v>отказ</v>
      </c>
      <c r="N263" s="7">
        <f>IF(Данные6[[#This Row],[proba]]&lt;$D$2,$C$2,IF(Данные6[[#This Row],[proba]]&lt;$D$3,$C$3,IF(Данные6[[#This Row],[proba]]&gt;$C$6,0,$C$4)))</f>
        <v>0</v>
      </c>
      <c r="O263" s="2">
        <f>IF(Данные6[[#This Row],[weighted_ext_score]]&gt;$O$1,MIN(Данные6[[#This Row],[Базовая сумма]]*$O$2,$C$2),IF(Данные6[[#This Row],[weighted_ext_score]]&lt;$O$3,Данные6[[#This Row],[Базовая сумма]]*$O$4,N263))</f>
        <v>0</v>
      </c>
      <c r="P2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3" s="2">
        <f>ABS(Данные6[[#This Row],[days_birth]])/365.2425</f>
        <v>35.965146443801032</v>
      </c>
      <c r="S2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3" s="2">
        <f>IF(Данные6[[#This Row],[ interest_rate]]&gt;$T$1,Данные6[[#This Row],[days_birth4]]*$T$2,Данные6[[#This Row],[days_birth4]])</f>
        <v>0</v>
      </c>
      <c r="U263" s="2">
        <f>IF(Данные6[[#This Row],[Проверка отказа]]="отказ",0,MAX(Данные6[[#This Row],[interest_rate]],$C$1))</f>
        <v>0</v>
      </c>
      <c r="V263" s="2">
        <f>MROUND(Данные6[[#This Row],[Минимум 20000]], 100)</f>
        <v>0</v>
      </c>
    </row>
    <row r="264" spans="1:22" x14ac:dyDescent="0.25">
      <c r="A264" s="2">
        <f>'1000_заявлений'!A258</f>
        <v>256</v>
      </c>
      <c r="B264" s="4">
        <f>VALUE(SUBSTITUTE('1000_заявлений'!B258, ".", ","))</f>
        <v>0.52882755664301995</v>
      </c>
      <c r="C264" s="4">
        <f>VALUE(SUBSTITUTE('1000_заявлений'!C258, ".", ","))</f>
        <v>0.33069958303486602</v>
      </c>
      <c r="D264" s="4">
        <f>VALUE(SUBSTITUTE('1000_заявлений'!D258, ".", ","))</f>
        <v>0.58323795</v>
      </c>
      <c r="E264" s="4">
        <f>VALUE(SUBSTITUTE('1000_заявлений'!E258, ".", ","))</f>
        <v>0.36920776999999999</v>
      </c>
      <c r="F264" s="5">
        <f>VALUE(SUBSTITUTE('1000_заявлений'!F258, ".", ","))</f>
        <v>-1048</v>
      </c>
      <c r="G264" s="5">
        <f>VALUE(SUBSTITUTE('1000_заявлений'!G258, ".", ","))</f>
        <v>-14209</v>
      </c>
      <c r="H264" s="5">
        <f>VALUE(SUBSTITUTE('1000_заявлений'!H258, ".", ","))</f>
        <v>-605</v>
      </c>
      <c r="I264" s="4">
        <f>VALUE(SUBSTITUTE('1000_заявлений'!I258, ".", ","))</f>
        <v>0.105253333333333</v>
      </c>
      <c r="J264" s="4">
        <f>VALUE(SUBSTITUTE('1000_заявлений'!J258, ".", ","))</f>
        <v>1.9788160340687699</v>
      </c>
      <c r="K264" s="5">
        <f>VALUE(SUBSTITUTE('1000_заявлений'!K258, ".", ","))</f>
        <v>-2323</v>
      </c>
      <c r="L264" s="6">
        <f>VALUE(SUBSTITUTE('1000_заявлений'!L258, ".", ","))</f>
        <v>35523</v>
      </c>
      <c r="M264" s="2" t="str">
        <f>IF(Данные6[[#This Row],[proba]]&gt;$C$6, "отказ", "одобрение")</f>
        <v>отказ</v>
      </c>
      <c r="N264" s="7">
        <f>IF(Данные6[[#This Row],[proba]]&lt;$D$2,$C$2,IF(Данные6[[#This Row],[proba]]&lt;$D$3,$C$3,IF(Данные6[[#This Row],[proba]]&gt;$C$6,0,$C$4)))</f>
        <v>0</v>
      </c>
      <c r="O264" s="2">
        <f>IF(Данные6[[#This Row],[weighted_ext_score]]&gt;$O$1,MIN(Данные6[[#This Row],[Базовая сумма]]*$O$2,$C$2),IF(Данные6[[#This Row],[weighted_ext_score]]&lt;$O$3,Данные6[[#This Row],[Базовая сумма]]*$O$4,N264))</f>
        <v>0</v>
      </c>
      <c r="P2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4" s="2">
        <f>ABS(Данные6[[#This Row],[days_birth]])/365.2425</f>
        <v>38.902920662299707</v>
      </c>
      <c r="S2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4" s="2">
        <f>IF(Данные6[[#This Row],[ interest_rate]]&gt;$T$1,Данные6[[#This Row],[days_birth4]]*$T$2,Данные6[[#This Row],[days_birth4]])</f>
        <v>0</v>
      </c>
      <c r="U264" s="2">
        <f>IF(Данные6[[#This Row],[Проверка отказа]]="отказ",0,MAX(Данные6[[#This Row],[interest_rate]],$C$1))</f>
        <v>0</v>
      </c>
      <c r="V264" s="2">
        <f>MROUND(Данные6[[#This Row],[Минимум 20000]], 100)</f>
        <v>0</v>
      </c>
    </row>
    <row r="265" spans="1:22" x14ac:dyDescent="0.25">
      <c r="A265" s="2">
        <f>'1000_заявлений'!A259</f>
        <v>257</v>
      </c>
      <c r="B265" s="4">
        <f>VALUE(SUBSTITUTE('1000_заявлений'!B259, ".", ","))</f>
        <v>0.34384003042292599</v>
      </c>
      <c r="C265" s="4">
        <f>VALUE(SUBSTITUTE('1000_заявлений'!C259, ".", ","))</f>
        <v>0.37416063113123599</v>
      </c>
      <c r="D265" s="4">
        <f>VALUE(SUBSTITUTE('1000_заявлений'!D259, ".", ","))</f>
        <v>0.51549535999999996</v>
      </c>
      <c r="E265" s="4">
        <f>VALUE(SUBSTITUTE('1000_заявлений'!E259, ".", ","))</f>
        <v>0.57872089999999998</v>
      </c>
      <c r="F265" s="5">
        <f>VALUE(SUBSTITUTE('1000_заявлений'!F259, ".", ","))</f>
        <v>-7129</v>
      </c>
      <c r="G265" s="5">
        <f>VALUE(SUBSTITUTE('1000_заявлений'!G259, ".", ","))</f>
        <v>-20739</v>
      </c>
      <c r="H265" s="5">
        <f>VALUE(SUBSTITUTE('1000_заявлений'!H259, ".", ","))</f>
        <v>-4215</v>
      </c>
      <c r="I265" s="4">
        <f>VALUE(SUBSTITUTE('1000_заявлений'!I259, ".", ","))</f>
        <v>0.1757</v>
      </c>
      <c r="J265" s="4">
        <f>VALUE(SUBSTITUTE('1000_заявлений'!J259, ".", ","))</f>
        <v>5.3380953232158701</v>
      </c>
      <c r="K265" s="5">
        <f>VALUE(SUBSTITUTE('1000_заявлений'!K259, ".", ","))</f>
        <v>365243</v>
      </c>
      <c r="L265" s="6">
        <f>VALUE(SUBSTITUTE('1000_заявлений'!L259, ".", ","))</f>
        <v>15813</v>
      </c>
      <c r="M265" s="2" t="str">
        <f>IF(Данные6[[#This Row],[proba]]&gt;$C$6, "отказ", "одобрение")</f>
        <v>отказ</v>
      </c>
      <c r="N265" s="7">
        <f>IF(Данные6[[#This Row],[proba]]&lt;$D$2,$C$2,IF(Данные6[[#This Row],[proba]]&lt;$D$3,$C$3,IF(Данные6[[#This Row],[proba]]&gt;$C$6,0,$C$4)))</f>
        <v>0</v>
      </c>
      <c r="O265" s="2">
        <f>IF(Данные6[[#This Row],[weighted_ext_score]]&gt;$O$1,MIN(Данные6[[#This Row],[Базовая сумма]]*$O$2,$C$2),IF(Данные6[[#This Row],[weighted_ext_score]]&lt;$O$3,Данные6[[#This Row],[Базовая сумма]]*$O$4,N265))</f>
        <v>0</v>
      </c>
      <c r="P2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5" s="2">
        <f>ABS(Данные6[[#This Row],[days_birth]])/365.2425</f>
        <v>56.781453417934657</v>
      </c>
      <c r="S2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5" s="2">
        <f>IF(Данные6[[#This Row],[ interest_rate]]&gt;$T$1,Данные6[[#This Row],[days_birth4]]*$T$2,Данные6[[#This Row],[days_birth4]])</f>
        <v>0</v>
      </c>
      <c r="U265" s="2">
        <f>IF(Данные6[[#This Row],[Проверка отказа]]="отказ",0,MAX(Данные6[[#This Row],[interest_rate]],$C$1))</f>
        <v>0</v>
      </c>
      <c r="V265" s="2">
        <f>MROUND(Данные6[[#This Row],[Минимум 20000]], 100)</f>
        <v>0</v>
      </c>
    </row>
    <row r="266" spans="1:22" x14ac:dyDescent="0.25">
      <c r="A266" s="2">
        <f>'1000_заявлений'!A260</f>
        <v>258</v>
      </c>
      <c r="B266" s="4">
        <f>VALUE(SUBSTITUTE('1000_заявлений'!B260, ".", ","))</f>
        <v>0.52034564654802495</v>
      </c>
      <c r="C266" s="4">
        <f>VALUE(SUBSTITUTE('1000_заявлений'!C260, ".", ","))</f>
        <v>0.263826163636941</v>
      </c>
      <c r="D266" s="4">
        <f>VALUE(SUBSTITUTE('1000_заявлений'!D260, ".", ","))</f>
        <v>0.60755729999999997</v>
      </c>
      <c r="E266" s="4">
        <f>VALUE(SUBSTITUTE('1000_заявлений'!E260, ".", ","))</f>
        <v>0.13593315</v>
      </c>
      <c r="F266" s="5">
        <f>VALUE(SUBSTITUTE('1000_заявлений'!F260, ".", ","))</f>
        <v>-406</v>
      </c>
      <c r="G266" s="5">
        <f>VALUE(SUBSTITUTE('1000_заявлений'!G260, ".", ","))</f>
        <v>-23906</v>
      </c>
      <c r="H266" s="5">
        <f>VALUE(SUBSTITUTE('1000_заявлений'!H260, ".", ","))</f>
        <v>-4416</v>
      </c>
      <c r="I266" s="4">
        <f>VALUE(SUBSTITUTE('1000_заявлений'!I260, ".", ","))</f>
        <v>0.129761904761904</v>
      </c>
      <c r="J266" s="4">
        <f>VALUE(SUBSTITUTE('1000_заявлений'!J260, ".", ","))</f>
        <v>1.8595419896718199</v>
      </c>
      <c r="K266" s="5">
        <f>VALUE(SUBSTITUTE('1000_заявлений'!K260, ".", ","))</f>
        <v>365243</v>
      </c>
      <c r="L266" s="6">
        <f>VALUE(SUBSTITUTE('1000_заявлений'!L260, ".", ","))</f>
        <v>24525</v>
      </c>
      <c r="M266" s="2" t="str">
        <f>IF(Данные6[[#This Row],[proba]]&gt;$C$6, "отказ", "одобрение")</f>
        <v>отказ</v>
      </c>
      <c r="N266" s="7">
        <f>IF(Данные6[[#This Row],[proba]]&lt;$D$2,$C$2,IF(Данные6[[#This Row],[proba]]&lt;$D$3,$C$3,IF(Данные6[[#This Row],[proba]]&gt;$C$6,0,$C$4)))</f>
        <v>0</v>
      </c>
      <c r="O266" s="2">
        <f>IF(Данные6[[#This Row],[weighted_ext_score]]&gt;$O$1,MIN(Данные6[[#This Row],[Базовая сумма]]*$O$2,$C$2),IF(Данные6[[#This Row],[weighted_ext_score]]&lt;$O$3,Данные6[[#This Row],[Базовая сумма]]*$O$4,N266))</f>
        <v>0</v>
      </c>
      <c r="P2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6" s="2">
        <f>ABS(Данные6[[#This Row],[days_birth]])/365.2425</f>
        <v>65.452404909067269</v>
      </c>
      <c r="S2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6" s="2">
        <f>IF(Данные6[[#This Row],[ interest_rate]]&gt;$T$1,Данные6[[#This Row],[days_birth4]]*$T$2,Данные6[[#This Row],[days_birth4]])</f>
        <v>0</v>
      </c>
      <c r="U266" s="2">
        <f>IF(Данные6[[#This Row],[Проверка отказа]]="отказ",0,MAX(Данные6[[#This Row],[interest_rate]],$C$1))</f>
        <v>0</v>
      </c>
      <c r="V266" s="2">
        <f>MROUND(Данные6[[#This Row],[Минимум 20000]], 100)</f>
        <v>0</v>
      </c>
    </row>
    <row r="267" spans="1:22" x14ac:dyDescent="0.25">
      <c r="A267" s="2">
        <f>'1000_заявлений'!A261</f>
        <v>259</v>
      </c>
      <c r="B267" s="4">
        <f>VALUE(SUBSTITUTE('1000_заявлений'!B261, ".", ","))</f>
        <v>0.23497722202427601</v>
      </c>
      <c r="C267" s="4">
        <f>VALUE(SUBSTITUTE('1000_заявлений'!C261, ".", ","))</f>
        <v>0.46210730507978898</v>
      </c>
      <c r="D267" s="4">
        <f>VALUE(SUBSTITUTE('1000_заявлений'!D261, ".", ","))</f>
        <v>0.832785</v>
      </c>
      <c r="E267" s="4">
        <f>VALUE(SUBSTITUTE('1000_заявлений'!E261, ".", ","))</f>
        <v>0.49608219999999997</v>
      </c>
      <c r="F267" s="5">
        <f>VALUE(SUBSTITUTE('1000_заявлений'!F261, ".", ","))</f>
        <v>-236</v>
      </c>
      <c r="G267" s="5">
        <f>VALUE(SUBSTITUTE('1000_заявлений'!G261, ".", ","))</f>
        <v>-17790</v>
      </c>
      <c r="H267" s="5">
        <f>VALUE(SUBSTITUTE('1000_заявлений'!H261, ".", ","))</f>
        <v>-1325</v>
      </c>
      <c r="I267" s="4">
        <f>VALUE(SUBSTITUTE('1000_заявлений'!I261, ".", ","))</f>
        <v>9.0425531914893595E-2</v>
      </c>
      <c r="J267" s="4">
        <f>VALUE(SUBSTITUTE('1000_заявлений'!J261, ".", ","))</f>
        <v>10.6209759779781</v>
      </c>
      <c r="K267" s="5">
        <f>VALUE(SUBSTITUTE('1000_заявлений'!K261, ".", ","))</f>
        <v>-4515</v>
      </c>
      <c r="L267" s="6">
        <f>VALUE(SUBSTITUTE('1000_заявлений'!L261, ".", ","))</f>
        <v>19125</v>
      </c>
      <c r="M267" s="2" t="str">
        <f>IF(Данные6[[#This Row],[proba]]&gt;$C$6, "отказ", "одобрение")</f>
        <v>одобрение</v>
      </c>
      <c r="N267" s="7">
        <f>IF(Данные6[[#This Row],[proba]]&lt;$D$2,$C$2,IF(Данные6[[#This Row],[proba]]&lt;$D$3,$C$3,IF(Данные6[[#This Row],[proba]]&gt;$C$6,0,$C$4)))</f>
        <v>50000</v>
      </c>
      <c r="O267" s="2">
        <f>IF(Данные6[[#This Row],[weighted_ext_score]]&gt;$O$1,MIN(Данные6[[#This Row],[Базовая сумма]]*$O$2,$C$2),IF(Данные6[[#This Row],[weighted_ext_score]]&lt;$O$3,Данные6[[#This Row],[Базовая сумма]]*$O$4,N267))</f>
        <v>40000</v>
      </c>
      <c r="P2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2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267" s="2">
        <f>ABS(Данные6[[#This Row],[days_birth]])/365.2425</f>
        <v>48.70736565432555</v>
      </c>
      <c r="S2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57600</v>
      </c>
      <c r="T267" s="2">
        <f>IF(Данные6[[#This Row],[ interest_rate]]&gt;$T$1,Данные6[[#This Row],[days_birth4]]*$T$2,Данные6[[#This Row],[days_birth4]])</f>
        <v>57600</v>
      </c>
      <c r="U267" s="2">
        <f>IF(Данные6[[#This Row],[Проверка отказа]]="отказ",0,MAX(Данные6[[#This Row],[interest_rate]],$C$1))</f>
        <v>57600</v>
      </c>
      <c r="V267" s="2">
        <f>MROUND(Данные6[[#This Row],[Минимум 20000]], 100)</f>
        <v>57600</v>
      </c>
    </row>
    <row r="268" spans="1:22" x14ac:dyDescent="0.25">
      <c r="A268" s="2">
        <f>'1000_заявлений'!A262</f>
        <v>260</v>
      </c>
      <c r="B268" s="4">
        <f>VALUE(SUBSTITUTE('1000_заявлений'!B262, ".", ","))</f>
        <v>0.71608091597151102</v>
      </c>
      <c r="C268" s="4">
        <f>VALUE(SUBSTITUTE('1000_заявлений'!C262, ".", ","))</f>
        <v>0.352680119660641</v>
      </c>
      <c r="D268" s="4">
        <f>VALUE(SUBSTITUTE('1000_заявлений'!D262, ".", ","))</f>
        <v>0.19977057000000001</v>
      </c>
      <c r="E268" s="4">
        <f>VALUE(SUBSTITUTE('1000_заявлений'!E262, ".", ","))</f>
        <v>0.41542960000000001</v>
      </c>
      <c r="F268" s="5">
        <f>VALUE(SUBSTITUTE('1000_заявлений'!F262, ".", ","))</f>
        <v>-1578</v>
      </c>
      <c r="G268" s="5">
        <f>VALUE(SUBSTITUTE('1000_заявлений'!G262, ".", ","))</f>
        <v>-13063</v>
      </c>
      <c r="H268" s="5">
        <f>VALUE(SUBSTITUTE('1000_заявлений'!H262, ".", ","))</f>
        <v>-4259</v>
      </c>
      <c r="I268" s="4">
        <f>VALUE(SUBSTITUTE('1000_заявлений'!I262, ".", ","))</f>
        <v>0.25127777777777699</v>
      </c>
      <c r="J268" s="4">
        <f>VALUE(SUBSTITUTE('1000_заявлений'!J262, ".", ","))</f>
        <v>3.1037740112282699</v>
      </c>
      <c r="K268" s="5">
        <f>VALUE(SUBSTITUTE('1000_заявлений'!K262, ".", ","))</f>
        <v>-1661</v>
      </c>
      <c r="L268" s="6">
        <f>VALUE(SUBSTITUTE('1000_заявлений'!L262, ".", ","))</f>
        <v>20353.5</v>
      </c>
      <c r="M268" s="2" t="str">
        <f>IF(Данные6[[#This Row],[proba]]&gt;$C$6, "отказ", "одобрение")</f>
        <v>отказ</v>
      </c>
      <c r="N268" s="7">
        <f>IF(Данные6[[#This Row],[proba]]&lt;$D$2,$C$2,IF(Данные6[[#This Row],[proba]]&lt;$D$3,$C$3,IF(Данные6[[#This Row],[proba]]&gt;$C$6,0,$C$4)))</f>
        <v>0</v>
      </c>
      <c r="O268" s="2">
        <f>IF(Данные6[[#This Row],[weighted_ext_score]]&gt;$O$1,MIN(Данные6[[#This Row],[Базовая сумма]]*$O$2,$C$2),IF(Данные6[[#This Row],[weighted_ext_score]]&lt;$O$3,Данные6[[#This Row],[Базовая сумма]]*$O$4,N268))</f>
        <v>0</v>
      </c>
      <c r="P2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8" s="2">
        <f>ABS(Данные6[[#This Row],[days_birth]])/365.2425</f>
        <v>35.765279232290872</v>
      </c>
      <c r="S2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8" s="2">
        <f>IF(Данные6[[#This Row],[ interest_rate]]&gt;$T$1,Данные6[[#This Row],[days_birth4]]*$T$2,Данные6[[#This Row],[days_birth4]])</f>
        <v>0</v>
      </c>
      <c r="U268" s="2">
        <f>IF(Данные6[[#This Row],[Проверка отказа]]="отказ",0,MAX(Данные6[[#This Row],[interest_rate]],$C$1))</f>
        <v>0</v>
      </c>
      <c r="V268" s="2">
        <f>MROUND(Данные6[[#This Row],[Минимум 20000]], 100)</f>
        <v>0</v>
      </c>
    </row>
    <row r="269" spans="1:22" x14ac:dyDescent="0.25">
      <c r="A269" s="2">
        <f>'1000_заявлений'!A263</f>
        <v>261</v>
      </c>
      <c r="B269" s="4">
        <f>VALUE(SUBSTITUTE('1000_заявлений'!B263, ".", ","))</f>
        <v>0.74253451349478605</v>
      </c>
      <c r="C269" s="4">
        <f>VALUE(SUBSTITUTE('1000_заявлений'!C263, ".", ","))</f>
        <v>0.18677806942747199</v>
      </c>
      <c r="D269" s="4">
        <f>VALUE(SUBSTITUTE('1000_заявлений'!D263, ".", ","))</f>
        <v>0.28371188000000003</v>
      </c>
      <c r="E269" s="4">
        <f>VALUE(SUBSTITUTE('1000_заявлений'!E263, ".", ","))</f>
        <v>0.25947976</v>
      </c>
      <c r="F269" s="5">
        <f>VALUE(SUBSTITUTE('1000_заявлений'!F263, ".", ","))</f>
        <v>-7691</v>
      </c>
      <c r="G269" s="5">
        <f>VALUE(SUBSTITUTE('1000_заявлений'!G263, ".", ","))</f>
        <v>-14044</v>
      </c>
      <c r="H269" s="5">
        <f>VALUE(SUBSTITUTE('1000_заявлений'!H263, ".", ","))</f>
        <v>-4384</v>
      </c>
      <c r="I269" s="4">
        <f>VALUE(SUBSTITUTE('1000_заявлений'!I263, ".", ","))</f>
        <v>0.16054285714285699</v>
      </c>
      <c r="J269" s="4">
        <f>VALUE(SUBSTITUTE('1000_заявлений'!J263, ".", ","))</f>
        <v>3.0093898518013402</v>
      </c>
      <c r="K269" s="5">
        <f>VALUE(SUBSTITUTE('1000_заявлений'!K263, ".", ","))</f>
        <v>-2756</v>
      </c>
      <c r="L269" s="6">
        <f>VALUE(SUBSTITUTE('1000_заявлений'!L263, ".", ","))</f>
        <v>50571</v>
      </c>
      <c r="M269" s="2" t="str">
        <f>IF(Данные6[[#This Row],[proba]]&gt;$C$6, "отказ", "одобрение")</f>
        <v>отказ</v>
      </c>
      <c r="N269" s="7">
        <f>IF(Данные6[[#This Row],[proba]]&lt;$D$2,$C$2,IF(Данные6[[#This Row],[proba]]&lt;$D$3,$C$3,IF(Данные6[[#This Row],[proba]]&gt;$C$6,0,$C$4)))</f>
        <v>0</v>
      </c>
      <c r="O269" s="2">
        <f>IF(Данные6[[#This Row],[weighted_ext_score]]&gt;$O$1,MIN(Данные6[[#This Row],[Базовая сумма]]*$O$2,$C$2),IF(Данные6[[#This Row],[weighted_ext_score]]&lt;$O$3,Данные6[[#This Row],[Базовая сумма]]*$O$4,N269))</f>
        <v>0</v>
      </c>
      <c r="P2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69" s="2">
        <f>ABS(Данные6[[#This Row],[days_birth]])/365.2425</f>
        <v>38.4511660061466</v>
      </c>
      <c r="S2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69" s="2">
        <f>IF(Данные6[[#This Row],[ interest_rate]]&gt;$T$1,Данные6[[#This Row],[days_birth4]]*$T$2,Данные6[[#This Row],[days_birth4]])</f>
        <v>0</v>
      </c>
      <c r="U269" s="2">
        <f>IF(Данные6[[#This Row],[Проверка отказа]]="отказ",0,MAX(Данные6[[#This Row],[interest_rate]],$C$1))</f>
        <v>0</v>
      </c>
      <c r="V269" s="2">
        <f>MROUND(Данные6[[#This Row],[Минимум 20000]], 100)</f>
        <v>0</v>
      </c>
    </row>
    <row r="270" spans="1:22" x14ac:dyDescent="0.25">
      <c r="A270" s="2">
        <f>'1000_заявлений'!A264</f>
        <v>262</v>
      </c>
      <c r="B270" s="4">
        <f>VALUE(SUBSTITUTE('1000_заявлений'!B264, ".", ","))</f>
        <v>0.80077690904065302</v>
      </c>
      <c r="C270" s="4">
        <f>VALUE(SUBSTITUTE('1000_заявлений'!C264, ".", ","))</f>
        <v>0.15773149024557001</v>
      </c>
      <c r="D270" s="4">
        <f>VALUE(SUBSTITUTE('1000_заявлений'!D264, ".", ","))</f>
        <v>6.6439174000000004E-2</v>
      </c>
      <c r="E270" s="4">
        <f>VALUE(SUBSTITUTE('1000_заявлений'!E264, ".", ","))</f>
        <v>0.41218327999999999</v>
      </c>
      <c r="F270" s="5">
        <f>VALUE(SUBSTITUTE('1000_заявлений'!F264, ".", ","))</f>
        <v>-1858</v>
      </c>
      <c r="G270" s="5">
        <f>VALUE(SUBSTITUTE('1000_заявлений'!G264, ".", ","))</f>
        <v>-12916</v>
      </c>
      <c r="H270" s="5">
        <f>VALUE(SUBSTITUTE('1000_заявлений'!H264, ".", ","))</f>
        <v>-5578</v>
      </c>
      <c r="I270" s="4">
        <f>VALUE(SUBSTITUTE('1000_заявлений'!I264, ".", ","))</f>
        <v>0.19672000000000001</v>
      </c>
      <c r="J270" s="4">
        <f>VALUE(SUBSTITUTE('1000_заявлений'!J264, ".", ","))</f>
        <v>8.0647584926503502</v>
      </c>
      <c r="K270" s="5">
        <f>VALUE(SUBSTITUTE('1000_заявлений'!K264, ".", ","))</f>
        <v>-692</v>
      </c>
      <c r="L270" s="6">
        <f>VALUE(SUBSTITUTE('1000_заявлений'!L264, ".", ","))</f>
        <v>22131</v>
      </c>
      <c r="M270" s="2" t="str">
        <f>IF(Данные6[[#This Row],[proba]]&gt;$C$6, "отказ", "одобрение")</f>
        <v>отказ</v>
      </c>
      <c r="N270" s="7">
        <f>IF(Данные6[[#This Row],[proba]]&lt;$D$2,$C$2,IF(Данные6[[#This Row],[proba]]&lt;$D$3,$C$3,IF(Данные6[[#This Row],[proba]]&gt;$C$6,0,$C$4)))</f>
        <v>0</v>
      </c>
      <c r="O270" s="2">
        <f>IF(Данные6[[#This Row],[weighted_ext_score]]&gt;$O$1,MIN(Данные6[[#This Row],[Базовая сумма]]*$O$2,$C$2),IF(Данные6[[#This Row],[weighted_ext_score]]&lt;$O$3,Данные6[[#This Row],[Базовая сумма]]*$O$4,N270))</f>
        <v>0</v>
      </c>
      <c r="P2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0" s="2">
        <f>ABS(Данные6[[#This Row],[days_birth]])/365.2425</f>
        <v>35.362806902263564</v>
      </c>
      <c r="S2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0" s="2">
        <f>IF(Данные6[[#This Row],[ interest_rate]]&gt;$T$1,Данные6[[#This Row],[days_birth4]]*$T$2,Данные6[[#This Row],[days_birth4]])</f>
        <v>0</v>
      </c>
      <c r="U270" s="2">
        <f>IF(Данные6[[#This Row],[Проверка отказа]]="отказ",0,MAX(Данные6[[#This Row],[interest_rate]],$C$1))</f>
        <v>0</v>
      </c>
      <c r="V270" s="2">
        <f>MROUND(Данные6[[#This Row],[Минимум 20000]], 100)</f>
        <v>0</v>
      </c>
    </row>
    <row r="271" spans="1:22" x14ac:dyDescent="0.25">
      <c r="A271" s="2">
        <f>'1000_заявлений'!A265</f>
        <v>263</v>
      </c>
      <c r="B271" s="4">
        <f>VALUE(SUBSTITUTE('1000_заявлений'!B265, ".", ","))</f>
        <v>0.53239642846868296</v>
      </c>
      <c r="C271" s="4">
        <f>VALUE(SUBSTITUTE('1000_заявлений'!C265, ".", ","))</f>
        <v>0.26857304335926702</v>
      </c>
      <c r="D271" s="4">
        <f>VALUE(SUBSTITUTE('1000_заявлений'!D265, ".", ","))</f>
        <v>0.30314636</v>
      </c>
      <c r="E271" s="4">
        <f>VALUE(SUBSTITUTE('1000_заявлений'!E265, ".", ","))</f>
        <v>0.4899715</v>
      </c>
      <c r="F271" s="5">
        <f>VALUE(SUBSTITUTE('1000_заявлений'!F265, ".", ","))</f>
        <v>-6905</v>
      </c>
      <c r="G271" s="5">
        <f>VALUE(SUBSTITUTE('1000_заявлений'!G265, ".", ","))</f>
        <v>-23142</v>
      </c>
      <c r="H271" s="5">
        <f>VALUE(SUBSTITUTE('1000_заявлений'!H265, ".", ","))</f>
        <v>-2023</v>
      </c>
      <c r="I271" s="4">
        <f>VALUE(SUBSTITUTE('1000_заявлений'!I265, ".", ","))</f>
        <v>4.2468085106382898E-2</v>
      </c>
      <c r="J271" s="4">
        <f>VALUE(SUBSTITUTE('1000_заявлений'!J265, ".", ","))</f>
        <v>2.7786277482288102</v>
      </c>
      <c r="K271" s="5">
        <f>VALUE(SUBSTITUTE('1000_заявлений'!K265, ".", ","))</f>
        <v>365243</v>
      </c>
      <c r="L271" s="6">
        <f>VALUE(SUBSTITUTE('1000_заявлений'!L265, ".", ","))</f>
        <v>8982</v>
      </c>
      <c r="M271" s="2" t="str">
        <f>IF(Данные6[[#This Row],[proba]]&gt;$C$6, "отказ", "одобрение")</f>
        <v>отказ</v>
      </c>
      <c r="N271" s="7">
        <f>IF(Данные6[[#This Row],[proba]]&lt;$D$2,$C$2,IF(Данные6[[#This Row],[proba]]&lt;$D$3,$C$3,IF(Данные6[[#This Row],[proba]]&gt;$C$6,0,$C$4)))</f>
        <v>0</v>
      </c>
      <c r="O271" s="2">
        <f>IF(Данные6[[#This Row],[weighted_ext_score]]&gt;$O$1,MIN(Данные6[[#This Row],[Базовая сумма]]*$O$2,$C$2),IF(Данные6[[#This Row],[weighted_ext_score]]&lt;$O$3,Данные6[[#This Row],[Базовая сумма]]*$O$4,N271))</f>
        <v>0</v>
      </c>
      <c r="P2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1" s="2">
        <f>ABS(Данные6[[#This Row],[days_birth]])/365.2425</f>
        <v>63.360643955728044</v>
      </c>
      <c r="S2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1" s="2">
        <f>IF(Данные6[[#This Row],[ interest_rate]]&gt;$T$1,Данные6[[#This Row],[days_birth4]]*$T$2,Данные6[[#This Row],[days_birth4]])</f>
        <v>0</v>
      </c>
      <c r="U271" s="2">
        <f>IF(Данные6[[#This Row],[Проверка отказа]]="отказ",0,MAX(Данные6[[#This Row],[interest_rate]],$C$1))</f>
        <v>0</v>
      </c>
      <c r="V271" s="2">
        <f>MROUND(Данные6[[#This Row],[Минимум 20000]], 100)</f>
        <v>0</v>
      </c>
    </row>
    <row r="272" spans="1:22" x14ac:dyDescent="0.25">
      <c r="A272" s="2">
        <f>'1000_заявлений'!A266</f>
        <v>264</v>
      </c>
      <c r="B272" s="4">
        <f>VALUE(SUBSTITUTE('1000_заявлений'!B266, ".", ","))</f>
        <v>0.38132262851161203</v>
      </c>
      <c r="C272" s="4">
        <f>VALUE(SUBSTITUTE('1000_заявлений'!C266, ".", ","))</f>
        <v>0.48409372513749299</v>
      </c>
      <c r="D272" s="4">
        <f>VALUE(SUBSTITUTE('1000_заявлений'!D266, ".", ","))</f>
        <v>0.53886270000000003</v>
      </c>
      <c r="E272" s="4">
        <f>VALUE(SUBSTITUTE('1000_заявлений'!E266, ".", ","))</f>
        <v>0.58434039999999998</v>
      </c>
      <c r="F272" s="5">
        <f>VALUE(SUBSTITUTE('1000_заявлений'!F266, ".", ","))</f>
        <v>-5375</v>
      </c>
      <c r="G272" s="5">
        <f>VALUE(SUBSTITUTE('1000_заявлений'!G266, ".", ","))</f>
        <v>-11258</v>
      </c>
      <c r="H272" s="5">
        <f>VALUE(SUBSTITUTE('1000_заявлений'!H266, ".", ","))</f>
        <v>-3675</v>
      </c>
      <c r="I272" s="4">
        <f>VALUE(SUBSTITUTE('1000_заявлений'!I266, ".", ","))</f>
        <v>0.107044444444444</v>
      </c>
      <c r="J272" s="4">
        <f>VALUE(SUBSTITUTE('1000_заявлений'!J266, ".", ","))</f>
        <v>2.0651442936309601</v>
      </c>
      <c r="K272" s="5">
        <f>VALUE(SUBSTITUTE('1000_заявлений'!K266, ".", ","))</f>
        <v>-790</v>
      </c>
      <c r="L272" s="6">
        <f>VALUE(SUBSTITUTE('1000_заявлений'!L266, ".", ","))</f>
        <v>21676.5</v>
      </c>
      <c r="M272" s="2" t="str">
        <f>IF(Данные6[[#This Row],[proba]]&gt;$C$6, "отказ", "одобрение")</f>
        <v>отказ</v>
      </c>
      <c r="N272" s="7">
        <f>IF(Данные6[[#This Row],[proba]]&lt;$D$2,$C$2,IF(Данные6[[#This Row],[proba]]&lt;$D$3,$C$3,IF(Данные6[[#This Row],[proba]]&gt;$C$6,0,$C$4)))</f>
        <v>0</v>
      </c>
      <c r="O272" s="2">
        <f>IF(Данные6[[#This Row],[weighted_ext_score]]&gt;$O$1,MIN(Данные6[[#This Row],[Базовая сумма]]*$O$2,$C$2),IF(Данные6[[#This Row],[weighted_ext_score]]&lt;$O$3,Данные6[[#This Row],[Базовая сумма]]*$O$4,N272))</f>
        <v>0</v>
      </c>
      <c r="P2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2" s="2">
        <f>ABS(Данные6[[#This Row],[days_birth]])/365.2425</f>
        <v>30.823357084676619</v>
      </c>
      <c r="S2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2" s="2">
        <f>IF(Данные6[[#This Row],[ interest_rate]]&gt;$T$1,Данные6[[#This Row],[days_birth4]]*$T$2,Данные6[[#This Row],[days_birth4]])</f>
        <v>0</v>
      </c>
      <c r="U272" s="2">
        <f>IF(Данные6[[#This Row],[Проверка отказа]]="отказ",0,MAX(Данные6[[#This Row],[interest_rate]],$C$1))</f>
        <v>0</v>
      </c>
      <c r="V272" s="2">
        <f>MROUND(Данные6[[#This Row],[Минимум 20000]], 100)</f>
        <v>0</v>
      </c>
    </row>
    <row r="273" spans="1:22" x14ac:dyDescent="0.25">
      <c r="A273" s="2">
        <f>'1000_заявлений'!A267</f>
        <v>265</v>
      </c>
      <c r="B273" s="4">
        <f>VALUE(SUBSTITUTE('1000_заявлений'!B267, ".", ","))</f>
        <v>0.45520462924527599</v>
      </c>
      <c r="C273" s="4">
        <f>VALUE(SUBSTITUTE('1000_заявлений'!C267, ".", ","))</f>
        <v>0.30501229700617</v>
      </c>
      <c r="D273" s="4">
        <f>VALUE(SUBSTITUTE('1000_заявлений'!D267, ".", ","))</f>
        <v>0.54959650000000004</v>
      </c>
      <c r="E273" s="4">
        <f>VALUE(SUBSTITUTE('1000_заявлений'!E267, ".", ","))</f>
        <v>0.32752683999999999</v>
      </c>
      <c r="F273" s="5">
        <f>VALUE(SUBSTITUTE('1000_заявлений'!F267, ".", ","))</f>
        <v>-10219</v>
      </c>
      <c r="G273" s="5">
        <f>VALUE(SUBSTITUTE('1000_заявлений'!G267, ".", ","))</f>
        <v>-22676</v>
      </c>
      <c r="H273" s="5">
        <f>VALUE(SUBSTITUTE('1000_заявлений'!H267, ".", ","))</f>
        <v>-4377</v>
      </c>
      <c r="I273" s="4">
        <f>VALUE(SUBSTITUTE('1000_заявлений'!I267, ".", ","))</f>
        <v>0.26397777777777698</v>
      </c>
      <c r="J273" s="4">
        <f>VALUE(SUBSTITUTE('1000_заявлений'!J267, ".", ","))</f>
        <v>1.8568382236701</v>
      </c>
      <c r="K273" s="5">
        <f>VALUE(SUBSTITUTE('1000_заявлений'!K267, ".", ","))</f>
        <v>365243</v>
      </c>
      <c r="L273" s="6">
        <f>VALUE(SUBSTITUTE('1000_заявлений'!L267, ".", ","))</f>
        <v>53455.5</v>
      </c>
      <c r="M273" s="2" t="str">
        <f>IF(Данные6[[#This Row],[proba]]&gt;$C$6, "отказ", "одобрение")</f>
        <v>отказ</v>
      </c>
      <c r="N273" s="7">
        <f>IF(Данные6[[#This Row],[proba]]&lt;$D$2,$C$2,IF(Данные6[[#This Row],[proba]]&lt;$D$3,$C$3,IF(Данные6[[#This Row],[proba]]&gt;$C$6,0,$C$4)))</f>
        <v>0</v>
      </c>
      <c r="O273" s="2">
        <f>IF(Данные6[[#This Row],[weighted_ext_score]]&gt;$O$1,MIN(Данные6[[#This Row],[Базовая сумма]]*$O$2,$C$2),IF(Данные6[[#This Row],[weighted_ext_score]]&lt;$O$3,Данные6[[#This Row],[Базовая сумма]]*$O$4,N273))</f>
        <v>0</v>
      </c>
      <c r="P2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3" s="2">
        <f>ABS(Данные6[[#This Row],[days_birth]])/365.2425</f>
        <v>62.084779290471396</v>
      </c>
      <c r="S2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3" s="2">
        <f>IF(Данные6[[#This Row],[ interest_rate]]&gt;$T$1,Данные6[[#This Row],[days_birth4]]*$T$2,Данные6[[#This Row],[days_birth4]])</f>
        <v>0</v>
      </c>
      <c r="U273" s="2">
        <f>IF(Данные6[[#This Row],[Проверка отказа]]="отказ",0,MAX(Данные6[[#This Row],[interest_rate]],$C$1))</f>
        <v>0</v>
      </c>
      <c r="V273" s="2">
        <f>MROUND(Данные6[[#This Row],[Минимум 20000]], 100)</f>
        <v>0</v>
      </c>
    </row>
    <row r="274" spans="1:22" x14ac:dyDescent="0.25">
      <c r="A274" s="2">
        <f>'1000_заявлений'!A268</f>
        <v>266</v>
      </c>
      <c r="B274" s="4">
        <f>VALUE(SUBSTITUTE('1000_заявлений'!B268, ".", ","))</f>
        <v>0.73486514201072195</v>
      </c>
      <c r="C274" s="4">
        <f>VALUE(SUBSTITUTE('1000_заявлений'!C268, ".", ","))</f>
        <v>0.310026508737339</v>
      </c>
      <c r="D274" s="4">
        <f>VALUE(SUBSTITUTE('1000_заявлений'!D268, ".", ","))</f>
        <v>0.15568936999999999</v>
      </c>
      <c r="E274" s="4">
        <f>VALUE(SUBSTITUTE('1000_заявлений'!E268, ".", ","))</f>
        <v>0.27794312999999998</v>
      </c>
      <c r="F274" s="5">
        <f>VALUE(SUBSTITUTE('1000_заявлений'!F268, ".", ","))</f>
        <v>-3656</v>
      </c>
      <c r="G274" s="5">
        <f>VALUE(SUBSTITUTE('1000_заявлений'!G268, ".", ","))</f>
        <v>-12716</v>
      </c>
      <c r="H274" s="5">
        <f>VALUE(SUBSTITUTE('1000_заявлений'!H268, ".", ","))</f>
        <v>-4202</v>
      </c>
      <c r="I274" s="4">
        <f>VALUE(SUBSTITUTE('1000_заявлений'!I268, ".", ","))</f>
        <v>0.12437037037037001</v>
      </c>
      <c r="J274" s="4">
        <f>VALUE(SUBSTITUTE('1000_заявлений'!J268, ".", ","))</f>
        <v>11.3195715047456</v>
      </c>
      <c r="K274" s="5">
        <f>VALUE(SUBSTITUTE('1000_заявлений'!K268, ".", ","))</f>
        <v>-393</v>
      </c>
      <c r="L274" s="6">
        <f>VALUE(SUBSTITUTE('1000_заявлений'!L268, ".", ","))</f>
        <v>15111</v>
      </c>
      <c r="M274" s="2" t="str">
        <f>IF(Данные6[[#This Row],[proba]]&gt;$C$6, "отказ", "одобрение")</f>
        <v>отказ</v>
      </c>
      <c r="N274" s="7">
        <f>IF(Данные6[[#This Row],[proba]]&lt;$D$2,$C$2,IF(Данные6[[#This Row],[proba]]&lt;$D$3,$C$3,IF(Данные6[[#This Row],[proba]]&gt;$C$6,0,$C$4)))</f>
        <v>0</v>
      </c>
      <c r="O274" s="2">
        <f>IF(Данные6[[#This Row],[weighted_ext_score]]&gt;$O$1,MIN(Данные6[[#This Row],[Базовая сумма]]*$O$2,$C$2),IF(Данные6[[#This Row],[weighted_ext_score]]&lt;$O$3,Данные6[[#This Row],[Базовая сумма]]*$O$4,N274))</f>
        <v>0</v>
      </c>
      <c r="P2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4" s="2">
        <f>ABS(Данные6[[#This Row],[days_birth]])/365.2425</f>
        <v>34.815225500865864</v>
      </c>
      <c r="S2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4" s="2">
        <f>IF(Данные6[[#This Row],[ interest_rate]]&gt;$T$1,Данные6[[#This Row],[days_birth4]]*$T$2,Данные6[[#This Row],[days_birth4]])</f>
        <v>0</v>
      </c>
      <c r="U274" s="2">
        <f>IF(Данные6[[#This Row],[Проверка отказа]]="отказ",0,MAX(Данные6[[#This Row],[interest_rate]],$C$1))</f>
        <v>0</v>
      </c>
      <c r="V274" s="2">
        <f>MROUND(Данные6[[#This Row],[Минимум 20000]], 100)</f>
        <v>0</v>
      </c>
    </row>
    <row r="275" spans="1:22" x14ac:dyDescent="0.25">
      <c r="A275" s="2">
        <f>'1000_заявлений'!A269</f>
        <v>267</v>
      </c>
      <c r="B275" s="4">
        <f>VALUE(SUBSTITUTE('1000_заявлений'!B269, ".", ","))</f>
        <v>0.65850077755770398</v>
      </c>
      <c r="C275" s="4">
        <f>VALUE(SUBSTITUTE('1000_заявлений'!C269, ".", ","))</f>
        <v>0.25165968591465598</v>
      </c>
      <c r="D275" s="4">
        <f>VALUE(SUBSTITUTE('1000_заявлений'!D269, ".", ","))</f>
        <v>0.10479462</v>
      </c>
      <c r="E275" s="4">
        <f>VALUE(SUBSTITUTE('1000_заявлений'!E269, ".", ","))</f>
        <v>0.65898369999999995</v>
      </c>
      <c r="F275" s="5">
        <f>VALUE(SUBSTITUTE('1000_заявлений'!F269, ".", ","))</f>
        <v>-7989</v>
      </c>
      <c r="G275" s="5">
        <f>VALUE(SUBSTITUTE('1000_заявлений'!G269, ".", ","))</f>
        <v>-19253</v>
      </c>
      <c r="H275" s="5">
        <f>VALUE(SUBSTITUTE('1000_заявлений'!H269, ".", ","))</f>
        <v>-2807</v>
      </c>
      <c r="I275" s="4">
        <f>VALUE(SUBSTITUTE('1000_заявлений'!I269, ".", ","))</f>
        <v>0.141222222222222</v>
      </c>
      <c r="J275" s="4">
        <f>VALUE(SUBSTITUTE('1000_заявлений'!J269, ".", ","))</f>
        <v>1.6164343355108099</v>
      </c>
      <c r="K275" s="5">
        <f>VALUE(SUBSTITUTE('1000_заявлений'!K269, ".", ","))</f>
        <v>-8863</v>
      </c>
      <c r="L275" s="6">
        <f>VALUE(SUBSTITUTE('1000_заявлений'!L269, ".", ","))</f>
        <v>28597.5</v>
      </c>
      <c r="M275" s="2" t="str">
        <f>IF(Данные6[[#This Row],[proba]]&gt;$C$6, "отказ", "одобрение")</f>
        <v>отказ</v>
      </c>
      <c r="N275" s="7">
        <f>IF(Данные6[[#This Row],[proba]]&lt;$D$2,$C$2,IF(Данные6[[#This Row],[proba]]&lt;$D$3,$C$3,IF(Данные6[[#This Row],[proba]]&gt;$C$6,0,$C$4)))</f>
        <v>0</v>
      </c>
      <c r="O275" s="2">
        <f>IF(Данные6[[#This Row],[weighted_ext_score]]&gt;$O$1,MIN(Данные6[[#This Row],[Базовая сумма]]*$O$2,$C$2),IF(Данные6[[#This Row],[weighted_ext_score]]&lt;$O$3,Данные6[[#This Row],[Базовая сумма]]*$O$4,N275))</f>
        <v>0</v>
      </c>
      <c r="P2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5" s="2">
        <f>ABS(Данные6[[#This Row],[days_birth]])/365.2425</f>
        <v>52.712923605549733</v>
      </c>
      <c r="S2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5" s="2">
        <f>IF(Данные6[[#This Row],[ interest_rate]]&gt;$T$1,Данные6[[#This Row],[days_birth4]]*$T$2,Данные6[[#This Row],[days_birth4]])</f>
        <v>0</v>
      </c>
      <c r="U275" s="2">
        <f>IF(Данные6[[#This Row],[Проверка отказа]]="отказ",0,MAX(Данные6[[#This Row],[interest_rate]],$C$1))</f>
        <v>0</v>
      </c>
      <c r="V275" s="2">
        <f>MROUND(Данные6[[#This Row],[Минимум 20000]], 100)</f>
        <v>0</v>
      </c>
    </row>
    <row r="276" spans="1:22" x14ac:dyDescent="0.25">
      <c r="A276" s="2">
        <f>'1000_заявлений'!A270</f>
        <v>268</v>
      </c>
      <c r="B276" s="4">
        <f>VALUE(SUBSTITUTE('1000_заявлений'!B270, ".", ","))</f>
        <v>0.51518763545824398</v>
      </c>
      <c r="C276" s="4">
        <f>VALUE(SUBSTITUTE('1000_заявлений'!C270, ".", ","))</f>
        <v>0.34908198694196801</v>
      </c>
      <c r="D276" s="4">
        <f>VALUE(SUBSTITUTE('1000_заявлений'!D270, ".", ","))</f>
        <v>0.49746889999999999</v>
      </c>
      <c r="E276" s="4">
        <f>VALUE(SUBSTITUTE('1000_заявлений'!E270, ".", ","))</f>
        <v>0.52150629999999998</v>
      </c>
      <c r="F276" s="5">
        <f>VALUE(SUBSTITUTE('1000_заявлений'!F270, ".", ","))</f>
        <v>-5050</v>
      </c>
      <c r="G276" s="5">
        <f>VALUE(SUBSTITUTE('1000_заявлений'!G270, ".", ","))</f>
        <v>-10880</v>
      </c>
      <c r="H276" s="5">
        <f>VALUE(SUBSTITUTE('1000_заявлений'!H270, ".", ","))</f>
        <v>-3482</v>
      </c>
      <c r="I276" s="4">
        <f>VALUE(SUBSTITUTE('1000_заявлений'!I270, ".", ","))</f>
        <v>0.1613</v>
      </c>
      <c r="J276" s="4">
        <f>VALUE(SUBSTITUTE('1000_заявлений'!J270, ".", ","))</f>
        <v>2.3522351798308501</v>
      </c>
      <c r="K276" s="5">
        <f>VALUE(SUBSTITUTE('1000_заявлений'!K270, ".", ","))</f>
        <v>-3237</v>
      </c>
      <c r="L276" s="6">
        <f>VALUE(SUBSTITUTE('1000_заявлений'!L270, ".", ","))</f>
        <v>21775.5</v>
      </c>
      <c r="M276" s="2" t="str">
        <f>IF(Данные6[[#This Row],[proba]]&gt;$C$6, "отказ", "одобрение")</f>
        <v>отказ</v>
      </c>
      <c r="N276" s="7">
        <f>IF(Данные6[[#This Row],[proba]]&lt;$D$2,$C$2,IF(Данные6[[#This Row],[proba]]&lt;$D$3,$C$3,IF(Данные6[[#This Row],[proba]]&gt;$C$6,0,$C$4)))</f>
        <v>0</v>
      </c>
      <c r="O276" s="2">
        <f>IF(Данные6[[#This Row],[weighted_ext_score]]&gt;$O$1,MIN(Данные6[[#This Row],[Базовая сумма]]*$O$2,$C$2),IF(Данные6[[#This Row],[weighted_ext_score]]&lt;$O$3,Данные6[[#This Row],[Базовая сумма]]*$O$4,N276))</f>
        <v>0</v>
      </c>
      <c r="P2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6" s="2">
        <f>ABS(Данные6[[#This Row],[days_birth]])/365.2425</f>
        <v>29.788428236034964</v>
      </c>
      <c r="S2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6" s="2">
        <f>IF(Данные6[[#This Row],[ interest_rate]]&gt;$T$1,Данные6[[#This Row],[days_birth4]]*$T$2,Данные6[[#This Row],[days_birth4]])</f>
        <v>0</v>
      </c>
      <c r="U276" s="2">
        <f>IF(Данные6[[#This Row],[Проверка отказа]]="отказ",0,MAX(Данные6[[#This Row],[interest_rate]],$C$1))</f>
        <v>0</v>
      </c>
      <c r="V276" s="2">
        <f>MROUND(Данные6[[#This Row],[Минимум 20000]], 100)</f>
        <v>0</v>
      </c>
    </row>
    <row r="277" spans="1:22" x14ac:dyDescent="0.25">
      <c r="A277" s="2">
        <f>'1000_заявлений'!A271</f>
        <v>269</v>
      </c>
      <c r="B277" s="4">
        <f>VALUE(SUBSTITUTE('1000_заявлений'!B271, ".", ","))</f>
        <v>0.75167370591898997</v>
      </c>
      <c r="C277" s="4">
        <f>VALUE(SUBSTITUTE('1000_заявлений'!C271, ".", ","))</f>
        <v>1.7149893000006002E-2</v>
      </c>
      <c r="D277" s="4">
        <f>VALUE(SUBSTITUTE('1000_заявлений'!D271, ".", ","))</f>
        <v>0.53527623000000002</v>
      </c>
      <c r="E277" s="4">
        <f>VALUE(SUBSTITUTE('1000_заявлений'!E271, ".", ","))</f>
        <v>5.2870269999999997E-2</v>
      </c>
      <c r="F277" s="5">
        <f>VALUE(SUBSTITUTE('1000_заявлений'!F271, ".", ","))</f>
        <v>-5737</v>
      </c>
      <c r="G277" s="5">
        <f>VALUE(SUBSTITUTE('1000_заявлений'!G271, ".", ","))</f>
        <v>-16137</v>
      </c>
      <c r="H277" s="5">
        <f>VALUE(SUBSTITUTE('1000_заявлений'!H271, ".", ","))</f>
        <v>-3782</v>
      </c>
      <c r="I277" s="4">
        <f>VALUE(SUBSTITUTE('1000_заявлений'!I271, ".", ","))</f>
        <v>4.054E-2</v>
      </c>
      <c r="J277" s="4">
        <f>VALUE(SUBSTITUTE('1000_заявлений'!J271, ".", ","))</f>
        <v>5.8951712363725903</v>
      </c>
      <c r="K277" s="5">
        <f>VALUE(SUBSTITUTE('1000_заявлений'!K271, ".", ","))</f>
        <v>-6619</v>
      </c>
      <c r="L277" s="6">
        <f>VALUE(SUBSTITUTE('1000_заявлений'!L271, ".", ","))</f>
        <v>9121.5</v>
      </c>
      <c r="M277" s="2" t="str">
        <f>IF(Данные6[[#This Row],[proba]]&gt;$C$6, "отказ", "одобрение")</f>
        <v>отказ</v>
      </c>
      <c r="N277" s="7">
        <f>IF(Данные6[[#This Row],[proba]]&lt;$D$2,$C$2,IF(Данные6[[#This Row],[proba]]&lt;$D$3,$C$3,IF(Данные6[[#This Row],[proba]]&gt;$C$6,0,$C$4)))</f>
        <v>0</v>
      </c>
      <c r="O277" s="2">
        <f>IF(Данные6[[#This Row],[weighted_ext_score]]&gt;$O$1,MIN(Данные6[[#This Row],[Базовая сумма]]*$O$2,$C$2),IF(Данные6[[#This Row],[weighted_ext_score]]&lt;$O$3,Данные6[[#This Row],[Базовая сумма]]*$O$4,N277))</f>
        <v>0</v>
      </c>
      <c r="P2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7" s="2">
        <f>ABS(Данные6[[#This Row],[days_birth]])/365.2425</f>
        <v>44.18160537177355</v>
      </c>
      <c r="S2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7" s="2">
        <f>IF(Данные6[[#This Row],[ interest_rate]]&gt;$T$1,Данные6[[#This Row],[days_birth4]]*$T$2,Данные6[[#This Row],[days_birth4]])</f>
        <v>0</v>
      </c>
      <c r="U277" s="2">
        <f>IF(Данные6[[#This Row],[Проверка отказа]]="отказ",0,MAX(Данные6[[#This Row],[interest_rate]],$C$1))</f>
        <v>0</v>
      </c>
      <c r="V277" s="2">
        <f>MROUND(Данные6[[#This Row],[Минимум 20000]], 100)</f>
        <v>0</v>
      </c>
    </row>
    <row r="278" spans="1:22" x14ac:dyDescent="0.25">
      <c r="A278" s="2">
        <f>'1000_заявлений'!A272</f>
        <v>270</v>
      </c>
      <c r="B278" s="4">
        <f>VALUE(SUBSTITUTE('1000_заявлений'!B272, ".", ","))</f>
        <v>0.26991444252171998</v>
      </c>
      <c r="C278" s="4">
        <f>VALUE(SUBSTITUTE('1000_заявлений'!C272, ".", ","))</f>
        <v>0.580724817851897</v>
      </c>
      <c r="D278" s="4">
        <f>VALUE(SUBSTITUTE('1000_заявлений'!D272, ".", ","))</f>
        <v>0.41184854999999998</v>
      </c>
      <c r="E278" s="4">
        <f>VALUE(SUBSTITUTE('1000_заявлений'!E272, ".", ","))</f>
        <v>0.71455144999999998</v>
      </c>
      <c r="F278" s="5">
        <f>VALUE(SUBSTITUTE('1000_заявлений'!F272, ".", ","))</f>
        <v>-3819</v>
      </c>
      <c r="G278" s="5">
        <f>VALUE(SUBSTITUTE('1000_заявлений'!G272, ".", ","))</f>
        <v>-19223</v>
      </c>
      <c r="H278" s="5">
        <f>VALUE(SUBSTITUTE('1000_заявлений'!H272, ".", ","))</f>
        <v>-2692</v>
      </c>
      <c r="I278" s="4">
        <f>VALUE(SUBSTITUTE('1000_заявлений'!I272, ".", ","))</f>
        <v>4.4999999999999998E-2</v>
      </c>
      <c r="J278" s="4">
        <f>VALUE(SUBSTITUTE('1000_заявлений'!J272, ".", ","))</f>
        <v>10.6209759779781</v>
      </c>
      <c r="K278" s="5">
        <f>VALUE(SUBSTITUTE('1000_заявлений'!K272, ".", ","))</f>
        <v>-3078</v>
      </c>
      <c r="L278" s="6">
        <f>VALUE(SUBSTITUTE('1000_заявлений'!L272, ".", ","))</f>
        <v>10125</v>
      </c>
      <c r="M278" s="2" t="str">
        <f>IF(Данные6[[#This Row],[proba]]&gt;$C$6, "отказ", "одобрение")</f>
        <v>одобрение</v>
      </c>
      <c r="N278" s="7">
        <f>IF(Данные6[[#This Row],[proba]]&lt;$D$2,$C$2,IF(Данные6[[#This Row],[proba]]&lt;$D$3,$C$3,IF(Данные6[[#This Row],[proba]]&gt;$C$6,0,$C$4)))</f>
        <v>50000</v>
      </c>
      <c r="O278" s="2">
        <f>IF(Данные6[[#This Row],[weighted_ext_score]]&gt;$O$1,MIN(Данные6[[#This Row],[Базовая сумма]]*$O$2,$C$2),IF(Данные6[[#This Row],[weighted_ext_score]]&lt;$O$3,Данные6[[#This Row],[Базовая сумма]]*$O$4,N278))</f>
        <v>50000</v>
      </c>
      <c r="P2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2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72000</v>
      </c>
      <c r="R278" s="2">
        <f>ABS(Данные6[[#This Row],[days_birth]])/365.2425</f>
        <v>52.630786395340081</v>
      </c>
      <c r="S2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75600</v>
      </c>
      <c r="T278" s="2">
        <f>IF(Данные6[[#This Row],[ interest_rate]]&gt;$T$1,Данные6[[#This Row],[days_birth4]]*$T$2,Данные6[[#This Row],[days_birth4]])</f>
        <v>75600</v>
      </c>
      <c r="U278" s="2">
        <f>IF(Данные6[[#This Row],[Проверка отказа]]="отказ",0,MAX(Данные6[[#This Row],[interest_rate]],$C$1))</f>
        <v>75600</v>
      </c>
      <c r="V278" s="2">
        <f>MROUND(Данные6[[#This Row],[Минимум 20000]], 100)</f>
        <v>75600</v>
      </c>
    </row>
    <row r="279" spans="1:22" x14ac:dyDescent="0.25">
      <c r="A279" s="2">
        <f>'1000_заявлений'!A273</f>
        <v>271</v>
      </c>
      <c r="B279" s="4">
        <f>VALUE(SUBSTITUTE('1000_заявлений'!B273, ".", ","))</f>
        <v>0.34397693397940199</v>
      </c>
      <c r="C279" s="4">
        <f>VALUE(SUBSTITUTE('1000_заявлений'!C273, ".", ","))</f>
        <v>0.47292214017384399</v>
      </c>
      <c r="D279" s="4">
        <f>VALUE(SUBSTITUTE('1000_заявлений'!D273, ".", ","))</f>
        <v>0.47405130000000001</v>
      </c>
      <c r="E279" s="4">
        <f>VALUE(SUBSTITUTE('1000_заявлений'!E273, ".", ","))</f>
        <v>0.71391320000000003</v>
      </c>
      <c r="F279" s="5">
        <f>VALUE(SUBSTITUTE('1000_заявлений'!F273, ".", ","))</f>
        <v>-8436</v>
      </c>
      <c r="G279" s="5">
        <f>VALUE(SUBSTITUTE('1000_заявлений'!G273, ".", ","))</f>
        <v>-13216</v>
      </c>
      <c r="H279" s="5">
        <f>VALUE(SUBSTITUTE('1000_заявлений'!H273, ".", ","))</f>
        <v>-3498</v>
      </c>
      <c r="I279" s="4">
        <f>VALUE(SUBSTITUTE('1000_заявлений'!I273, ".", ","))</f>
        <v>7.2760000000000005E-2</v>
      </c>
      <c r="J279" s="4">
        <f>VALUE(SUBSTITUTE('1000_заявлений'!J273, ".", ","))</f>
        <v>3.0071994408637601</v>
      </c>
      <c r="K279" s="5">
        <f>VALUE(SUBSTITUTE('1000_заявлений'!K273, ".", ","))</f>
        <v>-4762</v>
      </c>
      <c r="L279" s="6">
        <f>VALUE(SUBSTITUTE('1000_заявлений'!L273, ".", ","))</f>
        <v>16371</v>
      </c>
      <c r="M279" s="2" t="str">
        <f>IF(Данные6[[#This Row],[proba]]&gt;$C$6, "отказ", "одобрение")</f>
        <v>отказ</v>
      </c>
      <c r="N279" s="7">
        <f>IF(Данные6[[#This Row],[proba]]&lt;$D$2,$C$2,IF(Данные6[[#This Row],[proba]]&lt;$D$3,$C$3,IF(Данные6[[#This Row],[proba]]&gt;$C$6,0,$C$4)))</f>
        <v>0</v>
      </c>
      <c r="O279" s="2">
        <f>IF(Данные6[[#This Row],[weighted_ext_score]]&gt;$O$1,MIN(Данные6[[#This Row],[Базовая сумма]]*$O$2,$C$2),IF(Данные6[[#This Row],[weighted_ext_score]]&lt;$O$3,Данные6[[#This Row],[Базовая сумма]]*$O$4,N279))</f>
        <v>0</v>
      </c>
      <c r="P2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79" s="2">
        <f>ABS(Данные6[[#This Row],[days_birth]])/365.2425</f>
        <v>36.184179004360118</v>
      </c>
      <c r="S2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79" s="2">
        <f>IF(Данные6[[#This Row],[ interest_rate]]&gt;$T$1,Данные6[[#This Row],[days_birth4]]*$T$2,Данные6[[#This Row],[days_birth4]])</f>
        <v>0</v>
      </c>
      <c r="U279" s="2">
        <f>IF(Данные6[[#This Row],[Проверка отказа]]="отказ",0,MAX(Данные6[[#This Row],[interest_rate]],$C$1))</f>
        <v>0</v>
      </c>
      <c r="V279" s="2">
        <f>MROUND(Данные6[[#This Row],[Минимум 20000]], 100)</f>
        <v>0</v>
      </c>
    </row>
    <row r="280" spans="1:22" x14ac:dyDescent="0.25">
      <c r="A280" s="2">
        <f>'1000_заявлений'!A274</f>
        <v>272</v>
      </c>
      <c r="B280" s="4">
        <f>VALUE(SUBSTITUTE('1000_заявлений'!B274, ".", ","))</f>
        <v>0.23835272152814099</v>
      </c>
      <c r="C280" s="4">
        <f>VALUE(SUBSTITUTE('1000_заявлений'!C274, ".", ","))</f>
        <v>0.48884237208570502</v>
      </c>
      <c r="D280" s="4">
        <f>VALUE(SUBSTITUTE('1000_заявлений'!D274, ".", ","))</f>
        <v>0.6769925</v>
      </c>
      <c r="E280" s="4">
        <f>VALUE(SUBSTITUTE('1000_заявлений'!E274, ".", ","))</f>
        <v>0.75220359999999997</v>
      </c>
      <c r="F280" s="5">
        <f>VALUE(SUBSTITUTE('1000_заявлений'!F274, ".", ","))</f>
        <v>-7600</v>
      </c>
      <c r="G280" s="5">
        <f>VALUE(SUBSTITUTE('1000_заявлений'!G274, ".", ","))</f>
        <v>-17461</v>
      </c>
      <c r="H280" s="5">
        <f>VALUE(SUBSTITUTE('1000_заявлений'!H274, ".", ","))</f>
        <v>-999</v>
      </c>
      <c r="I280" s="4">
        <f>VALUE(SUBSTITUTE('1000_заявлений'!I274, ".", ","))</f>
        <v>0.11665</v>
      </c>
      <c r="J280" s="4">
        <f>VALUE(SUBSTITUTE('1000_заявлений'!J274, ".", ","))</f>
        <v>2.8111765647518001</v>
      </c>
      <c r="K280" s="5">
        <f>VALUE(SUBSTITUTE('1000_заявлений'!K274, ".", ","))</f>
        <v>-3372</v>
      </c>
      <c r="L280" s="6">
        <f>VALUE(SUBSTITUTE('1000_заявлений'!L274, ".", ","))</f>
        <v>20997</v>
      </c>
      <c r="M280" s="2" t="str">
        <f>IF(Данные6[[#This Row],[proba]]&gt;$C$6, "отказ", "одобрение")</f>
        <v>одобрение</v>
      </c>
      <c r="N280" s="7">
        <f>IF(Данные6[[#This Row],[proba]]&lt;$D$2,$C$2,IF(Данные6[[#This Row],[proba]]&lt;$D$3,$C$3,IF(Данные6[[#This Row],[proba]]&gt;$C$6,0,$C$4)))</f>
        <v>50000</v>
      </c>
      <c r="O280" s="2">
        <f>IF(Данные6[[#This Row],[weighted_ext_score]]&gt;$O$1,MIN(Данные6[[#This Row],[Базовая сумма]]*$O$2,$C$2),IF(Данные6[[#This Row],[weighted_ext_score]]&lt;$O$3,Данные6[[#This Row],[Базовая сумма]]*$O$4,N280))</f>
        <v>40000</v>
      </c>
      <c r="P2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280" s="2">
        <f>ABS(Данные6[[#This Row],[days_birth]])/365.2425</f>
        <v>47.806594249026332</v>
      </c>
      <c r="S2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280" s="2">
        <f>IF(Данные6[[#This Row],[ interest_rate]]&gt;$T$1,Данные6[[#This Row],[days_birth4]]*$T$2,Данные6[[#This Row],[days_birth4]])</f>
        <v>48000</v>
      </c>
      <c r="U280" s="2">
        <f>IF(Данные6[[#This Row],[Проверка отказа]]="отказ",0,MAX(Данные6[[#This Row],[interest_rate]],$C$1))</f>
        <v>48000</v>
      </c>
      <c r="V280" s="2">
        <f>MROUND(Данные6[[#This Row],[Минимум 20000]], 100)</f>
        <v>48000</v>
      </c>
    </row>
    <row r="281" spans="1:22" x14ac:dyDescent="0.25">
      <c r="A281" s="2">
        <f>'1000_заявлений'!A275</f>
        <v>273</v>
      </c>
      <c r="B281" s="4">
        <f>VALUE(SUBSTITUTE('1000_заявлений'!B275, ".", ","))</f>
        <v>0.38450060081287502</v>
      </c>
      <c r="C281" s="4">
        <f>VALUE(SUBSTITUTE('1000_заявлений'!C275, ".", ","))</f>
        <v>0.32961692373541002</v>
      </c>
      <c r="D281" s="4">
        <f>VALUE(SUBSTITUTE('1000_заявлений'!D275, ".", ","))</f>
        <v>0.50828700000000004</v>
      </c>
      <c r="E281" s="4">
        <f>VALUE(SUBSTITUTE('1000_заявлений'!E275, ".", ","))</f>
        <v>0.44943705</v>
      </c>
      <c r="F281" s="5">
        <f>VALUE(SUBSTITUTE('1000_заявлений'!F275, ".", ","))</f>
        <v>-6075</v>
      </c>
      <c r="G281" s="5">
        <f>VALUE(SUBSTITUTE('1000_заявлений'!G275, ".", ","))</f>
        <v>-23955</v>
      </c>
      <c r="H281" s="5">
        <f>VALUE(SUBSTITUTE('1000_заявлений'!H275, ".", ","))</f>
        <v>-4931</v>
      </c>
      <c r="I281" s="4">
        <f>VALUE(SUBSTITUTE('1000_заявлений'!I275, ".", ","))</f>
        <v>0.369466666666666</v>
      </c>
      <c r="J281" s="4">
        <f>VALUE(SUBSTITUTE('1000_заявлений'!J275, ".", ","))</f>
        <v>16.188849297297001</v>
      </c>
      <c r="K281" s="5">
        <f>VALUE(SUBSTITUTE('1000_заявлений'!K275, ".", ","))</f>
        <v>365243</v>
      </c>
      <c r="L281" s="6">
        <f>VALUE(SUBSTITUTE('1000_заявлений'!L275, ".", ","))</f>
        <v>24939</v>
      </c>
      <c r="M281" s="2" t="str">
        <f>IF(Данные6[[#This Row],[proba]]&gt;$C$6, "отказ", "одобрение")</f>
        <v>отказ</v>
      </c>
      <c r="N281" s="7">
        <f>IF(Данные6[[#This Row],[proba]]&lt;$D$2,$C$2,IF(Данные6[[#This Row],[proba]]&lt;$D$3,$C$3,IF(Данные6[[#This Row],[proba]]&gt;$C$6,0,$C$4)))</f>
        <v>0</v>
      </c>
      <c r="O281" s="2">
        <f>IF(Данные6[[#This Row],[weighted_ext_score]]&gt;$O$1,MIN(Данные6[[#This Row],[Базовая сумма]]*$O$2,$C$2),IF(Данные6[[#This Row],[weighted_ext_score]]&lt;$O$3,Данные6[[#This Row],[Базовая сумма]]*$O$4,N281))</f>
        <v>0</v>
      </c>
      <c r="P2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1" s="2">
        <f>ABS(Данные6[[#This Row],[days_birth]])/365.2425</f>
        <v>65.5865623524097</v>
      </c>
      <c r="S2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1" s="2">
        <f>IF(Данные6[[#This Row],[ interest_rate]]&gt;$T$1,Данные6[[#This Row],[days_birth4]]*$T$2,Данные6[[#This Row],[days_birth4]])</f>
        <v>0</v>
      </c>
      <c r="U281" s="2">
        <f>IF(Данные6[[#This Row],[Проверка отказа]]="отказ",0,MAX(Данные6[[#This Row],[interest_rate]],$C$1))</f>
        <v>0</v>
      </c>
      <c r="V281" s="2">
        <f>MROUND(Данные6[[#This Row],[Минимум 20000]], 100)</f>
        <v>0</v>
      </c>
    </row>
    <row r="282" spans="1:22" x14ac:dyDescent="0.25">
      <c r="A282" s="2">
        <f>'1000_заявлений'!A276</f>
        <v>274</v>
      </c>
      <c r="B282" s="4">
        <f>VALUE(SUBSTITUTE('1000_заявлений'!B276, ".", ","))</f>
        <v>0.44486414918952399</v>
      </c>
      <c r="C282" s="4">
        <f>VALUE(SUBSTITUTE('1000_заявлений'!C276, ".", ","))</f>
        <v>0.39326798497272403</v>
      </c>
      <c r="D282" s="4">
        <f>VALUE(SUBSTITUTE('1000_заявлений'!D276, ".", ","))</f>
        <v>0.49386287000000001</v>
      </c>
      <c r="E282" s="4">
        <f>VALUE(SUBSTITUTE('1000_заявлений'!E276, ".", ","))</f>
        <v>0.66174495</v>
      </c>
      <c r="F282" s="5">
        <f>VALUE(SUBSTITUTE('1000_заявлений'!F276, ".", ","))</f>
        <v>-2162</v>
      </c>
      <c r="G282" s="5">
        <f>VALUE(SUBSTITUTE('1000_заявлений'!G276, ".", ","))</f>
        <v>-10353</v>
      </c>
      <c r="H282" s="5">
        <f>VALUE(SUBSTITUTE('1000_заявлений'!H276, ".", ","))</f>
        <v>-2978</v>
      </c>
      <c r="I282" s="4">
        <f>VALUE(SUBSTITUTE('1000_заявлений'!I276, ".", ","))</f>
        <v>0.18163333333333301</v>
      </c>
      <c r="J282" s="4">
        <f>VALUE(SUBSTITUTE('1000_заявлений'!J276, ".", ","))</f>
        <v>0.37912732390679099</v>
      </c>
      <c r="K282" s="5">
        <f>VALUE(SUBSTITUTE('1000_заявлений'!K276, ".", ","))</f>
        <v>-1308</v>
      </c>
      <c r="L282" s="6">
        <f>VALUE(SUBSTITUTE('1000_заявлений'!L276, ".", ","))</f>
        <v>49041</v>
      </c>
      <c r="M282" s="2" t="str">
        <f>IF(Данные6[[#This Row],[proba]]&gt;$C$6, "отказ", "одобрение")</f>
        <v>отказ</v>
      </c>
      <c r="N282" s="7">
        <f>IF(Данные6[[#This Row],[proba]]&lt;$D$2,$C$2,IF(Данные6[[#This Row],[proba]]&lt;$D$3,$C$3,IF(Данные6[[#This Row],[proba]]&gt;$C$6,0,$C$4)))</f>
        <v>0</v>
      </c>
      <c r="O282" s="2">
        <f>IF(Данные6[[#This Row],[weighted_ext_score]]&gt;$O$1,MIN(Данные6[[#This Row],[Базовая сумма]]*$O$2,$C$2),IF(Данные6[[#This Row],[weighted_ext_score]]&lt;$O$3,Данные6[[#This Row],[Базовая сумма]]*$O$4,N282))</f>
        <v>0</v>
      </c>
      <c r="P2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2" s="2">
        <f>ABS(Данные6[[#This Row],[days_birth]])/365.2425</f>
        <v>28.34555124335202</v>
      </c>
      <c r="S2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2" s="2">
        <f>IF(Данные6[[#This Row],[ interest_rate]]&gt;$T$1,Данные6[[#This Row],[days_birth4]]*$T$2,Данные6[[#This Row],[days_birth4]])</f>
        <v>0</v>
      </c>
      <c r="U282" s="2">
        <f>IF(Данные6[[#This Row],[Проверка отказа]]="отказ",0,MAX(Данные6[[#This Row],[interest_rate]],$C$1))</f>
        <v>0</v>
      </c>
      <c r="V282" s="2">
        <f>MROUND(Данные6[[#This Row],[Минимум 20000]], 100)</f>
        <v>0</v>
      </c>
    </row>
    <row r="283" spans="1:22" x14ac:dyDescent="0.25">
      <c r="A283" s="2">
        <f>'1000_заявлений'!A277</f>
        <v>275</v>
      </c>
      <c r="B283" s="4">
        <f>VALUE(SUBSTITUTE('1000_заявлений'!B277, ".", ","))</f>
        <v>0.57364740252129898</v>
      </c>
      <c r="C283" s="4">
        <f>VALUE(SUBSTITUTE('1000_заявлений'!C277, ".", ","))</f>
        <v>0.16799955226501101</v>
      </c>
      <c r="D283" s="4">
        <f>VALUE(SUBSTITUTE('1000_заявлений'!D277, ".", ","))</f>
        <v>0.53527623000000002</v>
      </c>
      <c r="E283" s="4">
        <f>VALUE(SUBSTITUTE('1000_заявлений'!E277, ".", ","))</f>
        <v>0.51791469999999995</v>
      </c>
      <c r="F283" s="5">
        <f>VALUE(SUBSTITUTE('1000_заявлений'!F277, ".", ","))</f>
        <v>-5160</v>
      </c>
      <c r="G283" s="5">
        <f>VALUE(SUBSTITUTE('1000_заявлений'!G277, ".", ","))</f>
        <v>-13333</v>
      </c>
      <c r="H283" s="5">
        <f>VALUE(SUBSTITUTE('1000_заявлений'!H277, ".", ","))</f>
        <v>-4411</v>
      </c>
      <c r="I283" s="4">
        <f>VALUE(SUBSTITUTE('1000_заявлений'!I277, ".", ","))</f>
        <v>0.18126666666666599</v>
      </c>
      <c r="J283" s="4">
        <f>VALUE(SUBSTITUTE('1000_заявлений'!J277, ".", ","))</f>
        <v>0.91956613009964705</v>
      </c>
      <c r="K283" s="5">
        <f>VALUE(SUBSTITUTE('1000_заявлений'!K277, ".", ","))</f>
        <v>-1366</v>
      </c>
      <c r="L283" s="6">
        <f>VALUE(SUBSTITUTE('1000_заявлений'!L277, ".", ","))</f>
        <v>24471</v>
      </c>
      <c r="M283" s="2" t="str">
        <f>IF(Данные6[[#This Row],[proba]]&gt;$C$6, "отказ", "одобрение")</f>
        <v>отказ</v>
      </c>
      <c r="N283" s="7">
        <f>IF(Данные6[[#This Row],[proba]]&lt;$D$2,$C$2,IF(Данные6[[#This Row],[proba]]&lt;$D$3,$C$3,IF(Данные6[[#This Row],[proba]]&gt;$C$6,0,$C$4)))</f>
        <v>0</v>
      </c>
      <c r="O283" s="2">
        <f>IF(Данные6[[#This Row],[weighted_ext_score]]&gt;$O$1,MIN(Данные6[[#This Row],[Базовая сумма]]*$O$2,$C$2),IF(Данные6[[#This Row],[weighted_ext_score]]&lt;$O$3,Данные6[[#This Row],[Базовая сумма]]*$O$4,N283))</f>
        <v>0</v>
      </c>
      <c r="P2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3" s="2">
        <f>ABS(Данные6[[#This Row],[days_birth]])/365.2425</f>
        <v>36.504514124177774</v>
      </c>
      <c r="S2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3" s="2">
        <f>IF(Данные6[[#This Row],[ interest_rate]]&gt;$T$1,Данные6[[#This Row],[days_birth4]]*$T$2,Данные6[[#This Row],[days_birth4]])</f>
        <v>0</v>
      </c>
      <c r="U283" s="2">
        <f>IF(Данные6[[#This Row],[Проверка отказа]]="отказ",0,MAX(Данные6[[#This Row],[interest_rate]],$C$1))</f>
        <v>0</v>
      </c>
      <c r="V283" s="2">
        <f>MROUND(Данные6[[#This Row],[Минимум 20000]], 100)</f>
        <v>0</v>
      </c>
    </row>
    <row r="284" spans="1:22" x14ac:dyDescent="0.25">
      <c r="A284" s="2">
        <f>'1000_заявлений'!A278</f>
        <v>276</v>
      </c>
      <c r="B284" s="4">
        <f>VALUE(SUBSTITUTE('1000_заявлений'!B278, ".", ","))</f>
        <v>0.55859367933231596</v>
      </c>
      <c r="C284" s="4">
        <f>VALUE(SUBSTITUTE('1000_заявлений'!C278, ".", ","))</f>
        <v>0.36702133288359801</v>
      </c>
      <c r="D284" s="4">
        <f>VALUE(SUBSTITUTE('1000_заявлений'!D278, ".", ","))</f>
        <v>0.26364680000000001</v>
      </c>
      <c r="E284" s="4">
        <f>VALUE(SUBSTITUTE('1000_заявлений'!E278, ".", ","))</f>
        <v>0.68722439999999996</v>
      </c>
      <c r="F284" s="5">
        <f>VALUE(SUBSTITUTE('1000_заявлений'!F278, ".", ","))</f>
        <v>-4069</v>
      </c>
      <c r="G284" s="5">
        <f>VALUE(SUBSTITUTE('1000_заявлений'!G278, ".", ","))</f>
        <v>-9332</v>
      </c>
      <c r="H284" s="5">
        <f>VALUE(SUBSTITUTE('1000_заявлений'!H278, ".", ","))</f>
        <v>-1982</v>
      </c>
      <c r="I284" s="4">
        <f>VALUE(SUBSTITUTE('1000_заявлений'!I278, ".", ","))</f>
        <v>0.13993589743589699</v>
      </c>
      <c r="J284" s="4">
        <f>VALUE(SUBSTITUTE('1000_заявлений'!J278, ".", ","))</f>
        <v>3.0223822116023502</v>
      </c>
      <c r="K284" s="5">
        <f>VALUE(SUBSTITUTE('1000_заявлений'!K278, ".", ","))</f>
        <v>-873</v>
      </c>
      <c r="L284" s="6">
        <f>VALUE(SUBSTITUTE('1000_заявлений'!L278, ".", ","))</f>
        <v>49117.5</v>
      </c>
      <c r="M284" s="2" t="str">
        <f>IF(Данные6[[#This Row],[proba]]&gt;$C$6, "отказ", "одобрение")</f>
        <v>отказ</v>
      </c>
      <c r="N284" s="7">
        <f>IF(Данные6[[#This Row],[proba]]&lt;$D$2,$C$2,IF(Данные6[[#This Row],[proba]]&lt;$D$3,$C$3,IF(Данные6[[#This Row],[proba]]&gt;$C$6,0,$C$4)))</f>
        <v>0</v>
      </c>
      <c r="O284" s="2">
        <f>IF(Данные6[[#This Row],[weighted_ext_score]]&gt;$O$1,MIN(Данные6[[#This Row],[Базовая сумма]]*$O$2,$C$2),IF(Данные6[[#This Row],[weighted_ext_score]]&lt;$O$3,Данные6[[#This Row],[Базовая сумма]]*$O$4,N284))</f>
        <v>0</v>
      </c>
      <c r="P2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4" s="2">
        <f>ABS(Данные6[[#This Row],[days_birth]])/365.2425</f>
        <v>25.550148189216753</v>
      </c>
      <c r="S2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4" s="2">
        <f>IF(Данные6[[#This Row],[ interest_rate]]&gt;$T$1,Данные6[[#This Row],[days_birth4]]*$T$2,Данные6[[#This Row],[days_birth4]])</f>
        <v>0</v>
      </c>
      <c r="U284" s="2">
        <f>IF(Данные6[[#This Row],[Проверка отказа]]="отказ",0,MAX(Данные6[[#This Row],[interest_rate]],$C$1))</f>
        <v>0</v>
      </c>
      <c r="V284" s="2">
        <f>MROUND(Данные6[[#This Row],[Минимум 20000]], 100)</f>
        <v>0</v>
      </c>
    </row>
    <row r="285" spans="1:22" x14ac:dyDescent="0.25">
      <c r="A285" s="2">
        <f>'1000_заявлений'!A279</f>
        <v>277</v>
      </c>
      <c r="B285" s="4">
        <f>VALUE(SUBSTITUTE('1000_заявлений'!B279, ".", ","))</f>
        <v>0.32447058846337801</v>
      </c>
      <c r="C285" s="4">
        <f>VALUE(SUBSTITUTE('1000_заявлений'!C279, ".", ","))</f>
        <v>0.49387864183031299</v>
      </c>
      <c r="D285" s="4">
        <f>VALUE(SUBSTITUTE('1000_заявлений'!D279, ".", ","))</f>
        <v>0.59023329999999996</v>
      </c>
      <c r="E285" s="4">
        <f>VALUE(SUBSTITUTE('1000_заявлений'!E279, ".", ","))</f>
        <v>0.51926315000000001</v>
      </c>
      <c r="F285" s="5">
        <f>VALUE(SUBSTITUTE('1000_заявлений'!F279, ".", ","))</f>
        <v>-12297</v>
      </c>
      <c r="G285" s="5">
        <f>VALUE(SUBSTITUTE('1000_заявлений'!G279, ".", ","))</f>
        <v>-18244</v>
      </c>
      <c r="H285" s="5">
        <f>VALUE(SUBSTITUTE('1000_заявлений'!H279, ".", ","))</f>
        <v>-1785</v>
      </c>
      <c r="I285" s="4">
        <f>VALUE(SUBSTITUTE('1000_заявлений'!I279, ".", ","))</f>
        <v>0.100244444444444</v>
      </c>
      <c r="J285" s="4">
        <f>VALUE(SUBSTITUTE('1000_заявлений'!J279, ".", ","))</f>
        <v>4.6841725127891403</v>
      </c>
      <c r="K285" s="5">
        <f>VALUE(SUBSTITUTE('1000_заявлений'!K279, ".", ","))</f>
        <v>-2419</v>
      </c>
      <c r="L285" s="6">
        <f>VALUE(SUBSTITUTE('1000_заявлений'!L279, ".", ","))</f>
        <v>20299.5</v>
      </c>
      <c r="M285" s="2" t="str">
        <f>IF(Данные6[[#This Row],[proba]]&gt;$C$6, "отказ", "одобрение")</f>
        <v>отказ</v>
      </c>
      <c r="N285" s="7">
        <f>IF(Данные6[[#This Row],[proba]]&lt;$D$2,$C$2,IF(Данные6[[#This Row],[proba]]&lt;$D$3,$C$3,IF(Данные6[[#This Row],[proba]]&gt;$C$6,0,$C$4)))</f>
        <v>0</v>
      </c>
      <c r="O285" s="2">
        <f>IF(Данные6[[#This Row],[weighted_ext_score]]&gt;$O$1,MIN(Данные6[[#This Row],[Базовая сумма]]*$O$2,$C$2),IF(Данные6[[#This Row],[weighted_ext_score]]&lt;$O$3,Данные6[[#This Row],[Базовая сумма]]*$O$4,N285))</f>
        <v>0</v>
      </c>
      <c r="P2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5" s="2">
        <f>ABS(Данные6[[#This Row],[days_birth]])/365.2425</f>
        <v>49.95037543549833</v>
      </c>
      <c r="S2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5" s="2">
        <f>IF(Данные6[[#This Row],[ interest_rate]]&gt;$T$1,Данные6[[#This Row],[days_birth4]]*$T$2,Данные6[[#This Row],[days_birth4]])</f>
        <v>0</v>
      </c>
      <c r="U285" s="2">
        <f>IF(Данные6[[#This Row],[Проверка отказа]]="отказ",0,MAX(Данные6[[#This Row],[interest_rate]],$C$1))</f>
        <v>0</v>
      </c>
      <c r="V285" s="2">
        <f>MROUND(Данные6[[#This Row],[Минимум 20000]], 100)</f>
        <v>0</v>
      </c>
    </row>
    <row r="286" spans="1:22" x14ac:dyDescent="0.25">
      <c r="A286" s="2">
        <f>'1000_заявлений'!A280</f>
        <v>278</v>
      </c>
      <c r="B286" s="4">
        <f>VALUE(SUBSTITUTE('1000_заявлений'!B280, ".", ","))</f>
        <v>0.14944493382770099</v>
      </c>
      <c r="C286" s="4">
        <f>VALUE(SUBSTITUTE('1000_заявлений'!C280, ".", ","))</f>
        <v>0.51732531286018901</v>
      </c>
      <c r="D286" s="4">
        <f>VALUE(SUBSTITUTE('1000_заявлений'!D280, ".", ","))</f>
        <v>0.81391745999999998</v>
      </c>
      <c r="E286" s="4">
        <f>VALUE(SUBSTITUTE('1000_заявлений'!E280, ".", ","))</f>
        <v>0.68734660000000003</v>
      </c>
      <c r="F286" s="5">
        <f>VALUE(SUBSTITUTE('1000_заявлений'!F280, ".", ","))</f>
        <v>-15425</v>
      </c>
      <c r="G286" s="5">
        <f>VALUE(SUBSTITUTE('1000_заявлений'!G280, ".", ","))</f>
        <v>-23137</v>
      </c>
      <c r="H286" s="5">
        <f>VALUE(SUBSTITUTE('1000_заявлений'!H280, ".", ","))</f>
        <v>-4316</v>
      </c>
      <c r="I286" s="4">
        <f>VALUE(SUBSTITUTE('1000_заявлений'!I280, ".", ","))</f>
        <v>0.3528</v>
      </c>
      <c r="J286" s="4">
        <f>VALUE(SUBSTITUTE('1000_заявлений'!J280, ".", ","))</f>
        <v>5.8005838567080898</v>
      </c>
      <c r="K286" s="5">
        <f>VALUE(SUBSTITUTE('1000_заявлений'!K280, ".", ","))</f>
        <v>365243</v>
      </c>
      <c r="L286" s="6">
        <f>VALUE(SUBSTITUTE('1000_заявлений'!L280, ".", ","))</f>
        <v>23814</v>
      </c>
      <c r="M286" s="2" t="str">
        <f>IF(Данные6[[#This Row],[proba]]&gt;$C$6, "отказ", "одобрение")</f>
        <v>одобрение</v>
      </c>
      <c r="N286" s="7">
        <f>IF(Данные6[[#This Row],[proba]]&lt;$D$2,$C$2,IF(Данные6[[#This Row],[proba]]&lt;$D$3,$C$3,IF(Данные6[[#This Row],[proba]]&gt;$C$6,0,$C$4)))</f>
        <v>200000</v>
      </c>
      <c r="O286" s="2">
        <f>IF(Данные6[[#This Row],[weighted_ext_score]]&gt;$O$1,MIN(Данные6[[#This Row],[Базовая сумма]]*$O$2,$C$2),IF(Данные6[[#This Row],[weighted_ext_score]]&lt;$O$3,Данные6[[#This Row],[Базовая сумма]]*$O$4,N286))</f>
        <v>200000</v>
      </c>
      <c r="P2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2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286" s="2">
        <f>ABS(Данные6[[#This Row],[days_birth]])/365.2425</f>
        <v>63.346954420693102</v>
      </c>
      <c r="S2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286" s="2">
        <f>IF(Данные6[[#This Row],[ interest_rate]]&gt;$T$1,Данные6[[#This Row],[days_birth4]]*$T$2,Данные6[[#This Row],[days_birth4]])</f>
        <v>210000</v>
      </c>
      <c r="U286" s="2">
        <f>IF(Данные6[[#This Row],[Проверка отказа]]="отказ",0,MAX(Данные6[[#This Row],[interest_rate]],$C$1))</f>
        <v>210000</v>
      </c>
      <c r="V286" s="2">
        <f>MROUND(Данные6[[#This Row],[Минимум 20000]], 100)</f>
        <v>210000</v>
      </c>
    </row>
    <row r="287" spans="1:22" x14ac:dyDescent="0.25">
      <c r="A287" s="2">
        <f>'1000_заявлений'!A281</f>
        <v>279</v>
      </c>
      <c r="B287" s="4">
        <f>VALUE(SUBSTITUTE('1000_заявлений'!B281, ".", ","))</f>
        <v>0.417468995064179</v>
      </c>
      <c r="C287" s="4">
        <f>VALUE(SUBSTITUTE('1000_заявлений'!C281, ".", ","))</f>
        <v>0.37527191672344801</v>
      </c>
      <c r="D287" s="4">
        <f>VALUE(SUBSTITUTE('1000_заявлений'!D281, ".", ","))</f>
        <v>0.77389569999999996</v>
      </c>
      <c r="E287" s="4">
        <f>VALUE(SUBSTITUTE('1000_заявлений'!E281, ".", ","))</f>
        <v>0.29404205</v>
      </c>
      <c r="F287" s="5">
        <f>VALUE(SUBSTITUTE('1000_заявлений'!F281, ".", ","))</f>
        <v>-10232</v>
      </c>
      <c r="G287" s="5">
        <f>VALUE(SUBSTITUTE('1000_заявлений'!G281, ".", ","))</f>
        <v>-18047</v>
      </c>
      <c r="H287" s="5">
        <f>VALUE(SUBSTITUTE('1000_заявлений'!H281, ".", ","))</f>
        <v>-1601</v>
      </c>
      <c r="I287" s="4">
        <f>VALUE(SUBSTITUTE('1000_заявлений'!I281, ".", ","))</f>
        <v>0.20353333333333301</v>
      </c>
      <c r="J287" s="4">
        <f>VALUE(SUBSTITUTE('1000_заявлений'!J281, ".", ","))</f>
        <v>3.7629321167623702</v>
      </c>
      <c r="K287" s="5">
        <f>VALUE(SUBSTITUTE('1000_заявлений'!K281, ".", ","))</f>
        <v>-2231</v>
      </c>
      <c r="L287" s="6">
        <f>VALUE(SUBSTITUTE('1000_заявлений'!L281, ".", ","))</f>
        <v>13738.5</v>
      </c>
      <c r="M287" s="2" t="str">
        <f>IF(Данные6[[#This Row],[proba]]&gt;$C$6, "отказ", "одобрение")</f>
        <v>отказ</v>
      </c>
      <c r="N287" s="7">
        <f>IF(Данные6[[#This Row],[proba]]&lt;$D$2,$C$2,IF(Данные6[[#This Row],[proba]]&lt;$D$3,$C$3,IF(Данные6[[#This Row],[proba]]&gt;$C$6,0,$C$4)))</f>
        <v>0</v>
      </c>
      <c r="O287" s="2">
        <f>IF(Данные6[[#This Row],[weighted_ext_score]]&gt;$O$1,MIN(Данные6[[#This Row],[Базовая сумма]]*$O$2,$C$2),IF(Данные6[[#This Row],[weighted_ext_score]]&lt;$O$3,Данные6[[#This Row],[Базовая сумма]]*$O$4,N287))</f>
        <v>0</v>
      </c>
      <c r="P2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7" s="2">
        <f>ABS(Данные6[[#This Row],[days_birth]])/365.2425</f>
        <v>49.411007755121595</v>
      </c>
      <c r="S2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7" s="2">
        <f>IF(Данные6[[#This Row],[ interest_rate]]&gt;$T$1,Данные6[[#This Row],[days_birth4]]*$T$2,Данные6[[#This Row],[days_birth4]])</f>
        <v>0</v>
      </c>
      <c r="U287" s="2">
        <f>IF(Данные6[[#This Row],[Проверка отказа]]="отказ",0,MAX(Данные6[[#This Row],[interest_rate]],$C$1))</f>
        <v>0</v>
      </c>
      <c r="V287" s="2">
        <f>MROUND(Данные6[[#This Row],[Минимум 20000]], 100)</f>
        <v>0</v>
      </c>
    </row>
    <row r="288" spans="1:22" x14ac:dyDescent="0.25">
      <c r="A288" s="2">
        <f>'1000_заявлений'!A282</f>
        <v>280</v>
      </c>
      <c r="B288" s="4">
        <f>VALUE(SUBSTITUTE('1000_заявлений'!B282, ".", ","))</f>
        <v>0.83968405819665004</v>
      </c>
      <c r="C288" s="4">
        <f>VALUE(SUBSTITUTE('1000_заявлений'!C282, ".", ","))</f>
        <v>0.13183219706853799</v>
      </c>
      <c r="D288" s="4">
        <f>VALUE(SUBSTITUTE('1000_заявлений'!D282, ".", ","))</f>
        <v>0.30620229999999998</v>
      </c>
      <c r="E288" s="4">
        <f>VALUE(SUBSTITUTE('1000_заявлений'!E282, ".", ","))</f>
        <v>6.5014959999999997E-2</v>
      </c>
      <c r="F288" s="5">
        <f>VALUE(SUBSTITUTE('1000_заявлений'!F282, ".", ","))</f>
        <v>-810</v>
      </c>
      <c r="G288" s="5">
        <f>VALUE(SUBSTITUTE('1000_заявлений'!G282, ".", ","))</f>
        <v>-12285</v>
      </c>
      <c r="H288" s="5">
        <f>VALUE(SUBSTITUTE('1000_заявлений'!H282, ".", ","))</f>
        <v>-4646</v>
      </c>
      <c r="I288" s="4">
        <f>VALUE(SUBSTITUTE('1000_заявлений'!I282, ".", ","))</f>
        <v>0.231625</v>
      </c>
      <c r="J288" s="4">
        <f>VALUE(SUBSTITUTE('1000_заявлений'!J282, ".", ","))</f>
        <v>2.5880350924250002</v>
      </c>
      <c r="K288" s="5">
        <f>VALUE(SUBSTITUTE('1000_заявлений'!K282, ".", ","))</f>
        <v>-467</v>
      </c>
      <c r="L288" s="6">
        <f>VALUE(SUBSTITUTE('1000_заявлений'!L282, ".", ","))</f>
        <v>41692.5</v>
      </c>
      <c r="M288" s="2" t="str">
        <f>IF(Данные6[[#This Row],[proba]]&gt;$C$6, "отказ", "одобрение")</f>
        <v>отказ</v>
      </c>
      <c r="N288" s="7">
        <f>IF(Данные6[[#This Row],[proba]]&lt;$D$2,$C$2,IF(Данные6[[#This Row],[proba]]&lt;$D$3,$C$3,IF(Данные6[[#This Row],[proba]]&gt;$C$6,0,$C$4)))</f>
        <v>0</v>
      </c>
      <c r="O288" s="2">
        <f>IF(Данные6[[#This Row],[weighted_ext_score]]&gt;$O$1,MIN(Данные6[[#This Row],[Базовая сумма]]*$O$2,$C$2),IF(Данные6[[#This Row],[weighted_ext_score]]&lt;$O$3,Данные6[[#This Row],[Базовая сумма]]*$O$4,N288))</f>
        <v>0</v>
      </c>
      <c r="P2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8" s="2">
        <f>ABS(Данные6[[#This Row],[days_birth]])/365.2425</f>
        <v>33.635187580853817</v>
      </c>
      <c r="S2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8" s="2">
        <f>IF(Данные6[[#This Row],[ interest_rate]]&gt;$T$1,Данные6[[#This Row],[days_birth4]]*$T$2,Данные6[[#This Row],[days_birth4]])</f>
        <v>0</v>
      </c>
      <c r="U288" s="2">
        <f>IF(Данные6[[#This Row],[Проверка отказа]]="отказ",0,MAX(Данные6[[#This Row],[interest_rate]],$C$1))</f>
        <v>0</v>
      </c>
      <c r="V288" s="2">
        <f>MROUND(Данные6[[#This Row],[Минимум 20000]], 100)</f>
        <v>0</v>
      </c>
    </row>
    <row r="289" spans="1:22" x14ac:dyDescent="0.25">
      <c r="A289" s="2">
        <f>'1000_заявлений'!A283</f>
        <v>281</v>
      </c>
      <c r="B289" s="4">
        <f>VALUE(SUBSTITUTE('1000_заявлений'!B283, ".", ","))</f>
        <v>0.56983138755842</v>
      </c>
      <c r="C289" s="4">
        <f>VALUE(SUBSTITUTE('1000_заявлений'!C283, ".", ","))</f>
        <v>0.32295998407134102</v>
      </c>
      <c r="D289" s="4">
        <f>VALUE(SUBSTITUTE('1000_заявлений'!D283, ".", ","))</f>
        <v>0.38079967999999997</v>
      </c>
      <c r="E289" s="4">
        <f>VALUE(SUBSTITUTE('1000_заявлений'!E283, ".", ","))</f>
        <v>0.57105744000000003</v>
      </c>
      <c r="F289" s="5">
        <f>VALUE(SUBSTITUTE('1000_заявлений'!F283, ".", ","))</f>
        <v>-3548</v>
      </c>
      <c r="G289" s="5">
        <f>VALUE(SUBSTITUTE('1000_заявлений'!G283, ".", ","))</f>
        <v>-16973</v>
      </c>
      <c r="H289" s="5">
        <f>VALUE(SUBSTITUTE('1000_заявлений'!H283, ".", ","))</f>
        <v>-505</v>
      </c>
      <c r="I289" s="4">
        <f>VALUE(SUBSTITUTE('1000_заявлений'!I283, ".", ","))</f>
        <v>0.18275</v>
      </c>
      <c r="J289" s="4">
        <f>VALUE(SUBSTITUTE('1000_заявлений'!J283, ".", ","))</f>
        <v>1.55972200073934</v>
      </c>
      <c r="K289" s="5">
        <f>VALUE(SUBSTITUTE('1000_заявлений'!K283, ".", ","))</f>
        <v>-4152</v>
      </c>
      <c r="L289" s="6">
        <f>VALUE(SUBSTITUTE('1000_заявлений'!L283, ".", ","))</f>
        <v>26316</v>
      </c>
      <c r="M289" s="2" t="str">
        <f>IF(Данные6[[#This Row],[proba]]&gt;$C$6, "отказ", "одобрение")</f>
        <v>отказ</v>
      </c>
      <c r="N289" s="7">
        <f>IF(Данные6[[#This Row],[proba]]&lt;$D$2,$C$2,IF(Данные6[[#This Row],[proba]]&lt;$D$3,$C$3,IF(Данные6[[#This Row],[proba]]&gt;$C$6,0,$C$4)))</f>
        <v>0</v>
      </c>
      <c r="O289" s="2">
        <f>IF(Данные6[[#This Row],[weighted_ext_score]]&gt;$O$1,MIN(Данные6[[#This Row],[Базовая сумма]]*$O$2,$C$2),IF(Данные6[[#This Row],[weighted_ext_score]]&lt;$O$3,Данные6[[#This Row],[Базовая сумма]]*$O$4,N289))</f>
        <v>0</v>
      </c>
      <c r="P2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89" s="2">
        <f>ABS(Данные6[[#This Row],[days_birth]])/365.2425</f>
        <v>46.470495629615939</v>
      </c>
      <c r="S2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89" s="2">
        <f>IF(Данные6[[#This Row],[ interest_rate]]&gt;$T$1,Данные6[[#This Row],[days_birth4]]*$T$2,Данные6[[#This Row],[days_birth4]])</f>
        <v>0</v>
      </c>
      <c r="U289" s="2">
        <f>IF(Данные6[[#This Row],[Проверка отказа]]="отказ",0,MAX(Данные6[[#This Row],[interest_rate]],$C$1))</f>
        <v>0</v>
      </c>
      <c r="V289" s="2">
        <f>MROUND(Данные6[[#This Row],[Минимум 20000]], 100)</f>
        <v>0</v>
      </c>
    </row>
    <row r="290" spans="1:22" x14ac:dyDescent="0.25">
      <c r="A290" s="2">
        <f>'1000_заявлений'!A284</f>
        <v>282</v>
      </c>
      <c r="B290" s="4">
        <f>VALUE(SUBSTITUTE('1000_заявлений'!B284, ".", ","))</f>
        <v>0.27978635030445698</v>
      </c>
      <c r="C290" s="4">
        <f>VALUE(SUBSTITUTE('1000_заявлений'!C284, ".", ","))</f>
        <v>0.46982169465214102</v>
      </c>
      <c r="D290" s="4">
        <f>VALUE(SUBSTITUTE('1000_заявлений'!D284, ".", ","))</f>
        <v>0.73941179999999995</v>
      </c>
      <c r="E290" s="4">
        <f>VALUE(SUBSTITUTE('1000_заявлений'!E284, ".", ","))</f>
        <v>0.62397130000000001</v>
      </c>
      <c r="F290" s="5">
        <f>VALUE(SUBSTITUTE('1000_заявлений'!F284, ".", ","))</f>
        <v>-10024</v>
      </c>
      <c r="G290" s="5">
        <f>VALUE(SUBSTITUTE('1000_заявлений'!G284, ".", ","))</f>
        <v>-14769</v>
      </c>
      <c r="H290" s="5">
        <f>VALUE(SUBSTITUTE('1000_заявлений'!H284, ".", ","))</f>
        <v>-293</v>
      </c>
      <c r="I290" s="4">
        <f>VALUE(SUBSTITUTE('1000_заявлений'!I284, ".", ","))</f>
        <v>0.13493333333333299</v>
      </c>
      <c r="J290" s="4">
        <f>VALUE(SUBSTITUTE('1000_заявлений'!J284, ".", ","))</f>
        <v>2.88852803817811</v>
      </c>
      <c r="K290" s="5">
        <f>VALUE(SUBSTITUTE('1000_заявлений'!K284, ".", ","))</f>
        <v>-140</v>
      </c>
      <c r="L290" s="6">
        <f>VALUE(SUBSTITUTE('1000_заявлений'!L284, ".", ","))</f>
        <v>18216</v>
      </c>
      <c r="M290" s="2" t="str">
        <f>IF(Данные6[[#This Row],[proba]]&gt;$C$6, "отказ", "одобрение")</f>
        <v>одобрение</v>
      </c>
      <c r="N290" s="7">
        <f>IF(Данные6[[#This Row],[proba]]&lt;$D$2,$C$2,IF(Данные6[[#This Row],[proba]]&lt;$D$3,$C$3,IF(Данные6[[#This Row],[proba]]&gt;$C$6,0,$C$4)))</f>
        <v>50000</v>
      </c>
      <c r="O290" s="2">
        <f>IF(Данные6[[#This Row],[weighted_ext_score]]&gt;$O$1,MIN(Данные6[[#This Row],[Базовая сумма]]*$O$2,$C$2),IF(Данные6[[#This Row],[weighted_ext_score]]&lt;$O$3,Данные6[[#This Row],[Базовая сумма]]*$O$4,N290))</f>
        <v>40000</v>
      </c>
      <c r="P2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290" s="2">
        <f>ABS(Данные6[[#This Row],[days_birth]])/365.2425</f>
        <v>40.436148586213271</v>
      </c>
      <c r="S2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40000</v>
      </c>
      <c r="T290" s="2">
        <f>IF(Данные6[[#This Row],[ interest_rate]]&gt;$T$1,Данные6[[#This Row],[days_birth4]]*$T$2,Данные6[[#This Row],[days_birth4]])</f>
        <v>40000</v>
      </c>
      <c r="U290" s="2">
        <f>IF(Данные6[[#This Row],[Проверка отказа]]="отказ",0,MAX(Данные6[[#This Row],[interest_rate]],$C$1))</f>
        <v>40000</v>
      </c>
      <c r="V290" s="2">
        <f>MROUND(Данные6[[#This Row],[Минимум 20000]], 100)</f>
        <v>40000</v>
      </c>
    </row>
    <row r="291" spans="1:22" x14ac:dyDescent="0.25">
      <c r="A291" s="2">
        <f>'1000_заявлений'!A285</f>
        <v>283</v>
      </c>
      <c r="B291" s="4">
        <f>VALUE(SUBSTITUTE('1000_заявлений'!B285, ".", ","))</f>
        <v>0.65557438050751704</v>
      </c>
      <c r="C291" s="4">
        <f>VALUE(SUBSTITUTE('1000_заявлений'!C285, ".", ","))</f>
        <v>0.34926416963531398</v>
      </c>
      <c r="D291" s="4">
        <f>VALUE(SUBSTITUTE('1000_заявлений'!D285, ".", ","))</f>
        <v>0.40140742000000001</v>
      </c>
      <c r="E291" s="4">
        <f>VALUE(SUBSTITUTE('1000_заявлений'!E285, ".", ","))</f>
        <v>0.33067482999999998</v>
      </c>
      <c r="F291" s="5">
        <f>VALUE(SUBSTITUTE('1000_заявлений'!F285, ".", ","))</f>
        <v>-4832</v>
      </c>
      <c r="G291" s="5">
        <f>VALUE(SUBSTITUTE('1000_заявлений'!G285, ".", ","))</f>
        <v>-9974</v>
      </c>
      <c r="H291" s="5">
        <f>VALUE(SUBSTITUTE('1000_заявлений'!H285, ".", ","))</f>
        <v>-2643</v>
      </c>
      <c r="I291" s="4">
        <f>VALUE(SUBSTITUTE('1000_заявлений'!I285, ".", ","))</f>
        <v>0.17585000000000001</v>
      </c>
      <c r="J291" s="4">
        <f>VALUE(SUBSTITUTE('1000_заявлений'!J285, ".", ","))</f>
        <v>1.83324182632016</v>
      </c>
      <c r="K291" s="5">
        <f>VALUE(SUBSTITUTE('1000_заявлений'!K285, ".", ","))</f>
        <v>-116</v>
      </c>
      <c r="L291" s="6">
        <f>VALUE(SUBSTITUTE('1000_заявлений'!L285, ".", ","))</f>
        <v>31653</v>
      </c>
      <c r="M291" s="2" t="str">
        <f>IF(Данные6[[#This Row],[proba]]&gt;$C$6, "отказ", "одобрение")</f>
        <v>отказ</v>
      </c>
      <c r="N291" s="7">
        <f>IF(Данные6[[#This Row],[proba]]&lt;$D$2,$C$2,IF(Данные6[[#This Row],[proba]]&lt;$D$3,$C$3,IF(Данные6[[#This Row],[proba]]&gt;$C$6,0,$C$4)))</f>
        <v>0</v>
      </c>
      <c r="O291" s="2">
        <f>IF(Данные6[[#This Row],[weighted_ext_score]]&gt;$O$1,MIN(Данные6[[#This Row],[Базовая сумма]]*$O$2,$C$2),IF(Данные6[[#This Row],[weighted_ext_score]]&lt;$O$3,Данные6[[#This Row],[Базовая сумма]]*$O$4,N291))</f>
        <v>0</v>
      </c>
      <c r="P2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1" s="2">
        <f>ABS(Данные6[[#This Row],[days_birth]])/365.2425</f>
        <v>27.307884487703376</v>
      </c>
      <c r="S2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1" s="2">
        <f>IF(Данные6[[#This Row],[ interest_rate]]&gt;$T$1,Данные6[[#This Row],[days_birth4]]*$T$2,Данные6[[#This Row],[days_birth4]])</f>
        <v>0</v>
      </c>
      <c r="U291" s="2">
        <f>IF(Данные6[[#This Row],[Проверка отказа]]="отказ",0,MAX(Данные6[[#This Row],[interest_rate]],$C$1))</f>
        <v>0</v>
      </c>
      <c r="V291" s="2">
        <f>MROUND(Данные6[[#This Row],[Минимум 20000]], 100)</f>
        <v>0</v>
      </c>
    </row>
    <row r="292" spans="1:22" x14ac:dyDescent="0.25">
      <c r="A292" s="2">
        <f>'1000_заявлений'!A286</f>
        <v>284</v>
      </c>
      <c r="B292" s="4">
        <f>VALUE(SUBSTITUTE('1000_заявлений'!B286, ".", ","))</f>
        <v>0.22413757429787201</v>
      </c>
      <c r="C292" s="4">
        <f>VALUE(SUBSTITUTE('1000_заявлений'!C286, ".", ","))</f>
        <v>0.62951044078179896</v>
      </c>
      <c r="D292" s="4">
        <f>VALUE(SUBSTITUTE('1000_заявлений'!D286, ".", ","))</f>
        <v>0.48665314999999998</v>
      </c>
      <c r="E292" s="4">
        <f>VALUE(SUBSTITUTE('1000_заявлений'!E286, ".", ","))</f>
        <v>0.70857340000000002</v>
      </c>
      <c r="F292" s="5">
        <f>VALUE(SUBSTITUTE('1000_заявлений'!F286, ".", ","))</f>
        <v>-5474</v>
      </c>
      <c r="G292" s="5">
        <f>VALUE(SUBSTITUTE('1000_заявлений'!G286, ".", ","))</f>
        <v>-19294</v>
      </c>
      <c r="H292" s="5">
        <f>VALUE(SUBSTITUTE('1000_заявлений'!H286, ".", ","))</f>
        <v>-2840</v>
      </c>
      <c r="I292" s="4">
        <f>VALUE(SUBSTITUTE('1000_заявлений'!I286, ".", ","))</f>
        <v>9.3560000000000004E-2</v>
      </c>
      <c r="J292" s="4">
        <f>VALUE(SUBSTITUTE('1000_заявлений'!J286, ".", ","))</f>
        <v>1.55389052272876</v>
      </c>
      <c r="K292" s="5">
        <f>VALUE(SUBSTITUTE('1000_заявлений'!K286, ".", ","))</f>
        <v>365243</v>
      </c>
      <c r="L292" s="6">
        <f>VALUE(SUBSTITUTE('1000_заявлений'!L286, ".", ","))</f>
        <v>21051</v>
      </c>
      <c r="M292" s="2" t="str">
        <f>IF(Данные6[[#This Row],[proba]]&gt;$C$6, "отказ", "одобрение")</f>
        <v>одобрение</v>
      </c>
      <c r="N292" s="7">
        <f>IF(Данные6[[#This Row],[proba]]&lt;$D$2,$C$2,IF(Данные6[[#This Row],[proba]]&lt;$D$3,$C$3,IF(Данные6[[#This Row],[proba]]&gt;$C$6,0,$C$4)))</f>
        <v>50000</v>
      </c>
      <c r="O292" s="2">
        <f>IF(Данные6[[#This Row],[weighted_ext_score]]&gt;$O$1,MIN(Данные6[[#This Row],[Базовая сумма]]*$O$2,$C$2),IF(Данные6[[#This Row],[weighted_ext_score]]&lt;$O$3,Данные6[[#This Row],[Базовая сумма]]*$O$4,N292))</f>
        <v>50000</v>
      </c>
      <c r="P2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2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292" s="2">
        <f>ABS(Данные6[[#This Row],[days_birth]])/365.2425</f>
        <v>52.825177792836264</v>
      </c>
      <c r="S2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63000</v>
      </c>
      <c r="T292" s="2">
        <f>IF(Данные6[[#This Row],[ interest_rate]]&gt;$T$1,Данные6[[#This Row],[days_birth4]]*$T$2,Данные6[[#This Row],[days_birth4]])</f>
        <v>63000</v>
      </c>
      <c r="U292" s="2">
        <f>IF(Данные6[[#This Row],[Проверка отказа]]="отказ",0,MAX(Данные6[[#This Row],[interest_rate]],$C$1))</f>
        <v>63000</v>
      </c>
      <c r="V292" s="2">
        <f>MROUND(Данные6[[#This Row],[Минимум 20000]], 100)</f>
        <v>63000</v>
      </c>
    </row>
    <row r="293" spans="1:22" x14ac:dyDescent="0.25">
      <c r="A293" s="2">
        <f>'1000_заявлений'!A287</f>
        <v>285</v>
      </c>
      <c r="B293" s="4">
        <f>VALUE(SUBSTITUTE('1000_заявлений'!B287, ".", ","))</f>
        <v>0.603966595087847</v>
      </c>
      <c r="C293" s="4">
        <f>VALUE(SUBSTITUTE('1000_заявлений'!C287, ".", ","))</f>
        <v>0.230599965808193</v>
      </c>
      <c r="D293" s="4">
        <f>VALUE(SUBSTITUTE('1000_заявлений'!D287, ".", ","))</f>
        <v>0.20559815000000001</v>
      </c>
      <c r="E293" s="4">
        <f>VALUE(SUBSTITUTE('1000_заявлений'!E287, ".", ","))</f>
        <v>0.48166868000000002</v>
      </c>
      <c r="F293" s="5">
        <f>VALUE(SUBSTITUTE('1000_заявлений'!F287, ".", ","))</f>
        <v>-14371</v>
      </c>
      <c r="G293" s="5">
        <f>VALUE(SUBSTITUTE('1000_заявлений'!G287, ".", ","))</f>
        <v>-22239</v>
      </c>
      <c r="H293" s="5">
        <f>VALUE(SUBSTITUTE('1000_заявлений'!H287, ".", ","))</f>
        <v>-4333</v>
      </c>
      <c r="I293" s="4">
        <f>VALUE(SUBSTITUTE('1000_заявлений'!I287, ".", ","))</f>
        <v>0.15063333333333301</v>
      </c>
      <c r="J293" s="4">
        <f>VALUE(SUBSTITUTE('1000_заявлений'!J287, ".", ","))</f>
        <v>1.96589975490382</v>
      </c>
      <c r="K293" s="5">
        <f>VALUE(SUBSTITUTE('1000_заявлений'!K287, ".", ","))</f>
        <v>365243</v>
      </c>
      <c r="L293" s="6">
        <f>VALUE(SUBSTITUTE('1000_заявлений'!L287, ".", ","))</f>
        <v>20335.5</v>
      </c>
      <c r="M293" s="2" t="str">
        <f>IF(Данные6[[#This Row],[proba]]&gt;$C$6, "отказ", "одобрение")</f>
        <v>отказ</v>
      </c>
      <c r="N293" s="7">
        <f>IF(Данные6[[#This Row],[proba]]&lt;$D$2,$C$2,IF(Данные6[[#This Row],[proba]]&lt;$D$3,$C$3,IF(Данные6[[#This Row],[proba]]&gt;$C$6,0,$C$4)))</f>
        <v>0</v>
      </c>
      <c r="O293" s="2">
        <f>IF(Данные6[[#This Row],[weighted_ext_score]]&gt;$O$1,MIN(Данные6[[#This Row],[Базовая сумма]]*$O$2,$C$2),IF(Данные6[[#This Row],[weighted_ext_score]]&lt;$O$3,Данные6[[#This Row],[Базовая сумма]]*$O$4,N293))</f>
        <v>0</v>
      </c>
      <c r="P2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3" s="2">
        <f>ABS(Данные6[[#This Row],[days_birth]])/365.2425</f>
        <v>60.888313928417418</v>
      </c>
      <c r="S2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3" s="2">
        <f>IF(Данные6[[#This Row],[ interest_rate]]&gt;$T$1,Данные6[[#This Row],[days_birth4]]*$T$2,Данные6[[#This Row],[days_birth4]])</f>
        <v>0</v>
      </c>
      <c r="U293" s="2">
        <f>IF(Данные6[[#This Row],[Проверка отказа]]="отказ",0,MAX(Данные6[[#This Row],[interest_rate]],$C$1))</f>
        <v>0</v>
      </c>
      <c r="V293" s="2">
        <f>MROUND(Данные6[[#This Row],[Минимум 20000]], 100)</f>
        <v>0</v>
      </c>
    </row>
    <row r="294" spans="1:22" x14ac:dyDescent="0.25">
      <c r="A294" s="2">
        <f>'1000_заявлений'!A288</f>
        <v>286</v>
      </c>
      <c r="B294" s="4">
        <f>VALUE(SUBSTITUTE('1000_заявлений'!B288, ".", ","))</f>
        <v>0.65782254820183395</v>
      </c>
      <c r="C294" s="4">
        <f>VALUE(SUBSTITUTE('1000_заявлений'!C288, ".", ","))</f>
        <v>0.224240541442039</v>
      </c>
      <c r="D294" s="4">
        <f>VALUE(SUBSTITUTE('1000_заявлений'!D288, ".", ","))</f>
        <v>0.3457848</v>
      </c>
      <c r="E294" s="4">
        <f>VALUE(SUBSTITUTE('1000_заявлений'!E288, ".", ","))</f>
        <v>0.23444527000000001</v>
      </c>
      <c r="F294" s="5">
        <f>VALUE(SUBSTITUTE('1000_заявлений'!F288, ".", ","))</f>
        <v>-12883</v>
      </c>
      <c r="G294" s="5">
        <f>VALUE(SUBSTITUTE('1000_заявлений'!G288, ".", ","))</f>
        <v>-23672</v>
      </c>
      <c r="H294" s="5">
        <f>VALUE(SUBSTITUTE('1000_заявлений'!H288, ".", ","))</f>
        <v>-4197</v>
      </c>
      <c r="I294" s="4">
        <f>VALUE(SUBSTITUTE('1000_заявлений'!I288, ".", ","))</f>
        <v>0.31106666666666599</v>
      </c>
      <c r="J294" s="4">
        <f>VALUE(SUBSTITUTE('1000_заявлений'!J288, ".", ","))</f>
        <v>5.7208070145562804</v>
      </c>
      <c r="K294" s="5">
        <f>VALUE(SUBSTITUTE('1000_заявлений'!K288, ".", ","))</f>
        <v>365243</v>
      </c>
      <c r="L294" s="6">
        <f>VALUE(SUBSTITUTE('1000_заявлений'!L288, ".", ","))</f>
        <v>10498.5</v>
      </c>
      <c r="M294" s="2" t="str">
        <f>IF(Данные6[[#This Row],[proba]]&gt;$C$6, "отказ", "одобрение")</f>
        <v>отказ</v>
      </c>
      <c r="N294" s="7">
        <f>IF(Данные6[[#This Row],[proba]]&lt;$D$2,$C$2,IF(Данные6[[#This Row],[proba]]&lt;$D$3,$C$3,IF(Данные6[[#This Row],[proba]]&gt;$C$6,0,$C$4)))</f>
        <v>0</v>
      </c>
      <c r="O294" s="2">
        <f>IF(Данные6[[#This Row],[weighted_ext_score]]&gt;$O$1,MIN(Данные6[[#This Row],[Базовая сумма]]*$O$2,$C$2),IF(Данные6[[#This Row],[weighted_ext_score]]&lt;$O$3,Данные6[[#This Row],[Базовая сумма]]*$O$4,N294))</f>
        <v>0</v>
      </c>
      <c r="P2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4" s="2">
        <f>ABS(Данные6[[#This Row],[days_birth]])/365.2425</f>
        <v>64.811734669431956</v>
      </c>
      <c r="S2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4" s="2">
        <f>IF(Данные6[[#This Row],[ interest_rate]]&gt;$T$1,Данные6[[#This Row],[days_birth4]]*$T$2,Данные6[[#This Row],[days_birth4]])</f>
        <v>0</v>
      </c>
      <c r="U294" s="2">
        <f>IF(Данные6[[#This Row],[Проверка отказа]]="отказ",0,MAX(Данные6[[#This Row],[interest_rate]],$C$1))</f>
        <v>0</v>
      </c>
      <c r="V294" s="2">
        <f>MROUND(Данные6[[#This Row],[Минимум 20000]], 100)</f>
        <v>0</v>
      </c>
    </row>
    <row r="295" spans="1:22" x14ac:dyDescent="0.25">
      <c r="A295" s="2">
        <f>'1000_заявлений'!A289</f>
        <v>287</v>
      </c>
      <c r="B295" s="4">
        <f>VALUE(SUBSTITUTE('1000_заявлений'!B289, ".", ","))</f>
        <v>0.32312776154568701</v>
      </c>
      <c r="C295" s="4">
        <f>VALUE(SUBSTITUTE('1000_заявлений'!C289, ".", ","))</f>
        <v>0.43601686123032901</v>
      </c>
      <c r="D295" s="4">
        <f>VALUE(SUBSTITUTE('1000_заявлений'!D289, ".", ","))</f>
        <v>0.68170589999999998</v>
      </c>
      <c r="E295" s="4">
        <f>VALUE(SUBSTITUTE('1000_заявлений'!E289, ".", ","))</f>
        <v>0.58409610000000001</v>
      </c>
      <c r="F295" s="5">
        <f>VALUE(SUBSTITUTE('1000_заявлений'!F289, ".", ","))</f>
        <v>-3777</v>
      </c>
      <c r="G295" s="5">
        <f>VALUE(SUBSTITUTE('1000_заявлений'!G289, ".", ","))</f>
        <v>-11171</v>
      </c>
      <c r="H295" s="5">
        <f>VALUE(SUBSTITUTE('1000_заявлений'!H289, ".", ","))</f>
        <v>-3776</v>
      </c>
      <c r="I295" s="4">
        <f>VALUE(SUBSTITUTE('1000_заявлений'!I289, ".", ","))</f>
        <v>0.16527659574468001</v>
      </c>
      <c r="J295" s="4">
        <f>VALUE(SUBSTITUTE('1000_заявлений'!J289, ".", ","))</f>
        <v>5.3890726732501903</v>
      </c>
      <c r="K295" s="5">
        <f>VALUE(SUBSTITUTE('1000_заявлений'!K289, ".", ","))</f>
        <v>-2857</v>
      </c>
      <c r="L295" s="6">
        <f>VALUE(SUBSTITUTE('1000_заявлений'!L289, ".", ","))</f>
        <v>34956</v>
      </c>
      <c r="M295" s="2" t="str">
        <f>IF(Данные6[[#This Row],[proba]]&gt;$C$6, "отказ", "одобрение")</f>
        <v>отказ</v>
      </c>
      <c r="N295" s="7">
        <f>IF(Данные6[[#This Row],[proba]]&lt;$D$2,$C$2,IF(Данные6[[#This Row],[proba]]&lt;$D$3,$C$3,IF(Данные6[[#This Row],[proba]]&gt;$C$6,0,$C$4)))</f>
        <v>0</v>
      </c>
      <c r="O295" s="2">
        <f>IF(Данные6[[#This Row],[weighted_ext_score]]&gt;$O$1,MIN(Данные6[[#This Row],[Базовая сумма]]*$O$2,$C$2),IF(Данные6[[#This Row],[weighted_ext_score]]&lt;$O$3,Данные6[[#This Row],[Базовая сумма]]*$O$4,N295))</f>
        <v>0</v>
      </c>
      <c r="P2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5" s="2">
        <f>ABS(Данные6[[#This Row],[days_birth]])/365.2425</f>
        <v>30.585159175068618</v>
      </c>
      <c r="S2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5" s="2">
        <f>IF(Данные6[[#This Row],[ interest_rate]]&gt;$T$1,Данные6[[#This Row],[days_birth4]]*$T$2,Данные6[[#This Row],[days_birth4]])</f>
        <v>0</v>
      </c>
      <c r="U295" s="2">
        <f>IF(Данные6[[#This Row],[Проверка отказа]]="отказ",0,MAX(Данные6[[#This Row],[interest_rate]],$C$1))</f>
        <v>0</v>
      </c>
      <c r="V295" s="2">
        <f>MROUND(Данные6[[#This Row],[Минимум 20000]], 100)</f>
        <v>0</v>
      </c>
    </row>
    <row r="296" spans="1:22" x14ac:dyDescent="0.25">
      <c r="A296" s="2">
        <f>'1000_заявлений'!A290</f>
        <v>288</v>
      </c>
      <c r="B296" s="4">
        <f>VALUE(SUBSTITUTE('1000_заявлений'!B290, ".", ","))</f>
        <v>0.27145547123492503</v>
      </c>
      <c r="C296" s="4">
        <f>VALUE(SUBSTITUTE('1000_заявлений'!C290, ".", ","))</f>
        <v>0.432733213399636</v>
      </c>
      <c r="D296" s="4">
        <f>VALUE(SUBSTITUTE('1000_заявлений'!D290, ".", ","))</f>
        <v>0.74355930000000003</v>
      </c>
      <c r="E296" s="4">
        <f>VALUE(SUBSTITUTE('1000_заявлений'!E290, ".", ","))</f>
        <v>0.50500940000000005</v>
      </c>
      <c r="F296" s="5">
        <f>VALUE(SUBSTITUTE('1000_заявлений'!F290, ".", ","))</f>
        <v>-7693</v>
      </c>
      <c r="G296" s="5">
        <f>VALUE(SUBSTITUTE('1000_заявлений'!G290, ".", ","))</f>
        <v>-19534</v>
      </c>
      <c r="H296" s="5">
        <f>VALUE(SUBSTITUTE('1000_заявлений'!H290, ".", ","))</f>
        <v>-3072</v>
      </c>
      <c r="I296" s="4">
        <f>VALUE(SUBSTITUTE('1000_заявлений'!I290, ".", ","))</f>
        <v>0.25093333333333301</v>
      </c>
      <c r="J296" s="4">
        <f>VALUE(SUBSTITUTE('1000_заявлений'!J290, ".", ","))</f>
        <v>2.63623902892857</v>
      </c>
      <c r="K296" s="5">
        <f>VALUE(SUBSTITUTE('1000_заявлений'!K290, ".", ","))</f>
        <v>365243</v>
      </c>
      <c r="L296" s="6">
        <f>VALUE(SUBSTITUTE('1000_заявлений'!L290, ".", ","))</f>
        <v>33876</v>
      </c>
      <c r="M296" s="2" t="str">
        <f>IF(Данные6[[#This Row],[proba]]&gt;$C$6, "отказ", "одобрение")</f>
        <v>одобрение</v>
      </c>
      <c r="N296" s="7">
        <f>IF(Данные6[[#This Row],[proba]]&lt;$D$2,$C$2,IF(Данные6[[#This Row],[proba]]&lt;$D$3,$C$3,IF(Данные6[[#This Row],[proba]]&gt;$C$6,0,$C$4)))</f>
        <v>50000</v>
      </c>
      <c r="O296" s="2">
        <f>IF(Данные6[[#This Row],[weighted_ext_score]]&gt;$O$1,MIN(Данные6[[#This Row],[Базовая сумма]]*$O$2,$C$2),IF(Данные6[[#This Row],[weighted_ext_score]]&lt;$O$3,Данные6[[#This Row],[Базовая сумма]]*$O$4,N296))</f>
        <v>40000</v>
      </c>
      <c r="P2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2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296" s="2">
        <f>ABS(Данные6[[#This Row],[days_birth]])/365.2425</f>
        <v>53.482275474513507</v>
      </c>
      <c r="S2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296" s="2">
        <f>IF(Данные6[[#This Row],[ interest_rate]]&gt;$T$1,Данные6[[#This Row],[days_birth4]]*$T$2,Данные6[[#This Row],[days_birth4]])</f>
        <v>42000</v>
      </c>
      <c r="U296" s="2">
        <f>IF(Данные6[[#This Row],[Проверка отказа]]="отказ",0,MAX(Данные6[[#This Row],[interest_rate]],$C$1))</f>
        <v>42000</v>
      </c>
      <c r="V296" s="2">
        <f>MROUND(Данные6[[#This Row],[Минимум 20000]], 100)</f>
        <v>42000</v>
      </c>
    </row>
    <row r="297" spans="1:22" x14ac:dyDescent="0.25">
      <c r="A297" s="2">
        <f>'1000_заявлений'!A291</f>
        <v>289</v>
      </c>
      <c r="B297" s="4">
        <f>VALUE(SUBSTITUTE('1000_заявлений'!B291, ".", ","))</f>
        <v>0.712753741869109</v>
      </c>
      <c r="C297" s="4">
        <f>VALUE(SUBSTITUTE('1000_заявлений'!C291, ".", ","))</f>
        <v>0.18693726200230401</v>
      </c>
      <c r="D297" s="4">
        <f>VALUE(SUBSTITUTE('1000_заявлений'!D291, ".", ","))</f>
        <v>0.24719094</v>
      </c>
      <c r="E297" s="4">
        <f>VALUE(SUBSTITUTE('1000_заявлений'!E291, ".", ","))</f>
        <v>0.30068972999999999</v>
      </c>
      <c r="F297" s="5">
        <f>VALUE(SUBSTITUTE('1000_заявлений'!F291, ".", ","))</f>
        <v>-1432</v>
      </c>
      <c r="G297" s="5">
        <f>VALUE(SUBSTITUTE('1000_заявлений'!G291, ".", ","))</f>
        <v>-19651</v>
      </c>
      <c r="H297" s="5">
        <f>VALUE(SUBSTITUTE('1000_заявлений'!H291, ".", ","))</f>
        <v>-2052</v>
      </c>
      <c r="I297" s="4">
        <f>VALUE(SUBSTITUTE('1000_заявлений'!I291, ".", ","))</f>
        <v>0.22212499999999999</v>
      </c>
      <c r="J297" s="4">
        <f>VALUE(SUBSTITUTE('1000_заявлений'!J291, ".", ","))</f>
        <v>8.0269031250602598</v>
      </c>
      <c r="K297" s="5">
        <f>VALUE(SUBSTITUTE('1000_заявлений'!K291, ".", ","))</f>
        <v>365243</v>
      </c>
      <c r="L297" s="6">
        <f>VALUE(SUBSTITUTE('1000_заявлений'!L291, ".", ","))</f>
        <v>23989.5</v>
      </c>
      <c r="M297" s="2" t="str">
        <f>IF(Данные6[[#This Row],[proba]]&gt;$C$6, "отказ", "одобрение")</f>
        <v>отказ</v>
      </c>
      <c r="N297" s="7">
        <f>IF(Данные6[[#This Row],[proba]]&lt;$D$2,$C$2,IF(Данные6[[#This Row],[proba]]&lt;$D$3,$C$3,IF(Данные6[[#This Row],[proba]]&gt;$C$6,0,$C$4)))</f>
        <v>0</v>
      </c>
      <c r="O297" s="2">
        <f>IF(Данные6[[#This Row],[weighted_ext_score]]&gt;$O$1,MIN(Данные6[[#This Row],[Базовая сумма]]*$O$2,$C$2),IF(Данные6[[#This Row],[weighted_ext_score]]&lt;$O$3,Данные6[[#This Row],[Базовая сумма]]*$O$4,N297))</f>
        <v>0</v>
      </c>
      <c r="P2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7" s="2">
        <f>ABS(Данные6[[#This Row],[days_birth]])/365.2425</f>
        <v>53.802610594331163</v>
      </c>
      <c r="S2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7" s="2">
        <f>IF(Данные6[[#This Row],[ interest_rate]]&gt;$T$1,Данные6[[#This Row],[days_birth4]]*$T$2,Данные6[[#This Row],[days_birth4]])</f>
        <v>0</v>
      </c>
      <c r="U297" s="2">
        <f>IF(Данные6[[#This Row],[Проверка отказа]]="отказ",0,MAX(Данные6[[#This Row],[interest_rate]],$C$1))</f>
        <v>0</v>
      </c>
      <c r="V297" s="2">
        <f>MROUND(Данные6[[#This Row],[Минимум 20000]], 100)</f>
        <v>0</v>
      </c>
    </row>
    <row r="298" spans="1:22" x14ac:dyDescent="0.25">
      <c r="A298" s="2">
        <f>'1000_заявлений'!A292</f>
        <v>290</v>
      </c>
      <c r="B298" s="4">
        <f>VALUE(SUBSTITUTE('1000_заявлений'!B292, ".", ","))</f>
        <v>0.430961908216348</v>
      </c>
      <c r="C298" s="4">
        <f>VALUE(SUBSTITUTE('1000_заявлений'!C292, ".", ","))</f>
        <v>0.51876977954459702</v>
      </c>
      <c r="D298" s="4">
        <f>VALUE(SUBSTITUTE('1000_заявлений'!D292, ".", ","))</f>
        <v>0.18848952999999999</v>
      </c>
      <c r="E298" s="4">
        <f>VALUE(SUBSTITUTE('1000_заявлений'!E292, ".", ","))</f>
        <v>0.63730043000000003</v>
      </c>
      <c r="F298" s="5">
        <f>VALUE(SUBSTITUTE('1000_заявлений'!F292, ".", ","))</f>
        <v>-8059</v>
      </c>
      <c r="G298" s="5">
        <f>VALUE(SUBSTITUTE('1000_заявлений'!G292, ".", ","))</f>
        <v>-18126</v>
      </c>
      <c r="H298" s="5">
        <f>VALUE(SUBSTITUTE('1000_заявлений'!H292, ".", ","))</f>
        <v>-1640</v>
      </c>
      <c r="I298" s="4">
        <f>VALUE(SUBSTITUTE('1000_заявлений'!I292, ".", ","))</f>
        <v>0.26151111111111103</v>
      </c>
      <c r="J298" s="4">
        <f>VALUE(SUBSTITUTE('1000_заявлений'!J292, ".", ","))</f>
        <v>18.409388429764999</v>
      </c>
      <c r="K298" s="5">
        <f>VALUE(SUBSTITUTE('1000_заявлений'!K292, ".", ","))</f>
        <v>-1611</v>
      </c>
      <c r="L298" s="6">
        <f>VALUE(SUBSTITUTE('1000_заявлений'!L292, ".", ","))</f>
        <v>52956</v>
      </c>
      <c r="M298" s="2" t="str">
        <f>IF(Данные6[[#This Row],[proba]]&gt;$C$6, "отказ", "одобрение")</f>
        <v>отказ</v>
      </c>
      <c r="N298" s="7">
        <f>IF(Данные6[[#This Row],[proba]]&lt;$D$2,$C$2,IF(Данные6[[#This Row],[proba]]&lt;$D$3,$C$3,IF(Данные6[[#This Row],[proba]]&gt;$C$6,0,$C$4)))</f>
        <v>0</v>
      </c>
      <c r="O298" s="2">
        <f>IF(Данные6[[#This Row],[weighted_ext_score]]&gt;$O$1,MIN(Данные6[[#This Row],[Базовая сумма]]*$O$2,$C$2),IF(Данные6[[#This Row],[weighted_ext_score]]&lt;$O$3,Данные6[[#This Row],[Базовая сумма]]*$O$4,N298))</f>
        <v>0</v>
      </c>
      <c r="P2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8" s="2">
        <f>ABS(Данные6[[#This Row],[days_birth]])/365.2425</f>
        <v>49.627302408673685</v>
      </c>
      <c r="S2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8" s="2">
        <f>IF(Данные6[[#This Row],[ interest_rate]]&gt;$T$1,Данные6[[#This Row],[days_birth4]]*$T$2,Данные6[[#This Row],[days_birth4]])</f>
        <v>0</v>
      </c>
      <c r="U298" s="2">
        <f>IF(Данные6[[#This Row],[Проверка отказа]]="отказ",0,MAX(Данные6[[#This Row],[interest_rate]],$C$1))</f>
        <v>0</v>
      </c>
      <c r="V298" s="2">
        <f>MROUND(Данные6[[#This Row],[Минимум 20000]], 100)</f>
        <v>0</v>
      </c>
    </row>
    <row r="299" spans="1:22" x14ac:dyDescent="0.25">
      <c r="A299" s="2">
        <f>'1000_заявлений'!A293</f>
        <v>291</v>
      </c>
      <c r="B299" s="4">
        <f>VALUE(SUBSTITUTE('1000_заявлений'!B293, ".", ","))</f>
        <v>0.43520281492540602</v>
      </c>
      <c r="C299" s="4">
        <f>VALUE(SUBSTITUTE('1000_заявлений'!C293, ".", ","))</f>
        <v>0.35734370592303399</v>
      </c>
      <c r="D299" s="4">
        <f>VALUE(SUBSTITUTE('1000_заявлений'!D293, ".", ","))</f>
        <v>0.30314636</v>
      </c>
      <c r="E299" s="4">
        <f>VALUE(SUBSTITUTE('1000_заявлений'!E293, ".", ","))</f>
        <v>0.76363669999999995</v>
      </c>
      <c r="F299" s="5">
        <f>VALUE(SUBSTITUTE('1000_заявлений'!F293, ".", ","))</f>
        <v>-4589</v>
      </c>
      <c r="G299" s="5">
        <f>VALUE(SUBSTITUTE('1000_заявлений'!G293, ".", ","))</f>
        <v>-18164</v>
      </c>
      <c r="H299" s="5">
        <f>VALUE(SUBSTITUTE('1000_заявлений'!H293, ".", ","))</f>
        <v>-1618</v>
      </c>
      <c r="I299" s="4">
        <f>VALUE(SUBSTITUTE('1000_заявлений'!I293, ".", ","))</f>
        <v>6.3236842105263105E-2</v>
      </c>
      <c r="J299" s="4">
        <f>VALUE(SUBSTITUTE('1000_заявлений'!J293, ".", ","))</f>
        <v>8.3400937896283391</v>
      </c>
      <c r="K299" s="5">
        <f>VALUE(SUBSTITUTE('1000_заявлений'!K293, ".", ","))</f>
        <v>-865</v>
      </c>
      <c r="L299" s="6">
        <f>VALUE(SUBSTITUTE('1000_заявлений'!L293, ".", ","))</f>
        <v>10813.5</v>
      </c>
      <c r="M299" s="2" t="str">
        <f>IF(Данные6[[#This Row],[proba]]&gt;$C$6, "отказ", "одобрение")</f>
        <v>отказ</v>
      </c>
      <c r="N299" s="7">
        <f>IF(Данные6[[#This Row],[proba]]&lt;$D$2,$C$2,IF(Данные6[[#This Row],[proba]]&lt;$D$3,$C$3,IF(Данные6[[#This Row],[proba]]&gt;$C$6,0,$C$4)))</f>
        <v>0</v>
      </c>
      <c r="O299" s="2">
        <f>IF(Данные6[[#This Row],[weighted_ext_score]]&gt;$O$1,MIN(Данные6[[#This Row],[Базовая сумма]]*$O$2,$C$2),IF(Данные6[[#This Row],[weighted_ext_score]]&lt;$O$3,Данные6[[#This Row],[Базовая сумма]]*$O$4,N299))</f>
        <v>0</v>
      </c>
      <c r="P2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2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299" s="2">
        <f>ABS(Данные6[[#This Row],[days_birth]])/365.2425</f>
        <v>49.731342874939251</v>
      </c>
      <c r="S2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299" s="2">
        <f>IF(Данные6[[#This Row],[ interest_rate]]&gt;$T$1,Данные6[[#This Row],[days_birth4]]*$T$2,Данные6[[#This Row],[days_birth4]])</f>
        <v>0</v>
      </c>
      <c r="U299" s="2">
        <f>IF(Данные6[[#This Row],[Проверка отказа]]="отказ",0,MAX(Данные6[[#This Row],[interest_rate]],$C$1))</f>
        <v>0</v>
      </c>
      <c r="V299" s="2">
        <f>MROUND(Данные6[[#This Row],[Минимум 20000]], 100)</f>
        <v>0</v>
      </c>
    </row>
    <row r="300" spans="1:22" x14ac:dyDescent="0.25">
      <c r="A300" s="2">
        <f>'1000_заявлений'!A294</f>
        <v>292</v>
      </c>
      <c r="B300" s="4">
        <f>VALUE(SUBSTITUTE('1000_заявлений'!B294, ".", ","))</f>
        <v>0.195426047979229</v>
      </c>
      <c r="C300" s="4">
        <f>VALUE(SUBSTITUTE('1000_заявлений'!C294, ".", ","))</f>
        <v>0.55486418697623696</v>
      </c>
      <c r="D300" s="4">
        <f>VALUE(SUBSTITUTE('1000_заявлений'!D294, ".", ","))</f>
        <v>0.81061804000000004</v>
      </c>
      <c r="E300" s="4">
        <f>VALUE(SUBSTITUTE('1000_заявлений'!E294, ".", ","))</f>
        <v>0.59457450000000001</v>
      </c>
      <c r="F300" s="5">
        <f>VALUE(SUBSTITUTE('1000_заявлений'!F294, ".", ","))</f>
        <v>-5065</v>
      </c>
      <c r="G300" s="5">
        <f>VALUE(SUBSTITUTE('1000_заявлений'!G294, ".", ","))</f>
        <v>-14313</v>
      </c>
      <c r="H300" s="5">
        <f>VALUE(SUBSTITUTE('1000_заявлений'!H294, ".", ","))</f>
        <v>-4287</v>
      </c>
      <c r="I300" s="4">
        <f>VALUE(SUBSTITUTE('1000_заявлений'!I294, ".", ","))</f>
        <v>0.140866666666666</v>
      </c>
      <c r="J300" s="4">
        <f>VALUE(SUBSTITUTE('1000_заявлений'!J294, ".", ","))</f>
        <v>8.9433348392310599</v>
      </c>
      <c r="K300" s="5">
        <f>VALUE(SUBSTITUTE('1000_заявлений'!K294, ".", ","))</f>
        <v>-3781</v>
      </c>
      <c r="L300" s="6">
        <f>VALUE(SUBSTITUTE('1000_заявлений'!L294, ".", ","))</f>
        <v>9508.5</v>
      </c>
      <c r="M300" s="2" t="str">
        <f>IF(Данные6[[#This Row],[proba]]&gt;$C$6, "отказ", "одобрение")</f>
        <v>одобрение</v>
      </c>
      <c r="N300" s="7">
        <f>IF(Данные6[[#This Row],[proba]]&lt;$D$2,$C$2,IF(Данные6[[#This Row],[proba]]&lt;$D$3,$C$3,IF(Данные6[[#This Row],[proba]]&gt;$C$6,0,$C$4)))</f>
        <v>200000</v>
      </c>
      <c r="O300" s="2">
        <f>IF(Данные6[[#This Row],[weighted_ext_score]]&gt;$O$1,MIN(Данные6[[#This Row],[Базовая сумма]]*$O$2,$C$2),IF(Данные6[[#This Row],[weighted_ext_score]]&lt;$O$3,Данные6[[#This Row],[Базовая сумма]]*$O$4,N300))</f>
        <v>200000</v>
      </c>
      <c r="P3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3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300" s="2">
        <f>ABS(Данные6[[#This Row],[days_birth]])/365.2425</f>
        <v>39.187662991026507</v>
      </c>
      <c r="S3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300" s="2">
        <f>IF(Данные6[[#This Row],[ interest_rate]]&gt;$T$1,Данные6[[#This Row],[days_birth4]]*$T$2,Данные6[[#This Row],[days_birth4]])</f>
        <v>240000</v>
      </c>
      <c r="U300" s="2">
        <f>IF(Данные6[[#This Row],[Проверка отказа]]="отказ",0,MAX(Данные6[[#This Row],[interest_rate]],$C$1))</f>
        <v>240000</v>
      </c>
      <c r="V300" s="2">
        <f>MROUND(Данные6[[#This Row],[Минимум 20000]], 100)</f>
        <v>240000</v>
      </c>
    </row>
    <row r="301" spans="1:22" x14ac:dyDescent="0.25">
      <c r="A301" s="2">
        <f>'1000_заявлений'!A295</f>
        <v>293</v>
      </c>
      <c r="B301" s="4">
        <f>VALUE(SUBSTITUTE('1000_заявлений'!B295, ".", ","))</f>
        <v>0.76726938693246705</v>
      </c>
      <c r="C301" s="4">
        <f>VALUE(SUBSTITUTE('1000_заявлений'!C295, ".", ","))</f>
        <v>3.6080266018085901E-2</v>
      </c>
      <c r="D301" s="4">
        <f>VALUE(SUBSTITUTE('1000_заявлений'!D295, ".", ","))</f>
        <v>0.53527623000000002</v>
      </c>
      <c r="E301" s="4">
        <f>VALUE(SUBSTITUTE('1000_заявлений'!E295, ".", ","))</f>
        <v>0.111229464</v>
      </c>
      <c r="F301" s="5">
        <f>VALUE(SUBSTITUTE('1000_заявлений'!F295, ".", ","))</f>
        <v>-3784</v>
      </c>
      <c r="G301" s="5">
        <f>VALUE(SUBSTITUTE('1000_заявлений'!G295, ".", ","))</f>
        <v>-9326</v>
      </c>
      <c r="H301" s="5">
        <f>VALUE(SUBSTITUTE('1000_заявлений'!H295, ".", ","))</f>
        <v>-2013</v>
      </c>
      <c r="I301" s="4">
        <f>VALUE(SUBSTITUTE('1000_заявлений'!I295, ".", ","))</f>
        <v>0.1125</v>
      </c>
      <c r="J301" s="4">
        <f>VALUE(SUBSTITUTE('1000_заявлений'!J295, ".", ","))</f>
        <v>10.6209759779781</v>
      </c>
      <c r="K301" s="5">
        <f>VALUE(SUBSTITUTE('1000_заявлений'!K295, ".", ","))</f>
        <v>-379</v>
      </c>
      <c r="L301" s="6">
        <f>VALUE(SUBSTITUTE('1000_заявлений'!L295, ".", ","))</f>
        <v>10125</v>
      </c>
      <c r="M301" s="2" t="str">
        <f>IF(Данные6[[#This Row],[proba]]&gt;$C$6, "отказ", "одобрение")</f>
        <v>отказ</v>
      </c>
      <c r="N301" s="7">
        <f>IF(Данные6[[#This Row],[proba]]&lt;$D$2,$C$2,IF(Данные6[[#This Row],[proba]]&lt;$D$3,$C$3,IF(Данные6[[#This Row],[proba]]&gt;$C$6,0,$C$4)))</f>
        <v>0</v>
      </c>
      <c r="O301" s="2">
        <f>IF(Данные6[[#This Row],[weighted_ext_score]]&gt;$O$1,MIN(Данные6[[#This Row],[Базовая сумма]]*$O$2,$C$2),IF(Данные6[[#This Row],[weighted_ext_score]]&lt;$O$3,Данные6[[#This Row],[Базовая сумма]]*$O$4,N301))</f>
        <v>0</v>
      </c>
      <c r="P3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1" s="2">
        <f>ABS(Данные6[[#This Row],[days_birth]])/365.2425</f>
        <v>25.533720747174822</v>
      </c>
      <c r="S3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1" s="2">
        <f>IF(Данные6[[#This Row],[ interest_rate]]&gt;$T$1,Данные6[[#This Row],[days_birth4]]*$T$2,Данные6[[#This Row],[days_birth4]])</f>
        <v>0</v>
      </c>
      <c r="U301" s="2">
        <f>IF(Данные6[[#This Row],[Проверка отказа]]="отказ",0,MAX(Данные6[[#This Row],[interest_rate]],$C$1))</f>
        <v>0</v>
      </c>
      <c r="V301" s="2">
        <f>MROUND(Данные6[[#This Row],[Минимум 20000]], 100)</f>
        <v>0</v>
      </c>
    </row>
    <row r="302" spans="1:22" x14ac:dyDescent="0.25">
      <c r="A302" s="2">
        <f>'1000_заявлений'!A296</f>
        <v>294</v>
      </c>
      <c r="B302" s="4">
        <f>VALUE(SUBSTITUTE('1000_заявлений'!B296, ".", ","))</f>
        <v>0.34147794630126499</v>
      </c>
      <c r="C302" s="4">
        <f>VALUE(SUBSTITUTE('1000_заявлений'!C296, ".", ","))</f>
        <v>0.38705239868492203</v>
      </c>
      <c r="D302" s="4">
        <f>VALUE(SUBSTITUTE('1000_заявлений'!D296, ".", ","))</f>
        <v>0.79813725000000002</v>
      </c>
      <c r="E302" s="4">
        <f>VALUE(SUBSTITUTE('1000_заявлений'!E296, ".", ","))</f>
        <v>0.30333107999999998</v>
      </c>
      <c r="F302" s="5">
        <f>VALUE(SUBSTITUTE('1000_заявлений'!F296, ".", ","))</f>
        <v>-6818</v>
      </c>
      <c r="G302" s="5">
        <f>VALUE(SUBSTITUTE('1000_заявлений'!G296, ".", ","))</f>
        <v>-18636</v>
      </c>
      <c r="H302" s="5">
        <f>VALUE(SUBSTITUTE('1000_заявлений'!H296, ".", ","))</f>
        <v>-2196</v>
      </c>
      <c r="I302" s="4">
        <f>VALUE(SUBSTITUTE('1000_заявлений'!I296, ".", ","))</f>
        <v>0.15232000000000001</v>
      </c>
      <c r="J302" s="4">
        <f>VALUE(SUBSTITUTE('1000_заявлений'!J296, ".", ","))</f>
        <v>8.1123976873015398</v>
      </c>
      <c r="K302" s="5">
        <f>VALUE(SUBSTITUTE('1000_заявлений'!K296, ".", ","))</f>
        <v>-1505</v>
      </c>
      <c r="L302" s="6">
        <f>VALUE(SUBSTITUTE('1000_заявлений'!L296, ".", ","))</f>
        <v>34272</v>
      </c>
      <c r="M302" s="2" t="str">
        <f>IF(Данные6[[#This Row],[proba]]&gt;$C$6, "отказ", "одобрение")</f>
        <v>отказ</v>
      </c>
      <c r="N302" s="7">
        <f>IF(Данные6[[#This Row],[proba]]&lt;$D$2,$C$2,IF(Данные6[[#This Row],[proba]]&lt;$D$3,$C$3,IF(Данные6[[#This Row],[proba]]&gt;$C$6,0,$C$4)))</f>
        <v>0</v>
      </c>
      <c r="O302" s="2">
        <f>IF(Данные6[[#This Row],[weighted_ext_score]]&gt;$O$1,MIN(Данные6[[#This Row],[Базовая сумма]]*$O$2,$C$2),IF(Данные6[[#This Row],[weighted_ext_score]]&lt;$O$3,Данные6[[#This Row],[Базовая сумма]]*$O$4,N302))</f>
        <v>0</v>
      </c>
      <c r="P3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2" s="2">
        <f>ABS(Данные6[[#This Row],[days_birth]])/365.2425</f>
        <v>51.02363498223783</v>
      </c>
      <c r="S3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2" s="2">
        <f>IF(Данные6[[#This Row],[ interest_rate]]&gt;$T$1,Данные6[[#This Row],[days_birth4]]*$T$2,Данные6[[#This Row],[days_birth4]])</f>
        <v>0</v>
      </c>
      <c r="U302" s="2">
        <f>IF(Данные6[[#This Row],[Проверка отказа]]="отказ",0,MAX(Данные6[[#This Row],[interest_rate]],$C$1))</f>
        <v>0</v>
      </c>
      <c r="V302" s="2">
        <f>MROUND(Данные6[[#This Row],[Минимум 20000]], 100)</f>
        <v>0</v>
      </c>
    </row>
    <row r="303" spans="1:22" x14ac:dyDescent="0.25">
      <c r="A303" s="2">
        <f>'1000_заявлений'!A297</f>
        <v>295</v>
      </c>
      <c r="B303" s="4">
        <f>VALUE(SUBSTITUTE('1000_заявлений'!B297, ".", ","))</f>
        <v>0.31164967736433602</v>
      </c>
      <c r="C303" s="4">
        <f>VALUE(SUBSTITUTE('1000_заявлений'!C297, ".", ","))</f>
        <v>0.49509588221515</v>
      </c>
      <c r="D303" s="4">
        <f>VALUE(SUBSTITUTE('1000_заявлений'!D297, ".", ","))</f>
        <v>0.53527623000000002</v>
      </c>
      <c r="E303" s="4">
        <f>VALUE(SUBSTITUTE('1000_заявлений'!E297, ".", ","))</f>
        <v>0.62524290000000005</v>
      </c>
      <c r="F303" s="5">
        <f>VALUE(SUBSTITUTE('1000_заявлений'!F297, ".", ","))</f>
        <v>-2202</v>
      </c>
      <c r="G303" s="5">
        <f>VALUE(SUBSTITUTE('1000_заявлений'!G297, ".", ","))</f>
        <v>-16895</v>
      </c>
      <c r="H303" s="5">
        <f>VALUE(SUBSTITUTE('1000_заявлений'!H297, ".", ","))</f>
        <v>-449</v>
      </c>
      <c r="I303" s="4">
        <f>VALUE(SUBSTITUTE('1000_заявлений'!I297, ".", ","))</f>
        <v>0.14124999999999999</v>
      </c>
      <c r="J303" s="4">
        <f>VALUE(SUBSTITUTE('1000_заявлений'!J297, ".", ","))</f>
        <v>9.7012444324693305</v>
      </c>
      <c r="K303" s="5">
        <f>VALUE(SUBSTITUTE('1000_заявлений'!K297, ".", ","))</f>
        <v>-679</v>
      </c>
      <c r="L303" s="6">
        <f>VALUE(SUBSTITUTE('1000_заявлений'!L297, ".", ","))</f>
        <v>50850</v>
      </c>
      <c r="M303" s="2" t="str">
        <f>IF(Данные6[[#This Row],[proba]]&gt;$C$6, "отказ", "одобрение")</f>
        <v>отказ</v>
      </c>
      <c r="N303" s="7">
        <f>IF(Данные6[[#This Row],[proba]]&lt;$D$2,$C$2,IF(Данные6[[#This Row],[proba]]&lt;$D$3,$C$3,IF(Данные6[[#This Row],[proba]]&gt;$C$6,0,$C$4)))</f>
        <v>0</v>
      </c>
      <c r="O303" s="2">
        <f>IF(Данные6[[#This Row],[weighted_ext_score]]&gt;$O$1,MIN(Данные6[[#This Row],[Базовая сумма]]*$O$2,$C$2),IF(Данные6[[#This Row],[weighted_ext_score]]&lt;$O$3,Данные6[[#This Row],[Базовая сумма]]*$O$4,N303))</f>
        <v>0</v>
      </c>
      <c r="P3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3" s="2">
        <f>ABS(Данные6[[#This Row],[days_birth]])/365.2425</f>
        <v>46.256938883070838</v>
      </c>
      <c r="S3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3" s="2">
        <f>IF(Данные6[[#This Row],[ interest_rate]]&gt;$T$1,Данные6[[#This Row],[days_birth4]]*$T$2,Данные6[[#This Row],[days_birth4]])</f>
        <v>0</v>
      </c>
      <c r="U303" s="2">
        <f>IF(Данные6[[#This Row],[Проверка отказа]]="отказ",0,MAX(Данные6[[#This Row],[interest_rate]],$C$1))</f>
        <v>0</v>
      </c>
      <c r="V303" s="2">
        <f>MROUND(Данные6[[#This Row],[Минимум 20000]], 100)</f>
        <v>0</v>
      </c>
    </row>
    <row r="304" spans="1:22" x14ac:dyDescent="0.25">
      <c r="A304" s="2">
        <f>'1000_заявлений'!A298</f>
        <v>296</v>
      </c>
      <c r="B304" s="4">
        <f>VALUE(SUBSTITUTE('1000_заявлений'!B298, ".", ","))</f>
        <v>0.21233986792039999</v>
      </c>
      <c r="C304" s="4">
        <f>VALUE(SUBSTITUTE('1000_заявлений'!C298, ".", ","))</f>
        <v>0.47747945549591803</v>
      </c>
      <c r="D304" s="4">
        <f>VALUE(SUBSTITUTE('1000_заявлений'!D298, ".", ","))</f>
        <v>0.63804349999999999</v>
      </c>
      <c r="E304" s="4">
        <f>VALUE(SUBSTITUTE('1000_заявлений'!E298, ".", ","))</f>
        <v>0.76060000000000005</v>
      </c>
      <c r="F304" s="5">
        <f>VALUE(SUBSTITUTE('1000_заявлений'!F298, ".", ","))</f>
        <v>-6436</v>
      </c>
      <c r="G304" s="5">
        <f>VALUE(SUBSTITUTE('1000_заявлений'!G298, ".", ","))</f>
        <v>-19504</v>
      </c>
      <c r="H304" s="5">
        <f>VALUE(SUBSTITUTE('1000_заявлений'!H298, ".", ","))</f>
        <v>-2759</v>
      </c>
      <c r="I304" s="4">
        <f>VALUE(SUBSTITUTE('1000_заявлений'!I298, ".", ","))</f>
        <v>0.26105</v>
      </c>
      <c r="J304" s="4">
        <f>VALUE(SUBSTITUTE('1000_заявлений'!J298, ".", ","))</f>
        <v>16.285286095096101</v>
      </c>
      <c r="K304" s="5">
        <f>VALUE(SUBSTITUTE('1000_заявлений'!K298, ".", ","))</f>
        <v>-12233</v>
      </c>
      <c r="L304" s="6">
        <f>VALUE(SUBSTITUTE('1000_заявлений'!L298, ".", ","))</f>
        <v>23494.5</v>
      </c>
      <c r="M304" s="2" t="str">
        <f>IF(Данные6[[#This Row],[proba]]&gt;$C$6, "отказ", "одобрение")</f>
        <v>одобрение</v>
      </c>
      <c r="N304" s="7">
        <f>IF(Данные6[[#This Row],[proba]]&lt;$D$2,$C$2,IF(Данные6[[#This Row],[proba]]&lt;$D$3,$C$3,IF(Данные6[[#This Row],[proba]]&gt;$C$6,0,$C$4)))</f>
        <v>50000</v>
      </c>
      <c r="O304" s="2">
        <f>IF(Данные6[[#This Row],[weighted_ext_score]]&gt;$O$1,MIN(Данные6[[#This Row],[Базовая сумма]]*$O$2,$C$2),IF(Данные6[[#This Row],[weighted_ext_score]]&lt;$O$3,Данные6[[#This Row],[Базовая сумма]]*$O$4,N304))</f>
        <v>40000</v>
      </c>
      <c r="P3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304" s="2">
        <f>ABS(Данные6[[#This Row],[days_birth]])/365.2425</f>
        <v>53.400138264303855</v>
      </c>
      <c r="S3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304" s="2">
        <f>IF(Данные6[[#This Row],[ interest_rate]]&gt;$T$1,Данные6[[#This Row],[days_birth4]]*$T$2,Данные6[[#This Row],[days_birth4]])</f>
        <v>50400</v>
      </c>
      <c r="U304" s="2">
        <f>IF(Данные6[[#This Row],[Проверка отказа]]="отказ",0,MAX(Данные6[[#This Row],[interest_rate]],$C$1))</f>
        <v>50400</v>
      </c>
      <c r="V304" s="2">
        <f>MROUND(Данные6[[#This Row],[Минимум 20000]], 100)</f>
        <v>50400</v>
      </c>
    </row>
    <row r="305" spans="1:22" x14ac:dyDescent="0.25">
      <c r="A305" s="2">
        <f>'1000_заявлений'!A299</f>
        <v>297</v>
      </c>
      <c r="B305" s="4">
        <f>VALUE(SUBSTITUTE('1000_заявлений'!B299, ".", ","))</f>
        <v>0.39903093849242999</v>
      </c>
      <c r="C305" s="4">
        <f>VALUE(SUBSTITUTE('1000_заявлений'!C299, ".", ","))</f>
        <v>0.36519385267400301</v>
      </c>
      <c r="D305" s="4">
        <f>VALUE(SUBSTITUTE('1000_заявлений'!D299, ".", ","))</f>
        <v>0.52809273999999995</v>
      </c>
      <c r="E305" s="4">
        <f>VALUE(SUBSTITUTE('1000_заявлений'!E299, ".", ","))</f>
        <v>0.53703230000000002</v>
      </c>
      <c r="F305" s="5">
        <f>VALUE(SUBSTITUTE('1000_заявлений'!F299, ".", ","))</f>
        <v>-8172</v>
      </c>
      <c r="G305" s="5">
        <f>VALUE(SUBSTITUTE('1000_заявлений'!G299, ".", ","))</f>
        <v>-14432</v>
      </c>
      <c r="H305" s="5">
        <f>VALUE(SUBSTITUTE('1000_заявлений'!H299, ".", ","))</f>
        <v>-4112</v>
      </c>
      <c r="I305" s="4">
        <f>VALUE(SUBSTITUTE('1000_заявлений'!I299, ".", ","))</f>
        <v>0.12</v>
      </c>
      <c r="J305" s="4">
        <f>VALUE(SUBSTITUTE('1000_заявлений'!J299, ".", ","))</f>
        <v>10.6209759779781</v>
      </c>
      <c r="K305" s="5">
        <f>VALUE(SUBSTITUTE('1000_заявлений'!K299, ".", ","))</f>
        <v>-2728</v>
      </c>
      <c r="L305" s="6">
        <f>VALUE(SUBSTITUTE('1000_заявлений'!L299, ".", ","))</f>
        <v>13500</v>
      </c>
      <c r="M305" s="2" t="str">
        <f>IF(Данные6[[#This Row],[proba]]&gt;$C$6, "отказ", "одобрение")</f>
        <v>отказ</v>
      </c>
      <c r="N305" s="7">
        <f>IF(Данные6[[#This Row],[proba]]&lt;$D$2,$C$2,IF(Данные6[[#This Row],[proba]]&lt;$D$3,$C$3,IF(Данные6[[#This Row],[proba]]&gt;$C$6,0,$C$4)))</f>
        <v>0</v>
      </c>
      <c r="O305" s="2">
        <f>IF(Данные6[[#This Row],[weighted_ext_score]]&gt;$O$1,MIN(Данные6[[#This Row],[Базовая сумма]]*$O$2,$C$2),IF(Данные6[[#This Row],[weighted_ext_score]]&lt;$O$3,Данные6[[#This Row],[Базовая сумма]]*$O$4,N305))</f>
        <v>0</v>
      </c>
      <c r="P3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5" s="2">
        <f>ABS(Данные6[[#This Row],[days_birth]])/365.2425</f>
        <v>39.51347392485814</v>
      </c>
      <c r="S3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5" s="2">
        <f>IF(Данные6[[#This Row],[ interest_rate]]&gt;$T$1,Данные6[[#This Row],[days_birth4]]*$T$2,Данные6[[#This Row],[days_birth4]])</f>
        <v>0</v>
      </c>
      <c r="U305" s="2">
        <f>IF(Данные6[[#This Row],[Проверка отказа]]="отказ",0,MAX(Данные6[[#This Row],[interest_rate]],$C$1))</f>
        <v>0</v>
      </c>
      <c r="V305" s="2">
        <f>MROUND(Данные6[[#This Row],[Минимум 20000]], 100)</f>
        <v>0</v>
      </c>
    </row>
    <row r="306" spans="1:22" x14ac:dyDescent="0.25">
      <c r="A306" s="2">
        <f>'1000_заявлений'!A300</f>
        <v>298</v>
      </c>
      <c r="B306" s="4">
        <f>VALUE(SUBSTITUTE('1000_заявлений'!B300, ".", ","))</f>
        <v>0.58557374641529203</v>
      </c>
      <c r="C306" s="4">
        <f>VALUE(SUBSTITUTE('1000_заявлений'!C300, ".", ","))</f>
        <v>0.40930563145879001</v>
      </c>
      <c r="D306" s="4">
        <f>VALUE(SUBSTITUTE('1000_заявлений'!D300, ".", ","))</f>
        <v>0.2091547</v>
      </c>
      <c r="E306" s="4">
        <f>VALUE(SUBSTITUTE('1000_заявлений'!E300, ".", ","))</f>
        <v>0.65324070000000001</v>
      </c>
      <c r="F306" s="5">
        <f>VALUE(SUBSTITUTE('1000_заявлений'!F300, ".", ","))</f>
        <v>-11042</v>
      </c>
      <c r="G306" s="5">
        <f>VALUE(SUBSTITUTE('1000_заявлений'!G300, ".", ","))</f>
        <v>-11050</v>
      </c>
      <c r="H306" s="5">
        <f>VALUE(SUBSTITUTE('1000_заявлений'!H300, ".", ","))</f>
        <v>-1845</v>
      </c>
      <c r="I306" s="4">
        <f>VALUE(SUBSTITUTE('1000_заявлений'!I300, ".", ","))</f>
        <v>0.15834999999999999</v>
      </c>
      <c r="J306" s="4">
        <f>VALUE(SUBSTITUTE('1000_заявлений'!J300, ".", ","))</f>
        <v>1.8700185498822901</v>
      </c>
      <c r="K306" s="5">
        <f>VALUE(SUBSTITUTE('1000_заявлений'!K300, ".", ","))</f>
        <v>-650</v>
      </c>
      <c r="L306" s="6">
        <f>VALUE(SUBSTITUTE('1000_заявлений'!L300, ".", ","))</f>
        <v>28503</v>
      </c>
      <c r="M306" s="2" t="str">
        <f>IF(Данные6[[#This Row],[proba]]&gt;$C$6, "отказ", "одобрение")</f>
        <v>отказ</v>
      </c>
      <c r="N306" s="7">
        <f>IF(Данные6[[#This Row],[proba]]&lt;$D$2,$C$2,IF(Данные6[[#This Row],[proba]]&lt;$D$3,$C$3,IF(Данные6[[#This Row],[proba]]&gt;$C$6,0,$C$4)))</f>
        <v>0</v>
      </c>
      <c r="O306" s="2">
        <f>IF(Данные6[[#This Row],[weighted_ext_score]]&gt;$O$1,MIN(Данные6[[#This Row],[Базовая сумма]]*$O$2,$C$2),IF(Данные6[[#This Row],[weighted_ext_score]]&lt;$O$3,Данные6[[#This Row],[Базовая сумма]]*$O$4,N306))</f>
        <v>0</v>
      </c>
      <c r="P3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6" s="2">
        <f>ABS(Данные6[[#This Row],[days_birth]])/365.2425</f>
        <v>30.253872427223008</v>
      </c>
      <c r="S3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6" s="2">
        <f>IF(Данные6[[#This Row],[ interest_rate]]&gt;$T$1,Данные6[[#This Row],[days_birth4]]*$T$2,Данные6[[#This Row],[days_birth4]])</f>
        <v>0</v>
      </c>
      <c r="U306" s="2">
        <f>IF(Данные6[[#This Row],[Проверка отказа]]="отказ",0,MAX(Данные6[[#This Row],[interest_rate]],$C$1))</f>
        <v>0</v>
      </c>
      <c r="V306" s="2">
        <f>MROUND(Данные6[[#This Row],[Минимум 20000]], 100)</f>
        <v>0</v>
      </c>
    </row>
    <row r="307" spans="1:22" x14ac:dyDescent="0.25">
      <c r="A307" s="2">
        <f>'1000_заявлений'!A301</f>
        <v>299</v>
      </c>
      <c r="B307" s="4">
        <f>VALUE(SUBSTITUTE('1000_заявлений'!B301, ".", ","))</f>
        <v>0.221424694729736</v>
      </c>
      <c r="C307" s="4">
        <f>VALUE(SUBSTITUTE('1000_заявлений'!C301, ".", ","))</f>
        <v>0.50363771004749303</v>
      </c>
      <c r="D307" s="4">
        <f>VALUE(SUBSTITUTE('1000_заявлений'!D301, ".", ","))</f>
        <v>0.77263110000000002</v>
      </c>
      <c r="E307" s="4">
        <f>VALUE(SUBSTITUTE('1000_заявлений'!E301, ".", ","))</f>
        <v>0.69118243000000001</v>
      </c>
      <c r="F307" s="5">
        <f>VALUE(SUBSTITUTE('1000_заявлений'!F301, ".", ","))</f>
        <v>-712</v>
      </c>
      <c r="G307" s="5">
        <f>VALUE(SUBSTITUTE('1000_заявлений'!G301, ".", ","))</f>
        <v>-17735</v>
      </c>
      <c r="H307" s="5">
        <f>VALUE(SUBSTITUTE('1000_заявлений'!H301, ".", ","))</f>
        <v>-1289</v>
      </c>
      <c r="I307" s="4">
        <f>VALUE(SUBSTITUTE('1000_заявлений'!I301, ".", ","))</f>
        <v>0.19070000000000001</v>
      </c>
      <c r="J307" s="4">
        <f>VALUE(SUBSTITUTE('1000_заявлений'!J301, ".", ","))</f>
        <v>4.4877030995023697</v>
      </c>
      <c r="K307" s="5">
        <f>VALUE(SUBSTITUTE('1000_заявлений'!K301, ".", ","))</f>
        <v>-1739</v>
      </c>
      <c r="L307" s="6">
        <f>VALUE(SUBSTITUTE('1000_заявлений'!L301, ".", ","))</f>
        <v>34326</v>
      </c>
      <c r="M307" s="2" t="str">
        <f>IF(Данные6[[#This Row],[proba]]&gt;$C$6, "отказ", "одобрение")</f>
        <v>одобрение</v>
      </c>
      <c r="N307" s="7">
        <f>IF(Данные6[[#This Row],[proba]]&lt;$D$2,$C$2,IF(Данные6[[#This Row],[proba]]&lt;$D$3,$C$3,IF(Данные6[[#This Row],[proba]]&gt;$C$6,0,$C$4)))</f>
        <v>50000</v>
      </c>
      <c r="O307" s="2">
        <f>IF(Данные6[[#This Row],[weighted_ext_score]]&gt;$O$1,MIN(Данные6[[#This Row],[Базовая сумма]]*$O$2,$C$2),IF(Данные6[[#This Row],[weighted_ext_score]]&lt;$O$3,Данные6[[#This Row],[Базовая сумма]]*$O$4,N307))</f>
        <v>50000</v>
      </c>
      <c r="P3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307" s="2">
        <f>ABS(Данные6[[#This Row],[days_birth]])/365.2425</f>
        <v>48.556780768941181</v>
      </c>
      <c r="S3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307" s="2">
        <f>IF(Данные6[[#This Row],[ interest_rate]]&gt;$T$1,Данные6[[#This Row],[days_birth4]]*$T$2,Данные6[[#This Row],[days_birth4]])</f>
        <v>35000</v>
      </c>
      <c r="U307" s="2">
        <f>IF(Данные6[[#This Row],[Проверка отказа]]="отказ",0,MAX(Данные6[[#This Row],[interest_rate]],$C$1))</f>
        <v>35000</v>
      </c>
      <c r="V307" s="2">
        <f>MROUND(Данные6[[#This Row],[Минимум 20000]], 100)</f>
        <v>35000</v>
      </c>
    </row>
    <row r="308" spans="1:22" x14ac:dyDescent="0.25">
      <c r="A308" s="2">
        <f>'1000_заявлений'!A302</f>
        <v>300</v>
      </c>
      <c r="B308" s="4">
        <f>VALUE(SUBSTITUTE('1000_заявлений'!B302, ".", ","))</f>
        <v>9.0727238286946205E-2</v>
      </c>
      <c r="C308" s="4">
        <f>VALUE(SUBSTITUTE('1000_заявлений'!C302, ".", ","))</f>
        <v>0.74067939964783103</v>
      </c>
      <c r="D308" s="4">
        <f>VALUE(SUBSTITUTE('1000_заявлений'!D302, ".", ","))</f>
        <v>0.83478414999999995</v>
      </c>
      <c r="E308" s="4">
        <f>VALUE(SUBSTITUTE('1000_заявлений'!E302, ".", ","))</f>
        <v>0.64656866000000002</v>
      </c>
      <c r="F308" s="5">
        <f>VALUE(SUBSTITUTE('1000_заявлений'!F302, ".", ","))</f>
        <v>-8248</v>
      </c>
      <c r="G308" s="5">
        <f>VALUE(SUBSTITUTE('1000_заявлений'!G302, ".", ","))</f>
        <v>-21517</v>
      </c>
      <c r="H308" s="5">
        <f>VALUE(SUBSTITUTE('1000_заявлений'!H302, ".", ","))</f>
        <v>-4830</v>
      </c>
      <c r="I308" s="4">
        <f>VALUE(SUBSTITUTE('1000_заявлений'!I302, ".", ","))</f>
        <v>0.21392307692307599</v>
      </c>
      <c r="J308" s="4">
        <f>VALUE(SUBSTITUTE('1000_заявлений'!J302, ".", ","))</f>
        <v>2.9654155270490001</v>
      </c>
      <c r="K308" s="5">
        <f>VALUE(SUBSTITUTE('1000_заявлений'!K302, ".", ","))</f>
        <v>365243</v>
      </c>
      <c r="L308" s="6">
        <f>VALUE(SUBSTITUTE('1000_заявлений'!L302, ".", ","))</f>
        <v>62572.5</v>
      </c>
      <c r="M308" s="2" t="str">
        <f>IF(Данные6[[#This Row],[proba]]&gt;$C$6, "отказ", "одобрение")</f>
        <v>одобрение</v>
      </c>
      <c r="N308" s="7">
        <f>IF(Данные6[[#This Row],[proba]]&lt;$D$2,$C$2,IF(Данные6[[#This Row],[proba]]&lt;$D$3,$C$3,IF(Данные6[[#This Row],[proba]]&gt;$C$6,0,$C$4)))</f>
        <v>300000</v>
      </c>
      <c r="O308" s="2">
        <f>IF(Данные6[[#This Row],[weighted_ext_score]]&gt;$O$1,MIN(Данные6[[#This Row],[Базовая сумма]]*$O$2,$C$2),IF(Данные6[[#This Row],[weighted_ext_score]]&lt;$O$3,Данные6[[#This Row],[Базовая сумма]]*$O$4,N308))</f>
        <v>300000</v>
      </c>
      <c r="P3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3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308" s="2">
        <f>ABS(Данные6[[#This Row],[days_birth]])/365.2425</f>
        <v>58.911545069371719</v>
      </c>
      <c r="S3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308" s="2">
        <f>IF(Данные6[[#This Row],[ interest_rate]]&gt;$T$1,Данные6[[#This Row],[days_birth4]]*$T$2,Данные6[[#This Row],[days_birth4]])</f>
        <v>300000</v>
      </c>
      <c r="U308" s="2">
        <f>IF(Данные6[[#This Row],[Проверка отказа]]="отказ",0,MAX(Данные6[[#This Row],[interest_rate]],$C$1))</f>
        <v>300000</v>
      </c>
      <c r="V308" s="2">
        <f>MROUND(Данные6[[#This Row],[Минимум 20000]], 100)</f>
        <v>300000</v>
      </c>
    </row>
    <row r="309" spans="1:22" x14ac:dyDescent="0.25">
      <c r="A309" s="2">
        <f>'1000_заявлений'!A303</f>
        <v>301</v>
      </c>
      <c r="B309" s="4">
        <f>VALUE(SUBSTITUTE('1000_заявлений'!B303, ".", ","))</f>
        <v>0.67407006895999</v>
      </c>
      <c r="C309" s="4">
        <f>VALUE(SUBSTITUTE('1000_заявлений'!C303, ".", ","))</f>
        <v>0.27108286540114401</v>
      </c>
      <c r="D309" s="4">
        <f>VALUE(SUBSTITUTE('1000_заявлений'!D303, ".", ","))</f>
        <v>0.24054141000000001</v>
      </c>
      <c r="E309" s="4">
        <f>VALUE(SUBSTITUTE('1000_заявлений'!E303, ".", ","))</f>
        <v>0.39526084</v>
      </c>
      <c r="F309" s="5">
        <f>VALUE(SUBSTITUTE('1000_заявлений'!F303, ".", ","))</f>
        <v>-7538</v>
      </c>
      <c r="G309" s="5">
        <f>VALUE(SUBSTITUTE('1000_заявлений'!G303, ".", ","))</f>
        <v>-14134</v>
      </c>
      <c r="H309" s="5">
        <f>VALUE(SUBSTITUTE('1000_заявлений'!H303, ".", ","))</f>
        <v>-4392</v>
      </c>
      <c r="I309" s="4">
        <f>VALUE(SUBSTITUTE('1000_заявлений'!I303, ".", ","))</f>
        <v>0.126944444444444</v>
      </c>
      <c r="J309" s="4">
        <f>VALUE(SUBSTITUTE('1000_заявлений'!J303, ".", ","))</f>
        <v>2.4324082973854901</v>
      </c>
      <c r="K309" s="5">
        <f>VALUE(SUBSTITUTE('1000_заявлений'!K303, ".", ","))</f>
        <v>-2327</v>
      </c>
      <c r="L309" s="6">
        <f>VALUE(SUBSTITUTE('1000_заявлений'!L303, ".", ","))</f>
        <v>51412.5</v>
      </c>
      <c r="M309" s="2" t="str">
        <f>IF(Данные6[[#This Row],[proba]]&gt;$C$6, "отказ", "одобрение")</f>
        <v>отказ</v>
      </c>
      <c r="N309" s="7">
        <f>IF(Данные6[[#This Row],[proba]]&lt;$D$2,$C$2,IF(Данные6[[#This Row],[proba]]&lt;$D$3,$C$3,IF(Данные6[[#This Row],[proba]]&gt;$C$6,0,$C$4)))</f>
        <v>0</v>
      </c>
      <c r="O309" s="2">
        <f>IF(Данные6[[#This Row],[weighted_ext_score]]&gt;$O$1,MIN(Данные6[[#This Row],[Базовая сумма]]*$O$2,$C$2),IF(Данные6[[#This Row],[weighted_ext_score]]&lt;$O$3,Данные6[[#This Row],[Базовая сумма]]*$O$4,N309))</f>
        <v>0</v>
      </c>
      <c r="P3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09" s="2">
        <f>ABS(Данные6[[#This Row],[days_birth]])/365.2425</f>
        <v>38.697577636775563</v>
      </c>
      <c r="S3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09" s="2">
        <f>IF(Данные6[[#This Row],[ interest_rate]]&gt;$T$1,Данные6[[#This Row],[days_birth4]]*$T$2,Данные6[[#This Row],[days_birth4]])</f>
        <v>0</v>
      </c>
      <c r="U309" s="2">
        <f>IF(Данные6[[#This Row],[Проверка отказа]]="отказ",0,MAX(Данные6[[#This Row],[interest_rate]],$C$1))</f>
        <v>0</v>
      </c>
      <c r="V309" s="2">
        <f>MROUND(Данные6[[#This Row],[Минимум 20000]], 100)</f>
        <v>0</v>
      </c>
    </row>
    <row r="310" spans="1:22" x14ac:dyDescent="0.25">
      <c r="A310" s="2">
        <f>'1000_заявлений'!A304</f>
        <v>302</v>
      </c>
      <c r="B310" s="4">
        <f>VALUE(SUBSTITUTE('1000_заявлений'!B304, ".", ","))</f>
        <v>0.44506518567798498</v>
      </c>
      <c r="C310" s="4">
        <f>VALUE(SUBSTITUTE('1000_заявлений'!C304, ".", ","))</f>
        <v>0.45701798180880698</v>
      </c>
      <c r="D310" s="4">
        <f>VALUE(SUBSTITUTE('1000_заявлений'!D304, ".", ","))</f>
        <v>0.54244510000000001</v>
      </c>
      <c r="E310" s="4">
        <f>VALUE(SUBSTITUTE('1000_заявлений'!E304, ".", ","))</f>
        <v>0.51672982999999995</v>
      </c>
      <c r="F310" s="5">
        <f>VALUE(SUBSTITUTE('1000_заявлений'!F304, ".", ","))</f>
        <v>-1603</v>
      </c>
      <c r="G310" s="5">
        <f>VALUE(SUBSTITUTE('1000_заявлений'!G304, ".", ","))</f>
        <v>-10398</v>
      </c>
      <c r="H310" s="5">
        <f>VALUE(SUBSTITUTE('1000_заявлений'!H304, ".", ","))</f>
        <v>-2955</v>
      </c>
      <c r="I310" s="4">
        <f>VALUE(SUBSTITUTE('1000_заявлений'!I304, ".", ","))</f>
        <v>0.16214285714285701</v>
      </c>
      <c r="J310" s="4">
        <f>VALUE(SUBSTITUTE('1000_заявлений'!J304, ".", ","))</f>
        <v>3.2308359537540801</v>
      </c>
      <c r="K310" s="5">
        <f>VALUE(SUBSTITUTE('1000_заявлений'!K304, ".", ","))</f>
        <v>-872</v>
      </c>
      <c r="L310" s="6">
        <f>VALUE(SUBSTITUTE('1000_заявлений'!L304, ".", ","))</f>
        <v>25537.5</v>
      </c>
      <c r="M310" s="2" t="str">
        <f>IF(Данные6[[#This Row],[proba]]&gt;$C$6, "отказ", "одобрение")</f>
        <v>отказ</v>
      </c>
      <c r="N310" s="7">
        <f>IF(Данные6[[#This Row],[proba]]&lt;$D$2,$C$2,IF(Данные6[[#This Row],[proba]]&lt;$D$3,$C$3,IF(Данные6[[#This Row],[proba]]&gt;$C$6,0,$C$4)))</f>
        <v>0</v>
      </c>
      <c r="O310" s="2">
        <f>IF(Данные6[[#This Row],[weighted_ext_score]]&gt;$O$1,MIN(Данные6[[#This Row],[Базовая сумма]]*$O$2,$C$2),IF(Данные6[[#This Row],[weighted_ext_score]]&lt;$O$3,Данные6[[#This Row],[Базовая сумма]]*$O$4,N310))</f>
        <v>0</v>
      </c>
      <c r="P3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0" s="2">
        <f>ABS(Данные6[[#This Row],[days_birth]])/365.2425</f>
        <v>28.468757058666501</v>
      </c>
      <c r="S3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0" s="2">
        <f>IF(Данные6[[#This Row],[ interest_rate]]&gt;$T$1,Данные6[[#This Row],[days_birth4]]*$T$2,Данные6[[#This Row],[days_birth4]])</f>
        <v>0</v>
      </c>
      <c r="U310" s="2">
        <f>IF(Данные6[[#This Row],[Проверка отказа]]="отказ",0,MAX(Данные6[[#This Row],[interest_rate]],$C$1))</f>
        <v>0</v>
      </c>
      <c r="V310" s="2">
        <f>MROUND(Данные6[[#This Row],[Минимум 20000]], 100)</f>
        <v>0</v>
      </c>
    </row>
    <row r="311" spans="1:22" x14ac:dyDescent="0.25">
      <c r="A311" s="2">
        <f>'1000_заявлений'!A305</f>
        <v>303</v>
      </c>
      <c r="B311" s="4">
        <f>VALUE(SUBSTITUTE('1000_заявлений'!B305, ".", ","))</f>
        <v>0.28948008221621702</v>
      </c>
      <c r="C311" s="4">
        <f>VALUE(SUBSTITUTE('1000_заявлений'!C305, ".", ","))</f>
        <v>0.54096370119338499</v>
      </c>
      <c r="D311" s="4">
        <f>VALUE(SUBSTITUTE('1000_заявлений'!D305, ".", ","))</f>
        <v>0.65126019999999996</v>
      </c>
      <c r="E311" s="4">
        <f>VALUE(SUBSTITUTE('1000_заявлений'!E305, ".", ","))</f>
        <v>0.61571670000000001</v>
      </c>
      <c r="F311" s="5">
        <f>VALUE(SUBSTITUTE('1000_заявлений'!F305, ".", ","))</f>
        <v>-4366</v>
      </c>
      <c r="G311" s="5">
        <f>VALUE(SUBSTITUTE('1000_заявлений'!G305, ".", ","))</f>
        <v>-12147</v>
      </c>
      <c r="H311" s="5">
        <f>VALUE(SUBSTITUTE('1000_заявлений'!H305, ".", ","))</f>
        <v>-3548</v>
      </c>
      <c r="I311" s="4">
        <f>VALUE(SUBSTITUTE('1000_заявлений'!I305, ".", ","))</f>
        <v>0.206383333333333</v>
      </c>
      <c r="J311" s="4">
        <f>VALUE(SUBSTITUTE('1000_заявлений'!J305, ".", ","))</f>
        <v>1.85247295055912</v>
      </c>
      <c r="K311" s="5">
        <f>VALUE(SUBSTITUTE('1000_заявлений'!K305, ".", ","))</f>
        <v>-1289</v>
      </c>
      <c r="L311" s="6">
        <f>VALUE(SUBSTITUTE('1000_заявлений'!L305, ".", ","))</f>
        <v>55723.5</v>
      </c>
      <c r="M311" s="2" t="str">
        <f>IF(Данные6[[#This Row],[proba]]&gt;$C$6, "отказ", "одобрение")</f>
        <v>одобрение</v>
      </c>
      <c r="N311" s="7">
        <f>IF(Данные6[[#This Row],[proba]]&lt;$D$2,$C$2,IF(Данные6[[#This Row],[proba]]&lt;$D$3,$C$3,IF(Данные6[[#This Row],[proba]]&gt;$C$6,0,$C$4)))</f>
        <v>50000</v>
      </c>
      <c r="O311" s="2">
        <f>IF(Данные6[[#This Row],[weighted_ext_score]]&gt;$O$1,MIN(Данные6[[#This Row],[Базовая сумма]]*$O$2,$C$2),IF(Данные6[[#This Row],[weighted_ext_score]]&lt;$O$3,Данные6[[#This Row],[Базовая сумма]]*$O$4,N311))</f>
        <v>50000</v>
      </c>
      <c r="P3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311" s="2">
        <f>ABS(Данные6[[#This Row],[days_birth]])/365.2425</f>
        <v>33.257356413889404</v>
      </c>
      <c r="S3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311" s="2">
        <f>IF(Данные6[[#This Row],[ interest_rate]]&gt;$T$1,Данные6[[#This Row],[days_birth4]]*$T$2,Данные6[[#This Row],[days_birth4]])</f>
        <v>35000</v>
      </c>
      <c r="U311" s="2">
        <f>IF(Данные6[[#This Row],[Проверка отказа]]="отказ",0,MAX(Данные6[[#This Row],[interest_rate]],$C$1))</f>
        <v>35000</v>
      </c>
      <c r="V311" s="2">
        <f>MROUND(Данные6[[#This Row],[Минимум 20000]], 100)</f>
        <v>35000</v>
      </c>
    </row>
    <row r="312" spans="1:22" x14ac:dyDescent="0.25">
      <c r="A312" s="2">
        <f>'1000_заявлений'!A306</f>
        <v>304</v>
      </c>
      <c r="B312" s="4">
        <f>VALUE(SUBSTITUTE('1000_заявлений'!B306, ".", ","))</f>
        <v>0.34467703194432397</v>
      </c>
      <c r="C312" s="4">
        <f>VALUE(SUBSTITUTE('1000_заявлений'!C306, ".", ","))</f>
        <v>0.40697940223128898</v>
      </c>
      <c r="D312" s="4">
        <f>VALUE(SUBSTITUTE('1000_заявлений'!D306, ".", ","))</f>
        <v>0.82770264000000005</v>
      </c>
      <c r="E312" s="4">
        <f>VALUE(SUBSTITUTE('1000_заявлений'!E306, ".", ","))</f>
        <v>0.33179863999999998</v>
      </c>
      <c r="F312" s="5">
        <f>VALUE(SUBSTITUTE('1000_заявлений'!F306, ".", ","))</f>
        <v>-4041</v>
      </c>
      <c r="G312" s="5">
        <f>VALUE(SUBSTITUTE('1000_заявлений'!G306, ".", ","))</f>
        <v>-12327</v>
      </c>
      <c r="H312" s="5">
        <f>VALUE(SUBSTITUTE('1000_заявлений'!H306, ".", ","))</f>
        <v>-4067</v>
      </c>
      <c r="I312" s="4">
        <f>VALUE(SUBSTITUTE('1000_заявлений'!I306, ".", ","))</f>
        <v>8.6107142857142799E-2</v>
      </c>
      <c r="J312" s="4">
        <f>VALUE(SUBSTITUTE('1000_заявлений'!J306, ".", ","))</f>
        <v>5.6691271542646398</v>
      </c>
      <c r="K312" s="5">
        <f>VALUE(SUBSTITUTE('1000_заявлений'!K306, ".", ","))</f>
        <v>-1374</v>
      </c>
      <c r="L312" s="6">
        <f>VALUE(SUBSTITUTE('1000_заявлений'!L306, ".", ","))</f>
        <v>10849.5</v>
      </c>
      <c r="M312" s="2" t="str">
        <f>IF(Данные6[[#This Row],[proba]]&gt;$C$6, "отказ", "одобрение")</f>
        <v>отказ</v>
      </c>
      <c r="N312" s="7">
        <f>IF(Данные6[[#This Row],[proba]]&lt;$D$2,$C$2,IF(Данные6[[#This Row],[proba]]&lt;$D$3,$C$3,IF(Данные6[[#This Row],[proba]]&gt;$C$6,0,$C$4)))</f>
        <v>0</v>
      </c>
      <c r="O312" s="2">
        <f>IF(Данные6[[#This Row],[weighted_ext_score]]&gt;$O$1,MIN(Данные6[[#This Row],[Базовая сумма]]*$O$2,$C$2),IF(Данные6[[#This Row],[weighted_ext_score]]&lt;$O$3,Данные6[[#This Row],[Базовая сумма]]*$O$4,N312))</f>
        <v>0</v>
      </c>
      <c r="P3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2" s="2">
        <f>ABS(Данные6[[#This Row],[days_birth]])/365.2425</f>
        <v>33.750179675147336</v>
      </c>
      <c r="S3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2" s="2">
        <f>IF(Данные6[[#This Row],[ interest_rate]]&gt;$T$1,Данные6[[#This Row],[days_birth4]]*$T$2,Данные6[[#This Row],[days_birth4]])</f>
        <v>0</v>
      </c>
      <c r="U312" s="2">
        <f>IF(Данные6[[#This Row],[Проверка отказа]]="отказ",0,MAX(Данные6[[#This Row],[interest_rate]],$C$1))</f>
        <v>0</v>
      </c>
      <c r="V312" s="2">
        <f>MROUND(Данные6[[#This Row],[Минимум 20000]], 100)</f>
        <v>0</v>
      </c>
    </row>
    <row r="313" spans="1:22" x14ac:dyDescent="0.25">
      <c r="A313" s="2">
        <f>'1000_заявлений'!A307</f>
        <v>305</v>
      </c>
      <c r="B313" s="4">
        <f>VALUE(SUBSTITUTE('1000_заявлений'!B307, ".", ","))</f>
        <v>0.582485561975429</v>
      </c>
      <c r="C313" s="4">
        <f>VALUE(SUBSTITUTE('1000_заявлений'!C307, ".", ","))</f>
        <v>0.26017495151809</v>
      </c>
      <c r="D313" s="4">
        <f>VALUE(SUBSTITUTE('1000_заявлений'!D307, ".", ","))</f>
        <v>0.48665314999999998</v>
      </c>
      <c r="E313" s="4">
        <f>VALUE(SUBSTITUTE('1000_заявлений'!E307, ".", ","))</f>
        <v>0.25947976</v>
      </c>
      <c r="F313" s="5">
        <f>VALUE(SUBSTITUTE('1000_заявлений'!F307, ".", ","))</f>
        <v>-567</v>
      </c>
      <c r="G313" s="5">
        <f>VALUE(SUBSTITUTE('1000_заявлений'!G307, ".", ","))</f>
        <v>-22104</v>
      </c>
      <c r="H313" s="5">
        <f>VALUE(SUBSTITUTE('1000_заявлений'!H307, ".", ","))</f>
        <v>-4155</v>
      </c>
      <c r="I313" s="4">
        <f>VALUE(SUBSTITUTE('1000_заявлений'!I307, ".", ","))</f>
        <v>0.18281818181818099</v>
      </c>
      <c r="J313" s="4">
        <f>VALUE(SUBSTITUTE('1000_заявлений'!J307, ".", ","))</f>
        <v>0.91630205959452005</v>
      </c>
      <c r="K313" s="5">
        <f>VALUE(SUBSTITUTE('1000_заявлений'!K307, ".", ","))</f>
        <v>365243</v>
      </c>
      <c r="L313" s="6">
        <f>VALUE(SUBSTITUTE('1000_заявлений'!L307, ".", ","))</f>
        <v>9049.5</v>
      </c>
      <c r="M313" s="2" t="str">
        <f>IF(Данные6[[#This Row],[proba]]&gt;$C$6, "отказ", "одобрение")</f>
        <v>отказ</v>
      </c>
      <c r="N313" s="7">
        <f>IF(Данные6[[#This Row],[proba]]&lt;$D$2,$C$2,IF(Данные6[[#This Row],[proba]]&lt;$D$3,$C$3,IF(Данные6[[#This Row],[proba]]&gt;$C$6,0,$C$4)))</f>
        <v>0</v>
      </c>
      <c r="O313" s="2">
        <f>IF(Данные6[[#This Row],[weighted_ext_score]]&gt;$O$1,MIN(Данные6[[#This Row],[Базовая сумма]]*$O$2,$C$2),IF(Данные6[[#This Row],[weighted_ext_score]]&lt;$O$3,Данные6[[#This Row],[Базовая сумма]]*$O$4,N313))</f>
        <v>0</v>
      </c>
      <c r="P3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3" s="2">
        <f>ABS(Данные6[[#This Row],[days_birth]])/365.2425</f>
        <v>60.51869648247397</v>
      </c>
      <c r="S3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3" s="2">
        <f>IF(Данные6[[#This Row],[ interest_rate]]&gt;$T$1,Данные6[[#This Row],[days_birth4]]*$T$2,Данные6[[#This Row],[days_birth4]])</f>
        <v>0</v>
      </c>
      <c r="U313" s="2">
        <f>IF(Данные6[[#This Row],[Проверка отказа]]="отказ",0,MAX(Данные6[[#This Row],[interest_rate]],$C$1))</f>
        <v>0</v>
      </c>
      <c r="V313" s="2">
        <f>MROUND(Данные6[[#This Row],[Минимум 20000]], 100)</f>
        <v>0</v>
      </c>
    </row>
    <row r="314" spans="1:22" x14ac:dyDescent="0.25">
      <c r="A314" s="2">
        <f>'1000_заявлений'!A308</f>
        <v>306</v>
      </c>
      <c r="B314" s="4">
        <f>VALUE(SUBSTITUTE('1000_заявлений'!B308, ".", ","))</f>
        <v>0.21788543851784001</v>
      </c>
      <c r="C314" s="4">
        <f>VALUE(SUBSTITUTE('1000_заявлений'!C308, ".", ","))</f>
        <v>0.65202037880499197</v>
      </c>
      <c r="D314" s="4">
        <f>VALUE(SUBSTITUTE('1000_заявлений'!D308, ".", ","))</f>
        <v>0.64136826999999996</v>
      </c>
      <c r="E314" s="4">
        <f>VALUE(SUBSTITUTE('1000_заявлений'!E308, ".", ","))</f>
        <v>0.55128080000000002</v>
      </c>
      <c r="F314" s="5">
        <f>VALUE(SUBSTITUTE('1000_заявлений'!F308, ".", ","))</f>
        <v>-161</v>
      </c>
      <c r="G314" s="5">
        <f>VALUE(SUBSTITUTE('1000_заявлений'!G308, ".", ","))</f>
        <v>-19652</v>
      </c>
      <c r="H314" s="5">
        <f>VALUE(SUBSTITUTE('1000_заявлений'!H308, ".", ","))</f>
        <v>-3185</v>
      </c>
      <c r="I314" s="4">
        <f>VALUE(SUBSTITUTE('1000_заявлений'!I308, ".", ","))</f>
        <v>0.24664</v>
      </c>
      <c r="J314" s="4">
        <f>VALUE(SUBSTITUTE('1000_заявлений'!J308, ".", ","))</f>
        <v>6.6904785087607603</v>
      </c>
      <c r="K314" s="5">
        <f>VALUE(SUBSTITUTE('1000_заявлений'!K308, ".", ","))</f>
        <v>-10469</v>
      </c>
      <c r="L314" s="6">
        <f>VALUE(SUBSTITUTE('1000_заявлений'!L308, ".", ","))</f>
        <v>83241</v>
      </c>
      <c r="M314" s="2" t="str">
        <f>IF(Данные6[[#This Row],[proba]]&gt;$C$6, "отказ", "одобрение")</f>
        <v>одобрение</v>
      </c>
      <c r="N314" s="7">
        <f>IF(Данные6[[#This Row],[proba]]&lt;$D$2,$C$2,IF(Данные6[[#This Row],[proba]]&lt;$D$3,$C$3,IF(Данные6[[#This Row],[proba]]&gt;$C$6,0,$C$4)))</f>
        <v>50000</v>
      </c>
      <c r="O314" s="2">
        <f>IF(Данные6[[#This Row],[weighted_ext_score]]&gt;$O$1,MIN(Данные6[[#This Row],[Базовая сумма]]*$O$2,$C$2),IF(Данные6[[#This Row],[weighted_ext_score]]&lt;$O$3,Данные6[[#This Row],[Базовая сумма]]*$O$4,N314))</f>
        <v>50000</v>
      </c>
      <c r="P3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314" s="2">
        <f>ABS(Данные6[[#This Row],[days_birth]])/365.2425</f>
        <v>53.805348501338152</v>
      </c>
      <c r="S3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63000</v>
      </c>
      <c r="T314" s="2">
        <f>IF(Данные6[[#This Row],[ interest_rate]]&gt;$T$1,Данные6[[#This Row],[days_birth4]]*$T$2,Данные6[[#This Row],[days_birth4]])</f>
        <v>63000</v>
      </c>
      <c r="U314" s="2">
        <f>IF(Данные6[[#This Row],[Проверка отказа]]="отказ",0,MAX(Данные6[[#This Row],[interest_rate]],$C$1))</f>
        <v>63000</v>
      </c>
      <c r="V314" s="2">
        <f>MROUND(Данные6[[#This Row],[Минимум 20000]], 100)</f>
        <v>63000</v>
      </c>
    </row>
    <row r="315" spans="1:22" x14ac:dyDescent="0.25">
      <c r="A315" s="2">
        <f>'1000_заявлений'!A309</f>
        <v>307</v>
      </c>
      <c r="B315" s="4">
        <f>VALUE(SUBSTITUTE('1000_заявлений'!B309, ".", ","))</f>
        <v>0.51907740954732895</v>
      </c>
      <c r="C315" s="4">
        <f>VALUE(SUBSTITUTE('1000_заявлений'!C309, ".", ","))</f>
        <v>0.42282426667572398</v>
      </c>
      <c r="D315" s="4">
        <f>VALUE(SUBSTITUTE('1000_заявлений'!D309, ".", ","))</f>
        <v>0.63135450000000004</v>
      </c>
      <c r="E315" s="4">
        <f>VALUE(SUBSTITUTE('1000_заявлений'!E309, ".", ","))</f>
        <v>0.19008079999999999</v>
      </c>
      <c r="F315" s="5">
        <f>VALUE(SUBSTITUTE('1000_заявлений'!F309, ".", ","))</f>
        <v>-245</v>
      </c>
      <c r="G315" s="5">
        <f>VALUE(SUBSTITUTE('1000_заявлений'!G309, ".", ","))</f>
        <v>-15278</v>
      </c>
      <c r="H315" s="5">
        <f>VALUE(SUBSTITUTE('1000_заявлений'!H309, ".", ","))</f>
        <v>-4170</v>
      </c>
      <c r="I315" s="4">
        <f>VALUE(SUBSTITUTE('1000_заявлений'!I309, ".", ","))</f>
        <v>0.17147999999999999</v>
      </c>
      <c r="J315" s="4">
        <f>VALUE(SUBSTITUTE('1000_заявлений'!J309, ".", ","))</f>
        <v>3.2195561160111899</v>
      </c>
      <c r="K315" s="5">
        <f>VALUE(SUBSTITUTE('1000_заявлений'!K309, ".", ","))</f>
        <v>-1081</v>
      </c>
      <c r="L315" s="6">
        <f>VALUE(SUBSTITUTE('1000_заявлений'!L309, ".", ","))</f>
        <v>19291.5</v>
      </c>
      <c r="M315" s="2" t="str">
        <f>IF(Данные6[[#This Row],[proba]]&gt;$C$6, "отказ", "одобрение")</f>
        <v>отказ</v>
      </c>
      <c r="N315" s="7">
        <f>IF(Данные6[[#This Row],[proba]]&lt;$D$2,$C$2,IF(Данные6[[#This Row],[proba]]&lt;$D$3,$C$3,IF(Данные6[[#This Row],[proba]]&gt;$C$6,0,$C$4)))</f>
        <v>0</v>
      </c>
      <c r="O315" s="2">
        <f>IF(Данные6[[#This Row],[weighted_ext_score]]&gt;$O$1,MIN(Данные6[[#This Row],[Базовая сумма]]*$O$2,$C$2),IF(Данные6[[#This Row],[weighted_ext_score]]&lt;$O$3,Данные6[[#This Row],[Базовая сумма]]*$O$4,N315))</f>
        <v>0</v>
      </c>
      <c r="P3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5" s="2">
        <f>ABS(Данные6[[#This Row],[days_birth]])/365.2425</f>
        <v>41.82974325277042</v>
      </c>
      <c r="S3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5" s="2">
        <f>IF(Данные6[[#This Row],[ interest_rate]]&gt;$T$1,Данные6[[#This Row],[days_birth4]]*$T$2,Данные6[[#This Row],[days_birth4]])</f>
        <v>0</v>
      </c>
      <c r="U315" s="2">
        <f>IF(Данные6[[#This Row],[Проверка отказа]]="отказ",0,MAX(Данные6[[#This Row],[interest_rate]],$C$1))</f>
        <v>0</v>
      </c>
      <c r="V315" s="2">
        <f>MROUND(Данные6[[#This Row],[Минимум 20000]], 100)</f>
        <v>0</v>
      </c>
    </row>
    <row r="316" spans="1:22" x14ac:dyDescent="0.25">
      <c r="A316" s="2">
        <f>'1000_заявлений'!A310</f>
        <v>308</v>
      </c>
      <c r="B316" s="4">
        <f>VALUE(SUBSTITUTE('1000_заявлений'!B310, ".", ","))</f>
        <v>0.209867151077057</v>
      </c>
      <c r="C316" s="4">
        <f>VALUE(SUBSTITUTE('1000_заявлений'!C310, ".", ","))</f>
        <v>0.62727572363483297</v>
      </c>
      <c r="D316" s="4">
        <f>VALUE(SUBSTITUTE('1000_заявлений'!D310, ".", ","))</f>
        <v>0.65615840000000003</v>
      </c>
      <c r="E316" s="4">
        <f>VALUE(SUBSTITUTE('1000_заявлений'!E310, ".", ","))</f>
        <v>0.53114470000000003</v>
      </c>
      <c r="F316" s="5">
        <f>VALUE(SUBSTITUTE('1000_заявлений'!F310, ".", ","))</f>
        <v>-10411</v>
      </c>
      <c r="G316" s="5">
        <f>VALUE(SUBSTITUTE('1000_заявлений'!G310, ".", ","))</f>
        <v>-21582</v>
      </c>
      <c r="H316" s="5">
        <f>VALUE(SUBSTITUTE('1000_заявлений'!H310, ".", ","))</f>
        <v>-3915</v>
      </c>
      <c r="I316" s="4">
        <f>VALUE(SUBSTITUTE('1000_заявлений'!I310, ".", ","))</f>
        <v>0.14044444444444401</v>
      </c>
      <c r="J316" s="4">
        <f>VALUE(SUBSTITUTE('1000_заявлений'!J310, ".", ","))</f>
        <v>0.62575228315271403</v>
      </c>
      <c r="K316" s="5">
        <f>VALUE(SUBSTITUTE('1000_заявлений'!K310, ".", ","))</f>
        <v>365243</v>
      </c>
      <c r="L316" s="6">
        <f>VALUE(SUBSTITUTE('1000_заявлений'!L310, ".", ","))</f>
        <v>5688</v>
      </c>
      <c r="M316" s="2" t="str">
        <f>IF(Данные6[[#This Row],[proba]]&gt;$C$6, "отказ", "одобрение")</f>
        <v>одобрение</v>
      </c>
      <c r="N316" s="7">
        <f>IF(Данные6[[#This Row],[proba]]&lt;$D$2,$C$2,IF(Данные6[[#This Row],[proba]]&lt;$D$3,$C$3,IF(Данные6[[#This Row],[proba]]&gt;$C$6,0,$C$4)))</f>
        <v>50000</v>
      </c>
      <c r="O316" s="2">
        <f>IF(Данные6[[#This Row],[weighted_ext_score]]&gt;$O$1,MIN(Данные6[[#This Row],[Базовая сумма]]*$O$2,$C$2),IF(Данные6[[#This Row],[weighted_ext_score]]&lt;$O$3,Данные6[[#This Row],[Базовая сумма]]*$O$4,N316))</f>
        <v>50000</v>
      </c>
      <c r="P3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316" s="2">
        <f>ABS(Данные6[[#This Row],[days_birth]])/365.2425</f>
        <v>59.089509024825972</v>
      </c>
      <c r="S3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316" s="2">
        <f>IF(Данные6[[#This Row],[ interest_rate]]&gt;$T$1,Данные6[[#This Row],[days_birth4]]*$T$2,Данные6[[#This Row],[days_birth4]])</f>
        <v>52500</v>
      </c>
      <c r="U316" s="2">
        <f>IF(Данные6[[#This Row],[Проверка отказа]]="отказ",0,MAX(Данные6[[#This Row],[interest_rate]],$C$1))</f>
        <v>52500</v>
      </c>
      <c r="V316" s="2">
        <f>MROUND(Данные6[[#This Row],[Минимум 20000]], 100)</f>
        <v>52500</v>
      </c>
    </row>
    <row r="317" spans="1:22" x14ac:dyDescent="0.25">
      <c r="A317" s="2">
        <f>'1000_заявлений'!A311</f>
        <v>309</v>
      </c>
      <c r="B317" s="4">
        <f>VALUE(SUBSTITUTE('1000_заявлений'!B311, ".", ","))</f>
        <v>0.56201480627158495</v>
      </c>
      <c r="C317" s="4">
        <f>VALUE(SUBSTITUTE('1000_заявлений'!C311, ".", ","))</f>
        <v>0.410108315864055</v>
      </c>
      <c r="D317" s="4">
        <f>VALUE(SUBSTITUTE('1000_заявлений'!D311, ".", ","))</f>
        <v>0.19519839999999999</v>
      </c>
      <c r="E317" s="4">
        <f>VALUE(SUBSTITUTE('1000_заявлений'!E311, ".", ","))</f>
        <v>0.64016150000000005</v>
      </c>
      <c r="F317" s="5">
        <f>VALUE(SUBSTITUTE('1000_заявлений'!F311, ".", ","))</f>
        <v>-2045</v>
      </c>
      <c r="G317" s="5">
        <f>VALUE(SUBSTITUTE('1000_заявлений'!G311, ".", ","))</f>
        <v>-13806</v>
      </c>
      <c r="H317" s="5">
        <f>VALUE(SUBSTITUTE('1000_заявлений'!H311, ".", ","))</f>
        <v>-2079</v>
      </c>
      <c r="I317" s="4">
        <f>VALUE(SUBSTITUTE('1000_заявлений'!I311, ".", ","))</f>
        <v>0.14730909090909</v>
      </c>
      <c r="J317" s="4">
        <f>VALUE(SUBSTITUTE('1000_заявлений'!J311, ".", ","))</f>
        <v>6.5526323213506297</v>
      </c>
      <c r="K317" s="5">
        <f>VALUE(SUBSTITUTE('1000_заявлений'!K311, ".", ","))</f>
        <v>-1941</v>
      </c>
      <c r="L317" s="6">
        <f>VALUE(SUBSTITUTE('1000_заявлений'!L311, ".", ","))</f>
        <v>36459</v>
      </c>
      <c r="M317" s="2" t="str">
        <f>IF(Данные6[[#This Row],[proba]]&gt;$C$6, "отказ", "одобрение")</f>
        <v>отказ</v>
      </c>
      <c r="N317" s="7">
        <f>IF(Данные6[[#This Row],[proba]]&lt;$D$2,$C$2,IF(Данные6[[#This Row],[proba]]&lt;$D$3,$C$3,IF(Данные6[[#This Row],[proba]]&gt;$C$6,0,$C$4)))</f>
        <v>0</v>
      </c>
      <c r="O317" s="2">
        <f>IF(Данные6[[#This Row],[weighted_ext_score]]&gt;$O$1,MIN(Данные6[[#This Row],[Базовая сумма]]*$O$2,$C$2),IF(Данные6[[#This Row],[weighted_ext_score]]&lt;$O$3,Данные6[[#This Row],[Базовая сумма]]*$O$4,N317))</f>
        <v>0</v>
      </c>
      <c r="P3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7" s="2">
        <f>ABS(Данные6[[#This Row],[days_birth]])/365.2425</f>
        <v>37.799544138483334</v>
      </c>
      <c r="S3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7" s="2">
        <f>IF(Данные6[[#This Row],[ interest_rate]]&gt;$T$1,Данные6[[#This Row],[days_birth4]]*$T$2,Данные6[[#This Row],[days_birth4]])</f>
        <v>0</v>
      </c>
      <c r="U317" s="2">
        <f>IF(Данные6[[#This Row],[Проверка отказа]]="отказ",0,MAX(Данные6[[#This Row],[interest_rate]],$C$1))</f>
        <v>0</v>
      </c>
      <c r="V317" s="2">
        <f>MROUND(Данные6[[#This Row],[Минимум 20000]], 100)</f>
        <v>0</v>
      </c>
    </row>
    <row r="318" spans="1:22" x14ac:dyDescent="0.25">
      <c r="A318" s="2">
        <f>'1000_заявлений'!A312</f>
        <v>310</v>
      </c>
      <c r="B318" s="4">
        <f>VALUE(SUBSTITUTE('1000_заявлений'!B312, ".", ","))</f>
        <v>0.527960558437647</v>
      </c>
      <c r="C318" s="4">
        <f>VALUE(SUBSTITUTE('1000_заявлений'!C312, ".", ","))</f>
        <v>0.28332096757069702</v>
      </c>
      <c r="D318" s="4">
        <f>VALUE(SUBSTITUTE('1000_заявлений'!D312, ".", ","))</f>
        <v>0.53527623000000002</v>
      </c>
      <c r="E318" s="4">
        <f>VALUE(SUBSTITUTE('1000_заявлений'!E312, ".", ","))</f>
        <v>0.63298803999999997</v>
      </c>
      <c r="F318" s="5">
        <f>VALUE(SUBSTITUTE('1000_заявлений'!F312, ".", ","))</f>
        <v>-3590</v>
      </c>
      <c r="G318" s="5">
        <f>VALUE(SUBSTITUTE('1000_заявлений'!G312, ".", ","))</f>
        <v>-9253</v>
      </c>
      <c r="H318" s="5">
        <f>VALUE(SUBSTITUTE('1000_заявлений'!H312, ".", ","))</f>
        <v>-1912</v>
      </c>
      <c r="I318" s="4">
        <f>VALUE(SUBSTITUTE('1000_заявлений'!I312, ".", ","))</f>
        <v>0.25145454545454499</v>
      </c>
      <c r="J318" s="4">
        <f>VALUE(SUBSTITUTE('1000_заявлений'!J312, ".", ","))</f>
        <v>2.86586703715958</v>
      </c>
      <c r="K318" s="5">
        <f>VALUE(SUBSTITUTE('1000_заявлений'!K312, ".", ","))</f>
        <v>-436</v>
      </c>
      <c r="L318" s="6">
        <f>VALUE(SUBSTITUTE('1000_заявлений'!L312, ".", ","))</f>
        <v>24894</v>
      </c>
      <c r="M318" s="2" t="str">
        <f>IF(Данные6[[#This Row],[proba]]&gt;$C$6, "отказ", "одобрение")</f>
        <v>отказ</v>
      </c>
      <c r="N318" s="7">
        <f>IF(Данные6[[#This Row],[proba]]&lt;$D$2,$C$2,IF(Данные6[[#This Row],[proba]]&lt;$D$3,$C$3,IF(Данные6[[#This Row],[proba]]&gt;$C$6,0,$C$4)))</f>
        <v>0</v>
      </c>
      <c r="O318" s="2">
        <f>IF(Данные6[[#This Row],[weighted_ext_score]]&gt;$O$1,MIN(Данные6[[#This Row],[Базовая сумма]]*$O$2,$C$2),IF(Данные6[[#This Row],[weighted_ext_score]]&lt;$O$3,Данные6[[#This Row],[Базовая сумма]]*$O$4,N318))</f>
        <v>0</v>
      </c>
      <c r="P3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8" s="2">
        <f>ABS(Данные6[[#This Row],[days_birth]])/365.2425</f>
        <v>25.333853535664662</v>
      </c>
      <c r="S3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8" s="2">
        <f>IF(Данные6[[#This Row],[ interest_rate]]&gt;$T$1,Данные6[[#This Row],[days_birth4]]*$T$2,Данные6[[#This Row],[days_birth4]])</f>
        <v>0</v>
      </c>
      <c r="U318" s="2">
        <f>IF(Данные6[[#This Row],[Проверка отказа]]="отказ",0,MAX(Данные6[[#This Row],[interest_rate]],$C$1))</f>
        <v>0</v>
      </c>
      <c r="V318" s="2">
        <f>MROUND(Данные6[[#This Row],[Минимум 20000]], 100)</f>
        <v>0</v>
      </c>
    </row>
    <row r="319" spans="1:22" x14ac:dyDescent="0.25">
      <c r="A319" s="2">
        <f>'1000_заявлений'!A313</f>
        <v>311</v>
      </c>
      <c r="B319" s="4">
        <f>VALUE(SUBSTITUTE('1000_заявлений'!B313, ".", ","))</f>
        <v>0.337045892413602</v>
      </c>
      <c r="C319" s="4">
        <f>VALUE(SUBSTITUTE('1000_заявлений'!C313, ".", ","))</f>
        <v>0.386519585617142</v>
      </c>
      <c r="D319" s="4">
        <f>VALUE(SUBSTITUTE('1000_заявлений'!D313, ".", ","))</f>
        <v>0.50828700000000004</v>
      </c>
      <c r="E319" s="4">
        <f>VALUE(SUBSTITUTE('1000_заявлений'!E313, ".", ","))</f>
        <v>0.62485849999999998</v>
      </c>
      <c r="F319" s="5">
        <f>VALUE(SUBSTITUTE('1000_заявлений'!F313, ".", ","))</f>
        <v>-56</v>
      </c>
      <c r="G319" s="5">
        <f>VALUE(SUBSTITUTE('1000_заявлений'!G313, ".", ","))</f>
        <v>-23653</v>
      </c>
      <c r="H319" s="5">
        <f>VALUE(SUBSTITUTE('1000_заявлений'!H313, ".", ","))</f>
        <v>-2476</v>
      </c>
      <c r="I319" s="4">
        <f>VALUE(SUBSTITUTE('1000_заявлений'!I313, ".", ","))</f>
        <v>0.16508888888888801</v>
      </c>
      <c r="J319" s="4">
        <f>VALUE(SUBSTITUTE('1000_заявлений'!J313, ".", ","))</f>
        <v>1.82402464022644</v>
      </c>
      <c r="K319" s="5">
        <f>VALUE(SUBSTITUTE('1000_заявлений'!K313, ".", ","))</f>
        <v>365243</v>
      </c>
      <c r="L319" s="6">
        <f>VALUE(SUBSTITUTE('1000_заявлений'!L313, ".", ","))</f>
        <v>33430.5</v>
      </c>
      <c r="M319" s="2" t="str">
        <f>IF(Данные6[[#This Row],[proba]]&gt;$C$6, "отказ", "одобрение")</f>
        <v>отказ</v>
      </c>
      <c r="N319" s="7">
        <f>IF(Данные6[[#This Row],[proba]]&lt;$D$2,$C$2,IF(Данные6[[#This Row],[proba]]&lt;$D$3,$C$3,IF(Данные6[[#This Row],[proba]]&gt;$C$6,0,$C$4)))</f>
        <v>0</v>
      </c>
      <c r="O319" s="2">
        <f>IF(Данные6[[#This Row],[weighted_ext_score]]&gt;$O$1,MIN(Данные6[[#This Row],[Базовая сумма]]*$O$2,$C$2),IF(Данные6[[#This Row],[weighted_ext_score]]&lt;$O$3,Данные6[[#This Row],[Базовая сумма]]*$O$4,N319))</f>
        <v>0</v>
      </c>
      <c r="P3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19" s="2">
        <f>ABS(Данные6[[#This Row],[days_birth]])/365.2425</f>
        <v>64.759714436299163</v>
      </c>
      <c r="S3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19" s="2">
        <f>IF(Данные6[[#This Row],[ interest_rate]]&gt;$T$1,Данные6[[#This Row],[days_birth4]]*$T$2,Данные6[[#This Row],[days_birth4]])</f>
        <v>0</v>
      </c>
      <c r="U319" s="2">
        <f>IF(Данные6[[#This Row],[Проверка отказа]]="отказ",0,MAX(Данные6[[#This Row],[interest_rate]],$C$1))</f>
        <v>0</v>
      </c>
      <c r="V319" s="2">
        <f>MROUND(Данные6[[#This Row],[Минимум 20000]], 100)</f>
        <v>0</v>
      </c>
    </row>
    <row r="320" spans="1:22" x14ac:dyDescent="0.25">
      <c r="A320" s="2">
        <f>'1000_заявлений'!A314</f>
        <v>312</v>
      </c>
      <c r="B320" s="4">
        <f>VALUE(SUBSTITUTE('1000_заявлений'!B314, ".", ","))</f>
        <v>0.49962674562610399</v>
      </c>
      <c r="C320" s="4">
        <f>VALUE(SUBSTITUTE('1000_заявлений'!C314, ".", ","))</f>
        <v>0.35991052189879102</v>
      </c>
      <c r="D320" s="4">
        <f>VALUE(SUBSTITUTE('1000_заявлений'!D314, ".", ","))</f>
        <v>0.4632753</v>
      </c>
      <c r="E320" s="4">
        <f>VALUE(SUBSTITUTE('1000_заявлений'!E314, ".", ","))</f>
        <v>0.59301320000000002</v>
      </c>
      <c r="F320" s="5">
        <f>VALUE(SUBSTITUTE('1000_заявлений'!F314, ".", ","))</f>
        <v>-1502</v>
      </c>
      <c r="G320" s="5">
        <f>VALUE(SUBSTITUTE('1000_заявлений'!G314, ".", ","))</f>
        <v>-12830</v>
      </c>
      <c r="H320" s="5">
        <f>VALUE(SUBSTITUTE('1000_заявлений'!H314, ".", ","))</f>
        <v>-4340</v>
      </c>
      <c r="I320" s="4">
        <f>VALUE(SUBSTITUTE('1000_заявлений'!I314, ".", ","))</f>
        <v>0.21560000000000001</v>
      </c>
      <c r="J320" s="4">
        <f>VALUE(SUBSTITUTE('1000_заявлений'!J314, ".", ","))</f>
        <v>3.6460353161845198</v>
      </c>
      <c r="K320" s="5">
        <f>VALUE(SUBSTITUTE('1000_заявлений'!K314, ".", ","))</f>
        <v>-1593</v>
      </c>
      <c r="L320" s="6">
        <f>VALUE(SUBSTITUTE('1000_заявлений'!L314, ".", ","))</f>
        <v>14553</v>
      </c>
      <c r="M320" s="2" t="str">
        <f>IF(Данные6[[#This Row],[proba]]&gt;$C$6, "отказ", "одобрение")</f>
        <v>отказ</v>
      </c>
      <c r="N320" s="7">
        <f>IF(Данные6[[#This Row],[proba]]&lt;$D$2,$C$2,IF(Данные6[[#This Row],[proba]]&lt;$D$3,$C$3,IF(Данные6[[#This Row],[proba]]&gt;$C$6,0,$C$4)))</f>
        <v>0</v>
      </c>
      <c r="O320" s="2">
        <f>IF(Данные6[[#This Row],[weighted_ext_score]]&gt;$O$1,MIN(Данные6[[#This Row],[Базовая сумма]]*$O$2,$C$2),IF(Данные6[[#This Row],[weighted_ext_score]]&lt;$O$3,Данные6[[#This Row],[Базовая сумма]]*$O$4,N320))</f>
        <v>0</v>
      </c>
      <c r="P3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0" s="2">
        <f>ABS(Данные6[[#This Row],[days_birth]])/365.2425</f>
        <v>35.127346899662555</v>
      </c>
      <c r="S3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0" s="2">
        <f>IF(Данные6[[#This Row],[ interest_rate]]&gt;$T$1,Данные6[[#This Row],[days_birth4]]*$T$2,Данные6[[#This Row],[days_birth4]])</f>
        <v>0</v>
      </c>
      <c r="U320" s="2">
        <f>IF(Данные6[[#This Row],[Проверка отказа]]="отказ",0,MAX(Данные6[[#This Row],[interest_rate]],$C$1))</f>
        <v>0</v>
      </c>
      <c r="V320" s="2">
        <f>MROUND(Данные6[[#This Row],[Минимум 20000]], 100)</f>
        <v>0</v>
      </c>
    </row>
    <row r="321" spans="1:22" x14ac:dyDescent="0.25">
      <c r="A321" s="2">
        <f>'1000_заявлений'!A315</f>
        <v>313</v>
      </c>
      <c r="B321" s="4">
        <f>VALUE(SUBSTITUTE('1000_заявлений'!B315, ".", ","))</f>
        <v>0.29912741031516199</v>
      </c>
      <c r="C321" s="4">
        <f>VALUE(SUBSTITUTE('1000_заявлений'!C315, ".", ","))</f>
        <v>0.66577622766465105</v>
      </c>
      <c r="D321" s="4">
        <f>VALUE(SUBSTITUTE('1000_заявлений'!D315, ".", ","))</f>
        <v>0.60238636000000001</v>
      </c>
      <c r="E321" s="4">
        <f>VALUE(SUBSTITUTE('1000_заявлений'!E315, ".", ","))</f>
        <v>0.68085359999999995</v>
      </c>
      <c r="F321" s="5">
        <f>VALUE(SUBSTITUTE('1000_заявлений'!F315, ".", ","))</f>
        <v>-7341</v>
      </c>
      <c r="G321" s="5">
        <f>VALUE(SUBSTITUTE('1000_заявлений'!G315, ".", ","))</f>
        <v>-18255</v>
      </c>
      <c r="H321" s="5">
        <f>VALUE(SUBSTITUTE('1000_заявлений'!H315, ".", ","))</f>
        <v>-1789</v>
      </c>
      <c r="I321" s="4">
        <f>VALUE(SUBSTITUTE('1000_заявлений'!I315, ".", ","))</f>
        <v>0.480866666666666</v>
      </c>
      <c r="J321" s="4">
        <f>VALUE(SUBSTITUTE('1000_заявлений'!J315, ".", ","))</f>
        <v>0.813244341448493</v>
      </c>
      <c r="K321" s="5">
        <f>VALUE(SUBSTITUTE('1000_заявлений'!K315, ".", ","))</f>
        <v>-2922</v>
      </c>
      <c r="L321" s="6">
        <f>VALUE(SUBSTITUTE('1000_заявлений'!L315, ".", ","))</f>
        <v>32458.5</v>
      </c>
      <c r="M321" s="2" t="str">
        <f>IF(Данные6[[#This Row],[proba]]&gt;$C$6, "отказ", "одобрение")</f>
        <v>одобрение</v>
      </c>
      <c r="N321" s="7">
        <f>IF(Данные6[[#This Row],[proba]]&lt;$D$2,$C$2,IF(Данные6[[#This Row],[proba]]&lt;$D$3,$C$3,IF(Данные6[[#This Row],[proba]]&gt;$C$6,0,$C$4)))</f>
        <v>50000</v>
      </c>
      <c r="O321" s="2">
        <f>IF(Данные6[[#This Row],[weighted_ext_score]]&gt;$O$1,MIN(Данные6[[#This Row],[Базовая сумма]]*$O$2,$C$2),IF(Данные6[[#This Row],[weighted_ext_score]]&lt;$O$3,Данные6[[#This Row],[Базовая сумма]]*$O$4,N321))</f>
        <v>50000</v>
      </c>
      <c r="P3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321" s="2">
        <f>ABS(Данные6[[#This Row],[days_birth]])/365.2425</f>
        <v>49.980492412575209</v>
      </c>
      <c r="S3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321" s="2">
        <f>IF(Данные6[[#This Row],[ interest_rate]]&gt;$T$1,Данные6[[#This Row],[days_birth4]]*$T$2,Данные6[[#This Row],[days_birth4]])</f>
        <v>28000</v>
      </c>
      <c r="U321" s="2">
        <f>IF(Данные6[[#This Row],[Проверка отказа]]="отказ",0,MAX(Данные6[[#This Row],[interest_rate]],$C$1))</f>
        <v>28000</v>
      </c>
      <c r="V321" s="2">
        <f>MROUND(Данные6[[#This Row],[Минимум 20000]], 100)</f>
        <v>28000</v>
      </c>
    </row>
    <row r="322" spans="1:22" x14ac:dyDescent="0.25">
      <c r="A322" s="2">
        <f>'1000_заявлений'!A316</f>
        <v>314</v>
      </c>
      <c r="B322" s="4">
        <f>VALUE(SUBSTITUTE('1000_заявлений'!B316, ".", ","))</f>
        <v>0.76584819114345704</v>
      </c>
      <c r="C322" s="4">
        <f>VALUE(SUBSTITUTE('1000_заявлений'!C316, ".", ","))</f>
        <v>0.118377798389429</v>
      </c>
      <c r="D322" s="4">
        <f>VALUE(SUBSTITUTE('1000_заявлений'!D316, ".", ","))</f>
        <v>0.53527623000000002</v>
      </c>
      <c r="E322" s="4">
        <f>VALUE(SUBSTITUTE('1000_заявлений'!E316, ".", ","))</f>
        <v>0.14198947000000001</v>
      </c>
      <c r="F322" s="5">
        <f>VALUE(SUBSTITUTE('1000_заявлений'!F316, ".", ","))</f>
        <v>-1197</v>
      </c>
      <c r="G322" s="5">
        <f>VALUE(SUBSTITUTE('1000_заявлений'!G316, ".", ","))</f>
        <v>-9610</v>
      </c>
      <c r="H322" s="5">
        <f>VALUE(SUBSTITUTE('1000_заявлений'!H316, ".", ","))</f>
        <v>-777</v>
      </c>
      <c r="I322" s="4">
        <f>VALUE(SUBSTITUTE('1000_заявлений'!I316, ".", ","))</f>
        <v>0.15937777777777701</v>
      </c>
      <c r="J322" s="4">
        <f>VALUE(SUBSTITUTE('1000_заявлений'!J316, ".", ","))</f>
        <v>3.14221324253776</v>
      </c>
      <c r="K322" s="5">
        <f>VALUE(SUBSTITUTE('1000_заявлений'!K316, ".", ","))</f>
        <v>-801</v>
      </c>
      <c r="L322" s="6">
        <f>VALUE(SUBSTITUTE('1000_заявлений'!L316, ".", ","))</f>
        <v>32274</v>
      </c>
      <c r="M322" s="2" t="str">
        <f>IF(Данные6[[#This Row],[proba]]&gt;$C$6, "отказ", "одобрение")</f>
        <v>отказ</v>
      </c>
      <c r="N322" s="7">
        <f>IF(Данные6[[#This Row],[proba]]&lt;$D$2,$C$2,IF(Данные6[[#This Row],[proba]]&lt;$D$3,$C$3,IF(Данные6[[#This Row],[proba]]&gt;$C$6,0,$C$4)))</f>
        <v>0</v>
      </c>
      <c r="O322" s="2">
        <f>IF(Данные6[[#This Row],[weighted_ext_score]]&gt;$O$1,MIN(Данные6[[#This Row],[Базовая сумма]]*$O$2,$C$2),IF(Данные6[[#This Row],[weighted_ext_score]]&lt;$O$3,Данные6[[#This Row],[Базовая сумма]]*$O$4,N322))</f>
        <v>0</v>
      </c>
      <c r="P3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2" s="2">
        <f>ABS(Данные6[[#This Row],[days_birth]])/365.2425</f>
        <v>26.311286337159558</v>
      </c>
      <c r="S3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2" s="2">
        <f>IF(Данные6[[#This Row],[ interest_rate]]&gt;$T$1,Данные6[[#This Row],[days_birth4]]*$T$2,Данные6[[#This Row],[days_birth4]])</f>
        <v>0</v>
      </c>
      <c r="U322" s="2">
        <f>IF(Данные6[[#This Row],[Проверка отказа]]="отказ",0,MAX(Данные6[[#This Row],[interest_rate]],$C$1))</f>
        <v>0</v>
      </c>
      <c r="V322" s="2">
        <f>MROUND(Данные6[[#This Row],[Минимум 20000]], 100)</f>
        <v>0</v>
      </c>
    </row>
    <row r="323" spans="1:22" x14ac:dyDescent="0.25">
      <c r="A323" s="2">
        <f>'1000_заявлений'!A317</f>
        <v>315</v>
      </c>
      <c r="B323" s="4">
        <f>VALUE(SUBSTITUTE('1000_заявлений'!B317, ".", ","))</f>
        <v>0.48983341860163998</v>
      </c>
      <c r="C323" s="4">
        <f>VALUE(SUBSTITUTE('1000_заявлений'!C317, ".", ","))</f>
        <v>0.31332960879969601</v>
      </c>
      <c r="D323" s="4">
        <f>VALUE(SUBSTITUTE('1000_заявлений'!D317, ".", ","))</f>
        <v>0.53527623000000002</v>
      </c>
      <c r="E323" s="4">
        <f>VALUE(SUBSTITUTE('1000_заявлений'!E317, ".", ","))</f>
        <v>0.50564900000000002</v>
      </c>
      <c r="F323" s="5">
        <f>VALUE(SUBSTITUTE('1000_заявлений'!F317, ".", ","))</f>
        <v>-2298</v>
      </c>
      <c r="G323" s="5">
        <f>VALUE(SUBSTITUTE('1000_заявлений'!G317, ".", ","))</f>
        <v>-13023</v>
      </c>
      <c r="H323" s="5">
        <f>VALUE(SUBSTITUTE('1000_заявлений'!H317, ".", ","))</f>
        <v>-3905</v>
      </c>
      <c r="I323" s="4">
        <f>VALUE(SUBSTITUTE('1000_заявлений'!I317, ".", ","))</f>
        <v>0.13177777777777699</v>
      </c>
      <c r="J323" s="4">
        <f>VALUE(SUBSTITUTE('1000_заявлений'!J317, ".", ","))</f>
        <v>3.2036939523734098</v>
      </c>
      <c r="K323" s="5">
        <f>VALUE(SUBSTITUTE('1000_заявлений'!K317, ".", ","))</f>
        <v>-1853</v>
      </c>
      <c r="L323" s="6">
        <f>VALUE(SUBSTITUTE('1000_заявлений'!L317, ".", ","))</f>
        <v>26685</v>
      </c>
      <c r="M323" s="2" t="str">
        <f>IF(Данные6[[#This Row],[proba]]&gt;$C$6, "отказ", "одобрение")</f>
        <v>отказ</v>
      </c>
      <c r="N323" s="7">
        <f>IF(Данные6[[#This Row],[proba]]&lt;$D$2,$C$2,IF(Данные6[[#This Row],[proba]]&lt;$D$3,$C$3,IF(Данные6[[#This Row],[proba]]&gt;$C$6,0,$C$4)))</f>
        <v>0</v>
      </c>
      <c r="O323" s="2">
        <f>IF(Данные6[[#This Row],[weighted_ext_score]]&gt;$O$1,MIN(Данные6[[#This Row],[Базовая сумма]]*$O$2,$C$2),IF(Данные6[[#This Row],[weighted_ext_score]]&lt;$O$3,Данные6[[#This Row],[Базовая сумма]]*$O$4,N323))</f>
        <v>0</v>
      </c>
      <c r="P3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3" s="2">
        <f>ABS(Данные6[[#This Row],[days_birth]])/365.2425</f>
        <v>35.655762952011337</v>
      </c>
      <c r="S3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3" s="2">
        <f>IF(Данные6[[#This Row],[ interest_rate]]&gt;$T$1,Данные6[[#This Row],[days_birth4]]*$T$2,Данные6[[#This Row],[days_birth4]])</f>
        <v>0</v>
      </c>
      <c r="U323" s="2">
        <f>IF(Данные6[[#This Row],[Проверка отказа]]="отказ",0,MAX(Данные6[[#This Row],[interest_rate]],$C$1))</f>
        <v>0</v>
      </c>
      <c r="V323" s="2">
        <f>MROUND(Данные6[[#This Row],[Минимум 20000]], 100)</f>
        <v>0</v>
      </c>
    </row>
    <row r="324" spans="1:22" x14ac:dyDescent="0.25">
      <c r="A324" s="2">
        <f>'1000_заявлений'!A318</f>
        <v>316</v>
      </c>
      <c r="B324" s="4">
        <f>VALUE(SUBSTITUTE('1000_заявлений'!B318, ".", ","))</f>
        <v>0.70202602843897399</v>
      </c>
      <c r="C324" s="4">
        <f>VALUE(SUBSTITUTE('1000_заявлений'!C318, ".", ","))</f>
        <v>0.22014192260885199</v>
      </c>
      <c r="D324" s="4">
        <f>VALUE(SUBSTITUTE('1000_заявлений'!D318, ".", ","))</f>
        <v>0.47764915000000002</v>
      </c>
      <c r="E324" s="4">
        <f>VALUE(SUBSTITUTE('1000_заявлений'!E318, ".", ","))</f>
        <v>0.14610364000000001</v>
      </c>
      <c r="F324" s="5">
        <f>VALUE(SUBSTITUTE('1000_заявлений'!F318, ".", ","))</f>
        <v>-5395</v>
      </c>
      <c r="G324" s="5">
        <f>VALUE(SUBSTITUTE('1000_заявлений'!G318, ".", ","))</f>
        <v>-17489</v>
      </c>
      <c r="H324" s="5">
        <f>VALUE(SUBSTITUTE('1000_заявлений'!H318, ".", ","))</f>
        <v>-1027</v>
      </c>
      <c r="I324" s="4">
        <f>VALUE(SUBSTITUTE('1000_заявлений'!I318, ".", ","))</f>
        <v>5.9799999999999999E-2</v>
      </c>
      <c r="J324" s="4">
        <f>VALUE(SUBSTITUTE('1000_заявлений'!J318, ".", ","))</f>
        <v>1.7420083037559699</v>
      </c>
      <c r="K324" s="5">
        <f>VALUE(SUBSTITUTE('1000_заявлений'!K318, ".", ","))</f>
        <v>-827</v>
      </c>
      <c r="L324" s="6">
        <f>VALUE(SUBSTITUTE('1000_заявлений'!L318, ".", ","))</f>
        <v>6727.5</v>
      </c>
      <c r="M324" s="2" t="str">
        <f>IF(Данные6[[#This Row],[proba]]&gt;$C$6, "отказ", "одобрение")</f>
        <v>отказ</v>
      </c>
      <c r="N324" s="7">
        <f>IF(Данные6[[#This Row],[proba]]&lt;$D$2,$C$2,IF(Данные6[[#This Row],[proba]]&lt;$D$3,$C$3,IF(Данные6[[#This Row],[proba]]&gt;$C$6,0,$C$4)))</f>
        <v>0</v>
      </c>
      <c r="O324" s="2">
        <f>IF(Данные6[[#This Row],[weighted_ext_score]]&gt;$O$1,MIN(Данные6[[#This Row],[Базовая сумма]]*$O$2,$C$2),IF(Данные6[[#This Row],[weighted_ext_score]]&lt;$O$3,Данные6[[#This Row],[Базовая сумма]]*$O$4,N324))</f>
        <v>0</v>
      </c>
      <c r="P3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4" s="2">
        <f>ABS(Данные6[[#This Row],[days_birth]])/365.2425</f>
        <v>47.883255645222008</v>
      </c>
      <c r="S3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4" s="2">
        <f>IF(Данные6[[#This Row],[ interest_rate]]&gt;$T$1,Данные6[[#This Row],[days_birth4]]*$T$2,Данные6[[#This Row],[days_birth4]])</f>
        <v>0</v>
      </c>
      <c r="U324" s="2">
        <f>IF(Данные6[[#This Row],[Проверка отказа]]="отказ",0,MAX(Данные6[[#This Row],[interest_rate]],$C$1))</f>
        <v>0</v>
      </c>
      <c r="V324" s="2">
        <f>MROUND(Данные6[[#This Row],[Минимум 20000]], 100)</f>
        <v>0</v>
      </c>
    </row>
    <row r="325" spans="1:22" x14ac:dyDescent="0.25">
      <c r="A325" s="2">
        <f>'1000_заявлений'!A319</f>
        <v>317</v>
      </c>
      <c r="B325" s="4">
        <f>VALUE(SUBSTITUTE('1000_заявлений'!B319, ".", ","))</f>
        <v>0.855163335767129</v>
      </c>
      <c r="C325" s="4">
        <f>VALUE(SUBSTITUTE('1000_заявлений'!C319, ".", ","))</f>
        <v>0.195263902498019</v>
      </c>
      <c r="D325" s="4">
        <f>VALUE(SUBSTITUTE('1000_заявлений'!D319, ".", ","))</f>
        <v>0.29109737000000002</v>
      </c>
      <c r="E325" s="4">
        <f>VALUE(SUBSTITUTE('1000_заявлений'!E319, ".", ","))</f>
        <v>4.206741E-2</v>
      </c>
      <c r="F325" s="5">
        <f>VALUE(SUBSTITUTE('1000_заявлений'!F319, ".", ","))</f>
        <v>-1954</v>
      </c>
      <c r="G325" s="5">
        <f>VALUE(SUBSTITUTE('1000_заявлений'!G319, ".", ","))</f>
        <v>-8787</v>
      </c>
      <c r="H325" s="5">
        <f>VALUE(SUBSTITUTE('1000_заявлений'!H319, ".", ","))</f>
        <v>-1469</v>
      </c>
      <c r="I325" s="4">
        <f>VALUE(SUBSTITUTE('1000_заявлений'!I319, ".", ","))</f>
        <v>0.19803999999999999</v>
      </c>
      <c r="J325" s="4">
        <f>VALUE(SUBSTITUTE('1000_заявлений'!J319, ".", ","))</f>
        <v>4.4431335941533101</v>
      </c>
      <c r="K325" s="5">
        <f>VALUE(SUBSTITUTE('1000_заявлений'!K319, ".", ","))</f>
        <v>-2169</v>
      </c>
      <c r="L325" s="6">
        <f>VALUE(SUBSTITUTE('1000_заявлений'!L319, ".", ","))</f>
        <v>22279.5</v>
      </c>
      <c r="M325" s="2" t="str">
        <f>IF(Данные6[[#This Row],[proba]]&gt;$C$6, "отказ", "одобрение")</f>
        <v>отказ</v>
      </c>
      <c r="N325" s="7">
        <f>IF(Данные6[[#This Row],[proba]]&lt;$D$2,$C$2,IF(Данные6[[#This Row],[proba]]&lt;$D$3,$C$3,IF(Данные6[[#This Row],[proba]]&gt;$C$6,0,$C$4)))</f>
        <v>0</v>
      </c>
      <c r="O325" s="2">
        <f>IF(Данные6[[#This Row],[weighted_ext_score]]&gt;$O$1,MIN(Данные6[[#This Row],[Базовая сумма]]*$O$2,$C$2),IF(Данные6[[#This Row],[weighted_ext_score]]&lt;$O$3,Данные6[[#This Row],[Базовая сумма]]*$O$4,N325))</f>
        <v>0</v>
      </c>
      <c r="P3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5" s="2">
        <f>ABS(Данные6[[#This Row],[days_birth]])/365.2425</f>
        <v>24.057988870408018</v>
      </c>
      <c r="S3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5" s="2">
        <f>IF(Данные6[[#This Row],[ interest_rate]]&gt;$T$1,Данные6[[#This Row],[days_birth4]]*$T$2,Данные6[[#This Row],[days_birth4]])</f>
        <v>0</v>
      </c>
      <c r="U325" s="2">
        <f>IF(Данные6[[#This Row],[Проверка отказа]]="отказ",0,MAX(Данные6[[#This Row],[interest_rate]],$C$1))</f>
        <v>0</v>
      </c>
      <c r="V325" s="2">
        <f>MROUND(Данные6[[#This Row],[Минимум 20000]], 100)</f>
        <v>0</v>
      </c>
    </row>
    <row r="326" spans="1:22" x14ac:dyDescent="0.25">
      <c r="A326" s="2">
        <f>'1000_заявлений'!A320</f>
        <v>318</v>
      </c>
      <c r="B326" s="4">
        <f>VALUE(SUBSTITUTE('1000_заявлений'!B320, ".", ","))</f>
        <v>0.40602019643922899</v>
      </c>
      <c r="C326" s="4">
        <f>VALUE(SUBSTITUTE('1000_заявлений'!C320, ".", ","))</f>
        <v>0.20107590546555801</v>
      </c>
      <c r="D326" s="4">
        <f>VALUE(SUBSTITUTE('1000_заявлений'!D320, ".", ","))</f>
        <v>0.53527623000000002</v>
      </c>
      <c r="E326" s="4">
        <f>VALUE(SUBSTITUTE('1000_заявлений'!E320, ".", ","))</f>
        <v>0.61988359999999998</v>
      </c>
      <c r="F326" s="5">
        <f>VALUE(SUBSTITUTE('1000_заявлений'!F320, ".", ","))</f>
        <v>-797</v>
      </c>
      <c r="G326" s="5">
        <f>VALUE(SUBSTITUTE('1000_заявлений'!G320, ".", ","))</f>
        <v>-20609</v>
      </c>
      <c r="H326" s="5">
        <f>VALUE(SUBSTITUTE('1000_заявлений'!H320, ".", ","))</f>
        <v>-3870</v>
      </c>
      <c r="I326" s="4">
        <f>VALUE(SUBSTITUTE('1000_заявлений'!I320, ".", ","))</f>
        <v>0.21636666666666601</v>
      </c>
      <c r="J326" s="4">
        <f>VALUE(SUBSTITUTE('1000_заявлений'!J320, ".", ","))</f>
        <v>16.0317223255695</v>
      </c>
      <c r="K326" s="5">
        <f>VALUE(SUBSTITUTE('1000_заявлений'!K320, ".", ","))</f>
        <v>-6948</v>
      </c>
      <c r="L326" s="6">
        <f>VALUE(SUBSTITUTE('1000_заявлений'!L320, ".", ","))</f>
        <v>29209.5</v>
      </c>
      <c r="M326" s="2" t="str">
        <f>IF(Данные6[[#This Row],[proba]]&gt;$C$6, "отказ", "одобрение")</f>
        <v>отказ</v>
      </c>
      <c r="N326" s="7">
        <f>IF(Данные6[[#This Row],[proba]]&lt;$D$2,$C$2,IF(Данные6[[#This Row],[proba]]&lt;$D$3,$C$3,IF(Данные6[[#This Row],[proba]]&gt;$C$6,0,$C$4)))</f>
        <v>0</v>
      </c>
      <c r="O326" s="2">
        <f>IF(Данные6[[#This Row],[weighted_ext_score]]&gt;$O$1,MIN(Данные6[[#This Row],[Базовая сумма]]*$O$2,$C$2),IF(Данные6[[#This Row],[weighted_ext_score]]&lt;$O$3,Данные6[[#This Row],[Базовая сумма]]*$O$4,N326))</f>
        <v>0</v>
      </c>
      <c r="P3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6" s="2">
        <f>ABS(Данные6[[#This Row],[days_birth]])/365.2425</f>
        <v>56.425525507026151</v>
      </c>
      <c r="S3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6" s="2">
        <f>IF(Данные6[[#This Row],[ interest_rate]]&gt;$T$1,Данные6[[#This Row],[days_birth4]]*$T$2,Данные6[[#This Row],[days_birth4]])</f>
        <v>0</v>
      </c>
      <c r="U326" s="2">
        <f>IF(Данные6[[#This Row],[Проверка отказа]]="отказ",0,MAX(Данные6[[#This Row],[interest_rate]],$C$1))</f>
        <v>0</v>
      </c>
      <c r="V326" s="2">
        <f>MROUND(Данные6[[#This Row],[Минимум 20000]], 100)</f>
        <v>0</v>
      </c>
    </row>
    <row r="327" spans="1:22" x14ac:dyDescent="0.25">
      <c r="A327" s="2">
        <f>'1000_заявлений'!A321</f>
        <v>319</v>
      </c>
      <c r="B327" s="4">
        <f>VALUE(SUBSTITUTE('1000_заявлений'!B321, ".", ","))</f>
        <v>0.55546423727523497</v>
      </c>
      <c r="C327" s="4">
        <f>VALUE(SUBSTITUTE('1000_заявлений'!C321, ".", ","))</f>
        <v>0.41662327588562897</v>
      </c>
      <c r="D327" s="4">
        <f>VALUE(SUBSTITUTE('1000_заявлений'!D321, ".", ","))</f>
        <v>0.36896873000000002</v>
      </c>
      <c r="E327" s="4">
        <f>VALUE(SUBSTITUTE('1000_заявлений'!E321, ".", ","))</f>
        <v>0.46074306999999998</v>
      </c>
      <c r="F327" s="5">
        <f>VALUE(SUBSTITUTE('1000_заявлений'!F321, ".", ","))</f>
        <v>-3770</v>
      </c>
      <c r="G327" s="5">
        <f>VALUE(SUBSTITUTE('1000_заявлений'!G321, ".", ","))</f>
        <v>-13988</v>
      </c>
      <c r="H327" s="5">
        <f>VALUE(SUBSTITUTE('1000_заявлений'!H321, ".", ","))</f>
        <v>-5674</v>
      </c>
      <c r="I327" s="4">
        <f>VALUE(SUBSTITUTE('1000_заявлений'!I321, ".", ","))</f>
        <v>0.22131428571428499</v>
      </c>
      <c r="J327" s="4">
        <f>VALUE(SUBSTITUTE('1000_заявлений'!J321, ".", ","))</f>
        <v>0.93236490479977596</v>
      </c>
      <c r="K327" s="5">
        <f>VALUE(SUBSTITUTE('1000_заявлений'!K321, ".", ","))</f>
        <v>-1582</v>
      </c>
      <c r="L327" s="6">
        <f>VALUE(SUBSTITUTE('1000_заявлений'!L321, ".", ","))</f>
        <v>34857</v>
      </c>
      <c r="M327" s="2" t="str">
        <f>IF(Данные6[[#This Row],[proba]]&gt;$C$6, "отказ", "одобрение")</f>
        <v>отказ</v>
      </c>
      <c r="N327" s="7">
        <f>IF(Данные6[[#This Row],[proba]]&lt;$D$2,$C$2,IF(Данные6[[#This Row],[proba]]&lt;$D$3,$C$3,IF(Данные6[[#This Row],[proba]]&gt;$C$6,0,$C$4)))</f>
        <v>0</v>
      </c>
      <c r="O327" s="2">
        <f>IF(Данные6[[#This Row],[weighted_ext_score]]&gt;$O$1,MIN(Данные6[[#This Row],[Базовая сумма]]*$O$2,$C$2),IF(Данные6[[#This Row],[weighted_ext_score]]&lt;$O$3,Данные6[[#This Row],[Базовая сумма]]*$O$4,N327))</f>
        <v>0</v>
      </c>
      <c r="P3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7" s="2">
        <f>ABS(Данные6[[#This Row],[days_birth]])/365.2425</f>
        <v>38.297843213755243</v>
      </c>
      <c r="S3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7" s="2">
        <f>IF(Данные6[[#This Row],[ interest_rate]]&gt;$T$1,Данные6[[#This Row],[days_birth4]]*$T$2,Данные6[[#This Row],[days_birth4]])</f>
        <v>0</v>
      </c>
      <c r="U327" s="2">
        <f>IF(Данные6[[#This Row],[Проверка отказа]]="отказ",0,MAX(Данные6[[#This Row],[interest_rate]],$C$1))</f>
        <v>0</v>
      </c>
      <c r="V327" s="2">
        <f>MROUND(Данные6[[#This Row],[Минимум 20000]], 100)</f>
        <v>0</v>
      </c>
    </row>
    <row r="328" spans="1:22" x14ac:dyDescent="0.25">
      <c r="A328" s="2">
        <f>'1000_заявлений'!A322</f>
        <v>320</v>
      </c>
      <c r="B328" s="4">
        <f>VALUE(SUBSTITUTE('1000_заявлений'!B322, ".", ","))</f>
        <v>0.647619218144731</v>
      </c>
      <c r="C328" s="4">
        <f>VALUE(SUBSTITUTE('1000_заявлений'!C322, ".", ","))</f>
        <v>0.41780579822362302</v>
      </c>
      <c r="D328" s="4">
        <f>VALUE(SUBSTITUTE('1000_заявлений'!D322, ".", ","))</f>
        <v>0.13765447</v>
      </c>
      <c r="E328" s="4">
        <f>VALUE(SUBSTITUTE('1000_заявлений'!E322, ".", ","))</f>
        <v>0.41182834000000001</v>
      </c>
      <c r="F328" s="5">
        <f>VALUE(SUBSTITUTE('1000_заявлений'!F322, ".", ","))</f>
        <v>-9049</v>
      </c>
      <c r="G328" s="5">
        <f>VALUE(SUBSTITUTE('1000_заявлений'!G322, ".", ","))</f>
        <v>-19946</v>
      </c>
      <c r="H328" s="5">
        <f>VALUE(SUBSTITUTE('1000_заявлений'!H322, ".", ","))</f>
        <v>-3461</v>
      </c>
      <c r="I328" s="4">
        <f>VALUE(SUBSTITUTE('1000_заявлений'!I322, ".", ","))</f>
        <v>0.14654166666666599</v>
      </c>
      <c r="J328" s="4">
        <f>VALUE(SUBSTITUTE('1000_заявлений'!J322, ".", ","))</f>
        <v>1.83324182632016</v>
      </c>
      <c r="K328" s="5">
        <f>VALUE(SUBSTITUTE('1000_заявлений'!K322, ".", ","))</f>
        <v>-10317</v>
      </c>
      <c r="L328" s="6">
        <f>VALUE(SUBSTITUTE('1000_заявлений'!L322, ".", ","))</f>
        <v>31653</v>
      </c>
      <c r="M328" s="2" t="str">
        <f>IF(Данные6[[#This Row],[proba]]&gt;$C$6, "отказ", "одобрение")</f>
        <v>отказ</v>
      </c>
      <c r="N328" s="7">
        <f>IF(Данные6[[#This Row],[proba]]&lt;$D$2,$C$2,IF(Данные6[[#This Row],[proba]]&lt;$D$3,$C$3,IF(Данные6[[#This Row],[proba]]&gt;$C$6,0,$C$4)))</f>
        <v>0</v>
      </c>
      <c r="O328" s="2">
        <f>IF(Данные6[[#This Row],[weighted_ext_score]]&gt;$O$1,MIN(Данные6[[#This Row],[Базовая сумма]]*$O$2,$C$2),IF(Данные6[[#This Row],[weighted_ext_score]]&lt;$O$3,Данные6[[#This Row],[Базовая сумма]]*$O$4,N328))</f>
        <v>0</v>
      </c>
      <c r="P3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8" s="2">
        <f>ABS(Данные6[[#This Row],[days_birth]])/365.2425</f>
        <v>54.610293161392775</v>
      </c>
      <c r="S3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8" s="2">
        <f>IF(Данные6[[#This Row],[ interest_rate]]&gt;$T$1,Данные6[[#This Row],[days_birth4]]*$T$2,Данные6[[#This Row],[days_birth4]])</f>
        <v>0</v>
      </c>
      <c r="U328" s="2">
        <f>IF(Данные6[[#This Row],[Проверка отказа]]="отказ",0,MAX(Данные6[[#This Row],[interest_rate]],$C$1))</f>
        <v>0</v>
      </c>
      <c r="V328" s="2">
        <f>MROUND(Данные6[[#This Row],[Минимум 20000]], 100)</f>
        <v>0</v>
      </c>
    </row>
    <row r="329" spans="1:22" x14ac:dyDescent="0.25">
      <c r="A329" s="2">
        <f>'1000_заявлений'!A323</f>
        <v>321</v>
      </c>
      <c r="B329" s="4">
        <f>VALUE(SUBSTITUTE('1000_заявлений'!B323, ".", ","))</f>
        <v>0.43234784537385001</v>
      </c>
      <c r="C329" s="4">
        <f>VALUE(SUBSTITUTE('1000_заявлений'!C323, ".", ","))</f>
        <v>0.576318186472905</v>
      </c>
      <c r="D329" s="4">
        <f>VALUE(SUBSTITUTE('1000_заявлений'!D323, ".", ","))</f>
        <v>0.47764915000000002</v>
      </c>
      <c r="E329" s="4">
        <f>VALUE(SUBSTITUTE('1000_заявлений'!E323, ".", ","))</f>
        <v>0.43326890000000001</v>
      </c>
      <c r="F329" s="5">
        <f>VALUE(SUBSTITUTE('1000_заявлений'!F323, ".", ","))</f>
        <v>-2855</v>
      </c>
      <c r="G329" s="5">
        <f>VALUE(SUBSTITUTE('1000_заявлений'!G323, ".", ","))</f>
        <v>-18520</v>
      </c>
      <c r="H329" s="5">
        <f>VALUE(SUBSTITUTE('1000_заявлений'!H323, ".", ","))</f>
        <v>-2065</v>
      </c>
      <c r="I329" s="4">
        <f>VALUE(SUBSTITUTE('1000_заявлений'!I323, ".", ","))</f>
        <v>0.2228</v>
      </c>
      <c r="J329" s="4">
        <f>VALUE(SUBSTITUTE('1000_заявлений'!J323, ".", ","))</f>
        <v>0.34658692792419699</v>
      </c>
      <c r="K329" s="5">
        <f>VALUE(SUBSTITUTE('1000_заявлений'!K323, ".", ","))</f>
        <v>-493</v>
      </c>
      <c r="L329" s="6">
        <f>VALUE(SUBSTITUTE('1000_заявлений'!L323, ".", ","))</f>
        <v>40104</v>
      </c>
      <c r="M329" s="2" t="str">
        <f>IF(Данные6[[#This Row],[proba]]&gt;$C$6, "отказ", "одобрение")</f>
        <v>отказ</v>
      </c>
      <c r="N329" s="7">
        <f>IF(Данные6[[#This Row],[proba]]&lt;$D$2,$C$2,IF(Данные6[[#This Row],[proba]]&lt;$D$3,$C$3,IF(Данные6[[#This Row],[proba]]&gt;$C$6,0,$C$4)))</f>
        <v>0</v>
      </c>
      <c r="O329" s="2">
        <f>IF(Данные6[[#This Row],[weighted_ext_score]]&gt;$O$1,MIN(Данные6[[#This Row],[Базовая сумма]]*$O$2,$C$2),IF(Данные6[[#This Row],[weighted_ext_score]]&lt;$O$3,Данные6[[#This Row],[Базовая сумма]]*$O$4,N329))</f>
        <v>0</v>
      </c>
      <c r="P3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29" s="2">
        <f>ABS(Данные6[[#This Row],[days_birth]])/365.2425</f>
        <v>50.706037769427162</v>
      </c>
      <c r="S3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29" s="2">
        <f>IF(Данные6[[#This Row],[ interest_rate]]&gt;$T$1,Данные6[[#This Row],[days_birth4]]*$T$2,Данные6[[#This Row],[days_birth4]])</f>
        <v>0</v>
      </c>
      <c r="U329" s="2">
        <f>IF(Данные6[[#This Row],[Проверка отказа]]="отказ",0,MAX(Данные6[[#This Row],[interest_rate]],$C$1))</f>
        <v>0</v>
      </c>
      <c r="V329" s="2">
        <f>MROUND(Данные6[[#This Row],[Минимум 20000]], 100)</f>
        <v>0</v>
      </c>
    </row>
    <row r="330" spans="1:22" x14ac:dyDescent="0.25">
      <c r="A330" s="2">
        <f>'1000_заявлений'!A324</f>
        <v>322</v>
      </c>
      <c r="B330" s="4">
        <f>VALUE(SUBSTITUTE('1000_заявлений'!B324, ".", ","))</f>
        <v>0.641344271001418</v>
      </c>
      <c r="C330" s="4">
        <f>VALUE(SUBSTITUTE('1000_заявлений'!C324, ".", ","))</f>
        <v>0.28441888302642898</v>
      </c>
      <c r="D330" s="4">
        <f>VALUE(SUBSTITUTE('1000_заявлений'!D324, ".", ","))</f>
        <v>0.52089759999999996</v>
      </c>
      <c r="E330" s="4">
        <f>VALUE(SUBSTITUTE('1000_заявлений'!E324, ".", ","))</f>
        <v>0.29603875000000002</v>
      </c>
      <c r="F330" s="5">
        <f>VALUE(SUBSTITUTE('1000_заявлений'!F324, ".", ","))</f>
        <v>-9357</v>
      </c>
      <c r="G330" s="5">
        <f>VALUE(SUBSTITUTE('1000_заявлений'!G324, ".", ","))</f>
        <v>-9357</v>
      </c>
      <c r="H330" s="5">
        <f>VALUE(SUBSTITUTE('1000_заявлений'!H324, ".", ","))</f>
        <v>-1608</v>
      </c>
      <c r="I330" s="4">
        <f>VALUE(SUBSTITUTE('1000_заявлений'!I324, ".", ","))</f>
        <v>0.23899999999999999</v>
      </c>
      <c r="J330" s="4">
        <f>VALUE(SUBSTITUTE('1000_заявлений'!J324, ".", ","))</f>
        <v>5.9377454884518199</v>
      </c>
      <c r="K330" s="5">
        <f>VALUE(SUBSTITUTE('1000_заявлений'!K324, ".", ","))</f>
        <v>-1533</v>
      </c>
      <c r="L330" s="6">
        <f>VALUE(SUBSTITUTE('1000_заявлений'!L324, ".", ","))</f>
        <v>26887.5</v>
      </c>
      <c r="M330" s="2" t="str">
        <f>IF(Данные6[[#This Row],[proba]]&gt;$C$6, "отказ", "одобрение")</f>
        <v>отказ</v>
      </c>
      <c r="N330" s="7">
        <f>IF(Данные6[[#This Row],[proba]]&lt;$D$2,$C$2,IF(Данные6[[#This Row],[proba]]&lt;$D$3,$C$3,IF(Данные6[[#This Row],[proba]]&gt;$C$6,0,$C$4)))</f>
        <v>0</v>
      </c>
      <c r="O330" s="2">
        <f>IF(Данные6[[#This Row],[weighted_ext_score]]&gt;$O$1,MIN(Данные6[[#This Row],[Базовая сумма]]*$O$2,$C$2),IF(Данные6[[#This Row],[weighted_ext_score]]&lt;$O$3,Данные6[[#This Row],[Базовая сумма]]*$O$4,N330))</f>
        <v>0</v>
      </c>
      <c r="P3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0" s="2">
        <f>ABS(Данные6[[#This Row],[days_birth]])/365.2425</f>
        <v>25.618595864391466</v>
      </c>
      <c r="S3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0" s="2">
        <f>IF(Данные6[[#This Row],[ interest_rate]]&gt;$T$1,Данные6[[#This Row],[days_birth4]]*$T$2,Данные6[[#This Row],[days_birth4]])</f>
        <v>0</v>
      </c>
      <c r="U330" s="2">
        <f>IF(Данные6[[#This Row],[Проверка отказа]]="отказ",0,MAX(Данные6[[#This Row],[interest_rate]],$C$1))</f>
        <v>0</v>
      </c>
      <c r="V330" s="2">
        <f>MROUND(Данные6[[#This Row],[Минимум 20000]], 100)</f>
        <v>0</v>
      </c>
    </row>
    <row r="331" spans="1:22" x14ac:dyDescent="0.25">
      <c r="A331" s="2">
        <f>'1000_заявлений'!A325</f>
        <v>323</v>
      </c>
      <c r="B331" s="4">
        <f>VALUE(SUBSTITUTE('1000_заявлений'!B325, ".", ","))</f>
        <v>0.54944908439930096</v>
      </c>
      <c r="C331" s="4">
        <f>VALUE(SUBSTITUTE('1000_заявлений'!C325, ".", ","))</f>
        <v>0.253457052339984</v>
      </c>
      <c r="D331" s="4">
        <f>VALUE(SUBSTITUTE('1000_заявлений'!D325, ".", ","))</f>
        <v>0.47944896999999997</v>
      </c>
      <c r="E331" s="4">
        <f>VALUE(SUBSTITUTE('1000_заявлений'!E325, ".", ","))</f>
        <v>0.24680193</v>
      </c>
      <c r="F331" s="5">
        <f>VALUE(SUBSTITUTE('1000_заявлений'!F325, ".", ","))</f>
        <v>-6936</v>
      </c>
      <c r="G331" s="5">
        <f>VALUE(SUBSTITUTE('1000_заявлений'!G325, ".", ","))</f>
        <v>-21135</v>
      </c>
      <c r="H331" s="5">
        <f>VALUE(SUBSTITUTE('1000_заявлений'!H325, ".", ","))</f>
        <v>-958</v>
      </c>
      <c r="I331" s="4">
        <f>VALUE(SUBSTITUTE('1000_заявлений'!I325, ".", ","))</f>
        <v>9.1966666666666599E-2</v>
      </c>
      <c r="J331" s="4">
        <f>VALUE(SUBSTITUTE('1000_заявлений'!J325, ".", ","))</f>
        <v>7.9578463776431096</v>
      </c>
      <c r="K331" s="5">
        <f>VALUE(SUBSTITUTE('1000_заявлений'!K325, ".", ","))</f>
        <v>365243</v>
      </c>
      <c r="L331" s="6">
        <f>VALUE(SUBSTITUTE('1000_заявлений'!L325, ".", ","))</f>
        <v>12415.5</v>
      </c>
      <c r="M331" s="2" t="str">
        <f>IF(Данные6[[#This Row],[proba]]&gt;$C$6, "отказ", "одобрение")</f>
        <v>отказ</v>
      </c>
      <c r="N331" s="7">
        <f>IF(Данные6[[#This Row],[proba]]&lt;$D$2,$C$2,IF(Данные6[[#This Row],[proba]]&lt;$D$3,$C$3,IF(Данные6[[#This Row],[proba]]&gt;$C$6,0,$C$4)))</f>
        <v>0</v>
      </c>
      <c r="O331" s="2">
        <f>IF(Данные6[[#This Row],[weighted_ext_score]]&gt;$O$1,MIN(Данные6[[#This Row],[Базовая сумма]]*$O$2,$C$2),IF(Данные6[[#This Row],[weighted_ext_score]]&lt;$O$3,Данные6[[#This Row],[Базовая сумма]]*$O$4,N331))</f>
        <v>0</v>
      </c>
      <c r="P3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1" s="2">
        <f>ABS(Данные6[[#This Row],[days_birth]])/365.2425</f>
        <v>57.86566459270211</v>
      </c>
      <c r="S3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1" s="2">
        <f>IF(Данные6[[#This Row],[ interest_rate]]&gt;$T$1,Данные6[[#This Row],[days_birth4]]*$T$2,Данные6[[#This Row],[days_birth4]])</f>
        <v>0</v>
      </c>
      <c r="U331" s="2">
        <f>IF(Данные6[[#This Row],[Проверка отказа]]="отказ",0,MAX(Данные6[[#This Row],[interest_rate]],$C$1))</f>
        <v>0</v>
      </c>
      <c r="V331" s="2">
        <f>MROUND(Данные6[[#This Row],[Минимум 20000]], 100)</f>
        <v>0</v>
      </c>
    </row>
    <row r="332" spans="1:22" x14ac:dyDescent="0.25">
      <c r="A332" s="2">
        <f>'1000_заявлений'!A326</f>
        <v>324</v>
      </c>
      <c r="B332" s="4">
        <f>VALUE(SUBSTITUTE('1000_заявлений'!B326, ".", ","))</f>
        <v>0.56174398979787399</v>
      </c>
      <c r="C332" s="4">
        <f>VALUE(SUBSTITUTE('1000_заявлений'!C326, ".", ","))</f>
        <v>0.29875539878232099</v>
      </c>
      <c r="D332" s="4">
        <f>VALUE(SUBSTITUTE('1000_заявлений'!D326, ".", ","))</f>
        <v>0.61782616000000001</v>
      </c>
      <c r="E332" s="4">
        <f>VALUE(SUBSTITUTE('1000_заявлений'!E326, ".", ","))</f>
        <v>0.23216486</v>
      </c>
      <c r="F332" s="5">
        <f>VALUE(SUBSTITUTE('1000_заявлений'!F326, ".", ","))</f>
        <v>-1447</v>
      </c>
      <c r="G332" s="5">
        <f>VALUE(SUBSTITUTE('1000_заявлений'!G326, ".", ","))</f>
        <v>-10405</v>
      </c>
      <c r="H332" s="5">
        <f>VALUE(SUBSTITUTE('1000_заявлений'!H326, ".", ","))</f>
        <v>-1355</v>
      </c>
      <c r="I332" s="4">
        <f>VALUE(SUBSTITUTE('1000_заявлений'!I326, ".", ","))</f>
        <v>0.111925</v>
      </c>
      <c r="J332" s="4">
        <f>VALUE(SUBSTITUTE('1000_заявлений'!J326, ".", ","))</f>
        <v>11.3012447611905</v>
      </c>
      <c r="K332" s="5">
        <f>VALUE(SUBSTITUTE('1000_заявлений'!K326, ".", ","))</f>
        <v>-3653</v>
      </c>
      <c r="L332" s="6">
        <f>VALUE(SUBSTITUTE('1000_заявлений'!L326, ".", ","))</f>
        <v>20146.5</v>
      </c>
      <c r="M332" s="2" t="str">
        <f>IF(Данные6[[#This Row],[proba]]&gt;$C$6, "отказ", "одобрение")</f>
        <v>отказ</v>
      </c>
      <c r="N332" s="7">
        <f>IF(Данные6[[#This Row],[proba]]&lt;$D$2,$C$2,IF(Данные6[[#This Row],[proba]]&lt;$D$3,$C$3,IF(Данные6[[#This Row],[proba]]&gt;$C$6,0,$C$4)))</f>
        <v>0</v>
      </c>
      <c r="O332" s="2">
        <f>IF(Данные6[[#This Row],[weighted_ext_score]]&gt;$O$1,MIN(Данные6[[#This Row],[Базовая сумма]]*$O$2,$C$2),IF(Данные6[[#This Row],[weighted_ext_score]]&lt;$O$3,Данные6[[#This Row],[Базовая сумма]]*$O$4,N332))</f>
        <v>0</v>
      </c>
      <c r="P3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2" s="2">
        <f>ABS(Данные6[[#This Row],[days_birth]])/365.2425</f>
        <v>28.48792240771542</v>
      </c>
      <c r="S3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2" s="2">
        <f>IF(Данные6[[#This Row],[ interest_rate]]&gt;$T$1,Данные6[[#This Row],[days_birth4]]*$T$2,Данные6[[#This Row],[days_birth4]])</f>
        <v>0</v>
      </c>
      <c r="U332" s="2">
        <f>IF(Данные6[[#This Row],[Проверка отказа]]="отказ",0,MAX(Данные6[[#This Row],[interest_rate]],$C$1))</f>
        <v>0</v>
      </c>
      <c r="V332" s="2">
        <f>MROUND(Данные6[[#This Row],[Минимум 20000]], 100)</f>
        <v>0</v>
      </c>
    </row>
    <row r="333" spans="1:22" x14ac:dyDescent="0.25">
      <c r="A333" s="2">
        <f>'1000_заявлений'!A327</f>
        <v>325</v>
      </c>
      <c r="B333" s="4">
        <f>VALUE(SUBSTITUTE('1000_заявлений'!B327, ".", ","))</f>
        <v>0.25428414631907997</v>
      </c>
      <c r="C333" s="4">
        <f>VALUE(SUBSTITUTE('1000_заявлений'!C327, ".", ","))</f>
        <v>0.45600806877023797</v>
      </c>
      <c r="D333" s="4">
        <f>VALUE(SUBSTITUTE('1000_заявлений'!D327, ".", ","))</f>
        <v>0.58848780000000001</v>
      </c>
      <c r="E333" s="4">
        <f>VALUE(SUBSTITUTE('1000_заявлений'!E327, ".", ","))</f>
        <v>0.74965965999999995</v>
      </c>
      <c r="F333" s="5">
        <f>VALUE(SUBSTITUTE('1000_заявлений'!F327, ".", ","))</f>
        <v>-752</v>
      </c>
      <c r="G333" s="5">
        <f>VALUE(SUBSTITUTE('1000_заявлений'!G327, ".", ","))</f>
        <v>-21472</v>
      </c>
      <c r="H333" s="5">
        <f>VALUE(SUBSTITUTE('1000_заявлений'!H327, ".", ","))</f>
        <v>-4986</v>
      </c>
      <c r="I333" s="4">
        <f>VALUE(SUBSTITUTE('1000_заявлений'!I327, ".", ","))</f>
        <v>0.168367346938775</v>
      </c>
      <c r="J333" s="4">
        <f>VALUE(SUBSTITUTE('1000_заявлений'!J327, ".", ","))</f>
        <v>2.7653963316522399</v>
      </c>
      <c r="K333" s="5">
        <f>VALUE(SUBSTITUTE('1000_заявлений'!K327, ".", ","))</f>
        <v>-2751</v>
      </c>
      <c r="L333" s="6">
        <f>VALUE(SUBSTITUTE('1000_заявлений'!L327, ".", ","))</f>
        <v>37125</v>
      </c>
      <c r="M333" s="2" t="str">
        <f>IF(Данные6[[#This Row],[proba]]&gt;$C$6, "отказ", "одобрение")</f>
        <v>одобрение</v>
      </c>
      <c r="N333" s="7">
        <f>IF(Данные6[[#This Row],[proba]]&lt;$D$2,$C$2,IF(Данные6[[#This Row],[proba]]&lt;$D$3,$C$3,IF(Данные6[[#This Row],[proba]]&gt;$C$6,0,$C$4)))</f>
        <v>50000</v>
      </c>
      <c r="O333" s="2">
        <f>IF(Данные6[[#This Row],[weighted_ext_score]]&gt;$O$1,MIN(Данные6[[#This Row],[Базовая сумма]]*$O$2,$C$2),IF(Данные6[[#This Row],[weighted_ext_score]]&lt;$O$3,Данные6[[#This Row],[Базовая сумма]]*$O$4,N333))</f>
        <v>40000</v>
      </c>
      <c r="P3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333" s="2">
        <f>ABS(Данные6[[#This Row],[days_birth]])/365.2425</f>
        <v>58.788339254057234</v>
      </c>
      <c r="S3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333" s="2">
        <f>IF(Данные6[[#This Row],[ interest_rate]]&gt;$T$1,Данные6[[#This Row],[days_birth4]]*$T$2,Данные6[[#This Row],[days_birth4]])</f>
        <v>29400</v>
      </c>
      <c r="U333" s="2">
        <f>IF(Данные6[[#This Row],[Проверка отказа]]="отказ",0,MAX(Данные6[[#This Row],[interest_rate]],$C$1))</f>
        <v>29400</v>
      </c>
      <c r="V333" s="2">
        <f>MROUND(Данные6[[#This Row],[Минимум 20000]], 100)</f>
        <v>29400</v>
      </c>
    </row>
    <row r="334" spans="1:22" x14ac:dyDescent="0.25">
      <c r="A334" s="2">
        <f>'1000_заявлений'!A328</f>
        <v>326</v>
      </c>
      <c r="B334" s="4">
        <f>VALUE(SUBSTITUTE('1000_заявлений'!B328, ".", ","))</f>
        <v>0.20174117396049801</v>
      </c>
      <c r="C334" s="4">
        <f>VALUE(SUBSTITUTE('1000_заявлений'!C328, ".", ","))</f>
        <v>0.453495878515285</v>
      </c>
      <c r="D334" s="4">
        <f>VALUE(SUBSTITUTE('1000_заявлений'!D328, ".", ","))</f>
        <v>0.60755729999999997</v>
      </c>
      <c r="E334" s="4">
        <f>VALUE(SUBSTITUTE('1000_заявлений'!E328, ".", ","))</f>
        <v>0.72065336000000002</v>
      </c>
      <c r="F334" s="5">
        <f>VALUE(SUBSTITUTE('1000_заявлений'!F328, ".", ","))</f>
        <v>-10150</v>
      </c>
      <c r="G334" s="5">
        <f>VALUE(SUBSTITUTE('1000_заявлений'!G328, ".", ","))</f>
        <v>-21511</v>
      </c>
      <c r="H334" s="5">
        <f>VALUE(SUBSTITUTE('1000_заявлений'!H328, ".", ","))</f>
        <v>-4631</v>
      </c>
      <c r="I334" s="4">
        <f>VALUE(SUBSTITUTE('1000_заявлений'!I328, ".", ","))</f>
        <v>0.13675000000000001</v>
      </c>
      <c r="J334" s="4">
        <f>VALUE(SUBSTITUTE('1000_заявлений'!J328, ".", ","))</f>
        <v>6.9063189863112804</v>
      </c>
      <c r="K334" s="5">
        <f>VALUE(SUBSTITUTE('1000_заявлений'!K328, ".", ","))</f>
        <v>365243</v>
      </c>
      <c r="L334" s="6">
        <f>VALUE(SUBSTITUTE('1000_заявлений'!L328, ".", ","))</f>
        <v>12307.5</v>
      </c>
      <c r="M334" s="2" t="str">
        <f>IF(Данные6[[#This Row],[proba]]&gt;$C$6, "отказ", "одобрение")</f>
        <v>одобрение</v>
      </c>
      <c r="N334" s="7">
        <f>IF(Данные6[[#This Row],[proba]]&lt;$D$2,$C$2,IF(Данные6[[#This Row],[proba]]&lt;$D$3,$C$3,IF(Данные6[[#This Row],[proba]]&gt;$C$6,0,$C$4)))</f>
        <v>50000</v>
      </c>
      <c r="O334" s="2">
        <f>IF(Данные6[[#This Row],[weighted_ext_score]]&gt;$O$1,MIN(Данные6[[#This Row],[Базовая сумма]]*$O$2,$C$2),IF(Данные6[[#This Row],[weighted_ext_score]]&lt;$O$3,Данные6[[#This Row],[Базовая сумма]]*$O$4,N334))</f>
        <v>40000</v>
      </c>
      <c r="P3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34" s="2">
        <f>ABS(Данные6[[#This Row],[days_birth]])/365.2425</f>
        <v>58.895117627329789</v>
      </c>
      <c r="S3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34" s="2">
        <f>IF(Данные6[[#This Row],[ interest_rate]]&gt;$T$1,Данные6[[#This Row],[days_birth4]]*$T$2,Данные6[[#This Row],[days_birth4]])</f>
        <v>42000</v>
      </c>
      <c r="U334" s="2">
        <f>IF(Данные6[[#This Row],[Проверка отказа]]="отказ",0,MAX(Данные6[[#This Row],[interest_rate]],$C$1))</f>
        <v>42000</v>
      </c>
      <c r="V334" s="2">
        <f>MROUND(Данные6[[#This Row],[Минимум 20000]], 100)</f>
        <v>42000</v>
      </c>
    </row>
    <row r="335" spans="1:22" x14ac:dyDescent="0.25">
      <c r="A335" s="2">
        <f>'1000_заявлений'!A329</f>
        <v>327</v>
      </c>
      <c r="B335" s="4">
        <f>VALUE(SUBSTITUTE('1000_заявлений'!B329, ".", ","))</f>
        <v>0.51487411106249603</v>
      </c>
      <c r="C335" s="4">
        <f>VALUE(SUBSTITUTE('1000_заявлений'!C329, ".", ","))</f>
        <v>0.47399950632523102</v>
      </c>
      <c r="D335" s="4">
        <f>VALUE(SUBSTITUTE('1000_заявлений'!D329, ".", ","))</f>
        <v>0.25259870000000001</v>
      </c>
      <c r="E335" s="4">
        <f>VALUE(SUBSTITUTE('1000_заявлений'!E329, ".", ","))</f>
        <v>0.57099849999999996</v>
      </c>
      <c r="F335" s="5">
        <f>VALUE(SUBSTITUTE('1000_заявлений'!F329, ".", ","))</f>
        <v>-8851</v>
      </c>
      <c r="G335" s="5">
        <f>VALUE(SUBSTITUTE('1000_заявлений'!G329, ".", ","))</f>
        <v>-14841</v>
      </c>
      <c r="H335" s="5">
        <f>VALUE(SUBSTITUTE('1000_заявлений'!H329, ".", ","))</f>
        <v>-2658</v>
      </c>
      <c r="I335" s="4">
        <f>VALUE(SUBSTITUTE('1000_заявлений'!I329, ".", ","))</f>
        <v>0.12374</v>
      </c>
      <c r="J335" s="4">
        <f>VALUE(SUBSTITUTE('1000_заявлений'!J329, ".", ","))</f>
        <v>4.29799542904418</v>
      </c>
      <c r="K335" s="5">
        <f>VALUE(SUBSTITUTE('1000_заявлений'!K329, ".", ","))</f>
        <v>-2169</v>
      </c>
      <c r="L335" s="6">
        <f>VALUE(SUBSTITUTE('1000_заявлений'!L329, ".", ","))</f>
        <v>27841.5</v>
      </c>
      <c r="M335" s="2" t="str">
        <f>IF(Данные6[[#This Row],[proba]]&gt;$C$6, "отказ", "одобрение")</f>
        <v>отказ</v>
      </c>
      <c r="N335" s="7">
        <f>IF(Данные6[[#This Row],[proba]]&lt;$D$2,$C$2,IF(Данные6[[#This Row],[proba]]&lt;$D$3,$C$3,IF(Данные6[[#This Row],[proba]]&gt;$C$6,0,$C$4)))</f>
        <v>0</v>
      </c>
      <c r="O335" s="2">
        <f>IF(Данные6[[#This Row],[weighted_ext_score]]&gt;$O$1,MIN(Данные6[[#This Row],[Базовая сумма]]*$O$2,$C$2),IF(Данные6[[#This Row],[weighted_ext_score]]&lt;$O$3,Данные6[[#This Row],[Базовая сумма]]*$O$4,N335))</f>
        <v>0</v>
      </c>
      <c r="P3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5" s="2">
        <f>ABS(Данные6[[#This Row],[days_birth]])/365.2425</f>
        <v>40.633277890716442</v>
      </c>
      <c r="S3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5" s="2">
        <f>IF(Данные6[[#This Row],[ interest_rate]]&gt;$T$1,Данные6[[#This Row],[days_birth4]]*$T$2,Данные6[[#This Row],[days_birth4]])</f>
        <v>0</v>
      </c>
      <c r="U335" s="2">
        <f>IF(Данные6[[#This Row],[Проверка отказа]]="отказ",0,MAX(Данные6[[#This Row],[interest_rate]],$C$1))</f>
        <v>0</v>
      </c>
      <c r="V335" s="2">
        <f>MROUND(Данные6[[#This Row],[Минимум 20000]], 100)</f>
        <v>0</v>
      </c>
    </row>
    <row r="336" spans="1:22" x14ac:dyDescent="0.25">
      <c r="A336" s="2">
        <f>'1000_заявлений'!A330</f>
        <v>328</v>
      </c>
      <c r="B336" s="4">
        <f>VALUE(SUBSTITUTE('1000_заявлений'!B330, ".", ","))</f>
        <v>0.22241357476425</v>
      </c>
      <c r="C336" s="4">
        <f>VALUE(SUBSTITUTE('1000_заявлений'!C330, ".", ","))</f>
        <v>0.65886253871734501</v>
      </c>
      <c r="D336" s="4">
        <f>VALUE(SUBSTITUTE('1000_заявлений'!D330, ".", ","))</f>
        <v>0.61270420000000003</v>
      </c>
      <c r="E336" s="4">
        <f>VALUE(SUBSTITUTE('1000_заявлений'!E330, ".", ","))</f>
        <v>0.72731274000000001</v>
      </c>
      <c r="F336" s="5">
        <f>VALUE(SUBSTITUTE('1000_заявлений'!F330, ".", ","))</f>
        <v>-904</v>
      </c>
      <c r="G336" s="5">
        <f>VALUE(SUBSTITUTE('1000_заявлений'!G330, ".", ","))</f>
        <v>-11153</v>
      </c>
      <c r="H336" s="5">
        <f>VALUE(SUBSTITUTE('1000_заявлений'!H330, ".", ","))</f>
        <v>-2972</v>
      </c>
      <c r="I336" s="4">
        <f>VALUE(SUBSTITUTE('1000_заявлений'!I330, ".", ","))</f>
        <v>0.16914285714285701</v>
      </c>
      <c r="J336" s="4">
        <f>VALUE(SUBSTITUTE('1000_заявлений'!J330, ".", ","))</f>
        <v>7.9620143797618903</v>
      </c>
      <c r="K336" s="5">
        <f>VALUE(SUBSTITUTE('1000_заявлений'!K330, ".", ","))</f>
        <v>-213</v>
      </c>
      <c r="L336" s="6">
        <f>VALUE(SUBSTITUTE('1000_заявлений'!L330, ".", ","))</f>
        <v>26640</v>
      </c>
      <c r="M336" s="2" t="str">
        <f>IF(Данные6[[#This Row],[proba]]&gt;$C$6, "отказ", "одобрение")</f>
        <v>одобрение</v>
      </c>
      <c r="N336" s="7">
        <f>IF(Данные6[[#This Row],[proba]]&lt;$D$2,$C$2,IF(Данные6[[#This Row],[proba]]&lt;$D$3,$C$3,IF(Данные6[[#This Row],[proba]]&gt;$C$6,0,$C$4)))</f>
        <v>50000</v>
      </c>
      <c r="O336" s="2">
        <f>IF(Данные6[[#This Row],[weighted_ext_score]]&gt;$O$1,MIN(Данные6[[#This Row],[Базовая сумма]]*$O$2,$C$2),IF(Данные6[[#This Row],[weighted_ext_score]]&lt;$O$3,Данные6[[#This Row],[Базовая сумма]]*$O$4,N336))</f>
        <v>50000</v>
      </c>
      <c r="P3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336" s="2">
        <f>ABS(Данные6[[#This Row],[days_birth]])/365.2425</f>
        <v>30.535876848942824</v>
      </c>
      <c r="S3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50000</v>
      </c>
      <c r="T336" s="2">
        <f>IF(Данные6[[#This Row],[ interest_rate]]&gt;$T$1,Данные6[[#This Row],[days_birth4]]*$T$2,Данные6[[#This Row],[days_birth4]])</f>
        <v>50000</v>
      </c>
      <c r="U336" s="2">
        <f>IF(Данные6[[#This Row],[Проверка отказа]]="отказ",0,MAX(Данные6[[#This Row],[interest_rate]],$C$1))</f>
        <v>50000</v>
      </c>
      <c r="V336" s="2">
        <f>MROUND(Данные6[[#This Row],[Минимум 20000]], 100)</f>
        <v>50000</v>
      </c>
    </row>
    <row r="337" spans="1:22" x14ac:dyDescent="0.25">
      <c r="A337" s="2">
        <f>'1000_заявлений'!A331</f>
        <v>329</v>
      </c>
      <c r="B337" s="4">
        <f>VALUE(SUBSTITUTE('1000_заявлений'!B331, ".", ","))</f>
        <v>0.53101222493398903</v>
      </c>
      <c r="C337" s="4">
        <f>VALUE(SUBSTITUTE('1000_заявлений'!C331, ".", ","))</f>
        <v>0.32150108461669502</v>
      </c>
      <c r="D337" s="4">
        <f>VALUE(SUBSTITUTE('1000_заявлений'!D331, ".", ","))</f>
        <v>0.53527623000000002</v>
      </c>
      <c r="E337" s="4">
        <f>VALUE(SUBSTITUTE('1000_заявлений'!E331, ".", ","))</f>
        <v>0.47777175999999999</v>
      </c>
      <c r="F337" s="5">
        <f>VALUE(SUBSTITUTE('1000_заявлений'!F331, ".", ","))</f>
        <v>-2141</v>
      </c>
      <c r="G337" s="5">
        <f>VALUE(SUBSTITUTE('1000_заявлений'!G331, ".", ","))</f>
        <v>-12391</v>
      </c>
      <c r="H337" s="5">
        <f>VALUE(SUBSTITUTE('1000_заявлений'!H331, ".", ","))</f>
        <v>-3416</v>
      </c>
      <c r="I337" s="4">
        <f>VALUE(SUBSTITUTE('1000_заявлений'!I331, ".", ","))</f>
        <v>0.24288000000000001</v>
      </c>
      <c r="J337" s="4">
        <f>VALUE(SUBSTITUTE('1000_заявлений'!J331, ".", ","))</f>
        <v>4.3425486746510904</v>
      </c>
      <c r="K337" s="5">
        <f>VALUE(SUBSTITUTE('1000_заявлений'!K331, ".", ","))</f>
        <v>-484</v>
      </c>
      <c r="L337" s="6">
        <f>VALUE(SUBSTITUTE('1000_заявлений'!L331, ".", ","))</f>
        <v>27324</v>
      </c>
      <c r="M337" s="2" t="str">
        <f>IF(Данные6[[#This Row],[proba]]&gt;$C$6, "отказ", "одобрение")</f>
        <v>отказ</v>
      </c>
      <c r="N337" s="7">
        <f>IF(Данные6[[#This Row],[proba]]&lt;$D$2,$C$2,IF(Данные6[[#This Row],[proba]]&lt;$D$3,$C$3,IF(Данные6[[#This Row],[proba]]&gt;$C$6,0,$C$4)))</f>
        <v>0</v>
      </c>
      <c r="O337" s="2">
        <f>IF(Данные6[[#This Row],[weighted_ext_score]]&gt;$O$1,MIN(Данные6[[#This Row],[Базовая сумма]]*$O$2,$C$2),IF(Данные6[[#This Row],[weighted_ext_score]]&lt;$O$3,Данные6[[#This Row],[Базовая сумма]]*$O$4,N337))</f>
        <v>0</v>
      </c>
      <c r="P3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7" s="2">
        <f>ABS(Данные6[[#This Row],[days_birth]])/365.2425</f>
        <v>33.925405723594601</v>
      </c>
      <c r="S3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7" s="2">
        <f>IF(Данные6[[#This Row],[ interest_rate]]&gt;$T$1,Данные6[[#This Row],[days_birth4]]*$T$2,Данные6[[#This Row],[days_birth4]])</f>
        <v>0</v>
      </c>
      <c r="U337" s="2">
        <f>IF(Данные6[[#This Row],[Проверка отказа]]="отказ",0,MAX(Данные6[[#This Row],[interest_rate]],$C$1))</f>
        <v>0</v>
      </c>
      <c r="V337" s="2">
        <f>MROUND(Данные6[[#This Row],[Минимум 20000]], 100)</f>
        <v>0</v>
      </c>
    </row>
    <row r="338" spans="1:22" x14ac:dyDescent="0.25">
      <c r="A338" s="2">
        <f>'1000_заявлений'!A332</f>
        <v>330</v>
      </c>
      <c r="B338" s="4">
        <f>VALUE(SUBSTITUTE('1000_заявлений'!B332, ".", ","))</f>
        <v>0.324068934833318</v>
      </c>
      <c r="C338" s="4">
        <f>VALUE(SUBSTITUTE('1000_заявлений'!C332, ".", ","))</f>
        <v>0.63778409357797505</v>
      </c>
      <c r="D338" s="4">
        <f>VALUE(SUBSTITUTE('1000_заявлений'!D332, ".", ","))</f>
        <v>0.54959650000000004</v>
      </c>
      <c r="E338" s="4">
        <f>VALUE(SUBSTITUTE('1000_заявлений'!E332, ".", ","))</f>
        <v>0.57700859999999998</v>
      </c>
      <c r="F338" s="5">
        <f>VALUE(SUBSTITUTE('1000_заявлений'!F332, ".", ","))</f>
        <v>-1288</v>
      </c>
      <c r="G338" s="5">
        <f>VALUE(SUBSTITUTE('1000_заявлений'!G332, ".", ","))</f>
        <v>-12566</v>
      </c>
      <c r="H338" s="5">
        <f>VALUE(SUBSTITUTE('1000_заявлений'!H332, ".", ","))</f>
        <v>-2658</v>
      </c>
      <c r="I338" s="4">
        <f>VALUE(SUBSTITUTE('1000_заявлений'!I332, ".", ","))</f>
        <v>0.203755555555555</v>
      </c>
      <c r="J338" s="4">
        <f>VALUE(SUBSTITUTE('1000_заявлений'!J332, ".", ","))</f>
        <v>2.80648280873134</v>
      </c>
      <c r="K338" s="5">
        <f>VALUE(SUBSTITUTE('1000_заявлений'!K332, ".", ","))</f>
        <v>-1310</v>
      </c>
      <c r="L338" s="6">
        <f>VALUE(SUBSTITUTE('1000_заявлений'!L332, ".", ","))</f>
        <v>41260.5</v>
      </c>
      <c r="M338" s="2" t="str">
        <f>IF(Данные6[[#This Row],[proba]]&gt;$C$6, "отказ", "одобрение")</f>
        <v>отказ</v>
      </c>
      <c r="N338" s="7">
        <f>IF(Данные6[[#This Row],[proba]]&lt;$D$2,$C$2,IF(Данные6[[#This Row],[proba]]&lt;$D$3,$C$3,IF(Данные6[[#This Row],[proba]]&gt;$C$6,0,$C$4)))</f>
        <v>0</v>
      </c>
      <c r="O338" s="2">
        <f>IF(Данные6[[#This Row],[weighted_ext_score]]&gt;$O$1,MIN(Данные6[[#This Row],[Базовая сумма]]*$O$2,$C$2),IF(Данные6[[#This Row],[weighted_ext_score]]&lt;$O$3,Данные6[[#This Row],[Базовая сумма]]*$O$4,N338))</f>
        <v>0</v>
      </c>
      <c r="P3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8" s="2">
        <f>ABS(Данные6[[#This Row],[days_birth]])/365.2425</f>
        <v>34.404539449817584</v>
      </c>
      <c r="S3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8" s="2">
        <f>IF(Данные6[[#This Row],[ interest_rate]]&gt;$T$1,Данные6[[#This Row],[days_birth4]]*$T$2,Данные6[[#This Row],[days_birth4]])</f>
        <v>0</v>
      </c>
      <c r="U338" s="2">
        <f>IF(Данные6[[#This Row],[Проверка отказа]]="отказ",0,MAX(Данные6[[#This Row],[interest_rate]],$C$1))</f>
        <v>0</v>
      </c>
      <c r="V338" s="2">
        <f>MROUND(Данные6[[#This Row],[Минимум 20000]], 100)</f>
        <v>0</v>
      </c>
    </row>
    <row r="339" spans="1:22" x14ac:dyDescent="0.25">
      <c r="A339" s="2">
        <f>'1000_заявлений'!A333</f>
        <v>331</v>
      </c>
      <c r="B339" s="4">
        <f>VALUE(SUBSTITUTE('1000_заявлений'!B333, ".", ","))</f>
        <v>0.78701112732754697</v>
      </c>
      <c r="C339" s="4">
        <f>VALUE(SUBSTITUTE('1000_заявлений'!C333, ".", ","))</f>
        <v>0.22412819063260001</v>
      </c>
      <c r="D339" s="4">
        <f>VALUE(SUBSTITUTE('1000_заявлений'!D333, ".", ","))</f>
        <v>0.40835884</v>
      </c>
      <c r="E339" s="4">
        <f>VALUE(SUBSTITUTE('1000_заявлений'!E333, ".", ","))</f>
        <v>0.115176156</v>
      </c>
      <c r="F339" s="5">
        <f>VALUE(SUBSTITUTE('1000_заявлений'!F333, ".", ","))</f>
        <v>-3230</v>
      </c>
      <c r="G339" s="5">
        <f>VALUE(SUBSTITUTE('1000_заявлений'!G333, ".", ","))</f>
        <v>-9171</v>
      </c>
      <c r="H339" s="5">
        <f>VALUE(SUBSTITUTE('1000_заявлений'!H333, ".", ","))</f>
        <v>-1793</v>
      </c>
      <c r="I339" s="4">
        <f>VALUE(SUBSTITUTE('1000_заявлений'!I333, ".", ","))</f>
        <v>8.9200000000000002E-2</v>
      </c>
      <c r="J339" s="4">
        <f>VALUE(SUBSTITUTE('1000_заявлений'!J333, ".", ","))</f>
        <v>0.120066022004938</v>
      </c>
      <c r="K339" s="5">
        <f>VALUE(SUBSTITUTE('1000_заявлений'!K333, ".", ","))</f>
        <v>-216</v>
      </c>
      <c r="L339" s="6">
        <f>VALUE(SUBSTITUTE('1000_заявлений'!L333, ".", ","))</f>
        <v>12042</v>
      </c>
      <c r="M339" s="2" t="str">
        <f>IF(Данные6[[#This Row],[proba]]&gt;$C$6, "отказ", "одобрение")</f>
        <v>отказ</v>
      </c>
      <c r="N339" s="7">
        <f>IF(Данные6[[#This Row],[proba]]&lt;$D$2,$C$2,IF(Данные6[[#This Row],[proba]]&lt;$D$3,$C$3,IF(Данные6[[#This Row],[proba]]&gt;$C$6,0,$C$4)))</f>
        <v>0</v>
      </c>
      <c r="O339" s="2">
        <f>IF(Данные6[[#This Row],[weighted_ext_score]]&gt;$O$1,MIN(Данные6[[#This Row],[Базовая сумма]]*$O$2,$C$2),IF(Данные6[[#This Row],[weighted_ext_score]]&lt;$O$3,Данные6[[#This Row],[Базовая сумма]]*$O$4,N339))</f>
        <v>0</v>
      </c>
      <c r="P3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39" s="2">
        <f>ABS(Данные6[[#This Row],[days_birth]])/365.2425</f>
        <v>25.109345161091603</v>
      </c>
      <c r="S3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39" s="2">
        <f>IF(Данные6[[#This Row],[ interest_rate]]&gt;$T$1,Данные6[[#This Row],[days_birth4]]*$T$2,Данные6[[#This Row],[days_birth4]])</f>
        <v>0</v>
      </c>
      <c r="U339" s="2">
        <f>IF(Данные6[[#This Row],[Проверка отказа]]="отказ",0,MAX(Данные6[[#This Row],[interest_rate]],$C$1))</f>
        <v>0</v>
      </c>
      <c r="V339" s="2">
        <f>MROUND(Данные6[[#This Row],[Минимум 20000]], 100)</f>
        <v>0</v>
      </c>
    </row>
    <row r="340" spans="1:22" x14ac:dyDescent="0.25">
      <c r="A340" s="2">
        <f>'1000_заявлений'!A334</f>
        <v>332</v>
      </c>
      <c r="B340" s="4">
        <f>VALUE(SUBSTITUTE('1000_заявлений'!B334, ".", ","))</f>
        <v>0.19392139939362699</v>
      </c>
      <c r="C340" s="4">
        <f>VALUE(SUBSTITUTE('1000_заявлений'!C334, ".", ","))</f>
        <v>0.49761962067802201</v>
      </c>
      <c r="D340" s="4">
        <f>VALUE(SUBSTITUTE('1000_заявлений'!D334, ".", ","))</f>
        <v>0.72956670000000001</v>
      </c>
      <c r="E340" s="4">
        <f>VALUE(SUBSTITUTE('1000_заявлений'!E334, ".", ","))</f>
        <v>0.72064452999999995</v>
      </c>
      <c r="F340" s="5">
        <f>VALUE(SUBSTITUTE('1000_заявлений'!F334, ".", ","))</f>
        <v>-6600</v>
      </c>
      <c r="G340" s="5">
        <f>VALUE(SUBSTITUTE('1000_заявлений'!G334, ".", ","))</f>
        <v>-13011</v>
      </c>
      <c r="H340" s="5">
        <f>VALUE(SUBSTITUTE('1000_заявлений'!H334, ".", ","))</f>
        <v>-3912</v>
      </c>
      <c r="I340" s="4">
        <f>VALUE(SUBSTITUTE('1000_заявлений'!I334, ".", ","))</f>
        <v>0.19331999999999999</v>
      </c>
      <c r="J340" s="4">
        <f>VALUE(SUBSTITUTE('1000_заявлений'!J334, ".", ","))</f>
        <v>15.4322274227241</v>
      </c>
      <c r="K340" s="5">
        <f>VALUE(SUBSTITUTE('1000_заявлений'!K334, ".", ","))</f>
        <v>-416</v>
      </c>
      <c r="L340" s="6">
        <f>VALUE(SUBSTITUTE('1000_заявлений'!L334, ".", ","))</f>
        <v>21748.5</v>
      </c>
      <c r="M340" s="2" t="str">
        <f>IF(Данные6[[#This Row],[proba]]&gt;$C$6, "отказ", "одобрение")</f>
        <v>одобрение</v>
      </c>
      <c r="N340" s="7">
        <f>IF(Данные6[[#This Row],[proba]]&lt;$D$2,$C$2,IF(Данные6[[#This Row],[proba]]&lt;$D$3,$C$3,IF(Данные6[[#This Row],[proba]]&gt;$C$6,0,$C$4)))</f>
        <v>200000</v>
      </c>
      <c r="O340" s="2">
        <f>IF(Данные6[[#This Row],[weighted_ext_score]]&gt;$O$1,MIN(Данные6[[#This Row],[Базовая сумма]]*$O$2,$C$2),IF(Данные6[[#This Row],[weighted_ext_score]]&lt;$O$3,Данные6[[#This Row],[Базовая сумма]]*$O$4,N340))</f>
        <v>160000</v>
      </c>
      <c r="P3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3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112000</v>
      </c>
      <c r="R340" s="2">
        <f>ABS(Данные6[[#This Row],[days_birth]])/365.2425</f>
        <v>35.622908067927469</v>
      </c>
      <c r="S3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112000</v>
      </c>
      <c r="T340" s="2">
        <f>IF(Данные6[[#This Row],[ interest_rate]]&gt;$T$1,Данные6[[#This Row],[days_birth4]]*$T$2,Данные6[[#This Row],[days_birth4]])</f>
        <v>112000</v>
      </c>
      <c r="U340" s="2">
        <f>IF(Данные6[[#This Row],[Проверка отказа]]="отказ",0,MAX(Данные6[[#This Row],[interest_rate]],$C$1))</f>
        <v>112000</v>
      </c>
      <c r="V340" s="2">
        <f>MROUND(Данные6[[#This Row],[Минимум 20000]], 100)</f>
        <v>112000</v>
      </c>
    </row>
    <row r="341" spans="1:22" x14ac:dyDescent="0.25">
      <c r="A341" s="2">
        <f>'1000_заявлений'!A335</f>
        <v>333</v>
      </c>
      <c r="B341" s="4">
        <f>VALUE(SUBSTITUTE('1000_заявлений'!B335, ".", ","))</f>
        <v>0.34956961261627401</v>
      </c>
      <c r="C341" s="4">
        <f>VALUE(SUBSTITUTE('1000_заявлений'!C335, ".", ","))</f>
        <v>0.43309721410848401</v>
      </c>
      <c r="D341" s="4">
        <f>VALUE(SUBSTITUTE('1000_заявлений'!D335, ".", ","))</f>
        <v>0.65452929999999998</v>
      </c>
      <c r="E341" s="4">
        <f>VALUE(SUBSTITUTE('1000_заявлений'!E335, ".", ","))</f>
        <v>0.60539600000000005</v>
      </c>
      <c r="F341" s="5">
        <f>VALUE(SUBSTITUTE('1000_заявлений'!F335, ".", ","))</f>
        <v>-3493</v>
      </c>
      <c r="G341" s="5">
        <f>VALUE(SUBSTITUTE('1000_заявлений'!G335, ".", ","))</f>
        <v>-13489</v>
      </c>
      <c r="H341" s="5">
        <f>VALUE(SUBSTITUTE('1000_заявлений'!H335, ".", ","))</f>
        <v>-4648</v>
      </c>
      <c r="I341" s="4">
        <f>VALUE(SUBSTITUTE('1000_заявлений'!I335, ".", ","))</f>
        <v>0.24463333333333301</v>
      </c>
      <c r="J341" s="4">
        <f>VALUE(SUBSTITUTE('1000_заявлений'!J335, ".", ","))</f>
        <v>1.8302979515786899</v>
      </c>
      <c r="K341" s="5">
        <f>VALUE(SUBSTITUTE('1000_заявлений'!K335, ".", ","))</f>
        <v>-459</v>
      </c>
      <c r="L341" s="6">
        <f>VALUE(SUBSTITUTE('1000_заявлений'!L335, ".", ","))</f>
        <v>33025.5</v>
      </c>
      <c r="M341" s="2" t="str">
        <f>IF(Данные6[[#This Row],[proba]]&gt;$C$6, "отказ", "одобрение")</f>
        <v>отказ</v>
      </c>
      <c r="N341" s="7">
        <f>IF(Данные6[[#This Row],[proba]]&lt;$D$2,$C$2,IF(Данные6[[#This Row],[proba]]&lt;$D$3,$C$3,IF(Данные6[[#This Row],[proba]]&gt;$C$6,0,$C$4)))</f>
        <v>0</v>
      </c>
      <c r="O341" s="2">
        <f>IF(Данные6[[#This Row],[weighted_ext_score]]&gt;$O$1,MIN(Данные6[[#This Row],[Базовая сумма]]*$O$2,$C$2),IF(Данные6[[#This Row],[weighted_ext_score]]&lt;$O$3,Данные6[[#This Row],[Базовая сумма]]*$O$4,N341))</f>
        <v>0</v>
      </c>
      <c r="P3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1" s="2">
        <f>ABS(Данные6[[#This Row],[days_birth]])/365.2425</f>
        <v>36.931627617267978</v>
      </c>
      <c r="S3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1" s="2">
        <f>IF(Данные6[[#This Row],[ interest_rate]]&gt;$T$1,Данные6[[#This Row],[days_birth4]]*$T$2,Данные6[[#This Row],[days_birth4]])</f>
        <v>0</v>
      </c>
      <c r="U341" s="2">
        <f>IF(Данные6[[#This Row],[Проверка отказа]]="отказ",0,MAX(Данные6[[#This Row],[interest_rate]],$C$1))</f>
        <v>0</v>
      </c>
      <c r="V341" s="2">
        <f>MROUND(Данные6[[#This Row],[Минимум 20000]], 100)</f>
        <v>0</v>
      </c>
    </row>
    <row r="342" spans="1:22" x14ac:dyDescent="0.25">
      <c r="A342" s="2">
        <f>'1000_заявлений'!A336</f>
        <v>334</v>
      </c>
      <c r="B342" s="4">
        <f>VALUE(SUBSTITUTE('1000_заявлений'!B336, ".", ","))</f>
        <v>0.44681006763458098</v>
      </c>
      <c r="C342" s="4">
        <f>VALUE(SUBSTITUTE('1000_заявлений'!C336, ".", ","))</f>
        <v>0.40383243877965902</v>
      </c>
      <c r="D342" s="4">
        <f>VALUE(SUBSTITUTE('1000_заявлений'!D336, ".", ","))</f>
        <v>0.48485148</v>
      </c>
      <c r="E342" s="4">
        <f>VALUE(SUBSTITUTE('1000_заявлений'!E336, ".", ","))</f>
        <v>0.70436069999999995</v>
      </c>
      <c r="F342" s="5">
        <f>VALUE(SUBSTITUTE('1000_заявлений'!F336, ".", ","))</f>
        <v>-3331</v>
      </c>
      <c r="G342" s="5">
        <f>VALUE(SUBSTITUTE('1000_заявлений'!G336, ".", ","))</f>
        <v>-18700</v>
      </c>
      <c r="H342" s="5">
        <f>VALUE(SUBSTITUTE('1000_заявлений'!H336, ".", ","))</f>
        <v>-2242</v>
      </c>
      <c r="I342" s="4">
        <f>VALUE(SUBSTITUTE('1000_заявлений'!I336, ".", ","))</f>
        <v>0.40815000000000001</v>
      </c>
      <c r="J342" s="4">
        <f>VALUE(SUBSTITUTE('1000_заявлений'!J336, ".", ","))</f>
        <v>1.5529715214878099</v>
      </c>
      <c r="K342" s="5">
        <f>VALUE(SUBSTITUTE('1000_заявлений'!K336, ".", ","))</f>
        <v>-3210</v>
      </c>
      <c r="L342" s="6">
        <f>VALUE(SUBSTITUTE('1000_заявлений'!L336, ".", ","))</f>
        <v>36733.5</v>
      </c>
      <c r="M342" s="2" t="str">
        <f>IF(Данные6[[#This Row],[proba]]&gt;$C$6, "отказ", "одобрение")</f>
        <v>отказ</v>
      </c>
      <c r="N342" s="7">
        <f>IF(Данные6[[#This Row],[proba]]&lt;$D$2,$C$2,IF(Данные6[[#This Row],[proba]]&lt;$D$3,$C$3,IF(Данные6[[#This Row],[proba]]&gt;$C$6,0,$C$4)))</f>
        <v>0</v>
      </c>
      <c r="O342" s="2">
        <f>IF(Данные6[[#This Row],[weighted_ext_score]]&gt;$O$1,MIN(Данные6[[#This Row],[Базовая сумма]]*$O$2,$C$2),IF(Данные6[[#This Row],[weighted_ext_score]]&lt;$O$3,Данные6[[#This Row],[Базовая сумма]]*$O$4,N342))</f>
        <v>0</v>
      </c>
      <c r="P3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2" s="2">
        <f>ABS(Данные6[[#This Row],[days_birth]])/365.2425</f>
        <v>51.198861030685094</v>
      </c>
      <c r="S3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2" s="2">
        <f>IF(Данные6[[#This Row],[ interest_rate]]&gt;$T$1,Данные6[[#This Row],[days_birth4]]*$T$2,Данные6[[#This Row],[days_birth4]])</f>
        <v>0</v>
      </c>
      <c r="U342" s="2">
        <f>IF(Данные6[[#This Row],[Проверка отказа]]="отказ",0,MAX(Данные6[[#This Row],[interest_rate]],$C$1))</f>
        <v>0</v>
      </c>
      <c r="V342" s="2">
        <f>MROUND(Данные6[[#This Row],[Минимум 20000]], 100)</f>
        <v>0</v>
      </c>
    </row>
    <row r="343" spans="1:22" x14ac:dyDescent="0.25">
      <c r="A343" s="2">
        <f>'1000_заявлений'!A337</f>
        <v>335</v>
      </c>
      <c r="B343" s="4">
        <f>VALUE(SUBSTITUTE('1000_заявлений'!B337, ".", ","))</f>
        <v>0.56698278500686905</v>
      </c>
      <c r="C343" s="4">
        <f>VALUE(SUBSTITUTE('1000_заявлений'!C337, ".", ","))</f>
        <v>0.296674361442754</v>
      </c>
      <c r="D343" s="4">
        <f>VALUE(SUBSTITUTE('1000_заявлений'!D337, ".", ","))</f>
        <v>0.25533178000000001</v>
      </c>
      <c r="E343" s="4">
        <f>VALUE(SUBSTITUTE('1000_заявлений'!E337, ".", ","))</f>
        <v>0.62991430000000004</v>
      </c>
      <c r="F343" s="5">
        <f>VALUE(SUBSTITUTE('1000_заявлений'!F337, ".", ","))</f>
        <v>-1896</v>
      </c>
      <c r="G343" s="5">
        <f>VALUE(SUBSTITUTE('1000_заявлений'!G337, ".", ","))</f>
        <v>-10690</v>
      </c>
      <c r="H343" s="5">
        <f>VALUE(SUBSTITUTE('1000_заявлений'!H337, ".", ","))</f>
        <v>-3334</v>
      </c>
      <c r="I343" s="4">
        <f>VALUE(SUBSTITUTE('1000_заявлений'!I337, ".", ","))</f>
        <v>0.04</v>
      </c>
      <c r="J343" s="4">
        <f>VALUE(SUBSTITUTE('1000_заявлений'!J337, ".", ","))</f>
        <v>10.6209759779781</v>
      </c>
      <c r="K343" s="5">
        <f>VALUE(SUBSTITUTE('1000_заявлений'!K337, ".", ","))</f>
        <v>-2397</v>
      </c>
      <c r="L343" s="6">
        <f>VALUE(SUBSTITUTE('1000_заявлений'!L337, ".", ","))</f>
        <v>9000</v>
      </c>
      <c r="M343" s="2" t="str">
        <f>IF(Данные6[[#This Row],[proba]]&gt;$C$6, "отказ", "одобрение")</f>
        <v>отказ</v>
      </c>
      <c r="N343" s="7">
        <f>IF(Данные6[[#This Row],[proba]]&lt;$D$2,$C$2,IF(Данные6[[#This Row],[proba]]&lt;$D$3,$C$3,IF(Данные6[[#This Row],[proba]]&gt;$C$6,0,$C$4)))</f>
        <v>0</v>
      </c>
      <c r="O343" s="2">
        <f>IF(Данные6[[#This Row],[weighted_ext_score]]&gt;$O$1,MIN(Данные6[[#This Row],[Базовая сумма]]*$O$2,$C$2),IF(Данные6[[#This Row],[weighted_ext_score]]&lt;$O$3,Данные6[[#This Row],[Базовая сумма]]*$O$4,N343))</f>
        <v>0</v>
      </c>
      <c r="P3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3" s="2">
        <f>ABS(Данные6[[#This Row],[days_birth]])/365.2425</f>
        <v>29.268225904707148</v>
      </c>
      <c r="S3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3" s="2">
        <f>IF(Данные6[[#This Row],[ interest_rate]]&gt;$T$1,Данные6[[#This Row],[days_birth4]]*$T$2,Данные6[[#This Row],[days_birth4]])</f>
        <v>0</v>
      </c>
      <c r="U343" s="2">
        <f>IF(Данные6[[#This Row],[Проверка отказа]]="отказ",0,MAX(Данные6[[#This Row],[interest_rate]],$C$1))</f>
        <v>0</v>
      </c>
      <c r="V343" s="2">
        <f>MROUND(Данные6[[#This Row],[Минимум 20000]], 100)</f>
        <v>0</v>
      </c>
    </row>
    <row r="344" spans="1:22" x14ac:dyDescent="0.25">
      <c r="A344" s="2">
        <f>'1000_заявлений'!A338</f>
        <v>336</v>
      </c>
      <c r="B344" s="4">
        <f>VALUE(SUBSTITUTE('1000_заявлений'!B338, ".", ","))</f>
        <v>0.24380029264060499</v>
      </c>
      <c r="C344" s="4">
        <f>VALUE(SUBSTITUTE('1000_заявлений'!C338, ".", ","))</f>
        <v>0.43233901280985398</v>
      </c>
      <c r="D344" s="4">
        <f>VALUE(SUBSTITUTE('1000_заявлений'!D338, ".", ","))</f>
        <v>0.59023329999999996</v>
      </c>
      <c r="E344" s="4">
        <f>VALUE(SUBSTITUTE('1000_заявлений'!E338, ".", ","))</f>
        <v>0.67474573999999998</v>
      </c>
      <c r="F344" s="5">
        <f>VALUE(SUBSTITUTE('1000_заявлений'!F338, ".", ","))</f>
        <v>-5247</v>
      </c>
      <c r="G344" s="5">
        <f>VALUE(SUBSTITUTE('1000_заявлений'!G338, ".", ","))</f>
        <v>-16262</v>
      </c>
      <c r="H344" s="5">
        <f>VALUE(SUBSTITUTE('1000_заявлений'!H338, ".", ","))</f>
        <v>-4308</v>
      </c>
      <c r="I344" s="4">
        <f>VALUE(SUBSTITUTE('1000_заявлений'!I338, ".", ","))</f>
        <v>8.9359999999999995E-2</v>
      </c>
      <c r="J344" s="4">
        <f>VALUE(SUBSTITUTE('1000_заявлений'!J338, ".", ","))</f>
        <v>18.039750759074899</v>
      </c>
      <c r="K344" s="5">
        <f>VALUE(SUBSTITUTE('1000_заявлений'!K338, ".", ","))</f>
        <v>-5637</v>
      </c>
      <c r="L344" s="6">
        <f>VALUE(SUBSTITUTE('1000_заявлений'!L338, ".", ","))</f>
        <v>10053</v>
      </c>
      <c r="M344" s="2" t="str">
        <f>IF(Данные6[[#This Row],[proba]]&gt;$C$6, "отказ", "одобрение")</f>
        <v>одобрение</v>
      </c>
      <c r="N344" s="7">
        <f>IF(Данные6[[#This Row],[proba]]&lt;$D$2,$C$2,IF(Данные6[[#This Row],[proba]]&lt;$D$3,$C$3,IF(Данные6[[#This Row],[proba]]&gt;$C$6,0,$C$4)))</f>
        <v>50000</v>
      </c>
      <c r="O344" s="2">
        <f>IF(Данные6[[#This Row],[weighted_ext_score]]&gt;$O$1,MIN(Данные6[[#This Row],[Базовая сумма]]*$O$2,$C$2),IF(Данные6[[#This Row],[weighted_ext_score]]&lt;$O$3,Данные6[[#This Row],[Базовая сумма]]*$O$4,N344))</f>
        <v>40000</v>
      </c>
      <c r="P3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3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344" s="2">
        <f>ABS(Данные6[[#This Row],[days_birth]])/365.2425</f>
        <v>44.523843747647113</v>
      </c>
      <c r="S3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57600</v>
      </c>
      <c r="T344" s="2">
        <f>IF(Данные6[[#This Row],[ interest_rate]]&gt;$T$1,Данные6[[#This Row],[days_birth4]]*$T$2,Данные6[[#This Row],[days_birth4]])</f>
        <v>57600</v>
      </c>
      <c r="U344" s="2">
        <f>IF(Данные6[[#This Row],[Проверка отказа]]="отказ",0,MAX(Данные6[[#This Row],[interest_rate]],$C$1))</f>
        <v>57600</v>
      </c>
      <c r="V344" s="2">
        <f>MROUND(Данные6[[#This Row],[Минимум 20000]], 100)</f>
        <v>57600</v>
      </c>
    </row>
    <row r="345" spans="1:22" x14ac:dyDescent="0.25">
      <c r="A345" s="2">
        <f>'1000_заявлений'!A339</f>
        <v>337</v>
      </c>
      <c r="B345" s="4">
        <f>VALUE(SUBSTITUTE('1000_заявлений'!B339, ".", ","))</f>
        <v>0.48746748208136398</v>
      </c>
      <c r="C345" s="4">
        <f>VALUE(SUBSTITUTE('1000_заявлений'!C339, ".", ","))</f>
        <v>0.28160340859439698</v>
      </c>
      <c r="D345" s="4">
        <f>VALUE(SUBSTITUTE('1000_заявлений'!D339, ".", ","))</f>
        <v>0.60927564000000001</v>
      </c>
      <c r="E345" s="4">
        <f>VALUE(SUBSTITUTE('1000_заявлений'!E339, ".", ","))</f>
        <v>0.18882156999999999</v>
      </c>
      <c r="F345" s="5">
        <f>VALUE(SUBSTITUTE('1000_заявлений'!F339, ".", ","))</f>
        <v>-5889</v>
      </c>
      <c r="G345" s="5">
        <f>VALUE(SUBSTITUTE('1000_заявлений'!G339, ".", ","))</f>
        <v>-21697</v>
      </c>
      <c r="H345" s="5">
        <f>VALUE(SUBSTITUTE('1000_заявлений'!H339, ".", ","))</f>
        <v>-4019</v>
      </c>
      <c r="I345" s="4">
        <f>VALUE(SUBSTITUTE('1000_заявлений'!I339, ".", ","))</f>
        <v>0.15622</v>
      </c>
      <c r="J345" s="4">
        <f>VALUE(SUBSTITUTE('1000_заявлений'!J339, ".", ","))</f>
        <v>3.00025667799741</v>
      </c>
      <c r="K345" s="5">
        <f>VALUE(SUBSTITUTE('1000_заявлений'!K339, ".", ","))</f>
        <v>365243</v>
      </c>
      <c r="L345" s="6">
        <f>VALUE(SUBSTITUTE('1000_заявлений'!L339, ".", ","))</f>
        <v>35149.5</v>
      </c>
      <c r="M345" s="2" t="str">
        <f>IF(Данные6[[#This Row],[proba]]&gt;$C$6, "отказ", "одобрение")</f>
        <v>отказ</v>
      </c>
      <c r="N345" s="7">
        <f>IF(Данные6[[#This Row],[proba]]&lt;$D$2,$C$2,IF(Данные6[[#This Row],[proba]]&lt;$D$3,$C$3,IF(Данные6[[#This Row],[proba]]&gt;$C$6,0,$C$4)))</f>
        <v>0</v>
      </c>
      <c r="O345" s="2">
        <f>IF(Данные6[[#This Row],[weighted_ext_score]]&gt;$O$1,MIN(Данные6[[#This Row],[Базовая сумма]]*$O$2,$C$2),IF(Данные6[[#This Row],[weighted_ext_score]]&lt;$O$3,Данные6[[#This Row],[Базовая сумма]]*$O$4,N345))</f>
        <v>0</v>
      </c>
      <c r="P3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5" s="2">
        <f>ABS(Данные6[[#This Row],[days_birth]])/365.2425</f>
        <v>59.404368330629651</v>
      </c>
      <c r="S3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5" s="2">
        <f>IF(Данные6[[#This Row],[ interest_rate]]&gt;$T$1,Данные6[[#This Row],[days_birth4]]*$T$2,Данные6[[#This Row],[days_birth4]])</f>
        <v>0</v>
      </c>
      <c r="U345" s="2">
        <f>IF(Данные6[[#This Row],[Проверка отказа]]="отказ",0,MAX(Данные6[[#This Row],[interest_rate]],$C$1))</f>
        <v>0</v>
      </c>
      <c r="V345" s="2">
        <f>MROUND(Данные6[[#This Row],[Минимум 20000]], 100)</f>
        <v>0</v>
      </c>
    </row>
    <row r="346" spans="1:22" x14ac:dyDescent="0.25">
      <c r="A346" s="2">
        <f>'1000_заявлений'!A340</f>
        <v>338</v>
      </c>
      <c r="B346" s="4">
        <f>VALUE(SUBSTITUTE('1000_заявлений'!B340, ".", ","))</f>
        <v>0.29409007540575</v>
      </c>
      <c r="C346" s="4">
        <f>VALUE(SUBSTITUTE('1000_заявлений'!C340, ".", ","))</f>
        <v>0.39861232093689403</v>
      </c>
      <c r="D346" s="4">
        <f>VALUE(SUBSTITUTE('1000_заявлений'!D340, ".", ","))</f>
        <v>0.5797274</v>
      </c>
      <c r="E346" s="4">
        <f>VALUE(SUBSTITUTE('1000_заявлений'!E340, ".", ","))</f>
        <v>0.58248555999999996</v>
      </c>
      <c r="F346" s="5">
        <f>VALUE(SUBSTITUTE('1000_заявлений'!F340, ".", ","))</f>
        <v>-9638</v>
      </c>
      <c r="G346" s="5">
        <f>VALUE(SUBSTITUTE('1000_заявлений'!G340, ".", ","))</f>
        <v>-22062</v>
      </c>
      <c r="H346" s="5">
        <f>VALUE(SUBSTITUTE('1000_заявлений'!H340, ".", ","))</f>
        <v>-5087</v>
      </c>
      <c r="I346" s="4">
        <f>VALUE(SUBSTITUTE('1000_заявлений'!I340, ".", ","))</f>
        <v>0.18456666666666599</v>
      </c>
      <c r="J346" s="4">
        <f>VALUE(SUBSTITUTE('1000_заявлений'!J340, ".", ","))</f>
        <v>2.1390440360010001</v>
      </c>
      <c r="K346" s="5">
        <f>VALUE(SUBSTITUTE('1000_заявлений'!K340, ".", ","))</f>
        <v>365243</v>
      </c>
      <c r="L346" s="6">
        <f>VALUE(SUBSTITUTE('1000_заявлений'!L340, ".", ","))</f>
        <v>24916.5</v>
      </c>
      <c r="M346" s="2" t="str">
        <f>IF(Данные6[[#This Row],[proba]]&gt;$C$6, "отказ", "одобрение")</f>
        <v>одобрение</v>
      </c>
      <c r="N346" s="7">
        <f>IF(Данные6[[#This Row],[proba]]&lt;$D$2,$C$2,IF(Данные6[[#This Row],[proba]]&lt;$D$3,$C$3,IF(Данные6[[#This Row],[proba]]&gt;$C$6,0,$C$4)))</f>
        <v>50000</v>
      </c>
      <c r="O346" s="2">
        <f>IF(Данные6[[#This Row],[weighted_ext_score]]&gt;$O$1,MIN(Данные6[[#This Row],[Базовая сумма]]*$O$2,$C$2),IF(Данные6[[#This Row],[weighted_ext_score]]&lt;$O$3,Данные6[[#This Row],[Базовая сумма]]*$O$4,N346))</f>
        <v>40000</v>
      </c>
      <c r="P3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46" s="2">
        <f>ABS(Данные6[[#This Row],[days_birth]])/365.2425</f>
        <v>60.403704388180458</v>
      </c>
      <c r="S3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46" s="2">
        <f>IF(Данные6[[#This Row],[ interest_rate]]&gt;$T$1,Данные6[[#This Row],[days_birth4]]*$T$2,Данные6[[#This Row],[days_birth4]])</f>
        <v>42000</v>
      </c>
      <c r="U346" s="2">
        <f>IF(Данные6[[#This Row],[Проверка отказа]]="отказ",0,MAX(Данные6[[#This Row],[interest_rate]],$C$1))</f>
        <v>42000</v>
      </c>
      <c r="V346" s="2">
        <f>MROUND(Данные6[[#This Row],[Минимум 20000]], 100)</f>
        <v>42000</v>
      </c>
    </row>
    <row r="347" spans="1:22" x14ac:dyDescent="0.25">
      <c r="A347" s="2">
        <f>'1000_заявлений'!A341</f>
        <v>339</v>
      </c>
      <c r="B347" s="4">
        <f>VALUE(SUBSTITUTE('1000_заявлений'!B341, ".", ","))</f>
        <v>0.65312975778498095</v>
      </c>
      <c r="C347" s="4">
        <f>VALUE(SUBSTITUTE('1000_заявлений'!C341, ".", ","))</f>
        <v>0.37440926864526602</v>
      </c>
      <c r="D347" s="4">
        <f>VALUE(SUBSTITUTE('1000_заявлений'!D341, ".", ","))</f>
        <v>0.31236538000000003</v>
      </c>
      <c r="E347" s="4">
        <f>VALUE(SUBSTITUTE('1000_заявлений'!E341, ".", ","))</f>
        <v>0.34494215</v>
      </c>
      <c r="F347" s="5">
        <f>VALUE(SUBSTITUTE('1000_заявлений'!F341, ".", ","))</f>
        <v>-3060</v>
      </c>
      <c r="G347" s="5">
        <f>VALUE(SUBSTITUTE('1000_заявлений'!G341, ".", ","))</f>
        <v>-8227</v>
      </c>
      <c r="H347" s="5">
        <f>VALUE(SUBSTITUTE('1000_заявлений'!H341, ".", ","))</f>
        <v>-862</v>
      </c>
      <c r="I347" s="4">
        <f>VALUE(SUBSTITUTE('1000_заявлений'!I341, ".", ","))</f>
        <v>7.4999999999999997E-2</v>
      </c>
      <c r="J347" s="4">
        <f>VALUE(SUBSTITUTE('1000_заявлений'!J341, ".", ","))</f>
        <v>10.6209759779781</v>
      </c>
      <c r="K347" s="5">
        <f>VALUE(SUBSTITUTE('1000_заявлений'!K341, ".", ","))</f>
        <v>-130</v>
      </c>
      <c r="L347" s="6">
        <f>VALUE(SUBSTITUTE('1000_заявлений'!L341, ".", ","))</f>
        <v>13500</v>
      </c>
      <c r="M347" s="2" t="str">
        <f>IF(Данные6[[#This Row],[proba]]&gt;$C$6, "отказ", "одобрение")</f>
        <v>отказ</v>
      </c>
      <c r="N347" s="7">
        <f>IF(Данные6[[#This Row],[proba]]&lt;$D$2,$C$2,IF(Данные6[[#This Row],[proba]]&lt;$D$3,$C$3,IF(Данные6[[#This Row],[proba]]&gt;$C$6,0,$C$4)))</f>
        <v>0</v>
      </c>
      <c r="O347" s="2">
        <f>IF(Данные6[[#This Row],[weighted_ext_score]]&gt;$O$1,MIN(Данные6[[#This Row],[Базовая сумма]]*$O$2,$C$2),IF(Данные6[[#This Row],[weighted_ext_score]]&lt;$O$3,Данные6[[#This Row],[Базовая сумма]]*$O$4,N347))</f>
        <v>0</v>
      </c>
      <c r="P3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7" s="2">
        <f>ABS(Данные6[[#This Row],[days_birth]])/365.2425</f>
        <v>22.524760946494453</v>
      </c>
      <c r="S3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7" s="2">
        <f>IF(Данные6[[#This Row],[ interest_rate]]&gt;$T$1,Данные6[[#This Row],[days_birth4]]*$T$2,Данные6[[#This Row],[days_birth4]])</f>
        <v>0</v>
      </c>
      <c r="U347" s="2">
        <f>IF(Данные6[[#This Row],[Проверка отказа]]="отказ",0,MAX(Данные6[[#This Row],[interest_rate]],$C$1))</f>
        <v>0</v>
      </c>
      <c r="V347" s="2">
        <f>MROUND(Данные6[[#This Row],[Минимум 20000]], 100)</f>
        <v>0</v>
      </c>
    </row>
    <row r="348" spans="1:22" x14ac:dyDescent="0.25">
      <c r="A348" s="2">
        <f>'1000_заявлений'!A342</f>
        <v>340</v>
      </c>
      <c r="B348" s="4">
        <f>VALUE(SUBSTITUTE('1000_заявлений'!B342, ".", ","))</f>
        <v>0.66738260889594003</v>
      </c>
      <c r="C348" s="4">
        <f>VALUE(SUBSTITUTE('1000_заявлений'!C342, ".", ","))</f>
        <v>0.21298464937025399</v>
      </c>
      <c r="D348" s="4">
        <f>VALUE(SUBSTITUTE('1000_заявлений'!D342, ".", ","))</f>
        <v>0.33285058000000001</v>
      </c>
      <c r="E348" s="4">
        <f>VALUE(SUBSTITUTE('1000_заявлений'!E342, ".", ","))</f>
        <v>0.28548285000000001</v>
      </c>
      <c r="F348" s="5">
        <f>VALUE(SUBSTITUTE('1000_заявлений'!F342, ".", ","))</f>
        <v>-1756</v>
      </c>
      <c r="G348" s="5">
        <f>VALUE(SUBSTITUTE('1000_заявлений'!G342, ".", ","))</f>
        <v>-11027</v>
      </c>
      <c r="H348" s="5">
        <f>VALUE(SUBSTITUTE('1000_заявлений'!H342, ".", ","))</f>
        <v>-3351</v>
      </c>
      <c r="I348" s="4">
        <f>VALUE(SUBSTITUTE('1000_заявлений'!I342, ".", ","))</f>
        <v>7.1800000000000003E-2</v>
      </c>
      <c r="J348" s="4">
        <f>VALUE(SUBSTITUTE('1000_заявлений'!J342, ".", ","))</f>
        <v>17.764514855092202</v>
      </c>
      <c r="K348" s="5">
        <f>VALUE(SUBSTITUTE('1000_заявлений'!K342, ".", ","))</f>
        <v>-1187</v>
      </c>
      <c r="L348" s="6">
        <f>VALUE(SUBSTITUTE('1000_заявлений'!L342, ".", ","))</f>
        <v>14539.5</v>
      </c>
      <c r="M348" s="2" t="str">
        <f>IF(Данные6[[#This Row],[proba]]&gt;$C$6, "отказ", "одобрение")</f>
        <v>отказ</v>
      </c>
      <c r="N348" s="7">
        <f>IF(Данные6[[#This Row],[proba]]&lt;$D$2,$C$2,IF(Данные6[[#This Row],[proba]]&lt;$D$3,$C$3,IF(Данные6[[#This Row],[proba]]&gt;$C$6,0,$C$4)))</f>
        <v>0</v>
      </c>
      <c r="O348" s="2">
        <f>IF(Данные6[[#This Row],[weighted_ext_score]]&gt;$O$1,MIN(Данные6[[#This Row],[Базовая сумма]]*$O$2,$C$2),IF(Данные6[[#This Row],[weighted_ext_score]]&lt;$O$3,Данные6[[#This Row],[Базовая сумма]]*$O$4,N348))</f>
        <v>0</v>
      </c>
      <c r="P3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8" s="2">
        <f>ABS(Данные6[[#This Row],[days_birth]])/365.2425</f>
        <v>30.190900566062272</v>
      </c>
      <c r="S3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8" s="2">
        <f>IF(Данные6[[#This Row],[ interest_rate]]&gt;$T$1,Данные6[[#This Row],[days_birth4]]*$T$2,Данные6[[#This Row],[days_birth4]])</f>
        <v>0</v>
      </c>
      <c r="U348" s="2">
        <f>IF(Данные6[[#This Row],[Проверка отказа]]="отказ",0,MAX(Данные6[[#This Row],[interest_rate]],$C$1))</f>
        <v>0</v>
      </c>
      <c r="V348" s="2">
        <f>MROUND(Данные6[[#This Row],[Минимум 20000]], 100)</f>
        <v>0</v>
      </c>
    </row>
    <row r="349" spans="1:22" x14ac:dyDescent="0.25">
      <c r="A349" s="2">
        <f>'1000_заявлений'!A343</f>
        <v>341</v>
      </c>
      <c r="B349" s="4">
        <f>VALUE(SUBSTITUTE('1000_заявлений'!B343, ".", ","))</f>
        <v>0.48728700539653003</v>
      </c>
      <c r="C349" s="4">
        <f>VALUE(SUBSTITUTE('1000_заявлений'!C343, ".", ","))</f>
        <v>0.34757901497722199</v>
      </c>
      <c r="D349" s="4">
        <f>VALUE(SUBSTITUTE('1000_заявлений'!D343, ".", ","))</f>
        <v>0.47584989999999999</v>
      </c>
      <c r="E349" s="4">
        <f>VALUE(SUBSTITUTE('1000_заявлений'!E343, ".", ","))</f>
        <v>0.54097709999999999</v>
      </c>
      <c r="F349" s="5">
        <f>VALUE(SUBSTITUTE('1000_заявлений'!F343, ".", ","))</f>
        <v>-6236</v>
      </c>
      <c r="G349" s="5">
        <f>VALUE(SUBSTITUTE('1000_заявлений'!G343, ".", ","))</f>
        <v>-13565</v>
      </c>
      <c r="H349" s="5">
        <f>VALUE(SUBSTITUTE('1000_заявлений'!H343, ".", ","))</f>
        <v>-4648</v>
      </c>
      <c r="I349" s="4">
        <f>VALUE(SUBSTITUTE('1000_заявлений'!I343, ".", ","))</f>
        <v>0.13108</v>
      </c>
      <c r="J349" s="4">
        <f>VALUE(SUBSTITUTE('1000_заявлений'!J343, ".", ","))</f>
        <v>2.2179541803807701</v>
      </c>
      <c r="K349" s="5">
        <f>VALUE(SUBSTITUTE('1000_заявлений'!K343, ".", ","))</f>
        <v>-1251</v>
      </c>
      <c r="L349" s="6">
        <f>VALUE(SUBSTITUTE('1000_заявлений'!L343, ".", ","))</f>
        <v>14746.5</v>
      </c>
      <c r="M349" s="2" t="str">
        <f>IF(Данные6[[#This Row],[proba]]&gt;$C$6, "отказ", "одобрение")</f>
        <v>отказ</v>
      </c>
      <c r="N349" s="7">
        <f>IF(Данные6[[#This Row],[proba]]&lt;$D$2,$C$2,IF(Данные6[[#This Row],[proba]]&lt;$D$3,$C$3,IF(Данные6[[#This Row],[proba]]&gt;$C$6,0,$C$4)))</f>
        <v>0</v>
      </c>
      <c r="O349" s="2">
        <f>IF(Данные6[[#This Row],[weighted_ext_score]]&gt;$O$1,MIN(Данные6[[#This Row],[Базовая сумма]]*$O$2,$C$2),IF(Данные6[[#This Row],[weighted_ext_score]]&lt;$O$3,Данные6[[#This Row],[Базовая сумма]]*$O$4,N349))</f>
        <v>0</v>
      </c>
      <c r="P3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49" s="2">
        <f>ABS(Данные6[[#This Row],[days_birth]])/365.2425</f>
        <v>37.139708549799103</v>
      </c>
      <c r="S3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49" s="2">
        <f>IF(Данные6[[#This Row],[ interest_rate]]&gt;$T$1,Данные6[[#This Row],[days_birth4]]*$T$2,Данные6[[#This Row],[days_birth4]])</f>
        <v>0</v>
      </c>
      <c r="U349" s="2">
        <f>IF(Данные6[[#This Row],[Проверка отказа]]="отказ",0,MAX(Данные6[[#This Row],[interest_rate]],$C$1))</f>
        <v>0</v>
      </c>
      <c r="V349" s="2">
        <f>MROUND(Данные6[[#This Row],[Минимум 20000]], 100)</f>
        <v>0</v>
      </c>
    </row>
    <row r="350" spans="1:22" x14ac:dyDescent="0.25">
      <c r="A350" s="2">
        <f>'1000_заявлений'!A344</f>
        <v>342</v>
      </c>
      <c r="B350" s="4">
        <f>VALUE(SUBSTITUTE('1000_заявлений'!B344, ".", ","))</f>
        <v>0.31357169043229499</v>
      </c>
      <c r="C350" s="4">
        <f>VALUE(SUBSTITUTE('1000_заявлений'!C344, ".", ","))</f>
        <v>0.44670412434706502</v>
      </c>
      <c r="D350" s="4">
        <f>VALUE(SUBSTITUTE('1000_заявлений'!D344, ".", ","))</f>
        <v>0.63637613999999998</v>
      </c>
      <c r="E350" s="4">
        <f>VALUE(SUBSTITUTE('1000_заявлений'!E344, ".", ","))</f>
        <v>0.66758379999999995</v>
      </c>
      <c r="F350" s="5">
        <f>VALUE(SUBSTITUTE('1000_заявлений'!F344, ".", ","))</f>
        <v>-2536</v>
      </c>
      <c r="G350" s="5">
        <f>VALUE(SUBSTITUTE('1000_заявлений'!G344, ".", ","))</f>
        <v>-9959</v>
      </c>
      <c r="H350" s="5">
        <f>VALUE(SUBSTITUTE('1000_заявлений'!H344, ".", ","))</f>
        <v>-2536</v>
      </c>
      <c r="I350" s="4">
        <f>VALUE(SUBSTITUTE('1000_заявлений'!I344, ".", ","))</f>
        <v>0.15</v>
      </c>
      <c r="J350" s="4">
        <f>VALUE(SUBSTITUTE('1000_заявлений'!J344, ".", ","))</f>
        <v>10.6209759779781</v>
      </c>
      <c r="K350" s="5">
        <f>VALUE(SUBSTITUTE('1000_заявлений'!K344, ".", ","))</f>
        <v>-1437</v>
      </c>
      <c r="L350" s="6">
        <f>VALUE(SUBSTITUTE('1000_заявлений'!L344, ".", ","))</f>
        <v>13500</v>
      </c>
      <c r="M350" s="2" t="str">
        <f>IF(Данные6[[#This Row],[proba]]&gt;$C$6, "отказ", "одобрение")</f>
        <v>отказ</v>
      </c>
      <c r="N350" s="7">
        <f>IF(Данные6[[#This Row],[proba]]&lt;$D$2,$C$2,IF(Данные6[[#This Row],[proba]]&lt;$D$3,$C$3,IF(Данные6[[#This Row],[proba]]&gt;$C$6,0,$C$4)))</f>
        <v>0</v>
      </c>
      <c r="O350" s="2">
        <f>IF(Данные6[[#This Row],[weighted_ext_score]]&gt;$O$1,MIN(Данные6[[#This Row],[Базовая сумма]]*$O$2,$C$2),IF(Данные6[[#This Row],[weighted_ext_score]]&lt;$O$3,Данные6[[#This Row],[Базовая сумма]]*$O$4,N350))</f>
        <v>0</v>
      </c>
      <c r="P3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0" s="2">
        <f>ABS(Данные6[[#This Row],[days_birth]])/365.2425</f>
        <v>27.266815882598546</v>
      </c>
      <c r="S3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0" s="2">
        <f>IF(Данные6[[#This Row],[ interest_rate]]&gt;$T$1,Данные6[[#This Row],[days_birth4]]*$T$2,Данные6[[#This Row],[days_birth4]])</f>
        <v>0</v>
      </c>
      <c r="U350" s="2">
        <f>IF(Данные6[[#This Row],[Проверка отказа]]="отказ",0,MAX(Данные6[[#This Row],[interest_rate]],$C$1))</f>
        <v>0</v>
      </c>
      <c r="V350" s="2">
        <f>MROUND(Данные6[[#This Row],[Минимум 20000]], 100)</f>
        <v>0</v>
      </c>
    </row>
    <row r="351" spans="1:22" x14ac:dyDescent="0.25">
      <c r="A351" s="2">
        <f>'1000_заявлений'!A345</f>
        <v>343</v>
      </c>
      <c r="B351" s="4">
        <f>VALUE(SUBSTITUTE('1000_заявлений'!B345, ".", ","))</f>
        <v>0.30243635484744602</v>
      </c>
      <c r="C351" s="4">
        <f>VALUE(SUBSTITUTE('1000_заявлений'!C345, ".", ","))</f>
        <v>0.49371656708118</v>
      </c>
      <c r="D351" s="4">
        <f>VALUE(SUBSTITUTE('1000_заявлений'!D345, ".", ","))</f>
        <v>0.84543794000000005</v>
      </c>
      <c r="E351" s="4">
        <f>VALUE(SUBSTITUTE('1000_заявлений'!E345, ".", ","))</f>
        <v>0.27172849999999998</v>
      </c>
      <c r="F351" s="5">
        <f>VALUE(SUBSTITUTE('1000_заявлений'!F345, ".", ","))</f>
        <v>-5711</v>
      </c>
      <c r="G351" s="5">
        <f>VALUE(SUBSTITUTE('1000_заявлений'!G345, ".", ","))</f>
        <v>-16283</v>
      </c>
      <c r="H351" s="5">
        <f>VALUE(SUBSTITUTE('1000_заявлений'!H345, ".", ","))</f>
        <v>-4141</v>
      </c>
      <c r="I351" s="4">
        <f>VALUE(SUBSTITUTE('1000_заявлений'!I345, ".", ","))</f>
        <v>5.41554410120548E-2</v>
      </c>
      <c r="J351" s="4">
        <f>VALUE(SUBSTITUTE('1000_заявлений'!J345, ".", ","))</f>
        <v>1.8135854052051501</v>
      </c>
      <c r="K351" s="5">
        <f>VALUE(SUBSTITUTE('1000_заявлений'!K345, ".", ","))</f>
        <v>-716</v>
      </c>
      <c r="L351" s="6">
        <f>VALUE(SUBSTITUTE('1000_заявлений'!L345, ".", ","))</f>
        <v>15214.5</v>
      </c>
      <c r="M351" s="2" t="str">
        <f>IF(Данные6[[#This Row],[proba]]&gt;$C$6, "отказ", "одобрение")</f>
        <v>отказ</v>
      </c>
      <c r="N351" s="7">
        <f>IF(Данные6[[#This Row],[proba]]&lt;$D$2,$C$2,IF(Данные6[[#This Row],[proba]]&lt;$D$3,$C$3,IF(Данные6[[#This Row],[proba]]&gt;$C$6,0,$C$4)))</f>
        <v>0</v>
      </c>
      <c r="O351" s="2">
        <f>IF(Данные6[[#This Row],[weighted_ext_score]]&gt;$O$1,MIN(Данные6[[#This Row],[Базовая сумма]]*$O$2,$C$2),IF(Данные6[[#This Row],[weighted_ext_score]]&lt;$O$3,Данные6[[#This Row],[Базовая сумма]]*$O$4,N351))</f>
        <v>0</v>
      </c>
      <c r="P3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1" s="2">
        <f>ABS(Данные6[[#This Row],[days_birth]])/365.2425</f>
        <v>44.58133979479387</v>
      </c>
      <c r="S3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1" s="2">
        <f>IF(Данные6[[#This Row],[ interest_rate]]&gt;$T$1,Данные6[[#This Row],[days_birth4]]*$T$2,Данные6[[#This Row],[days_birth4]])</f>
        <v>0</v>
      </c>
      <c r="U351" s="2">
        <f>IF(Данные6[[#This Row],[Проверка отказа]]="отказ",0,MAX(Данные6[[#This Row],[interest_rate]],$C$1))</f>
        <v>0</v>
      </c>
      <c r="V351" s="2">
        <f>MROUND(Данные6[[#This Row],[Минимум 20000]], 100)</f>
        <v>0</v>
      </c>
    </row>
    <row r="352" spans="1:22" x14ac:dyDescent="0.25">
      <c r="A352" s="2">
        <f>'1000_заявлений'!A346</f>
        <v>344</v>
      </c>
      <c r="B352" s="4">
        <f>VALUE(SUBSTITUTE('1000_заявлений'!B346, ".", ","))</f>
        <v>0.39031417906696703</v>
      </c>
      <c r="C352" s="4">
        <f>VALUE(SUBSTITUTE('1000_заявлений'!C346, ".", ","))</f>
        <v>0.31698705827279799</v>
      </c>
      <c r="D352" s="4">
        <f>VALUE(SUBSTITUTE('1000_заявлений'!D346, ".", ","))</f>
        <v>0.64962030000000004</v>
      </c>
      <c r="E352" s="4">
        <f>VALUE(SUBSTITUTE('1000_заявлений'!E346, ".", ","))</f>
        <v>0.25292100000000001</v>
      </c>
      <c r="F352" s="5">
        <f>VALUE(SUBSTITUTE('1000_заявлений'!F346, ".", ","))</f>
        <v>-5283</v>
      </c>
      <c r="G352" s="5">
        <f>VALUE(SUBSTITUTE('1000_заявлений'!G346, ".", ","))</f>
        <v>-21930</v>
      </c>
      <c r="H352" s="5">
        <f>VALUE(SUBSTITUTE('1000_заявлений'!H346, ".", ","))</f>
        <v>-4286</v>
      </c>
      <c r="I352" s="4">
        <f>VALUE(SUBSTITUTE('1000_заявлений'!I346, ".", ","))</f>
        <v>0.10638095238095201</v>
      </c>
      <c r="J352" s="4">
        <f>VALUE(SUBSTITUTE('1000_заявлений'!J346, ".", ","))</f>
        <v>18.039750759074899</v>
      </c>
      <c r="K352" s="5">
        <f>VALUE(SUBSTITUTE('1000_заявлений'!K346, ".", ","))</f>
        <v>-3143</v>
      </c>
      <c r="L352" s="6">
        <f>VALUE(SUBSTITUTE('1000_заявлений'!L346, ".", ","))</f>
        <v>10053</v>
      </c>
      <c r="M352" s="2" t="str">
        <f>IF(Данные6[[#This Row],[proba]]&gt;$C$6, "отказ", "одобрение")</f>
        <v>отказ</v>
      </c>
      <c r="N352" s="7">
        <f>IF(Данные6[[#This Row],[proba]]&lt;$D$2,$C$2,IF(Данные6[[#This Row],[proba]]&lt;$D$3,$C$3,IF(Данные6[[#This Row],[proba]]&gt;$C$6,0,$C$4)))</f>
        <v>0</v>
      </c>
      <c r="O352" s="2">
        <f>IF(Данные6[[#This Row],[weighted_ext_score]]&gt;$O$1,MIN(Данные6[[#This Row],[Базовая сумма]]*$O$2,$C$2),IF(Данные6[[#This Row],[weighted_ext_score]]&lt;$O$3,Данные6[[#This Row],[Базовая сумма]]*$O$4,N352))</f>
        <v>0</v>
      </c>
      <c r="P3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2" s="2">
        <f>ABS(Данные6[[#This Row],[days_birth]])/365.2425</f>
        <v>60.042300663257969</v>
      </c>
      <c r="S3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2" s="2">
        <f>IF(Данные6[[#This Row],[ interest_rate]]&gt;$T$1,Данные6[[#This Row],[days_birth4]]*$T$2,Данные6[[#This Row],[days_birth4]])</f>
        <v>0</v>
      </c>
      <c r="U352" s="2">
        <f>IF(Данные6[[#This Row],[Проверка отказа]]="отказ",0,MAX(Данные6[[#This Row],[interest_rate]],$C$1))</f>
        <v>0</v>
      </c>
      <c r="V352" s="2">
        <f>MROUND(Данные6[[#This Row],[Минимум 20000]], 100)</f>
        <v>0</v>
      </c>
    </row>
    <row r="353" spans="1:22" x14ac:dyDescent="0.25">
      <c r="A353" s="2">
        <f>'1000_заявлений'!A347</f>
        <v>345</v>
      </c>
      <c r="B353" s="4">
        <f>VALUE(SUBSTITUTE('1000_заявлений'!B347, ".", ","))</f>
        <v>0.40596055603333903</v>
      </c>
      <c r="C353" s="4">
        <f>VALUE(SUBSTITUTE('1000_заявлений'!C347, ".", ","))</f>
        <v>0.35207105447222298</v>
      </c>
      <c r="D353" s="4">
        <f>VALUE(SUBSTITUTE('1000_заявлений'!D347, ".", ","))</f>
        <v>0.53527623000000002</v>
      </c>
      <c r="E353" s="4">
        <f>VALUE(SUBSTITUTE('1000_заявлений'!E347, ".", ","))</f>
        <v>0.52499209999999996</v>
      </c>
      <c r="F353" s="5">
        <f>VALUE(SUBSTITUTE('1000_заявлений'!F347, ".", ","))</f>
        <v>-4250</v>
      </c>
      <c r="G353" s="5">
        <f>VALUE(SUBSTITUTE('1000_заявлений'!G347, ".", ","))</f>
        <v>-16008</v>
      </c>
      <c r="H353" s="5">
        <f>VALUE(SUBSTITUTE('1000_заявлений'!H347, ".", ","))</f>
        <v>-4242</v>
      </c>
      <c r="I353" s="4">
        <f>VALUE(SUBSTITUTE('1000_заявлений'!I347, ".", ","))</f>
        <v>0.16975555555555499</v>
      </c>
      <c r="J353" s="4">
        <f>VALUE(SUBSTITUTE('1000_заявлений'!J347, ".", ","))</f>
        <v>0.93488290171779198</v>
      </c>
      <c r="K353" s="5">
        <f>VALUE(SUBSTITUTE('1000_заявлений'!K347, ".", ","))</f>
        <v>365243</v>
      </c>
      <c r="L353" s="6">
        <f>VALUE(SUBSTITUTE('1000_заявлений'!L347, ".", ","))</f>
        <v>34375.5</v>
      </c>
      <c r="M353" s="2" t="str">
        <f>IF(Данные6[[#This Row],[proba]]&gt;$C$6, "отказ", "одобрение")</f>
        <v>отказ</v>
      </c>
      <c r="N353" s="7">
        <f>IF(Данные6[[#This Row],[proba]]&lt;$D$2,$C$2,IF(Данные6[[#This Row],[proba]]&lt;$D$3,$C$3,IF(Данные6[[#This Row],[proba]]&gt;$C$6,0,$C$4)))</f>
        <v>0</v>
      </c>
      <c r="O353" s="2">
        <f>IF(Данные6[[#This Row],[weighted_ext_score]]&gt;$O$1,MIN(Данные6[[#This Row],[Базовая сумма]]*$O$2,$C$2),IF(Данные6[[#This Row],[weighted_ext_score]]&lt;$O$3,Данные6[[#This Row],[Базовая сумма]]*$O$4,N353))</f>
        <v>0</v>
      </c>
      <c r="P3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3" s="2">
        <f>ABS(Данные6[[#This Row],[days_birth]])/365.2425</f>
        <v>43.828415367872026</v>
      </c>
      <c r="S3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3" s="2">
        <f>IF(Данные6[[#This Row],[ interest_rate]]&gt;$T$1,Данные6[[#This Row],[days_birth4]]*$T$2,Данные6[[#This Row],[days_birth4]])</f>
        <v>0</v>
      </c>
      <c r="U353" s="2">
        <f>IF(Данные6[[#This Row],[Проверка отказа]]="отказ",0,MAX(Данные6[[#This Row],[interest_rate]],$C$1))</f>
        <v>0</v>
      </c>
      <c r="V353" s="2">
        <f>MROUND(Данные6[[#This Row],[Минимум 20000]], 100)</f>
        <v>0</v>
      </c>
    </row>
    <row r="354" spans="1:22" x14ac:dyDescent="0.25">
      <c r="A354" s="2">
        <f>'1000_заявлений'!A348</f>
        <v>346</v>
      </c>
      <c r="B354" s="4">
        <f>VALUE(SUBSTITUTE('1000_заявлений'!B348, ".", ","))</f>
        <v>0.60666231952082195</v>
      </c>
      <c r="C354" s="4">
        <f>VALUE(SUBSTITUTE('1000_заявлений'!C348, ".", ","))</f>
        <v>0.24662199911378099</v>
      </c>
      <c r="D354" s="4">
        <f>VALUE(SUBSTITUTE('1000_заявлений'!D348, ".", ","))</f>
        <v>0.56737923999999995</v>
      </c>
      <c r="E354" s="4">
        <f>VALUE(SUBSTITUTE('1000_заявлений'!E348, ".", ","))</f>
        <v>0.12769230000000001</v>
      </c>
      <c r="F354" s="5">
        <f>VALUE(SUBSTITUTE('1000_заявлений'!F348, ".", ","))</f>
        <v>-408</v>
      </c>
      <c r="G354" s="5">
        <f>VALUE(SUBSTITUTE('1000_заявлений'!G348, ".", ","))</f>
        <v>-23644</v>
      </c>
      <c r="H354" s="5">
        <f>VALUE(SUBSTITUTE('1000_заявлений'!H348, ".", ","))</f>
        <v>-3351</v>
      </c>
      <c r="I354" s="4">
        <f>VALUE(SUBSTITUTE('1000_заявлений'!I348, ".", ","))</f>
        <v>0.23148571428571399</v>
      </c>
      <c r="J354" s="4">
        <f>VALUE(SUBSTITUTE('1000_заявлений'!J348, ".", ","))</f>
        <v>6.5526323213506297</v>
      </c>
      <c r="K354" s="5">
        <f>VALUE(SUBSTITUTE('1000_заявлений'!K348, ".", ","))</f>
        <v>-522</v>
      </c>
      <c r="L354" s="6">
        <f>VALUE(SUBSTITUTE('1000_заявлений'!L348, ".", ","))</f>
        <v>36459</v>
      </c>
      <c r="M354" s="2" t="str">
        <f>IF(Данные6[[#This Row],[proba]]&gt;$C$6, "отказ", "одобрение")</f>
        <v>отказ</v>
      </c>
      <c r="N354" s="7">
        <f>IF(Данные6[[#This Row],[proba]]&lt;$D$2,$C$2,IF(Данные6[[#This Row],[proba]]&lt;$D$3,$C$3,IF(Данные6[[#This Row],[proba]]&gt;$C$6,0,$C$4)))</f>
        <v>0</v>
      </c>
      <c r="O354" s="2">
        <f>IF(Данные6[[#This Row],[weighted_ext_score]]&gt;$O$1,MIN(Данные6[[#This Row],[Базовая сумма]]*$O$2,$C$2),IF(Данные6[[#This Row],[weighted_ext_score]]&lt;$O$3,Данные6[[#This Row],[Базовая сумма]]*$O$4,N354))</f>
        <v>0</v>
      </c>
      <c r="P3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4" s="2">
        <f>ABS(Данные6[[#This Row],[days_birth]])/365.2425</f>
        <v>64.735073273236267</v>
      </c>
      <c r="S3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4" s="2">
        <f>IF(Данные6[[#This Row],[ interest_rate]]&gt;$T$1,Данные6[[#This Row],[days_birth4]]*$T$2,Данные6[[#This Row],[days_birth4]])</f>
        <v>0</v>
      </c>
      <c r="U354" s="2">
        <f>IF(Данные6[[#This Row],[Проверка отказа]]="отказ",0,MAX(Данные6[[#This Row],[interest_rate]],$C$1))</f>
        <v>0</v>
      </c>
      <c r="V354" s="2">
        <f>MROUND(Данные6[[#This Row],[Минимум 20000]], 100)</f>
        <v>0</v>
      </c>
    </row>
    <row r="355" spans="1:22" x14ac:dyDescent="0.25">
      <c r="A355" s="2">
        <f>'1000_заявлений'!A349</f>
        <v>347</v>
      </c>
      <c r="B355" s="4">
        <f>VALUE(SUBSTITUTE('1000_заявлений'!B349, ".", ","))</f>
        <v>0.79895193837725997</v>
      </c>
      <c r="C355" s="4">
        <f>VALUE(SUBSTITUTE('1000_заявлений'!C349, ".", ","))</f>
        <v>4.6504939538456497E-2</v>
      </c>
      <c r="D355" s="4">
        <f>VALUE(SUBSTITUTE('1000_заявлений'!D349, ".", ","))</f>
        <v>0.53527623000000002</v>
      </c>
      <c r="E355" s="4">
        <f>VALUE(SUBSTITUTE('1000_заявлений'!E349, ".", ","))</f>
        <v>0.14336699999999999</v>
      </c>
      <c r="F355" s="5">
        <f>VALUE(SUBSTITUTE('1000_заявлений'!F349, ".", ","))</f>
        <v>-430</v>
      </c>
      <c r="G355" s="5">
        <f>VALUE(SUBSTITUTE('1000_заявлений'!G349, ".", ","))</f>
        <v>-12372</v>
      </c>
      <c r="H355" s="5">
        <f>VALUE(SUBSTITUTE('1000_заявлений'!H349, ".", ","))</f>
        <v>-273</v>
      </c>
      <c r="I355" s="4">
        <f>VALUE(SUBSTITUTE('1000_заявлений'!I349, ".", ","))</f>
        <v>0.23785714285714199</v>
      </c>
      <c r="J355" s="4">
        <f>VALUE(SUBSTITUTE('1000_заявлений'!J349, ".", ","))</f>
        <v>3.1563858036098398</v>
      </c>
      <c r="K355" s="5">
        <f>VALUE(SUBSTITUTE('1000_заявлений'!K349, ".", ","))</f>
        <v>-2045</v>
      </c>
      <c r="L355" s="6">
        <f>VALUE(SUBSTITUTE('1000_заявлений'!L349, ".", ","))</f>
        <v>29970</v>
      </c>
      <c r="M355" s="2" t="str">
        <f>IF(Данные6[[#This Row],[proba]]&gt;$C$6, "отказ", "одобрение")</f>
        <v>отказ</v>
      </c>
      <c r="N355" s="7">
        <f>IF(Данные6[[#This Row],[proba]]&lt;$D$2,$C$2,IF(Данные6[[#This Row],[proba]]&lt;$D$3,$C$3,IF(Данные6[[#This Row],[proba]]&gt;$C$6,0,$C$4)))</f>
        <v>0</v>
      </c>
      <c r="O355" s="2">
        <f>IF(Данные6[[#This Row],[weighted_ext_score]]&gt;$O$1,MIN(Данные6[[#This Row],[Базовая сумма]]*$O$2,$C$2),IF(Данные6[[#This Row],[weighted_ext_score]]&lt;$O$3,Данные6[[#This Row],[Базовая сумма]]*$O$4,N355))</f>
        <v>0</v>
      </c>
      <c r="P3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5" s="2">
        <f>ABS(Данные6[[#This Row],[days_birth]])/365.2425</f>
        <v>33.873385490461814</v>
      </c>
      <c r="S3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5" s="2">
        <f>IF(Данные6[[#This Row],[ interest_rate]]&gt;$T$1,Данные6[[#This Row],[days_birth4]]*$T$2,Данные6[[#This Row],[days_birth4]])</f>
        <v>0</v>
      </c>
      <c r="U355" s="2">
        <f>IF(Данные6[[#This Row],[Проверка отказа]]="отказ",0,MAX(Данные6[[#This Row],[interest_rate]],$C$1))</f>
        <v>0</v>
      </c>
      <c r="V355" s="2">
        <f>MROUND(Данные6[[#This Row],[Минимум 20000]], 100)</f>
        <v>0</v>
      </c>
    </row>
    <row r="356" spans="1:22" x14ac:dyDescent="0.25">
      <c r="A356" s="2">
        <f>'1000_заявлений'!A350</f>
        <v>348</v>
      </c>
      <c r="B356" s="4">
        <f>VALUE(SUBSTITUTE('1000_заявлений'!B350, ".", ","))</f>
        <v>0.38932227925887403</v>
      </c>
      <c r="C356" s="4">
        <f>VALUE(SUBSTITUTE('1000_заявлений'!C350, ".", ","))</f>
        <v>0.38963288611249303</v>
      </c>
      <c r="D356" s="4">
        <f>VALUE(SUBSTITUTE('1000_заявлений'!D350, ".", ","))</f>
        <v>0.45789953999999999</v>
      </c>
      <c r="E356" s="4">
        <f>VALUE(SUBSTITUTE('1000_заявлений'!E350, ".", ","))</f>
        <v>0.69063604000000001</v>
      </c>
      <c r="F356" s="5">
        <f>VALUE(SUBSTITUTE('1000_заявлений'!F350, ".", ","))</f>
        <v>-8161</v>
      </c>
      <c r="G356" s="5">
        <f>VALUE(SUBSTITUTE('1000_заявлений'!G350, ".", ","))</f>
        <v>-14402</v>
      </c>
      <c r="H356" s="5">
        <f>VALUE(SUBSTITUTE('1000_заявлений'!H350, ".", ","))</f>
        <v>-4023</v>
      </c>
      <c r="I356" s="4">
        <f>VALUE(SUBSTITUTE('1000_заявлений'!I350, ".", ","))</f>
        <v>9.1374999999999998E-2</v>
      </c>
      <c r="J356" s="4">
        <f>VALUE(SUBSTITUTE('1000_заявлений'!J350, ".", ","))</f>
        <v>1.55972200073934</v>
      </c>
      <c r="K356" s="5">
        <f>VALUE(SUBSTITUTE('1000_заявлений'!K350, ".", ","))</f>
        <v>-1745</v>
      </c>
      <c r="L356" s="6">
        <f>VALUE(SUBSTITUTE('1000_заявлений'!L350, ".", ","))</f>
        <v>32895</v>
      </c>
      <c r="M356" s="2" t="str">
        <f>IF(Данные6[[#This Row],[proba]]&gt;$C$6, "отказ", "одобрение")</f>
        <v>отказ</v>
      </c>
      <c r="N356" s="7">
        <f>IF(Данные6[[#This Row],[proba]]&lt;$D$2,$C$2,IF(Данные6[[#This Row],[proba]]&lt;$D$3,$C$3,IF(Данные6[[#This Row],[proba]]&gt;$C$6,0,$C$4)))</f>
        <v>0</v>
      </c>
      <c r="O356" s="2">
        <f>IF(Данные6[[#This Row],[weighted_ext_score]]&gt;$O$1,MIN(Данные6[[#This Row],[Базовая сумма]]*$O$2,$C$2),IF(Данные6[[#This Row],[weighted_ext_score]]&lt;$O$3,Данные6[[#This Row],[Базовая сумма]]*$O$4,N356))</f>
        <v>0</v>
      </c>
      <c r="P3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6" s="2">
        <f>ABS(Данные6[[#This Row],[days_birth]])/365.2425</f>
        <v>39.431336714648488</v>
      </c>
      <c r="S3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6" s="2">
        <f>IF(Данные6[[#This Row],[ interest_rate]]&gt;$T$1,Данные6[[#This Row],[days_birth4]]*$T$2,Данные6[[#This Row],[days_birth4]])</f>
        <v>0</v>
      </c>
      <c r="U356" s="2">
        <f>IF(Данные6[[#This Row],[Проверка отказа]]="отказ",0,MAX(Данные6[[#This Row],[interest_rate]],$C$1))</f>
        <v>0</v>
      </c>
      <c r="V356" s="2">
        <f>MROUND(Данные6[[#This Row],[Минимум 20000]], 100)</f>
        <v>0</v>
      </c>
    </row>
    <row r="357" spans="1:22" x14ac:dyDescent="0.25">
      <c r="A357" s="2">
        <f>'1000_заявлений'!A351</f>
        <v>349</v>
      </c>
      <c r="B357" s="4">
        <f>VALUE(SUBSTITUTE('1000_заявлений'!B351, ".", ","))</f>
        <v>0.27460625431735802</v>
      </c>
      <c r="C357" s="4">
        <f>VALUE(SUBSTITUTE('1000_заявлений'!C351, ".", ","))</f>
        <v>0.41298202784584098</v>
      </c>
      <c r="D357" s="4">
        <f>VALUE(SUBSTITUTE('1000_заявлений'!D351, ".", ","))</f>
        <v>0.71363140000000003</v>
      </c>
      <c r="E357" s="4">
        <f>VALUE(SUBSTITUTE('1000_заявлений'!E351, ".", ","))</f>
        <v>0.47748804</v>
      </c>
      <c r="F357" s="5">
        <f>VALUE(SUBSTITUTE('1000_заявлений'!F351, ".", ","))</f>
        <v>-9709</v>
      </c>
      <c r="G357" s="5">
        <f>VALUE(SUBSTITUTE('1000_заявлений'!G351, ".", ","))</f>
        <v>-22159</v>
      </c>
      <c r="H357" s="5">
        <f>VALUE(SUBSTITUTE('1000_заявлений'!H351, ".", ","))</f>
        <v>-4765</v>
      </c>
      <c r="I357" s="4">
        <f>VALUE(SUBSTITUTE('1000_заявлений'!I351, ".", ","))</f>
        <v>0.175695652173913</v>
      </c>
      <c r="J357" s="4">
        <f>VALUE(SUBSTITUTE('1000_заявлений'!J351, ".", ","))</f>
        <v>0.68327355953672297</v>
      </c>
      <c r="K357" s="5">
        <f>VALUE(SUBSTITUTE('1000_заявлений'!K351, ".", ","))</f>
        <v>365243</v>
      </c>
      <c r="L357" s="6">
        <f>VALUE(SUBSTITUTE('1000_заявлений'!L351, ".", ","))</f>
        <v>18184.5</v>
      </c>
      <c r="M357" s="2" t="str">
        <f>IF(Данные6[[#This Row],[proba]]&gt;$C$6, "отказ", "одобрение")</f>
        <v>одобрение</v>
      </c>
      <c r="N357" s="7">
        <f>IF(Данные6[[#This Row],[proba]]&lt;$D$2,$C$2,IF(Данные6[[#This Row],[proba]]&lt;$D$3,$C$3,IF(Данные6[[#This Row],[proba]]&gt;$C$6,0,$C$4)))</f>
        <v>50000</v>
      </c>
      <c r="O357" s="2">
        <f>IF(Данные6[[#This Row],[weighted_ext_score]]&gt;$O$1,MIN(Данные6[[#This Row],[Базовая сумма]]*$O$2,$C$2),IF(Данные6[[#This Row],[weighted_ext_score]]&lt;$O$3,Данные6[[#This Row],[Базовая сумма]]*$O$4,N357))</f>
        <v>40000</v>
      </c>
      <c r="P3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57" s="2">
        <f>ABS(Данные6[[#This Row],[days_birth]])/365.2425</f>
        <v>60.669281367858339</v>
      </c>
      <c r="S3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57" s="2">
        <f>IF(Данные6[[#This Row],[ interest_rate]]&gt;$T$1,Данные6[[#This Row],[days_birth4]]*$T$2,Данные6[[#This Row],[days_birth4]])</f>
        <v>42000</v>
      </c>
      <c r="U357" s="2">
        <f>IF(Данные6[[#This Row],[Проверка отказа]]="отказ",0,MAX(Данные6[[#This Row],[interest_rate]],$C$1))</f>
        <v>42000</v>
      </c>
      <c r="V357" s="2">
        <f>MROUND(Данные6[[#This Row],[Минимум 20000]], 100)</f>
        <v>42000</v>
      </c>
    </row>
    <row r="358" spans="1:22" x14ac:dyDescent="0.25">
      <c r="A358" s="2">
        <f>'1000_заявлений'!A352</f>
        <v>350</v>
      </c>
      <c r="B358" s="4">
        <f>VALUE(SUBSTITUTE('1000_заявлений'!B352, ".", ","))</f>
        <v>0.314505239753545</v>
      </c>
      <c r="C358" s="4">
        <f>VALUE(SUBSTITUTE('1000_заявлений'!C352, ".", ","))</f>
        <v>0.56830576986203796</v>
      </c>
      <c r="D358" s="4">
        <f>VALUE(SUBSTITUTE('1000_заявлений'!D352, ".", ","))</f>
        <v>0.61270420000000003</v>
      </c>
      <c r="E358" s="4">
        <f>VALUE(SUBSTITUTE('1000_заявлений'!E352, ".", ","))</f>
        <v>0.64520323000000002</v>
      </c>
      <c r="F358" s="5">
        <f>VALUE(SUBSTITUTE('1000_заявлений'!F352, ".", ","))</f>
        <v>-6215</v>
      </c>
      <c r="G358" s="5">
        <f>VALUE(SUBSTITUTE('1000_заявлений'!G352, ".", ","))</f>
        <v>-12363</v>
      </c>
      <c r="H358" s="5">
        <f>VALUE(SUBSTITUTE('1000_заявлений'!H352, ".", ","))</f>
        <v>-4080</v>
      </c>
      <c r="I358" s="4">
        <f>VALUE(SUBSTITUTE('1000_заявлений'!I352, ".", ","))</f>
        <v>0.33223999999999998</v>
      </c>
      <c r="J358" s="4">
        <f>VALUE(SUBSTITUTE('1000_заявлений'!J352, ".", ","))</f>
        <v>2.9862130726806901</v>
      </c>
      <c r="K358" s="5">
        <f>VALUE(SUBSTITUTE('1000_заявлений'!K352, ".", ","))</f>
        <v>-836</v>
      </c>
      <c r="L358" s="6">
        <f>VALUE(SUBSTITUTE('1000_заявлений'!L352, ".", ","))</f>
        <v>37377</v>
      </c>
      <c r="M358" s="2" t="str">
        <f>IF(Данные6[[#This Row],[proba]]&gt;$C$6, "отказ", "одобрение")</f>
        <v>отказ</v>
      </c>
      <c r="N358" s="7">
        <f>IF(Данные6[[#This Row],[proba]]&lt;$D$2,$C$2,IF(Данные6[[#This Row],[proba]]&lt;$D$3,$C$3,IF(Данные6[[#This Row],[proba]]&gt;$C$6,0,$C$4)))</f>
        <v>0</v>
      </c>
      <c r="O358" s="2">
        <f>IF(Данные6[[#This Row],[weighted_ext_score]]&gt;$O$1,MIN(Данные6[[#This Row],[Базовая сумма]]*$O$2,$C$2),IF(Данные6[[#This Row],[weighted_ext_score]]&lt;$O$3,Данные6[[#This Row],[Базовая сумма]]*$O$4,N358))</f>
        <v>0</v>
      </c>
      <c r="P3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8" s="2">
        <f>ABS(Данные6[[#This Row],[days_birth]])/365.2425</f>
        <v>33.848744327398919</v>
      </c>
      <c r="S3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8" s="2">
        <f>IF(Данные6[[#This Row],[ interest_rate]]&gt;$T$1,Данные6[[#This Row],[days_birth4]]*$T$2,Данные6[[#This Row],[days_birth4]])</f>
        <v>0</v>
      </c>
      <c r="U358" s="2">
        <f>IF(Данные6[[#This Row],[Проверка отказа]]="отказ",0,MAX(Данные6[[#This Row],[interest_rate]],$C$1))</f>
        <v>0</v>
      </c>
      <c r="V358" s="2">
        <f>MROUND(Данные6[[#This Row],[Минимум 20000]], 100)</f>
        <v>0</v>
      </c>
    </row>
    <row r="359" spans="1:22" x14ac:dyDescent="0.25">
      <c r="A359" s="2">
        <f>'1000_заявлений'!A353</f>
        <v>351</v>
      </c>
      <c r="B359" s="4">
        <f>VALUE(SUBSTITUTE('1000_заявлений'!B353, ".", ","))</f>
        <v>0.49163323802945902</v>
      </c>
      <c r="C359" s="4">
        <f>VALUE(SUBSTITUTE('1000_заявлений'!C353, ".", ","))</f>
        <v>0.22911667421673601</v>
      </c>
      <c r="D359" s="4">
        <f>VALUE(SUBSTITUTE('1000_заявлений'!D353, ".", ","))</f>
        <v>0.53527623000000002</v>
      </c>
      <c r="E359" s="4">
        <f>VALUE(SUBSTITUTE('1000_заявлений'!E353, ".", ","))</f>
        <v>0.70632863000000001</v>
      </c>
      <c r="F359" s="5">
        <f>VALUE(SUBSTITUTE('1000_заявлений'!F353, ".", ","))</f>
        <v>-6864</v>
      </c>
      <c r="G359" s="5">
        <f>VALUE(SUBSTITUTE('1000_заявлений'!G353, ".", ","))</f>
        <v>-8625</v>
      </c>
      <c r="H359" s="5">
        <f>VALUE(SUBSTITUTE('1000_заявлений'!H353, ".", ","))</f>
        <v>-1315</v>
      </c>
      <c r="I359" s="4">
        <f>VALUE(SUBSTITUTE('1000_заявлений'!I353, ".", ","))</f>
        <v>0.10775999999999999</v>
      </c>
      <c r="J359" s="4">
        <f>VALUE(SUBSTITUTE('1000_заявлений'!J353, ".", ","))</f>
        <v>1.9221929010054299</v>
      </c>
      <c r="K359" s="5">
        <f>VALUE(SUBSTITUTE('1000_заявлений'!K353, ".", ","))</f>
        <v>-1145</v>
      </c>
      <c r="L359" s="6">
        <f>VALUE(SUBSTITUTE('1000_заявлений'!L353, ".", ","))</f>
        <v>24246</v>
      </c>
      <c r="M359" s="2" t="str">
        <f>IF(Данные6[[#This Row],[proba]]&gt;$C$6, "отказ", "одобрение")</f>
        <v>отказ</v>
      </c>
      <c r="N359" s="7">
        <f>IF(Данные6[[#This Row],[proba]]&lt;$D$2,$C$2,IF(Данные6[[#This Row],[proba]]&lt;$D$3,$C$3,IF(Данные6[[#This Row],[proba]]&gt;$C$6,0,$C$4)))</f>
        <v>0</v>
      </c>
      <c r="O359" s="2">
        <f>IF(Данные6[[#This Row],[weighted_ext_score]]&gt;$O$1,MIN(Данные6[[#This Row],[Базовая сумма]]*$O$2,$C$2),IF(Данные6[[#This Row],[weighted_ext_score]]&lt;$O$3,Данные6[[#This Row],[Базовая сумма]]*$O$4,N359))</f>
        <v>0</v>
      </c>
      <c r="P3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59" s="2">
        <f>ABS(Данные6[[#This Row],[days_birth]])/365.2425</f>
        <v>23.614447935275876</v>
      </c>
      <c r="S3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59" s="2">
        <f>IF(Данные6[[#This Row],[ interest_rate]]&gt;$T$1,Данные6[[#This Row],[days_birth4]]*$T$2,Данные6[[#This Row],[days_birth4]])</f>
        <v>0</v>
      </c>
      <c r="U359" s="2">
        <f>IF(Данные6[[#This Row],[Проверка отказа]]="отказ",0,MAX(Данные6[[#This Row],[interest_rate]],$C$1))</f>
        <v>0</v>
      </c>
      <c r="V359" s="2">
        <f>MROUND(Данные6[[#This Row],[Минимум 20000]], 100)</f>
        <v>0</v>
      </c>
    </row>
    <row r="360" spans="1:22" x14ac:dyDescent="0.25">
      <c r="A360" s="2">
        <f>'1000_заявлений'!A354</f>
        <v>352</v>
      </c>
      <c r="B360" s="4">
        <f>VALUE(SUBSTITUTE('1000_заявлений'!B354, ".", ","))</f>
        <v>0.63058377695897105</v>
      </c>
      <c r="C360" s="4">
        <f>VALUE(SUBSTITUTE('1000_заявлений'!C354, ".", ","))</f>
        <v>0.36591774840709801</v>
      </c>
      <c r="D360" s="4">
        <f>VALUE(SUBSTITUTE('1000_заявлений'!D354, ".", ","))</f>
        <v>0.22258075999999999</v>
      </c>
      <c r="E360" s="4">
        <f>VALUE(SUBSTITUTE('1000_заявлений'!E354, ".", ","))</f>
        <v>0.57727545000000002</v>
      </c>
      <c r="F360" s="5">
        <f>VALUE(SUBSTITUTE('1000_заявлений'!F354, ".", ","))</f>
        <v>-6012</v>
      </c>
      <c r="G360" s="5">
        <f>VALUE(SUBSTITUTE('1000_заявлений'!G354, ".", ","))</f>
        <v>-10238</v>
      </c>
      <c r="H360" s="5">
        <f>VALUE(SUBSTITUTE('1000_заявлений'!H354, ".", ","))</f>
        <v>-422</v>
      </c>
      <c r="I360" s="4">
        <f>VALUE(SUBSTITUTE('1000_заявлений'!I354, ".", ","))</f>
        <v>0.157</v>
      </c>
      <c r="J360" s="4">
        <f>VALUE(SUBSTITUTE('1000_заявлений'!J354, ".", ","))</f>
        <v>6.6678802249720004</v>
      </c>
      <c r="K360" s="5">
        <f>VALUE(SUBSTITUTE('1000_заявлений'!K354, ".", ","))</f>
        <v>-292</v>
      </c>
      <c r="L360" s="6">
        <f>VALUE(SUBSTITUTE('1000_заявлений'!L354, ".", ","))</f>
        <v>28260</v>
      </c>
      <c r="M360" s="2" t="str">
        <f>IF(Данные6[[#This Row],[proba]]&gt;$C$6, "отказ", "одобрение")</f>
        <v>отказ</v>
      </c>
      <c r="N360" s="7">
        <f>IF(Данные6[[#This Row],[proba]]&lt;$D$2,$C$2,IF(Данные6[[#This Row],[proba]]&lt;$D$3,$C$3,IF(Данные6[[#This Row],[proba]]&gt;$C$6,0,$C$4)))</f>
        <v>0</v>
      </c>
      <c r="O360" s="2">
        <f>IF(Данные6[[#This Row],[weighted_ext_score]]&gt;$O$1,MIN(Данные6[[#This Row],[Базовая сумма]]*$O$2,$C$2),IF(Данные6[[#This Row],[weighted_ext_score]]&lt;$O$3,Данные6[[#This Row],[Базовая сумма]]*$O$4,N360))</f>
        <v>0</v>
      </c>
      <c r="P3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0" s="2">
        <f>ABS(Данные6[[#This Row],[days_birth]])/365.2425</f>
        <v>28.03069193754834</v>
      </c>
      <c r="S3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0" s="2">
        <f>IF(Данные6[[#This Row],[ interest_rate]]&gt;$T$1,Данные6[[#This Row],[days_birth4]]*$T$2,Данные6[[#This Row],[days_birth4]])</f>
        <v>0</v>
      </c>
      <c r="U360" s="2">
        <f>IF(Данные6[[#This Row],[Проверка отказа]]="отказ",0,MAX(Данные6[[#This Row],[interest_rate]],$C$1))</f>
        <v>0</v>
      </c>
      <c r="V360" s="2">
        <f>MROUND(Данные6[[#This Row],[Минимум 20000]], 100)</f>
        <v>0</v>
      </c>
    </row>
    <row r="361" spans="1:22" x14ac:dyDescent="0.25">
      <c r="A361" s="2">
        <f>'1000_заявлений'!A355</f>
        <v>353</v>
      </c>
      <c r="B361" s="4">
        <f>VALUE(SUBSTITUTE('1000_заявлений'!B355, ".", ","))</f>
        <v>0.606414632354211</v>
      </c>
      <c r="C361" s="4">
        <f>VALUE(SUBSTITUTE('1000_заявлений'!C355, ".", ","))</f>
        <v>0.25957668583989002</v>
      </c>
      <c r="D361" s="4">
        <f>VALUE(SUBSTITUTE('1000_заявлений'!D355, ".", ","))</f>
        <v>0.52269730000000003</v>
      </c>
      <c r="E361" s="4">
        <f>VALUE(SUBSTITUTE('1000_заявлений'!E355, ".", ","))</f>
        <v>0.2174478</v>
      </c>
      <c r="F361" s="5">
        <f>VALUE(SUBSTITUTE('1000_заявлений'!F355, ".", ","))</f>
        <v>-1486</v>
      </c>
      <c r="G361" s="5">
        <f>VALUE(SUBSTITUTE('1000_заявлений'!G355, ".", ","))</f>
        <v>-21905</v>
      </c>
      <c r="H361" s="5">
        <f>VALUE(SUBSTITUTE('1000_заявлений'!H355, ".", ","))</f>
        <v>-5245</v>
      </c>
      <c r="I361" s="4">
        <f>VALUE(SUBSTITUTE('1000_заявлений'!I355, ".", ","))</f>
        <v>0.39276923076922998</v>
      </c>
      <c r="J361" s="4">
        <f>VALUE(SUBSTITUTE('1000_заявлений'!J355, ".", ","))</f>
        <v>3.1058245681402799</v>
      </c>
      <c r="K361" s="5">
        <f>VALUE(SUBSTITUTE('1000_заявлений'!K355, ".", ","))</f>
        <v>365243</v>
      </c>
      <c r="L361" s="6">
        <f>VALUE(SUBSTITUTE('1000_заявлений'!L355, ".", ","))</f>
        <v>22977</v>
      </c>
      <c r="M361" s="2" t="str">
        <f>IF(Данные6[[#This Row],[proba]]&gt;$C$6, "отказ", "одобрение")</f>
        <v>отказ</v>
      </c>
      <c r="N361" s="7">
        <f>IF(Данные6[[#This Row],[proba]]&lt;$D$2,$C$2,IF(Данные6[[#This Row],[proba]]&lt;$D$3,$C$3,IF(Данные6[[#This Row],[proba]]&gt;$C$6,0,$C$4)))</f>
        <v>0</v>
      </c>
      <c r="O361" s="2">
        <f>IF(Данные6[[#This Row],[weighted_ext_score]]&gt;$O$1,MIN(Данные6[[#This Row],[Базовая сумма]]*$O$2,$C$2),IF(Данные6[[#This Row],[weighted_ext_score]]&lt;$O$3,Данные6[[#This Row],[Базовая сумма]]*$O$4,N361))</f>
        <v>0</v>
      </c>
      <c r="P3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1" s="2">
        <f>ABS(Данные6[[#This Row],[days_birth]])/365.2425</f>
        <v>59.973852988083259</v>
      </c>
      <c r="S3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1" s="2">
        <f>IF(Данные6[[#This Row],[ interest_rate]]&gt;$T$1,Данные6[[#This Row],[days_birth4]]*$T$2,Данные6[[#This Row],[days_birth4]])</f>
        <v>0</v>
      </c>
      <c r="U361" s="2">
        <f>IF(Данные6[[#This Row],[Проверка отказа]]="отказ",0,MAX(Данные6[[#This Row],[interest_rate]],$C$1))</f>
        <v>0</v>
      </c>
      <c r="V361" s="2">
        <f>MROUND(Данные6[[#This Row],[Минимум 20000]], 100)</f>
        <v>0</v>
      </c>
    </row>
    <row r="362" spans="1:22" x14ac:dyDescent="0.25">
      <c r="A362" s="2">
        <f>'1000_заявлений'!A356</f>
        <v>354</v>
      </c>
      <c r="B362" s="4">
        <f>VALUE(SUBSTITUTE('1000_заявлений'!B356, ".", ","))</f>
        <v>0.17172260265085401</v>
      </c>
      <c r="C362" s="4">
        <f>VALUE(SUBSTITUTE('1000_заявлений'!C356, ".", ","))</f>
        <v>0.49536330710402798</v>
      </c>
      <c r="D362" s="4">
        <f>VALUE(SUBSTITUTE('1000_заявлений'!D356, ".", ","))</f>
        <v>0.73522100000000001</v>
      </c>
      <c r="E362" s="4">
        <f>VALUE(SUBSTITUTE('1000_заявлений'!E356, ".", ","))</f>
        <v>0.70738440000000002</v>
      </c>
      <c r="F362" s="5">
        <f>VALUE(SUBSTITUTE('1000_заявлений'!F356, ".", ","))</f>
        <v>-6216</v>
      </c>
      <c r="G362" s="5">
        <f>VALUE(SUBSTITUTE('1000_заявлений'!G356, ".", ","))</f>
        <v>-23282</v>
      </c>
      <c r="H362" s="5">
        <f>VALUE(SUBSTITUTE('1000_заявлений'!H356, ".", ","))</f>
        <v>-4940</v>
      </c>
      <c r="I362" s="4">
        <f>VALUE(SUBSTITUTE('1000_заявлений'!I356, ".", ","))</f>
        <v>0.15191250000000001</v>
      </c>
      <c r="J362" s="4">
        <f>VALUE(SUBSTITUTE('1000_заявлений'!J356, ".", ","))</f>
        <v>2.8600186144335198</v>
      </c>
      <c r="K362" s="5">
        <f>VALUE(SUBSTITUTE('1000_заявлений'!K356, ".", ","))</f>
        <v>-1979</v>
      </c>
      <c r="L362" s="6">
        <f>VALUE(SUBSTITUTE('1000_заявлений'!L356, ".", ","))</f>
        <v>54688.5</v>
      </c>
      <c r="M362" s="2" t="str">
        <f>IF(Данные6[[#This Row],[proba]]&gt;$C$6, "отказ", "одобрение")</f>
        <v>одобрение</v>
      </c>
      <c r="N362" s="7">
        <f>IF(Данные6[[#This Row],[proba]]&lt;$D$2,$C$2,IF(Данные6[[#This Row],[proba]]&lt;$D$3,$C$3,IF(Данные6[[#This Row],[proba]]&gt;$C$6,0,$C$4)))</f>
        <v>200000</v>
      </c>
      <c r="O362" s="2">
        <f>IF(Данные6[[#This Row],[weighted_ext_score]]&gt;$O$1,MIN(Данные6[[#This Row],[Базовая сумма]]*$O$2,$C$2),IF(Данные6[[#This Row],[weighted_ext_score]]&lt;$O$3,Данные6[[#This Row],[Базовая сумма]]*$O$4,N362))</f>
        <v>160000</v>
      </c>
      <c r="P3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3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112000</v>
      </c>
      <c r="R362" s="2">
        <f>ABS(Данные6[[#This Row],[days_birth]])/365.2425</f>
        <v>63.743950936706433</v>
      </c>
      <c r="S3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117600</v>
      </c>
      <c r="T362" s="2">
        <f>IF(Данные6[[#This Row],[ interest_rate]]&gt;$T$1,Данные6[[#This Row],[days_birth4]]*$T$2,Данные6[[#This Row],[days_birth4]])</f>
        <v>117600</v>
      </c>
      <c r="U362" s="2">
        <f>IF(Данные6[[#This Row],[Проверка отказа]]="отказ",0,MAX(Данные6[[#This Row],[interest_rate]],$C$1))</f>
        <v>117600</v>
      </c>
      <c r="V362" s="2">
        <f>MROUND(Данные6[[#This Row],[Минимум 20000]], 100)</f>
        <v>117600</v>
      </c>
    </row>
    <row r="363" spans="1:22" x14ac:dyDescent="0.25">
      <c r="A363" s="2">
        <f>'1000_заявлений'!A357</f>
        <v>355</v>
      </c>
      <c r="B363" s="4">
        <f>VALUE(SUBSTITUTE('1000_заявлений'!B357, ".", ","))</f>
        <v>0.37794018738660601</v>
      </c>
      <c r="C363" s="4">
        <f>VALUE(SUBSTITUTE('1000_заявлений'!C357, ".", ","))</f>
        <v>0.43948877546972798</v>
      </c>
      <c r="D363" s="4">
        <f>VALUE(SUBSTITUTE('1000_заявлений'!D357, ".", ","))</f>
        <v>0.52809273999999995</v>
      </c>
      <c r="E363" s="4">
        <f>VALUE(SUBSTITUTE('1000_заявлений'!E357, ".", ","))</f>
        <v>0.76607119999999995</v>
      </c>
      <c r="F363" s="5">
        <f>VALUE(SUBSTITUTE('1000_заявлений'!F357, ".", ","))</f>
        <v>-5592</v>
      </c>
      <c r="G363" s="5">
        <f>VALUE(SUBSTITUTE('1000_заявлений'!G357, ".", ","))</f>
        <v>-16534</v>
      </c>
      <c r="H363" s="5">
        <f>VALUE(SUBSTITUTE('1000_заявлений'!H357, ".", ","))</f>
        <v>-84</v>
      </c>
      <c r="I363" s="4">
        <f>VALUE(SUBSTITUTE('1000_заявлений'!I357, ".", ","))</f>
        <v>0.25205</v>
      </c>
      <c r="J363" s="4">
        <f>VALUE(SUBSTITUTE('1000_заявлений'!J357, ".", ","))</f>
        <v>1.23399848580827</v>
      </c>
      <c r="K363" s="5">
        <f>VALUE(SUBSTITUTE('1000_заявлений'!K357, ".", ","))</f>
        <v>-4014</v>
      </c>
      <c r="L363" s="6">
        <f>VALUE(SUBSTITUTE('1000_заявлений'!L357, ".", ","))</f>
        <v>22684.5</v>
      </c>
      <c r="M363" s="2" t="str">
        <f>IF(Данные6[[#This Row],[proba]]&gt;$C$6, "отказ", "одобрение")</f>
        <v>отказ</v>
      </c>
      <c r="N363" s="7">
        <f>IF(Данные6[[#This Row],[proba]]&lt;$D$2,$C$2,IF(Данные6[[#This Row],[proba]]&lt;$D$3,$C$3,IF(Данные6[[#This Row],[proba]]&gt;$C$6,0,$C$4)))</f>
        <v>0</v>
      </c>
      <c r="O363" s="2">
        <f>IF(Данные6[[#This Row],[weighted_ext_score]]&gt;$O$1,MIN(Данные6[[#This Row],[Базовая сумма]]*$O$2,$C$2),IF(Данные6[[#This Row],[weighted_ext_score]]&lt;$O$3,Данные6[[#This Row],[Базовая сумма]]*$O$4,N363))</f>
        <v>0</v>
      </c>
      <c r="P3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3" s="2">
        <f>ABS(Данные6[[#This Row],[days_birth]])/365.2425</f>
        <v>45.268554453547985</v>
      </c>
      <c r="S3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3" s="2">
        <f>IF(Данные6[[#This Row],[ interest_rate]]&gt;$T$1,Данные6[[#This Row],[days_birth4]]*$T$2,Данные6[[#This Row],[days_birth4]])</f>
        <v>0</v>
      </c>
      <c r="U363" s="2">
        <f>IF(Данные6[[#This Row],[Проверка отказа]]="отказ",0,MAX(Данные6[[#This Row],[interest_rate]],$C$1))</f>
        <v>0</v>
      </c>
      <c r="V363" s="2">
        <f>MROUND(Данные6[[#This Row],[Минимум 20000]], 100)</f>
        <v>0</v>
      </c>
    </row>
    <row r="364" spans="1:22" x14ac:dyDescent="0.25">
      <c r="A364" s="2">
        <f>'1000_заявлений'!A358</f>
        <v>356</v>
      </c>
      <c r="B364" s="4">
        <f>VALUE(SUBSTITUTE('1000_заявлений'!B358, ".", ","))</f>
        <v>0.31153599864092602</v>
      </c>
      <c r="C364" s="4">
        <f>VALUE(SUBSTITUTE('1000_заявлений'!C358, ".", ","))</f>
        <v>0.22075296356007301</v>
      </c>
      <c r="D364" s="4">
        <f>VALUE(SUBSTITUTE('1000_заявлений'!D358, ".", ","))</f>
        <v>0.53527623000000002</v>
      </c>
      <c r="E364" s="4">
        <f>VALUE(SUBSTITUTE('1000_заявлений'!E358, ".", ","))</f>
        <v>0.6805447</v>
      </c>
      <c r="F364" s="5">
        <f>VALUE(SUBSTITUTE('1000_заявлений'!F358, ".", ","))</f>
        <v>-3232</v>
      </c>
      <c r="G364" s="5">
        <f>VALUE(SUBSTITUTE('1000_заявлений'!G358, ".", ","))</f>
        <v>-23586</v>
      </c>
      <c r="H364" s="5">
        <f>VALUE(SUBSTITUTE('1000_заявлений'!H358, ".", ","))</f>
        <v>-4878</v>
      </c>
      <c r="I364" s="4">
        <f>VALUE(SUBSTITUTE('1000_заявлений'!I358, ".", ","))</f>
        <v>3.6068749999999997E-2</v>
      </c>
      <c r="J364" s="4">
        <f>VALUE(SUBSTITUTE('1000_заявлений'!J358, ".", ","))</f>
        <v>4.5741332740013299</v>
      </c>
      <c r="K364" s="5">
        <f>VALUE(SUBSTITUTE('1000_заявлений'!K358, ".", ","))</f>
        <v>365243</v>
      </c>
      <c r="L364" s="6">
        <f>VALUE(SUBSTITUTE('1000_заявлений'!L358, ".", ","))</f>
        <v>25969.5</v>
      </c>
      <c r="M364" s="2" t="str">
        <f>IF(Данные6[[#This Row],[proba]]&gt;$C$6, "отказ", "одобрение")</f>
        <v>отказ</v>
      </c>
      <c r="N364" s="7">
        <f>IF(Данные6[[#This Row],[proba]]&lt;$D$2,$C$2,IF(Данные6[[#This Row],[proba]]&lt;$D$3,$C$3,IF(Данные6[[#This Row],[proba]]&gt;$C$6,0,$C$4)))</f>
        <v>0</v>
      </c>
      <c r="O364" s="2">
        <f>IF(Данные6[[#This Row],[weighted_ext_score]]&gt;$O$1,MIN(Данные6[[#This Row],[Базовая сумма]]*$O$2,$C$2),IF(Данные6[[#This Row],[weighted_ext_score]]&lt;$O$3,Данные6[[#This Row],[Базовая сумма]]*$O$4,N364))</f>
        <v>0</v>
      </c>
      <c r="P3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4" s="2">
        <f>ABS(Данные6[[#This Row],[days_birth]])/365.2425</f>
        <v>64.57627466683094</v>
      </c>
      <c r="S3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4" s="2">
        <f>IF(Данные6[[#This Row],[ interest_rate]]&gt;$T$1,Данные6[[#This Row],[days_birth4]]*$T$2,Данные6[[#This Row],[days_birth4]])</f>
        <v>0</v>
      </c>
      <c r="U364" s="2">
        <f>IF(Данные6[[#This Row],[Проверка отказа]]="отказ",0,MAX(Данные6[[#This Row],[interest_rate]],$C$1))</f>
        <v>0</v>
      </c>
      <c r="V364" s="2">
        <f>MROUND(Данные6[[#This Row],[Минимум 20000]], 100)</f>
        <v>0</v>
      </c>
    </row>
    <row r="365" spans="1:22" x14ac:dyDescent="0.25">
      <c r="A365" s="2">
        <f>'1000_заявлений'!A359</f>
        <v>357</v>
      </c>
      <c r="B365" s="4">
        <f>VALUE(SUBSTITUTE('1000_заявлений'!B359, ".", ","))</f>
        <v>0.38601615146701701</v>
      </c>
      <c r="C365" s="4">
        <f>VALUE(SUBSTITUTE('1000_заявлений'!C359, ".", ","))</f>
        <v>0.35089445704232403</v>
      </c>
      <c r="D365" s="4">
        <f>VALUE(SUBSTITUTE('1000_заявлений'!D359, ".", ","))</f>
        <v>0.48485148</v>
      </c>
      <c r="E365" s="4">
        <f>VALUE(SUBSTITUTE('1000_заявлений'!E359, ".", ","))</f>
        <v>0.54116169999999997</v>
      </c>
      <c r="F365" s="5">
        <f>VALUE(SUBSTITUTE('1000_заявлений'!F359, ".", ","))</f>
        <v>-17596</v>
      </c>
      <c r="G365" s="5">
        <f>VALUE(SUBSTITUTE('1000_заявлений'!G359, ".", ","))</f>
        <v>-24094</v>
      </c>
      <c r="H365" s="5">
        <f>VALUE(SUBSTITUTE('1000_заявлений'!H359, ".", ","))</f>
        <v>-4125</v>
      </c>
      <c r="I365" s="4">
        <f>VALUE(SUBSTITUTE('1000_заявлений'!I359, ".", ","))</f>
        <v>7.5899999999999995E-2</v>
      </c>
      <c r="J365" s="4">
        <f>VALUE(SUBSTITUTE('1000_заявлений'!J359, ".", ","))</f>
        <v>1.8085691636156001</v>
      </c>
      <c r="K365" s="5">
        <f>VALUE(SUBSTITUTE('1000_заявлений'!K359, ".", ","))</f>
        <v>-7326</v>
      </c>
      <c r="L365" s="6">
        <f>VALUE(SUBSTITUTE('1000_заявлений'!L359, ".", ","))</f>
        <v>13662</v>
      </c>
      <c r="M365" s="2" t="str">
        <f>IF(Данные6[[#This Row],[proba]]&gt;$C$6, "отказ", "одобрение")</f>
        <v>отказ</v>
      </c>
      <c r="N365" s="7">
        <f>IF(Данные6[[#This Row],[proba]]&lt;$D$2,$C$2,IF(Данные6[[#This Row],[proba]]&lt;$D$3,$C$3,IF(Данные6[[#This Row],[proba]]&gt;$C$6,0,$C$4)))</f>
        <v>0</v>
      </c>
      <c r="O365" s="2">
        <f>IF(Данные6[[#This Row],[weighted_ext_score]]&gt;$O$1,MIN(Данные6[[#This Row],[Базовая сумма]]*$O$2,$C$2),IF(Данные6[[#This Row],[weighted_ext_score]]&lt;$O$3,Данные6[[#This Row],[Базовая сумма]]*$O$4,N365))</f>
        <v>0</v>
      </c>
      <c r="P3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5" s="2">
        <f>ABS(Данные6[[#This Row],[days_birth]])/365.2425</f>
        <v>65.967131426381101</v>
      </c>
      <c r="S3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5" s="2">
        <f>IF(Данные6[[#This Row],[ interest_rate]]&gt;$T$1,Данные6[[#This Row],[days_birth4]]*$T$2,Данные6[[#This Row],[days_birth4]])</f>
        <v>0</v>
      </c>
      <c r="U365" s="2">
        <f>IF(Данные6[[#This Row],[Проверка отказа]]="отказ",0,MAX(Данные6[[#This Row],[interest_rate]],$C$1))</f>
        <v>0</v>
      </c>
      <c r="V365" s="2">
        <f>MROUND(Данные6[[#This Row],[Минимум 20000]], 100)</f>
        <v>0</v>
      </c>
    </row>
    <row r="366" spans="1:22" x14ac:dyDescent="0.25">
      <c r="A366" s="2">
        <f>'1000_заявлений'!A360</f>
        <v>358</v>
      </c>
      <c r="B366" s="4">
        <f>VALUE(SUBSTITUTE('1000_заявлений'!B360, ".", ","))</f>
        <v>0.51701189727600105</v>
      </c>
      <c r="C366" s="4">
        <f>VALUE(SUBSTITUTE('1000_заявлений'!C360, ".", ","))</f>
        <v>0.43497862858179298</v>
      </c>
      <c r="D366" s="4">
        <f>VALUE(SUBSTITUTE('1000_заявлений'!D360, ".", ","))</f>
        <v>0.48665314999999998</v>
      </c>
      <c r="E366" s="4">
        <f>VALUE(SUBSTITUTE('1000_заявлений'!E360, ".", ","))</f>
        <v>0.30603190000000002</v>
      </c>
      <c r="F366" s="5">
        <f>VALUE(SUBSTITUTE('1000_заявлений'!F360, ".", ","))</f>
        <v>-3369</v>
      </c>
      <c r="G366" s="5">
        <f>VALUE(SUBSTITUTE('1000_заявлений'!G360, ".", ","))</f>
        <v>-15779</v>
      </c>
      <c r="H366" s="5">
        <f>VALUE(SUBSTITUTE('1000_заявлений'!H360, ".", ","))</f>
        <v>-4229</v>
      </c>
      <c r="I366" s="4">
        <f>VALUE(SUBSTITUTE('1000_заявлений'!I360, ".", ","))</f>
        <v>0.15043999999999999</v>
      </c>
      <c r="J366" s="4">
        <f>VALUE(SUBSTITUTE('1000_заявлений'!J360, ".", ","))</f>
        <v>5.5134563885832897</v>
      </c>
      <c r="K366" s="5">
        <f>VALUE(SUBSTITUTE('1000_заявлений'!K360, ".", ","))</f>
        <v>-293</v>
      </c>
      <c r="L366" s="6">
        <f>VALUE(SUBSTITUTE('1000_заявлений'!L360, ".", ","))</f>
        <v>16924.5</v>
      </c>
      <c r="M366" s="2" t="str">
        <f>IF(Данные6[[#This Row],[proba]]&gt;$C$6, "отказ", "одобрение")</f>
        <v>отказ</v>
      </c>
      <c r="N366" s="7">
        <f>IF(Данные6[[#This Row],[proba]]&lt;$D$2,$C$2,IF(Данные6[[#This Row],[proba]]&lt;$D$3,$C$3,IF(Данные6[[#This Row],[proba]]&gt;$C$6,0,$C$4)))</f>
        <v>0</v>
      </c>
      <c r="O366" s="2">
        <f>IF(Данные6[[#This Row],[weighted_ext_score]]&gt;$O$1,MIN(Данные6[[#This Row],[Базовая сумма]]*$O$2,$C$2),IF(Данные6[[#This Row],[weighted_ext_score]]&lt;$O$3,Данные6[[#This Row],[Базовая сумма]]*$O$4,N366))</f>
        <v>0</v>
      </c>
      <c r="P3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66" s="2">
        <f>ABS(Данные6[[#This Row],[days_birth]])/365.2425</f>
        <v>43.201434663271662</v>
      </c>
      <c r="S3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66" s="2">
        <f>IF(Данные6[[#This Row],[ interest_rate]]&gt;$T$1,Данные6[[#This Row],[days_birth4]]*$T$2,Данные6[[#This Row],[days_birth4]])</f>
        <v>0</v>
      </c>
      <c r="U366" s="2">
        <f>IF(Данные6[[#This Row],[Проверка отказа]]="отказ",0,MAX(Данные6[[#This Row],[interest_rate]],$C$1))</f>
        <v>0</v>
      </c>
      <c r="V366" s="2">
        <f>MROUND(Данные6[[#This Row],[Минимум 20000]], 100)</f>
        <v>0</v>
      </c>
    </row>
    <row r="367" spans="1:22" x14ac:dyDescent="0.25">
      <c r="A367" s="2">
        <f>'1000_заявлений'!A361</f>
        <v>359</v>
      </c>
      <c r="B367" s="4">
        <f>VALUE(SUBSTITUTE('1000_заявлений'!B361, ".", ","))</f>
        <v>0.150703703536332</v>
      </c>
      <c r="C367" s="4">
        <f>VALUE(SUBSTITUTE('1000_заявлений'!C361, ".", ","))</f>
        <v>0.50621670103153604</v>
      </c>
      <c r="D367" s="4">
        <f>VALUE(SUBSTITUTE('1000_заявлений'!D361, ".", ","))</f>
        <v>0.74630019999999997</v>
      </c>
      <c r="E367" s="4">
        <f>VALUE(SUBSTITUTE('1000_заявлений'!E361, ".", ","))</f>
        <v>0.72849079999999999</v>
      </c>
      <c r="F367" s="5">
        <f>VALUE(SUBSTITUTE('1000_заявлений'!F361, ".", ","))</f>
        <v>-9099</v>
      </c>
      <c r="G367" s="5">
        <f>VALUE(SUBSTITUTE('1000_заявлений'!G361, ".", ","))</f>
        <v>-19077</v>
      </c>
      <c r="H367" s="5">
        <f>VALUE(SUBSTITUTE('1000_заявлений'!H361, ".", ","))</f>
        <v>-2628</v>
      </c>
      <c r="I367" s="4">
        <f>VALUE(SUBSTITUTE('1000_заявлений'!I361, ".", ","))</f>
        <v>0.19413333333333299</v>
      </c>
      <c r="J367" s="4">
        <f>VALUE(SUBSTITUTE('1000_заявлений'!J361, ".", ","))</f>
        <v>19.8012916674347</v>
      </c>
      <c r="K367" s="5">
        <f>VALUE(SUBSTITUTE('1000_заявлений'!K361, ".", ","))</f>
        <v>-3089</v>
      </c>
      <c r="L367" s="6">
        <f>VALUE(SUBSTITUTE('1000_заявлений'!L361, ".", ","))</f>
        <v>26208</v>
      </c>
      <c r="M367" s="2" t="str">
        <f>IF(Данные6[[#This Row],[proba]]&gt;$C$6, "отказ", "одобрение")</f>
        <v>одобрение</v>
      </c>
      <c r="N367" s="7">
        <f>IF(Данные6[[#This Row],[proba]]&lt;$D$2,$C$2,IF(Данные6[[#This Row],[proba]]&lt;$D$3,$C$3,IF(Данные6[[#This Row],[proba]]&gt;$C$6,0,$C$4)))</f>
        <v>200000</v>
      </c>
      <c r="O367" s="2">
        <f>IF(Данные6[[#This Row],[weighted_ext_score]]&gt;$O$1,MIN(Данные6[[#This Row],[Базовая сумма]]*$O$2,$C$2),IF(Данные6[[#This Row],[weighted_ext_score]]&lt;$O$3,Данные6[[#This Row],[Базовая сумма]]*$O$4,N367))</f>
        <v>200000</v>
      </c>
      <c r="P3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3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367" s="2">
        <f>ABS(Данные6[[#This Row],[days_birth]])/365.2425</f>
        <v>52.231051972319761</v>
      </c>
      <c r="S3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252000</v>
      </c>
      <c r="T367" s="2">
        <f>IF(Данные6[[#This Row],[ interest_rate]]&gt;$T$1,Данные6[[#This Row],[days_birth4]]*$T$2,Данные6[[#This Row],[days_birth4]])</f>
        <v>252000</v>
      </c>
      <c r="U367" s="2">
        <f>IF(Данные6[[#This Row],[Проверка отказа]]="отказ",0,MAX(Данные6[[#This Row],[interest_rate]],$C$1))</f>
        <v>252000</v>
      </c>
      <c r="V367" s="2">
        <f>MROUND(Данные6[[#This Row],[Минимум 20000]], 100)</f>
        <v>252000</v>
      </c>
    </row>
    <row r="368" spans="1:22" x14ac:dyDescent="0.25">
      <c r="A368" s="2">
        <f>'1000_заявлений'!A362</f>
        <v>360</v>
      </c>
      <c r="B368" s="4">
        <f>VALUE(SUBSTITUTE('1000_заявлений'!B362, ".", ","))</f>
        <v>0.26831871157424297</v>
      </c>
      <c r="C368" s="4">
        <f>VALUE(SUBSTITUTE('1000_заявлений'!C362, ".", ","))</f>
        <v>0.563082610718732</v>
      </c>
      <c r="D368" s="4">
        <f>VALUE(SUBSTITUTE('1000_заявлений'!D362, ".", ","))</f>
        <v>0.74355930000000003</v>
      </c>
      <c r="E368" s="4">
        <f>VALUE(SUBSTITUTE('1000_заявлений'!E362, ".", ","))</f>
        <v>0.29869332999999998</v>
      </c>
      <c r="F368" s="5">
        <f>VALUE(SUBSTITUTE('1000_заявлений'!F362, ".", ","))</f>
        <v>-2518</v>
      </c>
      <c r="G368" s="5">
        <f>VALUE(SUBSTITUTE('1000_заявлений'!G362, ".", ","))</f>
        <v>-14637</v>
      </c>
      <c r="H368" s="5">
        <f>VALUE(SUBSTITUTE('1000_заявлений'!H362, ".", ","))</f>
        <v>-4977</v>
      </c>
      <c r="I368" s="4">
        <f>VALUE(SUBSTITUTE('1000_заявлений'!I362, ".", ","))</f>
        <v>0.21129999999999999</v>
      </c>
      <c r="J368" s="4">
        <f>VALUE(SUBSTITUTE('1000_заявлений'!J362, ".", ","))</f>
        <v>18.93650311319</v>
      </c>
      <c r="K368" s="5">
        <f>VALUE(SUBSTITUTE('1000_заявлений'!K362, ".", ","))</f>
        <v>-245</v>
      </c>
      <c r="L368" s="6">
        <f>VALUE(SUBSTITUTE('1000_заявлений'!L362, ".", ","))</f>
        <v>28525.5</v>
      </c>
      <c r="M368" s="2" t="str">
        <f>IF(Данные6[[#This Row],[proba]]&gt;$C$6, "отказ", "одобрение")</f>
        <v>одобрение</v>
      </c>
      <c r="N368" s="7">
        <f>IF(Данные6[[#This Row],[proba]]&lt;$D$2,$C$2,IF(Данные6[[#This Row],[proba]]&lt;$D$3,$C$3,IF(Данные6[[#This Row],[proba]]&gt;$C$6,0,$C$4)))</f>
        <v>50000</v>
      </c>
      <c r="O368" s="2">
        <f>IF(Данные6[[#This Row],[weighted_ext_score]]&gt;$O$1,MIN(Данные6[[#This Row],[Базовая сумма]]*$O$2,$C$2),IF(Данные6[[#This Row],[weighted_ext_score]]&lt;$O$3,Данные6[[#This Row],[Базовая сумма]]*$O$4,N368))</f>
        <v>50000</v>
      </c>
      <c r="P3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368" s="2">
        <f>ABS(Данные6[[#This Row],[days_birth]])/365.2425</f>
        <v>40.074744861290789</v>
      </c>
      <c r="S3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50000</v>
      </c>
      <c r="T368" s="2">
        <f>IF(Данные6[[#This Row],[ interest_rate]]&gt;$T$1,Данные6[[#This Row],[days_birth4]]*$T$2,Данные6[[#This Row],[days_birth4]])</f>
        <v>50000</v>
      </c>
      <c r="U368" s="2">
        <f>IF(Данные6[[#This Row],[Проверка отказа]]="отказ",0,MAX(Данные6[[#This Row],[interest_rate]],$C$1))</f>
        <v>50000</v>
      </c>
      <c r="V368" s="2">
        <f>MROUND(Данные6[[#This Row],[Минимум 20000]], 100)</f>
        <v>50000</v>
      </c>
    </row>
    <row r="369" spans="1:22" x14ac:dyDescent="0.25">
      <c r="A369" s="2">
        <f>'1000_заявлений'!A363</f>
        <v>361</v>
      </c>
      <c r="B369" s="4">
        <f>VALUE(SUBSTITUTE('1000_заявлений'!B363, ".", ","))</f>
        <v>0.20128699600310099</v>
      </c>
      <c r="C369" s="4">
        <f>VALUE(SUBSTITUTE('1000_заявлений'!C363, ".", ","))</f>
        <v>0.61749942517502299</v>
      </c>
      <c r="D369" s="4">
        <f>VALUE(SUBSTITUTE('1000_заявлений'!D363, ".", ","))</f>
        <v>0.70769936</v>
      </c>
      <c r="E369" s="4">
        <f>VALUE(SUBSTITUTE('1000_заявлений'!E363, ".", ","))</f>
        <v>0.68411379999999999</v>
      </c>
      <c r="F369" s="5">
        <f>VALUE(SUBSTITUTE('1000_заявлений'!F363, ".", ","))</f>
        <v>-6457</v>
      </c>
      <c r="G369" s="5">
        <f>VALUE(SUBSTITUTE('1000_заявлений'!G363, ".", ","))</f>
        <v>-16110</v>
      </c>
      <c r="H369" s="5">
        <f>VALUE(SUBSTITUTE('1000_заявлений'!H363, ".", ","))</f>
        <v>-4311</v>
      </c>
      <c r="I369" s="4">
        <f>VALUE(SUBSTITUTE('1000_заявлений'!I363, ".", ","))</f>
        <v>0.1744</v>
      </c>
      <c r="J369" s="4">
        <f>VALUE(SUBSTITUTE('1000_заявлений'!J363, ".", ","))</f>
        <v>3.2988185230846199</v>
      </c>
      <c r="K369" s="5">
        <f>VALUE(SUBSTITUTE('1000_заявлений'!K363, ".", ","))</f>
        <v>-367</v>
      </c>
      <c r="L369" s="6">
        <f>VALUE(SUBSTITUTE('1000_заявлений'!L363, ".", ","))</f>
        <v>15696</v>
      </c>
      <c r="M369" s="2" t="str">
        <f>IF(Данные6[[#This Row],[proba]]&gt;$C$6, "отказ", "одобрение")</f>
        <v>одобрение</v>
      </c>
      <c r="N369" s="7">
        <f>IF(Данные6[[#This Row],[proba]]&lt;$D$2,$C$2,IF(Данные6[[#This Row],[proba]]&lt;$D$3,$C$3,IF(Данные6[[#This Row],[proba]]&gt;$C$6,0,$C$4)))</f>
        <v>50000</v>
      </c>
      <c r="O369" s="2">
        <f>IF(Данные6[[#This Row],[weighted_ext_score]]&gt;$O$1,MIN(Данные6[[#This Row],[Базовая сумма]]*$O$2,$C$2),IF(Данные6[[#This Row],[weighted_ext_score]]&lt;$O$3,Данные6[[#This Row],[Базовая сумма]]*$O$4,N369))</f>
        <v>50000</v>
      </c>
      <c r="P3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369" s="2">
        <f>ABS(Данные6[[#This Row],[days_birth]])/365.2425</f>
        <v>44.107681882584856</v>
      </c>
      <c r="S3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369" s="2">
        <f>IF(Данные6[[#This Row],[ interest_rate]]&gt;$T$1,Данные6[[#This Row],[days_birth4]]*$T$2,Данные6[[#This Row],[days_birth4]])</f>
        <v>35000</v>
      </c>
      <c r="U369" s="2">
        <f>IF(Данные6[[#This Row],[Проверка отказа]]="отказ",0,MAX(Данные6[[#This Row],[interest_rate]],$C$1))</f>
        <v>35000</v>
      </c>
      <c r="V369" s="2">
        <f>MROUND(Данные6[[#This Row],[Минимум 20000]], 100)</f>
        <v>35000</v>
      </c>
    </row>
    <row r="370" spans="1:22" x14ac:dyDescent="0.25">
      <c r="A370" s="2">
        <f>'1000_заявлений'!A364</f>
        <v>362</v>
      </c>
      <c r="B370" s="4">
        <f>VALUE(SUBSTITUTE('1000_заявлений'!B364, ".", ","))</f>
        <v>0.61733306007442901</v>
      </c>
      <c r="C370" s="4">
        <f>VALUE(SUBSTITUTE('1000_заявлений'!C364, ".", ","))</f>
        <v>0.25976300757294901</v>
      </c>
      <c r="D370" s="4">
        <f>VALUE(SUBSTITUTE('1000_заявлений'!D364, ".", ","))</f>
        <v>0.54244510000000001</v>
      </c>
      <c r="E370" s="4">
        <f>VALUE(SUBSTITUTE('1000_заявлений'!E364, ".", ","))</f>
        <v>0.19600429</v>
      </c>
      <c r="F370" s="5">
        <f>VALUE(SUBSTITUTE('1000_заявлений'!F364, ".", ","))</f>
        <v>-6050</v>
      </c>
      <c r="G370" s="5">
        <f>VALUE(SUBSTITUTE('1000_заявлений'!G364, ".", ","))</f>
        <v>-13659</v>
      </c>
      <c r="H370" s="5">
        <f>VALUE(SUBSTITUTE('1000_заявлений'!H364, ".", ","))</f>
        <v>-4403</v>
      </c>
      <c r="I370" s="4">
        <f>VALUE(SUBSTITUTE('1000_заявлений'!I364, ".", ","))</f>
        <v>0.14058000000000001</v>
      </c>
      <c r="J370" s="4">
        <f>VALUE(SUBSTITUTE('1000_заявлений'!J364, ".", ","))</f>
        <v>4.2466283018955204</v>
      </c>
      <c r="K370" s="5">
        <f>VALUE(SUBSTITUTE('1000_заявлений'!K364, ".", ","))</f>
        <v>-522</v>
      </c>
      <c r="L370" s="6">
        <f>VALUE(SUBSTITUTE('1000_заявлений'!L364, ".", ","))</f>
        <v>31630.5</v>
      </c>
      <c r="M370" s="2" t="str">
        <f>IF(Данные6[[#This Row],[proba]]&gt;$C$6, "отказ", "одобрение")</f>
        <v>отказ</v>
      </c>
      <c r="N370" s="7">
        <f>IF(Данные6[[#This Row],[proba]]&lt;$D$2,$C$2,IF(Данные6[[#This Row],[proba]]&lt;$D$3,$C$3,IF(Данные6[[#This Row],[proba]]&gt;$C$6,0,$C$4)))</f>
        <v>0</v>
      </c>
      <c r="O370" s="2">
        <f>IF(Данные6[[#This Row],[weighted_ext_score]]&gt;$O$1,MIN(Данные6[[#This Row],[Базовая сумма]]*$O$2,$C$2),IF(Данные6[[#This Row],[weighted_ext_score]]&lt;$O$3,Данные6[[#This Row],[Базовая сумма]]*$O$4,N370))</f>
        <v>0</v>
      </c>
      <c r="P3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0" s="2">
        <f>ABS(Данные6[[#This Row],[days_birth]])/365.2425</f>
        <v>37.397071808456026</v>
      </c>
      <c r="S3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0" s="2">
        <f>IF(Данные6[[#This Row],[ interest_rate]]&gt;$T$1,Данные6[[#This Row],[days_birth4]]*$T$2,Данные6[[#This Row],[days_birth4]])</f>
        <v>0</v>
      </c>
      <c r="U370" s="2">
        <f>IF(Данные6[[#This Row],[Проверка отказа]]="отказ",0,MAX(Данные6[[#This Row],[interest_rate]],$C$1))</f>
        <v>0</v>
      </c>
      <c r="V370" s="2">
        <f>MROUND(Данные6[[#This Row],[Минимум 20000]], 100)</f>
        <v>0</v>
      </c>
    </row>
    <row r="371" spans="1:22" x14ac:dyDescent="0.25">
      <c r="A371" s="2">
        <f>'1000_заявлений'!A365</f>
        <v>363</v>
      </c>
      <c r="B371" s="4">
        <f>VALUE(SUBSTITUTE('1000_заявлений'!B365, ".", ","))</f>
        <v>0.207544014254397</v>
      </c>
      <c r="C371" s="4">
        <f>VALUE(SUBSTITUTE('1000_заявлений'!C365, ".", ","))</f>
        <v>0.45240198392290099</v>
      </c>
      <c r="D371" s="4">
        <f>VALUE(SUBSTITUTE('1000_заявлений'!D365, ".", ","))</f>
        <v>0.59197664000000005</v>
      </c>
      <c r="E371" s="4">
        <f>VALUE(SUBSTITUTE('1000_заявлений'!E365, ".", ","))</f>
        <v>0.73465279999999999</v>
      </c>
      <c r="F371" s="5">
        <f>VALUE(SUBSTITUTE('1000_заявлений'!F365, ".", ","))</f>
        <v>-7020</v>
      </c>
      <c r="G371" s="5">
        <f>VALUE(SUBSTITUTE('1000_заявлений'!G365, ".", ","))</f>
        <v>-23721</v>
      </c>
      <c r="H371" s="5">
        <f>VALUE(SUBSTITUTE('1000_заявлений'!H365, ".", ","))</f>
        <v>-4339</v>
      </c>
      <c r="I371" s="4">
        <f>VALUE(SUBSTITUTE('1000_заявлений'!I365, ".", ","))</f>
        <v>0.28510000000000002</v>
      </c>
      <c r="J371" s="4">
        <f>VALUE(SUBSTITUTE('1000_заявлений'!J365, ".", ","))</f>
        <v>5.27077595625145</v>
      </c>
      <c r="K371" s="5">
        <f>VALUE(SUBSTITUTE('1000_заявлений'!K365, ".", ","))</f>
        <v>365243</v>
      </c>
      <c r="L371" s="6">
        <f>VALUE(SUBSTITUTE('1000_заявлений'!L365, ".", ","))</f>
        <v>64147.5</v>
      </c>
      <c r="M371" s="2" t="str">
        <f>IF(Данные6[[#This Row],[proba]]&gt;$C$6, "отказ", "одобрение")</f>
        <v>одобрение</v>
      </c>
      <c r="N371" s="7">
        <f>IF(Данные6[[#This Row],[proba]]&lt;$D$2,$C$2,IF(Данные6[[#This Row],[proba]]&lt;$D$3,$C$3,IF(Данные6[[#This Row],[proba]]&gt;$C$6,0,$C$4)))</f>
        <v>50000</v>
      </c>
      <c r="O371" s="2">
        <f>IF(Данные6[[#This Row],[weighted_ext_score]]&gt;$O$1,MIN(Данные6[[#This Row],[Базовая сумма]]*$O$2,$C$2),IF(Данные6[[#This Row],[weighted_ext_score]]&lt;$O$3,Данные6[[#This Row],[Базовая сумма]]*$O$4,N371))</f>
        <v>40000</v>
      </c>
      <c r="P3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371" s="2">
        <f>ABS(Данные6[[#This Row],[days_birth]])/365.2425</f>
        <v>64.945892112774388</v>
      </c>
      <c r="S3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371" s="2">
        <f>IF(Данные6[[#This Row],[ interest_rate]]&gt;$T$1,Данные6[[#This Row],[days_birth4]]*$T$2,Данные6[[#This Row],[days_birth4]])</f>
        <v>42000</v>
      </c>
      <c r="U371" s="2">
        <f>IF(Данные6[[#This Row],[Проверка отказа]]="отказ",0,MAX(Данные6[[#This Row],[interest_rate]],$C$1))</f>
        <v>42000</v>
      </c>
      <c r="V371" s="2">
        <f>MROUND(Данные6[[#This Row],[Минимум 20000]], 100)</f>
        <v>42000</v>
      </c>
    </row>
    <row r="372" spans="1:22" x14ac:dyDescent="0.25">
      <c r="A372" s="2">
        <f>'1000_заявлений'!A366</f>
        <v>364</v>
      </c>
      <c r="B372" s="4">
        <f>VALUE(SUBSTITUTE('1000_заявлений'!B366, ".", ","))</f>
        <v>0.291839110046274</v>
      </c>
      <c r="C372" s="4">
        <f>VALUE(SUBSTITUTE('1000_заявлений'!C366, ".", ","))</f>
        <v>0.46055175021959699</v>
      </c>
      <c r="D372" s="4">
        <f>VALUE(SUBSTITUTE('1000_заявлений'!D366, ".", ","))</f>
        <v>0.69255906</v>
      </c>
      <c r="E372" s="4">
        <f>VALUE(SUBSTITUTE('1000_заявлений'!E366, ".", ","))</f>
        <v>0.64763230000000005</v>
      </c>
      <c r="F372" s="5">
        <f>VALUE(SUBSTITUTE('1000_заявлений'!F366, ".", ","))</f>
        <v>-1160</v>
      </c>
      <c r="G372" s="5">
        <f>VALUE(SUBSTITUTE('1000_заявлений'!G366, ".", ","))</f>
        <v>-12099</v>
      </c>
      <c r="H372" s="5">
        <f>VALUE(SUBSTITUTE('1000_заявлений'!H366, ".", ","))</f>
        <v>-1180</v>
      </c>
      <c r="I372" s="4">
        <f>VALUE(SUBSTITUTE('1000_заявлений'!I366, ".", ","))</f>
        <v>7.46705882352941E-2</v>
      </c>
      <c r="J372" s="4">
        <f>VALUE(SUBSTITUTE('1000_заявлений'!J366, ".", ","))</f>
        <v>4.2509400269249804</v>
      </c>
      <c r="K372" s="5">
        <f>VALUE(SUBSTITUTE('1000_заявлений'!K366, ".", ","))</f>
        <v>-4613</v>
      </c>
      <c r="L372" s="6">
        <f>VALUE(SUBSTITUTE('1000_заявлений'!L366, ".", ","))</f>
        <v>28561.5</v>
      </c>
      <c r="M372" s="2" t="str">
        <f>IF(Данные6[[#This Row],[proba]]&gt;$C$6, "отказ", "одобрение")</f>
        <v>одобрение</v>
      </c>
      <c r="N372" s="7">
        <f>IF(Данные6[[#This Row],[proba]]&lt;$D$2,$C$2,IF(Данные6[[#This Row],[proba]]&lt;$D$3,$C$3,IF(Данные6[[#This Row],[proba]]&gt;$C$6,0,$C$4)))</f>
        <v>50000</v>
      </c>
      <c r="O372" s="2">
        <f>IF(Данные6[[#This Row],[weighted_ext_score]]&gt;$O$1,MIN(Данные6[[#This Row],[Базовая сумма]]*$O$2,$C$2),IF(Данные6[[#This Row],[weighted_ext_score]]&lt;$O$3,Данные6[[#This Row],[Базовая сумма]]*$O$4,N372))</f>
        <v>40000</v>
      </c>
      <c r="P3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3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372" s="2">
        <f>ABS(Данные6[[#This Row],[days_birth]])/365.2425</f>
        <v>33.125936877553954</v>
      </c>
      <c r="S3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57600</v>
      </c>
      <c r="T372" s="2">
        <f>IF(Данные6[[#This Row],[ interest_rate]]&gt;$T$1,Данные6[[#This Row],[days_birth4]]*$T$2,Данные6[[#This Row],[days_birth4]])</f>
        <v>57600</v>
      </c>
      <c r="U372" s="2">
        <f>IF(Данные6[[#This Row],[Проверка отказа]]="отказ",0,MAX(Данные6[[#This Row],[interest_rate]],$C$1))</f>
        <v>57600</v>
      </c>
      <c r="V372" s="2">
        <f>MROUND(Данные6[[#This Row],[Минимум 20000]], 100)</f>
        <v>57600</v>
      </c>
    </row>
    <row r="373" spans="1:22" x14ac:dyDescent="0.25">
      <c r="A373" s="2">
        <f>'1000_заявлений'!A367</f>
        <v>365</v>
      </c>
      <c r="B373" s="4">
        <f>VALUE(SUBSTITUTE('1000_заявлений'!B367, ".", ","))</f>
        <v>0.38516831388988199</v>
      </c>
      <c r="C373" s="4">
        <f>VALUE(SUBSTITUTE('1000_заявлений'!C367, ".", ","))</f>
        <v>0.601660458421583</v>
      </c>
      <c r="D373" s="4">
        <f>VALUE(SUBSTITUTE('1000_заявлений'!D367, ".", ","))</f>
        <v>0.45610972999999999</v>
      </c>
      <c r="E373" s="4">
        <f>VALUE(SUBSTITUTE('1000_заявлений'!E367, ".", ","))</f>
        <v>0.56019425</v>
      </c>
      <c r="F373" s="5">
        <f>VALUE(SUBSTITUTE('1000_заявлений'!F367, ".", ","))</f>
        <v>-1847</v>
      </c>
      <c r="G373" s="5">
        <f>VALUE(SUBSTITUTE('1000_заявлений'!G367, ".", ","))</f>
        <v>-16624</v>
      </c>
      <c r="H373" s="5">
        <f>VALUE(SUBSTITUTE('1000_заявлений'!H367, ".", ","))</f>
        <v>-168</v>
      </c>
      <c r="I373" s="4">
        <f>VALUE(SUBSTITUTE('1000_заявлений'!I367, ".", ","))</f>
        <v>0.23050000000000001</v>
      </c>
      <c r="J373" s="4">
        <f>VALUE(SUBSTITUTE('1000_заявлений'!J367, ".", ","))</f>
        <v>0.78686338583926396</v>
      </c>
      <c r="K373" s="5">
        <f>VALUE(SUBSTITUTE('1000_заявлений'!K367, ".", ","))</f>
        <v>-3848</v>
      </c>
      <c r="L373" s="6">
        <f>VALUE(SUBSTITUTE('1000_заявлений'!L367, ".", ","))</f>
        <v>72607.5</v>
      </c>
      <c r="M373" s="2" t="str">
        <f>IF(Данные6[[#This Row],[proba]]&gt;$C$6, "отказ", "одобрение")</f>
        <v>отказ</v>
      </c>
      <c r="N373" s="7">
        <f>IF(Данные6[[#This Row],[proba]]&lt;$D$2,$C$2,IF(Данные6[[#This Row],[proba]]&lt;$D$3,$C$3,IF(Данные6[[#This Row],[proba]]&gt;$C$6,0,$C$4)))</f>
        <v>0</v>
      </c>
      <c r="O373" s="2">
        <f>IF(Данные6[[#This Row],[weighted_ext_score]]&gt;$O$1,MIN(Данные6[[#This Row],[Базовая сумма]]*$O$2,$C$2),IF(Данные6[[#This Row],[weighted_ext_score]]&lt;$O$3,Данные6[[#This Row],[Базовая сумма]]*$O$4,N373))</f>
        <v>0</v>
      </c>
      <c r="P3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3" s="2">
        <f>ABS(Данные6[[#This Row],[days_birth]])/365.2425</f>
        <v>45.514966084176947</v>
      </c>
      <c r="S3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3" s="2">
        <f>IF(Данные6[[#This Row],[ interest_rate]]&gt;$T$1,Данные6[[#This Row],[days_birth4]]*$T$2,Данные6[[#This Row],[days_birth4]])</f>
        <v>0</v>
      </c>
      <c r="U373" s="2">
        <f>IF(Данные6[[#This Row],[Проверка отказа]]="отказ",0,MAX(Данные6[[#This Row],[interest_rate]],$C$1))</f>
        <v>0</v>
      </c>
      <c r="V373" s="2">
        <f>MROUND(Данные6[[#This Row],[Минимум 20000]], 100)</f>
        <v>0</v>
      </c>
    </row>
    <row r="374" spans="1:22" x14ac:dyDescent="0.25">
      <c r="A374" s="2">
        <f>'1000_заявлений'!A368</f>
        <v>366</v>
      </c>
      <c r="B374" s="4">
        <f>VALUE(SUBSTITUTE('1000_заявлений'!B368, ".", ","))</f>
        <v>0.31593906723082399</v>
      </c>
      <c r="C374" s="4">
        <f>VALUE(SUBSTITUTE('1000_заявлений'!C368, ".", ","))</f>
        <v>0.57019832872155496</v>
      </c>
      <c r="D374" s="4">
        <f>VALUE(SUBSTITUTE('1000_заявлений'!D368, ".", ","))</f>
        <v>0.56028429999999996</v>
      </c>
      <c r="E374" s="4">
        <f>VALUE(SUBSTITUTE('1000_заявлений'!E368, ".", ","))</f>
        <v>0.66939145</v>
      </c>
      <c r="F374" s="5">
        <f>VALUE(SUBSTITUTE('1000_заявлений'!F368, ".", ","))</f>
        <v>-5726</v>
      </c>
      <c r="G374" s="5">
        <f>VALUE(SUBSTITUTE('1000_заявлений'!G368, ".", ","))</f>
        <v>-15205</v>
      </c>
      <c r="H374" s="5">
        <f>VALUE(SUBSTITUTE('1000_заявлений'!H368, ".", ","))</f>
        <v>-4291</v>
      </c>
      <c r="I374" s="4">
        <f>VALUE(SUBSTITUTE('1000_заявлений'!I368, ".", ","))</f>
        <v>0.26245000000000002</v>
      </c>
      <c r="J374" s="4">
        <f>VALUE(SUBSTITUTE('1000_заявлений'!J368, ".", ","))</f>
        <v>0.927702820584275</v>
      </c>
      <c r="K374" s="5">
        <f>VALUE(SUBSTITUTE('1000_заявлений'!K368, ".", ","))</f>
        <v>-3171</v>
      </c>
      <c r="L374" s="6">
        <f>VALUE(SUBSTITUTE('1000_заявлений'!L368, ".", ","))</f>
        <v>23620.5</v>
      </c>
      <c r="M374" s="2" t="str">
        <f>IF(Данные6[[#This Row],[proba]]&gt;$C$6, "отказ", "одобрение")</f>
        <v>отказ</v>
      </c>
      <c r="N374" s="7">
        <f>IF(Данные6[[#This Row],[proba]]&lt;$D$2,$C$2,IF(Данные6[[#This Row],[proba]]&lt;$D$3,$C$3,IF(Данные6[[#This Row],[proba]]&gt;$C$6,0,$C$4)))</f>
        <v>0</v>
      </c>
      <c r="O374" s="2">
        <f>IF(Данные6[[#This Row],[weighted_ext_score]]&gt;$O$1,MIN(Данные6[[#This Row],[Базовая сумма]]*$O$2,$C$2),IF(Данные6[[#This Row],[weighted_ext_score]]&lt;$O$3,Данные6[[#This Row],[Базовая сумма]]*$O$4,N374))</f>
        <v>0</v>
      </c>
      <c r="P3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4" s="2">
        <f>ABS(Данные6[[#This Row],[days_birth]])/365.2425</f>
        <v>41.62987604126026</v>
      </c>
      <c r="S3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4" s="2">
        <f>IF(Данные6[[#This Row],[ interest_rate]]&gt;$T$1,Данные6[[#This Row],[days_birth4]]*$T$2,Данные6[[#This Row],[days_birth4]])</f>
        <v>0</v>
      </c>
      <c r="U374" s="2">
        <f>IF(Данные6[[#This Row],[Проверка отказа]]="отказ",0,MAX(Данные6[[#This Row],[interest_rate]],$C$1))</f>
        <v>0</v>
      </c>
      <c r="V374" s="2">
        <f>MROUND(Данные6[[#This Row],[Минимум 20000]], 100)</f>
        <v>0</v>
      </c>
    </row>
    <row r="375" spans="1:22" x14ac:dyDescent="0.25">
      <c r="A375" s="2">
        <f>'1000_заявлений'!A369</f>
        <v>367</v>
      </c>
      <c r="B375" s="4">
        <f>VALUE(SUBSTITUTE('1000_заявлений'!B369, ".", ","))</f>
        <v>0.47856382043795898</v>
      </c>
      <c r="C375" s="4">
        <f>VALUE(SUBSTITUTE('1000_заявлений'!C369, ".", ","))</f>
        <v>0.353544586721037</v>
      </c>
      <c r="D375" s="4">
        <f>VALUE(SUBSTITUTE('1000_заявлений'!D369, ".", ","))</f>
        <v>0.42765736999999998</v>
      </c>
      <c r="E375" s="4">
        <f>VALUE(SUBSTITUTE('1000_заявлений'!E369, ".", ","))</f>
        <v>0.61310047000000001</v>
      </c>
      <c r="F375" s="5">
        <f>VALUE(SUBSTITUTE('1000_заявлений'!F369, ".", ","))</f>
        <v>-5948</v>
      </c>
      <c r="G375" s="5">
        <f>VALUE(SUBSTITUTE('1000_заявлений'!G369, ".", ","))</f>
        <v>-12362</v>
      </c>
      <c r="H375" s="5">
        <f>VALUE(SUBSTITUTE('1000_заявлений'!H369, ".", ","))</f>
        <v>-3765</v>
      </c>
      <c r="I375" s="4">
        <f>VALUE(SUBSTITUTE('1000_заявлений'!I369, ".", ","))</f>
        <v>0.11517142857142799</v>
      </c>
      <c r="J375" s="4">
        <f>VALUE(SUBSTITUTE('1000_заявлений'!J369, ".", ","))</f>
        <v>4.22022866204692</v>
      </c>
      <c r="K375" s="5">
        <f>VALUE(SUBSTITUTE('1000_заявлений'!K369, ".", ","))</f>
        <v>-4076</v>
      </c>
      <c r="L375" s="6">
        <f>VALUE(SUBSTITUTE('1000_заявлений'!L369, ".", ","))</f>
        <v>18139.5</v>
      </c>
      <c r="M375" s="2" t="str">
        <f>IF(Данные6[[#This Row],[proba]]&gt;$C$6, "отказ", "одобрение")</f>
        <v>отказ</v>
      </c>
      <c r="N375" s="7">
        <f>IF(Данные6[[#This Row],[proba]]&lt;$D$2,$C$2,IF(Данные6[[#This Row],[proba]]&lt;$D$3,$C$3,IF(Данные6[[#This Row],[proba]]&gt;$C$6,0,$C$4)))</f>
        <v>0</v>
      </c>
      <c r="O375" s="2">
        <f>IF(Данные6[[#This Row],[weighted_ext_score]]&gt;$O$1,MIN(Данные6[[#This Row],[Базовая сумма]]*$O$2,$C$2),IF(Данные6[[#This Row],[weighted_ext_score]]&lt;$O$3,Данные6[[#This Row],[Базовая сумма]]*$O$4,N375))</f>
        <v>0</v>
      </c>
      <c r="P3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5" s="2">
        <f>ABS(Данные6[[#This Row],[days_birth]])/365.2425</f>
        <v>33.84600642039193</v>
      </c>
      <c r="S3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5" s="2">
        <f>IF(Данные6[[#This Row],[ interest_rate]]&gt;$T$1,Данные6[[#This Row],[days_birth4]]*$T$2,Данные6[[#This Row],[days_birth4]])</f>
        <v>0</v>
      </c>
      <c r="U375" s="2">
        <f>IF(Данные6[[#This Row],[Проверка отказа]]="отказ",0,MAX(Данные6[[#This Row],[interest_rate]],$C$1))</f>
        <v>0</v>
      </c>
      <c r="V375" s="2">
        <f>MROUND(Данные6[[#This Row],[Минимум 20000]], 100)</f>
        <v>0</v>
      </c>
    </row>
    <row r="376" spans="1:22" x14ac:dyDescent="0.25">
      <c r="A376" s="2">
        <f>'1000_заявлений'!A370</f>
        <v>368</v>
      </c>
      <c r="B376" s="4">
        <f>VALUE(SUBSTITUTE('1000_заявлений'!B370, ".", ","))</f>
        <v>0.31603511597652501</v>
      </c>
      <c r="C376" s="4">
        <f>VALUE(SUBSTITUTE('1000_заявлений'!C370, ".", ","))</f>
        <v>0.61311444818578298</v>
      </c>
      <c r="D376" s="4">
        <f>VALUE(SUBSTITUTE('1000_заявлений'!D370, ".", ","))</f>
        <v>0.6986675</v>
      </c>
      <c r="E376" s="4">
        <f>VALUE(SUBSTITUTE('1000_заявлений'!E370, ".", ","))</f>
        <v>0.51814400000000005</v>
      </c>
      <c r="F376" s="5">
        <f>VALUE(SUBSTITUTE('1000_заявлений'!F370, ".", ","))</f>
        <v>-226</v>
      </c>
      <c r="G376" s="5">
        <f>VALUE(SUBSTITUTE('1000_заявлений'!G370, ".", ","))</f>
        <v>-15685</v>
      </c>
      <c r="H376" s="5">
        <f>VALUE(SUBSTITUTE('1000_заявлений'!H370, ".", ","))</f>
        <v>-4530</v>
      </c>
      <c r="I376" s="4">
        <f>VALUE(SUBSTITUTE('1000_заявлений'!I370, ".", ","))</f>
        <v>0.34793333333333298</v>
      </c>
      <c r="J376" s="4">
        <f>VALUE(SUBSTITUTE('1000_заявлений'!J370, ".", ","))</f>
        <v>0.19084088600462801</v>
      </c>
      <c r="K376" s="5">
        <f>VALUE(SUBSTITUTE('1000_заявлений'!K370, ".", ","))</f>
        <v>-1263</v>
      </c>
      <c r="L376" s="6">
        <f>VALUE(SUBSTITUTE('1000_заявлений'!L370, ".", ","))</f>
        <v>23485.5</v>
      </c>
      <c r="M376" s="2" t="str">
        <f>IF(Данные6[[#This Row],[proba]]&gt;$C$6, "отказ", "одобрение")</f>
        <v>отказ</v>
      </c>
      <c r="N376" s="7">
        <f>IF(Данные6[[#This Row],[proba]]&lt;$D$2,$C$2,IF(Данные6[[#This Row],[proba]]&lt;$D$3,$C$3,IF(Данные6[[#This Row],[proba]]&gt;$C$6,0,$C$4)))</f>
        <v>0</v>
      </c>
      <c r="O376" s="2">
        <f>IF(Данные6[[#This Row],[weighted_ext_score]]&gt;$O$1,MIN(Данные6[[#This Row],[Базовая сумма]]*$O$2,$C$2),IF(Данные6[[#This Row],[weighted_ext_score]]&lt;$O$3,Данные6[[#This Row],[Базовая сумма]]*$O$4,N376))</f>
        <v>0</v>
      </c>
      <c r="P3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6" s="2">
        <f>ABS(Данные6[[#This Row],[days_birth]])/365.2425</f>
        <v>42.944071404614739</v>
      </c>
      <c r="S3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6" s="2">
        <f>IF(Данные6[[#This Row],[ interest_rate]]&gt;$T$1,Данные6[[#This Row],[days_birth4]]*$T$2,Данные6[[#This Row],[days_birth4]])</f>
        <v>0</v>
      </c>
      <c r="U376" s="2">
        <f>IF(Данные6[[#This Row],[Проверка отказа]]="отказ",0,MAX(Данные6[[#This Row],[interest_rate]],$C$1))</f>
        <v>0</v>
      </c>
      <c r="V376" s="2">
        <f>MROUND(Данные6[[#This Row],[Минимум 20000]], 100)</f>
        <v>0</v>
      </c>
    </row>
    <row r="377" spans="1:22" x14ac:dyDescent="0.25">
      <c r="A377" s="2">
        <f>'1000_заявлений'!A371</f>
        <v>369</v>
      </c>
      <c r="B377" s="4">
        <f>VALUE(SUBSTITUTE('1000_заявлений'!B371, ".", ","))</f>
        <v>0.52455812158894699</v>
      </c>
      <c r="C377" s="4">
        <f>VALUE(SUBSTITUTE('1000_заявлений'!C371, ".", ","))</f>
        <v>0.32634633137091801</v>
      </c>
      <c r="D377" s="4">
        <f>VALUE(SUBSTITUTE('1000_заявлений'!D371, ".", ","))</f>
        <v>0.832785</v>
      </c>
      <c r="E377" s="4">
        <f>VALUE(SUBSTITUTE('1000_заявлений'!E371, ".", ","))</f>
        <v>7.755368E-2</v>
      </c>
      <c r="F377" s="5">
        <f>VALUE(SUBSTITUTE('1000_заявлений'!F371, ".", ","))</f>
        <v>-1132</v>
      </c>
      <c r="G377" s="5">
        <f>VALUE(SUBSTITUTE('1000_заявлений'!G371, ".", ","))</f>
        <v>-17241</v>
      </c>
      <c r="H377" s="5">
        <f>VALUE(SUBSTITUTE('1000_заявлений'!H371, ".", ","))</f>
        <v>-723</v>
      </c>
      <c r="I377" s="4">
        <f>VALUE(SUBSTITUTE('1000_заявлений'!I371, ".", ","))</f>
        <v>0.1961</v>
      </c>
      <c r="J377" s="4">
        <f>VALUE(SUBSTITUTE('1000_заявлений'!J371, ".", ","))</f>
        <v>2.7177373291227198</v>
      </c>
      <c r="K377" s="5">
        <f>VALUE(SUBSTITUTE('1000_заявлений'!K371, ".", ","))</f>
        <v>-1235</v>
      </c>
      <c r="L377" s="6">
        <f>VALUE(SUBSTITUTE('1000_заявлений'!L371, ".", ","))</f>
        <v>26473.5</v>
      </c>
      <c r="M377" s="2" t="str">
        <f>IF(Данные6[[#This Row],[proba]]&gt;$C$6, "отказ", "одобрение")</f>
        <v>отказ</v>
      </c>
      <c r="N377" s="7">
        <f>IF(Данные6[[#This Row],[proba]]&lt;$D$2,$C$2,IF(Данные6[[#This Row],[proba]]&lt;$D$3,$C$3,IF(Данные6[[#This Row],[proba]]&gt;$C$6,0,$C$4)))</f>
        <v>0</v>
      </c>
      <c r="O377" s="2">
        <f>IF(Данные6[[#This Row],[weighted_ext_score]]&gt;$O$1,MIN(Данные6[[#This Row],[Базовая сумма]]*$O$2,$C$2),IF(Данные6[[#This Row],[weighted_ext_score]]&lt;$O$3,Данные6[[#This Row],[Базовая сумма]]*$O$4,N377))</f>
        <v>0</v>
      </c>
      <c r="P3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7" s="2">
        <f>ABS(Данные6[[#This Row],[days_birth]])/365.2425</f>
        <v>47.204254707488857</v>
      </c>
      <c r="S3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7" s="2">
        <f>IF(Данные6[[#This Row],[ interest_rate]]&gt;$T$1,Данные6[[#This Row],[days_birth4]]*$T$2,Данные6[[#This Row],[days_birth4]])</f>
        <v>0</v>
      </c>
      <c r="U377" s="2">
        <f>IF(Данные6[[#This Row],[Проверка отказа]]="отказ",0,MAX(Данные6[[#This Row],[interest_rate]],$C$1))</f>
        <v>0</v>
      </c>
      <c r="V377" s="2">
        <f>MROUND(Данные6[[#This Row],[Минимум 20000]], 100)</f>
        <v>0</v>
      </c>
    </row>
    <row r="378" spans="1:22" x14ac:dyDescent="0.25">
      <c r="A378" s="2">
        <f>'1000_заявлений'!A372</f>
        <v>370</v>
      </c>
      <c r="B378" s="4">
        <f>VALUE(SUBSTITUTE('1000_заявлений'!B372, ".", ","))</f>
        <v>0.509866684848304</v>
      </c>
      <c r="C378" s="4">
        <f>VALUE(SUBSTITUTE('1000_заявлений'!C372, ".", ","))</f>
        <v>0.327266622409426</v>
      </c>
      <c r="D378" s="4">
        <f>VALUE(SUBSTITUTE('1000_заявлений'!D372, ".", ","))</f>
        <v>0.30314636</v>
      </c>
      <c r="E378" s="4">
        <f>VALUE(SUBSTITUTE('1000_заявлений'!E372, ".", ","))</f>
        <v>0.67091405000000004</v>
      </c>
      <c r="F378" s="5">
        <f>VALUE(SUBSTITUTE('1000_заявлений'!F372, ".", ","))</f>
        <v>-8965</v>
      </c>
      <c r="G378" s="5">
        <f>VALUE(SUBSTITUTE('1000_заявлений'!G372, ".", ","))</f>
        <v>-20837</v>
      </c>
      <c r="H378" s="5">
        <f>VALUE(SUBSTITUTE('1000_заявлений'!H372, ".", ","))</f>
        <v>-4108</v>
      </c>
      <c r="I378" s="4">
        <f>VALUE(SUBSTITUTE('1000_заявлений'!I372, ".", ","))</f>
        <v>0.21412</v>
      </c>
      <c r="J378" s="4">
        <f>VALUE(SUBSTITUTE('1000_заявлений'!J372, ".", ","))</f>
        <v>1.9249556558857699</v>
      </c>
      <c r="K378" s="5">
        <f>VALUE(SUBSTITUTE('1000_заявлений'!K372, ".", ","))</f>
        <v>-1840</v>
      </c>
      <c r="L378" s="6">
        <f>VALUE(SUBSTITUTE('1000_заявлений'!L372, ".", ","))</f>
        <v>24088.5</v>
      </c>
      <c r="M378" s="2" t="str">
        <f>IF(Данные6[[#This Row],[proba]]&gt;$C$6, "отказ", "одобрение")</f>
        <v>отказ</v>
      </c>
      <c r="N378" s="7">
        <f>IF(Данные6[[#This Row],[proba]]&lt;$D$2,$C$2,IF(Данные6[[#This Row],[proba]]&lt;$D$3,$C$3,IF(Данные6[[#This Row],[proba]]&gt;$C$6,0,$C$4)))</f>
        <v>0</v>
      </c>
      <c r="O378" s="2">
        <f>IF(Данные6[[#This Row],[weighted_ext_score]]&gt;$O$1,MIN(Данные6[[#This Row],[Базовая сумма]]*$O$2,$C$2),IF(Данные6[[#This Row],[weighted_ext_score]]&lt;$O$3,Данные6[[#This Row],[Базовая сумма]]*$O$4,N378))</f>
        <v>0</v>
      </c>
      <c r="P3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8" s="2">
        <f>ABS(Данные6[[#This Row],[days_birth]])/365.2425</f>
        <v>57.049768304619533</v>
      </c>
      <c r="S3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8" s="2">
        <f>IF(Данные6[[#This Row],[ interest_rate]]&gt;$T$1,Данные6[[#This Row],[days_birth4]]*$T$2,Данные6[[#This Row],[days_birth4]])</f>
        <v>0</v>
      </c>
      <c r="U378" s="2">
        <f>IF(Данные6[[#This Row],[Проверка отказа]]="отказ",0,MAX(Данные6[[#This Row],[interest_rate]],$C$1))</f>
        <v>0</v>
      </c>
      <c r="V378" s="2">
        <f>MROUND(Данные6[[#This Row],[Минимум 20000]], 100)</f>
        <v>0</v>
      </c>
    </row>
    <row r="379" spans="1:22" x14ac:dyDescent="0.25">
      <c r="A379" s="2">
        <f>'1000_заявлений'!A373</f>
        <v>371</v>
      </c>
      <c r="B379" s="4">
        <f>VALUE(SUBSTITUTE('1000_заявлений'!B373, ".", ","))</f>
        <v>0.48457701572502698</v>
      </c>
      <c r="C379" s="4">
        <f>VALUE(SUBSTITUTE('1000_заявлений'!C373, ".", ","))</f>
        <v>0.33987698958880502</v>
      </c>
      <c r="D379" s="4">
        <f>VALUE(SUBSTITUTE('1000_заявлений'!D373, ".", ","))</f>
        <v>0.41534715999999999</v>
      </c>
      <c r="E379" s="4">
        <f>VALUE(SUBSTITUTE('1000_заявлений'!E373, ".", ","))</f>
        <v>0.58469086999999997</v>
      </c>
      <c r="F379" s="5">
        <f>VALUE(SUBSTITUTE('1000_заявлений'!F373, ".", ","))</f>
        <v>-3880</v>
      </c>
      <c r="G379" s="5">
        <f>VALUE(SUBSTITUTE('1000_заявлений'!G373, ".", ","))</f>
        <v>-17470</v>
      </c>
      <c r="H379" s="5">
        <f>VALUE(SUBSTITUTE('1000_заявлений'!H373, ".", ","))</f>
        <v>-1003</v>
      </c>
      <c r="I379" s="4">
        <f>VALUE(SUBSTITUTE('1000_заявлений'!I373, ".", ","))</f>
        <v>9.0399999999999994E-2</v>
      </c>
      <c r="J379" s="4">
        <f>VALUE(SUBSTITUTE('1000_заявлений'!J373, ".", ","))</f>
        <v>6.6680277189273296</v>
      </c>
      <c r="K379" s="5">
        <f>VALUE(SUBSTITUTE('1000_заявлений'!K373, ".", ","))</f>
        <v>-2904</v>
      </c>
      <c r="L379" s="6">
        <f>VALUE(SUBSTITUTE('1000_заявлений'!L373, ".", ","))</f>
        <v>12204</v>
      </c>
      <c r="M379" s="2" t="str">
        <f>IF(Данные6[[#This Row],[proba]]&gt;$C$6, "отказ", "одобрение")</f>
        <v>отказ</v>
      </c>
      <c r="N379" s="7">
        <f>IF(Данные6[[#This Row],[proba]]&lt;$D$2,$C$2,IF(Данные6[[#This Row],[proba]]&lt;$D$3,$C$3,IF(Данные6[[#This Row],[proba]]&gt;$C$6,0,$C$4)))</f>
        <v>0</v>
      </c>
      <c r="O379" s="2">
        <f>IF(Данные6[[#This Row],[weighted_ext_score]]&gt;$O$1,MIN(Данные6[[#This Row],[Базовая сумма]]*$O$2,$C$2),IF(Данные6[[#This Row],[weighted_ext_score]]&lt;$O$3,Данные6[[#This Row],[Базовая сумма]]*$O$4,N379))</f>
        <v>0</v>
      </c>
      <c r="P3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79" s="2">
        <f>ABS(Данные6[[#This Row],[days_birth]])/365.2425</f>
        <v>47.831235412089228</v>
      </c>
      <c r="S3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79" s="2">
        <f>IF(Данные6[[#This Row],[ interest_rate]]&gt;$T$1,Данные6[[#This Row],[days_birth4]]*$T$2,Данные6[[#This Row],[days_birth4]])</f>
        <v>0</v>
      </c>
      <c r="U379" s="2">
        <f>IF(Данные6[[#This Row],[Проверка отказа]]="отказ",0,MAX(Данные6[[#This Row],[interest_rate]],$C$1))</f>
        <v>0</v>
      </c>
      <c r="V379" s="2">
        <f>MROUND(Данные6[[#This Row],[Минимум 20000]], 100)</f>
        <v>0</v>
      </c>
    </row>
    <row r="380" spans="1:22" x14ac:dyDescent="0.25">
      <c r="A380" s="2">
        <f>'1000_заявлений'!A374</f>
        <v>372</v>
      </c>
      <c r="B380" s="4">
        <f>VALUE(SUBSTITUTE('1000_заявлений'!B374, ".", ","))</f>
        <v>0.38660616138953002</v>
      </c>
      <c r="C380" s="4">
        <f>VALUE(SUBSTITUTE('1000_заявлений'!C374, ".", ","))</f>
        <v>0.51712376722170195</v>
      </c>
      <c r="D380" s="4">
        <f>VALUE(SUBSTITUTE('1000_заявлений'!D374, ".", ","))</f>
        <v>0.52269730000000003</v>
      </c>
      <c r="E380" s="4">
        <f>VALUE(SUBSTITUTE('1000_заявлений'!E374, ".", ","))</f>
        <v>0.52909110000000004</v>
      </c>
      <c r="F380" s="5">
        <f>VALUE(SUBSTITUTE('1000_заявлений'!F374, ".", ","))</f>
        <v>-6615</v>
      </c>
      <c r="G380" s="5">
        <f>VALUE(SUBSTITUTE('1000_заявлений'!G374, ".", ","))</f>
        <v>-12565</v>
      </c>
      <c r="H380" s="5">
        <f>VALUE(SUBSTITUTE('1000_заявлений'!H374, ".", ","))</f>
        <v>-4008</v>
      </c>
      <c r="I380" s="4">
        <f>VALUE(SUBSTITUTE('1000_заявлений'!I374, ".", ","))</f>
        <v>0.17501818181818099</v>
      </c>
      <c r="J380" s="4">
        <f>VALUE(SUBSTITUTE('1000_заявлений'!J374, ".", ","))</f>
        <v>1.91781906476158</v>
      </c>
      <c r="K380" s="5">
        <f>VALUE(SUBSTITUTE('1000_заявлений'!K374, ".", ","))</f>
        <v>-4986</v>
      </c>
      <c r="L380" s="6">
        <f>VALUE(SUBSTITUTE('1000_заявлений'!L374, ".", ","))</f>
        <v>43317</v>
      </c>
      <c r="M380" s="2" t="str">
        <f>IF(Данные6[[#This Row],[proba]]&gt;$C$6, "отказ", "одобрение")</f>
        <v>отказ</v>
      </c>
      <c r="N380" s="7">
        <f>IF(Данные6[[#This Row],[proba]]&lt;$D$2,$C$2,IF(Данные6[[#This Row],[proba]]&lt;$D$3,$C$3,IF(Данные6[[#This Row],[proba]]&gt;$C$6,0,$C$4)))</f>
        <v>0</v>
      </c>
      <c r="O380" s="2">
        <f>IF(Данные6[[#This Row],[weighted_ext_score]]&gt;$O$1,MIN(Данные6[[#This Row],[Базовая сумма]]*$O$2,$C$2),IF(Данные6[[#This Row],[weighted_ext_score]]&lt;$O$3,Данные6[[#This Row],[Базовая сумма]]*$O$4,N380))</f>
        <v>0</v>
      </c>
      <c r="P3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0" s="2">
        <f>ABS(Данные6[[#This Row],[days_birth]])/365.2425</f>
        <v>34.401801542810595</v>
      </c>
      <c r="S3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0" s="2">
        <f>IF(Данные6[[#This Row],[ interest_rate]]&gt;$T$1,Данные6[[#This Row],[days_birth4]]*$T$2,Данные6[[#This Row],[days_birth4]])</f>
        <v>0</v>
      </c>
      <c r="U380" s="2">
        <f>IF(Данные6[[#This Row],[Проверка отказа]]="отказ",0,MAX(Данные6[[#This Row],[interest_rate]],$C$1))</f>
        <v>0</v>
      </c>
      <c r="V380" s="2">
        <f>MROUND(Данные6[[#This Row],[Минимум 20000]], 100)</f>
        <v>0</v>
      </c>
    </row>
    <row r="381" spans="1:22" x14ac:dyDescent="0.25">
      <c r="A381" s="2">
        <f>'1000_заявлений'!A375</f>
        <v>373</v>
      </c>
      <c r="B381" s="4">
        <f>VALUE(SUBSTITUTE('1000_заявлений'!B375, ".", ","))</f>
        <v>0.60360840827263296</v>
      </c>
      <c r="C381" s="4">
        <f>VALUE(SUBSTITUTE('1000_заявлений'!C375, ".", ","))</f>
        <v>0.32849199431036902</v>
      </c>
      <c r="D381" s="4">
        <f>VALUE(SUBSTITUTE('1000_заявлений'!D375, ".", ","))</f>
        <v>0.44539624</v>
      </c>
      <c r="E381" s="4">
        <f>VALUE(SUBSTITUTE('1000_заявлений'!E375, ".", ","))</f>
        <v>0.41517470000000001</v>
      </c>
      <c r="F381" s="5">
        <f>VALUE(SUBSTITUTE('1000_заявлений'!F375, ".", ","))</f>
        <v>-4542</v>
      </c>
      <c r="G381" s="5">
        <f>VALUE(SUBSTITUTE('1000_заявлений'!G375, ".", ","))</f>
        <v>-12495</v>
      </c>
      <c r="H381" s="5">
        <f>VALUE(SUBSTITUTE('1000_заявлений'!H375, ".", ","))</f>
        <v>-328</v>
      </c>
      <c r="I381" s="4">
        <f>VALUE(SUBSTITUTE('1000_заявлений'!I375, ".", ","))</f>
        <v>0.18057142857142799</v>
      </c>
      <c r="J381" s="4">
        <f>VALUE(SUBSTITUTE('1000_заявлений'!J375, ".", ","))</f>
        <v>4.6914263326068797</v>
      </c>
      <c r="K381" s="5">
        <f>VALUE(SUBSTITUTE('1000_заявлений'!K375, ".", ","))</f>
        <v>-2214</v>
      </c>
      <c r="L381" s="6">
        <f>VALUE(SUBSTITUTE('1000_заявлений'!L375, ".", ","))</f>
        <v>28440</v>
      </c>
      <c r="M381" s="2" t="str">
        <f>IF(Данные6[[#This Row],[proba]]&gt;$C$6, "отказ", "одобрение")</f>
        <v>отказ</v>
      </c>
      <c r="N381" s="7">
        <f>IF(Данные6[[#This Row],[proba]]&lt;$D$2,$C$2,IF(Данные6[[#This Row],[proba]]&lt;$D$3,$C$3,IF(Данные6[[#This Row],[proba]]&gt;$C$6,0,$C$4)))</f>
        <v>0</v>
      </c>
      <c r="O381" s="2">
        <f>IF(Данные6[[#This Row],[weighted_ext_score]]&gt;$O$1,MIN(Данные6[[#This Row],[Базовая сумма]]*$O$2,$C$2),IF(Данные6[[#This Row],[weighted_ext_score]]&lt;$O$3,Данные6[[#This Row],[Базовая сумма]]*$O$4,N381))</f>
        <v>0</v>
      </c>
      <c r="P3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1" s="2">
        <f>ABS(Данные6[[#This Row],[days_birth]])/365.2425</f>
        <v>34.210148052321401</v>
      </c>
      <c r="S3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1" s="2">
        <f>IF(Данные6[[#This Row],[ interest_rate]]&gt;$T$1,Данные6[[#This Row],[days_birth4]]*$T$2,Данные6[[#This Row],[days_birth4]])</f>
        <v>0</v>
      </c>
      <c r="U381" s="2">
        <f>IF(Данные6[[#This Row],[Проверка отказа]]="отказ",0,MAX(Данные6[[#This Row],[interest_rate]],$C$1))</f>
        <v>0</v>
      </c>
      <c r="V381" s="2">
        <f>MROUND(Данные6[[#This Row],[Минимум 20000]], 100)</f>
        <v>0</v>
      </c>
    </row>
    <row r="382" spans="1:22" x14ac:dyDescent="0.25">
      <c r="A382" s="2">
        <f>'1000_заявлений'!A376</f>
        <v>374</v>
      </c>
      <c r="B382" s="4">
        <f>VALUE(SUBSTITUTE('1000_заявлений'!B376, ".", ","))</f>
        <v>0.49943299077064301</v>
      </c>
      <c r="C382" s="4">
        <f>VALUE(SUBSTITUTE('1000_заявлений'!C376, ".", ","))</f>
        <v>0.37104018630956498</v>
      </c>
      <c r="D382" s="4">
        <f>VALUE(SUBSTITUTE('1000_заявлений'!D376, ".", ","))</f>
        <v>0.56028429999999996</v>
      </c>
      <c r="E382" s="4">
        <f>VALUE(SUBSTITUTE('1000_заявлений'!E376, ".", ","))</f>
        <v>0.32617486000000001</v>
      </c>
      <c r="F382" s="5">
        <f>VALUE(SUBSTITUTE('1000_заявлений'!F376, ".", ","))</f>
        <v>-1534</v>
      </c>
      <c r="G382" s="5">
        <f>VALUE(SUBSTITUTE('1000_заявлений'!G376, ".", ","))</f>
        <v>-13931</v>
      </c>
      <c r="H382" s="5">
        <f>VALUE(SUBSTITUTE('1000_заявлений'!H376, ".", ","))</f>
        <v>-4679</v>
      </c>
      <c r="I382" s="4">
        <f>VALUE(SUBSTITUTE('1000_заявлений'!I376, ".", ","))</f>
        <v>0.12081</v>
      </c>
      <c r="J382" s="4">
        <f>VALUE(SUBSTITUTE('1000_заявлений'!J376, ".", ","))</f>
        <v>0.94889546316623197</v>
      </c>
      <c r="K382" s="5">
        <f>VALUE(SUBSTITUTE('1000_заявлений'!K376, ".", ","))</f>
        <v>-6336</v>
      </c>
      <c r="L382" s="6">
        <f>VALUE(SUBSTITUTE('1000_заявлений'!L376, ".", ","))</f>
        <v>54364.5</v>
      </c>
      <c r="M382" s="2" t="str">
        <f>IF(Данные6[[#This Row],[proba]]&gt;$C$6, "отказ", "одобрение")</f>
        <v>отказ</v>
      </c>
      <c r="N382" s="7">
        <f>IF(Данные6[[#This Row],[proba]]&lt;$D$2,$C$2,IF(Данные6[[#This Row],[proba]]&lt;$D$3,$C$3,IF(Данные6[[#This Row],[proba]]&gt;$C$6,0,$C$4)))</f>
        <v>0</v>
      </c>
      <c r="O382" s="2">
        <f>IF(Данные6[[#This Row],[weighted_ext_score]]&gt;$O$1,MIN(Данные6[[#This Row],[Базовая сумма]]*$O$2,$C$2),IF(Данные6[[#This Row],[weighted_ext_score]]&lt;$O$3,Данные6[[#This Row],[Базовая сумма]]*$O$4,N382))</f>
        <v>0</v>
      </c>
      <c r="P3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2" s="2">
        <f>ABS(Данные6[[#This Row],[days_birth]])/365.2425</f>
        <v>38.141782514356898</v>
      </c>
      <c r="S3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2" s="2">
        <f>IF(Данные6[[#This Row],[ interest_rate]]&gt;$T$1,Данные6[[#This Row],[days_birth4]]*$T$2,Данные6[[#This Row],[days_birth4]])</f>
        <v>0</v>
      </c>
      <c r="U382" s="2">
        <f>IF(Данные6[[#This Row],[Проверка отказа]]="отказ",0,MAX(Данные6[[#This Row],[interest_rate]],$C$1))</f>
        <v>0</v>
      </c>
      <c r="V382" s="2">
        <f>MROUND(Данные6[[#This Row],[Минимум 20000]], 100)</f>
        <v>0</v>
      </c>
    </row>
    <row r="383" spans="1:22" x14ac:dyDescent="0.25">
      <c r="A383" s="2">
        <f>'1000_заявлений'!A377</f>
        <v>375</v>
      </c>
      <c r="B383" s="4">
        <f>VALUE(SUBSTITUTE('1000_заявлений'!B377, ".", ","))</f>
        <v>0.179379542942845</v>
      </c>
      <c r="C383" s="4">
        <f>VALUE(SUBSTITUTE('1000_заявлений'!C377, ".", ","))</f>
        <v>0.69661167358531295</v>
      </c>
      <c r="D383" s="4">
        <f>VALUE(SUBSTITUTE('1000_заявлений'!D377, ".", ","))</f>
        <v>0.6910212</v>
      </c>
      <c r="E383" s="4">
        <f>VALUE(SUBSTITUTE('1000_заявлений'!E377, ".", ","))</f>
        <v>0.74757326000000002</v>
      </c>
      <c r="F383" s="5">
        <f>VALUE(SUBSTITUTE('1000_заявлений'!F377, ".", ","))</f>
        <v>-10435</v>
      </c>
      <c r="G383" s="5">
        <f>VALUE(SUBSTITUTE('1000_заявлений'!G377, ".", ","))</f>
        <v>-17857</v>
      </c>
      <c r="H383" s="5">
        <f>VALUE(SUBSTITUTE('1000_заявлений'!H377, ".", ","))</f>
        <v>-1392</v>
      </c>
      <c r="I383" s="4">
        <f>VALUE(SUBSTITUTE('1000_заявлений'!I377, ".", ","))</f>
        <v>0.27168571428571398</v>
      </c>
      <c r="J383" s="4">
        <f>VALUE(SUBSTITUTE('1000_заявлений'!J377, ".", ","))</f>
        <v>1.91687481425315</v>
      </c>
      <c r="K383" s="5">
        <f>VALUE(SUBSTITUTE('1000_заявлений'!K377, ".", ","))</f>
        <v>-2959</v>
      </c>
      <c r="L383" s="6">
        <f>VALUE(SUBSTITUTE('1000_заявлений'!L377, ".", ","))</f>
        <v>42790.5</v>
      </c>
      <c r="M383" s="2" t="str">
        <f>IF(Данные6[[#This Row],[proba]]&gt;$C$6, "отказ", "одобрение")</f>
        <v>одобрение</v>
      </c>
      <c r="N383" s="7">
        <f>IF(Данные6[[#This Row],[proba]]&lt;$D$2,$C$2,IF(Данные6[[#This Row],[proba]]&lt;$D$3,$C$3,IF(Данные6[[#This Row],[proba]]&gt;$C$6,0,$C$4)))</f>
        <v>200000</v>
      </c>
      <c r="O383" s="2">
        <f>IF(Данные6[[#This Row],[weighted_ext_score]]&gt;$O$1,MIN(Данные6[[#This Row],[Базовая сумма]]*$O$2,$C$2),IF(Данные6[[#This Row],[weighted_ext_score]]&lt;$O$3,Данные6[[#This Row],[Базовая сумма]]*$O$4,N383))</f>
        <v>200000</v>
      </c>
      <c r="P3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3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383" s="2">
        <f>ABS(Данные6[[#This Row],[days_birth]])/365.2425</f>
        <v>48.890805423793779</v>
      </c>
      <c r="S3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140000</v>
      </c>
      <c r="T383" s="2">
        <f>IF(Данные6[[#This Row],[ interest_rate]]&gt;$T$1,Данные6[[#This Row],[days_birth4]]*$T$2,Данные6[[#This Row],[days_birth4]])</f>
        <v>140000</v>
      </c>
      <c r="U383" s="2">
        <f>IF(Данные6[[#This Row],[Проверка отказа]]="отказ",0,MAX(Данные6[[#This Row],[interest_rate]],$C$1))</f>
        <v>140000</v>
      </c>
      <c r="V383" s="2">
        <f>MROUND(Данные6[[#This Row],[Минимум 20000]], 100)</f>
        <v>140000</v>
      </c>
    </row>
    <row r="384" spans="1:22" x14ac:dyDescent="0.25">
      <c r="A384" s="2">
        <f>'1000_заявлений'!A378</f>
        <v>376</v>
      </c>
      <c r="B384" s="4">
        <f>VALUE(SUBSTITUTE('1000_заявлений'!B378, ".", ","))</f>
        <v>0.25347911336970402</v>
      </c>
      <c r="C384" s="4">
        <f>VALUE(SUBSTITUTE('1000_заявлений'!C378, ".", ","))</f>
        <v>0.57684760552865399</v>
      </c>
      <c r="D384" s="4">
        <f>VALUE(SUBSTITUTE('1000_заявлений'!D378, ".", ","))</f>
        <v>0.64302559999999997</v>
      </c>
      <c r="E384" s="4">
        <f>VALUE(SUBSTITUTE('1000_заявлений'!E378, ".", ","))</f>
        <v>0.74720580000000003</v>
      </c>
      <c r="F384" s="5">
        <f>VALUE(SUBSTITUTE('1000_заявлений'!F378, ".", ","))</f>
        <v>-405</v>
      </c>
      <c r="G384" s="5">
        <f>VALUE(SUBSTITUTE('1000_заявлений'!G378, ".", ","))</f>
        <v>-10508</v>
      </c>
      <c r="H384" s="5">
        <f>VALUE(SUBSTITUTE('1000_заявлений'!H378, ".", ","))</f>
        <v>-3163</v>
      </c>
      <c r="I384" s="4">
        <f>VALUE(SUBSTITUTE('1000_заявлений'!I378, ".", ","))</f>
        <v>0.16977999999999999</v>
      </c>
      <c r="J384" s="4">
        <f>VALUE(SUBSTITUTE('1000_заявлений'!J378, ".", ","))</f>
        <v>2.20077561204408</v>
      </c>
      <c r="K384" s="5">
        <f>VALUE(SUBSTITUTE('1000_заявлений'!K378, ".", ","))</f>
        <v>-1354</v>
      </c>
      <c r="L384" s="6">
        <f>VALUE(SUBSTITUTE('1000_заявлений'!L378, ".", ","))</f>
        <v>38200.5</v>
      </c>
      <c r="M384" s="2" t="str">
        <f>IF(Данные6[[#This Row],[proba]]&gt;$C$6, "отказ", "одобрение")</f>
        <v>одобрение</v>
      </c>
      <c r="N384" s="7">
        <f>IF(Данные6[[#This Row],[proba]]&lt;$D$2,$C$2,IF(Данные6[[#This Row],[proba]]&lt;$D$3,$C$3,IF(Данные6[[#This Row],[proba]]&gt;$C$6,0,$C$4)))</f>
        <v>50000</v>
      </c>
      <c r="O384" s="2">
        <f>IF(Данные6[[#This Row],[weighted_ext_score]]&gt;$O$1,MIN(Данные6[[#This Row],[Базовая сумма]]*$O$2,$C$2),IF(Данные6[[#This Row],[weighted_ext_score]]&lt;$O$3,Данные6[[#This Row],[Базовая сумма]]*$O$4,N384))</f>
        <v>50000</v>
      </c>
      <c r="P3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384" s="2">
        <f>ABS(Данные6[[#This Row],[days_birth]])/365.2425</f>
        <v>28.769926829435239</v>
      </c>
      <c r="S3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384" s="2">
        <f>IF(Данные6[[#This Row],[ interest_rate]]&gt;$T$1,Данные6[[#This Row],[days_birth4]]*$T$2,Данные6[[#This Row],[days_birth4]])</f>
        <v>35000</v>
      </c>
      <c r="U384" s="2">
        <f>IF(Данные6[[#This Row],[Проверка отказа]]="отказ",0,MAX(Данные6[[#This Row],[interest_rate]],$C$1))</f>
        <v>35000</v>
      </c>
      <c r="V384" s="2">
        <f>MROUND(Данные6[[#This Row],[Минимум 20000]], 100)</f>
        <v>35000</v>
      </c>
    </row>
    <row r="385" spans="1:22" x14ac:dyDescent="0.25">
      <c r="A385" s="2">
        <f>'1000_заявлений'!A379</f>
        <v>377</v>
      </c>
      <c r="B385" s="4">
        <f>VALUE(SUBSTITUTE('1000_заявлений'!B379, ".", ","))</f>
        <v>0.65153503118762801</v>
      </c>
      <c r="C385" s="4">
        <f>VALUE(SUBSTITUTE('1000_заявлений'!C379, ".", ","))</f>
        <v>0.10017281141511</v>
      </c>
      <c r="D385" s="4">
        <f>VALUE(SUBSTITUTE('1000_заявлений'!D379, ".", ","))</f>
        <v>0.53527623000000002</v>
      </c>
      <c r="E385" s="4">
        <f>VALUE(SUBSTITUTE('1000_заявлений'!E379, ".", ","))</f>
        <v>0.30881613000000002</v>
      </c>
      <c r="F385" s="5">
        <f>VALUE(SUBSTITUTE('1000_заявлений'!F379, ".", ","))</f>
        <v>-1773</v>
      </c>
      <c r="G385" s="5">
        <f>VALUE(SUBSTITUTE('1000_заявлений'!G379, ".", ","))</f>
        <v>-17739</v>
      </c>
      <c r="H385" s="5">
        <f>VALUE(SUBSTITUTE('1000_заявлений'!H379, ".", ","))</f>
        <v>-1081</v>
      </c>
      <c r="I385" s="4">
        <f>VALUE(SUBSTITUTE('1000_заявлений'!I379, ".", ","))</f>
        <v>6.6657142857142804E-2</v>
      </c>
      <c r="J385" s="4">
        <f>VALUE(SUBSTITUTE('1000_заявлений'!J379, ".", ","))</f>
        <v>5.7208070145562804</v>
      </c>
      <c r="K385" s="5">
        <f>VALUE(SUBSTITUTE('1000_заявлений'!K379, ".", ","))</f>
        <v>-2428</v>
      </c>
      <c r="L385" s="6">
        <f>VALUE(SUBSTITUTE('1000_заявлений'!L379, ".", ","))</f>
        <v>10498.5</v>
      </c>
      <c r="M385" s="2" t="str">
        <f>IF(Данные6[[#This Row],[proba]]&gt;$C$6, "отказ", "одобрение")</f>
        <v>отказ</v>
      </c>
      <c r="N385" s="7">
        <f>IF(Данные6[[#This Row],[proba]]&lt;$D$2,$C$2,IF(Данные6[[#This Row],[proba]]&lt;$D$3,$C$3,IF(Данные6[[#This Row],[proba]]&gt;$C$6,0,$C$4)))</f>
        <v>0</v>
      </c>
      <c r="O385" s="2">
        <f>IF(Данные6[[#This Row],[weighted_ext_score]]&gt;$O$1,MIN(Данные6[[#This Row],[Базовая сумма]]*$O$2,$C$2),IF(Данные6[[#This Row],[weighted_ext_score]]&lt;$O$3,Данные6[[#This Row],[Базовая сумма]]*$O$4,N385))</f>
        <v>0</v>
      </c>
      <c r="P3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5" s="2">
        <f>ABS(Данные6[[#This Row],[days_birth]])/365.2425</f>
        <v>48.567732396969134</v>
      </c>
      <c r="S3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5" s="2">
        <f>IF(Данные6[[#This Row],[ interest_rate]]&gt;$T$1,Данные6[[#This Row],[days_birth4]]*$T$2,Данные6[[#This Row],[days_birth4]])</f>
        <v>0</v>
      </c>
      <c r="U385" s="2">
        <f>IF(Данные6[[#This Row],[Проверка отказа]]="отказ",0,MAX(Данные6[[#This Row],[interest_rate]],$C$1))</f>
        <v>0</v>
      </c>
      <c r="V385" s="2">
        <f>MROUND(Данные6[[#This Row],[Минимум 20000]], 100)</f>
        <v>0</v>
      </c>
    </row>
    <row r="386" spans="1:22" x14ac:dyDescent="0.25">
      <c r="A386" s="2">
        <f>'1000_заявлений'!A380</f>
        <v>378</v>
      </c>
      <c r="B386" s="4">
        <f>VALUE(SUBSTITUTE('1000_заявлений'!B380, ".", ","))</f>
        <v>0.63185120689386498</v>
      </c>
      <c r="C386" s="4">
        <f>VALUE(SUBSTITUTE('1000_заявлений'!C380, ".", ","))</f>
        <v>0.26964239794690698</v>
      </c>
      <c r="D386" s="4">
        <f>VALUE(SUBSTITUTE('1000_заявлений'!D380, ".", ","))</f>
        <v>0.47405130000000001</v>
      </c>
      <c r="E386" s="4">
        <f>VALUE(SUBSTITUTE('1000_заявлений'!E380, ".", ","))</f>
        <v>0.30271682</v>
      </c>
      <c r="F386" s="5">
        <f>VALUE(SUBSTITUTE('1000_заявлений'!F380, ".", ","))</f>
        <v>-1807</v>
      </c>
      <c r="G386" s="5">
        <f>VALUE(SUBSTITUTE('1000_заявлений'!G380, ".", ","))</f>
        <v>-15715</v>
      </c>
      <c r="H386" s="5">
        <f>VALUE(SUBSTITUTE('1000_заявлений'!H380, ".", ","))</f>
        <v>-1800</v>
      </c>
      <c r="I386" s="4">
        <f>VALUE(SUBSTITUTE('1000_заявлений'!I380, ".", ","))</f>
        <v>0.110185185185185</v>
      </c>
      <c r="J386" s="4">
        <f>VALUE(SUBSTITUTE('1000_заявлений'!J380, ".", ","))</f>
        <v>3.7381308798208601</v>
      </c>
      <c r="K386" s="5">
        <f>VALUE(SUBSTITUTE('1000_заявлений'!K380, ".", ","))</f>
        <v>-932</v>
      </c>
      <c r="L386" s="6">
        <f>VALUE(SUBSTITUTE('1000_заявлений'!L380, ".", ","))</f>
        <v>13387.5</v>
      </c>
      <c r="M386" s="2" t="str">
        <f>IF(Данные6[[#This Row],[proba]]&gt;$C$6, "отказ", "одобрение")</f>
        <v>отказ</v>
      </c>
      <c r="N386" s="7">
        <f>IF(Данные6[[#This Row],[proba]]&lt;$D$2,$C$2,IF(Данные6[[#This Row],[proba]]&lt;$D$3,$C$3,IF(Данные6[[#This Row],[proba]]&gt;$C$6,0,$C$4)))</f>
        <v>0</v>
      </c>
      <c r="O386" s="2">
        <f>IF(Данные6[[#This Row],[weighted_ext_score]]&gt;$O$1,MIN(Данные6[[#This Row],[Базовая сумма]]*$O$2,$C$2),IF(Данные6[[#This Row],[weighted_ext_score]]&lt;$O$3,Данные6[[#This Row],[Базовая сумма]]*$O$4,N386))</f>
        <v>0</v>
      </c>
      <c r="P3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6" s="2">
        <f>ABS(Данные6[[#This Row],[days_birth]])/365.2425</f>
        <v>43.026208614824398</v>
      </c>
      <c r="S3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6" s="2">
        <f>IF(Данные6[[#This Row],[ interest_rate]]&gt;$T$1,Данные6[[#This Row],[days_birth4]]*$T$2,Данные6[[#This Row],[days_birth4]])</f>
        <v>0</v>
      </c>
      <c r="U386" s="2">
        <f>IF(Данные6[[#This Row],[Проверка отказа]]="отказ",0,MAX(Данные6[[#This Row],[interest_rate]],$C$1))</f>
        <v>0</v>
      </c>
      <c r="V386" s="2">
        <f>MROUND(Данные6[[#This Row],[Минимум 20000]], 100)</f>
        <v>0</v>
      </c>
    </row>
    <row r="387" spans="1:22" x14ac:dyDescent="0.25">
      <c r="A387" s="2">
        <f>'1000_заявлений'!A381</f>
        <v>379</v>
      </c>
      <c r="B387" s="4">
        <f>VALUE(SUBSTITUTE('1000_заявлений'!B381, ".", ","))</f>
        <v>0.26806357934060898</v>
      </c>
      <c r="C387" s="4">
        <f>VALUE(SUBSTITUTE('1000_заявлений'!C381, ".", ","))</f>
        <v>0.438698368020636</v>
      </c>
      <c r="D387" s="4">
        <f>VALUE(SUBSTITUTE('1000_заявлений'!D381, ".", ","))</f>
        <v>0.74902170000000001</v>
      </c>
      <c r="E387" s="4">
        <f>VALUE(SUBSTITUTE('1000_заявлений'!E381, ".", ","))</f>
        <v>0.51730865000000004</v>
      </c>
      <c r="F387" s="5">
        <f>VALUE(SUBSTITUTE('1000_заявлений'!F381, ".", ","))</f>
        <v>-10418</v>
      </c>
      <c r="G387" s="5">
        <f>VALUE(SUBSTITUTE('1000_заявлений'!G381, ".", ","))</f>
        <v>-17181</v>
      </c>
      <c r="H387" s="5">
        <f>VALUE(SUBSTITUTE('1000_заявлений'!H381, ".", ","))</f>
        <v>-710</v>
      </c>
      <c r="I387" s="4">
        <f>VALUE(SUBSTITUTE('1000_заявлений'!I381, ".", ","))</f>
        <v>0.15</v>
      </c>
      <c r="J387" s="4">
        <f>VALUE(SUBSTITUTE('1000_заявлений'!J381, ".", ","))</f>
        <v>10.6209759779781</v>
      </c>
      <c r="K387" s="5">
        <f>VALUE(SUBSTITUTE('1000_заявлений'!K381, ".", ","))</f>
        <v>-8494</v>
      </c>
      <c r="L387" s="6">
        <f>VALUE(SUBSTITUTE('1000_заявлений'!L381, ".", ","))</f>
        <v>33750</v>
      </c>
      <c r="M387" s="2" t="str">
        <f>IF(Данные6[[#This Row],[proba]]&gt;$C$6, "отказ", "одобрение")</f>
        <v>одобрение</v>
      </c>
      <c r="N387" s="7">
        <f>IF(Данные6[[#This Row],[proba]]&lt;$D$2,$C$2,IF(Данные6[[#This Row],[proba]]&lt;$D$3,$C$3,IF(Данные6[[#This Row],[proba]]&gt;$C$6,0,$C$4)))</f>
        <v>50000</v>
      </c>
      <c r="O387" s="2">
        <f>IF(Данные6[[#This Row],[weighted_ext_score]]&gt;$O$1,MIN(Данные6[[#This Row],[Базовая сумма]]*$O$2,$C$2),IF(Данные6[[#This Row],[weighted_ext_score]]&lt;$O$3,Данные6[[#This Row],[Базовая сумма]]*$O$4,N387))</f>
        <v>40000</v>
      </c>
      <c r="P3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3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387" s="2">
        <f>ABS(Данные6[[#This Row],[days_birth]])/365.2425</f>
        <v>47.039980287069547</v>
      </c>
      <c r="S3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387" s="2">
        <f>IF(Данные6[[#This Row],[ interest_rate]]&gt;$T$1,Данные6[[#This Row],[days_birth4]]*$T$2,Данные6[[#This Row],[days_birth4]])</f>
        <v>48000</v>
      </c>
      <c r="U387" s="2">
        <f>IF(Данные6[[#This Row],[Проверка отказа]]="отказ",0,MAX(Данные6[[#This Row],[interest_rate]],$C$1))</f>
        <v>48000</v>
      </c>
      <c r="V387" s="2">
        <f>MROUND(Данные6[[#This Row],[Минимум 20000]], 100)</f>
        <v>48000</v>
      </c>
    </row>
    <row r="388" spans="1:22" x14ac:dyDescent="0.25">
      <c r="A388" s="2">
        <f>'1000_заявлений'!A382</f>
        <v>380</v>
      </c>
      <c r="B388" s="4">
        <f>VALUE(SUBSTITUTE('1000_заявлений'!B382, ".", ","))</f>
        <v>0.77980079959774895</v>
      </c>
      <c r="C388" s="4">
        <f>VALUE(SUBSTITUTE('1000_заявлений'!C382, ".", ","))</f>
        <v>0.24394657087423</v>
      </c>
      <c r="D388" s="4">
        <f>VALUE(SUBSTITUTE('1000_заявлений'!D382, ".", ","))</f>
        <v>0.13177013000000001</v>
      </c>
      <c r="E388" s="4">
        <f>VALUE(SUBSTITUTE('1000_заявлений'!E382, ".", ","))</f>
        <v>0.3446013</v>
      </c>
      <c r="F388" s="5">
        <f>VALUE(SUBSTITUTE('1000_заявлений'!F382, ".", ","))</f>
        <v>-786</v>
      </c>
      <c r="G388" s="5">
        <f>VALUE(SUBSTITUTE('1000_заявлений'!G382, ".", ","))</f>
        <v>-12337</v>
      </c>
      <c r="H388" s="5">
        <f>VALUE(SUBSTITUTE('1000_заявлений'!H382, ".", ","))</f>
        <v>-2759</v>
      </c>
      <c r="I388" s="4">
        <f>VALUE(SUBSTITUTE('1000_заявлений'!I382, ".", ","))</f>
        <v>2.8849206349206302E-2</v>
      </c>
      <c r="J388" s="4">
        <f>VALUE(SUBSTITUTE('1000_заявлений'!J382, ".", ","))</f>
        <v>2.4256444821580501</v>
      </c>
      <c r="K388" s="5">
        <f>VALUE(SUBSTITUTE('1000_заявлений'!K382, ".", ","))</f>
        <v>-3858</v>
      </c>
      <c r="L388" s="6">
        <f>VALUE(SUBSTITUTE('1000_заявлений'!L382, ".", ","))</f>
        <v>16357.5</v>
      </c>
      <c r="M388" s="2" t="str">
        <f>IF(Данные6[[#This Row],[proba]]&gt;$C$6, "отказ", "одобрение")</f>
        <v>отказ</v>
      </c>
      <c r="N388" s="7">
        <f>IF(Данные6[[#This Row],[proba]]&lt;$D$2,$C$2,IF(Данные6[[#This Row],[proba]]&lt;$D$3,$C$3,IF(Данные6[[#This Row],[proba]]&gt;$C$6,0,$C$4)))</f>
        <v>0</v>
      </c>
      <c r="O388" s="2">
        <f>IF(Данные6[[#This Row],[weighted_ext_score]]&gt;$O$1,MIN(Данные6[[#This Row],[Базовая сумма]]*$O$2,$C$2),IF(Данные6[[#This Row],[weighted_ext_score]]&lt;$O$3,Данные6[[#This Row],[Базовая сумма]]*$O$4,N388))</f>
        <v>0</v>
      </c>
      <c r="P3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8" s="2">
        <f>ABS(Данные6[[#This Row],[days_birth]])/365.2425</f>
        <v>33.77755874521722</v>
      </c>
      <c r="S3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8" s="2">
        <f>IF(Данные6[[#This Row],[ interest_rate]]&gt;$T$1,Данные6[[#This Row],[days_birth4]]*$T$2,Данные6[[#This Row],[days_birth4]])</f>
        <v>0</v>
      </c>
      <c r="U388" s="2">
        <f>IF(Данные6[[#This Row],[Проверка отказа]]="отказ",0,MAX(Данные6[[#This Row],[interest_rate]],$C$1))</f>
        <v>0</v>
      </c>
      <c r="V388" s="2">
        <f>MROUND(Данные6[[#This Row],[Минимум 20000]], 100)</f>
        <v>0</v>
      </c>
    </row>
    <row r="389" spans="1:22" x14ac:dyDescent="0.25">
      <c r="A389" s="2">
        <f>'1000_заявлений'!A383</f>
        <v>381</v>
      </c>
      <c r="B389" s="4">
        <f>VALUE(SUBSTITUTE('1000_заявлений'!B383, ".", ","))</f>
        <v>0.53085906269569105</v>
      </c>
      <c r="C389" s="4">
        <f>VALUE(SUBSTITUTE('1000_заявлений'!C383, ".", ","))</f>
        <v>0.337112701977135</v>
      </c>
      <c r="D389" s="4">
        <f>VALUE(SUBSTITUTE('1000_заявлений'!D383, ".", ","))</f>
        <v>0.44717857</v>
      </c>
      <c r="E389" s="4">
        <f>VALUE(SUBSTITUTE('1000_заявлений'!E383, ".", ","))</f>
        <v>0.54067843999999998</v>
      </c>
      <c r="F389" s="5">
        <f>VALUE(SUBSTITUTE('1000_заявлений'!F383, ".", ","))</f>
        <v>-1947</v>
      </c>
      <c r="G389" s="5">
        <f>VALUE(SUBSTITUTE('1000_заявлений'!G383, ".", ","))</f>
        <v>-13768</v>
      </c>
      <c r="H389" s="5">
        <f>VALUE(SUBSTITUTE('1000_заявлений'!H383, ".", ","))</f>
        <v>-1957</v>
      </c>
      <c r="I389" s="4">
        <f>VALUE(SUBSTITUTE('1000_заявлений'!I383, ".", ","))</f>
        <v>8.8999999999999996E-2</v>
      </c>
      <c r="J389" s="4">
        <f>VALUE(SUBSTITUTE('1000_заявлений'!J383, ".", ","))</f>
        <v>0.120066022004938</v>
      </c>
      <c r="K389" s="5">
        <f>VALUE(SUBSTITUTE('1000_заявлений'!K383, ".", ","))</f>
        <v>-3124</v>
      </c>
      <c r="L389" s="6">
        <f>VALUE(SUBSTITUTE('1000_заявлений'!L383, ".", ","))</f>
        <v>26032.5</v>
      </c>
      <c r="M389" s="2" t="str">
        <f>IF(Данные6[[#This Row],[proba]]&gt;$C$6, "отказ", "одобрение")</f>
        <v>отказ</v>
      </c>
      <c r="N389" s="7">
        <f>IF(Данные6[[#This Row],[proba]]&lt;$D$2,$C$2,IF(Данные6[[#This Row],[proba]]&lt;$D$3,$C$3,IF(Данные6[[#This Row],[proba]]&gt;$C$6,0,$C$4)))</f>
        <v>0</v>
      </c>
      <c r="O389" s="2">
        <f>IF(Данные6[[#This Row],[weighted_ext_score]]&gt;$O$1,MIN(Данные6[[#This Row],[Базовая сумма]]*$O$2,$C$2),IF(Данные6[[#This Row],[weighted_ext_score]]&lt;$O$3,Данные6[[#This Row],[Базовая сумма]]*$O$4,N389))</f>
        <v>0</v>
      </c>
      <c r="P3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89" s="2">
        <f>ABS(Данные6[[#This Row],[days_birth]])/365.2425</f>
        <v>37.695503672217775</v>
      </c>
      <c r="S3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89" s="2">
        <f>IF(Данные6[[#This Row],[ interest_rate]]&gt;$T$1,Данные6[[#This Row],[days_birth4]]*$T$2,Данные6[[#This Row],[days_birth4]])</f>
        <v>0</v>
      </c>
      <c r="U389" s="2">
        <f>IF(Данные6[[#This Row],[Проверка отказа]]="отказ",0,MAX(Данные6[[#This Row],[interest_rate]],$C$1))</f>
        <v>0</v>
      </c>
      <c r="V389" s="2">
        <f>MROUND(Данные6[[#This Row],[Минимум 20000]], 100)</f>
        <v>0</v>
      </c>
    </row>
    <row r="390" spans="1:22" x14ac:dyDescent="0.25">
      <c r="A390" s="2">
        <f>'1000_заявлений'!A384</f>
        <v>382</v>
      </c>
      <c r="B390" s="4">
        <f>VALUE(SUBSTITUTE('1000_заявлений'!B384, ".", ","))</f>
        <v>0.25988802799102201</v>
      </c>
      <c r="C390" s="4">
        <f>VALUE(SUBSTITUTE('1000_заявлений'!C384, ".", ","))</f>
        <v>0.67389852117388105</v>
      </c>
      <c r="D390" s="4">
        <f>VALUE(SUBSTITUTE('1000_заявлений'!D384, ".", ","))</f>
        <v>0.47045611999999998</v>
      </c>
      <c r="E390" s="4">
        <f>VALUE(SUBSTITUTE('1000_заявлений'!E384, ".", ","))</f>
        <v>0.74937640000000005</v>
      </c>
      <c r="F390" s="5">
        <f>VALUE(SUBSTITUTE('1000_заявлений'!F384, ".", ","))</f>
        <v>-6739</v>
      </c>
      <c r="G390" s="5">
        <f>VALUE(SUBSTITUTE('1000_заявлений'!G384, ".", ","))</f>
        <v>-14943</v>
      </c>
      <c r="H390" s="5">
        <f>VALUE(SUBSTITUTE('1000_заявлений'!H384, ".", ","))</f>
        <v>-1179</v>
      </c>
      <c r="I390" s="4">
        <f>VALUE(SUBSTITUTE('1000_заявлений'!I384, ".", ","))</f>
        <v>0.11521428571428501</v>
      </c>
      <c r="J390" s="4">
        <f>VALUE(SUBSTITUTE('1000_заявлений'!J384, ".", ","))</f>
        <v>2.3522351798308501</v>
      </c>
      <c r="K390" s="5">
        <f>VALUE(SUBSTITUTE('1000_заявлений'!K384, ".", ","))</f>
        <v>-7406</v>
      </c>
      <c r="L390" s="6">
        <f>VALUE(SUBSTITUTE('1000_заявлений'!L384, ".", ","))</f>
        <v>36292.5</v>
      </c>
      <c r="M390" s="2" t="str">
        <f>IF(Данные6[[#This Row],[proba]]&gt;$C$6, "отказ", "одобрение")</f>
        <v>одобрение</v>
      </c>
      <c r="N390" s="7">
        <f>IF(Данные6[[#This Row],[proba]]&lt;$D$2,$C$2,IF(Данные6[[#This Row],[proba]]&lt;$D$3,$C$3,IF(Данные6[[#This Row],[proba]]&gt;$C$6,0,$C$4)))</f>
        <v>50000</v>
      </c>
      <c r="O390" s="2">
        <f>IF(Данные6[[#This Row],[weighted_ext_score]]&gt;$O$1,MIN(Данные6[[#This Row],[Базовая сумма]]*$O$2,$C$2),IF(Данные6[[#This Row],[weighted_ext_score]]&lt;$O$3,Данные6[[#This Row],[Базовая сумма]]*$O$4,N390))</f>
        <v>50000</v>
      </c>
      <c r="P3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390" s="2">
        <f>ABS(Данные6[[#This Row],[days_birth]])/365.2425</f>
        <v>40.912544405429266</v>
      </c>
      <c r="S3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390" s="2">
        <f>IF(Данные6[[#This Row],[ interest_rate]]&gt;$T$1,Данные6[[#This Row],[days_birth4]]*$T$2,Данные6[[#This Row],[days_birth4]])</f>
        <v>60000</v>
      </c>
      <c r="U390" s="2">
        <f>IF(Данные6[[#This Row],[Проверка отказа]]="отказ",0,MAX(Данные6[[#This Row],[interest_rate]],$C$1))</f>
        <v>60000</v>
      </c>
      <c r="V390" s="2">
        <f>MROUND(Данные6[[#This Row],[Минимум 20000]], 100)</f>
        <v>60000</v>
      </c>
    </row>
    <row r="391" spans="1:22" x14ac:dyDescent="0.25">
      <c r="A391" s="2">
        <f>'1000_заявлений'!A385</f>
        <v>383</v>
      </c>
      <c r="B391" s="4">
        <f>VALUE(SUBSTITUTE('1000_заявлений'!B385, ".", ","))</f>
        <v>0.585928932154272</v>
      </c>
      <c r="C391" s="4">
        <f>VALUE(SUBSTITUTE('1000_заявлений'!C385, ".", ","))</f>
        <v>0.41038697527420998</v>
      </c>
      <c r="D391" s="4">
        <f>VALUE(SUBSTITUTE('1000_заявлений'!D385, ".", ","))</f>
        <v>0.46506920000000002</v>
      </c>
      <c r="E391" s="4">
        <f>VALUE(SUBSTITUTE('1000_заявлений'!E385, ".", ","))</f>
        <v>0.3655891</v>
      </c>
      <c r="F391" s="5">
        <f>VALUE(SUBSTITUTE('1000_заявлений'!F385, ".", ","))</f>
        <v>-722</v>
      </c>
      <c r="G391" s="5">
        <f>VALUE(SUBSTITUTE('1000_заявлений'!G385, ".", ","))</f>
        <v>-15936</v>
      </c>
      <c r="H391" s="5">
        <f>VALUE(SUBSTITUTE('1000_заявлений'!H385, ".", ","))</f>
        <v>-637</v>
      </c>
      <c r="I391" s="4">
        <f>VALUE(SUBSTITUTE('1000_заявлений'!I385, ".", ","))</f>
        <v>0.22364999999999999</v>
      </c>
      <c r="J391" s="4">
        <f>VALUE(SUBSTITUTE('1000_заявлений'!J385, ".", ","))</f>
        <v>2.8351517859499902</v>
      </c>
      <c r="K391" s="5">
        <f>VALUE(SUBSTITUTE('1000_заявлений'!K385, ".", ","))</f>
        <v>-3890</v>
      </c>
      <c r="L391" s="6">
        <f>VALUE(SUBSTITUTE('1000_заявлений'!L385, ".", ","))</f>
        <v>20128.5</v>
      </c>
      <c r="M391" s="2" t="str">
        <f>IF(Данные6[[#This Row],[proba]]&gt;$C$6, "отказ", "одобрение")</f>
        <v>отказ</v>
      </c>
      <c r="N391" s="7">
        <f>IF(Данные6[[#This Row],[proba]]&lt;$D$2,$C$2,IF(Данные6[[#This Row],[proba]]&lt;$D$3,$C$3,IF(Данные6[[#This Row],[proba]]&gt;$C$6,0,$C$4)))</f>
        <v>0</v>
      </c>
      <c r="O391" s="2">
        <f>IF(Данные6[[#This Row],[weighted_ext_score]]&gt;$O$1,MIN(Данные6[[#This Row],[Базовая сумма]]*$O$2,$C$2),IF(Данные6[[#This Row],[weighted_ext_score]]&lt;$O$3,Данные6[[#This Row],[Базовая сумма]]*$O$4,N391))</f>
        <v>0</v>
      </c>
      <c r="P3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1" s="2">
        <f>ABS(Данные6[[#This Row],[days_birth]])/365.2425</f>
        <v>43.631286063368854</v>
      </c>
      <c r="S3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1" s="2">
        <f>IF(Данные6[[#This Row],[ interest_rate]]&gt;$T$1,Данные6[[#This Row],[days_birth4]]*$T$2,Данные6[[#This Row],[days_birth4]])</f>
        <v>0</v>
      </c>
      <c r="U391" s="2">
        <f>IF(Данные6[[#This Row],[Проверка отказа]]="отказ",0,MAX(Данные6[[#This Row],[interest_rate]],$C$1))</f>
        <v>0</v>
      </c>
      <c r="V391" s="2">
        <f>MROUND(Данные6[[#This Row],[Минимум 20000]], 100)</f>
        <v>0</v>
      </c>
    </row>
    <row r="392" spans="1:22" x14ac:dyDescent="0.25">
      <c r="A392" s="2">
        <f>'1000_заявлений'!A386</f>
        <v>384</v>
      </c>
      <c r="B392" s="4">
        <f>VALUE(SUBSTITUTE('1000_заявлений'!B386, ".", ","))</f>
        <v>0.43730850818397898</v>
      </c>
      <c r="C392" s="4">
        <f>VALUE(SUBSTITUTE('1000_заявлений'!C386, ".", ","))</f>
        <v>0.54513253512246596</v>
      </c>
      <c r="D392" s="4">
        <f>VALUE(SUBSTITUTE('1000_заявлений'!D386, ".", ","))</f>
        <v>0.36394525</v>
      </c>
      <c r="E392" s="4">
        <f>VALUE(SUBSTITUTE('1000_заявлений'!E386, ".", ","))</f>
        <v>0.54058609999999996</v>
      </c>
      <c r="F392" s="5">
        <f>VALUE(SUBSTITUTE('1000_заявлений'!F386, ".", ","))</f>
        <v>-1877</v>
      </c>
      <c r="G392" s="5">
        <f>VALUE(SUBSTITUTE('1000_заявлений'!G386, ".", ","))</f>
        <v>-13059</v>
      </c>
      <c r="H392" s="5">
        <f>VALUE(SUBSTITUTE('1000_заявлений'!H386, ".", ","))</f>
        <v>-5515</v>
      </c>
      <c r="I392" s="4">
        <f>VALUE(SUBSTITUTE('1000_заявлений'!I386, ".", ","))</f>
        <v>0.16969999999999999</v>
      </c>
      <c r="J392" s="4">
        <f>VALUE(SUBSTITUTE('1000_заявлений'!J386, ".", ","))</f>
        <v>1.8568382236701</v>
      </c>
      <c r="K392" s="5">
        <f>VALUE(SUBSTITUTE('1000_заявлений'!K386, ".", ","))</f>
        <v>-4466</v>
      </c>
      <c r="L392" s="6">
        <f>VALUE(SUBSTITUTE('1000_заявлений'!L386, ".", ","))</f>
        <v>53455.5</v>
      </c>
      <c r="M392" s="2" t="str">
        <f>IF(Данные6[[#This Row],[proba]]&gt;$C$6, "отказ", "одобрение")</f>
        <v>отказ</v>
      </c>
      <c r="N392" s="7">
        <f>IF(Данные6[[#This Row],[proba]]&lt;$D$2,$C$2,IF(Данные6[[#This Row],[proba]]&lt;$D$3,$C$3,IF(Данные6[[#This Row],[proba]]&gt;$C$6,0,$C$4)))</f>
        <v>0</v>
      </c>
      <c r="O392" s="2">
        <f>IF(Данные6[[#This Row],[weighted_ext_score]]&gt;$O$1,MIN(Данные6[[#This Row],[Базовая сумма]]*$O$2,$C$2),IF(Данные6[[#This Row],[weighted_ext_score]]&lt;$O$3,Данные6[[#This Row],[Базовая сумма]]*$O$4,N392))</f>
        <v>0</v>
      </c>
      <c r="P3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2" s="2">
        <f>ABS(Данные6[[#This Row],[days_birth]])/365.2425</f>
        <v>35.754327604262919</v>
      </c>
      <c r="S3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2" s="2">
        <f>IF(Данные6[[#This Row],[ interest_rate]]&gt;$T$1,Данные6[[#This Row],[days_birth4]]*$T$2,Данные6[[#This Row],[days_birth4]])</f>
        <v>0</v>
      </c>
      <c r="U392" s="2">
        <f>IF(Данные6[[#This Row],[Проверка отказа]]="отказ",0,MAX(Данные6[[#This Row],[interest_rate]],$C$1))</f>
        <v>0</v>
      </c>
      <c r="V392" s="2">
        <f>MROUND(Данные6[[#This Row],[Минимум 20000]], 100)</f>
        <v>0</v>
      </c>
    </row>
    <row r="393" spans="1:22" x14ac:dyDescent="0.25">
      <c r="A393" s="2">
        <f>'1000_заявлений'!A387</f>
        <v>385</v>
      </c>
      <c r="B393" s="4">
        <f>VALUE(SUBSTITUTE('1000_заявлений'!B387, ".", ","))</f>
        <v>0.41696553229965799</v>
      </c>
      <c r="C393" s="4">
        <f>VALUE(SUBSTITUTE('1000_заявлений'!C387, ".", ","))</f>
        <v>0.44431846776142703</v>
      </c>
      <c r="D393" s="4">
        <f>VALUE(SUBSTITUTE('1000_заявлений'!D387, ".", ","))</f>
        <v>0.41885430000000001</v>
      </c>
      <c r="E393" s="4">
        <f>VALUE(SUBSTITUTE('1000_заявлений'!E387, ".", ","))</f>
        <v>0.5671214</v>
      </c>
      <c r="F393" s="5">
        <f>VALUE(SUBSTITUTE('1000_заявлений'!F387, ".", ","))</f>
        <v>-3111</v>
      </c>
      <c r="G393" s="5">
        <f>VALUE(SUBSTITUTE('1000_заявлений'!G387, ".", ","))</f>
        <v>-20731</v>
      </c>
      <c r="H393" s="5">
        <f>VALUE(SUBSTITUTE('1000_заявлений'!H387, ".", ","))</f>
        <v>-4277</v>
      </c>
      <c r="I393" s="4">
        <f>VALUE(SUBSTITUTE('1000_заявлений'!I387, ".", ","))</f>
        <v>0.116613636363636</v>
      </c>
      <c r="J393" s="4">
        <f>VALUE(SUBSTITUTE('1000_заявлений'!J387, ".", ","))</f>
        <v>1.88126997763014</v>
      </c>
      <c r="K393" s="5">
        <f>VALUE(SUBSTITUTE('1000_заявлений'!K387, ".", ","))</f>
        <v>-12917</v>
      </c>
      <c r="L393" s="6">
        <f>VALUE(SUBSTITUTE('1000_заявлений'!L387, ".", ","))</f>
        <v>23089.5</v>
      </c>
      <c r="M393" s="2" t="str">
        <f>IF(Данные6[[#This Row],[proba]]&gt;$C$6, "отказ", "одобрение")</f>
        <v>отказ</v>
      </c>
      <c r="N393" s="7">
        <f>IF(Данные6[[#This Row],[proba]]&lt;$D$2,$C$2,IF(Данные6[[#This Row],[proba]]&lt;$D$3,$C$3,IF(Данные6[[#This Row],[proba]]&gt;$C$6,0,$C$4)))</f>
        <v>0</v>
      </c>
      <c r="O393" s="2">
        <f>IF(Данные6[[#This Row],[weighted_ext_score]]&gt;$O$1,MIN(Данные6[[#This Row],[Базовая сумма]]*$O$2,$C$2),IF(Данные6[[#This Row],[weighted_ext_score]]&lt;$O$3,Данные6[[#This Row],[Базовая сумма]]*$O$4,N393))</f>
        <v>0</v>
      </c>
      <c r="P3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3" s="2">
        <f>ABS(Данные6[[#This Row],[days_birth]])/365.2425</f>
        <v>56.759550161878749</v>
      </c>
      <c r="S3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3" s="2">
        <f>IF(Данные6[[#This Row],[ interest_rate]]&gt;$T$1,Данные6[[#This Row],[days_birth4]]*$T$2,Данные6[[#This Row],[days_birth4]])</f>
        <v>0</v>
      </c>
      <c r="U393" s="2">
        <f>IF(Данные6[[#This Row],[Проверка отказа]]="отказ",0,MAX(Данные6[[#This Row],[interest_rate]],$C$1))</f>
        <v>0</v>
      </c>
      <c r="V393" s="2">
        <f>MROUND(Данные6[[#This Row],[Минимум 20000]], 100)</f>
        <v>0</v>
      </c>
    </row>
    <row r="394" spans="1:22" x14ac:dyDescent="0.25">
      <c r="A394" s="2">
        <f>'1000_заявлений'!A388</f>
        <v>386</v>
      </c>
      <c r="B394" s="4">
        <f>VALUE(SUBSTITUTE('1000_заявлений'!B388, ".", ","))</f>
        <v>0.24945482422124601</v>
      </c>
      <c r="C394" s="4">
        <f>VALUE(SUBSTITUTE('1000_заявлений'!C388, ".", ","))</f>
        <v>0.66979200709081899</v>
      </c>
      <c r="D394" s="4">
        <f>VALUE(SUBSTITUTE('1000_заявлений'!D388, ".", ","))</f>
        <v>0.46148240000000001</v>
      </c>
      <c r="E394" s="4">
        <f>VALUE(SUBSTITUTE('1000_заявлений'!E388, ".", ","))</f>
        <v>0.79677719999999996</v>
      </c>
      <c r="F394" s="5">
        <f>VALUE(SUBSTITUTE('1000_заявлений'!F388, ".", ","))</f>
        <v>-2509</v>
      </c>
      <c r="G394" s="5">
        <f>VALUE(SUBSTITUTE('1000_заявлений'!G388, ".", ","))</f>
        <v>-15038</v>
      </c>
      <c r="H394" s="5">
        <f>VALUE(SUBSTITUTE('1000_заявлений'!H388, ".", ","))</f>
        <v>-4976</v>
      </c>
      <c r="I394" s="4">
        <f>VALUE(SUBSTITUTE('1000_заявлений'!I388, ".", ","))</f>
        <v>0.25935000000000002</v>
      </c>
      <c r="J394" s="4">
        <f>VALUE(SUBSTITUTE('1000_заявлений'!J388, ".", ","))</f>
        <v>3.6112935264621799</v>
      </c>
      <c r="K394" s="5">
        <f>VALUE(SUBSTITUTE('1000_заявлений'!K388, ".", ","))</f>
        <v>-533</v>
      </c>
      <c r="L394" s="6">
        <f>VALUE(SUBSTITUTE('1000_заявлений'!L388, ".", ","))</f>
        <v>46683</v>
      </c>
      <c r="M394" s="2" t="str">
        <f>IF(Данные6[[#This Row],[proba]]&gt;$C$6, "отказ", "одобрение")</f>
        <v>одобрение</v>
      </c>
      <c r="N394" s="7">
        <f>IF(Данные6[[#This Row],[proba]]&lt;$D$2,$C$2,IF(Данные6[[#This Row],[proba]]&lt;$D$3,$C$3,IF(Данные6[[#This Row],[proba]]&gt;$C$6,0,$C$4)))</f>
        <v>50000</v>
      </c>
      <c r="O394" s="2">
        <f>IF(Данные6[[#This Row],[weighted_ext_score]]&gt;$O$1,MIN(Данные6[[#This Row],[Базовая сумма]]*$O$2,$C$2),IF(Данные6[[#This Row],[weighted_ext_score]]&lt;$O$3,Данные6[[#This Row],[Базовая сумма]]*$O$4,N394))</f>
        <v>50000</v>
      </c>
      <c r="P3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3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394" s="2">
        <f>ABS(Данные6[[#This Row],[days_birth]])/365.2425</f>
        <v>41.172645571093177</v>
      </c>
      <c r="S3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394" s="2">
        <f>IF(Данные6[[#This Row],[ interest_rate]]&gt;$T$1,Данные6[[#This Row],[days_birth4]]*$T$2,Данные6[[#This Row],[days_birth4]])</f>
        <v>35000</v>
      </c>
      <c r="U394" s="2">
        <f>IF(Данные6[[#This Row],[Проверка отказа]]="отказ",0,MAX(Данные6[[#This Row],[interest_rate]],$C$1))</f>
        <v>35000</v>
      </c>
      <c r="V394" s="2">
        <f>MROUND(Данные6[[#This Row],[Минимум 20000]], 100)</f>
        <v>35000</v>
      </c>
    </row>
    <row r="395" spans="1:22" x14ac:dyDescent="0.25">
      <c r="A395" s="2">
        <f>'1000_заявлений'!A389</f>
        <v>387</v>
      </c>
      <c r="B395" s="4">
        <f>VALUE(SUBSTITUTE('1000_заявлений'!B389, ".", ","))</f>
        <v>0.53324514889291197</v>
      </c>
      <c r="C395" s="4">
        <f>VALUE(SUBSTITUTE('1000_заявлений'!C389, ".", ","))</f>
        <v>0.44589926326663998</v>
      </c>
      <c r="D395" s="4">
        <f>VALUE(SUBSTITUTE('1000_заявлений'!D389, ".", ","))</f>
        <v>0.30010775000000001</v>
      </c>
      <c r="E395" s="4">
        <f>VALUE(SUBSTITUTE('1000_заявлений'!E389, ".", ","))</f>
        <v>0.59933069999999999</v>
      </c>
      <c r="F395" s="5">
        <f>VALUE(SUBSTITUTE('1000_заявлений'!F389, ".", ","))</f>
        <v>-2366</v>
      </c>
      <c r="G395" s="5">
        <f>VALUE(SUBSTITUTE('1000_заявлений'!G389, ".", ","))</f>
        <v>-17289</v>
      </c>
      <c r="H395" s="5">
        <f>VALUE(SUBSTITUTE('1000_заявлений'!H389, ".", ","))</f>
        <v>-840</v>
      </c>
      <c r="I395" s="4">
        <f>VALUE(SUBSTITUTE('1000_заявлений'!I389, ".", ","))</f>
        <v>0.193266666666666</v>
      </c>
      <c r="J395" s="4">
        <f>VALUE(SUBSTITUTE('1000_заявлений'!J389, ".", ","))</f>
        <v>3.0112008114564199</v>
      </c>
      <c r="K395" s="5">
        <f>VALUE(SUBSTITUTE('1000_заявлений'!K389, ".", ","))</f>
        <v>-1577</v>
      </c>
      <c r="L395" s="6">
        <f>VALUE(SUBSTITUTE('1000_заявлений'!L389, ".", ","))</f>
        <v>26091</v>
      </c>
      <c r="M395" s="2" t="str">
        <f>IF(Данные6[[#This Row],[proba]]&gt;$C$6, "отказ", "одобрение")</f>
        <v>отказ</v>
      </c>
      <c r="N395" s="7">
        <f>IF(Данные6[[#This Row],[proba]]&lt;$D$2,$C$2,IF(Данные6[[#This Row],[proba]]&lt;$D$3,$C$3,IF(Данные6[[#This Row],[proba]]&gt;$C$6,0,$C$4)))</f>
        <v>0</v>
      </c>
      <c r="O395" s="2">
        <f>IF(Данные6[[#This Row],[weighted_ext_score]]&gt;$O$1,MIN(Данные6[[#This Row],[Базовая сумма]]*$O$2,$C$2),IF(Данные6[[#This Row],[weighted_ext_score]]&lt;$O$3,Данные6[[#This Row],[Базовая сумма]]*$O$4,N395))</f>
        <v>0</v>
      </c>
      <c r="P3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5" s="2">
        <f>ABS(Данные6[[#This Row],[days_birth]])/365.2425</f>
        <v>47.335674243824307</v>
      </c>
      <c r="S3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5" s="2">
        <f>IF(Данные6[[#This Row],[ interest_rate]]&gt;$T$1,Данные6[[#This Row],[days_birth4]]*$T$2,Данные6[[#This Row],[days_birth4]])</f>
        <v>0</v>
      </c>
      <c r="U395" s="2">
        <f>IF(Данные6[[#This Row],[Проверка отказа]]="отказ",0,MAX(Данные6[[#This Row],[interest_rate]],$C$1))</f>
        <v>0</v>
      </c>
      <c r="V395" s="2">
        <f>MROUND(Данные6[[#This Row],[Минимум 20000]], 100)</f>
        <v>0</v>
      </c>
    </row>
    <row r="396" spans="1:22" x14ac:dyDescent="0.25">
      <c r="A396" s="2">
        <f>'1000_заявлений'!A390</f>
        <v>388</v>
      </c>
      <c r="B396" s="4">
        <f>VALUE(SUBSTITUTE('1000_заявлений'!B390, ".", ","))</f>
        <v>0.148321455626828</v>
      </c>
      <c r="C396" s="4">
        <f>VALUE(SUBSTITUTE('1000_заявлений'!C390, ".", ","))</f>
        <v>0.52249666603150602</v>
      </c>
      <c r="D396" s="4">
        <f>VALUE(SUBSTITUTE('1000_заявлений'!D390, ".", ","))</f>
        <v>0.80274546000000002</v>
      </c>
      <c r="E396" s="4">
        <f>VALUE(SUBSTITUTE('1000_заявлений'!E390, ".", ","))</f>
        <v>0.71574530000000003</v>
      </c>
      <c r="F396" s="5">
        <f>VALUE(SUBSTITUTE('1000_заявлений'!F390, ".", ","))</f>
        <v>-13759</v>
      </c>
      <c r="G396" s="5">
        <f>VALUE(SUBSTITUTE('1000_заявлений'!G390, ".", ","))</f>
        <v>-21142</v>
      </c>
      <c r="H396" s="5">
        <f>VALUE(SUBSTITUTE('1000_заявлений'!H390, ".", ","))</f>
        <v>-4330</v>
      </c>
      <c r="I396" s="4">
        <f>VALUE(SUBSTITUTE('1000_заявлений'!I390, ".", ","))</f>
        <v>0.31586666666666602</v>
      </c>
      <c r="J396" s="4">
        <f>VALUE(SUBSTITUTE('1000_заявлений'!J390, ".", ","))</f>
        <v>2.9561453970468698</v>
      </c>
      <c r="K396" s="5">
        <f>VALUE(SUBSTITUTE('1000_заявлений'!K390, ".", ","))</f>
        <v>365243</v>
      </c>
      <c r="L396" s="6">
        <f>VALUE(SUBSTITUTE('1000_заявлений'!L390, ".", ","))</f>
        <v>42642</v>
      </c>
      <c r="M396" s="2" t="str">
        <f>IF(Данные6[[#This Row],[proba]]&gt;$C$6, "отказ", "одобрение")</f>
        <v>одобрение</v>
      </c>
      <c r="N396" s="7">
        <f>IF(Данные6[[#This Row],[proba]]&lt;$D$2,$C$2,IF(Данные6[[#This Row],[proba]]&lt;$D$3,$C$3,IF(Данные6[[#This Row],[proba]]&gt;$C$6,0,$C$4)))</f>
        <v>200000</v>
      </c>
      <c r="O396" s="2">
        <f>IF(Данные6[[#This Row],[weighted_ext_score]]&gt;$O$1,MIN(Данные6[[#This Row],[Базовая сумма]]*$O$2,$C$2),IF(Данные6[[#This Row],[weighted_ext_score]]&lt;$O$3,Данные6[[#This Row],[Базовая сумма]]*$O$4,N396))</f>
        <v>200000</v>
      </c>
      <c r="P3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3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396" s="2">
        <f>ABS(Данные6[[#This Row],[days_birth]])/365.2425</f>
        <v>57.884829941751029</v>
      </c>
      <c r="S3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396" s="2">
        <f>IF(Данные6[[#This Row],[ interest_rate]]&gt;$T$1,Данные6[[#This Row],[days_birth4]]*$T$2,Данные6[[#This Row],[days_birth4]])</f>
        <v>210000</v>
      </c>
      <c r="U396" s="2">
        <f>IF(Данные6[[#This Row],[Проверка отказа]]="отказ",0,MAX(Данные6[[#This Row],[interest_rate]],$C$1))</f>
        <v>210000</v>
      </c>
      <c r="V396" s="2">
        <f>MROUND(Данные6[[#This Row],[Минимум 20000]], 100)</f>
        <v>210000</v>
      </c>
    </row>
    <row r="397" spans="1:22" x14ac:dyDescent="0.25">
      <c r="A397" s="2">
        <f>'1000_заявлений'!A391</f>
        <v>389</v>
      </c>
      <c r="B397" s="4">
        <f>VALUE(SUBSTITUTE('1000_заявлений'!B391, ".", ","))</f>
        <v>0.36014995888313101</v>
      </c>
      <c r="C397" s="4">
        <f>VALUE(SUBSTITUTE('1000_заявлений'!C391, ".", ","))</f>
        <v>0.38788882327399399</v>
      </c>
      <c r="D397" s="4">
        <f>VALUE(SUBSTITUTE('1000_заявлений'!D391, ".", ","))</f>
        <v>0.45969044999999997</v>
      </c>
      <c r="E397" s="4">
        <f>VALUE(SUBSTITUTE('1000_заявлений'!E391, ".", ","))</f>
        <v>0.68326260000000005</v>
      </c>
      <c r="F397" s="5">
        <f>VALUE(SUBSTITUTE('1000_заявлений'!F391, ".", ","))</f>
        <v>-3013</v>
      </c>
      <c r="G397" s="5">
        <f>VALUE(SUBSTITUTE('1000_заявлений'!G391, ".", ","))</f>
        <v>-20371</v>
      </c>
      <c r="H397" s="5">
        <f>VALUE(SUBSTITUTE('1000_заявлений'!H391, ".", ","))</f>
        <v>-3869</v>
      </c>
      <c r="I397" s="4">
        <f>VALUE(SUBSTITUTE('1000_заявлений'!I391, ".", ","))</f>
        <v>9.0524999999999994E-2</v>
      </c>
      <c r="J397" s="4">
        <f>VALUE(SUBSTITUTE('1000_заявлений'!J391, ".", ","))</f>
        <v>5.3103420962429704</v>
      </c>
      <c r="K397" s="5">
        <f>VALUE(SUBSTITUTE('1000_заявлений'!K391, ".", ","))</f>
        <v>-540</v>
      </c>
      <c r="L397" s="6">
        <f>VALUE(SUBSTITUTE('1000_заявлений'!L391, ".", ","))</f>
        <v>16294.5</v>
      </c>
      <c r="M397" s="2" t="str">
        <f>IF(Данные6[[#This Row],[proba]]&gt;$C$6, "отказ", "одобрение")</f>
        <v>отказ</v>
      </c>
      <c r="N397" s="7">
        <f>IF(Данные6[[#This Row],[proba]]&lt;$D$2,$C$2,IF(Данные6[[#This Row],[proba]]&lt;$D$3,$C$3,IF(Данные6[[#This Row],[proba]]&gt;$C$6,0,$C$4)))</f>
        <v>0</v>
      </c>
      <c r="O397" s="2">
        <f>IF(Данные6[[#This Row],[weighted_ext_score]]&gt;$O$1,MIN(Данные6[[#This Row],[Базовая сумма]]*$O$2,$C$2),IF(Данные6[[#This Row],[weighted_ext_score]]&lt;$O$3,Данные6[[#This Row],[Базовая сумма]]*$O$4,N397))</f>
        <v>0</v>
      </c>
      <c r="P3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7" s="2">
        <f>ABS(Данные6[[#This Row],[days_birth]])/365.2425</f>
        <v>55.773903639362885</v>
      </c>
      <c r="S3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7" s="2">
        <f>IF(Данные6[[#This Row],[ interest_rate]]&gt;$T$1,Данные6[[#This Row],[days_birth4]]*$T$2,Данные6[[#This Row],[days_birth4]])</f>
        <v>0</v>
      </c>
      <c r="U397" s="2">
        <f>IF(Данные6[[#This Row],[Проверка отказа]]="отказ",0,MAX(Данные6[[#This Row],[interest_rate]],$C$1))</f>
        <v>0</v>
      </c>
      <c r="V397" s="2">
        <f>MROUND(Данные6[[#This Row],[Минимум 20000]], 100)</f>
        <v>0</v>
      </c>
    </row>
    <row r="398" spans="1:22" x14ac:dyDescent="0.25">
      <c r="A398" s="2">
        <f>'1000_заявлений'!A392</f>
        <v>390</v>
      </c>
      <c r="B398" s="4">
        <f>VALUE(SUBSTITUTE('1000_заявлений'!B392, ".", ","))</f>
        <v>0.72999180940900898</v>
      </c>
      <c r="C398" s="4">
        <f>VALUE(SUBSTITUTE('1000_заявлений'!C392, ".", ","))</f>
        <v>0.22826788406284501</v>
      </c>
      <c r="D398" s="4">
        <f>VALUE(SUBSTITUTE('1000_заявлений'!D392, ".", ","))</f>
        <v>0.3217353</v>
      </c>
      <c r="E398" s="4">
        <f>VALUE(SUBSTITUTE('1000_заявлений'!E392, ".", ","))</f>
        <v>0.34499155999999997</v>
      </c>
      <c r="F398" s="5">
        <f>VALUE(SUBSTITUTE('1000_заявлений'!F392, ".", ","))</f>
        <v>-5440</v>
      </c>
      <c r="G398" s="5">
        <f>VALUE(SUBSTITUTE('1000_заявлений'!G392, ".", ","))</f>
        <v>-10644</v>
      </c>
      <c r="H398" s="5">
        <f>VALUE(SUBSTITUTE('1000_заявлений'!H392, ".", ","))</f>
        <v>-2888</v>
      </c>
      <c r="I398" s="4">
        <f>VALUE(SUBSTITUTE('1000_заявлений'!I392, ".", ","))</f>
        <v>0.15256666666666599</v>
      </c>
      <c r="J398" s="4">
        <f>VALUE(SUBSTITUTE('1000_заявлений'!J392, ".", ","))</f>
        <v>2.8229305639809699</v>
      </c>
      <c r="K398" s="5">
        <f>VALUE(SUBSTITUTE('1000_заявлений'!K392, ".", ","))</f>
        <v>-469</v>
      </c>
      <c r="L398" s="6">
        <f>VALUE(SUBSTITUTE('1000_заявлений'!L392, ".", ","))</f>
        <v>20596.5</v>
      </c>
      <c r="M398" s="2" t="str">
        <f>IF(Данные6[[#This Row],[proba]]&gt;$C$6, "отказ", "одобрение")</f>
        <v>отказ</v>
      </c>
      <c r="N398" s="7">
        <f>IF(Данные6[[#This Row],[proba]]&lt;$D$2,$C$2,IF(Данные6[[#This Row],[proba]]&lt;$D$3,$C$3,IF(Данные6[[#This Row],[proba]]&gt;$C$6,0,$C$4)))</f>
        <v>0</v>
      </c>
      <c r="O398" s="2">
        <f>IF(Данные6[[#This Row],[weighted_ext_score]]&gt;$O$1,MIN(Данные6[[#This Row],[Базовая сумма]]*$O$2,$C$2),IF(Данные6[[#This Row],[weighted_ext_score]]&lt;$O$3,Данные6[[#This Row],[Базовая сумма]]*$O$4,N398))</f>
        <v>0</v>
      </c>
      <c r="P3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8" s="2">
        <f>ABS(Данные6[[#This Row],[days_birth]])/365.2425</f>
        <v>29.142282182385674</v>
      </c>
      <c r="S3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8" s="2">
        <f>IF(Данные6[[#This Row],[ interest_rate]]&gt;$T$1,Данные6[[#This Row],[days_birth4]]*$T$2,Данные6[[#This Row],[days_birth4]])</f>
        <v>0</v>
      </c>
      <c r="U398" s="2">
        <f>IF(Данные6[[#This Row],[Проверка отказа]]="отказ",0,MAX(Данные6[[#This Row],[interest_rate]],$C$1))</f>
        <v>0</v>
      </c>
      <c r="V398" s="2">
        <f>MROUND(Данные6[[#This Row],[Минимум 20000]], 100)</f>
        <v>0</v>
      </c>
    </row>
    <row r="399" spans="1:22" x14ac:dyDescent="0.25">
      <c r="A399" s="2">
        <f>'1000_заявлений'!A393</f>
        <v>391</v>
      </c>
      <c r="B399" s="4">
        <f>VALUE(SUBSTITUTE('1000_заявлений'!B393, ".", ","))</f>
        <v>0.68538027098047605</v>
      </c>
      <c r="C399" s="4">
        <f>VALUE(SUBSTITUTE('1000_заявлений'!C393, ".", ","))</f>
        <v>0.23395290292007201</v>
      </c>
      <c r="D399" s="4">
        <f>VALUE(SUBSTITUTE('1000_заявлений'!D393, ".", ","))</f>
        <v>0.1276988</v>
      </c>
      <c r="E399" s="4">
        <f>VALUE(SUBSTITUTE('1000_заявлений'!E393, ".", ","))</f>
        <v>0.57885949999999997</v>
      </c>
      <c r="F399" s="5">
        <f>VALUE(SUBSTITUTE('1000_заявлений'!F393, ".", ","))</f>
        <v>-7897</v>
      </c>
      <c r="G399" s="5">
        <f>VALUE(SUBSTITUTE('1000_заявлений'!G393, ".", ","))</f>
        <v>-14106</v>
      </c>
      <c r="H399" s="5">
        <f>VALUE(SUBSTITUTE('1000_заявлений'!H393, ".", ","))</f>
        <v>-4413</v>
      </c>
      <c r="I399" s="4">
        <f>VALUE(SUBSTITUTE('1000_заявлений'!I393, ".", ","))</f>
        <v>0.112533333333333</v>
      </c>
      <c r="J399" s="4">
        <f>VALUE(SUBSTITUTE('1000_заявлений'!J393, ".", ","))</f>
        <v>2.9327842885667299</v>
      </c>
      <c r="K399" s="5">
        <f>VALUE(SUBSTITUTE('1000_заявлений'!K393, ".", ","))</f>
        <v>-3764</v>
      </c>
      <c r="L399" s="6">
        <f>VALUE(SUBSTITUTE('1000_заявлений'!L393, ".", ","))</f>
        <v>30384</v>
      </c>
      <c r="M399" s="2" t="str">
        <f>IF(Данные6[[#This Row],[proba]]&gt;$C$6, "отказ", "одобрение")</f>
        <v>отказ</v>
      </c>
      <c r="N399" s="7">
        <f>IF(Данные6[[#This Row],[proba]]&lt;$D$2,$C$2,IF(Данные6[[#This Row],[proba]]&lt;$D$3,$C$3,IF(Данные6[[#This Row],[proba]]&gt;$C$6,0,$C$4)))</f>
        <v>0</v>
      </c>
      <c r="O399" s="2">
        <f>IF(Данные6[[#This Row],[weighted_ext_score]]&gt;$O$1,MIN(Данные6[[#This Row],[Базовая сумма]]*$O$2,$C$2),IF(Данные6[[#This Row],[weighted_ext_score]]&lt;$O$3,Данные6[[#This Row],[Базовая сумма]]*$O$4,N399))</f>
        <v>0</v>
      </c>
      <c r="P3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3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399" s="2">
        <f>ABS(Данные6[[#This Row],[days_birth]])/365.2425</f>
        <v>38.620916240579888</v>
      </c>
      <c r="S3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399" s="2">
        <f>IF(Данные6[[#This Row],[ interest_rate]]&gt;$T$1,Данные6[[#This Row],[days_birth4]]*$T$2,Данные6[[#This Row],[days_birth4]])</f>
        <v>0</v>
      </c>
      <c r="U399" s="2">
        <f>IF(Данные6[[#This Row],[Проверка отказа]]="отказ",0,MAX(Данные6[[#This Row],[interest_rate]],$C$1))</f>
        <v>0</v>
      </c>
      <c r="V399" s="2">
        <f>MROUND(Данные6[[#This Row],[Минимум 20000]], 100)</f>
        <v>0</v>
      </c>
    </row>
    <row r="400" spans="1:22" x14ac:dyDescent="0.25">
      <c r="A400" s="2">
        <f>'1000_заявлений'!A394</f>
        <v>392</v>
      </c>
      <c r="B400" s="4">
        <f>VALUE(SUBSTITUTE('1000_заявлений'!B394, ".", ","))</f>
        <v>0.29403833523832401</v>
      </c>
      <c r="C400" s="4">
        <f>VALUE(SUBSTITUTE('1000_заявлений'!C394, ".", ","))</f>
        <v>0.54509153532932897</v>
      </c>
      <c r="D400" s="4">
        <f>VALUE(SUBSTITUTE('1000_заявлений'!D394, ".", ","))</f>
        <v>0.67541329999999999</v>
      </c>
      <c r="E400" s="4">
        <f>VALUE(SUBSTITUTE('1000_заявлений'!E394, ".", ","))</f>
        <v>0.50272983000000004</v>
      </c>
      <c r="F400" s="5">
        <f>VALUE(SUBSTITUTE('1000_заявлений'!F394, ".", ","))</f>
        <v>-3783</v>
      </c>
      <c r="G400" s="5">
        <f>VALUE(SUBSTITUTE('1000_заявлений'!G394, ".", ","))</f>
        <v>-14339</v>
      </c>
      <c r="H400" s="5">
        <f>VALUE(SUBSTITUTE('1000_заявлений'!H394, ".", ","))</f>
        <v>-4599</v>
      </c>
      <c r="I400" s="4">
        <f>VALUE(SUBSTITUTE('1000_заявлений'!I394, ".", ","))</f>
        <v>0.142416666666666</v>
      </c>
      <c r="J400" s="4">
        <f>VALUE(SUBSTITUTE('1000_заявлений'!J394, ".", ","))</f>
        <v>1.9539688663243899</v>
      </c>
      <c r="K400" s="5">
        <f>VALUE(SUBSTITUTE('1000_заявлений'!K394, ".", ","))</f>
        <v>-6892</v>
      </c>
      <c r="L400" s="6">
        <f>VALUE(SUBSTITUTE('1000_заявлений'!L394, ".", ","))</f>
        <v>38452.5</v>
      </c>
      <c r="M400" s="2" t="str">
        <f>IF(Данные6[[#This Row],[proba]]&gt;$C$6, "отказ", "одобрение")</f>
        <v>одобрение</v>
      </c>
      <c r="N400" s="7">
        <f>IF(Данные6[[#This Row],[proba]]&lt;$D$2,$C$2,IF(Данные6[[#This Row],[proba]]&lt;$D$3,$C$3,IF(Данные6[[#This Row],[proba]]&gt;$C$6,0,$C$4)))</f>
        <v>50000</v>
      </c>
      <c r="O400" s="2">
        <f>IF(Данные6[[#This Row],[weighted_ext_score]]&gt;$O$1,MIN(Данные6[[#This Row],[Базовая сумма]]*$O$2,$C$2),IF(Данные6[[#This Row],[weighted_ext_score]]&lt;$O$3,Данные6[[#This Row],[Базовая сумма]]*$O$4,N400))</f>
        <v>50000</v>
      </c>
      <c r="P4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00" s="2">
        <f>ABS(Данные6[[#This Row],[days_birth]])/365.2425</f>
        <v>39.258848573208212</v>
      </c>
      <c r="S4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00" s="2">
        <f>IF(Данные6[[#This Row],[ interest_rate]]&gt;$T$1,Данные6[[#This Row],[days_birth4]]*$T$2,Данные6[[#This Row],[days_birth4]])</f>
        <v>60000</v>
      </c>
      <c r="U400" s="2">
        <f>IF(Данные6[[#This Row],[Проверка отказа]]="отказ",0,MAX(Данные6[[#This Row],[interest_rate]],$C$1))</f>
        <v>60000</v>
      </c>
      <c r="V400" s="2">
        <f>MROUND(Данные6[[#This Row],[Минимум 20000]], 100)</f>
        <v>60000</v>
      </c>
    </row>
    <row r="401" spans="1:22" x14ac:dyDescent="0.25">
      <c r="A401" s="2">
        <f>'1000_заявлений'!A395</f>
        <v>393</v>
      </c>
      <c r="B401" s="4">
        <f>VALUE(SUBSTITUTE('1000_заявлений'!B395, ".", ","))</f>
        <v>0.25874976950619399</v>
      </c>
      <c r="C401" s="4">
        <f>VALUE(SUBSTITUTE('1000_заявлений'!C395, ".", ","))</f>
        <v>0.55087851581599301</v>
      </c>
      <c r="D401" s="4">
        <f>VALUE(SUBSTITUTE('1000_заявлений'!D395, ".", ","))</f>
        <v>0.54959650000000004</v>
      </c>
      <c r="E401" s="4">
        <f>VALUE(SUBSTITUTE('1000_заявлений'!E395, ".", ","))</f>
        <v>0.66808350000000005</v>
      </c>
      <c r="F401" s="5">
        <f>VALUE(SUBSTITUTE('1000_заявлений'!F395, ".", ","))</f>
        <v>-7076</v>
      </c>
      <c r="G401" s="5">
        <f>VALUE(SUBSTITUTE('1000_заявлений'!G395, ".", ","))</f>
        <v>-14119</v>
      </c>
      <c r="H401" s="5">
        <f>VALUE(SUBSTITUTE('1000_заявлений'!H395, ".", ","))</f>
        <v>-4378</v>
      </c>
      <c r="I401" s="4">
        <f>VALUE(SUBSTITUTE('1000_заявлений'!I395, ".", ","))</f>
        <v>0.1</v>
      </c>
      <c r="J401" s="4">
        <f>VALUE(SUBSTITUTE('1000_заявлений'!J395, ".", ","))</f>
        <v>10.6209759779781</v>
      </c>
      <c r="K401" s="5">
        <f>VALUE(SUBSTITUTE('1000_заявлений'!K395, ".", ","))</f>
        <v>-2401</v>
      </c>
      <c r="L401" s="6">
        <f>VALUE(SUBSTITUTE('1000_заявлений'!L395, ".", ","))</f>
        <v>9000</v>
      </c>
      <c r="M401" s="2" t="str">
        <f>IF(Данные6[[#This Row],[proba]]&gt;$C$6, "отказ", "одобрение")</f>
        <v>одобрение</v>
      </c>
      <c r="N401" s="7">
        <f>IF(Данные6[[#This Row],[proba]]&lt;$D$2,$C$2,IF(Данные6[[#This Row],[proba]]&lt;$D$3,$C$3,IF(Данные6[[#This Row],[proba]]&gt;$C$6,0,$C$4)))</f>
        <v>50000</v>
      </c>
      <c r="O401" s="2">
        <f>IF(Данные6[[#This Row],[weighted_ext_score]]&gt;$O$1,MIN(Данные6[[#This Row],[Базовая сумма]]*$O$2,$C$2),IF(Данные6[[#This Row],[weighted_ext_score]]&lt;$O$3,Данные6[[#This Row],[Базовая сумма]]*$O$4,N401))</f>
        <v>50000</v>
      </c>
      <c r="P4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401" s="2">
        <f>ABS(Данные6[[#This Row],[days_birth]])/365.2425</f>
        <v>38.656509031670737</v>
      </c>
      <c r="S4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401" s="2">
        <f>IF(Данные6[[#This Row],[ interest_rate]]&gt;$T$1,Данные6[[#This Row],[days_birth4]]*$T$2,Данные6[[#This Row],[days_birth4]])</f>
        <v>35000</v>
      </c>
      <c r="U401" s="2">
        <f>IF(Данные6[[#This Row],[Проверка отказа]]="отказ",0,MAX(Данные6[[#This Row],[interest_rate]],$C$1))</f>
        <v>35000</v>
      </c>
      <c r="V401" s="2">
        <f>MROUND(Данные6[[#This Row],[Минимум 20000]], 100)</f>
        <v>35000</v>
      </c>
    </row>
    <row r="402" spans="1:22" x14ac:dyDescent="0.25">
      <c r="A402" s="2">
        <f>'1000_заявлений'!A396</f>
        <v>394</v>
      </c>
      <c r="B402" s="4">
        <f>VALUE(SUBSTITUTE('1000_заявлений'!B396, ".", ","))</f>
        <v>0.15228479362110001</v>
      </c>
      <c r="C402" s="4">
        <f>VALUE(SUBSTITUTE('1000_заявлений'!C396, ".", ","))</f>
        <v>0.48026770859322998</v>
      </c>
      <c r="D402" s="4">
        <f>VALUE(SUBSTITUTE('1000_заявлений'!D396, ".", ","))</f>
        <v>0.85100869999999995</v>
      </c>
      <c r="E402" s="4">
        <f>VALUE(SUBSTITUTE('1000_заявлений'!E396, ".", ","))</f>
        <v>0.53174909999999997</v>
      </c>
      <c r="F402" s="5">
        <f>VALUE(SUBSTITUTE('1000_заявлений'!F396, ".", ","))</f>
        <v>-1473</v>
      </c>
      <c r="G402" s="5">
        <f>VALUE(SUBSTITUTE('1000_заявлений'!G396, ".", ","))</f>
        <v>-23265</v>
      </c>
      <c r="H402" s="5">
        <f>VALUE(SUBSTITUTE('1000_заявлений'!H396, ".", ","))</f>
        <v>-4709</v>
      </c>
      <c r="I402" s="4">
        <f>VALUE(SUBSTITUTE('1000_заявлений'!I396, ".", ","))</f>
        <v>0.14000000000000001</v>
      </c>
      <c r="J402" s="4">
        <f>VALUE(SUBSTITUTE('1000_заявлений'!J396, ".", ","))</f>
        <v>10.6209759779781</v>
      </c>
      <c r="K402" s="5">
        <f>VALUE(SUBSTITUTE('1000_заявлений'!K396, ".", ","))</f>
        <v>365243</v>
      </c>
      <c r="L402" s="6">
        <f>VALUE(SUBSTITUTE('1000_заявлений'!L396, ".", ","))</f>
        <v>15750</v>
      </c>
      <c r="M402" s="2" t="str">
        <f>IF(Данные6[[#This Row],[proba]]&gt;$C$6, "отказ", "одобрение")</f>
        <v>одобрение</v>
      </c>
      <c r="N402" s="7">
        <f>IF(Данные6[[#This Row],[proba]]&lt;$D$2,$C$2,IF(Данные6[[#This Row],[proba]]&lt;$D$3,$C$3,IF(Данные6[[#This Row],[proba]]&gt;$C$6,0,$C$4)))</f>
        <v>200000</v>
      </c>
      <c r="O402" s="2">
        <f>IF(Данные6[[#This Row],[weighted_ext_score]]&gt;$O$1,MIN(Данные6[[#This Row],[Базовая сумма]]*$O$2,$C$2),IF(Данные6[[#This Row],[weighted_ext_score]]&lt;$O$3,Данные6[[#This Row],[Базовая сумма]]*$O$4,N402))</f>
        <v>160000</v>
      </c>
      <c r="P4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4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402" s="2">
        <f>ABS(Данные6[[#This Row],[days_birth]])/365.2425</f>
        <v>63.697406517587631</v>
      </c>
      <c r="S4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402" s="2">
        <f>IF(Данные6[[#This Row],[ interest_rate]]&gt;$T$1,Данные6[[#This Row],[days_birth4]]*$T$2,Данные6[[#This Row],[days_birth4]])</f>
        <v>168000</v>
      </c>
      <c r="U402" s="2">
        <f>IF(Данные6[[#This Row],[Проверка отказа]]="отказ",0,MAX(Данные6[[#This Row],[interest_rate]],$C$1))</f>
        <v>168000</v>
      </c>
      <c r="V402" s="2">
        <f>MROUND(Данные6[[#This Row],[Минимум 20000]], 100)</f>
        <v>168000</v>
      </c>
    </row>
    <row r="403" spans="1:22" x14ac:dyDescent="0.25">
      <c r="A403" s="2">
        <f>'1000_заявлений'!A397</f>
        <v>395</v>
      </c>
      <c r="B403" s="4">
        <f>VALUE(SUBSTITUTE('1000_заявлений'!B397, ".", ","))</f>
        <v>0.26463136975158302</v>
      </c>
      <c r="C403" s="4">
        <f>VALUE(SUBSTITUTE('1000_заявлений'!C397, ".", ","))</f>
        <v>0.46470265078653</v>
      </c>
      <c r="D403" s="4">
        <f>VALUE(SUBSTITUTE('1000_заявлений'!D397, ".", ","))</f>
        <v>0.75971215999999997</v>
      </c>
      <c r="E403" s="4">
        <f>VALUE(SUBSTITUTE('1000_заявлений'!E397, ".", ","))</f>
        <v>0.58555615000000005</v>
      </c>
      <c r="F403" s="5">
        <f>VALUE(SUBSTITUTE('1000_заявлений'!F397, ".", ","))</f>
        <v>-44</v>
      </c>
      <c r="G403" s="5">
        <f>VALUE(SUBSTITUTE('1000_заявлений'!G397, ".", ","))</f>
        <v>-13291</v>
      </c>
      <c r="H403" s="5">
        <f>VALUE(SUBSTITUTE('1000_заявлений'!H397, ".", ","))</f>
        <v>-3907</v>
      </c>
      <c r="I403" s="4">
        <f>VALUE(SUBSTITUTE('1000_заявлений'!I397, ".", ","))</f>
        <v>0.11675000000000001</v>
      </c>
      <c r="J403" s="4">
        <f>VALUE(SUBSTITUTE('1000_заявлений'!J397, ".", ","))</f>
        <v>4.3026370187179799</v>
      </c>
      <c r="K403" s="5">
        <f>VALUE(SUBSTITUTE('1000_заявлений'!K397, ".", ","))</f>
        <v>-248</v>
      </c>
      <c r="L403" s="6">
        <f>VALUE(SUBSTITUTE('1000_заявлений'!L397, ".", ","))</f>
        <v>31522.5</v>
      </c>
      <c r="M403" s="2" t="str">
        <f>IF(Данные6[[#This Row],[proba]]&gt;$C$6, "отказ", "одобрение")</f>
        <v>одобрение</v>
      </c>
      <c r="N403" s="7">
        <f>IF(Данные6[[#This Row],[proba]]&lt;$D$2,$C$2,IF(Данные6[[#This Row],[proba]]&lt;$D$3,$C$3,IF(Данные6[[#This Row],[proba]]&gt;$C$6,0,$C$4)))</f>
        <v>50000</v>
      </c>
      <c r="O403" s="2">
        <f>IF(Данные6[[#This Row],[weighted_ext_score]]&gt;$O$1,MIN(Данные6[[#This Row],[Базовая сумма]]*$O$2,$C$2),IF(Данные6[[#This Row],[weighted_ext_score]]&lt;$O$3,Данные6[[#This Row],[Базовая сумма]]*$O$4,N403))</f>
        <v>40000</v>
      </c>
      <c r="P4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403" s="2">
        <f>ABS(Данные6[[#This Row],[days_birth]])/365.2425</f>
        <v>36.389522029884255</v>
      </c>
      <c r="S4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40000</v>
      </c>
      <c r="T403" s="2">
        <f>IF(Данные6[[#This Row],[ interest_rate]]&gt;$T$1,Данные6[[#This Row],[days_birth4]]*$T$2,Данные6[[#This Row],[days_birth4]])</f>
        <v>40000</v>
      </c>
      <c r="U403" s="2">
        <f>IF(Данные6[[#This Row],[Проверка отказа]]="отказ",0,MAX(Данные6[[#This Row],[interest_rate]],$C$1))</f>
        <v>40000</v>
      </c>
      <c r="V403" s="2">
        <f>MROUND(Данные6[[#This Row],[Минимум 20000]], 100)</f>
        <v>40000</v>
      </c>
    </row>
    <row r="404" spans="1:22" x14ac:dyDescent="0.25">
      <c r="A404" s="2">
        <f>'1000_заявлений'!A398</f>
        <v>396</v>
      </c>
      <c r="B404" s="4">
        <f>VALUE(SUBSTITUTE('1000_заявлений'!B398, ".", ","))</f>
        <v>0.22704649384471001</v>
      </c>
      <c r="C404" s="4">
        <f>VALUE(SUBSTITUTE('1000_заявлений'!C398, ".", ","))</f>
        <v>0.63255597141874598</v>
      </c>
      <c r="D404" s="4">
        <f>VALUE(SUBSTITUTE('1000_заявлений'!D398, ".", ","))</f>
        <v>0.61441440000000003</v>
      </c>
      <c r="E404" s="4">
        <f>VALUE(SUBSTITUTE('1000_заявлений'!E398, ".", ","))</f>
        <v>0.73412390000000005</v>
      </c>
      <c r="F404" s="5">
        <f>VALUE(SUBSTITUTE('1000_заявлений'!F398, ".", ","))</f>
        <v>-9462</v>
      </c>
      <c r="G404" s="5">
        <f>VALUE(SUBSTITUTE('1000_заявлений'!G398, ".", ","))</f>
        <v>-15409</v>
      </c>
      <c r="H404" s="5">
        <f>VALUE(SUBSTITUTE('1000_заявлений'!H398, ".", ","))</f>
        <v>-3899</v>
      </c>
      <c r="I404" s="4">
        <f>VALUE(SUBSTITUTE('1000_заявлений'!I398, ".", ","))</f>
        <v>0.23226666666666601</v>
      </c>
      <c r="J404" s="4">
        <f>VALUE(SUBSTITUTE('1000_заявлений'!J398, ".", ","))</f>
        <v>1.8424271783653501</v>
      </c>
      <c r="K404" s="5">
        <f>VALUE(SUBSTITUTE('1000_заявлений'!K398, ".", ","))</f>
        <v>-7518</v>
      </c>
      <c r="L404" s="6">
        <f>VALUE(SUBSTITUTE('1000_заявлений'!L398, ".", ","))</f>
        <v>31356</v>
      </c>
      <c r="M404" s="2" t="str">
        <f>IF(Данные6[[#This Row],[proba]]&gt;$C$6, "отказ", "одобрение")</f>
        <v>одобрение</v>
      </c>
      <c r="N404" s="7">
        <f>IF(Данные6[[#This Row],[proba]]&lt;$D$2,$C$2,IF(Данные6[[#This Row],[proba]]&lt;$D$3,$C$3,IF(Данные6[[#This Row],[proba]]&gt;$C$6,0,$C$4)))</f>
        <v>50000</v>
      </c>
      <c r="O404" s="2">
        <f>IF(Данные6[[#This Row],[weighted_ext_score]]&gt;$O$1,MIN(Данные6[[#This Row],[Базовая сумма]]*$O$2,$C$2),IF(Данные6[[#This Row],[weighted_ext_score]]&lt;$O$3,Данные6[[#This Row],[Базовая сумма]]*$O$4,N404))</f>
        <v>50000</v>
      </c>
      <c r="P4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04" s="2">
        <f>ABS(Данные6[[#This Row],[days_birth]])/365.2425</f>
        <v>42.188409070685914</v>
      </c>
      <c r="S4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04" s="2">
        <f>IF(Данные6[[#This Row],[ interest_rate]]&gt;$T$1,Данные6[[#This Row],[days_birth4]]*$T$2,Данные6[[#This Row],[days_birth4]])</f>
        <v>60000</v>
      </c>
      <c r="U404" s="2">
        <f>IF(Данные6[[#This Row],[Проверка отказа]]="отказ",0,MAX(Данные6[[#This Row],[interest_rate]],$C$1))</f>
        <v>60000</v>
      </c>
      <c r="V404" s="2">
        <f>MROUND(Данные6[[#This Row],[Минимум 20000]], 100)</f>
        <v>60000</v>
      </c>
    </row>
    <row r="405" spans="1:22" x14ac:dyDescent="0.25">
      <c r="A405" s="2">
        <f>'1000_заявлений'!A399</f>
        <v>397</v>
      </c>
      <c r="B405" s="4">
        <f>VALUE(SUBSTITUTE('1000_заявлений'!B399, ".", ","))</f>
        <v>0.747111853763752</v>
      </c>
      <c r="C405" s="4">
        <f>VALUE(SUBSTITUTE('1000_заявлений'!C399, ".", ","))</f>
        <v>5.3581409220436103E-2</v>
      </c>
      <c r="D405" s="4">
        <f>VALUE(SUBSTITUTE('1000_заявлений'!D399, ".", ","))</f>
        <v>0.53527623000000002</v>
      </c>
      <c r="E405" s="4">
        <f>VALUE(SUBSTITUTE('1000_заявлений'!E399, ".", ","))</f>
        <v>0.16518258</v>
      </c>
      <c r="F405" s="5">
        <f>VALUE(SUBSTITUTE('1000_заявлений'!F399, ".", ","))</f>
        <v>-2685</v>
      </c>
      <c r="G405" s="5">
        <f>VALUE(SUBSTITUTE('1000_заявлений'!G399, ".", ","))</f>
        <v>-14202</v>
      </c>
      <c r="H405" s="5">
        <f>VALUE(SUBSTITUTE('1000_заявлений'!H399, ".", ","))</f>
        <v>-214</v>
      </c>
      <c r="I405" s="4">
        <f>VALUE(SUBSTITUTE('1000_заявлений'!I399, ".", ","))</f>
        <v>0.16666666666666599</v>
      </c>
      <c r="J405" s="4">
        <f>VALUE(SUBSTITUTE('1000_заявлений'!J399, ".", ","))</f>
        <v>10.6209759779781</v>
      </c>
      <c r="K405" s="5">
        <f>VALUE(SUBSTITUTE('1000_заявлений'!K399, ".", ","))</f>
        <v>-502</v>
      </c>
      <c r="L405" s="6">
        <f>VALUE(SUBSTITUTE('1000_заявлений'!L399, ".", ","))</f>
        <v>9000</v>
      </c>
      <c r="M405" s="2" t="str">
        <f>IF(Данные6[[#This Row],[proba]]&gt;$C$6, "отказ", "одобрение")</f>
        <v>отказ</v>
      </c>
      <c r="N405" s="7">
        <f>IF(Данные6[[#This Row],[proba]]&lt;$D$2,$C$2,IF(Данные6[[#This Row],[proba]]&lt;$D$3,$C$3,IF(Данные6[[#This Row],[proba]]&gt;$C$6,0,$C$4)))</f>
        <v>0</v>
      </c>
      <c r="O405" s="2">
        <f>IF(Данные6[[#This Row],[weighted_ext_score]]&gt;$O$1,MIN(Данные6[[#This Row],[Базовая сумма]]*$O$2,$C$2),IF(Данные6[[#This Row],[weighted_ext_score]]&lt;$O$3,Данные6[[#This Row],[Базовая сумма]]*$O$4,N405))</f>
        <v>0</v>
      </c>
      <c r="P4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5" s="2">
        <f>ABS(Данные6[[#This Row],[days_birth]])/365.2425</f>
        <v>38.883755313250788</v>
      </c>
      <c r="S4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5" s="2">
        <f>IF(Данные6[[#This Row],[ interest_rate]]&gt;$T$1,Данные6[[#This Row],[days_birth4]]*$T$2,Данные6[[#This Row],[days_birth4]])</f>
        <v>0</v>
      </c>
      <c r="U405" s="2">
        <f>IF(Данные6[[#This Row],[Проверка отказа]]="отказ",0,MAX(Данные6[[#This Row],[interest_rate]],$C$1))</f>
        <v>0</v>
      </c>
      <c r="V405" s="2">
        <f>MROUND(Данные6[[#This Row],[Минимум 20000]], 100)</f>
        <v>0</v>
      </c>
    </row>
    <row r="406" spans="1:22" x14ac:dyDescent="0.25">
      <c r="A406" s="2">
        <f>'1000_заявлений'!A400</f>
        <v>398</v>
      </c>
      <c r="B406" s="4">
        <f>VALUE(SUBSTITUTE('1000_заявлений'!B400, ".", ","))</f>
        <v>0.88345808680091198</v>
      </c>
      <c r="C406" s="4">
        <f>VALUE(SUBSTITUTE('1000_заявлений'!C400, ".", ","))</f>
        <v>0.125595874074935</v>
      </c>
      <c r="D406" s="4">
        <f>VALUE(SUBSTITUTE('1000_заявлений'!D400, ".", ","))</f>
        <v>0.11175636999999999</v>
      </c>
      <c r="E406" s="4">
        <f>VALUE(SUBSTITUTE('1000_заявлений'!E400, ".", ","))</f>
        <v>5.4692947000000002E-3</v>
      </c>
      <c r="F406" s="5">
        <f>VALUE(SUBSTITUTE('1000_заявлений'!F400, ".", ","))</f>
        <v>-3470</v>
      </c>
      <c r="G406" s="5">
        <f>VALUE(SUBSTITUTE('1000_заявлений'!G400, ".", ","))</f>
        <v>-13203</v>
      </c>
      <c r="H406" s="5">
        <f>VALUE(SUBSTITUTE('1000_заявлений'!H400, ".", ","))</f>
        <v>-3988</v>
      </c>
      <c r="I406" s="4">
        <f>VALUE(SUBSTITUTE('1000_заявлений'!I400, ".", ","))</f>
        <v>7.2440000000000004E-2</v>
      </c>
      <c r="J406" s="4">
        <f>VALUE(SUBSTITUTE('1000_заявлений'!J400, ".", ","))</f>
        <v>2.5248311151312999</v>
      </c>
      <c r="K406" s="5">
        <f>VALUE(SUBSTITUTE('1000_заявлений'!K400, ".", ","))</f>
        <v>-3230</v>
      </c>
      <c r="L406" s="6">
        <f>VALUE(SUBSTITUTE('1000_заявлений'!L400, ".", ","))</f>
        <v>32598</v>
      </c>
      <c r="M406" s="2" t="str">
        <f>IF(Данные6[[#This Row],[proba]]&gt;$C$6, "отказ", "одобрение")</f>
        <v>отказ</v>
      </c>
      <c r="N406" s="7">
        <f>IF(Данные6[[#This Row],[proba]]&lt;$D$2,$C$2,IF(Данные6[[#This Row],[proba]]&lt;$D$3,$C$3,IF(Данные6[[#This Row],[proba]]&gt;$C$6,0,$C$4)))</f>
        <v>0</v>
      </c>
      <c r="O406" s="2">
        <f>IF(Данные6[[#This Row],[weighted_ext_score]]&gt;$O$1,MIN(Данные6[[#This Row],[Базовая сумма]]*$O$2,$C$2),IF(Данные6[[#This Row],[weighted_ext_score]]&lt;$O$3,Данные6[[#This Row],[Базовая сумма]]*$O$4,N406))</f>
        <v>0</v>
      </c>
      <c r="P4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6" s="2">
        <f>ABS(Данные6[[#This Row],[days_birth]])/365.2425</f>
        <v>36.148586213269269</v>
      </c>
      <c r="S4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6" s="2">
        <f>IF(Данные6[[#This Row],[ interest_rate]]&gt;$T$1,Данные6[[#This Row],[days_birth4]]*$T$2,Данные6[[#This Row],[days_birth4]])</f>
        <v>0</v>
      </c>
      <c r="U406" s="2">
        <f>IF(Данные6[[#This Row],[Проверка отказа]]="отказ",0,MAX(Данные6[[#This Row],[interest_rate]],$C$1))</f>
        <v>0</v>
      </c>
      <c r="V406" s="2">
        <f>MROUND(Данные6[[#This Row],[Минимум 20000]], 100)</f>
        <v>0</v>
      </c>
    </row>
    <row r="407" spans="1:22" x14ac:dyDescent="0.25">
      <c r="A407" s="2">
        <f>'1000_заявлений'!A401</f>
        <v>399</v>
      </c>
      <c r="B407" s="4">
        <f>VALUE(SUBSTITUTE('1000_заявлений'!B401, ".", ","))</f>
        <v>0.399057724406499</v>
      </c>
      <c r="C407" s="4">
        <f>VALUE(SUBSTITUTE('1000_заявлений'!C401, ".", ","))</f>
        <v>0.40817413026132099</v>
      </c>
      <c r="D407" s="4">
        <f>VALUE(SUBSTITUTE('1000_заявлений'!D401, ".", ","))</f>
        <v>0.50468135000000003</v>
      </c>
      <c r="E407" s="4">
        <f>VALUE(SUBSTITUTE('1000_заявлений'!E401, ".", ","))</f>
        <v>0.69563600000000003</v>
      </c>
      <c r="F407" s="5">
        <f>VALUE(SUBSTITUTE('1000_заявлений'!F401, ".", ","))</f>
        <v>-3293</v>
      </c>
      <c r="G407" s="5">
        <f>VALUE(SUBSTITUTE('1000_заявлений'!G401, ".", ","))</f>
        <v>-14516</v>
      </c>
      <c r="H407" s="5">
        <f>VALUE(SUBSTITUTE('1000_заявлений'!H401, ".", ","))</f>
        <v>-2370</v>
      </c>
      <c r="I407" s="4">
        <f>VALUE(SUBSTITUTE('1000_заявлений'!I401, ".", ","))</f>
        <v>0.23044444444444401</v>
      </c>
      <c r="J407" s="4">
        <f>VALUE(SUBSTITUTE('1000_заявлений'!J401, ".", ","))</f>
        <v>2.5571778237261</v>
      </c>
      <c r="K407" s="5">
        <f>VALUE(SUBSTITUTE('1000_заявлений'!K401, ".", ","))</f>
        <v>-2007</v>
      </c>
      <c r="L407" s="6">
        <f>VALUE(SUBSTITUTE('1000_заявлений'!L401, ".", ","))</f>
        <v>46665</v>
      </c>
      <c r="M407" s="2" t="str">
        <f>IF(Данные6[[#This Row],[proba]]&gt;$C$6, "отказ", "одобрение")</f>
        <v>отказ</v>
      </c>
      <c r="N407" s="7">
        <f>IF(Данные6[[#This Row],[proba]]&lt;$D$2,$C$2,IF(Данные6[[#This Row],[proba]]&lt;$D$3,$C$3,IF(Данные6[[#This Row],[proba]]&gt;$C$6,0,$C$4)))</f>
        <v>0</v>
      </c>
      <c r="O407" s="2">
        <f>IF(Данные6[[#This Row],[weighted_ext_score]]&gt;$O$1,MIN(Данные6[[#This Row],[Базовая сумма]]*$O$2,$C$2),IF(Данные6[[#This Row],[weighted_ext_score]]&lt;$O$3,Данные6[[#This Row],[Базовая сумма]]*$O$4,N407))</f>
        <v>0</v>
      </c>
      <c r="P4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7" s="2">
        <f>ABS(Данные6[[#This Row],[days_birth]])/365.2425</f>
        <v>39.743458113445179</v>
      </c>
      <c r="S4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7" s="2">
        <f>IF(Данные6[[#This Row],[ interest_rate]]&gt;$T$1,Данные6[[#This Row],[days_birth4]]*$T$2,Данные6[[#This Row],[days_birth4]])</f>
        <v>0</v>
      </c>
      <c r="U407" s="2">
        <f>IF(Данные6[[#This Row],[Проверка отказа]]="отказ",0,MAX(Данные6[[#This Row],[interest_rate]],$C$1))</f>
        <v>0</v>
      </c>
      <c r="V407" s="2">
        <f>MROUND(Данные6[[#This Row],[Минимум 20000]], 100)</f>
        <v>0</v>
      </c>
    </row>
    <row r="408" spans="1:22" x14ac:dyDescent="0.25">
      <c r="A408" s="2">
        <f>'1000_заявлений'!A402</f>
        <v>400</v>
      </c>
      <c r="B408" s="4">
        <f>VALUE(SUBSTITUTE('1000_заявлений'!B402, ".", ","))</f>
        <v>0.57397274525766695</v>
      </c>
      <c r="C408" s="4">
        <f>VALUE(SUBSTITUTE('1000_заявлений'!C402, ".", ","))</f>
        <v>0.30377894038162401</v>
      </c>
      <c r="D408" s="4">
        <f>VALUE(SUBSTITUTE('1000_заявлений'!D402, ".", ","))</f>
        <v>0.41885430000000001</v>
      </c>
      <c r="E408" s="4">
        <f>VALUE(SUBSTITUTE('1000_заявлений'!E402, ".", ","))</f>
        <v>0.46949627999999999</v>
      </c>
      <c r="F408" s="5">
        <f>VALUE(SUBSTITUTE('1000_заявлений'!F402, ".", ","))</f>
        <v>-3715</v>
      </c>
      <c r="G408" s="5">
        <f>VALUE(SUBSTITUTE('1000_заявлений'!G402, ".", ","))</f>
        <v>-13055</v>
      </c>
      <c r="H408" s="5">
        <f>VALUE(SUBSTITUTE('1000_заявлений'!H402, ".", ","))</f>
        <v>-3373</v>
      </c>
      <c r="I408" s="4">
        <f>VALUE(SUBSTITUTE('1000_заявлений'!I402, ".", ","))</f>
        <v>0.21925925925925899</v>
      </c>
      <c r="J408" s="4">
        <f>VALUE(SUBSTITUTE('1000_заявлений'!J402, ".", ","))</f>
        <v>7.9620143797618903</v>
      </c>
      <c r="K408" s="5">
        <f>VALUE(SUBSTITUTE('1000_заявлений'!K402, ".", ","))</f>
        <v>-2574</v>
      </c>
      <c r="L408" s="6">
        <f>VALUE(SUBSTITUTE('1000_заявлений'!L402, ".", ","))</f>
        <v>26640</v>
      </c>
      <c r="M408" s="2" t="str">
        <f>IF(Данные6[[#This Row],[proba]]&gt;$C$6, "отказ", "одобрение")</f>
        <v>отказ</v>
      </c>
      <c r="N408" s="7">
        <f>IF(Данные6[[#This Row],[proba]]&lt;$D$2,$C$2,IF(Данные6[[#This Row],[proba]]&lt;$D$3,$C$3,IF(Данные6[[#This Row],[proba]]&gt;$C$6,0,$C$4)))</f>
        <v>0</v>
      </c>
      <c r="O408" s="2">
        <f>IF(Данные6[[#This Row],[weighted_ext_score]]&gt;$O$1,MIN(Данные6[[#This Row],[Базовая сумма]]*$O$2,$C$2),IF(Данные6[[#This Row],[weighted_ext_score]]&lt;$O$3,Данные6[[#This Row],[Базовая сумма]]*$O$4,N408))</f>
        <v>0</v>
      </c>
      <c r="P4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8" s="2">
        <f>ABS(Данные6[[#This Row],[days_birth]])/365.2425</f>
        <v>35.743375976234965</v>
      </c>
      <c r="S4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8" s="2">
        <f>IF(Данные6[[#This Row],[ interest_rate]]&gt;$T$1,Данные6[[#This Row],[days_birth4]]*$T$2,Данные6[[#This Row],[days_birth4]])</f>
        <v>0</v>
      </c>
      <c r="U408" s="2">
        <f>IF(Данные6[[#This Row],[Проверка отказа]]="отказ",0,MAX(Данные6[[#This Row],[interest_rate]],$C$1))</f>
        <v>0</v>
      </c>
      <c r="V408" s="2">
        <f>MROUND(Данные6[[#This Row],[Минимум 20000]], 100)</f>
        <v>0</v>
      </c>
    </row>
    <row r="409" spans="1:22" x14ac:dyDescent="0.25">
      <c r="A409" s="2">
        <f>'1000_заявлений'!A403</f>
        <v>401</v>
      </c>
      <c r="B409" s="4">
        <f>VALUE(SUBSTITUTE('1000_заявлений'!B403, ".", ","))</f>
        <v>0.33206936950092503</v>
      </c>
      <c r="C409" s="4">
        <f>VALUE(SUBSTITUTE('1000_заявлений'!C403, ".", ","))</f>
        <v>0.528594348837789</v>
      </c>
      <c r="D409" s="4">
        <f>VALUE(SUBSTITUTE('1000_заявлений'!D403, ".", ","))</f>
        <v>0.52449643999999995</v>
      </c>
      <c r="E409" s="4">
        <f>VALUE(SUBSTITUTE('1000_заявлений'!E403, ".", ","))</f>
        <v>0.65867399999999998</v>
      </c>
      <c r="F409" s="5">
        <f>VALUE(SUBSTITUTE('1000_заявлений'!F403, ".", ","))</f>
        <v>-2638</v>
      </c>
      <c r="G409" s="5">
        <f>VALUE(SUBSTITUTE('1000_заявлений'!G403, ".", ","))</f>
        <v>-13868</v>
      </c>
      <c r="H409" s="5">
        <f>VALUE(SUBSTITUTE('1000_заявлений'!H403, ".", ","))</f>
        <v>-5396</v>
      </c>
      <c r="I409" s="4">
        <f>VALUE(SUBSTITUTE('1000_заявлений'!I403, ".", ","))</f>
        <v>0.148733333333333</v>
      </c>
      <c r="J409" s="4">
        <f>VALUE(SUBSTITUTE('1000_заявлений'!J403, ".", ","))</f>
        <v>2.6366193776769098</v>
      </c>
      <c r="K409" s="5">
        <f>VALUE(SUBSTITUTE('1000_заявлений'!K403, ".", ","))</f>
        <v>-3008</v>
      </c>
      <c r="L409" s="6">
        <f>VALUE(SUBSTITUTE('1000_заявлений'!L403, ".", ","))</f>
        <v>10039.5</v>
      </c>
      <c r="M409" s="2" t="str">
        <f>IF(Данные6[[#This Row],[proba]]&gt;$C$6, "отказ", "одобрение")</f>
        <v>отказ</v>
      </c>
      <c r="N409" s="7">
        <f>IF(Данные6[[#This Row],[proba]]&lt;$D$2,$C$2,IF(Данные6[[#This Row],[proba]]&lt;$D$3,$C$3,IF(Данные6[[#This Row],[proba]]&gt;$C$6,0,$C$4)))</f>
        <v>0</v>
      </c>
      <c r="O409" s="2">
        <f>IF(Данные6[[#This Row],[weighted_ext_score]]&gt;$O$1,MIN(Данные6[[#This Row],[Базовая сумма]]*$O$2,$C$2),IF(Данные6[[#This Row],[weighted_ext_score]]&lt;$O$3,Данные6[[#This Row],[Базовая сумма]]*$O$4,N409))</f>
        <v>0</v>
      </c>
      <c r="P4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09" s="2">
        <f>ABS(Данные6[[#This Row],[days_birth]])/365.2425</f>
        <v>37.969294372916622</v>
      </c>
      <c r="S4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09" s="2">
        <f>IF(Данные6[[#This Row],[ interest_rate]]&gt;$T$1,Данные6[[#This Row],[days_birth4]]*$T$2,Данные6[[#This Row],[days_birth4]])</f>
        <v>0</v>
      </c>
      <c r="U409" s="2">
        <f>IF(Данные6[[#This Row],[Проверка отказа]]="отказ",0,MAX(Данные6[[#This Row],[interest_rate]],$C$1))</f>
        <v>0</v>
      </c>
      <c r="V409" s="2">
        <f>MROUND(Данные6[[#This Row],[Минимум 20000]], 100)</f>
        <v>0</v>
      </c>
    </row>
    <row r="410" spans="1:22" x14ac:dyDescent="0.25">
      <c r="A410" s="2">
        <f>'1000_заявлений'!A404</f>
        <v>402</v>
      </c>
      <c r="B410" s="4">
        <f>VALUE(SUBSTITUTE('1000_заявлений'!B404, ".", ","))</f>
        <v>0.27360988431913302</v>
      </c>
      <c r="C410" s="4">
        <f>VALUE(SUBSTITUTE('1000_заявлений'!C404, ".", ","))</f>
        <v>0.54648101397551097</v>
      </c>
      <c r="D410" s="4">
        <f>VALUE(SUBSTITUTE('1000_заявлений'!D404, ".", ","))</f>
        <v>0.79813725000000002</v>
      </c>
      <c r="E410" s="4">
        <f>VALUE(SUBSTITUTE('1000_заявлений'!E404, ".", ","))</f>
        <v>0.41419276999999999</v>
      </c>
      <c r="F410" s="5">
        <f>VALUE(SUBSTITUTE('1000_заявлений'!F404, ".", ","))</f>
        <v>-7620</v>
      </c>
      <c r="G410" s="5">
        <f>VALUE(SUBSTITUTE('1000_заявлений'!G404, ".", ","))</f>
        <v>-13546</v>
      </c>
      <c r="H410" s="5">
        <f>VALUE(SUBSTITUTE('1000_заявлений'!H404, ".", ","))</f>
        <v>-4329</v>
      </c>
      <c r="I410" s="4">
        <f>VALUE(SUBSTITUTE('1000_заявлений'!I404, ".", ","))</f>
        <v>0.20482</v>
      </c>
      <c r="J410" s="4">
        <f>VALUE(SUBSTITUTE('1000_заявлений'!J404, ".", ","))</f>
        <v>2.7691108986026101</v>
      </c>
      <c r="K410" s="5">
        <f>VALUE(SUBSTITUTE('1000_заявлений'!K404, ".", ","))</f>
        <v>-47</v>
      </c>
      <c r="L410" s="6">
        <f>VALUE(SUBSTITUTE('1000_заявлений'!L404, ".", ","))</f>
        <v>46084.5</v>
      </c>
      <c r="M410" s="2" t="str">
        <f>IF(Данные6[[#This Row],[proba]]&gt;$C$6, "отказ", "одобрение")</f>
        <v>одобрение</v>
      </c>
      <c r="N410" s="7">
        <f>IF(Данные6[[#This Row],[proba]]&lt;$D$2,$C$2,IF(Данные6[[#This Row],[proba]]&lt;$D$3,$C$3,IF(Данные6[[#This Row],[proba]]&gt;$C$6,0,$C$4)))</f>
        <v>50000</v>
      </c>
      <c r="O410" s="2">
        <f>IF(Данные6[[#This Row],[weighted_ext_score]]&gt;$O$1,MIN(Данные6[[#This Row],[Базовая сумма]]*$O$2,$C$2),IF(Данные6[[#This Row],[weighted_ext_score]]&lt;$O$3,Данные6[[#This Row],[Базовая сумма]]*$O$4,N410))</f>
        <v>50000</v>
      </c>
      <c r="P4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410" s="2">
        <f>ABS(Данные6[[#This Row],[days_birth]])/365.2425</f>
        <v>37.087688316666323</v>
      </c>
      <c r="S4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50000</v>
      </c>
      <c r="T410" s="2">
        <f>IF(Данные6[[#This Row],[ interest_rate]]&gt;$T$1,Данные6[[#This Row],[days_birth4]]*$T$2,Данные6[[#This Row],[days_birth4]])</f>
        <v>50000</v>
      </c>
      <c r="U410" s="2">
        <f>IF(Данные6[[#This Row],[Проверка отказа]]="отказ",0,MAX(Данные6[[#This Row],[interest_rate]],$C$1))</f>
        <v>50000</v>
      </c>
      <c r="V410" s="2">
        <f>MROUND(Данные6[[#This Row],[Минимум 20000]], 100)</f>
        <v>50000</v>
      </c>
    </row>
    <row r="411" spans="1:22" x14ac:dyDescent="0.25">
      <c r="A411" s="2">
        <f>'1000_заявлений'!A405</f>
        <v>403</v>
      </c>
      <c r="B411" s="4">
        <f>VALUE(SUBSTITUTE('1000_заявлений'!B405, ".", ","))</f>
        <v>0.76655121895891298</v>
      </c>
      <c r="C411" s="4">
        <f>VALUE(SUBSTITUTE('1000_заявлений'!C405, ".", ","))</f>
        <v>0.14079585123749799</v>
      </c>
      <c r="D411" s="4">
        <f>VALUE(SUBSTITUTE('1000_заявлений'!D405, ".", ","))</f>
        <v>0.33928770000000003</v>
      </c>
      <c r="E411" s="4">
        <f>VALUE(SUBSTITUTE('1000_заявлений'!E405, ".", ","))</f>
        <v>5.5759682999999997E-2</v>
      </c>
      <c r="F411" s="5">
        <f>VALUE(SUBSTITUTE('1000_заявлений'!F405, ".", ","))</f>
        <v>-4395</v>
      </c>
      <c r="G411" s="5">
        <f>VALUE(SUBSTITUTE('1000_заявлений'!G405, ".", ","))</f>
        <v>-13782</v>
      </c>
      <c r="H411" s="5">
        <f>VALUE(SUBSTITUTE('1000_заявлений'!H405, ".", ","))</f>
        <v>-4395</v>
      </c>
      <c r="I411" s="4">
        <f>VALUE(SUBSTITUTE('1000_заявлений'!I405, ".", ","))</f>
        <v>0.22853333333333301</v>
      </c>
      <c r="J411" s="4">
        <f>VALUE(SUBSTITUTE('1000_заявлений'!J405, ".", ","))</f>
        <v>18.869943275810499</v>
      </c>
      <c r="K411" s="5">
        <f>VALUE(SUBSTITUTE('1000_заявлений'!K405, ".", ","))</f>
        <v>-455</v>
      </c>
      <c r="L411" s="6">
        <f>VALUE(SUBSTITUTE('1000_заявлений'!L405, ".", ","))</f>
        <v>30852</v>
      </c>
      <c r="M411" s="2" t="str">
        <f>IF(Данные6[[#This Row],[proba]]&gt;$C$6, "отказ", "одобрение")</f>
        <v>отказ</v>
      </c>
      <c r="N411" s="7">
        <f>IF(Данные6[[#This Row],[proba]]&lt;$D$2,$C$2,IF(Данные6[[#This Row],[proba]]&lt;$D$3,$C$3,IF(Данные6[[#This Row],[proba]]&gt;$C$6,0,$C$4)))</f>
        <v>0</v>
      </c>
      <c r="O411" s="2">
        <f>IF(Данные6[[#This Row],[weighted_ext_score]]&gt;$O$1,MIN(Данные6[[#This Row],[Базовая сумма]]*$O$2,$C$2),IF(Данные6[[#This Row],[weighted_ext_score]]&lt;$O$3,Данные6[[#This Row],[Базовая сумма]]*$O$4,N411))</f>
        <v>0</v>
      </c>
      <c r="P4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1" s="2">
        <f>ABS(Данные6[[#This Row],[days_birth]])/365.2425</f>
        <v>37.733834370315613</v>
      </c>
      <c r="S4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1" s="2">
        <f>IF(Данные6[[#This Row],[ interest_rate]]&gt;$T$1,Данные6[[#This Row],[days_birth4]]*$T$2,Данные6[[#This Row],[days_birth4]])</f>
        <v>0</v>
      </c>
      <c r="U411" s="2">
        <f>IF(Данные6[[#This Row],[Проверка отказа]]="отказ",0,MAX(Данные6[[#This Row],[interest_rate]],$C$1))</f>
        <v>0</v>
      </c>
      <c r="V411" s="2">
        <f>MROUND(Данные6[[#This Row],[Минимум 20000]], 100)</f>
        <v>0</v>
      </c>
    </row>
    <row r="412" spans="1:22" x14ac:dyDescent="0.25">
      <c r="A412" s="2">
        <f>'1000_заявлений'!A406</f>
        <v>404</v>
      </c>
      <c r="B412" s="4">
        <f>VALUE(SUBSTITUTE('1000_заявлений'!B406, ".", ","))</f>
        <v>0.87380364037157499</v>
      </c>
      <c r="C412" s="4">
        <f>VALUE(SUBSTITUTE('1000_заявлений'!C406, ".", ","))</f>
        <v>8.56723539316189E-2</v>
      </c>
      <c r="D412" s="4">
        <f>VALUE(SUBSTITUTE('1000_заявлений'!D406, ".", ","))</f>
        <v>0.15474362999999999</v>
      </c>
      <c r="E412" s="4">
        <f>VALUE(SUBSTITUTE('1000_заявлений'!E406, ".", ","))</f>
        <v>2.2719457999999999E-3</v>
      </c>
      <c r="F412" s="5">
        <f>VALUE(SUBSTITUTE('1000_заявлений'!F406, ".", ","))</f>
        <v>-1685</v>
      </c>
      <c r="G412" s="5">
        <f>VALUE(SUBSTITUTE('1000_заявлений'!G406, ".", ","))</f>
        <v>-13120</v>
      </c>
      <c r="H412" s="5">
        <f>VALUE(SUBSTITUTE('1000_заявлений'!H406, ".", ","))</f>
        <v>-4340</v>
      </c>
      <c r="I412" s="4">
        <f>VALUE(SUBSTITUTE('1000_заявлений'!I406, ".", ","))</f>
        <v>0.15207894736842101</v>
      </c>
      <c r="J412" s="4">
        <f>VALUE(SUBSTITUTE('1000_заявлений'!J406, ".", ","))</f>
        <v>11.308194093132901</v>
      </c>
      <c r="K412" s="5">
        <f>VALUE(SUBSTITUTE('1000_заявлений'!K406, ".", ","))</f>
        <v>-1148</v>
      </c>
      <c r="L412" s="6">
        <f>VALUE(SUBSTITUTE('1000_заявлений'!L406, ".", ","))</f>
        <v>26005.5</v>
      </c>
      <c r="M412" s="2" t="str">
        <f>IF(Данные6[[#This Row],[proba]]&gt;$C$6, "отказ", "одобрение")</f>
        <v>отказ</v>
      </c>
      <c r="N412" s="7">
        <f>IF(Данные6[[#This Row],[proba]]&lt;$D$2,$C$2,IF(Данные6[[#This Row],[proba]]&lt;$D$3,$C$3,IF(Данные6[[#This Row],[proba]]&gt;$C$6,0,$C$4)))</f>
        <v>0</v>
      </c>
      <c r="O412" s="2">
        <f>IF(Данные6[[#This Row],[weighted_ext_score]]&gt;$O$1,MIN(Данные6[[#This Row],[Базовая сумма]]*$O$2,$C$2),IF(Данные6[[#This Row],[weighted_ext_score]]&lt;$O$3,Данные6[[#This Row],[Базовая сумма]]*$O$4,N412))</f>
        <v>0</v>
      </c>
      <c r="P4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2" s="2">
        <f>ABS(Данные6[[#This Row],[days_birth]])/365.2425</f>
        <v>35.921339931689218</v>
      </c>
      <c r="S4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2" s="2">
        <f>IF(Данные6[[#This Row],[ interest_rate]]&gt;$T$1,Данные6[[#This Row],[days_birth4]]*$T$2,Данные6[[#This Row],[days_birth4]])</f>
        <v>0</v>
      </c>
      <c r="U412" s="2">
        <f>IF(Данные6[[#This Row],[Проверка отказа]]="отказ",0,MAX(Данные6[[#This Row],[interest_rate]],$C$1))</f>
        <v>0</v>
      </c>
      <c r="V412" s="2">
        <f>MROUND(Данные6[[#This Row],[Минимум 20000]], 100)</f>
        <v>0</v>
      </c>
    </row>
    <row r="413" spans="1:22" x14ac:dyDescent="0.25">
      <c r="A413" s="2">
        <f>'1000_заявлений'!A407</f>
        <v>405</v>
      </c>
      <c r="B413" s="4">
        <f>VALUE(SUBSTITUTE('1000_заявлений'!B407, ".", ","))</f>
        <v>0.48502142674002402</v>
      </c>
      <c r="C413" s="4">
        <f>VALUE(SUBSTITUTE('1000_заявлений'!C407, ".", ","))</f>
        <v>0.36363800181024197</v>
      </c>
      <c r="D413" s="4">
        <f>VALUE(SUBSTITUTE('1000_заявлений'!D407, ".", ","))</f>
        <v>0.64302559999999997</v>
      </c>
      <c r="E413" s="4">
        <f>VALUE(SUBSTITUTE('1000_заявлений'!E407, ".", ","))</f>
        <v>0.40409089999999998</v>
      </c>
      <c r="F413" s="5">
        <f>VALUE(SUBSTITUTE('1000_заявлений'!F407, ".", ","))</f>
        <v>-1792</v>
      </c>
      <c r="G413" s="5">
        <f>VALUE(SUBSTITUTE('1000_заявлений'!G407, ".", ","))</f>
        <v>-10698</v>
      </c>
      <c r="H413" s="5">
        <f>VALUE(SUBSTITUTE('1000_заявлений'!H407, ".", ","))</f>
        <v>-2860</v>
      </c>
      <c r="I413" s="4">
        <f>VALUE(SUBSTITUTE('1000_заявлений'!I407, ".", ","))</f>
        <v>0.16184999999999999</v>
      </c>
      <c r="J413" s="4">
        <f>VALUE(SUBSTITUTE('1000_заявлений'!J407, ".", ","))</f>
        <v>4.2512291398005999</v>
      </c>
      <c r="K413" s="5">
        <f>VALUE(SUBSTITUTE('1000_заявлений'!K407, ".", ","))</f>
        <v>-269</v>
      </c>
      <c r="L413" s="6">
        <f>VALUE(SUBSTITUTE('1000_заявлений'!L407, ".", ","))</f>
        <v>14566.5</v>
      </c>
      <c r="M413" s="2" t="str">
        <f>IF(Данные6[[#This Row],[proba]]&gt;$C$6, "отказ", "одобрение")</f>
        <v>отказ</v>
      </c>
      <c r="N413" s="7">
        <f>IF(Данные6[[#This Row],[proba]]&lt;$D$2,$C$2,IF(Данные6[[#This Row],[proba]]&lt;$D$3,$C$3,IF(Данные6[[#This Row],[proba]]&gt;$C$6,0,$C$4)))</f>
        <v>0</v>
      </c>
      <c r="O413" s="2">
        <f>IF(Данные6[[#This Row],[weighted_ext_score]]&gt;$O$1,MIN(Данные6[[#This Row],[Базовая сумма]]*$O$2,$C$2),IF(Данные6[[#This Row],[weighted_ext_score]]&lt;$O$3,Данные6[[#This Row],[Базовая сумма]]*$O$4,N413))</f>
        <v>0</v>
      </c>
      <c r="P4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3" s="2">
        <f>ABS(Данные6[[#This Row],[days_birth]])/365.2425</f>
        <v>29.290129160763055</v>
      </c>
      <c r="S4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3" s="2">
        <f>IF(Данные6[[#This Row],[ interest_rate]]&gt;$T$1,Данные6[[#This Row],[days_birth4]]*$T$2,Данные6[[#This Row],[days_birth4]])</f>
        <v>0</v>
      </c>
      <c r="U413" s="2">
        <f>IF(Данные6[[#This Row],[Проверка отказа]]="отказ",0,MAX(Данные6[[#This Row],[interest_rate]],$C$1))</f>
        <v>0</v>
      </c>
      <c r="V413" s="2">
        <f>MROUND(Данные6[[#This Row],[Минимум 20000]], 100)</f>
        <v>0</v>
      </c>
    </row>
    <row r="414" spans="1:22" x14ac:dyDescent="0.25">
      <c r="A414" s="2">
        <f>'1000_заявлений'!A408</f>
        <v>406</v>
      </c>
      <c r="B414" s="4">
        <f>VALUE(SUBSTITUTE('1000_заявлений'!B408, ".", ","))</f>
        <v>0.47425260639522598</v>
      </c>
      <c r="C414" s="4">
        <f>VALUE(SUBSTITUTE('1000_заявлений'!C408, ".", ","))</f>
        <v>0.349191573004833</v>
      </c>
      <c r="D414" s="4">
        <f>VALUE(SUBSTITUTE('1000_заявлений'!D408, ".", ","))</f>
        <v>0.36729099999999998</v>
      </c>
      <c r="E414" s="4">
        <f>VALUE(SUBSTITUTE('1000_заявлений'!E408, ".", ","))</f>
        <v>0.66698663999999996</v>
      </c>
      <c r="F414" s="5">
        <f>VALUE(SUBSTITUTE('1000_заявлений'!F408, ".", ","))</f>
        <v>-2941</v>
      </c>
      <c r="G414" s="5">
        <f>VALUE(SUBSTITUTE('1000_заявлений'!G408, ".", ","))</f>
        <v>-15988</v>
      </c>
      <c r="H414" s="5">
        <f>VALUE(SUBSTITUTE('1000_заявлений'!H408, ".", ","))</f>
        <v>-4986</v>
      </c>
      <c r="I414" s="4">
        <f>VALUE(SUBSTITUTE('1000_заявлений'!I408, ".", ","))</f>
        <v>0.111383333333333</v>
      </c>
      <c r="J414" s="4">
        <f>VALUE(SUBSTITUTE('1000_заявлений'!J408, ".", ","))</f>
        <v>0.36785656125719601</v>
      </c>
      <c r="K414" s="5">
        <f>VALUE(SUBSTITUTE('1000_заявлений'!K408, ".", ","))</f>
        <v>-990</v>
      </c>
      <c r="L414" s="6">
        <f>VALUE(SUBSTITUTE('1000_заявлений'!L408, ".", ","))</f>
        <v>30073.5</v>
      </c>
      <c r="M414" s="2" t="str">
        <f>IF(Данные6[[#This Row],[proba]]&gt;$C$6, "отказ", "одобрение")</f>
        <v>отказ</v>
      </c>
      <c r="N414" s="7">
        <f>IF(Данные6[[#This Row],[proba]]&lt;$D$2,$C$2,IF(Данные6[[#This Row],[proba]]&lt;$D$3,$C$3,IF(Данные6[[#This Row],[proba]]&gt;$C$6,0,$C$4)))</f>
        <v>0</v>
      </c>
      <c r="O414" s="2">
        <f>IF(Данные6[[#This Row],[weighted_ext_score]]&gt;$O$1,MIN(Данные6[[#This Row],[Базовая сумма]]*$O$2,$C$2),IF(Данные6[[#This Row],[weighted_ext_score]]&lt;$O$3,Данные6[[#This Row],[Базовая сумма]]*$O$4,N414))</f>
        <v>0</v>
      </c>
      <c r="P4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4" s="2">
        <f>ABS(Данные6[[#This Row],[days_birth]])/365.2425</f>
        <v>43.773657227732258</v>
      </c>
      <c r="S4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4" s="2">
        <f>IF(Данные6[[#This Row],[ interest_rate]]&gt;$T$1,Данные6[[#This Row],[days_birth4]]*$T$2,Данные6[[#This Row],[days_birth4]])</f>
        <v>0</v>
      </c>
      <c r="U414" s="2">
        <f>IF(Данные6[[#This Row],[Проверка отказа]]="отказ",0,MAX(Данные6[[#This Row],[interest_rate]],$C$1))</f>
        <v>0</v>
      </c>
      <c r="V414" s="2">
        <f>MROUND(Данные6[[#This Row],[Минимум 20000]], 100)</f>
        <v>0</v>
      </c>
    </row>
    <row r="415" spans="1:22" x14ac:dyDescent="0.25">
      <c r="A415" s="2">
        <f>'1000_заявлений'!A409</f>
        <v>407</v>
      </c>
      <c r="B415" s="4">
        <f>VALUE(SUBSTITUTE('1000_заявлений'!B409, ".", ","))</f>
        <v>0.20929930334777599</v>
      </c>
      <c r="C415" s="4">
        <f>VALUE(SUBSTITUTE('1000_заявлений'!C409, ".", ","))</f>
        <v>0.46273827610825502</v>
      </c>
      <c r="D415" s="4">
        <f>VALUE(SUBSTITUTE('1000_заявлений'!D409, ".", ","))</f>
        <v>0.66585492999999996</v>
      </c>
      <c r="E415" s="4">
        <f>VALUE(SUBSTITUTE('1000_заявлений'!E409, ".", ","))</f>
        <v>0.6841469</v>
      </c>
      <c r="F415" s="5">
        <f>VALUE(SUBSTITUTE('1000_заявлений'!F409, ".", ","))</f>
        <v>-1499</v>
      </c>
      <c r="G415" s="5">
        <f>VALUE(SUBSTITUTE('1000_заявлений'!G409, ".", ","))</f>
        <v>-12972</v>
      </c>
      <c r="H415" s="5">
        <f>VALUE(SUBSTITUTE('1000_заявлений'!H409, ".", ","))</f>
        <v>-4075</v>
      </c>
      <c r="I415" s="4">
        <f>VALUE(SUBSTITUTE('1000_заявлений'!I409, ".", ","))</f>
        <v>7.8640000000000002E-2</v>
      </c>
      <c r="J415" s="4">
        <f>VALUE(SUBSTITUTE('1000_заявлений'!J409, ".", ","))</f>
        <v>19.691649916928299</v>
      </c>
      <c r="K415" s="5">
        <f>VALUE(SUBSTITUTE('1000_заявлений'!K409, ".", ","))</f>
        <v>-3336</v>
      </c>
      <c r="L415" s="6">
        <f>VALUE(SUBSTITUTE('1000_заявлений'!L409, ".", ","))</f>
        <v>17694</v>
      </c>
      <c r="M415" s="2" t="str">
        <f>IF(Данные6[[#This Row],[proba]]&gt;$C$6, "отказ", "одобрение")</f>
        <v>одобрение</v>
      </c>
      <c r="N415" s="7">
        <f>IF(Данные6[[#This Row],[proba]]&lt;$D$2,$C$2,IF(Данные6[[#This Row],[proba]]&lt;$D$3,$C$3,IF(Данные6[[#This Row],[proba]]&gt;$C$6,0,$C$4)))</f>
        <v>50000</v>
      </c>
      <c r="O415" s="2">
        <f>IF(Данные6[[#This Row],[weighted_ext_score]]&gt;$O$1,MIN(Данные6[[#This Row],[Базовая сумма]]*$O$2,$C$2),IF(Данные6[[#This Row],[weighted_ext_score]]&lt;$O$3,Данные6[[#This Row],[Базовая сумма]]*$O$4,N415))</f>
        <v>40000</v>
      </c>
      <c r="P4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4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415" s="2">
        <f>ABS(Данные6[[#This Row],[days_birth]])/365.2425</f>
        <v>35.516129694654921</v>
      </c>
      <c r="S4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57600</v>
      </c>
      <c r="T415" s="2">
        <f>IF(Данные6[[#This Row],[ interest_rate]]&gt;$T$1,Данные6[[#This Row],[days_birth4]]*$T$2,Данные6[[#This Row],[days_birth4]])</f>
        <v>57600</v>
      </c>
      <c r="U415" s="2">
        <f>IF(Данные6[[#This Row],[Проверка отказа]]="отказ",0,MAX(Данные6[[#This Row],[interest_rate]],$C$1))</f>
        <v>57600</v>
      </c>
      <c r="V415" s="2">
        <f>MROUND(Данные6[[#This Row],[Минимум 20000]], 100)</f>
        <v>57600</v>
      </c>
    </row>
    <row r="416" spans="1:22" x14ac:dyDescent="0.25">
      <c r="A416" s="2">
        <f>'1000_заявлений'!A410</f>
        <v>408</v>
      </c>
      <c r="B416" s="4">
        <f>VALUE(SUBSTITUTE('1000_заявлений'!B410, ".", ","))</f>
        <v>0.339248177514683</v>
      </c>
      <c r="C416" s="4">
        <f>VALUE(SUBSTITUTE('1000_заявлений'!C410, ".", ","))</f>
        <v>0.37185852589802298</v>
      </c>
      <c r="D416" s="4">
        <f>VALUE(SUBSTITUTE('1000_заявлений'!D410, ".", ","))</f>
        <v>0.65289649999999999</v>
      </c>
      <c r="E416" s="4">
        <f>VALUE(SUBSTITUTE('1000_заявлений'!E410, ".", ","))</f>
        <v>0.41842780000000002</v>
      </c>
      <c r="F416" s="5">
        <f>VALUE(SUBSTITUTE('1000_заявлений'!F410, ".", ","))</f>
        <v>-2</v>
      </c>
      <c r="G416" s="5">
        <f>VALUE(SUBSTITUTE('1000_заявлений'!G410, ".", ","))</f>
        <v>-21470</v>
      </c>
      <c r="H416" s="5">
        <f>VALUE(SUBSTITUTE('1000_заявлений'!H410, ".", ","))</f>
        <v>-4556</v>
      </c>
      <c r="I416" s="4">
        <f>VALUE(SUBSTITUTE('1000_заявлений'!I410, ".", ","))</f>
        <v>9.7466666666666604E-2</v>
      </c>
      <c r="J416" s="4">
        <f>VALUE(SUBSTITUTE('1000_заявлений'!J410, ".", ","))</f>
        <v>1.55972200073934</v>
      </c>
      <c r="K416" s="5">
        <f>VALUE(SUBSTITUTE('1000_заявлений'!K410, ".", ","))</f>
        <v>365243</v>
      </c>
      <c r="L416" s="6">
        <f>VALUE(SUBSTITUTE('1000_заявлений'!L410, ".", ","))</f>
        <v>19737</v>
      </c>
      <c r="M416" s="2" t="str">
        <f>IF(Данные6[[#This Row],[proba]]&gt;$C$6, "отказ", "одобрение")</f>
        <v>отказ</v>
      </c>
      <c r="N416" s="7">
        <f>IF(Данные6[[#This Row],[proba]]&lt;$D$2,$C$2,IF(Данные6[[#This Row],[proba]]&lt;$D$3,$C$3,IF(Данные6[[#This Row],[proba]]&gt;$C$6,0,$C$4)))</f>
        <v>0</v>
      </c>
      <c r="O416" s="2">
        <f>IF(Данные6[[#This Row],[weighted_ext_score]]&gt;$O$1,MIN(Данные6[[#This Row],[Базовая сумма]]*$O$2,$C$2),IF(Данные6[[#This Row],[weighted_ext_score]]&lt;$O$3,Данные6[[#This Row],[Базовая сумма]]*$O$4,N416))</f>
        <v>0</v>
      </c>
      <c r="P4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6" s="2">
        <f>ABS(Данные6[[#This Row],[days_birth]])/365.2425</f>
        <v>58.782863440043258</v>
      </c>
      <c r="S4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6" s="2">
        <f>IF(Данные6[[#This Row],[ interest_rate]]&gt;$T$1,Данные6[[#This Row],[days_birth4]]*$T$2,Данные6[[#This Row],[days_birth4]])</f>
        <v>0</v>
      </c>
      <c r="U416" s="2">
        <f>IF(Данные6[[#This Row],[Проверка отказа]]="отказ",0,MAX(Данные6[[#This Row],[interest_rate]],$C$1))</f>
        <v>0</v>
      </c>
      <c r="V416" s="2">
        <f>MROUND(Данные6[[#This Row],[Минимум 20000]], 100)</f>
        <v>0</v>
      </c>
    </row>
    <row r="417" spans="1:22" x14ac:dyDescent="0.25">
      <c r="A417" s="2">
        <f>'1000_заявлений'!A411</f>
        <v>409</v>
      </c>
      <c r="B417" s="4">
        <f>VALUE(SUBSTITUTE('1000_заявлений'!B411, ".", ","))</f>
        <v>0.488405711427776</v>
      </c>
      <c r="C417" s="4">
        <f>VALUE(SUBSTITUTE('1000_заявлений'!C411, ".", ","))</f>
        <v>0.35637007028749501</v>
      </c>
      <c r="D417" s="4">
        <f>VALUE(SUBSTITUTE('1000_заявлений'!D411, ".", ","))</f>
        <v>0.3457848</v>
      </c>
      <c r="E417" s="4">
        <f>VALUE(SUBSTITUTE('1000_заявлений'!E411, ".", ","))</f>
        <v>0.71309520000000004</v>
      </c>
      <c r="F417" s="5">
        <f>VALUE(SUBSTITUTE('1000_заявлений'!F411, ".", ","))</f>
        <v>-2682</v>
      </c>
      <c r="G417" s="5">
        <f>VALUE(SUBSTITUTE('1000_заявлений'!G411, ".", ","))</f>
        <v>-17655</v>
      </c>
      <c r="H417" s="5">
        <f>VALUE(SUBSTITUTE('1000_заявлений'!H411, ".", ","))</f>
        <v>-1203</v>
      </c>
      <c r="I417" s="4">
        <f>VALUE(SUBSTITUTE('1000_заявлений'!I411, ".", ","))</f>
        <v>0.1462</v>
      </c>
      <c r="J417" s="4">
        <f>VALUE(SUBSTITUTE('1000_заявлений'!J411, ".", ","))</f>
        <v>1.55972200073934</v>
      </c>
      <c r="K417" s="5">
        <f>VALUE(SUBSTITUTE('1000_заявлений'!K411, ".", ","))</f>
        <v>-3129</v>
      </c>
      <c r="L417" s="6">
        <f>VALUE(SUBSTITUTE('1000_заявлений'!L411, ".", ","))</f>
        <v>32895</v>
      </c>
      <c r="M417" s="2" t="str">
        <f>IF(Данные6[[#This Row],[proba]]&gt;$C$6, "отказ", "одобрение")</f>
        <v>отказ</v>
      </c>
      <c r="N417" s="7">
        <f>IF(Данные6[[#This Row],[proba]]&lt;$D$2,$C$2,IF(Данные6[[#This Row],[proba]]&lt;$D$3,$C$3,IF(Данные6[[#This Row],[proba]]&gt;$C$6,0,$C$4)))</f>
        <v>0</v>
      </c>
      <c r="O417" s="2">
        <f>IF(Данные6[[#This Row],[weighted_ext_score]]&gt;$O$1,MIN(Данные6[[#This Row],[Базовая сумма]]*$O$2,$C$2),IF(Данные6[[#This Row],[weighted_ext_score]]&lt;$O$3,Данные6[[#This Row],[Базовая сумма]]*$O$4,N417))</f>
        <v>0</v>
      </c>
      <c r="P4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7" s="2">
        <f>ABS(Данные6[[#This Row],[days_birth]])/365.2425</f>
        <v>48.337748208382102</v>
      </c>
      <c r="S4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7" s="2">
        <f>IF(Данные6[[#This Row],[ interest_rate]]&gt;$T$1,Данные6[[#This Row],[days_birth4]]*$T$2,Данные6[[#This Row],[days_birth4]])</f>
        <v>0</v>
      </c>
      <c r="U417" s="2">
        <f>IF(Данные6[[#This Row],[Проверка отказа]]="отказ",0,MAX(Данные6[[#This Row],[interest_rate]],$C$1))</f>
        <v>0</v>
      </c>
      <c r="V417" s="2">
        <f>MROUND(Данные6[[#This Row],[Минимум 20000]], 100)</f>
        <v>0</v>
      </c>
    </row>
    <row r="418" spans="1:22" x14ac:dyDescent="0.25">
      <c r="A418" s="2">
        <f>'1000_заявлений'!A412</f>
        <v>410</v>
      </c>
      <c r="B418" s="4">
        <f>VALUE(SUBSTITUTE('1000_заявлений'!B412, ".", ","))</f>
        <v>0.11908739197417099</v>
      </c>
      <c r="C418" s="4">
        <f>VALUE(SUBSTITUTE('1000_заявлений'!C412, ".", ","))</f>
        <v>0.73962752726491399</v>
      </c>
      <c r="D418" s="4">
        <f>VALUE(SUBSTITUTE('1000_заявлений'!D412, ".", ","))</f>
        <v>0.73662269999999996</v>
      </c>
      <c r="E418" s="4">
        <f>VALUE(SUBSTITUTE('1000_заявлений'!E412, ".", ","))</f>
        <v>0.73475086999999994</v>
      </c>
      <c r="F418" s="5">
        <f>VALUE(SUBSTITUTE('1000_заявлений'!F412, ".", ","))</f>
        <v>-1360</v>
      </c>
      <c r="G418" s="5">
        <f>VALUE(SUBSTITUTE('1000_заявлений'!G412, ".", ","))</f>
        <v>-21524</v>
      </c>
      <c r="H418" s="5">
        <f>VALUE(SUBSTITUTE('1000_заявлений'!H412, ".", ","))</f>
        <v>-4950</v>
      </c>
      <c r="I418" s="4">
        <f>VALUE(SUBSTITUTE('1000_заявлений'!I412, ".", ","))</f>
        <v>0.22245000000000001</v>
      </c>
      <c r="J418" s="4">
        <f>VALUE(SUBSTITUTE('1000_заявлений'!J412, ".", ","))</f>
        <v>1.31650923911827</v>
      </c>
      <c r="K418" s="5">
        <f>VALUE(SUBSTITUTE('1000_заявлений'!K412, ".", ","))</f>
        <v>365243</v>
      </c>
      <c r="L418" s="6">
        <f>VALUE(SUBSTITUTE('1000_заявлений'!L412, ".", ","))</f>
        <v>20020.5</v>
      </c>
      <c r="M418" s="2" t="str">
        <f>IF(Данные6[[#This Row],[proba]]&gt;$C$6, "отказ", "одобрение")</f>
        <v>одобрение</v>
      </c>
      <c r="N418" s="7">
        <f>IF(Данные6[[#This Row],[proba]]&lt;$D$2,$C$2,IF(Данные6[[#This Row],[proba]]&lt;$D$3,$C$3,IF(Данные6[[#This Row],[proba]]&gt;$C$6,0,$C$4)))</f>
        <v>200000</v>
      </c>
      <c r="O418" s="2">
        <f>IF(Данные6[[#This Row],[weighted_ext_score]]&gt;$O$1,MIN(Данные6[[#This Row],[Базовая сумма]]*$O$2,$C$2),IF(Данные6[[#This Row],[weighted_ext_score]]&lt;$O$3,Данные6[[#This Row],[Базовая сумма]]*$O$4,N418))</f>
        <v>300000</v>
      </c>
      <c r="P4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4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418" s="2">
        <f>ABS(Данные6[[#This Row],[days_birth]])/365.2425</f>
        <v>58.930710418420638</v>
      </c>
      <c r="S4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418" s="2">
        <f>IF(Данные6[[#This Row],[ interest_rate]]&gt;$T$1,Данные6[[#This Row],[days_birth4]]*$T$2,Данные6[[#This Row],[days_birth4]])</f>
        <v>300000</v>
      </c>
      <c r="U418" s="2">
        <f>IF(Данные6[[#This Row],[Проверка отказа]]="отказ",0,MAX(Данные6[[#This Row],[interest_rate]],$C$1))</f>
        <v>300000</v>
      </c>
      <c r="V418" s="2">
        <f>MROUND(Данные6[[#This Row],[Минимум 20000]], 100)</f>
        <v>300000</v>
      </c>
    </row>
    <row r="419" spans="1:22" x14ac:dyDescent="0.25">
      <c r="A419" s="2">
        <f>'1000_заявлений'!A413</f>
        <v>411</v>
      </c>
      <c r="B419" s="4">
        <f>VALUE(SUBSTITUTE('1000_заявлений'!B413, ".", ","))</f>
        <v>0.54775233570139303</v>
      </c>
      <c r="C419" s="4">
        <f>VALUE(SUBSTITUTE('1000_заявлений'!C413, ".", ","))</f>
        <v>0.32628251596061397</v>
      </c>
      <c r="D419" s="4">
        <f>VALUE(SUBSTITUTE('1000_заявлений'!D413, ".", ","))</f>
        <v>0.37402079999999999</v>
      </c>
      <c r="E419" s="4">
        <f>VALUE(SUBSTITUTE('1000_заявлений'!E413, ".", ","))</f>
        <v>0.5888584</v>
      </c>
      <c r="F419" s="5">
        <f>VALUE(SUBSTITUTE('1000_заявлений'!F413, ".", ","))</f>
        <v>-6014</v>
      </c>
      <c r="G419" s="5">
        <f>VALUE(SUBSTITUTE('1000_заявлений'!G413, ".", ","))</f>
        <v>-13315</v>
      </c>
      <c r="H419" s="5">
        <f>VALUE(SUBSTITUTE('1000_заявлений'!H413, ".", ","))</f>
        <v>-4174</v>
      </c>
      <c r="I419" s="4">
        <f>VALUE(SUBSTITUTE('1000_заявлений'!I413, ".", ","))</f>
        <v>0.149555555555555</v>
      </c>
      <c r="J419" s="4">
        <f>VALUE(SUBSTITUTE('1000_заявлений'!J413, ".", ","))</f>
        <v>1.4303680980906499</v>
      </c>
      <c r="K419" s="5">
        <f>VALUE(SUBSTITUTE('1000_заявлений'!K413, ".", ","))</f>
        <v>-5204</v>
      </c>
      <c r="L419" s="6">
        <f>VALUE(SUBSTITUTE('1000_заявлений'!L413, ".", ","))</f>
        <v>18171</v>
      </c>
      <c r="M419" s="2" t="str">
        <f>IF(Данные6[[#This Row],[proba]]&gt;$C$6, "отказ", "одобрение")</f>
        <v>отказ</v>
      </c>
      <c r="N419" s="7">
        <f>IF(Данные6[[#This Row],[proba]]&lt;$D$2,$C$2,IF(Данные6[[#This Row],[proba]]&lt;$D$3,$C$3,IF(Данные6[[#This Row],[proba]]&gt;$C$6,0,$C$4)))</f>
        <v>0</v>
      </c>
      <c r="O419" s="2">
        <f>IF(Данные6[[#This Row],[weighted_ext_score]]&gt;$O$1,MIN(Данные6[[#This Row],[Базовая сумма]]*$O$2,$C$2),IF(Данные6[[#This Row],[weighted_ext_score]]&lt;$O$3,Данные6[[#This Row],[Базовая сумма]]*$O$4,N419))</f>
        <v>0</v>
      </c>
      <c r="P4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19" s="2">
        <f>ABS(Данные6[[#This Row],[days_birth]])/365.2425</f>
        <v>36.455231798051976</v>
      </c>
      <c r="S4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19" s="2">
        <f>IF(Данные6[[#This Row],[ interest_rate]]&gt;$T$1,Данные6[[#This Row],[days_birth4]]*$T$2,Данные6[[#This Row],[days_birth4]])</f>
        <v>0</v>
      </c>
      <c r="U419" s="2">
        <f>IF(Данные6[[#This Row],[Проверка отказа]]="отказ",0,MAX(Данные6[[#This Row],[interest_rate]],$C$1))</f>
        <v>0</v>
      </c>
      <c r="V419" s="2">
        <f>MROUND(Данные6[[#This Row],[Минимум 20000]], 100)</f>
        <v>0</v>
      </c>
    </row>
    <row r="420" spans="1:22" x14ac:dyDescent="0.25">
      <c r="A420" s="2">
        <f>'1000_заявлений'!A414</f>
        <v>412</v>
      </c>
      <c r="B420" s="4">
        <f>VALUE(SUBSTITUTE('1000_заявлений'!B414, ".", ","))</f>
        <v>0.15548080436638601</v>
      </c>
      <c r="C420" s="4">
        <f>VALUE(SUBSTITUTE('1000_заявлений'!C414, ".", ","))</f>
        <v>0.74114861876579297</v>
      </c>
      <c r="D420" s="4">
        <f>VALUE(SUBSTITUTE('1000_заявлений'!D414, ".", ","))</f>
        <v>0.71067440000000004</v>
      </c>
      <c r="E420" s="4">
        <f>VALUE(SUBSTITUTE('1000_заявлений'!E414, ".", ","))</f>
        <v>0.72039354</v>
      </c>
      <c r="F420" s="5">
        <f>VALUE(SUBSTITUTE('1000_заявлений'!F414, ".", ","))</f>
        <v>-6922</v>
      </c>
      <c r="G420" s="5">
        <f>VALUE(SUBSTITUTE('1000_заявлений'!G414, ".", ","))</f>
        <v>-12841</v>
      </c>
      <c r="H420" s="5">
        <f>VALUE(SUBSTITUTE('1000_заявлений'!H414, ".", ","))</f>
        <v>-4489</v>
      </c>
      <c r="I420" s="4">
        <f>VALUE(SUBSTITUTE('1000_заявлений'!I414, ".", ","))</f>
        <v>0.13600000000000001</v>
      </c>
      <c r="J420" s="4">
        <f>VALUE(SUBSTITUTE('1000_заявлений'!J414, ".", ","))</f>
        <v>2.3491507247920702</v>
      </c>
      <c r="K420" s="5">
        <f>VALUE(SUBSTITUTE('1000_заявлений'!K414, ".", ","))</f>
        <v>-642</v>
      </c>
      <c r="L420" s="6">
        <f>VALUE(SUBSTITUTE('1000_заявлений'!L414, ".", ","))</f>
        <v>30600</v>
      </c>
      <c r="M420" s="2" t="str">
        <f>IF(Данные6[[#This Row],[proba]]&gt;$C$6, "отказ", "одобрение")</f>
        <v>одобрение</v>
      </c>
      <c r="N420" s="7">
        <f>IF(Данные6[[#This Row],[proba]]&lt;$D$2,$C$2,IF(Данные6[[#This Row],[proba]]&lt;$D$3,$C$3,IF(Данные6[[#This Row],[proba]]&gt;$C$6,0,$C$4)))</f>
        <v>200000</v>
      </c>
      <c r="O420" s="2">
        <f>IF(Данные6[[#This Row],[weighted_ext_score]]&gt;$O$1,MIN(Данные6[[#This Row],[Базовая сумма]]*$O$2,$C$2),IF(Данные6[[#This Row],[weighted_ext_score]]&lt;$O$3,Данные6[[#This Row],[Базовая сумма]]*$O$4,N420))</f>
        <v>300000</v>
      </c>
      <c r="P4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4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210000</v>
      </c>
      <c r="R420" s="2">
        <f>ABS(Данные6[[#This Row],[days_birth]])/365.2425</f>
        <v>35.157463876739428</v>
      </c>
      <c r="S4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420" s="2">
        <f>IF(Данные6[[#This Row],[ interest_rate]]&gt;$T$1,Данные6[[#This Row],[days_birth4]]*$T$2,Данные6[[#This Row],[days_birth4]])</f>
        <v>210000</v>
      </c>
      <c r="U420" s="2">
        <f>IF(Данные6[[#This Row],[Проверка отказа]]="отказ",0,MAX(Данные6[[#This Row],[interest_rate]],$C$1))</f>
        <v>210000</v>
      </c>
      <c r="V420" s="2">
        <f>MROUND(Данные6[[#This Row],[Минимум 20000]], 100)</f>
        <v>210000</v>
      </c>
    </row>
    <row r="421" spans="1:22" x14ac:dyDescent="0.25">
      <c r="A421" s="2">
        <f>'1000_заявлений'!A415</f>
        <v>413</v>
      </c>
      <c r="B421" s="4">
        <f>VALUE(SUBSTITUTE('1000_заявлений'!B415, ".", ","))</f>
        <v>0.42777057819715503</v>
      </c>
      <c r="C421" s="4">
        <f>VALUE(SUBSTITUTE('1000_заявлений'!C415, ".", ","))</f>
        <v>0.605303337283151</v>
      </c>
      <c r="D421" s="4">
        <f>VALUE(SUBSTITUTE('1000_заявлений'!D415, ".", ","))</f>
        <v>0.3944954</v>
      </c>
      <c r="E421" s="4">
        <f>VALUE(SUBSTITUTE('1000_заявлений'!E415, ".", ","))</f>
        <v>0.61052454</v>
      </c>
      <c r="F421" s="5">
        <f>VALUE(SUBSTITUTE('1000_заявлений'!F415, ".", ","))</f>
        <v>-2113</v>
      </c>
      <c r="G421" s="5">
        <f>VALUE(SUBSTITUTE('1000_заявлений'!G415, ".", ","))</f>
        <v>-18606</v>
      </c>
      <c r="H421" s="5">
        <f>VALUE(SUBSTITUTE('1000_заявлений'!H415, ".", ","))</f>
        <v>-2146</v>
      </c>
      <c r="I421" s="4">
        <f>VALUE(SUBSTITUTE('1000_заявлений'!I415, ".", ","))</f>
        <v>0.37495000000000001</v>
      </c>
      <c r="J421" s="4">
        <f>VALUE(SUBSTITUTE('1000_заявлений'!J415, ".", ","))</f>
        <v>2.3454601274720499</v>
      </c>
      <c r="K421" s="5">
        <f>VALUE(SUBSTITUTE('1000_заявлений'!K415, ".", ","))</f>
        <v>-5204</v>
      </c>
      <c r="L421" s="6">
        <f>VALUE(SUBSTITUTE('1000_заявлений'!L415, ".", ","))</f>
        <v>33745.5</v>
      </c>
      <c r="M421" s="2" t="str">
        <f>IF(Данные6[[#This Row],[proba]]&gt;$C$6, "отказ", "одобрение")</f>
        <v>отказ</v>
      </c>
      <c r="N421" s="7">
        <f>IF(Данные6[[#This Row],[proba]]&lt;$D$2,$C$2,IF(Данные6[[#This Row],[proba]]&lt;$D$3,$C$3,IF(Данные6[[#This Row],[proba]]&gt;$C$6,0,$C$4)))</f>
        <v>0</v>
      </c>
      <c r="O421" s="2">
        <f>IF(Данные6[[#This Row],[weighted_ext_score]]&gt;$O$1,MIN(Данные6[[#This Row],[Базовая сумма]]*$O$2,$C$2),IF(Данные6[[#This Row],[weighted_ext_score]]&lt;$O$3,Данные6[[#This Row],[Базовая сумма]]*$O$4,N421))</f>
        <v>0</v>
      </c>
      <c r="P4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1" s="2">
        <f>ABS(Данные6[[#This Row],[days_birth]])/365.2425</f>
        <v>50.941497772028171</v>
      </c>
      <c r="S4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1" s="2">
        <f>IF(Данные6[[#This Row],[ interest_rate]]&gt;$T$1,Данные6[[#This Row],[days_birth4]]*$T$2,Данные6[[#This Row],[days_birth4]])</f>
        <v>0</v>
      </c>
      <c r="U421" s="2">
        <f>IF(Данные6[[#This Row],[Проверка отказа]]="отказ",0,MAX(Данные6[[#This Row],[interest_rate]],$C$1))</f>
        <v>0</v>
      </c>
      <c r="V421" s="2">
        <f>MROUND(Данные6[[#This Row],[Минимум 20000]], 100)</f>
        <v>0</v>
      </c>
    </row>
    <row r="422" spans="1:22" x14ac:dyDescent="0.25">
      <c r="A422" s="2">
        <f>'1000_заявлений'!A416</f>
        <v>414</v>
      </c>
      <c r="B422" s="4">
        <f>VALUE(SUBSTITUTE('1000_заявлений'!B416, ".", ","))</f>
        <v>0.19066201055569101</v>
      </c>
      <c r="C422" s="4">
        <f>VALUE(SUBSTITUTE('1000_заявлений'!C416, ".", ","))</f>
        <v>0.44416652126484701</v>
      </c>
      <c r="D422" s="4">
        <f>VALUE(SUBSTITUTE('1000_заявлений'!D416, ".", ","))</f>
        <v>0.63804349999999999</v>
      </c>
      <c r="E422" s="4">
        <f>VALUE(SUBSTITUTE('1000_заявлений'!E416, ".", ","))</f>
        <v>0.65790176</v>
      </c>
      <c r="F422" s="5">
        <f>VALUE(SUBSTITUTE('1000_заявлений'!F416, ".", ","))</f>
        <v>-9773</v>
      </c>
      <c r="G422" s="5">
        <f>VALUE(SUBSTITUTE('1000_заявлений'!G416, ".", ","))</f>
        <v>-22002</v>
      </c>
      <c r="H422" s="5">
        <f>VALUE(SUBSTITUTE('1000_заявлений'!H416, ".", ","))</f>
        <v>-3809</v>
      </c>
      <c r="I422" s="4">
        <f>VALUE(SUBSTITUTE('1000_заявлений'!I416, ".", ","))</f>
        <v>7.4999999999999997E-2</v>
      </c>
      <c r="J422" s="4">
        <f>VALUE(SUBSTITUTE('1000_заявлений'!J416, ".", ","))</f>
        <v>10.6209759779781</v>
      </c>
      <c r="K422" s="5">
        <f>VALUE(SUBSTITUTE('1000_заявлений'!K416, ".", ","))</f>
        <v>365243</v>
      </c>
      <c r="L422" s="6">
        <f>VALUE(SUBSTITUTE('1000_заявлений'!L416, ".", ","))</f>
        <v>10125</v>
      </c>
      <c r="M422" s="2" t="str">
        <f>IF(Данные6[[#This Row],[proba]]&gt;$C$6, "отказ", "одобрение")</f>
        <v>одобрение</v>
      </c>
      <c r="N422" s="7">
        <f>IF(Данные6[[#This Row],[proba]]&lt;$D$2,$C$2,IF(Данные6[[#This Row],[proba]]&lt;$D$3,$C$3,IF(Данные6[[#This Row],[proba]]&gt;$C$6,0,$C$4)))</f>
        <v>200000</v>
      </c>
      <c r="O422" s="2">
        <f>IF(Данные6[[#This Row],[weighted_ext_score]]&gt;$O$1,MIN(Данные6[[#This Row],[Базовая сумма]]*$O$2,$C$2),IF(Данные6[[#This Row],[weighted_ext_score]]&lt;$O$3,Данные6[[#This Row],[Базовая сумма]]*$O$4,N422))</f>
        <v>160000</v>
      </c>
      <c r="P4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192000</v>
      </c>
      <c r="Q4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192000</v>
      </c>
      <c r="R422" s="2">
        <f>ABS(Данные6[[#This Row],[days_birth]])/365.2425</f>
        <v>60.239429967761147</v>
      </c>
      <c r="S4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201600</v>
      </c>
      <c r="T422" s="2">
        <f>IF(Данные6[[#This Row],[ interest_rate]]&gt;$T$1,Данные6[[#This Row],[days_birth4]]*$T$2,Данные6[[#This Row],[days_birth4]])</f>
        <v>201600</v>
      </c>
      <c r="U422" s="2">
        <f>IF(Данные6[[#This Row],[Проверка отказа]]="отказ",0,MAX(Данные6[[#This Row],[interest_rate]],$C$1))</f>
        <v>201600</v>
      </c>
      <c r="V422" s="2">
        <f>MROUND(Данные6[[#This Row],[Минимум 20000]], 100)</f>
        <v>201600</v>
      </c>
    </row>
    <row r="423" spans="1:22" x14ac:dyDescent="0.25">
      <c r="A423" s="2">
        <f>'1000_заявлений'!A417</f>
        <v>415</v>
      </c>
      <c r="B423" s="4">
        <f>VALUE(SUBSTITUTE('1000_заявлений'!B417, ".", ","))</f>
        <v>0.86132938688594896</v>
      </c>
      <c r="C423" s="4">
        <f>VALUE(SUBSTITUTE('1000_заявлений'!C417, ".", ","))</f>
        <v>8.4260049180518104E-2</v>
      </c>
      <c r="D423" s="4">
        <f>VALUE(SUBSTITUTE('1000_заявлений'!D417, ".", ","))</f>
        <v>0.10211879</v>
      </c>
      <c r="E423" s="4">
        <f>VALUE(SUBSTITUTE('1000_заявлений'!E417, ".", ","))</f>
        <v>0.14590186999999999</v>
      </c>
      <c r="F423" s="5">
        <f>VALUE(SUBSTITUTE('1000_заявлений'!F417, ".", ","))</f>
        <v>-10694</v>
      </c>
      <c r="G423" s="5">
        <f>VALUE(SUBSTITUTE('1000_заявлений'!G417, ".", ","))</f>
        <v>-19864</v>
      </c>
      <c r="H423" s="5">
        <f>VALUE(SUBSTITUTE('1000_заявлений'!H417, ".", ","))</f>
        <v>-3406</v>
      </c>
      <c r="I423" s="4">
        <f>VALUE(SUBSTITUTE('1000_заявлений'!I417, ".", ","))</f>
        <v>0.133066666666666</v>
      </c>
      <c r="J423" s="4">
        <f>VALUE(SUBSTITUTE('1000_заявлений'!J417, ".", ","))</f>
        <v>2.7786277482288102</v>
      </c>
      <c r="K423" s="5">
        <f>VALUE(SUBSTITUTE('1000_заявлений'!K417, ".", ","))</f>
        <v>-1349</v>
      </c>
      <c r="L423" s="6">
        <f>VALUE(SUBSTITUTE('1000_заявлений'!L417, ".", ","))</f>
        <v>8982</v>
      </c>
      <c r="M423" s="2" t="str">
        <f>IF(Данные6[[#This Row],[proba]]&gt;$C$6, "отказ", "одобрение")</f>
        <v>отказ</v>
      </c>
      <c r="N423" s="7">
        <f>IF(Данные6[[#This Row],[proba]]&lt;$D$2,$C$2,IF(Данные6[[#This Row],[proba]]&lt;$D$3,$C$3,IF(Данные6[[#This Row],[proba]]&gt;$C$6,0,$C$4)))</f>
        <v>0</v>
      </c>
      <c r="O423" s="2">
        <f>IF(Данные6[[#This Row],[weighted_ext_score]]&gt;$O$1,MIN(Данные6[[#This Row],[Базовая сумма]]*$O$2,$C$2),IF(Данные6[[#This Row],[weighted_ext_score]]&lt;$O$3,Данные6[[#This Row],[Базовая сумма]]*$O$4,N423))</f>
        <v>0</v>
      </c>
      <c r="P4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3" s="2">
        <f>ABS(Данные6[[#This Row],[days_birth]])/365.2425</f>
        <v>54.385784786819713</v>
      </c>
      <c r="S4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3" s="2">
        <f>IF(Данные6[[#This Row],[ interest_rate]]&gt;$T$1,Данные6[[#This Row],[days_birth4]]*$T$2,Данные6[[#This Row],[days_birth4]])</f>
        <v>0</v>
      </c>
      <c r="U423" s="2">
        <f>IF(Данные6[[#This Row],[Проверка отказа]]="отказ",0,MAX(Данные6[[#This Row],[interest_rate]],$C$1))</f>
        <v>0</v>
      </c>
      <c r="V423" s="2">
        <f>MROUND(Данные6[[#This Row],[Минимум 20000]], 100)</f>
        <v>0</v>
      </c>
    </row>
    <row r="424" spans="1:22" x14ac:dyDescent="0.25">
      <c r="A424" s="2">
        <f>'1000_заявлений'!A418</f>
        <v>416</v>
      </c>
      <c r="B424" s="4">
        <f>VALUE(SUBSTITUTE('1000_заявлений'!B418, ".", ","))</f>
        <v>0.279895879209969</v>
      </c>
      <c r="C424" s="4">
        <f>VALUE(SUBSTITUTE('1000_заявлений'!C418, ".", ","))</f>
        <v>0.47162554651292898</v>
      </c>
      <c r="D424" s="4">
        <f>VALUE(SUBSTITUTE('1000_заявлений'!D418, ".", ","))</f>
        <v>0.68326885000000004</v>
      </c>
      <c r="E424" s="4">
        <f>VALUE(SUBSTITUTE('1000_заявлений'!E418, ".", ","))</f>
        <v>0.69212914000000003</v>
      </c>
      <c r="F424" s="5">
        <f>VALUE(SUBSTITUTE('1000_заявлений'!F418, ".", ","))</f>
        <v>-3479</v>
      </c>
      <c r="G424" s="5">
        <f>VALUE(SUBSTITUTE('1000_заявлений'!G418, ".", ","))</f>
        <v>-19268</v>
      </c>
      <c r="H424" s="5">
        <f>VALUE(SUBSTITUTE('1000_заявлений'!H418, ".", ","))</f>
        <v>-2761</v>
      </c>
      <c r="I424" s="4">
        <f>VALUE(SUBSTITUTE('1000_заявлений'!I418, ".", ","))</f>
        <v>0.25573333333333298</v>
      </c>
      <c r="J424" s="4">
        <f>VALUE(SUBSTITUTE('1000_заявлений'!J418, ".", ","))</f>
        <v>0.38223084452879602</v>
      </c>
      <c r="K424" s="5">
        <f>VALUE(SUBSTITUTE('1000_заявлений'!K418, ".", ","))</f>
        <v>-1413</v>
      </c>
      <c r="L424" s="6">
        <f>VALUE(SUBSTITUTE('1000_заявлений'!L418, ".", ","))</f>
        <v>34524</v>
      </c>
      <c r="M424" s="2" t="str">
        <f>IF(Данные6[[#This Row],[proba]]&gt;$C$6, "отказ", "одобрение")</f>
        <v>одобрение</v>
      </c>
      <c r="N424" s="7">
        <f>IF(Данные6[[#This Row],[proba]]&lt;$D$2,$C$2,IF(Данные6[[#This Row],[proba]]&lt;$D$3,$C$3,IF(Данные6[[#This Row],[proba]]&gt;$C$6,0,$C$4)))</f>
        <v>50000</v>
      </c>
      <c r="O424" s="2">
        <f>IF(Данные6[[#This Row],[weighted_ext_score]]&gt;$O$1,MIN(Данные6[[#This Row],[Базовая сумма]]*$O$2,$C$2),IF(Данные6[[#This Row],[weighted_ext_score]]&lt;$O$3,Данные6[[#This Row],[Базовая сумма]]*$O$4,N424))</f>
        <v>40000</v>
      </c>
      <c r="P4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424" s="2">
        <f>ABS(Данные6[[#This Row],[days_birth]])/365.2425</f>
        <v>52.753992210654566</v>
      </c>
      <c r="S4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424" s="2">
        <f>IF(Данные6[[#This Row],[ interest_rate]]&gt;$T$1,Данные6[[#This Row],[days_birth4]]*$T$2,Данные6[[#This Row],[days_birth4]])</f>
        <v>29400</v>
      </c>
      <c r="U424" s="2">
        <f>IF(Данные6[[#This Row],[Проверка отказа]]="отказ",0,MAX(Данные6[[#This Row],[interest_rate]],$C$1))</f>
        <v>29400</v>
      </c>
      <c r="V424" s="2">
        <f>MROUND(Данные6[[#This Row],[Минимум 20000]], 100)</f>
        <v>29400</v>
      </c>
    </row>
    <row r="425" spans="1:22" x14ac:dyDescent="0.25">
      <c r="A425" s="2">
        <f>'1000_заявлений'!A419</f>
        <v>417</v>
      </c>
      <c r="B425" s="4">
        <f>VALUE(SUBSTITUTE('1000_заявлений'!B419, ".", ","))</f>
        <v>0.34615100614666999</v>
      </c>
      <c r="C425" s="4">
        <f>VALUE(SUBSTITUTE('1000_заявлений'!C419, ".", ","))</f>
        <v>0.23276463926723701</v>
      </c>
      <c r="D425" s="4">
        <f>VALUE(SUBSTITUTE('1000_заявлений'!D419, ".", ","))</f>
        <v>0.53527623000000002</v>
      </c>
      <c r="E425" s="4">
        <f>VALUE(SUBSTITUTE('1000_заявлений'!E419, ".", ","))</f>
        <v>0.71757470000000001</v>
      </c>
      <c r="F425" s="5">
        <f>VALUE(SUBSTITUTE('1000_заявлений'!F419, ".", ","))</f>
        <v>-12259</v>
      </c>
      <c r="G425" s="5">
        <f>VALUE(SUBSTITUTE('1000_заявлений'!G419, ".", ","))</f>
        <v>-22296</v>
      </c>
      <c r="H425" s="5">
        <f>VALUE(SUBSTITUTE('1000_заявлений'!H419, ".", ","))</f>
        <v>-4825</v>
      </c>
      <c r="I425" s="4">
        <f>VALUE(SUBSTITUTE('1000_заявлений'!I419, ".", ","))</f>
        <v>0.23976666666666599</v>
      </c>
      <c r="J425" s="4">
        <f>VALUE(SUBSTITUTE('1000_заявлений'!J419, ".", ","))</f>
        <v>1.5593427177521499</v>
      </c>
      <c r="K425" s="5">
        <f>VALUE(SUBSTITUTE('1000_заявлений'!K419, ".", ","))</f>
        <v>365243</v>
      </c>
      <c r="L425" s="6">
        <f>VALUE(SUBSTITUTE('1000_заявлений'!L419, ".", ","))</f>
        <v>32368.5</v>
      </c>
      <c r="M425" s="2" t="str">
        <f>IF(Данные6[[#This Row],[proba]]&gt;$C$6, "отказ", "одобрение")</f>
        <v>отказ</v>
      </c>
      <c r="N425" s="7">
        <f>IF(Данные6[[#This Row],[proba]]&lt;$D$2,$C$2,IF(Данные6[[#This Row],[proba]]&lt;$D$3,$C$3,IF(Данные6[[#This Row],[proba]]&gt;$C$6,0,$C$4)))</f>
        <v>0</v>
      </c>
      <c r="O425" s="2">
        <f>IF(Данные6[[#This Row],[weighted_ext_score]]&gt;$O$1,MIN(Данные6[[#This Row],[Базовая сумма]]*$O$2,$C$2),IF(Данные6[[#This Row],[weighted_ext_score]]&lt;$O$3,Данные6[[#This Row],[Базовая сумма]]*$O$4,N425))</f>
        <v>0</v>
      </c>
      <c r="P4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5" s="2">
        <f>ABS(Данные6[[#This Row],[days_birth]])/365.2425</f>
        <v>61.044374627815763</v>
      </c>
      <c r="S4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5" s="2">
        <f>IF(Данные6[[#This Row],[ interest_rate]]&gt;$T$1,Данные6[[#This Row],[days_birth4]]*$T$2,Данные6[[#This Row],[days_birth4]])</f>
        <v>0</v>
      </c>
      <c r="U425" s="2">
        <f>IF(Данные6[[#This Row],[Проверка отказа]]="отказ",0,MAX(Данные6[[#This Row],[interest_rate]],$C$1))</f>
        <v>0</v>
      </c>
      <c r="V425" s="2">
        <f>MROUND(Данные6[[#This Row],[Минимум 20000]], 100)</f>
        <v>0</v>
      </c>
    </row>
    <row r="426" spans="1:22" x14ac:dyDescent="0.25">
      <c r="A426" s="2">
        <f>'1000_заявлений'!A420</f>
        <v>418</v>
      </c>
      <c r="B426" s="4">
        <f>VALUE(SUBSTITUTE('1000_заявлений'!B420, ".", ","))</f>
        <v>0.216674963447088</v>
      </c>
      <c r="C426" s="4">
        <f>VALUE(SUBSTITUTE('1000_заявлений'!C420, ".", ","))</f>
        <v>0.60914990763761501</v>
      </c>
      <c r="D426" s="4">
        <f>VALUE(SUBSTITUTE('1000_заявлений'!D420, ".", ","))</f>
        <v>0.45253357</v>
      </c>
      <c r="E426" s="4">
        <f>VALUE(SUBSTITUTE('1000_заявлений'!E420, ".", ","))</f>
        <v>0.66744789999999998</v>
      </c>
      <c r="F426" s="5">
        <f>VALUE(SUBSTITUTE('1000_заявлений'!F420, ".", ","))</f>
        <v>-3631</v>
      </c>
      <c r="G426" s="5">
        <f>VALUE(SUBSTITUTE('1000_заявлений'!G420, ".", ","))</f>
        <v>-20263</v>
      </c>
      <c r="H426" s="5">
        <f>VALUE(SUBSTITUTE('1000_заявлений'!H420, ".", ","))</f>
        <v>-3772</v>
      </c>
      <c r="I426" s="4">
        <f>VALUE(SUBSTITUTE('1000_заявлений'!I420, ".", ","))</f>
        <v>0.1</v>
      </c>
      <c r="J426" s="4">
        <f>VALUE(SUBSTITUTE('1000_заявлений'!J420, ".", ","))</f>
        <v>10.6209759779781</v>
      </c>
      <c r="K426" s="5">
        <f>VALUE(SUBSTITUTE('1000_заявлений'!K420, ".", ","))</f>
        <v>365243</v>
      </c>
      <c r="L426" s="6">
        <f>VALUE(SUBSTITUTE('1000_заявлений'!L420, ".", ","))</f>
        <v>18000</v>
      </c>
      <c r="M426" s="2" t="str">
        <f>IF(Данные6[[#This Row],[proba]]&gt;$C$6, "отказ", "одобрение")</f>
        <v>одобрение</v>
      </c>
      <c r="N426" s="7">
        <f>IF(Данные6[[#This Row],[proba]]&lt;$D$2,$C$2,IF(Данные6[[#This Row],[proba]]&lt;$D$3,$C$3,IF(Данные6[[#This Row],[proba]]&gt;$C$6,0,$C$4)))</f>
        <v>50000</v>
      </c>
      <c r="O426" s="2">
        <f>IF(Данные6[[#This Row],[weighted_ext_score]]&gt;$O$1,MIN(Данные6[[#This Row],[Базовая сумма]]*$O$2,$C$2),IF(Данные6[[#This Row],[weighted_ext_score]]&lt;$O$3,Данные6[[#This Row],[Базовая сумма]]*$O$4,N426))</f>
        <v>50000</v>
      </c>
      <c r="P4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426" s="2">
        <f>ABS(Данные6[[#This Row],[days_birth]])/365.2425</f>
        <v>55.478209682608131</v>
      </c>
      <c r="S4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426" s="2">
        <f>IF(Данные6[[#This Row],[ interest_rate]]&gt;$T$1,Данные6[[#This Row],[days_birth4]]*$T$2,Данные6[[#This Row],[days_birth4]])</f>
        <v>52500</v>
      </c>
      <c r="U426" s="2">
        <f>IF(Данные6[[#This Row],[Проверка отказа]]="отказ",0,MAX(Данные6[[#This Row],[interest_rate]],$C$1))</f>
        <v>52500</v>
      </c>
      <c r="V426" s="2">
        <f>MROUND(Данные6[[#This Row],[Минимум 20000]], 100)</f>
        <v>52500</v>
      </c>
    </row>
    <row r="427" spans="1:22" x14ac:dyDescent="0.25">
      <c r="A427" s="2">
        <f>'1000_заявлений'!A421</f>
        <v>419</v>
      </c>
      <c r="B427" s="4">
        <f>VALUE(SUBSTITUTE('1000_заявлений'!B421, ".", ","))</f>
        <v>0.72796689705116702</v>
      </c>
      <c r="C427" s="4">
        <f>VALUE(SUBSTITUTE('1000_заявлений'!C421, ".", ","))</f>
        <v>7.7583251204136998E-3</v>
      </c>
      <c r="D427" s="4">
        <f>VALUE(SUBSTITUTE('1000_заявлений'!D421, ".", ","))</f>
        <v>0.53527623000000002</v>
      </c>
      <c r="E427" s="4">
        <f>VALUE(SUBSTITUTE('1000_заявлений'!E421, ".", ","))</f>
        <v>2.3917627E-2</v>
      </c>
      <c r="F427" s="5">
        <f>VALUE(SUBSTITUTE('1000_заявлений'!F421, ".", ","))</f>
        <v>-9301</v>
      </c>
      <c r="G427" s="5">
        <f>VALUE(SUBSTITUTE('1000_заявлений'!G421, ".", ","))</f>
        <v>-21494</v>
      </c>
      <c r="H427" s="5">
        <f>VALUE(SUBSTITUTE('1000_заявлений'!H421, ".", ","))</f>
        <v>-4527</v>
      </c>
      <c r="I427" s="4">
        <f>VALUE(SUBSTITUTE('1000_заявлений'!I421, ".", ","))</f>
        <v>0.23544000000000001</v>
      </c>
      <c r="J427" s="4">
        <f>VALUE(SUBSTITUTE('1000_заявлений'!J421, ".", ","))</f>
        <v>4.5686877659159597</v>
      </c>
      <c r="K427" s="5">
        <f>VALUE(SUBSTITUTE('1000_заявлений'!K421, ".", ","))</f>
        <v>365243</v>
      </c>
      <c r="L427" s="6">
        <f>VALUE(SUBSTITUTE('1000_заявлений'!L421, ".", ","))</f>
        <v>26487</v>
      </c>
      <c r="M427" s="2" t="str">
        <f>IF(Данные6[[#This Row],[proba]]&gt;$C$6, "отказ", "одобрение")</f>
        <v>отказ</v>
      </c>
      <c r="N427" s="7">
        <f>IF(Данные6[[#This Row],[proba]]&lt;$D$2,$C$2,IF(Данные6[[#This Row],[proba]]&lt;$D$3,$C$3,IF(Данные6[[#This Row],[proba]]&gt;$C$6,0,$C$4)))</f>
        <v>0</v>
      </c>
      <c r="O427" s="2">
        <f>IF(Данные6[[#This Row],[weighted_ext_score]]&gt;$O$1,MIN(Данные6[[#This Row],[Базовая сумма]]*$O$2,$C$2),IF(Данные6[[#This Row],[weighted_ext_score]]&lt;$O$3,Данные6[[#This Row],[Базовая сумма]]*$O$4,N427))</f>
        <v>0</v>
      </c>
      <c r="P4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7" s="2">
        <f>ABS(Данные6[[#This Row],[days_birth]])/365.2425</f>
        <v>58.848573208210979</v>
      </c>
      <c r="S4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7" s="2">
        <f>IF(Данные6[[#This Row],[ interest_rate]]&gt;$T$1,Данные6[[#This Row],[days_birth4]]*$T$2,Данные6[[#This Row],[days_birth4]])</f>
        <v>0</v>
      </c>
      <c r="U427" s="2">
        <f>IF(Данные6[[#This Row],[Проверка отказа]]="отказ",0,MAX(Данные6[[#This Row],[interest_rate]],$C$1))</f>
        <v>0</v>
      </c>
      <c r="V427" s="2">
        <f>MROUND(Данные6[[#This Row],[Минимум 20000]], 100)</f>
        <v>0</v>
      </c>
    </row>
    <row r="428" spans="1:22" x14ac:dyDescent="0.25">
      <c r="A428" s="2">
        <f>'1000_заявлений'!A422</f>
        <v>420</v>
      </c>
      <c r="B428" s="4">
        <f>VALUE(SUBSTITUTE('1000_заявлений'!B422, ".", ","))</f>
        <v>0.72163730076513199</v>
      </c>
      <c r="C428" s="4">
        <f>VALUE(SUBSTITUTE('1000_заявлений'!C422, ".", ","))</f>
        <v>0.16241782921669601</v>
      </c>
      <c r="D428" s="4">
        <f>VALUE(SUBSTITUTE('1000_заявлений'!D422, ".", ","))</f>
        <v>0.42061095999999998</v>
      </c>
      <c r="E428" s="4">
        <f>VALUE(SUBSTITUTE('1000_заявлений'!E422, ".", ","))</f>
        <v>3.1744870000000001E-2</v>
      </c>
      <c r="F428" s="5">
        <f>VALUE(SUBSTITUTE('1000_заявлений'!F422, ".", ","))</f>
        <v>-2562</v>
      </c>
      <c r="G428" s="5">
        <f>VALUE(SUBSTITUTE('1000_заявлений'!G422, ".", ","))</f>
        <v>-21721</v>
      </c>
      <c r="H428" s="5">
        <f>VALUE(SUBSTITUTE('1000_заявлений'!H422, ".", ","))</f>
        <v>-3902</v>
      </c>
      <c r="I428" s="4">
        <f>VALUE(SUBSTITUTE('1000_заявлений'!I422, ".", ","))</f>
        <v>0.25456000000000001</v>
      </c>
      <c r="J428" s="4">
        <f>VALUE(SUBSTITUTE('1000_заявлений'!J422, ".", ","))</f>
        <v>6.6731852884032303</v>
      </c>
      <c r="K428" s="5">
        <f>VALUE(SUBSTITUTE('1000_заявлений'!K422, ".", ","))</f>
        <v>365243</v>
      </c>
      <c r="L428" s="6">
        <f>VALUE(SUBSTITUTE('1000_заявлений'!L422, ".", ","))</f>
        <v>28638</v>
      </c>
      <c r="M428" s="2" t="str">
        <f>IF(Данные6[[#This Row],[proba]]&gt;$C$6, "отказ", "одобрение")</f>
        <v>отказ</v>
      </c>
      <c r="N428" s="7">
        <f>IF(Данные6[[#This Row],[proba]]&lt;$D$2,$C$2,IF(Данные6[[#This Row],[proba]]&lt;$D$3,$C$3,IF(Данные6[[#This Row],[proba]]&gt;$C$6,0,$C$4)))</f>
        <v>0</v>
      </c>
      <c r="O428" s="2">
        <f>IF(Данные6[[#This Row],[weighted_ext_score]]&gt;$O$1,MIN(Данные6[[#This Row],[Базовая сумма]]*$O$2,$C$2),IF(Данные6[[#This Row],[weighted_ext_score]]&lt;$O$3,Данные6[[#This Row],[Базовая сумма]]*$O$4,N428))</f>
        <v>0</v>
      </c>
      <c r="P4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8" s="2">
        <f>ABS(Данные6[[#This Row],[days_birth]])/365.2425</f>
        <v>59.470078098797373</v>
      </c>
      <c r="S4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8" s="2">
        <f>IF(Данные6[[#This Row],[ interest_rate]]&gt;$T$1,Данные6[[#This Row],[days_birth4]]*$T$2,Данные6[[#This Row],[days_birth4]])</f>
        <v>0</v>
      </c>
      <c r="U428" s="2">
        <f>IF(Данные6[[#This Row],[Проверка отказа]]="отказ",0,MAX(Данные6[[#This Row],[interest_rate]],$C$1))</f>
        <v>0</v>
      </c>
      <c r="V428" s="2">
        <f>MROUND(Данные6[[#This Row],[Минимум 20000]], 100)</f>
        <v>0</v>
      </c>
    </row>
    <row r="429" spans="1:22" x14ac:dyDescent="0.25">
      <c r="A429" s="2">
        <f>'1000_заявлений'!A423</f>
        <v>421</v>
      </c>
      <c r="B429" s="4">
        <f>VALUE(SUBSTITUTE('1000_заявлений'!B423, ".", ","))</f>
        <v>0.64054081999149803</v>
      </c>
      <c r="C429" s="4">
        <f>VALUE(SUBSTITUTE('1000_заявлений'!C423, ".", ","))</f>
        <v>0.25851301322827303</v>
      </c>
      <c r="D429" s="4">
        <f>VALUE(SUBSTITUTE('1000_заявлений'!D423, ".", ","))</f>
        <v>0.34905525999999998</v>
      </c>
      <c r="E429" s="4">
        <f>VALUE(SUBSTITUTE('1000_заявлений'!E423, ".", ","))</f>
        <v>0.40777173999999999</v>
      </c>
      <c r="F429" s="5">
        <f>VALUE(SUBSTITUTE('1000_заявлений'!F423, ".", ","))</f>
        <v>-3703</v>
      </c>
      <c r="G429" s="5">
        <f>VALUE(SUBSTITUTE('1000_заявлений'!G423, ".", ","))</f>
        <v>-15170</v>
      </c>
      <c r="H429" s="5">
        <f>VALUE(SUBSTITUTE('1000_заявлений'!H423, ".", ","))</f>
        <v>-4760</v>
      </c>
      <c r="I429" s="4">
        <f>VALUE(SUBSTITUTE('1000_заявлений'!I423, ".", ","))</f>
        <v>0.154377777777777</v>
      </c>
      <c r="J429" s="4">
        <f>VALUE(SUBSTITUTE('1000_заявлений'!J423, ".", ","))</f>
        <v>2.5401224748646301</v>
      </c>
      <c r="K429" s="5">
        <f>VALUE(SUBSTITUTE('1000_заявлений'!K423, ".", ","))</f>
        <v>-5585</v>
      </c>
      <c r="L429" s="6">
        <f>VALUE(SUBSTITUTE('1000_заявлений'!L423, ".", ","))</f>
        <v>31261.5</v>
      </c>
      <c r="M429" s="2" t="str">
        <f>IF(Данные6[[#This Row],[proba]]&gt;$C$6, "отказ", "одобрение")</f>
        <v>отказ</v>
      </c>
      <c r="N429" s="7">
        <f>IF(Данные6[[#This Row],[proba]]&lt;$D$2,$C$2,IF(Данные6[[#This Row],[proba]]&lt;$D$3,$C$3,IF(Данные6[[#This Row],[proba]]&gt;$C$6,0,$C$4)))</f>
        <v>0</v>
      </c>
      <c r="O429" s="2">
        <f>IF(Данные6[[#This Row],[weighted_ext_score]]&gt;$O$1,MIN(Данные6[[#This Row],[Базовая сумма]]*$O$2,$C$2),IF(Данные6[[#This Row],[weighted_ext_score]]&lt;$O$3,Данные6[[#This Row],[Базовая сумма]]*$O$4,N429))</f>
        <v>0</v>
      </c>
      <c r="P4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29" s="2">
        <f>ABS(Данные6[[#This Row],[days_birth]])/365.2425</f>
        <v>41.53404929601566</v>
      </c>
      <c r="S4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29" s="2">
        <f>IF(Данные6[[#This Row],[ interest_rate]]&gt;$T$1,Данные6[[#This Row],[days_birth4]]*$T$2,Данные6[[#This Row],[days_birth4]])</f>
        <v>0</v>
      </c>
      <c r="U429" s="2">
        <f>IF(Данные6[[#This Row],[Проверка отказа]]="отказ",0,MAX(Данные6[[#This Row],[interest_rate]],$C$1))</f>
        <v>0</v>
      </c>
      <c r="V429" s="2">
        <f>MROUND(Данные6[[#This Row],[Минимум 20000]], 100)</f>
        <v>0</v>
      </c>
    </row>
    <row r="430" spans="1:22" x14ac:dyDescent="0.25">
      <c r="A430" s="2">
        <f>'1000_заявлений'!A424</f>
        <v>422</v>
      </c>
      <c r="B430" s="4">
        <f>VALUE(SUBSTITUTE('1000_заявлений'!B424, ".", ","))</f>
        <v>0.20549963020560399</v>
      </c>
      <c r="C430" s="4">
        <f>VALUE(SUBSTITUTE('1000_заявлений'!C424, ".", ","))</f>
        <v>0.47765178884547899</v>
      </c>
      <c r="D430" s="4">
        <f>VALUE(SUBSTITUTE('1000_заявлений'!D424, ".", ","))</f>
        <v>0.61782616000000001</v>
      </c>
      <c r="E430" s="4">
        <f>VALUE(SUBSTITUTE('1000_заявлений'!E424, ".", ","))</f>
        <v>0.7836727</v>
      </c>
      <c r="F430" s="5">
        <f>VALUE(SUBSTITUTE('1000_заявлений'!F424, ".", ","))</f>
        <v>-940</v>
      </c>
      <c r="G430" s="5">
        <f>VALUE(SUBSTITUTE('1000_заявлений'!G424, ".", ","))</f>
        <v>-17752</v>
      </c>
      <c r="H430" s="5">
        <f>VALUE(SUBSTITUTE('1000_заявлений'!H424, ".", ","))</f>
        <v>-1304</v>
      </c>
      <c r="I430" s="4">
        <f>VALUE(SUBSTITUTE('1000_заявлений'!I424, ".", ","))</f>
        <v>7.89333333333333E-2</v>
      </c>
      <c r="J430" s="4">
        <f>VALUE(SUBSTITUTE('1000_заявлений'!J424, ".", ","))</f>
        <v>17.609599418605001</v>
      </c>
      <c r="K430" s="5">
        <f>VALUE(SUBSTITUTE('1000_заявлений'!K424, ".", ","))</f>
        <v>-1041</v>
      </c>
      <c r="L430" s="6">
        <f>VALUE(SUBSTITUTE('1000_заявлений'!L424, ".", ","))</f>
        <v>5328</v>
      </c>
      <c r="M430" s="2" t="str">
        <f>IF(Данные6[[#This Row],[proba]]&gt;$C$6, "отказ", "одобрение")</f>
        <v>одобрение</v>
      </c>
      <c r="N430" s="7">
        <f>IF(Данные6[[#This Row],[proba]]&lt;$D$2,$C$2,IF(Данные6[[#This Row],[proba]]&lt;$D$3,$C$3,IF(Данные6[[#This Row],[proba]]&gt;$C$6,0,$C$4)))</f>
        <v>50000</v>
      </c>
      <c r="O430" s="2">
        <f>IF(Данные6[[#This Row],[weighted_ext_score]]&gt;$O$1,MIN(Данные6[[#This Row],[Базовая сумма]]*$O$2,$C$2),IF(Данные6[[#This Row],[weighted_ext_score]]&lt;$O$3,Данные6[[#This Row],[Базовая сумма]]*$O$4,N430))</f>
        <v>40000</v>
      </c>
      <c r="P4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4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33600</v>
      </c>
      <c r="R430" s="2">
        <f>ABS(Данные6[[#This Row],[days_birth]])/365.2425</f>
        <v>48.603325188059983</v>
      </c>
      <c r="S4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33600</v>
      </c>
      <c r="T430" s="2">
        <f>IF(Данные6[[#This Row],[ interest_rate]]&gt;$T$1,Данные6[[#This Row],[days_birth4]]*$T$2,Данные6[[#This Row],[days_birth4]])</f>
        <v>33600</v>
      </c>
      <c r="U430" s="2">
        <f>IF(Данные6[[#This Row],[Проверка отказа]]="отказ",0,MAX(Данные6[[#This Row],[interest_rate]],$C$1))</f>
        <v>33600</v>
      </c>
      <c r="V430" s="2">
        <f>MROUND(Данные6[[#This Row],[Минимум 20000]], 100)</f>
        <v>33600</v>
      </c>
    </row>
    <row r="431" spans="1:22" x14ac:dyDescent="0.25">
      <c r="A431" s="2">
        <f>'1000_заявлений'!A425</f>
        <v>423</v>
      </c>
      <c r="B431" s="4">
        <f>VALUE(SUBSTITUTE('1000_заявлений'!B425, ".", ","))</f>
        <v>0.23238851777839101</v>
      </c>
      <c r="C431" s="4">
        <f>VALUE(SUBSTITUTE('1000_заявлений'!C425, ".", ","))</f>
        <v>0.48645120653651602</v>
      </c>
      <c r="D431" s="4">
        <f>VALUE(SUBSTITUTE('1000_заявлений'!D425, ".", ","))</f>
        <v>0.64302559999999997</v>
      </c>
      <c r="E431" s="4">
        <f>VALUE(SUBSTITUTE('1000_заявлений'!E425, ".", ","))</f>
        <v>0.78270360000000005</v>
      </c>
      <c r="F431" s="5">
        <f>VALUE(SUBSTITUTE('1000_заявлений'!F425, ".", ","))</f>
        <v>-1673</v>
      </c>
      <c r="G431" s="5">
        <f>VALUE(SUBSTITUTE('1000_заявлений'!G425, ".", ","))</f>
        <v>-19414</v>
      </c>
      <c r="H431" s="5">
        <f>VALUE(SUBSTITUTE('1000_заявлений'!H425, ".", ","))</f>
        <v>-2934</v>
      </c>
      <c r="I431" s="4">
        <f>VALUE(SUBSTITUTE('1000_заявлений'!I425, ".", ","))</f>
        <v>0.167511111111111</v>
      </c>
      <c r="J431" s="4">
        <f>VALUE(SUBSTITUTE('1000_заявлений'!J425, ".", ","))</f>
        <v>3.12567199796205</v>
      </c>
      <c r="K431" s="5">
        <f>VALUE(SUBSTITUTE('1000_заявлений'!K425, ".", ","))</f>
        <v>-1025</v>
      </c>
      <c r="L431" s="6">
        <f>VALUE(SUBSTITUTE('1000_заявлений'!L425, ".", ","))</f>
        <v>33921</v>
      </c>
      <c r="M431" s="2" t="str">
        <f>IF(Данные6[[#This Row],[proba]]&gt;$C$6, "отказ", "одобрение")</f>
        <v>одобрение</v>
      </c>
      <c r="N431" s="7">
        <f>IF(Данные6[[#This Row],[proba]]&lt;$D$2,$C$2,IF(Данные6[[#This Row],[proba]]&lt;$D$3,$C$3,IF(Данные6[[#This Row],[proba]]&gt;$C$6,0,$C$4)))</f>
        <v>50000</v>
      </c>
      <c r="O431" s="2">
        <f>IF(Данные6[[#This Row],[weighted_ext_score]]&gt;$O$1,MIN(Данные6[[#This Row],[Базовая сумма]]*$O$2,$C$2),IF(Данные6[[#This Row],[weighted_ext_score]]&lt;$O$3,Данные6[[#This Row],[Базовая сумма]]*$O$4,N431))</f>
        <v>40000</v>
      </c>
      <c r="P4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431" s="2">
        <f>ABS(Данные6[[#This Row],[days_birth]])/365.2425</f>
        <v>53.153726633674886</v>
      </c>
      <c r="S4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431" s="2">
        <f>IF(Данные6[[#This Row],[ interest_rate]]&gt;$T$1,Данные6[[#This Row],[days_birth4]]*$T$2,Данные6[[#This Row],[days_birth4]])</f>
        <v>29400</v>
      </c>
      <c r="U431" s="2">
        <f>IF(Данные6[[#This Row],[Проверка отказа]]="отказ",0,MAX(Данные6[[#This Row],[interest_rate]],$C$1))</f>
        <v>29400</v>
      </c>
      <c r="V431" s="2">
        <f>MROUND(Данные6[[#This Row],[Минимум 20000]], 100)</f>
        <v>29400</v>
      </c>
    </row>
    <row r="432" spans="1:22" x14ac:dyDescent="0.25">
      <c r="A432" s="2">
        <f>'1000_заявлений'!A426</f>
        <v>424</v>
      </c>
      <c r="B432" s="4">
        <f>VALUE(SUBSTITUTE('1000_заявлений'!B426, ".", ","))</f>
        <v>0.28452247460462898</v>
      </c>
      <c r="C432" s="4">
        <f>VALUE(SUBSTITUTE('1000_заявлений'!C426, ".", ","))</f>
        <v>0.59270074876589396</v>
      </c>
      <c r="D432" s="4">
        <f>VALUE(SUBSTITUTE('1000_заявлений'!D426, ".", ","))</f>
        <v>0.44539624</v>
      </c>
      <c r="E432" s="4">
        <f>VALUE(SUBSTITUTE('1000_заявлений'!E426, ".", ","))</f>
        <v>0.58810114999999996</v>
      </c>
      <c r="F432" s="5">
        <f>VALUE(SUBSTITUTE('1000_заявлений'!F426, ".", ","))</f>
        <v>-959</v>
      </c>
      <c r="G432" s="5">
        <f>VALUE(SUBSTITUTE('1000_заявлений'!G426, ".", ","))</f>
        <v>-23640</v>
      </c>
      <c r="H432" s="5">
        <f>VALUE(SUBSTITUTE('1000_заявлений'!H426, ".", ","))</f>
        <v>-5051</v>
      </c>
      <c r="I432" s="4">
        <f>VALUE(SUBSTITUTE('1000_заявлений'!I426, ".", ","))</f>
        <v>0.23</v>
      </c>
      <c r="J432" s="4">
        <f>VALUE(SUBSTITUTE('1000_заявлений'!J426, ".", ","))</f>
        <v>2.4910226696938298</v>
      </c>
      <c r="K432" s="5">
        <f>VALUE(SUBSTITUTE('1000_заявлений'!K426, ".", ","))</f>
        <v>365243</v>
      </c>
      <c r="L432" s="6">
        <f>VALUE(SUBSTITUTE('1000_заявлений'!L426, ".", ","))</f>
        <v>31050</v>
      </c>
      <c r="M432" s="2" t="str">
        <f>IF(Данные6[[#This Row],[proba]]&gt;$C$6, "отказ", "одобрение")</f>
        <v>одобрение</v>
      </c>
      <c r="N432" s="7">
        <f>IF(Данные6[[#This Row],[proba]]&lt;$D$2,$C$2,IF(Данные6[[#This Row],[proba]]&lt;$D$3,$C$3,IF(Данные6[[#This Row],[proba]]&gt;$C$6,0,$C$4)))</f>
        <v>50000</v>
      </c>
      <c r="O432" s="2">
        <f>IF(Данные6[[#This Row],[weighted_ext_score]]&gt;$O$1,MIN(Данные6[[#This Row],[Базовая сумма]]*$O$2,$C$2),IF(Данные6[[#This Row],[weighted_ext_score]]&lt;$O$3,Данные6[[#This Row],[Базовая сумма]]*$O$4,N432))</f>
        <v>50000</v>
      </c>
      <c r="P4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432" s="2">
        <f>ABS(Данные6[[#This Row],[days_birth]])/365.2425</f>
        <v>64.724121645208314</v>
      </c>
      <c r="S4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432" s="2">
        <f>IF(Данные6[[#This Row],[ interest_rate]]&gt;$T$1,Данные6[[#This Row],[days_birth4]]*$T$2,Данные6[[#This Row],[days_birth4]])</f>
        <v>52500</v>
      </c>
      <c r="U432" s="2">
        <f>IF(Данные6[[#This Row],[Проверка отказа]]="отказ",0,MAX(Данные6[[#This Row],[interest_rate]],$C$1))</f>
        <v>52500</v>
      </c>
      <c r="V432" s="2">
        <f>MROUND(Данные6[[#This Row],[Минимум 20000]], 100)</f>
        <v>52500</v>
      </c>
    </row>
    <row r="433" spans="1:22" x14ac:dyDescent="0.25">
      <c r="A433" s="2">
        <f>'1000_заявлений'!A427</f>
        <v>425</v>
      </c>
      <c r="B433" s="4">
        <f>VALUE(SUBSTITUTE('1000_заявлений'!B427, ".", ","))</f>
        <v>0.27512334836524099</v>
      </c>
      <c r="C433" s="4">
        <f>VALUE(SUBSTITUTE('1000_заявлений'!C427, ".", ","))</f>
        <v>0.44302920934876999</v>
      </c>
      <c r="D433" s="4">
        <f>VALUE(SUBSTITUTE('1000_заявлений'!D427, ".", ","))</f>
        <v>0.55494679999999996</v>
      </c>
      <c r="E433" s="4">
        <f>VALUE(SUBSTITUTE('1000_заявлений'!E427, ".", ","))</f>
        <v>0.74704470000000001</v>
      </c>
      <c r="F433" s="5">
        <f>VALUE(SUBSTITUTE('1000_заявлений'!F427, ".", ","))</f>
        <v>-1182</v>
      </c>
      <c r="G433" s="5">
        <f>VALUE(SUBSTITUTE('1000_заявлений'!G427, ".", ","))</f>
        <v>-22208</v>
      </c>
      <c r="H433" s="5">
        <f>VALUE(SUBSTITUTE('1000_заявлений'!H427, ".", ","))</f>
        <v>-4558</v>
      </c>
      <c r="I433" s="4">
        <f>VALUE(SUBSTITUTE('1000_заявлений'!I427, ".", ","))</f>
        <v>0.26574999999999999</v>
      </c>
      <c r="J433" s="4">
        <f>VALUE(SUBSTITUTE('1000_заявлений'!J427, ".", ","))</f>
        <v>1.796983118694</v>
      </c>
      <c r="K433" s="5">
        <f>VALUE(SUBSTITUTE('1000_заявлений'!K427, ".", ","))</f>
        <v>365243</v>
      </c>
      <c r="L433" s="6">
        <f>VALUE(SUBSTITUTE('1000_заявлений'!L427, ".", ","))</f>
        <v>14350.5</v>
      </c>
      <c r="M433" s="2" t="str">
        <f>IF(Данные6[[#This Row],[proba]]&gt;$C$6, "отказ", "одобрение")</f>
        <v>одобрение</v>
      </c>
      <c r="N433" s="7">
        <f>IF(Данные6[[#This Row],[proba]]&lt;$D$2,$C$2,IF(Данные6[[#This Row],[proba]]&lt;$D$3,$C$3,IF(Данные6[[#This Row],[proba]]&gt;$C$6,0,$C$4)))</f>
        <v>50000</v>
      </c>
      <c r="O433" s="2">
        <f>IF(Данные6[[#This Row],[weighted_ext_score]]&gt;$O$1,MIN(Данные6[[#This Row],[Базовая сумма]]*$O$2,$C$2),IF(Данные6[[#This Row],[weighted_ext_score]]&lt;$O$3,Данные6[[#This Row],[Базовая сумма]]*$O$4,N433))</f>
        <v>40000</v>
      </c>
      <c r="P4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433" s="2">
        <f>ABS(Данные6[[#This Row],[days_birth]])/365.2425</f>
        <v>60.803438811200778</v>
      </c>
      <c r="S4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433" s="2">
        <f>IF(Данные6[[#This Row],[ interest_rate]]&gt;$T$1,Данные6[[#This Row],[days_birth4]]*$T$2,Данные6[[#This Row],[days_birth4]])</f>
        <v>42000</v>
      </c>
      <c r="U433" s="2">
        <f>IF(Данные6[[#This Row],[Проверка отказа]]="отказ",0,MAX(Данные6[[#This Row],[interest_rate]],$C$1))</f>
        <v>42000</v>
      </c>
      <c r="V433" s="2">
        <f>MROUND(Данные6[[#This Row],[Минимум 20000]], 100)</f>
        <v>42000</v>
      </c>
    </row>
    <row r="434" spans="1:22" x14ac:dyDescent="0.25">
      <c r="A434" s="2">
        <f>'1000_заявлений'!A428</f>
        <v>426</v>
      </c>
      <c r="B434" s="4">
        <f>VALUE(SUBSTITUTE('1000_заявлений'!B428, ".", ","))</f>
        <v>0.426978603916427</v>
      </c>
      <c r="C434" s="4">
        <f>VALUE(SUBSTITUTE('1000_заявлений'!C428, ".", ","))</f>
        <v>0.45044340083807799</v>
      </c>
      <c r="D434" s="4">
        <f>VALUE(SUBSTITUTE('1000_заявлений'!D428, ".", ","))</f>
        <v>0.50287824999999997</v>
      </c>
      <c r="E434" s="4">
        <f>VALUE(SUBSTITUTE('1000_заявлений'!E428, ".", ","))</f>
        <v>0.33576660000000003</v>
      </c>
      <c r="F434" s="5">
        <f>VALUE(SUBSTITUTE('1000_заявлений'!F428, ".", ","))</f>
        <v>-190</v>
      </c>
      <c r="G434" s="5">
        <f>VALUE(SUBSTITUTE('1000_заявлений'!G428, ".", ","))</f>
        <v>-20147</v>
      </c>
      <c r="H434" s="5">
        <f>VALUE(SUBSTITUTE('1000_заявлений'!H428, ".", ","))</f>
        <v>-3543</v>
      </c>
      <c r="I434" s="4">
        <f>VALUE(SUBSTITUTE('1000_заявлений'!I428, ".", ","))</f>
        <v>9.7826086956521702E-2</v>
      </c>
      <c r="J434" s="4">
        <f>VALUE(SUBSTITUTE('1000_заявлений'!J428, ".", ","))</f>
        <v>10.6209759779781</v>
      </c>
      <c r="K434" s="5">
        <f>VALUE(SUBSTITUTE('1000_заявлений'!K428, ".", ","))</f>
        <v>-781</v>
      </c>
      <c r="L434" s="6">
        <f>VALUE(SUBSTITUTE('1000_заявлений'!L428, ".", ","))</f>
        <v>20250</v>
      </c>
      <c r="M434" s="2" t="str">
        <f>IF(Данные6[[#This Row],[proba]]&gt;$C$6, "отказ", "одобрение")</f>
        <v>отказ</v>
      </c>
      <c r="N434" s="7">
        <f>IF(Данные6[[#This Row],[proba]]&lt;$D$2,$C$2,IF(Данные6[[#This Row],[proba]]&lt;$D$3,$C$3,IF(Данные6[[#This Row],[proba]]&gt;$C$6,0,$C$4)))</f>
        <v>0</v>
      </c>
      <c r="O434" s="2">
        <f>IF(Данные6[[#This Row],[weighted_ext_score]]&gt;$O$1,MIN(Данные6[[#This Row],[Базовая сумма]]*$O$2,$C$2),IF(Данные6[[#This Row],[weighted_ext_score]]&lt;$O$3,Данные6[[#This Row],[Базовая сумма]]*$O$4,N434))</f>
        <v>0</v>
      </c>
      <c r="P4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4" s="2">
        <f>ABS(Данные6[[#This Row],[days_birth]])/365.2425</f>
        <v>55.160612469797464</v>
      </c>
      <c r="S4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4" s="2">
        <f>IF(Данные6[[#This Row],[ interest_rate]]&gt;$T$1,Данные6[[#This Row],[days_birth4]]*$T$2,Данные6[[#This Row],[days_birth4]])</f>
        <v>0</v>
      </c>
      <c r="U434" s="2">
        <f>IF(Данные6[[#This Row],[Проверка отказа]]="отказ",0,MAX(Данные6[[#This Row],[interest_rate]],$C$1))</f>
        <v>0</v>
      </c>
      <c r="V434" s="2">
        <f>MROUND(Данные6[[#This Row],[Минимум 20000]], 100)</f>
        <v>0</v>
      </c>
    </row>
    <row r="435" spans="1:22" x14ac:dyDescent="0.25">
      <c r="A435" s="2">
        <f>'1000_заявлений'!A429</f>
        <v>427</v>
      </c>
      <c r="B435" s="4">
        <f>VALUE(SUBSTITUTE('1000_заявлений'!B429, ".", ","))</f>
        <v>0.28579649227898402</v>
      </c>
      <c r="C435" s="4">
        <f>VALUE(SUBSTITUTE('1000_заявлений'!C429, ".", ","))</f>
        <v>0.41567146727644499</v>
      </c>
      <c r="D435" s="4">
        <f>VALUE(SUBSTITUTE('1000_заявлений'!D429, ".", ","))</f>
        <v>0.51008949999999997</v>
      </c>
      <c r="E435" s="4">
        <f>VALUE(SUBSTITUTE('1000_заявлений'!E429, ".", ","))</f>
        <v>0.7127192</v>
      </c>
      <c r="F435" s="5">
        <f>VALUE(SUBSTITUTE('1000_заявлений'!F429, ".", ","))</f>
        <v>-13009</v>
      </c>
      <c r="G435" s="5">
        <f>VALUE(SUBSTITUTE('1000_заявлений'!G429, ".", ","))</f>
        <v>-21654</v>
      </c>
      <c r="H435" s="5">
        <f>VALUE(SUBSTITUTE('1000_заявлений'!H429, ".", ","))</f>
        <v>-4054</v>
      </c>
      <c r="I435" s="4">
        <f>VALUE(SUBSTITUTE('1000_заявлений'!I429, ".", ","))</f>
        <v>0.21132000000000001</v>
      </c>
      <c r="J435" s="4">
        <f>VALUE(SUBSTITUTE('1000_заявлений'!J429, ".", ","))</f>
        <v>1.9305916734964901</v>
      </c>
      <c r="K435" s="5">
        <f>VALUE(SUBSTITUTE('1000_заявлений'!K429, ".", ","))</f>
        <v>365243</v>
      </c>
      <c r="L435" s="6">
        <f>VALUE(SUBSTITUTE('1000_заявлений'!L429, ".", ","))</f>
        <v>23773.5</v>
      </c>
      <c r="M435" s="2" t="str">
        <f>IF(Данные6[[#This Row],[proba]]&gt;$C$6, "отказ", "одобрение")</f>
        <v>одобрение</v>
      </c>
      <c r="N435" s="7">
        <f>IF(Данные6[[#This Row],[proba]]&lt;$D$2,$C$2,IF(Данные6[[#This Row],[proba]]&lt;$D$3,$C$3,IF(Данные6[[#This Row],[proba]]&gt;$C$6,0,$C$4)))</f>
        <v>50000</v>
      </c>
      <c r="O435" s="2">
        <f>IF(Данные6[[#This Row],[weighted_ext_score]]&gt;$O$1,MIN(Данные6[[#This Row],[Базовая сумма]]*$O$2,$C$2),IF(Данные6[[#This Row],[weighted_ext_score]]&lt;$O$3,Данные6[[#This Row],[Базовая сумма]]*$O$4,N435))</f>
        <v>40000</v>
      </c>
      <c r="P4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435" s="2">
        <f>ABS(Данные6[[#This Row],[days_birth]])/365.2425</f>
        <v>59.286638329329143</v>
      </c>
      <c r="S4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435" s="2">
        <f>IF(Данные6[[#This Row],[ interest_rate]]&gt;$T$1,Данные6[[#This Row],[days_birth4]]*$T$2,Данные6[[#This Row],[days_birth4]])</f>
        <v>42000</v>
      </c>
      <c r="U435" s="2">
        <f>IF(Данные6[[#This Row],[Проверка отказа]]="отказ",0,MAX(Данные6[[#This Row],[interest_rate]],$C$1))</f>
        <v>42000</v>
      </c>
      <c r="V435" s="2">
        <f>MROUND(Данные6[[#This Row],[Минимум 20000]], 100)</f>
        <v>42000</v>
      </c>
    </row>
    <row r="436" spans="1:22" x14ac:dyDescent="0.25">
      <c r="A436" s="2">
        <f>'1000_заявлений'!A430</f>
        <v>428</v>
      </c>
      <c r="B436" s="4">
        <f>VALUE(SUBSTITUTE('1000_заявлений'!B430, ".", ","))</f>
        <v>0.404991020069014</v>
      </c>
      <c r="C436" s="4">
        <f>VALUE(SUBSTITUTE('1000_заявлений'!C430, ".", ","))</f>
        <v>0.49872092552764502</v>
      </c>
      <c r="D436" s="4">
        <f>VALUE(SUBSTITUTE('1000_заявлений'!D430, ".", ","))</f>
        <v>0.54959650000000004</v>
      </c>
      <c r="E436" s="4">
        <f>VALUE(SUBSTITUTE('1000_заявлений'!E430, ".", ","))</f>
        <v>0.52446309999999996</v>
      </c>
      <c r="F436" s="5">
        <f>VALUE(SUBSTITUTE('1000_заявлений'!F430, ".", ","))</f>
        <v>-2358</v>
      </c>
      <c r="G436" s="5">
        <f>VALUE(SUBSTITUTE('1000_заявлений'!G430, ".", ","))</f>
        <v>-14978</v>
      </c>
      <c r="H436" s="5">
        <f>VALUE(SUBSTITUTE('1000_заявлений'!H430, ".", ","))</f>
        <v>-2418</v>
      </c>
      <c r="I436" s="4">
        <f>VALUE(SUBSTITUTE('1000_заявлений'!I430, ".", ","))</f>
        <v>0.16243243243243199</v>
      </c>
      <c r="J436" s="4">
        <f>VALUE(SUBSTITUTE('1000_заявлений'!J430, ".", ","))</f>
        <v>2.6949717570029899</v>
      </c>
      <c r="K436" s="5">
        <f>VALUE(SUBSTITUTE('1000_заявлений'!K430, ".", ","))</f>
        <v>-1844</v>
      </c>
      <c r="L436" s="6">
        <f>VALUE(SUBSTITUTE('1000_заявлений'!L430, ".", ","))</f>
        <v>13522.5</v>
      </c>
      <c r="M436" s="2" t="str">
        <f>IF(Данные6[[#This Row],[proba]]&gt;$C$6, "отказ", "одобрение")</f>
        <v>отказ</v>
      </c>
      <c r="N436" s="7">
        <f>IF(Данные6[[#This Row],[proba]]&lt;$D$2,$C$2,IF(Данные6[[#This Row],[proba]]&lt;$D$3,$C$3,IF(Данные6[[#This Row],[proba]]&gt;$C$6,0,$C$4)))</f>
        <v>0</v>
      </c>
      <c r="O436" s="2">
        <f>IF(Данные6[[#This Row],[weighted_ext_score]]&gt;$O$1,MIN(Данные6[[#This Row],[Базовая сумма]]*$O$2,$C$2),IF(Данные6[[#This Row],[weighted_ext_score]]&lt;$O$3,Данные6[[#This Row],[Базовая сумма]]*$O$4,N436))</f>
        <v>0</v>
      </c>
      <c r="P4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6" s="2">
        <f>ABS(Данные6[[#This Row],[days_birth]])/365.2425</f>
        <v>41.008371150673867</v>
      </c>
      <c r="S4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6" s="2">
        <f>IF(Данные6[[#This Row],[ interest_rate]]&gt;$T$1,Данные6[[#This Row],[days_birth4]]*$T$2,Данные6[[#This Row],[days_birth4]])</f>
        <v>0</v>
      </c>
      <c r="U436" s="2">
        <f>IF(Данные6[[#This Row],[Проверка отказа]]="отказ",0,MAX(Данные6[[#This Row],[interest_rate]],$C$1))</f>
        <v>0</v>
      </c>
      <c r="V436" s="2">
        <f>MROUND(Данные6[[#This Row],[Минимум 20000]], 100)</f>
        <v>0</v>
      </c>
    </row>
    <row r="437" spans="1:22" x14ac:dyDescent="0.25">
      <c r="A437" s="2">
        <f>'1000_заявлений'!A431</f>
        <v>429</v>
      </c>
      <c r="B437" s="4">
        <f>VALUE(SUBSTITUTE('1000_заявлений'!B431, ".", ","))</f>
        <v>0.43351056090333001</v>
      </c>
      <c r="C437" s="4">
        <f>VALUE(SUBSTITUTE('1000_заявлений'!C431, ".", ","))</f>
        <v>0.41180838918419499</v>
      </c>
      <c r="D437" s="4">
        <f>VALUE(SUBSTITUTE('1000_заявлений'!D431, ".", ","))</f>
        <v>0.4632753</v>
      </c>
      <c r="E437" s="4">
        <f>VALUE(SUBSTITUTE('1000_заявлений'!E431, ".", ","))</f>
        <v>0.7530057</v>
      </c>
      <c r="F437" s="5">
        <f>VALUE(SUBSTITUTE('1000_заявлений'!F431, ".", ","))</f>
        <v>-4077</v>
      </c>
      <c r="G437" s="5">
        <f>VALUE(SUBSTITUTE('1000_заявлений'!G431, ".", ","))</f>
        <v>-19055</v>
      </c>
      <c r="H437" s="5">
        <f>VALUE(SUBSTITUTE('1000_заявлений'!H431, ".", ","))</f>
        <v>-1496</v>
      </c>
      <c r="I437" s="4">
        <f>VALUE(SUBSTITUTE('1000_заявлений'!I431, ".", ","))</f>
        <v>0.39857142857142802</v>
      </c>
      <c r="J437" s="4">
        <f>VALUE(SUBSTITUTE('1000_заявлений'!J431, ".", ","))</f>
        <v>1.5482179140652499</v>
      </c>
      <c r="K437" s="5">
        <f>VALUE(SUBSTITUTE('1000_заявлений'!K431, ".", ","))</f>
        <v>-125</v>
      </c>
      <c r="L437" s="6">
        <f>VALUE(SUBSTITUTE('1000_заявлений'!L431, ".", ","))</f>
        <v>37665</v>
      </c>
      <c r="M437" s="2" t="str">
        <f>IF(Данные6[[#This Row],[proba]]&gt;$C$6, "отказ", "одобрение")</f>
        <v>отказ</v>
      </c>
      <c r="N437" s="7">
        <f>IF(Данные6[[#This Row],[proba]]&lt;$D$2,$C$2,IF(Данные6[[#This Row],[proba]]&lt;$D$3,$C$3,IF(Данные6[[#This Row],[proba]]&gt;$C$6,0,$C$4)))</f>
        <v>0</v>
      </c>
      <c r="O437" s="2">
        <f>IF(Данные6[[#This Row],[weighted_ext_score]]&gt;$O$1,MIN(Данные6[[#This Row],[Базовая сумма]]*$O$2,$C$2),IF(Данные6[[#This Row],[weighted_ext_score]]&lt;$O$3,Данные6[[#This Row],[Базовая сумма]]*$O$4,N437))</f>
        <v>0</v>
      </c>
      <c r="P4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7" s="2">
        <f>ABS(Данные6[[#This Row],[days_birth]])/365.2425</f>
        <v>52.17081801816601</v>
      </c>
      <c r="S4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7" s="2">
        <f>IF(Данные6[[#This Row],[ interest_rate]]&gt;$T$1,Данные6[[#This Row],[days_birth4]]*$T$2,Данные6[[#This Row],[days_birth4]])</f>
        <v>0</v>
      </c>
      <c r="U437" s="2">
        <f>IF(Данные6[[#This Row],[Проверка отказа]]="отказ",0,MAX(Данные6[[#This Row],[interest_rate]],$C$1))</f>
        <v>0</v>
      </c>
      <c r="V437" s="2">
        <f>MROUND(Данные6[[#This Row],[Минимум 20000]], 100)</f>
        <v>0</v>
      </c>
    </row>
    <row r="438" spans="1:22" x14ac:dyDescent="0.25">
      <c r="A438" s="2">
        <f>'1000_заявлений'!A432</f>
        <v>430</v>
      </c>
      <c r="B438" s="4">
        <f>VALUE(SUBSTITUTE('1000_заявлений'!B432, ".", ","))</f>
        <v>0.63314806151721104</v>
      </c>
      <c r="C438" s="4">
        <f>VALUE(SUBSTITUTE('1000_заявлений'!C432, ".", ","))</f>
        <v>0.27469702739773399</v>
      </c>
      <c r="D438" s="4">
        <f>VALUE(SUBSTITUTE('1000_заявлений'!D432, ".", ","))</f>
        <v>0.52449643999999995</v>
      </c>
      <c r="E438" s="4">
        <f>VALUE(SUBSTITUTE('1000_заявлений'!E432, ".", ","))</f>
        <v>0.26205534000000003</v>
      </c>
      <c r="F438" s="5">
        <f>VALUE(SUBSTITUTE('1000_заявлений'!F432, ".", ","))</f>
        <v>-1565</v>
      </c>
      <c r="G438" s="5">
        <f>VALUE(SUBSTITUTE('1000_заявлений'!G432, ".", ","))</f>
        <v>-18025</v>
      </c>
      <c r="H438" s="5">
        <f>VALUE(SUBSTITUTE('1000_заявлений'!H432, ".", ","))</f>
        <v>-58</v>
      </c>
      <c r="I438" s="4">
        <f>VALUE(SUBSTITUTE('1000_заявлений'!I432, ".", ","))</f>
        <v>0.19275999999999999</v>
      </c>
      <c r="J438" s="4">
        <f>VALUE(SUBSTITUTE('1000_заявлений'!J432, ".", ","))</f>
        <v>4.4769218868849903</v>
      </c>
      <c r="K438" s="5">
        <f>VALUE(SUBSTITUTE('1000_заявлений'!K432, ".", ","))</f>
        <v>-1949</v>
      </c>
      <c r="L438" s="6">
        <f>VALUE(SUBSTITUTE('1000_заявлений'!L432, ".", ","))</f>
        <v>21685.5</v>
      </c>
      <c r="M438" s="2" t="str">
        <f>IF(Данные6[[#This Row],[proba]]&gt;$C$6, "отказ", "одобрение")</f>
        <v>отказ</v>
      </c>
      <c r="N438" s="7">
        <f>IF(Данные6[[#This Row],[proba]]&lt;$D$2,$C$2,IF(Данные6[[#This Row],[proba]]&lt;$D$3,$C$3,IF(Данные6[[#This Row],[proba]]&gt;$C$6,0,$C$4)))</f>
        <v>0</v>
      </c>
      <c r="O438" s="2">
        <f>IF(Данные6[[#This Row],[weighted_ext_score]]&gt;$O$1,MIN(Данные6[[#This Row],[Базовая сумма]]*$O$2,$C$2),IF(Данные6[[#This Row],[weighted_ext_score]]&lt;$O$3,Данные6[[#This Row],[Базовая сумма]]*$O$4,N438))</f>
        <v>0</v>
      </c>
      <c r="P4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8" s="2">
        <f>ABS(Данные6[[#This Row],[days_birth]])/365.2425</f>
        <v>49.35077380096785</v>
      </c>
      <c r="S4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8" s="2">
        <f>IF(Данные6[[#This Row],[ interest_rate]]&gt;$T$1,Данные6[[#This Row],[days_birth4]]*$T$2,Данные6[[#This Row],[days_birth4]])</f>
        <v>0</v>
      </c>
      <c r="U438" s="2">
        <f>IF(Данные6[[#This Row],[Проверка отказа]]="отказ",0,MAX(Данные6[[#This Row],[interest_rate]],$C$1))</f>
        <v>0</v>
      </c>
      <c r="V438" s="2">
        <f>MROUND(Данные6[[#This Row],[Минимум 20000]], 100)</f>
        <v>0</v>
      </c>
    </row>
    <row r="439" spans="1:22" x14ac:dyDescent="0.25">
      <c r="A439" s="2">
        <f>'1000_заявлений'!A433</f>
        <v>431</v>
      </c>
      <c r="B439" s="4">
        <f>VALUE(SUBSTITUTE('1000_заявлений'!B433, ".", ","))</f>
        <v>0.43068250252741003</v>
      </c>
      <c r="C439" s="4">
        <f>VALUE(SUBSTITUTE('1000_заявлений'!C433, ".", ","))</f>
        <v>0.45255787859112501</v>
      </c>
      <c r="D439" s="4">
        <f>VALUE(SUBSTITUTE('1000_заявлений'!D433, ".", ","))</f>
        <v>0.45253357</v>
      </c>
      <c r="E439" s="4">
        <f>VALUE(SUBSTITUTE('1000_заявлений'!E433, ".", ","))</f>
        <v>0.65792629999999996</v>
      </c>
      <c r="F439" s="5">
        <f>VALUE(SUBSTITUTE('1000_заявлений'!F433, ".", ","))</f>
        <v>-4820</v>
      </c>
      <c r="G439" s="5">
        <f>VALUE(SUBSTITUTE('1000_заявлений'!G433, ".", ","))</f>
        <v>-11331</v>
      </c>
      <c r="H439" s="5">
        <f>VALUE(SUBSTITUTE('1000_заявлений'!H433, ".", ","))</f>
        <v>-3370</v>
      </c>
      <c r="I439" s="4">
        <f>VALUE(SUBSTITUTE('1000_заявлений'!I433, ".", ","))</f>
        <v>0.205758620689655</v>
      </c>
      <c r="J439" s="4">
        <f>VALUE(SUBSTITUTE('1000_заявлений'!J433, ".", ","))</f>
        <v>3.7080113426588501</v>
      </c>
      <c r="K439" s="5">
        <f>VALUE(SUBSTITUTE('1000_заявлений'!K433, ".", ","))</f>
        <v>-1808</v>
      </c>
      <c r="L439" s="6">
        <f>VALUE(SUBSTITUTE('1000_заявлений'!L433, ".", ","))</f>
        <v>26851.5</v>
      </c>
      <c r="M439" s="2" t="str">
        <f>IF(Данные6[[#This Row],[proba]]&gt;$C$6, "отказ", "одобрение")</f>
        <v>отказ</v>
      </c>
      <c r="N439" s="7">
        <f>IF(Данные6[[#This Row],[proba]]&lt;$D$2,$C$2,IF(Данные6[[#This Row],[proba]]&lt;$D$3,$C$3,IF(Данные6[[#This Row],[proba]]&gt;$C$6,0,$C$4)))</f>
        <v>0</v>
      </c>
      <c r="O439" s="2">
        <f>IF(Данные6[[#This Row],[weighted_ext_score]]&gt;$O$1,MIN(Данные6[[#This Row],[Базовая сумма]]*$O$2,$C$2),IF(Данные6[[#This Row],[weighted_ext_score]]&lt;$O$3,Данные6[[#This Row],[Базовая сумма]]*$O$4,N439))</f>
        <v>0</v>
      </c>
      <c r="P4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39" s="2">
        <f>ABS(Данные6[[#This Row],[days_birth]])/365.2425</f>
        <v>31.023224296186779</v>
      </c>
      <c r="S4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39" s="2">
        <f>IF(Данные6[[#This Row],[ interest_rate]]&gt;$T$1,Данные6[[#This Row],[days_birth4]]*$T$2,Данные6[[#This Row],[days_birth4]])</f>
        <v>0</v>
      </c>
      <c r="U439" s="2">
        <f>IF(Данные6[[#This Row],[Проверка отказа]]="отказ",0,MAX(Данные6[[#This Row],[interest_rate]],$C$1))</f>
        <v>0</v>
      </c>
      <c r="V439" s="2">
        <f>MROUND(Данные6[[#This Row],[Минимум 20000]], 100)</f>
        <v>0</v>
      </c>
    </row>
    <row r="440" spans="1:22" x14ac:dyDescent="0.25">
      <c r="A440" s="2">
        <f>'1000_заявлений'!A434</f>
        <v>432</v>
      </c>
      <c r="B440" s="4">
        <f>VALUE(SUBSTITUTE('1000_заявлений'!B434, ".", ","))</f>
        <v>0.32704882229044202</v>
      </c>
      <c r="C440" s="4">
        <f>VALUE(SUBSTITUTE('1000_заявлений'!C434, ".", ","))</f>
        <v>0.50906908371205595</v>
      </c>
      <c r="D440" s="4">
        <f>VALUE(SUBSTITUTE('1000_заявлений'!D434, ".", ","))</f>
        <v>0.56206049999999996</v>
      </c>
      <c r="E440" s="4">
        <f>VALUE(SUBSTITUTE('1000_заявлений'!E434, ".", ","))</f>
        <v>0.5943214</v>
      </c>
      <c r="F440" s="5">
        <f>VALUE(SUBSTITUTE('1000_заявлений'!F434, ".", ","))</f>
        <v>-7095</v>
      </c>
      <c r="G440" s="5">
        <f>VALUE(SUBSTITUTE('1000_заявлений'!G434, ".", ","))</f>
        <v>-14374</v>
      </c>
      <c r="H440" s="5">
        <f>VALUE(SUBSTITUTE('1000_заявлений'!H434, ".", ","))</f>
        <v>-4468</v>
      </c>
      <c r="I440" s="4">
        <f>VALUE(SUBSTITUTE('1000_заявлений'!I434, ".", ","))</f>
        <v>0.221275</v>
      </c>
      <c r="J440" s="4">
        <f>VALUE(SUBSTITUTE('1000_заявлений'!J434, ".", ","))</f>
        <v>5.2948937979511301</v>
      </c>
      <c r="K440" s="5">
        <f>VALUE(SUBSTITUTE('1000_заявлений'!K434, ".", ","))</f>
        <v>-930</v>
      </c>
      <c r="L440" s="6">
        <f>VALUE(SUBSTITUTE('1000_заявлений'!L434, ".", ","))</f>
        <v>39829.5</v>
      </c>
      <c r="M440" s="2" t="str">
        <f>IF(Данные6[[#This Row],[proba]]&gt;$C$6, "отказ", "одобрение")</f>
        <v>отказ</v>
      </c>
      <c r="N440" s="7">
        <f>IF(Данные6[[#This Row],[proba]]&lt;$D$2,$C$2,IF(Данные6[[#This Row],[proba]]&lt;$D$3,$C$3,IF(Данные6[[#This Row],[proba]]&gt;$C$6,0,$C$4)))</f>
        <v>0</v>
      </c>
      <c r="O440" s="2">
        <f>IF(Данные6[[#This Row],[weighted_ext_score]]&gt;$O$1,MIN(Данные6[[#This Row],[Базовая сумма]]*$O$2,$C$2),IF(Данные6[[#This Row],[weighted_ext_score]]&lt;$O$3,Данные6[[#This Row],[Базовая сумма]]*$O$4,N440))</f>
        <v>0</v>
      </c>
      <c r="P4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0" s="2">
        <f>ABS(Данные6[[#This Row],[days_birth]])/365.2425</f>
        <v>39.354675318452806</v>
      </c>
      <c r="S4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0" s="2">
        <f>IF(Данные6[[#This Row],[ interest_rate]]&gt;$T$1,Данные6[[#This Row],[days_birth4]]*$T$2,Данные6[[#This Row],[days_birth4]])</f>
        <v>0</v>
      </c>
      <c r="U440" s="2">
        <f>IF(Данные6[[#This Row],[Проверка отказа]]="отказ",0,MAX(Данные6[[#This Row],[interest_rate]],$C$1))</f>
        <v>0</v>
      </c>
      <c r="V440" s="2">
        <f>MROUND(Данные6[[#This Row],[Минимум 20000]], 100)</f>
        <v>0</v>
      </c>
    </row>
    <row r="441" spans="1:22" x14ac:dyDescent="0.25">
      <c r="A441" s="2">
        <f>'1000_заявлений'!A435</f>
        <v>433</v>
      </c>
      <c r="B441" s="4">
        <f>VALUE(SUBSTITUTE('1000_заявлений'!B435, ".", ","))</f>
        <v>0.432172341011553</v>
      </c>
      <c r="C441" s="4">
        <f>VALUE(SUBSTITUTE('1000_заявлений'!C435, ".", ","))</f>
        <v>0.32316424971576702</v>
      </c>
      <c r="D441" s="4">
        <f>VALUE(SUBSTITUTE('1000_заявлений'!D435, ".", ","))</f>
        <v>0.51909729999999998</v>
      </c>
      <c r="E441" s="4">
        <f>VALUE(SUBSTITUTE('1000_заявлений'!E435, ".", ","))</f>
        <v>0.41749153</v>
      </c>
      <c r="F441" s="5">
        <f>VALUE(SUBSTITUTE('1000_заявлений'!F435, ".", ","))</f>
        <v>-11312</v>
      </c>
      <c r="G441" s="5">
        <f>VALUE(SUBSTITUTE('1000_заявлений'!G435, ".", ","))</f>
        <v>-22278</v>
      </c>
      <c r="H441" s="5">
        <f>VALUE(SUBSTITUTE('1000_заявлений'!H435, ".", ","))</f>
        <v>-4456</v>
      </c>
      <c r="I441" s="4">
        <f>VALUE(SUBSTITUTE('1000_заявлений'!I435, ".", ","))</f>
        <v>0.224657142857142</v>
      </c>
      <c r="J441" s="4">
        <f>VALUE(SUBSTITUTE('1000_заявлений'!J435, ".", ","))</f>
        <v>1.1174012037416099</v>
      </c>
      <c r="K441" s="5">
        <f>VALUE(SUBSTITUTE('1000_заявлений'!K435, ".", ","))</f>
        <v>365243</v>
      </c>
      <c r="L441" s="6">
        <f>VALUE(SUBSTITUTE('1000_заявлений'!L435, ".", ","))</f>
        <v>35383.5</v>
      </c>
      <c r="M441" s="2" t="str">
        <f>IF(Данные6[[#This Row],[proba]]&gt;$C$6, "отказ", "одобрение")</f>
        <v>отказ</v>
      </c>
      <c r="N441" s="7">
        <f>IF(Данные6[[#This Row],[proba]]&lt;$D$2,$C$2,IF(Данные6[[#This Row],[proba]]&lt;$D$3,$C$3,IF(Данные6[[#This Row],[proba]]&gt;$C$6,0,$C$4)))</f>
        <v>0</v>
      </c>
      <c r="O441" s="2">
        <f>IF(Данные6[[#This Row],[weighted_ext_score]]&gt;$O$1,MIN(Данные6[[#This Row],[Базовая сумма]]*$O$2,$C$2),IF(Данные6[[#This Row],[weighted_ext_score]]&lt;$O$3,Данные6[[#This Row],[Базовая сумма]]*$O$4,N441))</f>
        <v>0</v>
      </c>
      <c r="P4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1" s="2">
        <f>ABS(Данные6[[#This Row],[days_birth]])/365.2425</f>
        <v>60.995092301689972</v>
      </c>
      <c r="S4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1" s="2">
        <f>IF(Данные6[[#This Row],[ interest_rate]]&gt;$T$1,Данные6[[#This Row],[days_birth4]]*$T$2,Данные6[[#This Row],[days_birth4]])</f>
        <v>0</v>
      </c>
      <c r="U441" s="2">
        <f>IF(Данные6[[#This Row],[Проверка отказа]]="отказ",0,MAX(Данные6[[#This Row],[interest_rate]],$C$1))</f>
        <v>0</v>
      </c>
      <c r="V441" s="2">
        <f>MROUND(Данные6[[#This Row],[Минимум 20000]], 100)</f>
        <v>0</v>
      </c>
    </row>
    <row r="442" spans="1:22" x14ac:dyDescent="0.25">
      <c r="A442" s="2">
        <f>'1000_заявлений'!A436</f>
        <v>434</v>
      </c>
      <c r="B442" s="4">
        <f>VALUE(SUBSTITUTE('1000_заявлений'!B436, ".", ","))</f>
        <v>0.54669068404285004</v>
      </c>
      <c r="C442" s="4">
        <f>VALUE(SUBSTITUTE('1000_заявлений'!C436, ".", ","))</f>
        <v>0.43870772851788598</v>
      </c>
      <c r="D442" s="4">
        <f>VALUE(SUBSTITUTE('1000_заявлений'!D436, ".", ","))</f>
        <v>0.16048893</v>
      </c>
      <c r="E442" s="4">
        <f>VALUE(SUBSTITUTE('1000_заявлений'!E436, ".", ","))</f>
        <v>0.62432529999999997</v>
      </c>
      <c r="F442" s="5">
        <f>VALUE(SUBSTITUTE('1000_заявлений'!F436, ".", ","))</f>
        <v>-2246</v>
      </c>
      <c r="G442" s="5">
        <f>VALUE(SUBSTITUTE('1000_заявлений'!G436, ".", ","))</f>
        <v>-19084</v>
      </c>
      <c r="H442" s="5">
        <f>VALUE(SUBSTITUTE('1000_заявлений'!H436, ".", ","))</f>
        <v>-2612</v>
      </c>
      <c r="I442" s="4">
        <f>VALUE(SUBSTITUTE('1000_заявлений'!I436, ".", ","))</f>
        <v>0.17765</v>
      </c>
      <c r="J442" s="4">
        <f>VALUE(SUBSTITUTE('1000_заявлений'!J436, ".", ","))</f>
        <v>8.9151469103738901</v>
      </c>
      <c r="K442" s="5">
        <f>VALUE(SUBSTITUTE('1000_заявлений'!K436, ".", ","))</f>
        <v>-128</v>
      </c>
      <c r="L442" s="6">
        <f>VALUE(SUBSTITUTE('1000_заявлений'!L436, ".", ","))</f>
        <v>15988.5</v>
      </c>
      <c r="M442" s="2" t="str">
        <f>IF(Данные6[[#This Row],[proba]]&gt;$C$6, "отказ", "одобрение")</f>
        <v>отказ</v>
      </c>
      <c r="N442" s="7">
        <f>IF(Данные6[[#This Row],[proba]]&lt;$D$2,$C$2,IF(Данные6[[#This Row],[proba]]&lt;$D$3,$C$3,IF(Данные6[[#This Row],[proba]]&gt;$C$6,0,$C$4)))</f>
        <v>0</v>
      </c>
      <c r="O442" s="2">
        <f>IF(Данные6[[#This Row],[weighted_ext_score]]&gt;$O$1,MIN(Данные6[[#This Row],[Базовая сумма]]*$O$2,$C$2),IF(Данные6[[#This Row],[weighted_ext_score]]&lt;$O$3,Данные6[[#This Row],[Базовая сумма]]*$O$4,N442))</f>
        <v>0</v>
      </c>
      <c r="P4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2" s="2">
        <f>ABS(Данные6[[#This Row],[days_birth]])/365.2425</f>
        <v>52.25021732136868</v>
      </c>
      <c r="S4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2" s="2">
        <f>IF(Данные6[[#This Row],[ interest_rate]]&gt;$T$1,Данные6[[#This Row],[days_birth4]]*$T$2,Данные6[[#This Row],[days_birth4]])</f>
        <v>0</v>
      </c>
      <c r="U442" s="2">
        <f>IF(Данные6[[#This Row],[Проверка отказа]]="отказ",0,MAX(Данные6[[#This Row],[interest_rate]],$C$1))</f>
        <v>0</v>
      </c>
      <c r="V442" s="2">
        <f>MROUND(Данные6[[#This Row],[Минимум 20000]], 100)</f>
        <v>0</v>
      </c>
    </row>
    <row r="443" spans="1:22" x14ac:dyDescent="0.25">
      <c r="A443" s="2">
        <f>'1000_заявлений'!A437</f>
        <v>435</v>
      </c>
      <c r="B443" s="4">
        <f>VALUE(SUBSTITUTE('1000_заявлений'!B437, ".", ","))</f>
        <v>0.46752686433149399</v>
      </c>
      <c r="C443" s="4">
        <f>VALUE(SUBSTITUTE('1000_заявлений'!C437, ".", ","))</f>
        <v>0.467882814121788</v>
      </c>
      <c r="D443" s="4">
        <f>VALUE(SUBSTITUTE('1000_заявлений'!D437, ".", ","))</f>
        <v>0.50468135000000003</v>
      </c>
      <c r="E443" s="4">
        <f>VALUE(SUBSTITUTE('1000_заявлений'!E437, ".", ","))</f>
        <v>0.43143344</v>
      </c>
      <c r="F443" s="5">
        <f>VALUE(SUBSTITUTE('1000_заявлений'!F437, ".", ","))</f>
        <v>-6021</v>
      </c>
      <c r="G443" s="5">
        <f>VALUE(SUBSTITUTE('1000_заявлений'!G437, ".", ","))</f>
        <v>-11966</v>
      </c>
      <c r="H443" s="5">
        <f>VALUE(SUBSTITUTE('1000_заявлений'!H437, ".", ","))</f>
        <v>-3915</v>
      </c>
      <c r="I443" s="4">
        <f>VALUE(SUBSTITUTE('1000_заявлений'!I437, ".", ","))</f>
        <v>0.217</v>
      </c>
      <c r="J443" s="4">
        <f>VALUE(SUBSTITUTE('1000_заявлений'!J437, ".", ","))</f>
        <v>3.0179583946351198</v>
      </c>
      <c r="K443" s="5">
        <f>VALUE(SUBSTITUTE('1000_заявлений'!K437, ".", ","))</f>
        <v>-3125</v>
      </c>
      <c r="L443" s="6">
        <f>VALUE(SUBSTITUTE('1000_заявлений'!L437, ".", ","))</f>
        <v>48825</v>
      </c>
      <c r="M443" s="2" t="str">
        <f>IF(Данные6[[#This Row],[proba]]&gt;$C$6, "отказ", "одобрение")</f>
        <v>отказ</v>
      </c>
      <c r="N443" s="7">
        <f>IF(Данные6[[#This Row],[proba]]&lt;$D$2,$C$2,IF(Данные6[[#This Row],[proba]]&lt;$D$3,$C$3,IF(Данные6[[#This Row],[proba]]&gt;$C$6,0,$C$4)))</f>
        <v>0</v>
      </c>
      <c r="O443" s="2">
        <f>IF(Данные6[[#This Row],[weighted_ext_score]]&gt;$O$1,MIN(Данные6[[#This Row],[Базовая сумма]]*$O$2,$C$2),IF(Данные6[[#This Row],[weighted_ext_score]]&lt;$O$3,Данные6[[#This Row],[Базовая сумма]]*$O$4,N443))</f>
        <v>0</v>
      </c>
      <c r="P4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3" s="2">
        <f>ABS(Данные6[[#This Row],[days_birth]])/365.2425</f>
        <v>32.761795245624484</v>
      </c>
      <c r="S4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3" s="2">
        <f>IF(Данные6[[#This Row],[ interest_rate]]&gt;$T$1,Данные6[[#This Row],[days_birth4]]*$T$2,Данные6[[#This Row],[days_birth4]])</f>
        <v>0</v>
      </c>
      <c r="U443" s="2">
        <f>IF(Данные6[[#This Row],[Проверка отказа]]="отказ",0,MAX(Данные6[[#This Row],[interest_rate]],$C$1))</f>
        <v>0</v>
      </c>
      <c r="V443" s="2">
        <f>MROUND(Данные6[[#This Row],[Минимум 20000]], 100)</f>
        <v>0</v>
      </c>
    </row>
    <row r="444" spans="1:22" x14ac:dyDescent="0.25">
      <c r="A444" s="2">
        <f>'1000_заявлений'!A438</f>
        <v>436</v>
      </c>
      <c r="B444" s="4">
        <f>VALUE(SUBSTITUTE('1000_заявлений'!B438, ".", ","))</f>
        <v>0.52299905360828902</v>
      </c>
      <c r="C444" s="4">
        <f>VALUE(SUBSTITUTE('1000_заявлений'!C438, ".", ","))</f>
        <v>0.32856131485490397</v>
      </c>
      <c r="D444" s="4">
        <f>VALUE(SUBSTITUTE('1000_заявлений'!D438, ".", ","))</f>
        <v>0.35895124</v>
      </c>
      <c r="E444" s="4">
        <f>VALUE(SUBSTITUTE('1000_заявлений'!E438, ".", ","))</f>
        <v>0.61268544000000003</v>
      </c>
      <c r="F444" s="5">
        <f>VALUE(SUBSTITUTE('1000_заявлений'!F438, ".", ","))</f>
        <v>-4631</v>
      </c>
      <c r="G444" s="5">
        <f>VALUE(SUBSTITUTE('1000_заявлений'!G438, ".", ","))</f>
        <v>-14211</v>
      </c>
      <c r="H444" s="5">
        <f>VALUE(SUBSTITUTE('1000_заявлений'!H438, ".", ","))</f>
        <v>-4648</v>
      </c>
      <c r="I444" s="4">
        <f>VALUE(SUBSTITUTE('1000_заявлений'!I438, ".", ","))</f>
        <v>0.132977777777777</v>
      </c>
      <c r="J444" s="4">
        <f>VALUE(SUBSTITUTE('1000_заявлений'!J438, ".", ","))</f>
        <v>1.8916518509237401</v>
      </c>
      <c r="K444" s="5">
        <f>VALUE(SUBSTITUTE('1000_заявлений'!K438, ".", ","))</f>
        <v>-626</v>
      </c>
      <c r="L444" s="6">
        <f>VALUE(SUBSTITUTE('1000_заявлений'!L438, ".", ","))</f>
        <v>26928</v>
      </c>
      <c r="M444" s="2" t="str">
        <f>IF(Данные6[[#This Row],[proba]]&gt;$C$6, "отказ", "одобрение")</f>
        <v>отказ</v>
      </c>
      <c r="N444" s="7">
        <f>IF(Данные6[[#This Row],[proba]]&lt;$D$2,$C$2,IF(Данные6[[#This Row],[proba]]&lt;$D$3,$C$3,IF(Данные6[[#This Row],[proba]]&gt;$C$6,0,$C$4)))</f>
        <v>0</v>
      </c>
      <c r="O444" s="2">
        <f>IF(Данные6[[#This Row],[weighted_ext_score]]&gt;$O$1,MIN(Данные6[[#This Row],[Базовая сумма]]*$O$2,$C$2),IF(Данные6[[#This Row],[weighted_ext_score]]&lt;$O$3,Данные6[[#This Row],[Базовая сумма]]*$O$4,N444))</f>
        <v>0</v>
      </c>
      <c r="P4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4" s="2">
        <f>ABS(Данные6[[#This Row],[days_birth]])/365.2425</f>
        <v>38.908396476313683</v>
      </c>
      <c r="S4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4" s="2">
        <f>IF(Данные6[[#This Row],[ interest_rate]]&gt;$T$1,Данные6[[#This Row],[days_birth4]]*$T$2,Данные6[[#This Row],[days_birth4]])</f>
        <v>0</v>
      </c>
      <c r="U444" s="2">
        <f>IF(Данные6[[#This Row],[Проверка отказа]]="отказ",0,MAX(Данные6[[#This Row],[interest_rate]],$C$1))</f>
        <v>0</v>
      </c>
      <c r="V444" s="2">
        <f>MROUND(Данные6[[#This Row],[Минимум 20000]], 100)</f>
        <v>0</v>
      </c>
    </row>
    <row r="445" spans="1:22" x14ac:dyDescent="0.25">
      <c r="A445" s="2">
        <f>'1000_заявлений'!A439</f>
        <v>437</v>
      </c>
      <c r="B445" s="4">
        <f>VALUE(SUBSTITUTE('1000_заявлений'!B439, ".", ","))</f>
        <v>0.30196599314316103</v>
      </c>
      <c r="C445" s="4">
        <f>VALUE(SUBSTITUTE('1000_заявлений'!C439, ".", ","))</f>
        <v>0.42456603929270098</v>
      </c>
      <c r="D445" s="4">
        <f>VALUE(SUBSTITUTE('1000_заявлений'!D439, ".", ","))</f>
        <v>0.68326885000000004</v>
      </c>
      <c r="E445" s="4">
        <f>VALUE(SUBSTITUTE('1000_заявлений'!E439, ".", ","))</f>
        <v>0.54705250000000005</v>
      </c>
      <c r="F445" s="5">
        <f>VALUE(SUBSTITUTE('1000_заявлений'!F439, ".", ","))</f>
        <v>-3612</v>
      </c>
      <c r="G445" s="5">
        <f>VALUE(SUBSTITUTE('1000_заявлений'!G439, ".", ","))</f>
        <v>-20532</v>
      </c>
      <c r="H445" s="5">
        <f>VALUE(SUBSTITUTE('1000_заявлений'!H439, ".", ","))</f>
        <v>-4089</v>
      </c>
      <c r="I445" s="4">
        <f>VALUE(SUBSTITUTE('1000_заявлений'!I439, ".", ","))</f>
        <v>0.123690476190476</v>
      </c>
      <c r="J445" s="4">
        <f>VALUE(SUBSTITUTE('1000_заявлений'!J439, ".", ","))</f>
        <v>2.1563529961855701</v>
      </c>
      <c r="K445" s="5">
        <f>VALUE(SUBSTITUTE('1000_заявлений'!K439, ".", ","))</f>
        <v>-11304</v>
      </c>
      <c r="L445" s="6">
        <f>VALUE(SUBSTITUTE('1000_заявлений'!L439, ".", ","))</f>
        <v>23377.5</v>
      </c>
      <c r="M445" s="2" t="str">
        <f>IF(Данные6[[#This Row],[proba]]&gt;$C$6, "отказ", "одобрение")</f>
        <v>отказ</v>
      </c>
      <c r="N445" s="7">
        <f>IF(Данные6[[#This Row],[proba]]&lt;$D$2,$C$2,IF(Данные6[[#This Row],[proba]]&lt;$D$3,$C$3,IF(Данные6[[#This Row],[proba]]&gt;$C$6,0,$C$4)))</f>
        <v>0</v>
      </c>
      <c r="O445" s="2">
        <f>IF(Данные6[[#This Row],[weighted_ext_score]]&gt;$O$1,MIN(Данные6[[#This Row],[Базовая сумма]]*$O$2,$C$2),IF(Данные6[[#This Row],[weighted_ext_score]]&lt;$O$3,Данные6[[#This Row],[Базовая сумма]]*$O$4,N445))</f>
        <v>0</v>
      </c>
      <c r="P4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5" s="2">
        <f>ABS(Данные6[[#This Row],[days_birth]])/365.2425</f>
        <v>56.214706667488038</v>
      </c>
      <c r="S4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5" s="2">
        <f>IF(Данные6[[#This Row],[ interest_rate]]&gt;$T$1,Данные6[[#This Row],[days_birth4]]*$T$2,Данные6[[#This Row],[days_birth4]])</f>
        <v>0</v>
      </c>
      <c r="U445" s="2">
        <f>IF(Данные6[[#This Row],[Проверка отказа]]="отказ",0,MAX(Данные6[[#This Row],[interest_rate]],$C$1))</f>
        <v>0</v>
      </c>
      <c r="V445" s="2">
        <f>MROUND(Данные6[[#This Row],[Минимум 20000]], 100)</f>
        <v>0</v>
      </c>
    </row>
    <row r="446" spans="1:22" x14ac:dyDescent="0.25">
      <c r="A446" s="2">
        <f>'1000_заявлений'!A440</f>
        <v>438</v>
      </c>
      <c r="B446" s="4">
        <f>VALUE(SUBSTITUTE('1000_заявлений'!B440, ".", ","))</f>
        <v>0.30598493182654901</v>
      </c>
      <c r="C446" s="4">
        <f>VALUE(SUBSTITUTE('1000_заявлений'!C440, ".", ","))</f>
        <v>0.37162941948634598</v>
      </c>
      <c r="D446" s="4">
        <f>VALUE(SUBSTITUTE('1000_заявлений'!D440, ".", ","))</f>
        <v>0.50468135000000003</v>
      </c>
      <c r="E446" s="4">
        <f>VALUE(SUBSTITUTE('1000_заявлений'!E440, ".", ","))</f>
        <v>0.58297473</v>
      </c>
      <c r="F446" s="5">
        <f>VALUE(SUBSTITUTE('1000_заявлений'!F440, ".", ","))</f>
        <v>-355</v>
      </c>
      <c r="G446" s="5">
        <f>VALUE(SUBSTITUTE('1000_заявлений'!G440, ".", ","))</f>
        <v>-22812</v>
      </c>
      <c r="H446" s="5">
        <f>VALUE(SUBSTITUTE('1000_заявлений'!H440, ".", ","))</f>
        <v>-5214</v>
      </c>
      <c r="I446" s="4">
        <f>VALUE(SUBSTITUTE('1000_заявлений'!I440, ".", ","))</f>
        <v>0.116666666666666</v>
      </c>
      <c r="J446" s="4">
        <f>VALUE(SUBSTITUTE('1000_заявлений'!J440, ".", ","))</f>
        <v>10.6209759779781</v>
      </c>
      <c r="K446" s="5">
        <f>VALUE(SUBSTITUTE('1000_заявлений'!K440, ".", ","))</f>
        <v>365243</v>
      </c>
      <c r="L446" s="6">
        <f>VALUE(SUBSTITUTE('1000_заявлений'!L440, ".", ","))</f>
        <v>7875</v>
      </c>
      <c r="M446" s="2" t="str">
        <f>IF(Данные6[[#This Row],[proba]]&gt;$C$6, "отказ", "одобрение")</f>
        <v>отказ</v>
      </c>
      <c r="N446" s="7">
        <f>IF(Данные6[[#This Row],[proba]]&lt;$D$2,$C$2,IF(Данные6[[#This Row],[proba]]&lt;$D$3,$C$3,IF(Данные6[[#This Row],[proba]]&gt;$C$6,0,$C$4)))</f>
        <v>0</v>
      </c>
      <c r="O446" s="2">
        <f>IF(Данные6[[#This Row],[weighted_ext_score]]&gt;$O$1,MIN(Данные6[[#This Row],[Базовая сумма]]*$O$2,$C$2),IF(Данные6[[#This Row],[weighted_ext_score]]&lt;$O$3,Данные6[[#This Row],[Базовая сумма]]*$O$4,N446))</f>
        <v>0</v>
      </c>
      <c r="P4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6" s="2">
        <f>ABS(Данные6[[#This Row],[days_birth]])/365.2425</f>
        <v>62.457134643421838</v>
      </c>
      <c r="S4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6" s="2">
        <f>IF(Данные6[[#This Row],[ interest_rate]]&gt;$T$1,Данные6[[#This Row],[days_birth4]]*$T$2,Данные6[[#This Row],[days_birth4]])</f>
        <v>0</v>
      </c>
      <c r="U446" s="2">
        <f>IF(Данные6[[#This Row],[Проверка отказа]]="отказ",0,MAX(Данные6[[#This Row],[interest_rate]],$C$1))</f>
        <v>0</v>
      </c>
      <c r="V446" s="2">
        <f>MROUND(Данные6[[#This Row],[Минимум 20000]], 100)</f>
        <v>0</v>
      </c>
    </row>
    <row r="447" spans="1:22" x14ac:dyDescent="0.25">
      <c r="A447" s="2">
        <f>'1000_заявлений'!A441</f>
        <v>439</v>
      </c>
      <c r="B447" s="4">
        <f>VALUE(SUBSTITUTE('1000_заявлений'!B441, ".", ","))</f>
        <v>0.36348338304146799</v>
      </c>
      <c r="C447" s="4">
        <f>VALUE(SUBSTITUTE('1000_заявлений'!C441, ".", ","))</f>
        <v>0.22008872405662699</v>
      </c>
      <c r="D447" s="4">
        <f>VALUE(SUBSTITUTE('1000_заявлений'!D441, ".", ","))</f>
        <v>0.53527623000000002</v>
      </c>
      <c r="E447" s="4">
        <f>VALUE(SUBSTITUTE('1000_заявлений'!E441, ".", ","))</f>
        <v>0.67849696000000004</v>
      </c>
      <c r="F447" s="5">
        <f>VALUE(SUBSTITUTE('1000_заявлений'!F441, ".", ","))</f>
        <v>-6975</v>
      </c>
      <c r="G447" s="5">
        <f>VALUE(SUBSTITUTE('1000_заявлений'!G441, ".", ","))</f>
        <v>-22663</v>
      </c>
      <c r="H447" s="5">
        <f>VALUE(SUBSTITUTE('1000_заявлений'!H441, ".", ","))</f>
        <v>-4543</v>
      </c>
      <c r="I447" s="4">
        <f>VALUE(SUBSTITUTE('1000_заявлений'!I441, ".", ","))</f>
        <v>4.6428571428571402E-2</v>
      </c>
      <c r="J447" s="4">
        <f>VALUE(SUBSTITUTE('1000_заявлений'!J441, ".", ","))</f>
        <v>6.6464307521085297</v>
      </c>
      <c r="K447" s="5">
        <f>VALUE(SUBSTITUTE('1000_заявлений'!K441, ".", ","))</f>
        <v>-4554</v>
      </c>
      <c r="L447" s="6">
        <f>VALUE(SUBSTITUTE('1000_заявлений'!L441, ".", ","))</f>
        <v>7312.5</v>
      </c>
      <c r="M447" s="2" t="str">
        <f>IF(Данные6[[#This Row],[proba]]&gt;$C$6, "отказ", "одобрение")</f>
        <v>отказ</v>
      </c>
      <c r="N447" s="7">
        <f>IF(Данные6[[#This Row],[proba]]&lt;$D$2,$C$2,IF(Данные6[[#This Row],[proba]]&lt;$D$3,$C$3,IF(Данные6[[#This Row],[proba]]&gt;$C$6,0,$C$4)))</f>
        <v>0</v>
      </c>
      <c r="O447" s="2">
        <f>IF(Данные6[[#This Row],[weighted_ext_score]]&gt;$O$1,MIN(Данные6[[#This Row],[Базовая сумма]]*$O$2,$C$2),IF(Данные6[[#This Row],[weighted_ext_score]]&lt;$O$3,Данные6[[#This Row],[Базовая сумма]]*$O$4,N447))</f>
        <v>0</v>
      </c>
      <c r="P4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7" s="2">
        <f>ABS(Данные6[[#This Row],[days_birth]])/365.2425</f>
        <v>62.049186499380546</v>
      </c>
      <c r="S4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7" s="2">
        <f>IF(Данные6[[#This Row],[ interest_rate]]&gt;$T$1,Данные6[[#This Row],[days_birth4]]*$T$2,Данные6[[#This Row],[days_birth4]])</f>
        <v>0</v>
      </c>
      <c r="U447" s="2">
        <f>IF(Данные6[[#This Row],[Проверка отказа]]="отказ",0,MAX(Данные6[[#This Row],[interest_rate]],$C$1))</f>
        <v>0</v>
      </c>
      <c r="V447" s="2">
        <f>MROUND(Данные6[[#This Row],[Минимум 20000]], 100)</f>
        <v>0</v>
      </c>
    </row>
    <row r="448" spans="1:22" x14ac:dyDescent="0.25">
      <c r="A448" s="2">
        <f>'1000_заявлений'!A442</f>
        <v>440</v>
      </c>
      <c r="B448" s="4">
        <f>VALUE(SUBSTITUTE('1000_заявлений'!B442, ".", ","))</f>
        <v>0.36268501627277699</v>
      </c>
      <c r="C448" s="4">
        <f>VALUE(SUBSTITUTE('1000_заявлений'!C442, ".", ","))</f>
        <v>0.48136822819332797</v>
      </c>
      <c r="D448" s="4">
        <f>VALUE(SUBSTITUTE('1000_заявлений'!D442, ".", ","))</f>
        <v>0.50468135000000003</v>
      </c>
      <c r="E448" s="4">
        <f>VALUE(SUBSTITUTE('1000_заявлений'!E442, ".", ","))</f>
        <v>0.65062565000000006</v>
      </c>
      <c r="F448" s="5">
        <f>VALUE(SUBSTITUTE('1000_заявлений'!F442, ".", ","))</f>
        <v>-3668</v>
      </c>
      <c r="G448" s="5">
        <f>VALUE(SUBSTITUTE('1000_заявлений'!G442, ".", ","))</f>
        <v>-12225</v>
      </c>
      <c r="H448" s="5">
        <f>VALUE(SUBSTITUTE('1000_заявлений'!H442, ".", ","))</f>
        <v>-4338</v>
      </c>
      <c r="I448" s="4">
        <f>VALUE(SUBSTITUTE('1000_заявлений'!I442, ".", ","))</f>
        <v>0.26662000000000002</v>
      </c>
      <c r="J448" s="4">
        <f>VALUE(SUBSTITUTE('1000_заявлений'!J442, ".", ","))</f>
        <v>5.5283204081658397</v>
      </c>
      <c r="K448" s="5">
        <f>VALUE(SUBSTITUTE('1000_заявлений'!K442, ".", ","))</f>
        <v>-2117</v>
      </c>
      <c r="L448" s="6">
        <f>VALUE(SUBSTITUTE('1000_заявлений'!L442, ".", ","))</f>
        <v>59989.5</v>
      </c>
      <c r="M448" s="2" t="str">
        <f>IF(Данные6[[#This Row],[proba]]&gt;$C$6, "отказ", "одобрение")</f>
        <v>отказ</v>
      </c>
      <c r="N448" s="7">
        <f>IF(Данные6[[#This Row],[proba]]&lt;$D$2,$C$2,IF(Данные6[[#This Row],[proba]]&lt;$D$3,$C$3,IF(Данные6[[#This Row],[proba]]&gt;$C$6,0,$C$4)))</f>
        <v>0</v>
      </c>
      <c r="O448" s="2">
        <f>IF(Данные6[[#This Row],[weighted_ext_score]]&gt;$O$1,MIN(Данные6[[#This Row],[Базовая сумма]]*$O$2,$C$2),IF(Данные6[[#This Row],[weighted_ext_score]]&lt;$O$3,Данные6[[#This Row],[Базовая сумма]]*$O$4,N448))</f>
        <v>0</v>
      </c>
      <c r="P4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8" s="2">
        <f>ABS(Данные6[[#This Row],[days_birth]])/365.2425</f>
        <v>33.470913160434506</v>
      </c>
      <c r="S4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8" s="2">
        <f>IF(Данные6[[#This Row],[ interest_rate]]&gt;$T$1,Данные6[[#This Row],[days_birth4]]*$T$2,Данные6[[#This Row],[days_birth4]])</f>
        <v>0</v>
      </c>
      <c r="U448" s="2">
        <f>IF(Данные6[[#This Row],[Проверка отказа]]="отказ",0,MAX(Данные6[[#This Row],[interest_rate]],$C$1))</f>
        <v>0</v>
      </c>
      <c r="V448" s="2">
        <f>MROUND(Данные6[[#This Row],[Минимум 20000]], 100)</f>
        <v>0</v>
      </c>
    </row>
    <row r="449" spans="1:22" x14ac:dyDescent="0.25">
      <c r="A449" s="2">
        <f>'1000_заявлений'!A443</f>
        <v>441</v>
      </c>
      <c r="B449" s="4">
        <f>VALUE(SUBSTITUTE('1000_заявлений'!B443, ".", ","))</f>
        <v>0.588814435466542</v>
      </c>
      <c r="C449" s="4">
        <f>VALUE(SUBSTITUTE('1000_заявлений'!C443, ".", ","))</f>
        <v>0.31672607253093799</v>
      </c>
      <c r="D449" s="4">
        <f>VALUE(SUBSTITUTE('1000_заявлений'!D443, ".", ","))</f>
        <v>0.33767269999999999</v>
      </c>
      <c r="E449" s="4">
        <f>VALUE(SUBSTITUTE('1000_заявлений'!E443, ".", ","))</f>
        <v>0.59992396999999997</v>
      </c>
      <c r="F449" s="5">
        <f>VALUE(SUBSTITUTE('1000_заявлений'!F443, ".", ","))</f>
        <v>-6430</v>
      </c>
      <c r="G449" s="5">
        <f>VALUE(SUBSTITUTE('1000_заявлений'!G443, ".", ","))</f>
        <v>-12762</v>
      </c>
      <c r="H449" s="5">
        <f>VALUE(SUBSTITUTE('1000_заявлений'!H443, ".", ","))</f>
        <v>-4618</v>
      </c>
      <c r="I449" s="4">
        <f>VALUE(SUBSTITUTE('1000_заявлений'!I443, ".", ","))</f>
        <v>0.25527777777777699</v>
      </c>
      <c r="J449" s="4">
        <f>VALUE(SUBSTITUTE('1000_заявлений'!J443, ".", ","))</f>
        <v>2.4240672998245598</v>
      </c>
      <c r="K449" s="5">
        <f>VALUE(SUBSTITUTE('1000_заявлений'!K443, ".", ","))</f>
        <v>-5891</v>
      </c>
      <c r="L449" s="6">
        <f>VALUE(SUBSTITUTE('1000_заявлений'!L443, ".", ","))</f>
        <v>20677.5</v>
      </c>
      <c r="M449" s="2" t="str">
        <f>IF(Данные6[[#This Row],[proba]]&gt;$C$6, "отказ", "одобрение")</f>
        <v>отказ</v>
      </c>
      <c r="N449" s="7">
        <f>IF(Данные6[[#This Row],[proba]]&lt;$D$2,$C$2,IF(Данные6[[#This Row],[proba]]&lt;$D$3,$C$3,IF(Данные6[[#This Row],[proba]]&gt;$C$6,0,$C$4)))</f>
        <v>0</v>
      </c>
      <c r="O449" s="2">
        <f>IF(Данные6[[#This Row],[weighted_ext_score]]&gt;$O$1,MIN(Данные6[[#This Row],[Базовая сумма]]*$O$2,$C$2),IF(Данные6[[#This Row],[weighted_ext_score]]&lt;$O$3,Данные6[[#This Row],[Базовая сумма]]*$O$4,N449))</f>
        <v>0</v>
      </c>
      <c r="P4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49" s="2">
        <f>ABS(Данные6[[#This Row],[days_birth]])/365.2425</f>
        <v>34.94116922318733</v>
      </c>
      <c r="S4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49" s="2">
        <f>IF(Данные6[[#This Row],[ interest_rate]]&gt;$T$1,Данные6[[#This Row],[days_birth4]]*$T$2,Данные6[[#This Row],[days_birth4]])</f>
        <v>0</v>
      </c>
      <c r="U449" s="2">
        <f>IF(Данные6[[#This Row],[Проверка отказа]]="отказ",0,MAX(Данные6[[#This Row],[interest_rate]],$C$1))</f>
        <v>0</v>
      </c>
      <c r="V449" s="2">
        <f>MROUND(Данные6[[#This Row],[Минимум 20000]], 100)</f>
        <v>0</v>
      </c>
    </row>
    <row r="450" spans="1:22" x14ac:dyDescent="0.25">
      <c r="A450" s="2">
        <f>'1000_заявлений'!A444</f>
        <v>442</v>
      </c>
      <c r="B450" s="4">
        <f>VALUE(SUBSTITUTE('1000_заявлений'!B444, ".", ","))</f>
        <v>0.265943739855451</v>
      </c>
      <c r="C450" s="4">
        <f>VALUE(SUBSTITUTE('1000_заявлений'!C444, ".", ","))</f>
        <v>0.45664375088700698</v>
      </c>
      <c r="D450" s="4">
        <f>VALUE(SUBSTITUTE('1000_заявлений'!D444, ".", ","))</f>
        <v>0.73098737000000003</v>
      </c>
      <c r="E450" s="4">
        <f>VALUE(SUBSTITUTE('1000_заявлений'!E444, ".", ","))</f>
        <v>0.59273874999999998</v>
      </c>
      <c r="F450" s="5">
        <f>VALUE(SUBSTITUTE('1000_заявлений'!F444, ".", ","))</f>
        <v>-5079</v>
      </c>
      <c r="G450" s="5">
        <f>VALUE(SUBSTITUTE('1000_заявлений'!G444, ".", ","))</f>
        <v>-14221</v>
      </c>
      <c r="H450" s="5">
        <f>VALUE(SUBSTITUTE('1000_заявлений'!H444, ".", ","))</f>
        <v>-5155</v>
      </c>
      <c r="I450" s="4">
        <f>VALUE(SUBSTITUTE('1000_заявлений'!I444, ".", ","))</f>
        <v>0.23076923076923</v>
      </c>
      <c r="J450" s="4">
        <f>VALUE(SUBSTITUTE('1000_заявлений'!J444, ".", ","))</f>
        <v>10.6209759779781</v>
      </c>
      <c r="K450" s="5">
        <f>VALUE(SUBSTITUTE('1000_заявлений'!K444, ".", ","))</f>
        <v>-1895</v>
      </c>
      <c r="L450" s="6">
        <f>VALUE(SUBSTITUTE('1000_заявлений'!L444, ".", ","))</f>
        <v>13500</v>
      </c>
      <c r="M450" s="2" t="str">
        <f>IF(Данные6[[#This Row],[proba]]&gt;$C$6, "отказ", "одобрение")</f>
        <v>одобрение</v>
      </c>
      <c r="N450" s="7">
        <f>IF(Данные6[[#This Row],[proba]]&lt;$D$2,$C$2,IF(Данные6[[#This Row],[proba]]&lt;$D$3,$C$3,IF(Данные6[[#This Row],[proba]]&gt;$C$6,0,$C$4)))</f>
        <v>50000</v>
      </c>
      <c r="O450" s="2">
        <f>IF(Данные6[[#This Row],[weighted_ext_score]]&gt;$O$1,MIN(Данные6[[#This Row],[Базовая сумма]]*$O$2,$C$2),IF(Данные6[[#This Row],[weighted_ext_score]]&lt;$O$3,Данные6[[#This Row],[Базовая сумма]]*$O$4,N450))</f>
        <v>40000</v>
      </c>
      <c r="P4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450" s="2">
        <f>ABS(Данные6[[#This Row],[days_birth]])/365.2425</f>
        <v>38.935775546383567</v>
      </c>
      <c r="S4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450" s="2">
        <f>IF(Данные6[[#This Row],[ interest_rate]]&gt;$T$1,Данные6[[#This Row],[days_birth4]]*$T$2,Данные6[[#This Row],[days_birth4]])</f>
        <v>28000</v>
      </c>
      <c r="U450" s="2">
        <f>IF(Данные6[[#This Row],[Проверка отказа]]="отказ",0,MAX(Данные6[[#This Row],[interest_rate]],$C$1))</f>
        <v>28000</v>
      </c>
      <c r="V450" s="2">
        <f>MROUND(Данные6[[#This Row],[Минимум 20000]], 100)</f>
        <v>28000</v>
      </c>
    </row>
    <row r="451" spans="1:22" x14ac:dyDescent="0.25">
      <c r="A451" s="2">
        <f>'1000_заявлений'!A445</f>
        <v>443</v>
      </c>
      <c r="B451" s="4">
        <f>VALUE(SUBSTITUTE('1000_заявлений'!B445, ".", ","))</f>
        <v>0.59290928852084301</v>
      </c>
      <c r="C451" s="4">
        <f>VALUE(SUBSTITUTE('1000_заявлений'!C445, ".", ","))</f>
        <v>0.24350739575213401</v>
      </c>
      <c r="D451" s="4">
        <f>VALUE(SUBSTITUTE('1000_заявлений'!D445, ".", ","))</f>
        <v>0.35233998</v>
      </c>
      <c r="E451" s="4">
        <f>VALUE(SUBSTITUTE('1000_заявлений'!E445, ".", ","))</f>
        <v>0.35784959999999999</v>
      </c>
      <c r="F451" s="5">
        <f>VALUE(SUBSTITUTE('1000_заявлений'!F445, ".", ","))</f>
        <v>-4906</v>
      </c>
      <c r="G451" s="5">
        <f>VALUE(SUBSTITUTE('1000_заявлений'!G445, ".", ","))</f>
        <v>-21340</v>
      </c>
      <c r="H451" s="5">
        <f>VALUE(SUBSTITUTE('1000_заявлений'!H445, ".", ","))</f>
        <v>-623</v>
      </c>
      <c r="I451" s="4">
        <f>VALUE(SUBSTITUTE('1000_заявлений'!I445, ".", ","))</f>
        <v>0.121066666666666</v>
      </c>
      <c r="J451" s="4">
        <f>VALUE(SUBSTITUTE('1000_заявлений'!J445, ".", ","))</f>
        <v>4.7743298088423298</v>
      </c>
      <c r="K451" s="5">
        <f>VALUE(SUBSTITUTE('1000_заявлений'!K445, ".", ","))</f>
        <v>365243</v>
      </c>
      <c r="L451" s="6">
        <f>VALUE(SUBSTITUTE('1000_заявлений'!L445, ".", ","))</f>
        <v>32688</v>
      </c>
      <c r="M451" s="2" t="str">
        <f>IF(Данные6[[#This Row],[proba]]&gt;$C$6, "отказ", "одобрение")</f>
        <v>отказ</v>
      </c>
      <c r="N451" s="7">
        <f>IF(Данные6[[#This Row],[proba]]&lt;$D$2,$C$2,IF(Данные6[[#This Row],[proba]]&lt;$D$3,$C$3,IF(Данные6[[#This Row],[proba]]&gt;$C$6,0,$C$4)))</f>
        <v>0</v>
      </c>
      <c r="O451" s="2">
        <f>IF(Данные6[[#This Row],[weighted_ext_score]]&gt;$O$1,MIN(Данные6[[#This Row],[Базовая сумма]]*$O$2,$C$2),IF(Данные6[[#This Row],[weighted_ext_score]]&lt;$O$3,Данные6[[#This Row],[Базовая сумма]]*$O$4,N451))</f>
        <v>0</v>
      </c>
      <c r="P4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1" s="2">
        <f>ABS(Данные6[[#This Row],[days_birth]])/365.2425</f>
        <v>58.426935529134752</v>
      </c>
      <c r="S4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1" s="2">
        <f>IF(Данные6[[#This Row],[ interest_rate]]&gt;$T$1,Данные6[[#This Row],[days_birth4]]*$T$2,Данные6[[#This Row],[days_birth4]])</f>
        <v>0</v>
      </c>
      <c r="U451" s="2">
        <f>IF(Данные6[[#This Row],[Проверка отказа]]="отказ",0,MAX(Данные6[[#This Row],[interest_rate]],$C$1))</f>
        <v>0</v>
      </c>
      <c r="V451" s="2">
        <f>MROUND(Данные6[[#This Row],[Минимум 20000]], 100)</f>
        <v>0</v>
      </c>
    </row>
    <row r="452" spans="1:22" x14ac:dyDescent="0.25">
      <c r="A452" s="2">
        <f>'1000_заявлений'!A446</f>
        <v>444</v>
      </c>
      <c r="B452" s="4">
        <f>VALUE(SUBSTITUTE('1000_заявлений'!B446, ".", ","))</f>
        <v>0.50847893754242801</v>
      </c>
      <c r="C452" s="4">
        <f>VALUE(SUBSTITUTE('1000_заявлений'!C446, ".", ","))</f>
        <v>0.36474134277001702</v>
      </c>
      <c r="D452" s="4">
        <f>VALUE(SUBSTITUTE('1000_заявлений'!D446, ".", ","))</f>
        <v>0.40314168</v>
      </c>
      <c r="E452" s="4">
        <f>VALUE(SUBSTITUTE('1000_заявлений'!E446, ".", ","))</f>
        <v>0.67495210000000005</v>
      </c>
      <c r="F452" s="5">
        <f>VALUE(SUBSTITUTE('1000_заявлений'!F446, ".", ","))</f>
        <v>-400</v>
      </c>
      <c r="G452" s="5">
        <f>VALUE(SUBSTITUTE('1000_заявлений'!G446, ".", ","))</f>
        <v>-9567</v>
      </c>
      <c r="H452" s="5">
        <f>VALUE(SUBSTITUTE('1000_заявлений'!H446, ".", ","))</f>
        <v>-2224</v>
      </c>
      <c r="I452" s="4">
        <f>VALUE(SUBSTITUTE('1000_заявлений'!I446, ".", ","))</f>
        <v>0.10847999999999999</v>
      </c>
      <c r="J452" s="4">
        <f>VALUE(SUBSTITUTE('1000_заявлений'!J446, ".", ","))</f>
        <v>3.69538293934965</v>
      </c>
      <c r="K452" s="5">
        <f>VALUE(SUBSTITUTE('1000_заявлений'!K446, ".", ","))</f>
        <v>-1568</v>
      </c>
      <c r="L452" s="6">
        <f>VALUE(SUBSTITUTE('1000_заявлений'!L446, ".", ","))</f>
        <v>12204</v>
      </c>
      <c r="M452" s="2" t="str">
        <f>IF(Данные6[[#This Row],[proba]]&gt;$C$6, "отказ", "одобрение")</f>
        <v>отказ</v>
      </c>
      <c r="N452" s="7">
        <f>IF(Данные6[[#This Row],[proba]]&lt;$D$2,$C$2,IF(Данные6[[#This Row],[proba]]&lt;$D$3,$C$3,IF(Данные6[[#This Row],[proba]]&gt;$C$6,0,$C$4)))</f>
        <v>0</v>
      </c>
      <c r="O452" s="2">
        <f>IF(Данные6[[#This Row],[weighted_ext_score]]&gt;$O$1,MIN(Данные6[[#This Row],[Базовая сумма]]*$O$2,$C$2),IF(Данные6[[#This Row],[weighted_ext_score]]&lt;$O$3,Данные6[[#This Row],[Базовая сумма]]*$O$4,N452))</f>
        <v>0</v>
      </c>
      <c r="P4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2" s="2">
        <f>ABS(Данные6[[#This Row],[days_birth]])/365.2425</f>
        <v>26.193556335859054</v>
      </c>
      <c r="S4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2" s="2">
        <f>IF(Данные6[[#This Row],[ interest_rate]]&gt;$T$1,Данные6[[#This Row],[days_birth4]]*$T$2,Данные6[[#This Row],[days_birth4]])</f>
        <v>0</v>
      </c>
      <c r="U452" s="2">
        <f>IF(Данные6[[#This Row],[Проверка отказа]]="отказ",0,MAX(Данные6[[#This Row],[interest_rate]],$C$1))</f>
        <v>0</v>
      </c>
      <c r="V452" s="2">
        <f>MROUND(Данные6[[#This Row],[Минимум 20000]], 100)</f>
        <v>0</v>
      </c>
    </row>
    <row r="453" spans="1:22" x14ac:dyDescent="0.25">
      <c r="A453" s="2">
        <f>'1000_заявлений'!A447</f>
        <v>445</v>
      </c>
      <c r="B453" s="4">
        <f>VALUE(SUBSTITUTE('1000_заявлений'!B447, ".", ","))</f>
        <v>0.60399578451246305</v>
      </c>
      <c r="C453" s="4">
        <f>VALUE(SUBSTITUTE('1000_заявлений'!C447, ".", ","))</f>
        <v>0.28485534915231497</v>
      </c>
      <c r="D453" s="4">
        <f>VALUE(SUBSTITUTE('1000_заявлений'!D447, ".", ","))</f>
        <v>0.52629495000000004</v>
      </c>
      <c r="E453" s="4">
        <f>VALUE(SUBSTITUTE('1000_заявлений'!E447, ".", ","))</f>
        <v>0.29136649999999997</v>
      </c>
      <c r="F453" s="5">
        <f>VALUE(SUBSTITUTE('1000_заявлений'!F447, ".", ","))</f>
        <v>-7664</v>
      </c>
      <c r="G453" s="5">
        <f>VALUE(SUBSTITUTE('1000_заявлений'!G447, ".", ","))</f>
        <v>-16963</v>
      </c>
      <c r="H453" s="5">
        <f>VALUE(SUBSTITUTE('1000_заявлений'!H447, ".", ","))</f>
        <v>-511</v>
      </c>
      <c r="I453" s="4">
        <f>VALUE(SUBSTITUTE('1000_заявлений'!I447, ".", ","))</f>
        <v>0.226333333333333</v>
      </c>
      <c r="J453" s="4">
        <f>VALUE(SUBSTITUTE('1000_заявлений'!J447, ".", ","))</f>
        <v>4.1322313349679796</v>
      </c>
      <c r="K453" s="5">
        <f>VALUE(SUBSTITUTE('1000_заявлений'!K447, ".", ","))</f>
        <v>-1314</v>
      </c>
      <c r="L453" s="6">
        <f>VALUE(SUBSTITUTE('1000_заявлений'!L447, ".", ","))</f>
        <v>39721.5</v>
      </c>
      <c r="M453" s="2" t="str">
        <f>IF(Данные6[[#This Row],[proba]]&gt;$C$6, "отказ", "одобрение")</f>
        <v>отказ</v>
      </c>
      <c r="N453" s="7">
        <f>IF(Данные6[[#This Row],[proba]]&lt;$D$2,$C$2,IF(Данные6[[#This Row],[proba]]&lt;$D$3,$C$3,IF(Данные6[[#This Row],[proba]]&gt;$C$6,0,$C$4)))</f>
        <v>0</v>
      </c>
      <c r="O453" s="2">
        <f>IF(Данные6[[#This Row],[weighted_ext_score]]&gt;$O$1,MIN(Данные6[[#This Row],[Базовая сумма]]*$O$2,$C$2),IF(Данные6[[#This Row],[weighted_ext_score]]&lt;$O$3,Данные6[[#This Row],[Базовая сумма]]*$O$4,N453))</f>
        <v>0</v>
      </c>
      <c r="P4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3" s="2">
        <f>ABS(Данные6[[#This Row],[days_birth]])/365.2425</f>
        <v>46.443116559546056</v>
      </c>
      <c r="S4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3" s="2">
        <f>IF(Данные6[[#This Row],[ interest_rate]]&gt;$T$1,Данные6[[#This Row],[days_birth4]]*$T$2,Данные6[[#This Row],[days_birth4]])</f>
        <v>0</v>
      </c>
      <c r="U453" s="2">
        <f>IF(Данные6[[#This Row],[Проверка отказа]]="отказ",0,MAX(Данные6[[#This Row],[interest_rate]],$C$1))</f>
        <v>0</v>
      </c>
      <c r="V453" s="2">
        <f>MROUND(Данные6[[#This Row],[Минимум 20000]], 100)</f>
        <v>0</v>
      </c>
    </row>
    <row r="454" spans="1:22" x14ac:dyDescent="0.25">
      <c r="A454" s="2">
        <f>'1000_заявлений'!A448</f>
        <v>446</v>
      </c>
      <c r="B454" s="4">
        <f>VALUE(SUBSTITUTE('1000_заявлений'!B448, ".", ","))</f>
        <v>0.20328138248911601</v>
      </c>
      <c r="C454" s="4">
        <f>VALUE(SUBSTITUTE('1000_заявлений'!C448, ".", ","))</f>
        <v>0.55716224292986605</v>
      </c>
      <c r="D454" s="4">
        <f>VALUE(SUBSTITUTE('1000_заявлений'!D448, ".", ","))</f>
        <v>0.68170589999999998</v>
      </c>
      <c r="E454" s="4">
        <f>VALUE(SUBSTITUTE('1000_заявлений'!E448, ".", ","))</f>
        <v>0.55184334999999995</v>
      </c>
      <c r="F454" s="5">
        <f>VALUE(SUBSTITUTE('1000_заявлений'!F448, ".", ","))</f>
        <v>-10943</v>
      </c>
      <c r="G454" s="5">
        <f>VALUE(SUBSTITUTE('1000_заявлений'!G448, ".", ","))</f>
        <v>-21779</v>
      </c>
      <c r="H454" s="5">
        <f>VALUE(SUBSTITUTE('1000_заявлений'!H448, ".", ","))</f>
        <v>-4788</v>
      </c>
      <c r="I454" s="4">
        <f>VALUE(SUBSTITUTE('1000_заявлений'!I448, ".", ","))</f>
        <v>0.20785714285714199</v>
      </c>
      <c r="J454" s="4">
        <f>VALUE(SUBSTITUTE('1000_заявлений'!J448, ".", ","))</f>
        <v>2.4561869564405798</v>
      </c>
      <c r="K454" s="5">
        <f>VALUE(SUBSTITUTE('1000_заявлений'!K448, ".", ","))</f>
        <v>365243</v>
      </c>
      <c r="L454" s="6">
        <f>VALUE(SUBSTITUTE('1000_заявлений'!L448, ".", ","))</f>
        <v>32737.5</v>
      </c>
      <c r="M454" s="2" t="str">
        <f>IF(Данные6[[#This Row],[proba]]&gt;$C$6, "отказ", "одобрение")</f>
        <v>одобрение</v>
      </c>
      <c r="N454" s="7">
        <f>IF(Данные6[[#This Row],[proba]]&lt;$D$2,$C$2,IF(Данные6[[#This Row],[proba]]&lt;$D$3,$C$3,IF(Данные6[[#This Row],[proba]]&gt;$C$6,0,$C$4)))</f>
        <v>50000</v>
      </c>
      <c r="O454" s="2">
        <f>IF(Данные6[[#This Row],[weighted_ext_score]]&gt;$O$1,MIN(Данные6[[#This Row],[Базовая сумма]]*$O$2,$C$2),IF(Данные6[[#This Row],[weighted_ext_score]]&lt;$O$3,Данные6[[#This Row],[Базовая сумма]]*$O$4,N454))</f>
        <v>50000</v>
      </c>
      <c r="P4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454" s="2">
        <f>ABS(Данные6[[#This Row],[days_birth]])/365.2425</f>
        <v>59.628876705202707</v>
      </c>
      <c r="S4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454" s="2">
        <f>IF(Данные6[[#This Row],[ interest_rate]]&gt;$T$1,Данные6[[#This Row],[days_birth4]]*$T$2,Данные6[[#This Row],[days_birth4]])</f>
        <v>52500</v>
      </c>
      <c r="U454" s="2">
        <f>IF(Данные6[[#This Row],[Проверка отказа]]="отказ",0,MAX(Данные6[[#This Row],[interest_rate]],$C$1))</f>
        <v>52500</v>
      </c>
      <c r="V454" s="2">
        <f>MROUND(Данные6[[#This Row],[Минимум 20000]], 100)</f>
        <v>52500</v>
      </c>
    </row>
    <row r="455" spans="1:22" x14ac:dyDescent="0.25">
      <c r="A455" s="2">
        <f>'1000_заявлений'!A449</f>
        <v>447</v>
      </c>
      <c r="B455" s="4">
        <f>VALUE(SUBSTITUTE('1000_заявлений'!B449, ".", ","))</f>
        <v>0.76713263926646902</v>
      </c>
      <c r="C455" s="4">
        <f>VALUE(SUBSTITUTE('1000_заявлений'!C449, ".", ","))</f>
        <v>0.19129467139625</v>
      </c>
      <c r="D455" s="4">
        <f>VALUE(SUBSTITUTE('1000_заявлений'!D449, ".", ","))</f>
        <v>0.17352743000000001</v>
      </c>
      <c r="E455" s="4">
        <f>VALUE(SUBSTITUTE('1000_заявлений'!E449, ".", ","))</f>
        <v>0.39625440000000001</v>
      </c>
      <c r="F455" s="5">
        <f>VALUE(SUBSTITUTE('1000_заявлений'!F449, ".", ","))</f>
        <v>-454</v>
      </c>
      <c r="G455" s="5">
        <f>VALUE(SUBSTITUTE('1000_заявлений'!G449, ".", ","))</f>
        <v>-12852</v>
      </c>
      <c r="H455" s="5">
        <f>VALUE(SUBSTITUTE('1000_заявлений'!H449, ".", ","))</f>
        <v>-3394</v>
      </c>
      <c r="I455" s="4">
        <f>VALUE(SUBSTITUTE('1000_заявлений'!I449, ".", ","))</f>
        <v>0.13304444444444399</v>
      </c>
      <c r="J455" s="4">
        <f>VALUE(SUBSTITUTE('1000_заявлений'!J449, ".", ","))</f>
        <v>4.6866705053831303</v>
      </c>
      <c r="K455" s="5">
        <f>VALUE(SUBSTITUTE('1000_заявлений'!K449, ".", ","))</f>
        <v>-753</v>
      </c>
      <c r="L455" s="6">
        <f>VALUE(SUBSTITUTE('1000_заявлений'!L449, ".", ","))</f>
        <v>26941.5</v>
      </c>
      <c r="M455" s="2" t="str">
        <f>IF(Данные6[[#This Row],[proba]]&gt;$C$6, "отказ", "одобрение")</f>
        <v>отказ</v>
      </c>
      <c r="N455" s="7">
        <f>IF(Данные6[[#This Row],[proba]]&lt;$D$2,$C$2,IF(Данные6[[#This Row],[proba]]&lt;$D$3,$C$3,IF(Данные6[[#This Row],[proba]]&gt;$C$6,0,$C$4)))</f>
        <v>0</v>
      </c>
      <c r="O455" s="2">
        <f>IF(Данные6[[#This Row],[weighted_ext_score]]&gt;$O$1,MIN(Данные6[[#This Row],[Базовая сумма]]*$O$2,$C$2),IF(Данные6[[#This Row],[weighted_ext_score]]&lt;$O$3,Данные6[[#This Row],[Базовая сумма]]*$O$4,N455))</f>
        <v>0</v>
      </c>
      <c r="P4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5" s="2">
        <f>ABS(Данные6[[#This Row],[days_birth]])/365.2425</f>
        <v>35.1875808538163</v>
      </c>
      <c r="S4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5" s="2">
        <f>IF(Данные6[[#This Row],[ interest_rate]]&gt;$T$1,Данные6[[#This Row],[days_birth4]]*$T$2,Данные6[[#This Row],[days_birth4]])</f>
        <v>0</v>
      </c>
      <c r="U455" s="2">
        <f>IF(Данные6[[#This Row],[Проверка отказа]]="отказ",0,MAX(Данные6[[#This Row],[interest_rate]],$C$1))</f>
        <v>0</v>
      </c>
      <c r="V455" s="2">
        <f>MROUND(Данные6[[#This Row],[Минимум 20000]], 100)</f>
        <v>0</v>
      </c>
    </row>
    <row r="456" spans="1:22" x14ac:dyDescent="0.25">
      <c r="A456" s="2">
        <f>'1000_заявлений'!A450</f>
        <v>448</v>
      </c>
      <c r="B456" s="4">
        <f>VALUE(SUBSTITUTE('1000_заявлений'!B450, ".", ","))</f>
        <v>0.59303540452290404</v>
      </c>
      <c r="C456" s="4">
        <f>VALUE(SUBSTITUTE('1000_заявлений'!C450, ".", ","))</f>
        <v>0.37412504431002502</v>
      </c>
      <c r="D456" s="4">
        <f>VALUE(SUBSTITUTE('1000_заявлений'!D450, ".", ","))</f>
        <v>0.4632753</v>
      </c>
      <c r="E456" s="4">
        <f>VALUE(SUBSTITUTE('1000_заявлений'!E450, ".", ","))</f>
        <v>0.31782539999999998</v>
      </c>
      <c r="F456" s="5">
        <f>VALUE(SUBSTITUTE('1000_заявлений'!F450, ".", ","))</f>
        <v>-400</v>
      </c>
      <c r="G456" s="5">
        <f>VALUE(SUBSTITUTE('1000_заявлений'!G450, ".", ","))</f>
        <v>-15368</v>
      </c>
      <c r="H456" s="5">
        <f>VALUE(SUBSTITUTE('1000_заявлений'!H450, ".", ","))</f>
        <v>-4430</v>
      </c>
      <c r="I456" s="4">
        <f>VALUE(SUBSTITUTE('1000_заявлений'!I450, ".", ","))</f>
        <v>0.2104</v>
      </c>
      <c r="J456" s="4">
        <f>VALUE(SUBSTITUTE('1000_заявлений'!J450, ".", ","))</f>
        <v>2.02626524006561</v>
      </c>
      <c r="K456" s="5">
        <f>VALUE(SUBSTITUTE('1000_заявлений'!K450, ".", ","))</f>
        <v>-3094</v>
      </c>
      <c r="L456" s="6">
        <f>VALUE(SUBSTITUTE('1000_заявлений'!L450, ".", ","))</f>
        <v>23670</v>
      </c>
      <c r="M456" s="2" t="str">
        <f>IF(Данные6[[#This Row],[proba]]&gt;$C$6, "отказ", "одобрение")</f>
        <v>отказ</v>
      </c>
      <c r="N456" s="7">
        <f>IF(Данные6[[#This Row],[proba]]&lt;$D$2,$C$2,IF(Данные6[[#This Row],[proba]]&lt;$D$3,$C$3,IF(Данные6[[#This Row],[proba]]&gt;$C$6,0,$C$4)))</f>
        <v>0</v>
      </c>
      <c r="O456" s="2">
        <f>IF(Данные6[[#This Row],[weighted_ext_score]]&gt;$O$1,MIN(Данные6[[#This Row],[Базовая сумма]]*$O$2,$C$2),IF(Данные6[[#This Row],[weighted_ext_score]]&lt;$O$3,Данные6[[#This Row],[Базовая сумма]]*$O$4,N456))</f>
        <v>0</v>
      </c>
      <c r="P4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6" s="2">
        <f>ABS(Данные6[[#This Row],[days_birth]])/365.2425</f>
        <v>42.076154883399383</v>
      </c>
      <c r="S4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6" s="2">
        <f>IF(Данные6[[#This Row],[ interest_rate]]&gt;$T$1,Данные6[[#This Row],[days_birth4]]*$T$2,Данные6[[#This Row],[days_birth4]])</f>
        <v>0</v>
      </c>
      <c r="U456" s="2">
        <f>IF(Данные6[[#This Row],[Проверка отказа]]="отказ",0,MAX(Данные6[[#This Row],[interest_rate]],$C$1))</f>
        <v>0</v>
      </c>
      <c r="V456" s="2">
        <f>MROUND(Данные6[[#This Row],[Минимум 20000]], 100)</f>
        <v>0</v>
      </c>
    </row>
    <row r="457" spans="1:22" x14ac:dyDescent="0.25">
      <c r="A457" s="2">
        <f>'1000_заявлений'!A451</f>
        <v>449</v>
      </c>
      <c r="B457" s="4">
        <f>VALUE(SUBSTITUTE('1000_заявлений'!B451, ".", ","))</f>
        <v>0.57308769110237401</v>
      </c>
      <c r="C457" s="4">
        <f>VALUE(SUBSTITUTE('1000_заявлений'!C451, ".", ","))</f>
        <v>0.37495916131443502</v>
      </c>
      <c r="D457" s="4">
        <f>VALUE(SUBSTITUTE('1000_заявлений'!D451, ".", ","))</f>
        <v>0.30010775000000001</v>
      </c>
      <c r="E457" s="4">
        <f>VALUE(SUBSTITUTE('1000_заявлений'!E451, ".", ","))</f>
        <v>0.55035559999999994</v>
      </c>
      <c r="F457" s="5">
        <f>VALUE(SUBSTITUTE('1000_заявлений'!F451, ".", ","))</f>
        <v>-6459</v>
      </c>
      <c r="G457" s="5">
        <f>VALUE(SUBSTITUTE('1000_заявлений'!G451, ".", ","))</f>
        <v>-14366</v>
      </c>
      <c r="H457" s="5">
        <f>VALUE(SUBSTITUTE('1000_заявлений'!H451, ".", ","))</f>
        <v>-4411</v>
      </c>
      <c r="I457" s="4">
        <f>VALUE(SUBSTITUTE('1000_заявлений'!I451, ".", ","))</f>
        <v>0.24616666666666601</v>
      </c>
      <c r="J457" s="4">
        <f>VALUE(SUBSTITUTE('1000_заявлений'!J451, ".", ","))</f>
        <v>3.7121066670674199</v>
      </c>
      <c r="K457" s="5">
        <f>VALUE(SUBSTITUTE('1000_заявлений'!K451, ".", ","))</f>
        <v>-3379</v>
      </c>
      <c r="L457" s="6">
        <f>VALUE(SUBSTITUTE('1000_заявлений'!L451, ".", ","))</f>
        <v>33232.5</v>
      </c>
      <c r="M457" s="2" t="str">
        <f>IF(Данные6[[#This Row],[proba]]&gt;$C$6, "отказ", "одобрение")</f>
        <v>отказ</v>
      </c>
      <c r="N457" s="7">
        <f>IF(Данные6[[#This Row],[proba]]&lt;$D$2,$C$2,IF(Данные6[[#This Row],[proba]]&lt;$D$3,$C$3,IF(Данные6[[#This Row],[proba]]&gt;$C$6,0,$C$4)))</f>
        <v>0</v>
      </c>
      <c r="O457" s="2">
        <f>IF(Данные6[[#This Row],[weighted_ext_score]]&gt;$O$1,MIN(Данные6[[#This Row],[Базовая сумма]]*$O$2,$C$2),IF(Данные6[[#This Row],[weighted_ext_score]]&lt;$O$3,Данные6[[#This Row],[Базовая сумма]]*$O$4,N457))</f>
        <v>0</v>
      </c>
      <c r="P4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7" s="2">
        <f>ABS(Данные6[[#This Row],[days_birth]])/365.2425</f>
        <v>39.332772062396899</v>
      </c>
      <c r="S4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7" s="2">
        <f>IF(Данные6[[#This Row],[ interest_rate]]&gt;$T$1,Данные6[[#This Row],[days_birth4]]*$T$2,Данные6[[#This Row],[days_birth4]])</f>
        <v>0</v>
      </c>
      <c r="U457" s="2">
        <f>IF(Данные6[[#This Row],[Проверка отказа]]="отказ",0,MAX(Данные6[[#This Row],[interest_rate]],$C$1))</f>
        <v>0</v>
      </c>
      <c r="V457" s="2">
        <f>MROUND(Данные6[[#This Row],[Минимум 20000]], 100)</f>
        <v>0</v>
      </c>
    </row>
    <row r="458" spans="1:22" x14ac:dyDescent="0.25">
      <c r="A458" s="2">
        <f>'1000_заявлений'!A452</f>
        <v>450</v>
      </c>
      <c r="B458" s="4">
        <f>VALUE(SUBSTITUTE('1000_заявлений'!B452, ".", ","))</f>
        <v>0.74733907556794299</v>
      </c>
      <c r="C458" s="4">
        <f>VALUE(SUBSTITUTE('1000_заявлений'!C452, ".", ","))</f>
        <v>0.230540783590368</v>
      </c>
      <c r="D458" s="4">
        <f>VALUE(SUBSTITUTE('1000_заявлений'!D452, ".", ","))</f>
        <v>0.14644207000000001</v>
      </c>
      <c r="E458" s="4">
        <f>VALUE(SUBSTITUTE('1000_заявлений'!E452, ".", ","))</f>
        <v>0.5474426</v>
      </c>
      <c r="F458" s="5">
        <f>VALUE(SUBSTITUTE('1000_заявлений'!F452, ".", ","))</f>
        <v>-1029</v>
      </c>
      <c r="G458" s="5">
        <f>VALUE(SUBSTITUTE('1000_заявлений'!G452, ".", ","))</f>
        <v>-8711</v>
      </c>
      <c r="H458" s="5">
        <f>VALUE(SUBSTITUTE('1000_заявлений'!H452, ".", ","))</f>
        <v>-1400</v>
      </c>
      <c r="I458" s="4">
        <f>VALUE(SUBSTITUTE('1000_заявлений'!I452, ".", ","))</f>
        <v>0.14799999999999999</v>
      </c>
      <c r="J458" s="4">
        <f>VALUE(SUBSTITUTE('1000_заявлений'!J452, ".", ","))</f>
        <v>7.17077427805736</v>
      </c>
      <c r="K458" s="5">
        <f>VALUE(SUBSTITUTE('1000_заявлений'!K452, ".", ","))</f>
        <v>-717</v>
      </c>
      <c r="L458" s="6">
        <f>VALUE(SUBSTITUTE('1000_заявлений'!L452, ".", ","))</f>
        <v>16650</v>
      </c>
      <c r="M458" s="2" t="str">
        <f>IF(Данные6[[#This Row],[proba]]&gt;$C$6, "отказ", "одобрение")</f>
        <v>отказ</v>
      </c>
      <c r="N458" s="7">
        <f>IF(Данные6[[#This Row],[proba]]&lt;$D$2,$C$2,IF(Данные6[[#This Row],[proba]]&lt;$D$3,$C$3,IF(Данные6[[#This Row],[proba]]&gt;$C$6,0,$C$4)))</f>
        <v>0</v>
      </c>
      <c r="O458" s="2">
        <f>IF(Данные6[[#This Row],[weighted_ext_score]]&gt;$O$1,MIN(Данные6[[#This Row],[Базовая сумма]]*$O$2,$C$2),IF(Данные6[[#This Row],[weighted_ext_score]]&lt;$O$3,Данные6[[#This Row],[Базовая сумма]]*$O$4,N458))</f>
        <v>0</v>
      </c>
      <c r="P4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8" s="2">
        <f>ABS(Данные6[[#This Row],[days_birth]])/365.2425</f>
        <v>23.849907937876889</v>
      </c>
      <c r="S4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8" s="2">
        <f>IF(Данные6[[#This Row],[ interest_rate]]&gt;$T$1,Данные6[[#This Row],[days_birth4]]*$T$2,Данные6[[#This Row],[days_birth4]])</f>
        <v>0</v>
      </c>
      <c r="U458" s="2">
        <f>IF(Данные6[[#This Row],[Проверка отказа]]="отказ",0,MAX(Данные6[[#This Row],[interest_rate]],$C$1))</f>
        <v>0</v>
      </c>
      <c r="V458" s="2">
        <f>MROUND(Данные6[[#This Row],[Минимум 20000]], 100)</f>
        <v>0</v>
      </c>
    </row>
    <row r="459" spans="1:22" x14ac:dyDescent="0.25">
      <c r="A459" s="2">
        <f>'1000_заявлений'!A453</f>
        <v>451</v>
      </c>
      <c r="B459" s="4">
        <f>VALUE(SUBSTITUTE('1000_заявлений'!B453, ".", ","))</f>
        <v>0.31769003832408699</v>
      </c>
      <c r="C459" s="4">
        <f>VALUE(SUBSTITUTE('1000_заявлений'!C453, ".", ","))</f>
        <v>0.55611358863534299</v>
      </c>
      <c r="D459" s="4">
        <f>VALUE(SUBSTITUTE('1000_заявлений'!D453, ".", ","))</f>
        <v>0.57091652999999998</v>
      </c>
      <c r="E459" s="4">
        <f>VALUE(SUBSTITUTE('1000_заявлений'!E453, ".", ","))</f>
        <v>0.26118513999999998</v>
      </c>
      <c r="F459" s="5">
        <f>VALUE(SUBSTITUTE('1000_заявлений'!F453, ".", ","))</f>
        <v>-4030</v>
      </c>
      <c r="G459" s="5">
        <f>VALUE(SUBSTITUTE('1000_заявлений'!G453, ".", ","))</f>
        <v>-23003</v>
      </c>
      <c r="H459" s="5">
        <f>VALUE(SUBSTITUTE('1000_заявлений'!H453, ".", ","))</f>
        <v>-4860</v>
      </c>
      <c r="I459" s="4">
        <f>VALUE(SUBSTITUTE('1000_заявлений'!I453, ".", ","))</f>
        <v>0.14353333333333301</v>
      </c>
      <c r="J459" s="4">
        <f>VALUE(SUBSTITUTE('1000_заявлений'!J453, ".", ","))</f>
        <v>6.6610326429179896</v>
      </c>
      <c r="K459" s="5">
        <f>VALUE(SUBSTITUTE('1000_заявлений'!K453, ".", ","))</f>
        <v>365243</v>
      </c>
      <c r="L459" s="6">
        <f>VALUE(SUBSTITUTE('1000_заявлений'!L453, ".", ","))</f>
        <v>29065.5</v>
      </c>
      <c r="M459" s="2" t="str">
        <f>IF(Данные6[[#This Row],[proba]]&gt;$C$6, "отказ", "одобрение")</f>
        <v>отказ</v>
      </c>
      <c r="N459" s="7">
        <f>IF(Данные6[[#This Row],[proba]]&lt;$D$2,$C$2,IF(Данные6[[#This Row],[proba]]&lt;$D$3,$C$3,IF(Данные6[[#This Row],[proba]]&gt;$C$6,0,$C$4)))</f>
        <v>0</v>
      </c>
      <c r="O459" s="2">
        <f>IF(Данные6[[#This Row],[weighted_ext_score]]&gt;$O$1,MIN(Данные6[[#This Row],[Базовая сумма]]*$O$2,$C$2),IF(Данные6[[#This Row],[weighted_ext_score]]&lt;$O$3,Данные6[[#This Row],[Базовая сумма]]*$O$4,N459))</f>
        <v>0</v>
      </c>
      <c r="P4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59" s="2">
        <f>ABS(Данные6[[#This Row],[days_birth]])/365.2425</f>
        <v>62.980074881756643</v>
      </c>
      <c r="S4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59" s="2">
        <f>IF(Данные6[[#This Row],[ interest_rate]]&gt;$T$1,Данные6[[#This Row],[days_birth4]]*$T$2,Данные6[[#This Row],[days_birth4]])</f>
        <v>0</v>
      </c>
      <c r="U459" s="2">
        <f>IF(Данные6[[#This Row],[Проверка отказа]]="отказ",0,MAX(Данные6[[#This Row],[interest_rate]],$C$1))</f>
        <v>0</v>
      </c>
      <c r="V459" s="2">
        <f>MROUND(Данные6[[#This Row],[Минимум 20000]], 100)</f>
        <v>0</v>
      </c>
    </row>
    <row r="460" spans="1:22" x14ac:dyDescent="0.25">
      <c r="A460" s="2">
        <f>'1000_заявлений'!A454</f>
        <v>452</v>
      </c>
      <c r="B460" s="4">
        <f>VALUE(SUBSTITUTE('1000_заявлений'!B454, ".", ","))</f>
        <v>0.69597202986839402</v>
      </c>
      <c r="C460" s="4">
        <f>VALUE(SUBSTITUTE('1000_заявлений'!C454, ".", ","))</f>
        <v>0.27140165667878202</v>
      </c>
      <c r="D460" s="4">
        <f>VALUE(SUBSTITUTE('1000_заявлений'!D454, ".", ","))</f>
        <v>4.5052114999999997E-2</v>
      </c>
      <c r="E460" s="4">
        <f>VALUE(SUBSTITUTE('1000_заявлений'!E454, ".", ","))</f>
        <v>0.65392890000000004</v>
      </c>
      <c r="F460" s="5">
        <f>VALUE(SUBSTITUTE('1000_заявлений'!F454, ".", ","))</f>
        <v>-2131</v>
      </c>
      <c r="G460" s="5">
        <f>VALUE(SUBSTITUTE('1000_заявлений'!G454, ".", ","))</f>
        <v>-10259</v>
      </c>
      <c r="H460" s="5">
        <f>VALUE(SUBSTITUTE('1000_заявлений'!H454, ".", ","))</f>
        <v>-2137</v>
      </c>
      <c r="I460" s="4">
        <f>VALUE(SUBSTITUTE('1000_заявлений'!I454, ".", ","))</f>
        <v>0.32075675675675602</v>
      </c>
      <c r="J460" s="4">
        <f>VALUE(SUBSTITUTE('1000_заявлений'!J454, ".", ","))</f>
        <v>17.3011913436535</v>
      </c>
      <c r="K460" s="5">
        <f>VALUE(SUBSTITUTE('1000_заявлений'!K454, ".", ","))</f>
        <v>-989</v>
      </c>
      <c r="L460" s="6">
        <f>VALUE(SUBSTITUTE('1000_заявлений'!L454, ".", ","))</f>
        <v>53406</v>
      </c>
      <c r="M460" s="2" t="str">
        <f>IF(Данные6[[#This Row],[proba]]&gt;$C$6, "отказ", "одобрение")</f>
        <v>отказ</v>
      </c>
      <c r="N460" s="7">
        <f>IF(Данные6[[#This Row],[proba]]&lt;$D$2,$C$2,IF(Данные6[[#This Row],[proba]]&lt;$D$3,$C$3,IF(Данные6[[#This Row],[proba]]&gt;$C$6,0,$C$4)))</f>
        <v>0</v>
      </c>
      <c r="O460" s="2">
        <f>IF(Данные6[[#This Row],[weighted_ext_score]]&gt;$O$1,MIN(Данные6[[#This Row],[Базовая сумма]]*$O$2,$C$2),IF(Данные6[[#This Row],[weighted_ext_score]]&lt;$O$3,Данные6[[#This Row],[Базовая сумма]]*$O$4,N460))</f>
        <v>0</v>
      </c>
      <c r="P4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0" s="2">
        <f>ABS(Данные6[[#This Row],[days_birth]])/365.2425</f>
        <v>28.0881879846951</v>
      </c>
      <c r="S4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0" s="2">
        <f>IF(Данные6[[#This Row],[ interest_rate]]&gt;$T$1,Данные6[[#This Row],[days_birth4]]*$T$2,Данные6[[#This Row],[days_birth4]])</f>
        <v>0</v>
      </c>
      <c r="U460" s="2">
        <f>IF(Данные6[[#This Row],[Проверка отказа]]="отказ",0,MAX(Данные6[[#This Row],[interest_rate]],$C$1))</f>
        <v>0</v>
      </c>
      <c r="V460" s="2">
        <f>MROUND(Данные6[[#This Row],[Минимум 20000]], 100)</f>
        <v>0</v>
      </c>
    </row>
    <row r="461" spans="1:22" x14ac:dyDescent="0.25">
      <c r="A461" s="2">
        <f>'1000_заявлений'!A455</f>
        <v>453</v>
      </c>
      <c r="B461" s="4">
        <f>VALUE(SUBSTITUTE('1000_заявлений'!B455, ".", ","))</f>
        <v>0.32120002324452102</v>
      </c>
      <c r="C461" s="4">
        <f>VALUE(SUBSTITUTE('1000_заявлений'!C455, ".", ","))</f>
        <v>0.54699963989563105</v>
      </c>
      <c r="D461" s="4">
        <f>VALUE(SUBSTITUTE('1000_заявлений'!D455, ".", ","))</f>
        <v>0.48124932999999998</v>
      </c>
      <c r="E461" s="4">
        <f>VALUE(SUBSTITUTE('1000_заявлений'!E455, ".", ","))</f>
        <v>0.71011084000000002</v>
      </c>
      <c r="F461" s="5">
        <f>VALUE(SUBSTITUTE('1000_заявлений'!F455, ".", ","))</f>
        <v>-1173</v>
      </c>
      <c r="G461" s="5">
        <f>VALUE(SUBSTITUTE('1000_заявлений'!G455, ".", ","))</f>
        <v>-13188</v>
      </c>
      <c r="H461" s="5">
        <f>VALUE(SUBSTITUTE('1000_заявлений'!H455, ".", ","))</f>
        <v>-3997</v>
      </c>
      <c r="I461" s="4">
        <f>VALUE(SUBSTITUTE('1000_заявлений'!I455, ".", ","))</f>
        <v>8.9213333333333297E-2</v>
      </c>
      <c r="J461" s="4">
        <f>VALUE(SUBSTITUTE('1000_заявлений'!J455, ".", ","))</f>
        <v>1.1920383011848601</v>
      </c>
      <c r="K461" s="5">
        <f>VALUE(SUBSTITUTE('1000_заявлений'!K455, ".", ","))</f>
        <v>-1927</v>
      </c>
      <c r="L461" s="6">
        <f>VALUE(SUBSTITUTE('1000_заявлений'!L455, ".", ","))</f>
        <v>30109.5</v>
      </c>
      <c r="M461" s="2" t="str">
        <f>IF(Данные6[[#This Row],[proba]]&gt;$C$6, "отказ", "одобрение")</f>
        <v>отказ</v>
      </c>
      <c r="N461" s="7">
        <f>IF(Данные6[[#This Row],[proba]]&lt;$D$2,$C$2,IF(Данные6[[#This Row],[proba]]&lt;$D$3,$C$3,IF(Данные6[[#This Row],[proba]]&gt;$C$6,0,$C$4)))</f>
        <v>0</v>
      </c>
      <c r="O461" s="2">
        <f>IF(Данные6[[#This Row],[weighted_ext_score]]&gt;$O$1,MIN(Данные6[[#This Row],[Базовая сумма]]*$O$2,$C$2),IF(Данные6[[#This Row],[weighted_ext_score]]&lt;$O$3,Данные6[[#This Row],[Базовая сумма]]*$O$4,N461))</f>
        <v>0</v>
      </c>
      <c r="P4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1" s="2">
        <f>ABS(Данные6[[#This Row],[days_birth]])/365.2425</f>
        <v>36.107517608164436</v>
      </c>
      <c r="S4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1" s="2">
        <f>IF(Данные6[[#This Row],[ interest_rate]]&gt;$T$1,Данные6[[#This Row],[days_birth4]]*$T$2,Данные6[[#This Row],[days_birth4]])</f>
        <v>0</v>
      </c>
      <c r="U461" s="2">
        <f>IF(Данные6[[#This Row],[Проверка отказа]]="отказ",0,MAX(Данные6[[#This Row],[interest_rate]],$C$1))</f>
        <v>0</v>
      </c>
      <c r="V461" s="2">
        <f>MROUND(Данные6[[#This Row],[Минимум 20000]], 100)</f>
        <v>0</v>
      </c>
    </row>
    <row r="462" spans="1:22" x14ac:dyDescent="0.25">
      <c r="A462" s="2">
        <f>'1000_заявлений'!A456</f>
        <v>454</v>
      </c>
      <c r="B462" s="4">
        <f>VALUE(SUBSTITUTE('1000_заявлений'!B456, ".", ","))</f>
        <v>0.49898876539166998</v>
      </c>
      <c r="C462" s="4">
        <f>VALUE(SUBSTITUTE('1000_заявлений'!C456, ".", ","))</f>
        <v>0.455431949918708</v>
      </c>
      <c r="D462" s="4">
        <f>VALUE(SUBSTITUTE('1000_заявлений'!D456, ".", ","))</f>
        <v>0.57620883000000001</v>
      </c>
      <c r="E462" s="4">
        <f>VALUE(SUBSTITUTE('1000_заявлений'!E456, ".", ","))</f>
        <v>0.19292139</v>
      </c>
      <c r="F462" s="5">
        <f>VALUE(SUBSTITUTE('1000_заявлений'!F456, ".", ","))</f>
        <v>-9073</v>
      </c>
      <c r="G462" s="5">
        <f>VALUE(SUBSTITUTE('1000_заявлений'!G456, ".", ","))</f>
        <v>-16062</v>
      </c>
      <c r="H462" s="5">
        <f>VALUE(SUBSTITUTE('1000_заявлений'!H456, ".", ","))</f>
        <v>-5023</v>
      </c>
      <c r="I462" s="4">
        <f>VALUE(SUBSTITUTE('1000_заявлений'!I456, ".", ","))</f>
        <v>0.22757777777777699</v>
      </c>
      <c r="J462" s="4">
        <f>VALUE(SUBSTITUTE('1000_заявлений'!J456, ".", ","))</f>
        <v>2.7691108986026101</v>
      </c>
      <c r="K462" s="5">
        <f>VALUE(SUBSTITUTE('1000_заявлений'!K456, ".", ","))</f>
        <v>-1392</v>
      </c>
      <c r="L462" s="6">
        <f>VALUE(SUBSTITUTE('1000_заявлений'!L456, ".", ","))</f>
        <v>46084.5</v>
      </c>
      <c r="M462" s="2" t="str">
        <f>IF(Данные6[[#This Row],[proba]]&gt;$C$6, "отказ", "одобрение")</f>
        <v>отказ</v>
      </c>
      <c r="N462" s="7">
        <f>IF(Данные6[[#This Row],[proba]]&lt;$D$2,$C$2,IF(Данные6[[#This Row],[proba]]&lt;$D$3,$C$3,IF(Данные6[[#This Row],[proba]]&gt;$C$6,0,$C$4)))</f>
        <v>0</v>
      </c>
      <c r="O462" s="2">
        <f>IF(Данные6[[#This Row],[weighted_ext_score]]&gt;$O$1,MIN(Данные6[[#This Row],[Базовая сумма]]*$O$2,$C$2),IF(Данные6[[#This Row],[weighted_ext_score]]&lt;$O$3,Данные6[[#This Row],[Базовая сумма]]*$O$4,N462))</f>
        <v>0</v>
      </c>
      <c r="P4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2" s="2">
        <f>ABS(Данные6[[#This Row],[days_birth]])/365.2425</f>
        <v>43.976262346249406</v>
      </c>
      <c r="S4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2" s="2">
        <f>IF(Данные6[[#This Row],[ interest_rate]]&gt;$T$1,Данные6[[#This Row],[days_birth4]]*$T$2,Данные6[[#This Row],[days_birth4]])</f>
        <v>0</v>
      </c>
      <c r="U462" s="2">
        <f>IF(Данные6[[#This Row],[Проверка отказа]]="отказ",0,MAX(Данные6[[#This Row],[interest_rate]],$C$1))</f>
        <v>0</v>
      </c>
      <c r="V462" s="2">
        <f>MROUND(Данные6[[#This Row],[Минимум 20000]], 100)</f>
        <v>0</v>
      </c>
    </row>
    <row r="463" spans="1:22" x14ac:dyDescent="0.25">
      <c r="A463" s="2">
        <f>'1000_заявлений'!A457</f>
        <v>455</v>
      </c>
      <c r="B463" s="4">
        <f>VALUE(SUBSTITUTE('1000_заявлений'!B457, ".", ","))</f>
        <v>0.87316211027415302</v>
      </c>
      <c r="C463" s="4">
        <f>VALUE(SUBSTITUTE('1000_заявлений'!C457, ".", ","))</f>
        <v>0.11095546736357299</v>
      </c>
      <c r="D463" s="4">
        <f>VALUE(SUBSTITUTE('1000_заявлений'!D457, ".", ","))</f>
        <v>0.15663983000000001</v>
      </c>
      <c r="E463" s="4">
        <f>VALUE(SUBSTITUTE('1000_заявлений'!E457, ".", ","))</f>
        <v>0.1674109</v>
      </c>
      <c r="F463" s="5">
        <f>VALUE(SUBSTITUTE('1000_заявлений'!F457, ".", ","))</f>
        <v>-5278</v>
      </c>
      <c r="G463" s="5">
        <f>VALUE(SUBSTITUTE('1000_заявлений'!G457, ".", ","))</f>
        <v>-11165</v>
      </c>
      <c r="H463" s="5">
        <f>VALUE(SUBSTITUTE('1000_заявлений'!H457, ".", ","))</f>
        <v>-3512</v>
      </c>
      <c r="I463" s="4">
        <f>VALUE(SUBSTITUTE('1000_заявлений'!I457, ".", ","))</f>
        <v>0.32340000000000002</v>
      </c>
      <c r="J463" s="4">
        <f>VALUE(SUBSTITUTE('1000_заявлений'!J457, ".", ","))</f>
        <v>5.2389719436151703</v>
      </c>
      <c r="K463" s="5">
        <f>VALUE(SUBSTITUTE('1000_заявлений'!K457, ".", ","))</f>
        <v>-934</v>
      </c>
      <c r="L463" s="6">
        <f>VALUE(SUBSTITUTE('1000_заявлений'!L457, ".", ","))</f>
        <v>43659</v>
      </c>
      <c r="M463" s="2" t="str">
        <f>IF(Данные6[[#This Row],[proba]]&gt;$C$6, "отказ", "одобрение")</f>
        <v>отказ</v>
      </c>
      <c r="N463" s="7">
        <f>IF(Данные6[[#This Row],[proba]]&lt;$D$2,$C$2,IF(Данные6[[#This Row],[proba]]&lt;$D$3,$C$3,IF(Данные6[[#This Row],[proba]]&gt;$C$6,0,$C$4)))</f>
        <v>0</v>
      </c>
      <c r="O463" s="2">
        <f>IF(Данные6[[#This Row],[weighted_ext_score]]&gt;$O$1,MIN(Данные6[[#This Row],[Базовая сумма]]*$O$2,$C$2),IF(Данные6[[#This Row],[weighted_ext_score]]&lt;$O$3,Данные6[[#This Row],[Базовая сумма]]*$O$4,N463))</f>
        <v>0</v>
      </c>
      <c r="P4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3" s="2">
        <f>ABS(Данные6[[#This Row],[days_birth]])/365.2425</f>
        <v>30.568731733026688</v>
      </c>
      <c r="S4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3" s="2">
        <f>IF(Данные6[[#This Row],[ interest_rate]]&gt;$T$1,Данные6[[#This Row],[days_birth4]]*$T$2,Данные6[[#This Row],[days_birth4]])</f>
        <v>0</v>
      </c>
      <c r="U463" s="2">
        <f>IF(Данные6[[#This Row],[Проверка отказа]]="отказ",0,MAX(Данные6[[#This Row],[interest_rate]],$C$1))</f>
        <v>0</v>
      </c>
      <c r="V463" s="2">
        <f>MROUND(Данные6[[#This Row],[Минимум 20000]], 100)</f>
        <v>0</v>
      </c>
    </row>
    <row r="464" spans="1:22" x14ac:dyDescent="0.25">
      <c r="A464" s="2">
        <f>'1000_заявлений'!A458</f>
        <v>456</v>
      </c>
      <c r="B464" s="4">
        <f>VALUE(SUBSTITUTE('1000_заявлений'!B458, ".", ","))</f>
        <v>0.36273912519361301</v>
      </c>
      <c r="C464" s="4">
        <f>VALUE(SUBSTITUTE('1000_заявлений'!C458, ".", ","))</f>
        <v>0.336317303092252</v>
      </c>
      <c r="D464" s="4">
        <f>VALUE(SUBSTITUTE('1000_заявлений'!D458, ".", ","))</f>
        <v>0.74493220000000004</v>
      </c>
      <c r="E464" s="4">
        <f>VALUE(SUBSTITUTE('1000_заявлений'!E458, ".", ","))</f>
        <v>0.20624445</v>
      </c>
      <c r="F464" s="5">
        <f>VALUE(SUBSTITUTE('1000_заявлений'!F458, ".", ","))</f>
        <v>-7196</v>
      </c>
      <c r="G464" s="5">
        <f>VALUE(SUBSTITUTE('1000_заявлений'!G458, ".", ","))</f>
        <v>-14297</v>
      </c>
      <c r="H464" s="5">
        <f>VALUE(SUBSTITUTE('1000_заявлений'!H458, ".", ","))</f>
        <v>-4775</v>
      </c>
      <c r="I464" s="4">
        <f>VALUE(SUBSTITUTE('1000_заявлений'!I458, ".", ","))</f>
        <v>9.0758064516129E-2</v>
      </c>
      <c r="J464" s="4">
        <f>VALUE(SUBSTITUTE('1000_заявлений'!J458, ".", ","))</f>
        <v>19.866106837814598</v>
      </c>
      <c r="K464" s="5">
        <f>VALUE(SUBSTITUTE('1000_заявлений'!K458, ".", ","))</f>
        <v>-5116</v>
      </c>
      <c r="L464" s="6">
        <f>VALUE(SUBSTITUTE('1000_заявлений'!L458, ".", ","))</f>
        <v>25321.5</v>
      </c>
      <c r="M464" s="2" t="str">
        <f>IF(Данные6[[#This Row],[proba]]&gt;$C$6, "отказ", "одобрение")</f>
        <v>отказ</v>
      </c>
      <c r="N464" s="7">
        <f>IF(Данные6[[#This Row],[proba]]&lt;$D$2,$C$2,IF(Данные6[[#This Row],[proba]]&lt;$D$3,$C$3,IF(Данные6[[#This Row],[proba]]&gt;$C$6,0,$C$4)))</f>
        <v>0</v>
      </c>
      <c r="O464" s="2">
        <f>IF(Данные6[[#This Row],[weighted_ext_score]]&gt;$O$1,MIN(Данные6[[#This Row],[Базовая сумма]]*$O$2,$C$2),IF(Данные6[[#This Row],[weighted_ext_score]]&lt;$O$3,Данные6[[#This Row],[Базовая сумма]]*$O$4,N464))</f>
        <v>0</v>
      </c>
      <c r="P4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4" s="2">
        <f>ABS(Данные6[[#This Row],[days_birth]])/365.2425</f>
        <v>39.143856478914692</v>
      </c>
      <c r="S4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4" s="2">
        <f>IF(Данные6[[#This Row],[ interest_rate]]&gt;$T$1,Данные6[[#This Row],[days_birth4]]*$T$2,Данные6[[#This Row],[days_birth4]])</f>
        <v>0</v>
      </c>
      <c r="U464" s="2">
        <f>IF(Данные6[[#This Row],[Проверка отказа]]="отказ",0,MAX(Данные6[[#This Row],[interest_rate]],$C$1))</f>
        <v>0</v>
      </c>
      <c r="V464" s="2">
        <f>MROUND(Данные6[[#This Row],[Минимум 20000]], 100)</f>
        <v>0</v>
      </c>
    </row>
    <row r="465" spans="1:22" x14ac:dyDescent="0.25">
      <c r="A465" s="2">
        <f>'1000_заявлений'!A459</f>
        <v>457</v>
      </c>
      <c r="B465" s="4">
        <f>VALUE(SUBSTITUTE('1000_заявлений'!B459, ".", ","))</f>
        <v>0.33609868815191501</v>
      </c>
      <c r="C465" s="4">
        <f>VALUE(SUBSTITUTE('1000_заявлений'!C459, ".", ","))</f>
        <v>0.61623376965350196</v>
      </c>
      <c r="D465" s="4">
        <f>VALUE(SUBSTITUTE('1000_заявлений'!D459, ".", ","))</f>
        <v>0.35729327999999999</v>
      </c>
      <c r="E465" s="4">
        <f>VALUE(SUBSTITUTE('1000_заявлений'!E459, ".", ","))</f>
        <v>0.71673197</v>
      </c>
      <c r="F465" s="5">
        <f>VALUE(SUBSTITUTE('1000_заявлений'!F459, ".", ","))</f>
        <v>-6353</v>
      </c>
      <c r="G465" s="5">
        <f>VALUE(SUBSTITUTE('1000_заявлений'!G459, ".", ","))</f>
        <v>-20480</v>
      </c>
      <c r="H465" s="5">
        <f>VALUE(SUBSTITUTE('1000_заявлений'!H459, ".", ","))</f>
        <v>-4021</v>
      </c>
      <c r="I465" s="4">
        <f>VALUE(SUBSTITUTE('1000_заявлений'!I459, ".", ","))</f>
        <v>0.50593333333333301</v>
      </c>
      <c r="J465" s="4">
        <f>VALUE(SUBSTITUTE('1000_заявлений'!J459, ".", ","))</f>
        <v>0.79635837388740605</v>
      </c>
      <c r="K465" s="5">
        <f>VALUE(SUBSTITUTE('1000_заявлений'!K459, ".", ","))</f>
        <v>365243</v>
      </c>
      <c r="L465" s="6">
        <f>VALUE(SUBSTITUTE('1000_заявлений'!L459, ".", ","))</f>
        <v>68301</v>
      </c>
      <c r="M465" s="2" t="str">
        <f>IF(Данные6[[#This Row],[proba]]&gt;$C$6, "отказ", "одобрение")</f>
        <v>отказ</v>
      </c>
      <c r="N465" s="7">
        <f>IF(Данные6[[#This Row],[proba]]&lt;$D$2,$C$2,IF(Данные6[[#This Row],[proba]]&lt;$D$3,$C$3,IF(Данные6[[#This Row],[proba]]&gt;$C$6,0,$C$4)))</f>
        <v>0</v>
      </c>
      <c r="O465" s="2">
        <f>IF(Данные6[[#This Row],[weighted_ext_score]]&gt;$O$1,MIN(Данные6[[#This Row],[Базовая сумма]]*$O$2,$C$2),IF(Данные6[[#This Row],[weighted_ext_score]]&lt;$O$3,Данные6[[#This Row],[Базовая сумма]]*$O$4,N465))</f>
        <v>0</v>
      </c>
      <c r="P4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5" s="2">
        <f>ABS(Данные6[[#This Row],[days_birth]])/365.2425</f>
        <v>56.072335503124634</v>
      </c>
      <c r="S4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5" s="2">
        <f>IF(Данные6[[#This Row],[ interest_rate]]&gt;$T$1,Данные6[[#This Row],[days_birth4]]*$T$2,Данные6[[#This Row],[days_birth4]])</f>
        <v>0</v>
      </c>
      <c r="U465" s="2">
        <f>IF(Данные6[[#This Row],[Проверка отказа]]="отказ",0,MAX(Данные6[[#This Row],[interest_rate]],$C$1))</f>
        <v>0</v>
      </c>
      <c r="V465" s="2">
        <f>MROUND(Данные6[[#This Row],[Минимум 20000]], 100)</f>
        <v>0</v>
      </c>
    </row>
    <row r="466" spans="1:22" x14ac:dyDescent="0.25">
      <c r="A466" s="2">
        <f>'1000_заявлений'!A460</f>
        <v>458</v>
      </c>
      <c r="B466" s="4">
        <f>VALUE(SUBSTITUTE('1000_заявлений'!B460, ".", ","))</f>
        <v>0.73659247167196795</v>
      </c>
      <c r="C466" s="4">
        <f>VALUE(SUBSTITUTE('1000_заявлений'!C460, ".", ","))</f>
        <v>0.20534146778645301</v>
      </c>
      <c r="D466" s="4">
        <f>VALUE(SUBSTITUTE('1000_заявлений'!D460, ".", ","))</f>
        <v>3.2977276E-2</v>
      </c>
      <c r="E466" s="4">
        <f>VALUE(SUBSTITUTE('1000_заявлений'!E460, ".", ","))</f>
        <v>0.59626544000000004</v>
      </c>
      <c r="F466" s="5">
        <f>VALUE(SUBSTITUTE('1000_заявлений'!F460, ".", ","))</f>
        <v>-6167</v>
      </c>
      <c r="G466" s="5">
        <f>VALUE(SUBSTITUTE('1000_заявлений'!G460, ".", ","))</f>
        <v>-14289</v>
      </c>
      <c r="H466" s="5">
        <f>VALUE(SUBSTITUTE('1000_заявлений'!H460, ".", ","))</f>
        <v>-4598</v>
      </c>
      <c r="I466" s="4">
        <f>VALUE(SUBSTITUTE('1000_заявлений'!I460, ".", ","))</f>
        <v>0.118583333333333</v>
      </c>
      <c r="J466" s="4">
        <f>VALUE(SUBSTITUTE('1000_заявлений'!J460, ".", ","))</f>
        <v>2.5386026872972201</v>
      </c>
      <c r="K466" s="5">
        <f>VALUE(SUBSTITUTE('1000_заявлений'!K460, ".", ","))</f>
        <v>-1763</v>
      </c>
      <c r="L466" s="6">
        <f>VALUE(SUBSTITUTE('1000_заявлений'!L460, ".", ","))</f>
        <v>32017.5</v>
      </c>
      <c r="M466" s="2" t="str">
        <f>IF(Данные6[[#This Row],[proba]]&gt;$C$6, "отказ", "одобрение")</f>
        <v>отказ</v>
      </c>
      <c r="N466" s="7">
        <f>IF(Данные6[[#This Row],[proba]]&lt;$D$2,$C$2,IF(Данные6[[#This Row],[proba]]&lt;$D$3,$C$3,IF(Данные6[[#This Row],[proba]]&gt;$C$6,0,$C$4)))</f>
        <v>0</v>
      </c>
      <c r="O466" s="2">
        <f>IF(Данные6[[#This Row],[weighted_ext_score]]&gt;$O$1,MIN(Данные6[[#This Row],[Базовая сумма]]*$O$2,$C$2),IF(Данные6[[#This Row],[weighted_ext_score]]&lt;$O$3,Данные6[[#This Row],[Базовая сумма]]*$O$4,N466))</f>
        <v>0</v>
      </c>
      <c r="P4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6" s="2">
        <f>ABS(Данные6[[#This Row],[days_birth]])/365.2425</f>
        <v>39.121953222858785</v>
      </c>
      <c r="S4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6" s="2">
        <f>IF(Данные6[[#This Row],[ interest_rate]]&gt;$T$1,Данные6[[#This Row],[days_birth4]]*$T$2,Данные6[[#This Row],[days_birth4]])</f>
        <v>0</v>
      </c>
      <c r="U466" s="2">
        <f>IF(Данные6[[#This Row],[Проверка отказа]]="отказ",0,MAX(Данные6[[#This Row],[interest_rate]],$C$1))</f>
        <v>0</v>
      </c>
      <c r="V466" s="2">
        <f>MROUND(Данные6[[#This Row],[Минимум 20000]], 100)</f>
        <v>0</v>
      </c>
    </row>
    <row r="467" spans="1:22" x14ac:dyDescent="0.25">
      <c r="A467" s="2">
        <f>'1000_заявлений'!A461</f>
        <v>459</v>
      </c>
      <c r="B467" s="4">
        <f>VALUE(SUBSTITUTE('1000_заявлений'!B461, ".", ","))</f>
        <v>0.589512893879794</v>
      </c>
      <c r="C467" s="4">
        <f>VALUE(SUBSTITUTE('1000_заявлений'!C461, ".", ","))</f>
        <v>0.32585075014911902</v>
      </c>
      <c r="D467" s="4">
        <f>VALUE(SUBSTITUTE('1000_заявлений'!D461, ".", ","))</f>
        <v>0.34090643999999998</v>
      </c>
      <c r="E467" s="4">
        <f>VALUE(SUBSTITUTE('1000_заявлений'!E461, ".", ","))</f>
        <v>0.62444836000000004</v>
      </c>
      <c r="F467" s="5">
        <f>VALUE(SUBSTITUTE('1000_заявлений'!F461, ".", ","))</f>
        <v>-2697</v>
      </c>
      <c r="G467" s="5">
        <f>VALUE(SUBSTITUTE('1000_заявлений'!G461, ".", ","))</f>
        <v>-14651</v>
      </c>
      <c r="H467" s="5">
        <f>VALUE(SUBSTITUTE('1000_заявлений'!H461, ".", ","))</f>
        <v>-466</v>
      </c>
      <c r="I467" s="4">
        <f>VALUE(SUBSTITUTE('1000_заявлений'!I461, ".", ","))</f>
        <v>0.23288</v>
      </c>
      <c r="J467" s="4">
        <f>VALUE(SUBSTITUTE('1000_заявлений'!J461, ".", ","))</f>
        <v>3.1678965401418</v>
      </c>
      <c r="K467" s="5">
        <f>VALUE(SUBSTITUTE('1000_заявлений'!K461, ".", ","))</f>
        <v>-2873</v>
      </c>
      <c r="L467" s="6">
        <f>VALUE(SUBSTITUTE('1000_заявлений'!L461, ".", ","))</f>
        <v>26199</v>
      </c>
      <c r="M467" s="2" t="str">
        <f>IF(Данные6[[#This Row],[proba]]&gt;$C$6, "отказ", "одобрение")</f>
        <v>отказ</v>
      </c>
      <c r="N467" s="7">
        <f>IF(Данные6[[#This Row],[proba]]&lt;$D$2,$C$2,IF(Данные6[[#This Row],[proba]]&lt;$D$3,$C$3,IF(Данные6[[#This Row],[proba]]&gt;$C$6,0,$C$4)))</f>
        <v>0</v>
      </c>
      <c r="O467" s="2">
        <f>IF(Данные6[[#This Row],[weighted_ext_score]]&gt;$O$1,MIN(Данные6[[#This Row],[Базовая сумма]]*$O$2,$C$2),IF(Данные6[[#This Row],[weighted_ext_score]]&lt;$O$3,Данные6[[#This Row],[Базовая сумма]]*$O$4,N467))</f>
        <v>0</v>
      </c>
      <c r="P4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7" s="2">
        <f>ABS(Данные6[[#This Row],[days_birth]])/365.2425</f>
        <v>40.113075559388626</v>
      </c>
      <c r="S4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7" s="2">
        <f>IF(Данные6[[#This Row],[ interest_rate]]&gt;$T$1,Данные6[[#This Row],[days_birth4]]*$T$2,Данные6[[#This Row],[days_birth4]])</f>
        <v>0</v>
      </c>
      <c r="U467" s="2">
        <f>IF(Данные6[[#This Row],[Проверка отказа]]="отказ",0,MAX(Данные6[[#This Row],[interest_rate]],$C$1))</f>
        <v>0</v>
      </c>
      <c r="V467" s="2">
        <f>MROUND(Данные6[[#This Row],[Минимум 20000]], 100)</f>
        <v>0</v>
      </c>
    </row>
    <row r="468" spans="1:22" x14ac:dyDescent="0.25">
      <c r="A468" s="2">
        <f>'1000_заявлений'!A462</f>
        <v>460</v>
      </c>
      <c r="B468" s="4">
        <f>VALUE(SUBSTITUTE('1000_заявлений'!B462, ".", ","))</f>
        <v>0.27181776974097599</v>
      </c>
      <c r="C468" s="4">
        <f>VALUE(SUBSTITUTE('1000_заявлений'!C462, ".", ","))</f>
        <v>0.59667693389520204</v>
      </c>
      <c r="D468" s="4">
        <f>VALUE(SUBSTITUTE('1000_заявлений'!D462, ".", ","))</f>
        <v>0.65778380000000003</v>
      </c>
      <c r="E468" s="4">
        <f>VALUE(SUBSTITUTE('1000_заявлений'!E462, ".", ","))</f>
        <v>0.44836589999999998</v>
      </c>
      <c r="F468" s="5">
        <f>VALUE(SUBSTITUTE('1000_заявлений'!F462, ".", ","))</f>
        <v>-8193</v>
      </c>
      <c r="G468" s="5">
        <f>VALUE(SUBSTITUTE('1000_заявлений'!G462, ".", ","))</f>
        <v>-14038</v>
      </c>
      <c r="H468" s="5">
        <f>VALUE(SUBSTITUTE('1000_заявлений'!H462, ".", ","))</f>
        <v>-4810</v>
      </c>
      <c r="I468" s="4">
        <f>VALUE(SUBSTITUTE('1000_заявлений'!I462, ".", ","))</f>
        <v>8.3864864864864802E-2</v>
      </c>
      <c r="J468" s="4">
        <f>VALUE(SUBSTITUTE('1000_заявлений'!J462, ".", ","))</f>
        <v>6.7938664154193198</v>
      </c>
      <c r="K468" s="5">
        <f>VALUE(SUBSTITUTE('1000_заявлений'!K462, ".", ","))</f>
        <v>-1731</v>
      </c>
      <c r="L468" s="6">
        <f>VALUE(SUBSTITUTE('1000_заявлений'!L462, ".", ","))</f>
        <v>13963.5</v>
      </c>
      <c r="M468" s="2" t="str">
        <f>IF(Данные6[[#This Row],[proba]]&gt;$C$6, "отказ", "одобрение")</f>
        <v>одобрение</v>
      </c>
      <c r="N468" s="7">
        <f>IF(Данные6[[#This Row],[proba]]&lt;$D$2,$C$2,IF(Данные6[[#This Row],[proba]]&lt;$D$3,$C$3,IF(Данные6[[#This Row],[proba]]&gt;$C$6,0,$C$4)))</f>
        <v>50000</v>
      </c>
      <c r="O468" s="2">
        <f>IF(Данные6[[#This Row],[weighted_ext_score]]&gt;$O$1,MIN(Данные6[[#This Row],[Базовая сумма]]*$O$2,$C$2),IF(Данные6[[#This Row],[weighted_ext_score]]&lt;$O$3,Данные6[[#This Row],[Базовая сумма]]*$O$4,N468))</f>
        <v>50000</v>
      </c>
      <c r="P4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4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42000</v>
      </c>
      <c r="R468" s="2">
        <f>ABS(Данные6[[#This Row],[days_birth]])/365.2425</f>
        <v>38.43473856410467</v>
      </c>
      <c r="S4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468" s="2">
        <f>IF(Данные6[[#This Row],[ interest_rate]]&gt;$T$1,Данные6[[#This Row],[days_birth4]]*$T$2,Данные6[[#This Row],[days_birth4]])</f>
        <v>42000</v>
      </c>
      <c r="U468" s="2">
        <f>IF(Данные6[[#This Row],[Проверка отказа]]="отказ",0,MAX(Данные6[[#This Row],[interest_rate]],$C$1))</f>
        <v>42000</v>
      </c>
      <c r="V468" s="2">
        <f>MROUND(Данные6[[#This Row],[Минимум 20000]], 100)</f>
        <v>42000</v>
      </c>
    </row>
    <row r="469" spans="1:22" x14ac:dyDescent="0.25">
      <c r="A469" s="2">
        <f>'1000_заявлений'!A463</f>
        <v>461</v>
      </c>
      <c r="B469" s="4">
        <f>VALUE(SUBSTITUTE('1000_заявлений'!B463, ".", ","))</f>
        <v>0.39150184053752202</v>
      </c>
      <c r="C469" s="4">
        <f>VALUE(SUBSTITUTE('1000_заявлений'!C463, ".", ","))</f>
        <v>0.52715018549780102</v>
      </c>
      <c r="D469" s="4">
        <f>VALUE(SUBSTITUTE('1000_заявлений'!D463, ".", ","))</f>
        <v>0.48485148</v>
      </c>
      <c r="E469" s="4">
        <f>VALUE(SUBSTITUTE('1000_заявлений'!E463, ".", ","))</f>
        <v>0.54392963999999999</v>
      </c>
      <c r="F469" s="5">
        <f>VALUE(SUBSTITUTE('1000_заявлений'!F463, ".", ","))</f>
        <v>-6003</v>
      </c>
      <c r="G469" s="5">
        <f>VALUE(SUBSTITUTE('1000_заявлений'!G463, ".", ","))</f>
        <v>-15406</v>
      </c>
      <c r="H469" s="5">
        <f>VALUE(SUBSTITUTE('1000_заявлений'!H463, ".", ","))</f>
        <v>-3991</v>
      </c>
      <c r="I469" s="4">
        <f>VALUE(SUBSTITUTE('1000_заявлений'!I463, ".", ","))</f>
        <v>0.136038461538461</v>
      </c>
      <c r="J469" s="4">
        <f>VALUE(SUBSTITUTE('1000_заявлений'!J463, ".", ","))</f>
        <v>1.54080030860774</v>
      </c>
      <c r="K469" s="5">
        <f>VALUE(SUBSTITUTE('1000_заявлений'!K463, ".", ","))</f>
        <v>-584</v>
      </c>
      <c r="L469" s="6">
        <f>VALUE(SUBSTITUTE('1000_заявлений'!L463, ".", ","))</f>
        <v>15916.5</v>
      </c>
      <c r="M469" s="2" t="str">
        <f>IF(Данные6[[#This Row],[proba]]&gt;$C$6, "отказ", "одобрение")</f>
        <v>отказ</v>
      </c>
      <c r="N469" s="7">
        <f>IF(Данные6[[#This Row],[proba]]&lt;$D$2,$C$2,IF(Данные6[[#This Row],[proba]]&lt;$D$3,$C$3,IF(Данные6[[#This Row],[proba]]&gt;$C$6,0,$C$4)))</f>
        <v>0</v>
      </c>
      <c r="O469" s="2">
        <f>IF(Данные6[[#This Row],[weighted_ext_score]]&gt;$O$1,MIN(Данные6[[#This Row],[Базовая сумма]]*$O$2,$C$2),IF(Данные6[[#This Row],[weighted_ext_score]]&lt;$O$3,Данные6[[#This Row],[Базовая сумма]]*$O$4,N469))</f>
        <v>0</v>
      </c>
      <c r="P4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69" s="2">
        <f>ABS(Данные6[[#This Row],[days_birth]])/365.2425</f>
        <v>42.180195349664949</v>
      </c>
      <c r="S4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69" s="2">
        <f>IF(Данные6[[#This Row],[ interest_rate]]&gt;$T$1,Данные6[[#This Row],[days_birth4]]*$T$2,Данные6[[#This Row],[days_birth4]])</f>
        <v>0</v>
      </c>
      <c r="U469" s="2">
        <f>IF(Данные6[[#This Row],[Проверка отказа]]="отказ",0,MAX(Данные6[[#This Row],[interest_rate]],$C$1))</f>
        <v>0</v>
      </c>
      <c r="V469" s="2">
        <f>MROUND(Данные6[[#This Row],[Минимум 20000]], 100)</f>
        <v>0</v>
      </c>
    </row>
    <row r="470" spans="1:22" x14ac:dyDescent="0.25">
      <c r="A470" s="2">
        <f>'1000_заявлений'!A464</f>
        <v>462</v>
      </c>
      <c r="B470" s="4">
        <f>VALUE(SUBSTITUTE('1000_заявлений'!B464, ".", ","))</f>
        <v>0.488001944658779</v>
      </c>
      <c r="C470" s="4">
        <f>VALUE(SUBSTITUTE('1000_заявлений'!C464, ".", ","))</f>
        <v>0.41692878013297602</v>
      </c>
      <c r="D470" s="4">
        <f>VALUE(SUBSTITUTE('1000_заявлений'!D464, ".", ","))</f>
        <v>0.45074727999999997</v>
      </c>
      <c r="E470" s="4">
        <f>VALUE(SUBSTITUTE('1000_заявлений'!E464, ".", ","))</f>
        <v>0.51714479999999996</v>
      </c>
      <c r="F470" s="5">
        <f>VALUE(SUBSTITUTE('1000_заявлений'!F464, ".", ","))</f>
        <v>-4519</v>
      </c>
      <c r="G470" s="5">
        <f>VALUE(SUBSTITUTE('1000_заявлений'!G464, ".", ","))</f>
        <v>-10011</v>
      </c>
      <c r="H470" s="5">
        <f>VALUE(SUBSTITUTE('1000_заявлений'!H464, ".", ","))</f>
        <v>-2671</v>
      </c>
      <c r="I470" s="4">
        <f>VALUE(SUBSTITUTE('1000_заявлений'!I464, ".", ","))</f>
        <v>0.154148936170212</v>
      </c>
      <c r="J470" s="4">
        <f>VALUE(SUBSTITUTE('1000_заявлений'!J464, ".", ","))</f>
        <v>6.6044539963728299</v>
      </c>
      <c r="K470" s="5">
        <f>VALUE(SUBSTITUTE('1000_заявлений'!K464, ".", ","))</f>
        <v>-2599</v>
      </c>
      <c r="L470" s="6">
        <f>VALUE(SUBSTITUTE('1000_заявлений'!L464, ".", ","))</f>
        <v>32602.5</v>
      </c>
      <c r="M470" s="2" t="str">
        <f>IF(Данные6[[#This Row],[proba]]&gt;$C$6, "отказ", "одобрение")</f>
        <v>отказ</v>
      </c>
      <c r="N470" s="7">
        <f>IF(Данные6[[#This Row],[proba]]&lt;$D$2,$C$2,IF(Данные6[[#This Row],[proba]]&lt;$D$3,$C$3,IF(Данные6[[#This Row],[proba]]&gt;$C$6,0,$C$4)))</f>
        <v>0</v>
      </c>
      <c r="O470" s="2">
        <f>IF(Данные6[[#This Row],[weighted_ext_score]]&gt;$O$1,MIN(Данные6[[#This Row],[Базовая сумма]]*$O$2,$C$2),IF(Данные6[[#This Row],[weighted_ext_score]]&lt;$O$3,Данные6[[#This Row],[Базовая сумма]]*$O$4,N470))</f>
        <v>0</v>
      </c>
      <c r="P4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0" s="2">
        <f>ABS(Данные6[[#This Row],[days_birth]])/365.2425</f>
        <v>27.40918704696195</v>
      </c>
      <c r="S4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0" s="2">
        <f>IF(Данные6[[#This Row],[ interest_rate]]&gt;$T$1,Данные6[[#This Row],[days_birth4]]*$T$2,Данные6[[#This Row],[days_birth4]])</f>
        <v>0</v>
      </c>
      <c r="U470" s="2">
        <f>IF(Данные6[[#This Row],[Проверка отказа]]="отказ",0,MAX(Данные6[[#This Row],[interest_rate]],$C$1))</f>
        <v>0</v>
      </c>
      <c r="V470" s="2">
        <f>MROUND(Данные6[[#This Row],[Минимум 20000]], 100)</f>
        <v>0</v>
      </c>
    </row>
    <row r="471" spans="1:22" x14ac:dyDescent="0.25">
      <c r="A471" s="2">
        <f>'1000_заявлений'!A465</f>
        <v>463</v>
      </c>
      <c r="B471" s="4">
        <f>VALUE(SUBSTITUTE('1000_заявлений'!B465, ".", ","))</f>
        <v>0.439808878622307</v>
      </c>
      <c r="C471" s="4">
        <f>VALUE(SUBSTITUTE('1000_заявлений'!C465, ".", ","))</f>
        <v>0.36258598380482698</v>
      </c>
      <c r="D471" s="4">
        <f>VALUE(SUBSTITUTE('1000_заявлений'!D465, ".", ","))</f>
        <v>0.51369374999999995</v>
      </c>
      <c r="E471" s="4">
        <f>VALUE(SUBSTITUTE('1000_заявлений'!E465, ".", ","))</f>
        <v>0.5450469</v>
      </c>
      <c r="F471" s="5">
        <f>VALUE(SUBSTITUTE('1000_заявлений'!F465, ".", ","))</f>
        <v>-5595</v>
      </c>
      <c r="G471" s="5">
        <f>VALUE(SUBSTITUTE('1000_заявлений'!G465, ".", ","))</f>
        <v>-16524</v>
      </c>
      <c r="H471" s="5">
        <f>VALUE(SUBSTITUTE('1000_заявлений'!H465, ".", ","))</f>
        <v>-61</v>
      </c>
      <c r="I471" s="4">
        <f>VALUE(SUBSTITUTE('1000_заявлений'!I465, ".", ","))</f>
        <v>9.06E-2</v>
      </c>
      <c r="J471" s="4">
        <f>VALUE(SUBSTITUTE('1000_заявлений'!J465, ".", ","))</f>
        <v>6.1509630438540901</v>
      </c>
      <c r="K471" s="5">
        <f>VALUE(SUBSTITUTE('1000_заявлений'!K465, ".", ","))</f>
        <v>-1662</v>
      </c>
      <c r="L471" s="6">
        <f>VALUE(SUBSTITUTE('1000_заявлений'!L465, ".", ","))</f>
        <v>24462</v>
      </c>
      <c r="M471" s="2" t="str">
        <f>IF(Данные6[[#This Row],[proba]]&gt;$C$6, "отказ", "одобрение")</f>
        <v>отказ</v>
      </c>
      <c r="N471" s="7">
        <f>IF(Данные6[[#This Row],[proba]]&lt;$D$2,$C$2,IF(Данные6[[#This Row],[proba]]&lt;$D$3,$C$3,IF(Данные6[[#This Row],[proba]]&gt;$C$6,0,$C$4)))</f>
        <v>0</v>
      </c>
      <c r="O471" s="2">
        <f>IF(Данные6[[#This Row],[weighted_ext_score]]&gt;$O$1,MIN(Данные6[[#This Row],[Базовая сумма]]*$O$2,$C$2),IF(Данные6[[#This Row],[weighted_ext_score]]&lt;$O$3,Данные6[[#This Row],[Базовая сумма]]*$O$4,N471))</f>
        <v>0</v>
      </c>
      <c r="P4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1" s="2">
        <f>ABS(Данные6[[#This Row],[days_birth]])/365.2425</f>
        <v>45.241175383478101</v>
      </c>
      <c r="S4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1" s="2">
        <f>IF(Данные6[[#This Row],[ interest_rate]]&gt;$T$1,Данные6[[#This Row],[days_birth4]]*$T$2,Данные6[[#This Row],[days_birth4]])</f>
        <v>0</v>
      </c>
      <c r="U471" s="2">
        <f>IF(Данные6[[#This Row],[Проверка отказа]]="отказ",0,MAX(Данные6[[#This Row],[interest_rate]],$C$1))</f>
        <v>0</v>
      </c>
      <c r="V471" s="2">
        <f>MROUND(Данные6[[#This Row],[Минимум 20000]], 100)</f>
        <v>0</v>
      </c>
    </row>
    <row r="472" spans="1:22" x14ac:dyDescent="0.25">
      <c r="A472" s="2">
        <f>'1000_заявлений'!A466</f>
        <v>464</v>
      </c>
      <c r="B472" s="4">
        <f>VALUE(SUBSTITUTE('1000_заявлений'!B466, ".", ","))</f>
        <v>0.29969925085624199</v>
      </c>
      <c r="C472" s="4">
        <f>VALUE(SUBSTITUTE('1000_заявлений'!C466, ".", ","))</f>
        <v>0.45020366320234101</v>
      </c>
      <c r="D472" s="4">
        <f>VALUE(SUBSTITUTE('1000_заявлений'!D466, ".", ","))</f>
        <v>0.72814129999999999</v>
      </c>
      <c r="E472" s="4">
        <f>VALUE(SUBSTITUTE('1000_заявлений'!E466, ".", ","))</f>
        <v>0.57605826999999998</v>
      </c>
      <c r="F472" s="5">
        <f>VALUE(SUBSTITUTE('1000_заявлений'!F466, ".", ","))</f>
        <v>-9249</v>
      </c>
      <c r="G472" s="5">
        <f>VALUE(SUBSTITUTE('1000_заявлений'!G466, ".", ","))</f>
        <v>-11285</v>
      </c>
      <c r="H472" s="5">
        <f>VALUE(SUBSTITUTE('1000_заявлений'!H466, ".", ","))</f>
        <v>-3432</v>
      </c>
      <c r="I472" s="4">
        <f>VALUE(SUBSTITUTE('1000_заявлений'!I466, ".", ","))</f>
        <v>0.10069565217391301</v>
      </c>
      <c r="J472" s="4">
        <f>VALUE(SUBSTITUTE('1000_заявлений'!J466, ".", ","))</f>
        <v>3.6340309070460801</v>
      </c>
      <c r="K472" s="5">
        <f>VALUE(SUBSTITUTE('1000_заявлений'!K466, ".", ","))</f>
        <v>-2947</v>
      </c>
      <c r="L472" s="6">
        <f>VALUE(SUBSTITUTE('1000_заявлений'!L466, ".", ","))</f>
        <v>10422</v>
      </c>
      <c r="M472" s="2" t="str">
        <f>IF(Данные6[[#This Row],[proba]]&gt;$C$6, "отказ", "одобрение")</f>
        <v>одобрение</v>
      </c>
      <c r="N472" s="7">
        <f>IF(Данные6[[#This Row],[proba]]&lt;$D$2,$C$2,IF(Данные6[[#This Row],[proba]]&lt;$D$3,$C$3,IF(Данные6[[#This Row],[proba]]&gt;$C$6,0,$C$4)))</f>
        <v>50000</v>
      </c>
      <c r="O472" s="2">
        <f>IF(Данные6[[#This Row],[weighted_ext_score]]&gt;$O$1,MIN(Данные6[[#This Row],[Базовая сумма]]*$O$2,$C$2),IF(Данные6[[#This Row],[weighted_ext_score]]&lt;$O$3,Данные6[[#This Row],[Базовая сумма]]*$O$4,N472))</f>
        <v>40000</v>
      </c>
      <c r="P4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472" s="2">
        <f>ABS(Данные6[[#This Row],[days_birth]])/365.2425</f>
        <v>30.897280573865309</v>
      </c>
      <c r="S4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472" s="2">
        <f>IF(Данные6[[#This Row],[ interest_rate]]&gt;$T$1,Данные6[[#This Row],[days_birth4]]*$T$2,Данные6[[#This Row],[days_birth4]])</f>
        <v>28000</v>
      </c>
      <c r="U472" s="2">
        <f>IF(Данные6[[#This Row],[Проверка отказа]]="отказ",0,MAX(Данные6[[#This Row],[interest_rate]],$C$1))</f>
        <v>28000</v>
      </c>
      <c r="V472" s="2">
        <f>MROUND(Данные6[[#This Row],[Минимум 20000]], 100)</f>
        <v>28000</v>
      </c>
    </row>
    <row r="473" spans="1:22" x14ac:dyDescent="0.25">
      <c r="A473" s="2">
        <f>'1000_заявлений'!A467</f>
        <v>465</v>
      </c>
      <c r="B473" s="4">
        <f>VALUE(SUBSTITUTE('1000_заявлений'!B467, ".", ","))</f>
        <v>0.69054324668578804</v>
      </c>
      <c r="C473" s="4">
        <f>VALUE(SUBSTITUTE('1000_заявлений'!C467, ".", ","))</f>
        <v>8.6043026072538706E-2</v>
      </c>
      <c r="D473" s="4">
        <f>VALUE(SUBSTITUTE('1000_заявлений'!D467, ".", ","))</f>
        <v>0.53527623000000002</v>
      </c>
      <c r="E473" s="4">
        <f>VALUE(SUBSTITUTE('1000_заявлений'!E467, ".", ","))</f>
        <v>0.26525634999999997</v>
      </c>
      <c r="F473" s="5">
        <f>VALUE(SUBSTITUTE('1000_заявлений'!F467, ".", ","))</f>
        <v>-3086</v>
      </c>
      <c r="G473" s="5">
        <f>VALUE(SUBSTITUTE('1000_заявлений'!G467, ".", ","))</f>
        <v>-19919</v>
      </c>
      <c r="H473" s="5">
        <f>VALUE(SUBSTITUTE('1000_заявлений'!H467, ".", ","))</f>
        <v>-3121</v>
      </c>
      <c r="I473" s="4">
        <f>VALUE(SUBSTITUTE('1000_заявлений'!I467, ".", ","))</f>
        <v>0.161</v>
      </c>
      <c r="J473" s="4">
        <f>VALUE(SUBSTITUTE('1000_заявлений'!J467, ".", ","))</f>
        <v>1.50846412750798</v>
      </c>
      <c r="K473" s="5">
        <f>VALUE(SUBSTITUTE('1000_заявлений'!K467, ".", ","))</f>
        <v>-3622</v>
      </c>
      <c r="L473" s="6">
        <f>VALUE(SUBSTITUTE('1000_заявлений'!L467, ".", ","))</f>
        <v>7245</v>
      </c>
      <c r="M473" s="2" t="str">
        <f>IF(Данные6[[#This Row],[proba]]&gt;$C$6, "отказ", "одобрение")</f>
        <v>отказ</v>
      </c>
      <c r="N473" s="7">
        <f>IF(Данные6[[#This Row],[proba]]&lt;$D$2,$C$2,IF(Данные6[[#This Row],[proba]]&lt;$D$3,$C$3,IF(Данные6[[#This Row],[proba]]&gt;$C$6,0,$C$4)))</f>
        <v>0</v>
      </c>
      <c r="O473" s="2">
        <f>IF(Данные6[[#This Row],[weighted_ext_score]]&gt;$O$1,MIN(Данные6[[#This Row],[Базовая сумма]]*$O$2,$C$2),IF(Данные6[[#This Row],[weighted_ext_score]]&lt;$O$3,Данные6[[#This Row],[Базовая сумма]]*$O$4,N473))</f>
        <v>0</v>
      </c>
      <c r="P4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3" s="2">
        <f>ABS(Данные6[[#This Row],[days_birth]])/365.2425</f>
        <v>54.536369672204081</v>
      </c>
      <c r="S4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3" s="2">
        <f>IF(Данные6[[#This Row],[ interest_rate]]&gt;$T$1,Данные6[[#This Row],[days_birth4]]*$T$2,Данные6[[#This Row],[days_birth4]])</f>
        <v>0</v>
      </c>
      <c r="U473" s="2">
        <f>IF(Данные6[[#This Row],[Проверка отказа]]="отказ",0,MAX(Данные6[[#This Row],[interest_rate]],$C$1))</f>
        <v>0</v>
      </c>
      <c r="V473" s="2">
        <f>MROUND(Данные6[[#This Row],[Минимум 20000]], 100)</f>
        <v>0</v>
      </c>
    </row>
    <row r="474" spans="1:22" x14ac:dyDescent="0.25">
      <c r="A474" s="2">
        <f>'1000_заявлений'!A468</f>
        <v>466</v>
      </c>
      <c r="B474" s="4">
        <f>VALUE(SUBSTITUTE('1000_заявлений'!B468, ".", ","))</f>
        <v>0.70251562542527901</v>
      </c>
      <c r="C474" s="4">
        <f>VALUE(SUBSTITUTE('1000_заявлений'!C468, ".", ","))</f>
        <v>0.25087525922168002</v>
      </c>
      <c r="D474" s="4">
        <f>VALUE(SUBSTITUTE('1000_заявлений'!D468, ".", ","))</f>
        <v>0.29408309999999999</v>
      </c>
      <c r="E474" s="4">
        <f>VALUE(SUBSTITUTE('1000_заявлений'!E468, ".", ","))</f>
        <v>0.4455173</v>
      </c>
      <c r="F474" s="5">
        <f>VALUE(SUBSTITUTE('1000_заявлений'!F468, ".", ","))</f>
        <v>-9142</v>
      </c>
      <c r="G474" s="5">
        <f>VALUE(SUBSTITUTE('1000_заявлений'!G468, ".", ","))</f>
        <v>-9142</v>
      </c>
      <c r="H474" s="5">
        <f>VALUE(SUBSTITUTE('1000_заявлений'!H468, ".", ","))</f>
        <v>-1762</v>
      </c>
      <c r="I474" s="4">
        <f>VALUE(SUBSTITUTE('1000_заявлений'!I468, ".", ","))</f>
        <v>0.11817777777777699</v>
      </c>
      <c r="J474" s="4">
        <f>VALUE(SUBSTITUTE('1000_заявлений'!J468, ".", ","))</f>
        <v>1.9277550027685999</v>
      </c>
      <c r="K474" s="5">
        <f>VALUE(SUBSTITUTE('1000_заявлений'!K468, ".", ","))</f>
        <v>-313</v>
      </c>
      <c r="L474" s="6">
        <f>VALUE(SUBSTITUTE('1000_заявлений'!L468, ".", ","))</f>
        <v>23931</v>
      </c>
      <c r="M474" s="2" t="str">
        <f>IF(Данные6[[#This Row],[proba]]&gt;$C$6, "отказ", "одобрение")</f>
        <v>отказ</v>
      </c>
      <c r="N474" s="7">
        <f>IF(Данные6[[#This Row],[proba]]&lt;$D$2,$C$2,IF(Данные6[[#This Row],[proba]]&lt;$D$3,$C$3,IF(Данные6[[#This Row],[proba]]&gt;$C$6,0,$C$4)))</f>
        <v>0</v>
      </c>
      <c r="O474" s="2">
        <f>IF(Данные6[[#This Row],[weighted_ext_score]]&gt;$O$1,MIN(Данные6[[#This Row],[Базовая сумма]]*$O$2,$C$2),IF(Данные6[[#This Row],[weighted_ext_score]]&lt;$O$3,Данные6[[#This Row],[Базовая сумма]]*$O$4,N474))</f>
        <v>0</v>
      </c>
      <c r="P4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4" s="2">
        <f>ABS(Данные6[[#This Row],[days_birth]])/365.2425</f>
        <v>25.029945857888936</v>
      </c>
      <c r="S4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4" s="2">
        <f>IF(Данные6[[#This Row],[ interest_rate]]&gt;$T$1,Данные6[[#This Row],[days_birth4]]*$T$2,Данные6[[#This Row],[days_birth4]])</f>
        <v>0</v>
      </c>
      <c r="U474" s="2">
        <f>IF(Данные6[[#This Row],[Проверка отказа]]="отказ",0,MAX(Данные6[[#This Row],[interest_rate]],$C$1))</f>
        <v>0</v>
      </c>
      <c r="V474" s="2">
        <f>MROUND(Данные6[[#This Row],[Минимум 20000]], 100)</f>
        <v>0</v>
      </c>
    </row>
    <row r="475" spans="1:22" x14ac:dyDescent="0.25">
      <c r="A475" s="2">
        <f>'1000_заявлений'!A469</f>
        <v>467</v>
      </c>
      <c r="B475" s="4">
        <f>VALUE(SUBSTITUTE('1000_заявлений'!B469, ".", ","))</f>
        <v>0.56618069654518499</v>
      </c>
      <c r="C475" s="4">
        <f>VALUE(SUBSTITUTE('1000_заявлений'!C469, ".", ","))</f>
        <v>0.29718904413448299</v>
      </c>
      <c r="D475" s="4">
        <f>VALUE(SUBSTITUTE('1000_заявлений'!D469, ".", ","))</f>
        <v>0.42413032000000001</v>
      </c>
      <c r="E475" s="4">
        <f>VALUE(SUBSTITUTE('1000_заявлений'!E469, ".", ","))</f>
        <v>0.44329819999999998</v>
      </c>
      <c r="F475" s="5">
        <f>VALUE(SUBSTITUTE('1000_заявлений'!F469, ".", ","))</f>
        <v>-5200</v>
      </c>
      <c r="G475" s="5">
        <f>VALUE(SUBSTITUTE('1000_заявлений'!G469, ".", ","))</f>
        <v>-16339</v>
      </c>
      <c r="H475" s="5">
        <f>VALUE(SUBSTITUTE('1000_заявлений'!H469, ".", ","))</f>
        <v>-4562</v>
      </c>
      <c r="I475" s="4">
        <f>VALUE(SUBSTITUTE('1000_заявлений'!I469, ".", ","))</f>
        <v>0.153435897435897</v>
      </c>
      <c r="J475" s="4">
        <f>VALUE(SUBSTITUTE('1000_заявлений'!J469, ".", ","))</f>
        <v>1.8916518509237401</v>
      </c>
      <c r="K475" s="5">
        <f>VALUE(SUBSTITUTE('1000_заявлений'!K469, ".", ","))</f>
        <v>-4129</v>
      </c>
      <c r="L475" s="6">
        <f>VALUE(SUBSTITUTE('1000_заявлений'!L469, ".", ","))</f>
        <v>26928</v>
      </c>
      <c r="M475" s="2" t="str">
        <f>IF(Данные6[[#This Row],[proba]]&gt;$C$6, "отказ", "одобрение")</f>
        <v>отказ</v>
      </c>
      <c r="N475" s="7">
        <f>IF(Данные6[[#This Row],[proba]]&lt;$D$2,$C$2,IF(Данные6[[#This Row],[proba]]&lt;$D$3,$C$3,IF(Данные6[[#This Row],[proba]]&gt;$C$6,0,$C$4)))</f>
        <v>0</v>
      </c>
      <c r="O475" s="2">
        <f>IF(Данные6[[#This Row],[weighted_ext_score]]&gt;$O$1,MIN(Данные6[[#This Row],[Базовая сумма]]*$O$2,$C$2),IF(Данные6[[#This Row],[weighted_ext_score]]&lt;$O$3,Данные6[[#This Row],[Базовая сумма]]*$O$4,N475))</f>
        <v>0</v>
      </c>
      <c r="P4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5" s="2">
        <f>ABS(Данные6[[#This Row],[days_birth]])/365.2425</f>
        <v>44.734662587185227</v>
      </c>
      <c r="S4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5" s="2">
        <f>IF(Данные6[[#This Row],[ interest_rate]]&gt;$T$1,Данные6[[#This Row],[days_birth4]]*$T$2,Данные6[[#This Row],[days_birth4]])</f>
        <v>0</v>
      </c>
      <c r="U475" s="2">
        <f>IF(Данные6[[#This Row],[Проверка отказа]]="отказ",0,MAX(Данные6[[#This Row],[interest_rate]],$C$1))</f>
        <v>0</v>
      </c>
      <c r="V475" s="2">
        <f>MROUND(Данные6[[#This Row],[Минимум 20000]], 100)</f>
        <v>0</v>
      </c>
    </row>
    <row r="476" spans="1:22" x14ac:dyDescent="0.25">
      <c r="A476" s="2">
        <f>'1000_заявлений'!A470</f>
        <v>468</v>
      </c>
      <c r="B476" s="4">
        <f>VALUE(SUBSTITUTE('1000_заявлений'!B470, ".", ","))</f>
        <v>0.71466199761448901</v>
      </c>
      <c r="C476" s="4">
        <f>VALUE(SUBSTITUTE('1000_заявлений'!C470, ".", ","))</f>
        <v>0.25130408398781201</v>
      </c>
      <c r="D476" s="4">
        <f>VALUE(SUBSTITUTE('1000_заявлений'!D470, ".", ","))</f>
        <v>0.45074727999999997</v>
      </c>
      <c r="E476" s="4">
        <f>VALUE(SUBSTITUTE('1000_заявлений'!E470, ".", ","))</f>
        <v>0.27216578000000002</v>
      </c>
      <c r="F476" s="5">
        <f>VALUE(SUBSTITUTE('1000_заявлений'!F470, ".", ","))</f>
        <v>-503</v>
      </c>
      <c r="G476" s="5">
        <f>VALUE(SUBSTITUTE('1000_заявлений'!G470, ".", ","))</f>
        <v>-17284</v>
      </c>
      <c r="H476" s="5">
        <f>VALUE(SUBSTITUTE('1000_заявлений'!H470, ".", ","))</f>
        <v>-496</v>
      </c>
      <c r="I476" s="4">
        <f>VALUE(SUBSTITUTE('1000_заявлений'!I470, ".", ","))</f>
        <v>0.336076923076923</v>
      </c>
      <c r="J476" s="4">
        <f>VALUE(SUBSTITUTE('1000_заявлений'!J470, ".", ","))</f>
        <v>4.6012822456166003</v>
      </c>
      <c r="K476" s="5">
        <f>VALUE(SUBSTITUTE('1000_заявлений'!K470, ".", ","))</f>
        <v>-449</v>
      </c>
      <c r="L476" s="6">
        <f>VALUE(SUBSTITUTE('1000_заявлений'!L470, ".", ","))</f>
        <v>19660.5</v>
      </c>
      <c r="M476" s="2" t="str">
        <f>IF(Данные6[[#This Row],[proba]]&gt;$C$6, "отказ", "одобрение")</f>
        <v>отказ</v>
      </c>
      <c r="N476" s="7">
        <f>IF(Данные6[[#This Row],[proba]]&lt;$D$2,$C$2,IF(Данные6[[#This Row],[proba]]&lt;$D$3,$C$3,IF(Данные6[[#This Row],[proba]]&gt;$C$6,0,$C$4)))</f>
        <v>0</v>
      </c>
      <c r="O476" s="2">
        <f>IF(Данные6[[#This Row],[weighted_ext_score]]&gt;$O$1,MIN(Данные6[[#This Row],[Базовая сумма]]*$O$2,$C$2),IF(Данные6[[#This Row],[weighted_ext_score]]&lt;$O$3,Данные6[[#This Row],[Базовая сумма]]*$O$4,N476))</f>
        <v>0</v>
      </c>
      <c r="P4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6" s="2">
        <f>ABS(Данные6[[#This Row],[days_birth]])/365.2425</f>
        <v>47.321984708789365</v>
      </c>
      <c r="S4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6" s="2">
        <f>IF(Данные6[[#This Row],[ interest_rate]]&gt;$T$1,Данные6[[#This Row],[days_birth4]]*$T$2,Данные6[[#This Row],[days_birth4]])</f>
        <v>0</v>
      </c>
      <c r="U476" s="2">
        <f>IF(Данные6[[#This Row],[Проверка отказа]]="отказ",0,MAX(Данные6[[#This Row],[interest_rate]],$C$1))</f>
        <v>0</v>
      </c>
      <c r="V476" s="2">
        <f>MROUND(Данные6[[#This Row],[Минимум 20000]], 100)</f>
        <v>0</v>
      </c>
    </row>
    <row r="477" spans="1:22" x14ac:dyDescent="0.25">
      <c r="A477" s="2">
        <f>'1000_заявлений'!A471</f>
        <v>469</v>
      </c>
      <c r="B477" s="4">
        <f>VALUE(SUBSTITUTE('1000_заявлений'!B471, ".", ","))</f>
        <v>0.65560530647030302</v>
      </c>
      <c r="C477" s="4">
        <f>VALUE(SUBSTITUTE('1000_заявлений'!C471, ".", ","))</f>
        <v>0.25244901805282099</v>
      </c>
      <c r="D477" s="4">
        <f>VALUE(SUBSTITUTE('1000_заявлений'!D471, ".", ","))</f>
        <v>0.25123944999999998</v>
      </c>
      <c r="E477" s="4">
        <f>VALUE(SUBSTITUTE('1000_заявлений'!E471, ".", ","))</f>
        <v>0.49813768000000003</v>
      </c>
      <c r="F477" s="5">
        <f>VALUE(SUBSTITUTE('1000_заявлений'!F471, ".", ","))</f>
        <v>-4938</v>
      </c>
      <c r="G477" s="5">
        <f>VALUE(SUBSTITUTE('1000_заявлений'!G471, ".", ","))</f>
        <v>-17387</v>
      </c>
      <c r="H477" s="5">
        <f>VALUE(SUBSTITUTE('1000_заявлений'!H471, ".", ","))</f>
        <v>-877</v>
      </c>
      <c r="I477" s="4">
        <f>VALUE(SUBSTITUTE('1000_заявлений'!I471, ".", ","))</f>
        <v>0.100365384615384</v>
      </c>
      <c r="J477" s="4">
        <f>VALUE(SUBSTITUTE('1000_заявлений'!J471, ".", ","))</f>
        <v>4.4698155808793896</v>
      </c>
      <c r="K477" s="5">
        <f>VALUE(SUBSTITUTE('1000_заявлений'!K471, ".", ","))</f>
        <v>-405</v>
      </c>
      <c r="L477" s="6">
        <f>VALUE(SUBSTITUTE('1000_заявлений'!L471, ".", ","))</f>
        <v>23485.5</v>
      </c>
      <c r="M477" s="2" t="str">
        <f>IF(Данные6[[#This Row],[proba]]&gt;$C$6, "отказ", "одобрение")</f>
        <v>отказ</v>
      </c>
      <c r="N477" s="7">
        <f>IF(Данные6[[#This Row],[proba]]&lt;$D$2,$C$2,IF(Данные6[[#This Row],[proba]]&lt;$D$3,$C$3,IF(Данные6[[#This Row],[proba]]&gt;$C$6,0,$C$4)))</f>
        <v>0</v>
      </c>
      <c r="O477" s="2">
        <f>IF(Данные6[[#This Row],[weighted_ext_score]]&gt;$O$1,MIN(Данные6[[#This Row],[Базовая сумма]]*$O$2,$C$2),IF(Данные6[[#This Row],[weighted_ext_score]]&lt;$O$3,Данные6[[#This Row],[Базовая сумма]]*$O$4,N477))</f>
        <v>0</v>
      </c>
      <c r="P4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7" s="2">
        <f>ABS(Данные6[[#This Row],[days_birth]])/365.2425</f>
        <v>47.603989130509184</v>
      </c>
      <c r="S4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7" s="2">
        <f>IF(Данные6[[#This Row],[ interest_rate]]&gt;$T$1,Данные6[[#This Row],[days_birth4]]*$T$2,Данные6[[#This Row],[days_birth4]])</f>
        <v>0</v>
      </c>
      <c r="U477" s="2">
        <f>IF(Данные6[[#This Row],[Проверка отказа]]="отказ",0,MAX(Данные6[[#This Row],[interest_rate]],$C$1))</f>
        <v>0</v>
      </c>
      <c r="V477" s="2">
        <f>MROUND(Данные6[[#This Row],[Минимум 20000]], 100)</f>
        <v>0</v>
      </c>
    </row>
    <row r="478" spans="1:22" x14ac:dyDescent="0.25">
      <c r="A478" s="2">
        <f>'1000_заявлений'!A472</f>
        <v>470</v>
      </c>
      <c r="B478" s="4">
        <f>VALUE(SUBSTITUTE('1000_заявлений'!B472, ".", ","))</f>
        <v>0.30512215140889498</v>
      </c>
      <c r="C478" s="4">
        <f>VALUE(SUBSTITUTE('1000_заявлений'!C472, ".", ","))</f>
        <v>0.53625867690342399</v>
      </c>
      <c r="D478" s="4">
        <f>VALUE(SUBSTITUTE('1000_заявлений'!D472, ".", ","))</f>
        <v>0.63637613999999998</v>
      </c>
      <c r="E478" s="4">
        <f>VALUE(SUBSTITUTE('1000_заявлений'!E472, ".", ","))</f>
        <v>0.60474799999999995</v>
      </c>
      <c r="F478" s="5">
        <f>VALUE(SUBSTITUTE('1000_заявлений'!F472, ".", ","))</f>
        <v>-6911</v>
      </c>
      <c r="G478" s="5">
        <f>VALUE(SUBSTITUTE('1000_заявлений'!G472, ".", ","))</f>
        <v>-12783</v>
      </c>
      <c r="H478" s="5">
        <f>VALUE(SUBSTITUTE('1000_заявлений'!H472, ".", ","))</f>
        <v>-3159</v>
      </c>
      <c r="I478" s="4">
        <f>VALUE(SUBSTITUTE('1000_заявлений'!I472, ".", ","))</f>
        <v>0.19147500000000001</v>
      </c>
      <c r="J478" s="4">
        <f>VALUE(SUBSTITUTE('1000_заявлений'!J472, ".", ","))</f>
        <v>2.43432218179806</v>
      </c>
      <c r="K478" s="5">
        <f>VALUE(SUBSTITUTE('1000_заявлений'!K472, ".", ","))</f>
        <v>-96</v>
      </c>
      <c r="L478" s="6">
        <f>VALUE(SUBSTITUTE('1000_заявлений'!L472, ".", ","))</f>
        <v>34465.5</v>
      </c>
      <c r="M478" s="2" t="str">
        <f>IF(Данные6[[#This Row],[proba]]&gt;$C$6, "отказ", "одобрение")</f>
        <v>отказ</v>
      </c>
      <c r="N478" s="7">
        <f>IF(Данные6[[#This Row],[proba]]&lt;$D$2,$C$2,IF(Данные6[[#This Row],[proba]]&lt;$D$3,$C$3,IF(Данные6[[#This Row],[proba]]&gt;$C$6,0,$C$4)))</f>
        <v>0</v>
      </c>
      <c r="O478" s="2">
        <f>IF(Данные6[[#This Row],[weighted_ext_score]]&gt;$O$1,MIN(Данные6[[#This Row],[Базовая сумма]]*$O$2,$C$2),IF(Данные6[[#This Row],[weighted_ext_score]]&lt;$O$3,Данные6[[#This Row],[Базовая сумма]]*$O$4,N478))</f>
        <v>0</v>
      </c>
      <c r="P4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8" s="2">
        <f>ABS(Данные6[[#This Row],[days_birth]])/365.2425</f>
        <v>34.998665270334094</v>
      </c>
      <c r="S4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8" s="2">
        <f>IF(Данные6[[#This Row],[ interest_rate]]&gt;$T$1,Данные6[[#This Row],[days_birth4]]*$T$2,Данные6[[#This Row],[days_birth4]])</f>
        <v>0</v>
      </c>
      <c r="U478" s="2">
        <f>IF(Данные6[[#This Row],[Проверка отказа]]="отказ",0,MAX(Данные6[[#This Row],[interest_rate]],$C$1))</f>
        <v>0</v>
      </c>
      <c r="V478" s="2">
        <f>MROUND(Данные6[[#This Row],[Минимум 20000]], 100)</f>
        <v>0</v>
      </c>
    </row>
    <row r="479" spans="1:22" x14ac:dyDescent="0.25">
      <c r="A479" s="2">
        <f>'1000_заявлений'!A473</f>
        <v>471</v>
      </c>
      <c r="B479" s="4">
        <f>VALUE(SUBSTITUTE('1000_заявлений'!B473, ".", ","))</f>
        <v>0.686903233435462</v>
      </c>
      <c r="C479" s="4">
        <f>VALUE(SUBSTITUTE('1000_заявлений'!C473, ".", ","))</f>
        <v>0.20789510194031899</v>
      </c>
      <c r="D479" s="4">
        <f>VALUE(SUBSTITUTE('1000_заявлений'!D473, ".", ","))</f>
        <v>0.47584989999999999</v>
      </c>
      <c r="E479" s="4">
        <f>VALUE(SUBSTITUTE('1000_заявлений'!E473, ".", ","))</f>
        <v>0.11035481</v>
      </c>
      <c r="F479" s="5">
        <f>VALUE(SUBSTITUTE('1000_заявлений'!F473, ".", ","))</f>
        <v>-2611</v>
      </c>
      <c r="G479" s="5">
        <f>VALUE(SUBSTITUTE('1000_заявлений'!G473, ".", ","))</f>
        <v>-20967</v>
      </c>
      <c r="H479" s="5">
        <f>VALUE(SUBSTITUTE('1000_заявлений'!H473, ".", ","))</f>
        <v>-4287</v>
      </c>
      <c r="I479" s="4">
        <f>VALUE(SUBSTITUTE('1000_заявлений'!I473, ".", ","))</f>
        <v>0.33600000000000002</v>
      </c>
      <c r="J479" s="4">
        <f>VALUE(SUBSTITUTE('1000_заявлений'!J473, ".", ","))</f>
        <v>1.7926354583625901</v>
      </c>
      <c r="K479" s="5">
        <f>VALUE(SUBSTITUTE('1000_заявлений'!K473, ".", ","))</f>
        <v>365243</v>
      </c>
      <c r="L479" s="6">
        <f>VALUE(SUBSTITUTE('1000_заявлений'!L473, ".", ","))</f>
        <v>37800</v>
      </c>
      <c r="M479" s="2" t="str">
        <f>IF(Данные6[[#This Row],[proba]]&gt;$C$6, "отказ", "одобрение")</f>
        <v>отказ</v>
      </c>
      <c r="N479" s="7">
        <f>IF(Данные6[[#This Row],[proba]]&lt;$D$2,$C$2,IF(Данные6[[#This Row],[proba]]&lt;$D$3,$C$3,IF(Данные6[[#This Row],[proba]]&gt;$C$6,0,$C$4)))</f>
        <v>0</v>
      </c>
      <c r="O479" s="2">
        <f>IF(Данные6[[#This Row],[weighted_ext_score]]&gt;$O$1,MIN(Данные6[[#This Row],[Базовая сумма]]*$O$2,$C$2),IF(Данные6[[#This Row],[weighted_ext_score]]&lt;$O$3,Данные6[[#This Row],[Базовая сумма]]*$O$4,N479))</f>
        <v>0</v>
      </c>
      <c r="P4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79" s="2">
        <f>ABS(Данные6[[#This Row],[days_birth]])/365.2425</f>
        <v>57.405696215528039</v>
      </c>
      <c r="S4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79" s="2">
        <f>IF(Данные6[[#This Row],[ interest_rate]]&gt;$T$1,Данные6[[#This Row],[days_birth4]]*$T$2,Данные6[[#This Row],[days_birth4]])</f>
        <v>0</v>
      </c>
      <c r="U479" s="2">
        <f>IF(Данные6[[#This Row],[Проверка отказа]]="отказ",0,MAX(Данные6[[#This Row],[interest_rate]],$C$1))</f>
        <v>0</v>
      </c>
      <c r="V479" s="2">
        <f>MROUND(Данные6[[#This Row],[Минимум 20000]], 100)</f>
        <v>0</v>
      </c>
    </row>
    <row r="480" spans="1:22" x14ac:dyDescent="0.25">
      <c r="A480" s="2">
        <f>'1000_заявлений'!A474</f>
        <v>472</v>
      </c>
      <c r="B480" s="4">
        <f>VALUE(SUBSTITUTE('1000_заявлений'!B474, ".", ","))</f>
        <v>0.58402172350456905</v>
      </c>
      <c r="C480" s="4">
        <f>VALUE(SUBSTITUTE('1000_заявлений'!C474, ".", ","))</f>
        <v>7.1770300815921201E-2</v>
      </c>
      <c r="D480" s="4">
        <f>VALUE(SUBSTITUTE('1000_заявлений'!D474, ".", ","))</f>
        <v>0.53527623000000002</v>
      </c>
      <c r="E480" s="4">
        <f>VALUE(SUBSTITUTE('1000_заявлений'!E474, ".", ","))</f>
        <v>0.22125591</v>
      </c>
      <c r="F480" s="5">
        <f>VALUE(SUBSTITUTE('1000_заявлений'!F474, ".", ","))</f>
        <v>-13932</v>
      </c>
      <c r="G480" s="5">
        <f>VALUE(SUBSTITUTE('1000_заявлений'!G474, ".", ","))</f>
        <v>-24145</v>
      </c>
      <c r="H480" s="5">
        <f>VALUE(SUBSTITUTE('1000_заявлений'!H474, ".", ","))</f>
        <v>-4779</v>
      </c>
      <c r="I480" s="4">
        <f>VALUE(SUBSTITUTE('1000_заявлений'!I474, ".", ","))</f>
        <v>0.20780000000000001</v>
      </c>
      <c r="J480" s="4">
        <f>VALUE(SUBSTITUTE('1000_заявлений'!J474, ".", ","))</f>
        <v>8.7534958456417797</v>
      </c>
      <c r="K480" s="5">
        <f>VALUE(SUBSTITUTE('1000_заявлений'!K474, ".", ","))</f>
        <v>365243</v>
      </c>
      <c r="L480" s="6">
        <f>VALUE(SUBSTITUTE('1000_заявлений'!L474, ".", ","))</f>
        <v>9351</v>
      </c>
      <c r="M480" s="2" t="str">
        <f>IF(Данные6[[#This Row],[proba]]&gt;$C$6, "отказ", "одобрение")</f>
        <v>отказ</v>
      </c>
      <c r="N480" s="7">
        <f>IF(Данные6[[#This Row],[proba]]&lt;$D$2,$C$2,IF(Данные6[[#This Row],[proba]]&lt;$D$3,$C$3,IF(Данные6[[#This Row],[proba]]&gt;$C$6,0,$C$4)))</f>
        <v>0</v>
      </c>
      <c r="O480" s="2">
        <f>IF(Данные6[[#This Row],[weighted_ext_score]]&gt;$O$1,MIN(Данные6[[#This Row],[Базовая сумма]]*$O$2,$C$2),IF(Данные6[[#This Row],[weighted_ext_score]]&lt;$O$3,Данные6[[#This Row],[Базовая сумма]]*$O$4,N480))</f>
        <v>0</v>
      </c>
      <c r="P4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0" s="2">
        <f>ABS(Данные6[[#This Row],[days_birth]])/365.2425</f>
        <v>66.106764683737509</v>
      </c>
      <c r="S4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0" s="2">
        <f>IF(Данные6[[#This Row],[ interest_rate]]&gt;$T$1,Данные6[[#This Row],[days_birth4]]*$T$2,Данные6[[#This Row],[days_birth4]])</f>
        <v>0</v>
      </c>
      <c r="U480" s="2">
        <f>IF(Данные6[[#This Row],[Проверка отказа]]="отказ",0,MAX(Данные6[[#This Row],[interest_rate]],$C$1))</f>
        <v>0</v>
      </c>
      <c r="V480" s="2">
        <f>MROUND(Данные6[[#This Row],[Минимум 20000]], 100)</f>
        <v>0</v>
      </c>
    </row>
    <row r="481" spans="1:22" x14ac:dyDescent="0.25">
      <c r="A481" s="2">
        <f>'1000_заявлений'!A475</f>
        <v>473</v>
      </c>
      <c r="B481" s="4">
        <f>VALUE(SUBSTITUTE('1000_заявлений'!B475, ".", ","))</f>
        <v>0.53789454985816998</v>
      </c>
      <c r="C481" s="4">
        <f>VALUE(SUBSTITUTE('1000_заявлений'!C475, ".", ","))</f>
        <v>0.31063715708428702</v>
      </c>
      <c r="D481" s="4">
        <f>VALUE(SUBSTITUTE('1000_заявлений'!D475, ".", ","))</f>
        <v>0.73801965000000003</v>
      </c>
      <c r="E481" s="4">
        <f>VALUE(SUBSTITUTE('1000_заявлений'!E475, ".", ","))</f>
        <v>0.13478401000000001</v>
      </c>
      <c r="F481" s="5">
        <f>VALUE(SUBSTITUTE('1000_заявлений'!F475, ".", ","))</f>
        <v>-4872</v>
      </c>
      <c r="G481" s="5">
        <f>VALUE(SUBSTITUTE('1000_заявлений'!G475, ".", ","))</f>
        <v>-11135</v>
      </c>
      <c r="H481" s="5">
        <f>VALUE(SUBSTITUTE('1000_заявлений'!H475, ".", ","))</f>
        <v>-3058</v>
      </c>
      <c r="I481" s="4">
        <f>VALUE(SUBSTITUTE('1000_заявлений'!I475, ".", ","))</f>
        <v>0.170185185185185</v>
      </c>
      <c r="J481" s="4">
        <f>VALUE(SUBSTITUTE('1000_заявлений'!J475, ".", ","))</f>
        <v>8.1255744410594506</v>
      </c>
      <c r="K481" s="5">
        <f>VALUE(SUBSTITUTE('1000_заявлений'!K475, ".", ","))</f>
        <v>-3304</v>
      </c>
      <c r="L481" s="6">
        <f>VALUE(SUBSTITUTE('1000_заявлений'!L475, ".", ","))</f>
        <v>20677.5</v>
      </c>
      <c r="M481" s="2" t="str">
        <f>IF(Данные6[[#This Row],[proba]]&gt;$C$6, "отказ", "одобрение")</f>
        <v>отказ</v>
      </c>
      <c r="N481" s="7">
        <f>IF(Данные6[[#This Row],[proba]]&lt;$D$2,$C$2,IF(Данные6[[#This Row],[proba]]&lt;$D$3,$C$3,IF(Данные6[[#This Row],[proba]]&gt;$C$6,0,$C$4)))</f>
        <v>0</v>
      </c>
      <c r="O481" s="2">
        <f>IF(Данные6[[#This Row],[weighted_ext_score]]&gt;$O$1,MIN(Данные6[[#This Row],[Базовая сумма]]*$O$2,$C$2),IF(Данные6[[#This Row],[weighted_ext_score]]&lt;$O$3,Данные6[[#This Row],[Базовая сумма]]*$O$4,N481))</f>
        <v>0</v>
      </c>
      <c r="P4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1" s="2">
        <f>ABS(Данные6[[#This Row],[days_birth]])/365.2425</f>
        <v>30.486594522817033</v>
      </c>
      <c r="S4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1" s="2">
        <f>IF(Данные6[[#This Row],[ interest_rate]]&gt;$T$1,Данные6[[#This Row],[days_birth4]]*$T$2,Данные6[[#This Row],[days_birth4]])</f>
        <v>0</v>
      </c>
      <c r="U481" s="2">
        <f>IF(Данные6[[#This Row],[Проверка отказа]]="отказ",0,MAX(Данные6[[#This Row],[interest_rate]],$C$1))</f>
        <v>0</v>
      </c>
      <c r="V481" s="2">
        <f>MROUND(Данные6[[#This Row],[Минимум 20000]], 100)</f>
        <v>0</v>
      </c>
    </row>
    <row r="482" spans="1:22" x14ac:dyDescent="0.25">
      <c r="A482" s="2">
        <f>'1000_заявлений'!A476</f>
        <v>474</v>
      </c>
      <c r="B482" s="4">
        <f>VALUE(SUBSTITUTE('1000_заявлений'!B476, ".", ","))</f>
        <v>0.44922394760440398</v>
      </c>
      <c r="C482" s="4">
        <f>VALUE(SUBSTITUTE('1000_заявлений'!C476, ".", ","))</f>
        <v>0.54132199481099097</v>
      </c>
      <c r="D482" s="4">
        <f>VALUE(SUBSTITUTE('1000_заявлений'!D476, ".", ","))</f>
        <v>0.2091547</v>
      </c>
      <c r="E482" s="4">
        <f>VALUE(SUBSTITUTE('1000_заявлений'!E476, ".", ","))</f>
        <v>0.76803659999999996</v>
      </c>
      <c r="F482" s="5">
        <f>VALUE(SUBSTITUTE('1000_заявлений'!F476, ".", ","))</f>
        <v>-7261</v>
      </c>
      <c r="G482" s="5">
        <f>VALUE(SUBSTITUTE('1000_заявлений'!G476, ".", ","))</f>
        <v>-16491</v>
      </c>
      <c r="H482" s="5">
        <f>VALUE(SUBSTITUTE('1000_заявлений'!H476, ".", ","))</f>
        <v>-36</v>
      </c>
      <c r="I482" s="4">
        <f>VALUE(SUBSTITUTE('1000_заявлений'!I476, ".", ","))</f>
        <v>0.188568181818181</v>
      </c>
      <c r="J482" s="4">
        <f>VALUE(SUBSTITUTE('1000_заявлений'!J476, ".", ","))</f>
        <v>4.4575220582381503</v>
      </c>
      <c r="K482" s="5">
        <f>VALUE(SUBSTITUTE('1000_заявлений'!K476, ".", ","))</f>
        <v>-4906</v>
      </c>
      <c r="L482" s="6">
        <f>VALUE(SUBSTITUTE('1000_заявлений'!L476, ".", ","))</f>
        <v>37336.5</v>
      </c>
      <c r="M482" s="2" t="str">
        <f>IF(Данные6[[#This Row],[proba]]&gt;$C$6, "отказ", "одобрение")</f>
        <v>отказ</v>
      </c>
      <c r="N482" s="7">
        <f>IF(Данные6[[#This Row],[proba]]&lt;$D$2,$C$2,IF(Данные6[[#This Row],[proba]]&lt;$D$3,$C$3,IF(Данные6[[#This Row],[proba]]&gt;$C$6,0,$C$4)))</f>
        <v>0</v>
      </c>
      <c r="O482" s="2">
        <f>IF(Данные6[[#This Row],[weighted_ext_score]]&gt;$O$1,MIN(Данные6[[#This Row],[Базовая сумма]]*$O$2,$C$2),IF(Данные6[[#This Row],[weighted_ext_score]]&lt;$O$3,Данные6[[#This Row],[Базовая сумма]]*$O$4,N482))</f>
        <v>0</v>
      </c>
      <c r="P4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2" s="2">
        <f>ABS(Данные6[[#This Row],[days_birth]])/365.2425</f>
        <v>45.150824452247477</v>
      </c>
      <c r="S4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2" s="2">
        <f>IF(Данные6[[#This Row],[ interest_rate]]&gt;$T$1,Данные6[[#This Row],[days_birth4]]*$T$2,Данные6[[#This Row],[days_birth4]])</f>
        <v>0</v>
      </c>
      <c r="U482" s="2">
        <f>IF(Данные6[[#This Row],[Проверка отказа]]="отказ",0,MAX(Данные6[[#This Row],[interest_rate]],$C$1))</f>
        <v>0</v>
      </c>
      <c r="V482" s="2">
        <f>MROUND(Данные6[[#This Row],[Минимум 20000]], 100)</f>
        <v>0</v>
      </c>
    </row>
    <row r="483" spans="1:22" x14ac:dyDescent="0.25">
      <c r="A483" s="2">
        <f>'1000_заявлений'!A477</f>
        <v>475</v>
      </c>
      <c r="B483" s="4">
        <f>VALUE(SUBSTITUTE('1000_заявлений'!B477, ".", ","))</f>
        <v>0.26429904562087603</v>
      </c>
      <c r="C483" s="4">
        <f>VALUE(SUBSTITUTE('1000_заявлений'!C477, ".", ","))</f>
        <v>0.43240717216088498</v>
      </c>
      <c r="D483" s="4">
        <f>VALUE(SUBSTITUTE('1000_заявлений'!D477, ".", ","))</f>
        <v>0.5797274</v>
      </c>
      <c r="E483" s="4">
        <f>VALUE(SUBSTITUTE('1000_заявлений'!E477, ".", ","))</f>
        <v>0.68666947</v>
      </c>
      <c r="F483" s="5">
        <f>VALUE(SUBSTITUTE('1000_заявлений'!F477, ".", ","))</f>
        <v>-3927</v>
      </c>
      <c r="G483" s="5">
        <f>VALUE(SUBSTITUTE('1000_заявлений'!G477, ".", ","))</f>
        <v>-21771</v>
      </c>
      <c r="H483" s="5">
        <f>VALUE(SUBSTITUTE('1000_заявлений'!H477, ".", ","))</f>
        <v>-4974</v>
      </c>
      <c r="I483" s="4">
        <f>VALUE(SUBSTITUTE('1000_заявлений'!I477, ".", ","))</f>
        <v>0.29570000000000002</v>
      </c>
      <c r="J483" s="4">
        <f>VALUE(SUBSTITUTE('1000_заявлений'!J477, ".", ","))</f>
        <v>0.26728007303498102</v>
      </c>
      <c r="K483" s="5">
        <f>VALUE(SUBSTITUTE('1000_заявлений'!K477, ".", ","))</f>
        <v>365243</v>
      </c>
      <c r="L483" s="6">
        <f>VALUE(SUBSTITUTE('1000_заявлений'!L477, ".", ","))</f>
        <v>66532.5</v>
      </c>
      <c r="M483" s="2" t="str">
        <f>IF(Данные6[[#This Row],[proba]]&gt;$C$6, "отказ", "одобрение")</f>
        <v>одобрение</v>
      </c>
      <c r="N483" s="7">
        <f>IF(Данные6[[#This Row],[proba]]&lt;$D$2,$C$2,IF(Данные6[[#This Row],[proba]]&lt;$D$3,$C$3,IF(Данные6[[#This Row],[proba]]&gt;$C$6,0,$C$4)))</f>
        <v>50000</v>
      </c>
      <c r="O483" s="2">
        <f>IF(Данные6[[#This Row],[weighted_ext_score]]&gt;$O$1,MIN(Данные6[[#This Row],[Базовая сумма]]*$O$2,$C$2),IF(Данные6[[#This Row],[weighted_ext_score]]&lt;$O$3,Данные6[[#This Row],[Базовая сумма]]*$O$4,N483))</f>
        <v>40000</v>
      </c>
      <c r="P4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4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483" s="2">
        <f>ABS(Данные6[[#This Row],[days_birth]])/365.2425</f>
        <v>59.6069734491468</v>
      </c>
      <c r="S4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483" s="2">
        <f>IF(Данные6[[#This Row],[ interest_rate]]&gt;$T$1,Данные6[[#This Row],[days_birth4]]*$T$2,Данные6[[#This Row],[days_birth4]])</f>
        <v>42000</v>
      </c>
      <c r="U483" s="2">
        <f>IF(Данные6[[#This Row],[Проверка отказа]]="отказ",0,MAX(Данные6[[#This Row],[interest_rate]],$C$1))</f>
        <v>42000</v>
      </c>
      <c r="V483" s="2">
        <f>MROUND(Данные6[[#This Row],[Минимум 20000]], 100)</f>
        <v>42000</v>
      </c>
    </row>
    <row r="484" spans="1:22" x14ac:dyDescent="0.25">
      <c r="A484" s="2">
        <f>'1000_заявлений'!A478</f>
        <v>476</v>
      </c>
      <c r="B484" s="4">
        <f>VALUE(SUBSTITUTE('1000_заявлений'!B478, ".", ","))</f>
        <v>0.49223167431612302</v>
      </c>
      <c r="C484" s="4">
        <f>VALUE(SUBSTITUTE('1000_заявлений'!C478, ".", ","))</f>
        <v>0.31858336009698801</v>
      </c>
      <c r="D484" s="4">
        <f>VALUE(SUBSTITUTE('1000_заявлений'!D478, ".", ","))</f>
        <v>0.58674000000000004</v>
      </c>
      <c r="E484" s="4">
        <f>VALUE(SUBSTITUTE('1000_заявлений'!E478, ".", ","))</f>
        <v>0.32795084000000002</v>
      </c>
      <c r="F484" s="5">
        <f>VALUE(SUBSTITUTE('1000_заявлений'!F478, ".", ","))</f>
        <v>-203</v>
      </c>
      <c r="G484" s="5">
        <f>VALUE(SUBSTITUTE('1000_заявлений'!G478, ".", ","))</f>
        <v>-18707</v>
      </c>
      <c r="H484" s="5">
        <f>VALUE(SUBSTITUTE('1000_заявлений'!H478, ".", ","))</f>
        <v>-2218</v>
      </c>
      <c r="I484" s="4">
        <f>VALUE(SUBSTITUTE('1000_заявлений'!I478, ".", ","))</f>
        <v>0.17</v>
      </c>
      <c r="J484" s="4">
        <f>VALUE(SUBSTITUTE('1000_заявлений'!J478, ".", ","))</f>
        <v>10.6209759779781</v>
      </c>
      <c r="K484" s="5">
        <f>VALUE(SUBSTITUTE('1000_заявлений'!K478, ".", ","))</f>
        <v>-200</v>
      </c>
      <c r="L484" s="6">
        <f>VALUE(SUBSTITUTE('1000_заявлений'!L478, ".", ","))</f>
        <v>19125</v>
      </c>
      <c r="M484" s="2" t="str">
        <f>IF(Данные6[[#This Row],[proba]]&gt;$C$6, "отказ", "одобрение")</f>
        <v>отказ</v>
      </c>
      <c r="N484" s="7">
        <f>IF(Данные6[[#This Row],[proba]]&lt;$D$2,$C$2,IF(Данные6[[#This Row],[proba]]&lt;$D$3,$C$3,IF(Данные6[[#This Row],[proba]]&gt;$C$6,0,$C$4)))</f>
        <v>0</v>
      </c>
      <c r="O484" s="2">
        <f>IF(Данные6[[#This Row],[weighted_ext_score]]&gt;$O$1,MIN(Данные6[[#This Row],[Базовая сумма]]*$O$2,$C$2),IF(Данные6[[#This Row],[weighted_ext_score]]&lt;$O$3,Данные6[[#This Row],[Базовая сумма]]*$O$4,N484))</f>
        <v>0</v>
      </c>
      <c r="P4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4" s="2">
        <f>ABS(Данные6[[#This Row],[days_birth]])/365.2425</f>
        <v>51.218026379734013</v>
      </c>
      <c r="S4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4" s="2">
        <f>IF(Данные6[[#This Row],[ interest_rate]]&gt;$T$1,Данные6[[#This Row],[days_birth4]]*$T$2,Данные6[[#This Row],[days_birth4]])</f>
        <v>0</v>
      </c>
      <c r="U484" s="2">
        <f>IF(Данные6[[#This Row],[Проверка отказа]]="отказ",0,MAX(Данные6[[#This Row],[interest_rate]],$C$1))</f>
        <v>0</v>
      </c>
      <c r="V484" s="2">
        <f>MROUND(Данные6[[#This Row],[Минимум 20000]], 100)</f>
        <v>0</v>
      </c>
    </row>
    <row r="485" spans="1:22" x14ac:dyDescent="0.25">
      <c r="A485" s="2">
        <f>'1000_заявлений'!A479</f>
        <v>477</v>
      </c>
      <c r="B485" s="4">
        <f>VALUE(SUBSTITUTE('1000_заявлений'!B479, ".", ","))</f>
        <v>0.21940814624798599</v>
      </c>
      <c r="C485" s="4">
        <f>VALUE(SUBSTITUTE('1000_заявлений'!C479, ".", ","))</f>
        <v>0.65231789109111404</v>
      </c>
      <c r="D485" s="4">
        <f>VALUE(SUBSTITUTE('1000_заявлений'!D479, ".", ","))</f>
        <v>0.66585492999999996</v>
      </c>
      <c r="E485" s="4">
        <f>VALUE(SUBSTITUTE('1000_заявлений'!E479, ".", ","))</f>
        <v>0.66433430000000004</v>
      </c>
      <c r="F485" s="5">
        <f>VALUE(SUBSTITUTE('1000_заявлений'!F479, ".", ","))</f>
        <v>-2382</v>
      </c>
      <c r="G485" s="5">
        <f>VALUE(SUBSTITUTE('1000_заявлений'!G479, ".", ","))</f>
        <v>-16387</v>
      </c>
      <c r="H485" s="5">
        <f>VALUE(SUBSTITUTE('1000_заявлений'!H479, ".", ","))</f>
        <v>-4199</v>
      </c>
      <c r="I485" s="4">
        <f>VALUE(SUBSTITUTE('1000_заявлений'!I479, ".", ","))</f>
        <v>0.20211999999999999</v>
      </c>
      <c r="J485" s="4">
        <f>VALUE(SUBSTITUTE('1000_заявлений'!J479, ".", ","))</f>
        <v>2.7837303471027699</v>
      </c>
      <c r="K485" s="5">
        <f>VALUE(SUBSTITUTE('1000_заявлений'!K479, ".", ","))</f>
        <v>-5023</v>
      </c>
      <c r="L485" s="6">
        <f>VALUE(SUBSTITUTE('1000_заявлений'!L479, ".", ","))</f>
        <v>22738.5</v>
      </c>
      <c r="M485" s="2" t="str">
        <f>IF(Данные6[[#This Row],[proba]]&gt;$C$6, "отказ", "одобрение")</f>
        <v>одобрение</v>
      </c>
      <c r="N485" s="7">
        <f>IF(Данные6[[#This Row],[proba]]&lt;$D$2,$C$2,IF(Данные6[[#This Row],[proba]]&lt;$D$3,$C$3,IF(Данные6[[#This Row],[proba]]&gt;$C$6,0,$C$4)))</f>
        <v>50000</v>
      </c>
      <c r="O485" s="2">
        <f>IF(Данные6[[#This Row],[weighted_ext_score]]&gt;$O$1,MIN(Данные6[[#This Row],[Базовая сумма]]*$O$2,$C$2),IF(Данные6[[#This Row],[weighted_ext_score]]&lt;$O$3,Данные6[[#This Row],[Базовая сумма]]*$O$4,N485))</f>
        <v>50000</v>
      </c>
      <c r="P4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85" s="2">
        <f>ABS(Данные6[[#This Row],[days_birth]])/365.2425</f>
        <v>44.866082123520677</v>
      </c>
      <c r="S4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85" s="2">
        <f>IF(Данные6[[#This Row],[ interest_rate]]&gt;$T$1,Данные6[[#This Row],[days_birth4]]*$T$2,Данные6[[#This Row],[days_birth4]])</f>
        <v>60000</v>
      </c>
      <c r="U485" s="2">
        <f>IF(Данные6[[#This Row],[Проверка отказа]]="отказ",0,MAX(Данные6[[#This Row],[interest_rate]],$C$1))</f>
        <v>60000</v>
      </c>
      <c r="V485" s="2">
        <f>MROUND(Данные6[[#This Row],[Минимум 20000]], 100)</f>
        <v>60000</v>
      </c>
    </row>
    <row r="486" spans="1:22" x14ac:dyDescent="0.25">
      <c r="A486" s="2">
        <f>'1000_заявлений'!A480</f>
        <v>478</v>
      </c>
      <c r="B486" s="4">
        <f>VALUE(SUBSTITUTE('1000_заявлений'!B480, ".", ","))</f>
        <v>0.76224749576946105</v>
      </c>
      <c r="C486" s="4">
        <f>VALUE(SUBSTITUTE('1000_заявлений'!C480, ".", ","))</f>
        <v>0.25978356564730998</v>
      </c>
      <c r="D486" s="4">
        <f>VALUE(SUBSTITUTE('1000_заявлений'!D480, ".", ","))</f>
        <v>7.5965679999999994E-2</v>
      </c>
      <c r="E486" s="4">
        <f>VALUE(SUBSTITUTE('1000_заявлений'!E480, ".", ","))</f>
        <v>0.16986968</v>
      </c>
      <c r="F486" s="5">
        <f>VALUE(SUBSTITUTE('1000_заявлений'!F480, ".", ","))</f>
        <v>-5007</v>
      </c>
      <c r="G486" s="5">
        <f>VALUE(SUBSTITUTE('1000_заявлений'!G480, ".", ","))</f>
        <v>-22199</v>
      </c>
      <c r="H486" s="5">
        <f>VALUE(SUBSTITUTE('1000_заявлений'!H480, ".", ","))</f>
        <v>-4523</v>
      </c>
      <c r="I486" s="4">
        <f>VALUE(SUBSTITUTE('1000_заявлений'!I480, ".", ","))</f>
        <v>8.7636363636363596E-2</v>
      </c>
      <c r="J486" s="4">
        <f>VALUE(SUBSTITUTE('1000_заявлений'!J480, ".", ","))</f>
        <v>2.0570353975046798</v>
      </c>
      <c r="K486" s="5">
        <f>VALUE(SUBSTITUTE('1000_заявлений'!K480, ".", ","))</f>
        <v>365243</v>
      </c>
      <c r="L486" s="6">
        <f>VALUE(SUBSTITUTE('1000_заявлений'!L480, ".", ","))</f>
        <v>21690</v>
      </c>
      <c r="M486" s="2" t="str">
        <f>IF(Данные6[[#This Row],[proba]]&gt;$C$6, "отказ", "одобрение")</f>
        <v>отказ</v>
      </c>
      <c r="N486" s="7">
        <f>IF(Данные6[[#This Row],[proba]]&lt;$D$2,$C$2,IF(Данные6[[#This Row],[proba]]&lt;$D$3,$C$3,IF(Данные6[[#This Row],[proba]]&gt;$C$6,0,$C$4)))</f>
        <v>0</v>
      </c>
      <c r="O486" s="2">
        <f>IF(Данные6[[#This Row],[weighted_ext_score]]&gt;$O$1,MIN(Данные6[[#This Row],[Базовая сумма]]*$O$2,$C$2),IF(Данные6[[#This Row],[weighted_ext_score]]&lt;$O$3,Данные6[[#This Row],[Базовая сумма]]*$O$4,N486))</f>
        <v>0</v>
      </c>
      <c r="P4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6" s="2">
        <f>ABS(Данные6[[#This Row],[days_birth]])/365.2425</f>
        <v>60.778797648137882</v>
      </c>
      <c r="S4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6" s="2">
        <f>IF(Данные6[[#This Row],[ interest_rate]]&gt;$T$1,Данные6[[#This Row],[days_birth4]]*$T$2,Данные6[[#This Row],[days_birth4]])</f>
        <v>0</v>
      </c>
      <c r="U486" s="2">
        <f>IF(Данные6[[#This Row],[Проверка отказа]]="отказ",0,MAX(Данные6[[#This Row],[interest_rate]],$C$1))</f>
        <v>0</v>
      </c>
      <c r="V486" s="2">
        <f>MROUND(Данные6[[#This Row],[Минимум 20000]], 100)</f>
        <v>0</v>
      </c>
    </row>
    <row r="487" spans="1:22" x14ac:dyDescent="0.25">
      <c r="A487" s="2">
        <f>'1000_заявлений'!A481</f>
        <v>479</v>
      </c>
      <c r="B487" s="4">
        <f>VALUE(SUBSTITUTE('1000_заявлений'!B481, ".", ","))</f>
        <v>0.27386727987647502</v>
      </c>
      <c r="C487" s="4">
        <f>VALUE(SUBSTITUTE('1000_заявлений'!C481, ".", ","))</f>
        <v>0.59008421137367895</v>
      </c>
      <c r="D487" s="4">
        <f>VALUE(SUBSTITUTE('1000_заявлений'!D481, ".", ","))</f>
        <v>0.66102355999999995</v>
      </c>
      <c r="E487" s="4">
        <f>VALUE(SUBSTITUTE('1000_заявлений'!E481, ".", ","))</f>
        <v>0.73318810000000001</v>
      </c>
      <c r="F487" s="5">
        <f>VALUE(SUBSTITUTE('1000_заявлений'!F481, ".", ","))</f>
        <v>-3102</v>
      </c>
      <c r="G487" s="5">
        <f>VALUE(SUBSTITUTE('1000_заявлений'!G481, ".", ","))</f>
        <v>-11880</v>
      </c>
      <c r="H487" s="5">
        <f>VALUE(SUBSTITUTE('1000_заявлений'!H481, ".", ","))</f>
        <v>-2453</v>
      </c>
      <c r="I487" s="4">
        <f>VALUE(SUBSTITUTE('1000_заявлений'!I481, ".", ","))</f>
        <v>0.35526666666666601</v>
      </c>
      <c r="J487" s="4">
        <f>VALUE(SUBSTITUTE('1000_заявлений'!J481, ".", ","))</f>
        <v>2.42606529137927</v>
      </c>
      <c r="K487" s="5">
        <f>VALUE(SUBSTITUTE('1000_заявлений'!K481, ".", ","))</f>
        <v>-3729</v>
      </c>
      <c r="L487" s="6">
        <f>VALUE(SUBSTITUTE('1000_заявлений'!L481, ".", ","))</f>
        <v>47961</v>
      </c>
      <c r="M487" s="2" t="str">
        <f>IF(Данные6[[#This Row],[proba]]&gt;$C$6, "отказ", "одобрение")</f>
        <v>одобрение</v>
      </c>
      <c r="N487" s="7">
        <f>IF(Данные6[[#This Row],[proba]]&lt;$D$2,$C$2,IF(Данные6[[#This Row],[proba]]&lt;$D$3,$C$3,IF(Данные6[[#This Row],[proba]]&gt;$C$6,0,$C$4)))</f>
        <v>50000</v>
      </c>
      <c r="O487" s="2">
        <f>IF(Данные6[[#This Row],[weighted_ext_score]]&gt;$O$1,MIN(Данные6[[#This Row],[Базовая сумма]]*$O$2,$C$2),IF(Данные6[[#This Row],[weighted_ext_score]]&lt;$O$3,Данные6[[#This Row],[Базовая сумма]]*$O$4,N487))</f>
        <v>50000</v>
      </c>
      <c r="P4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87" s="2">
        <f>ABS(Данные6[[#This Row],[days_birth]])/365.2425</f>
        <v>32.526335243023468</v>
      </c>
      <c r="S4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87" s="2">
        <f>IF(Данные6[[#This Row],[ interest_rate]]&gt;$T$1,Данные6[[#This Row],[days_birth4]]*$T$2,Данные6[[#This Row],[days_birth4]])</f>
        <v>60000</v>
      </c>
      <c r="U487" s="2">
        <f>IF(Данные6[[#This Row],[Проверка отказа]]="отказ",0,MAX(Данные6[[#This Row],[interest_rate]],$C$1))</f>
        <v>60000</v>
      </c>
      <c r="V487" s="2">
        <f>MROUND(Данные6[[#This Row],[Минимум 20000]], 100)</f>
        <v>60000</v>
      </c>
    </row>
    <row r="488" spans="1:22" x14ac:dyDescent="0.25">
      <c r="A488" s="2">
        <f>'1000_заявлений'!A482</f>
        <v>480</v>
      </c>
      <c r="B488" s="4">
        <f>VALUE(SUBSTITUTE('1000_заявлений'!B482, ".", ","))</f>
        <v>0.348390510805483</v>
      </c>
      <c r="C488" s="4">
        <f>VALUE(SUBSTITUTE('1000_заявлений'!C482, ".", ","))</f>
        <v>0.549895980806131</v>
      </c>
      <c r="D488" s="4">
        <f>VALUE(SUBSTITUTE('1000_заявлений'!D482, ".", ","))</f>
        <v>0.55316469999999995</v>
      </c>
      <c r="E488" s="4">
        <f>VALUE(SUBSTITUTE('1000_заявлений'!E482, ".", ","))</f>
        <v>0.60997319999999999</v>
      </c>
      <c r="F488" s="5">
        <f>VALUE(SUBSTITUTE('1000_заявлений'!F482, ".", ","))</f>
        <v>-10658</v>
      </c>
      <c r="G488" s="5">
        <f>VALUE(SUBSTITUTE('1000_заявлений'!G482, ".", ","))</f>
        <v>-10658</v>
      </c>
      <c r="H488" s="5">
        <f>VALUE(SUBSTITUTE('1000_заявлений'!H482, ".", ","))</f>
        <v>-2503</v>
      </c>
      <c r="I488" s="4">
        <f>VALUE(SUBSTITUTE('1000_заявлений'!I482, ".", ","))</f>
        <v>0.14455555555555499</v>
      </c>
      <c r="J488" s="4">
        <f>VALUE(SUBSTITUTE('1000_заявлений'!J482, ".", ","))</f>
        <v>2.34461711785523</v>
      </c>
      <c r="K488" s="5">
        <f>VALUE(SUBSTITUTE('1000_заявлений'!K482, ".", ","))</f>
        <v>-1289</v>
      </c>
      <c r="L488" s="6">
        <f>VALUE(SUBSTITUTE('1000_заявлений'!L482, ".", ","))</f>
        <v>17563.5</v>
      </c>
      <c r="M488" s="2" t="str">
        <f>IF(Данные6[[#This Row],[proba]]&gt;$C$6, "отказ", "одобрение")</f>
        <v>отказ</v>
      </c>
      <c r="N488" s="7">
        <f>IF(Данные6[[#This Row],[proba]]&lt;$D$2,$C$2,IF(Данные6[[#This Row],[proba]]&lt;$D$3,$C$3,IF(Данные6[[#This Row],[proba]]&gt;$C$6,0,$C$4)))</f>
        <v>0</v>
      </c>
      <c r="O488" s="2">
        <f>IF(Данные6[[#This Row],[weighted_ext_score]]&gt;$O$1,MIN(Данные6[[#This Row],[Базовая сумма]]*$O$2,$C$2),IF(Данные6[[#This Row],[weighted_ext_score]]&lt;$O$3,Данные6[[#This Row],[Базовая сумма]]*$O$4,N488))</f>
        <v>0</v>
      </c>
      <c r="P4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8" s="2">
        <f>ABS(Данные6[[#This Row],[days_birth]])/365.2425</f>
        <v>29.180612880483515</v>
      </c>
      <c r="S4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8" s="2">
        <f>IF(Данные6[[#This Row],[ interest_rate]]&gt;$T$1,Данные6[[#This Row],[days_birth4]]*$T$2,Данные6[[#This Row],[days_birth4]])</f>
        <v>0</v>
      </c>
      <c r="U488" s="2">
        <f>IF(Данные6[[#This Row],[Проверка отказа]]="отказ",0,MAX(Данные6[[#This Row],[interest_rate]],$C$1))</f>
        <v>0</v>
      </c>
      <c r="V488" s="2">
        <f>MROUND(Данные6[[#This Row],[Минимум 20000]], 100)</f>
        <v>0</v>
      </c>
    </row>
    <row r="489" spans="1:22" x14ac:dyDescent="0.25">
      <c r="A489" s="2">
        <f>'1000_заявлений'!A483</f>
        <v>481</v>
      </c>
      <c r="B489" s="4">
        <f>VALUE(SUBSTITUTE('1000_заявлений'!B483, ".", ","))</f>
        <v>0.73860048313585602</v>
      </c>
      <c r="C489" s="4">
        <f>VALUE(SUBSTITUTE('1000_заявлений'!C483, ".", ","))</f>
        <v>0.22727825486724201</v>
      </c>
      <c r="D489" s="4">
        <f>VALUE(SUBSTITUTE('1000_заявлений'!D483, ".", ","))</f>
        <v>0.10479462</v>
      </c>
      <c r="E489" s="4">
        <f>VALUE(SUBSTITUTE('1000_заявлений'!E483, ".", ","))</f>
        <v>0.5838198</v>
      </c>
      <c r="F489" s="5">
        <f>VALUE(SUBSTITUTE('1000_заявлений'!F483, ".", ","))</f>
        <v>-2150</v>
      </c>
      <c r="G489" s="5">
        <f>VALUE(SUBSTITUTE('1000_заявлений'!G483, ".", ","))</f>
        <v>-11244</v>
      </c>
      <c r="H489" s="5">
        <f>VALUE(SUBSTITUTE('1000_заявлений'!H483, ".", ","))</f>
        <v>-3767</v>
      </c>
      <c r="I489" s="4">
        <f>VALUE(SUBSTITUTE('1000_заявлений'!I483, ".", ","))</f>
        <v>0.24249999999999999</v>
      </c>
      <c r="J489" s="4">
        <f>VALUE(SUBSTITUTE('1000_заявлений'!J483, ".", ","))</f>
        <v>9.2548058046410606</v>
      </c>
      <c r="K489" s="5">
        <f>VALUE(SUBSTITUTE('1000_заявлений'!K483, ".", ","))</f>
        <v>-3058</v>
      </c>
      <c r="L489" s="6">
        <f>VALUE(SUBSTITUTE('1000_заявлений'!L483, ".", ","))</f>
        <v>13095</v>
      </c>
      <c r="M489" s="2" t="str">
        <f>IF(Данные6[[#This Row],[proba]]&gt;$C$6, "отказ", "одобрение")</f>
        <v>отказ</v>
      </c>
      <c r="N489" s="7">
        <f>IF(Данные6[[#This Row],[proba]]&lt;$D$2,$C$2,IF(Данные6[[#This Row],[proba]]&lt;$D$3,$C$3,IF(Данные6[[#This Row],[proba]]&gt;$C$6,0,$C$4)))</f>
        <v>0</v>
      </c>
      <c r="O489" s="2">
        <f>IF(Данные6[[#This Row],[weighted_ext_score]]&gt;$O$1,MIN(Данные6[[#This Row],[Базовая сумма]]*$O$2,$C$2),IF(Данные6[[#This Row],[weighted_ext_score]]&lt;$O$3,Данные6[[#This Row],[Базовая сумма]]*$O$4,N489))</f>
        <v>0</v>
      </c>
      <c r="P4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89" s="2">
        <f>ABS(Данные6[[#This Row],[days_birth]])/365.2425</f>
        <v>30.785026386578778</v>
      </c>
      <c r="S4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89" s="2">
        <f>IF(Данные6[[#This Row],[ interest_rate]]&gt;$T$1,Данные6[[#This Row],[days_birth4]]*$T$2,Данные6[[#This Row],[days_birth4]])</f>
        <v>0</v>
      </c>
      <c r="U489" s="2">
        <f>IF(Данные6[[#This Row],[Проверка отказа]]="отказ",0,MAX(Данные6[[#This Row],[interest_rate]],$C$1))</f>
        <v>0</v>
      </c>
      <c r="V489" s="2">
        <f>MROUND(Данные6[[#This Row],[Минимум 20000]], 100)</f>
        <v>0</v>
      </c>
    </row>
    <row r="490" spans="1:22" x14ac:dyDescent="0.25">
      <c r="A490" s="2">
        <f>'1000_заявлений'!A484</f>
        <v>482</v>
      </c>
      <c r="B490" s="4">
        <f>VALUE(SUBSTITUTE('1000_заявлений'!B484, ".", ","))</f>
        <v>0.45113510673694801</v>
      </c>
      <c r="C490" s="4">
        <f>VALUE(SUBSTITUTE('1000_заявлений'!C484, ".", ","))</f>
        <v>0.455482171653736</v>
      </c>
      <c r="D490" s="4">
        <f>VALUE(SUBSTITUTE('1000_заявлений'!D484, ".", ","))</f>
        <v>0.46506920000000002</v>
      </c>
      <c r="E490" s="4">
        <f>VALUE(SUBSTITUTE('1000_заявлений'!E484, ".", ","))</f>
        <v>0.56863459999999999</v>
      </c>
      <c r="F490" s="5">
        <f>VALUE(SUBSTITUTE('1000_заявлений'!F484, ".", ","))</f>
        <v>-5465</v>
      </c>
      <c r="G490" s="5">
        <f>VALUE(SUBSTITUTE('1000_заявлений'!G484, ".", ","))</f>
        <v>-11057</v>
      </c>
      <c r="H490" s="5">
        <f>VALUE(SUBSTITUTE('1000_заявлений'!H484, ".", ","))</f>
        <v>-3388</v>
      </c>
      <c r="I490" s="4">
        <f>VALUE(SUBSTITUTE('1000_заявлений'!I484, ".", ","))</f>
        <v>0.13502392344497599</v>
      </c>
      <c r="J490" s="4">
        <f>VALUE(SUBSTITUTE('1000_заявлений'!J484, ".", ","))</f>
        <v>3.5954086203865598</v>
      </c>
      <c r="K490" s="5">
        <f>VALUE(SUBSTITUTE('1000_заявлений'!K484, ".", ","))</f>
        <v>-359</v>
      </c>
      <c r="L490" s="6">
        <f>VALUE(SUBSTITUTE('1000_заявлений'!L484, ".", ","))</f>
        <v>12699</v>
      </c>
      <c r="M490" s="2" t="str">
        <f>IF(Данные6[[#This Row],[proba]]&gt;$C$6, "отказ", "одобрение")</f>
        <v>отказ</v>
      </c>
      <c r="N490" s="7">
        <f>IF(Данные6[[#This Row],[proba]]&lt;$D$2,$C$2,IF(Данные6[[#This Row],[proba]]&lt;$D$3,$C$3,IF(Данные6[[#This Row],[proba]]&gt;$C$6,0,$C$4)))</f>
        <v>0</v>
      </c>
      <c r="O490" s="2">
        <f>IF(Данные6[[#This Row],[weighted_ext_score]]&gt;$O$1,MIN(Данные6[[#This Row],[Базовая сумма]]*$O$2,$C$2),IF(Данные6[[#This Row],[weighted_ext_score]]&lt;$O$3,Данные6[[#This Row],[Базовая сумма]]*$O$4,N490))</f>
        <v>0</v>
      </c>
      <c r="P4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0" s="2">
        <f>ABS(Данные6[[#This Row],[days_birth]])/365.2425</f>
        <v>30.273037776271927</v>
      </c>
      <c r="S4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0" s="2">
        <f>IF(Данные6[[#This Row],[ interest_rate]]&gt;$T$1,Данные6[[#This Row],[days_birth4]]*$T$2,Данные6[[#This Row],[days_birth4]])</f>
        <v>0</v>
      </c>
      <c r="U490" s="2">
        <f>IF(Данные6[[#This Row],[Проверка отказа]]="отказ",0,MAX(Данные6[[#This Row],[interest_rate]],$C$1))</f>
        <v>0</v>
      </c>
      <c r="V490" s="2">
        <f>MROUND(Данные6[[#This Row],[Минимум 20000]], 100)</f>
        <v>0</v>
      </c>
    </row>
    <row r="491" spans="1:22" x14ac:dyDescent="0.25">
      <c r="A491" s="2">
        <f>'1000_заявлений'!A485</f>
        <v>483</v>
      </c>
      <c r="B491" s="4">
        <f>VALUE(SUBSTITUTE('1000_заявлений'!B485, ".", ","))</f>
        <v>0.43790598249256302</v>
      </c>
      <c r="C491" s="4">
        <f>VALUE(SUBSTITUTE('1000_заявлений'!C485, ".", ","))</f>
        <v>0.201007364631723</v>
      </c>
      <c r="D491" s="4">
        <f>VALUE(SUBSTITUTE('1000_заявлений'!D485, ".", ","))</f>
        <v>0.53527623000000002</v>
      </c>
      <c r="E491" s="4">
        <f>VALUE(SUBSTITUTE('1000_заявлений'!E485, ".", ","))</f>
        <v>0.61967229999999995</v>
      </c>
      <c r="F491" s="5">
        <f>VALUE(SUBSTITUTE('1000_заявлений'!F485, ".", ","))</f>
        <v>-8865</v>
      </c>
      <c r="G491" s="5">
        <f>VALUE(SUBSTITUTE('1000_заявлений'!G485, ".", ","))</f>
        <v>-22194</v>
      </c>
      <c r="H491" s="5">
        <f>VALUE(SUBSTITUTE('1000_заявлений'!H485, ".", ","))</f>
        <v>-1964</v>
      </c>
      <c r="I491" s="4">
        <f>VALUE(SUBSTITUTE('1000_заявлений'!I485, ".", ","))</f>
        <v>0.113485714285714</v>
      </c>
      <c r="J491" s="4">
        <f>VALUE(SUBSTITUTE('1000_заявлений'!J485, ".", ","))</f>
        <v>4.75522523422402</v>
      </c>
      <c r="K491" s="5">
        <f>VALUE(SUBSTITUTE('1000_заявлений'!K485, ".", ","))</f>
        <v>-1309</v>
      </c>
      <c r="L491" s="6">
        <f>VALUE(SUBSTITUTE('1000_заявлений'!L485, ".", ","))</f>
        <v>17874</v>
      </c>
      <c r="M491" s="2" t="str">
        <f>IF(Данные6[[#This Row],[proba]]&gt;$C$6, "отказ", "одобрение")</f>
        <v>отказ</v>
      </c>
      <c r="N491" s="7">
        <f>IF(Данные6[[#This Row],[proba]]&lt;$D$2,$C$2,IF(Данные6[[#This Row],[proba]]&lt;$D$3,$C$3,IF(Данные6[[#This Row],[proba]]&gt;$C$6,0,$C$4)))</f>
        <v>0</v>
      </c>
      <c r="O491" s="2">
        <f>IF(Данные6[[#This Row],[weighted_ext_score]]&gt;$O$1,MIN(Данные6[[#This Row],[Базовая сумма]]*$O$2,$C$2),IF(Данные6[[#This Row],[weighted_ext_score]]&lt;$O$3,Данные6[[#This Row],[Базовая сумма]]*$O$4,N491))</f>
        <v>0</v>
      </c>
      <c r="P4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1" s="2">
        <f>ABS(Данные6[[#This Row],[days_birth]])/365.2425</f>
        <v>60.76510811310294</v>
      </c>
      <c r="S4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1" s="2">
        <f>IF(Данные6[[#This Row],[ interest_rate]]&gt;$T$1,Данные6[[#This Row],[days_birth4]]*$T$2,Данные6[[#This Row],[days_birth4]])</f>
        <v>0</v>
      </c>
      <c r="U491" s="2">
        <f>IF(Данные6[[#This Row],[Проверка отказа]]="отказ",0,MAX(Данные6[[#This Row],[interest_rate]],$C$1))</f>
        <v>0</v>
      </c>
      <c r="V491" s="2">
        <f>MROUND(Данные6[[#This Row],[Минимум 20000]], 100)</f>
        <v>0</v>
      </c>
    </row>
    <row r="492" spans="1:22" x14ac:dyDescent="0.25">
      <c r="A492" s="2">
        <f>'1000_заявлений'!A486</f>
        <v>484</v>
      </c>
      <c r="B492" s="4">
        <f>VALUE(SUBSTITUTE('1000_заявлений'!B486, ".", ","))</f>
        <v>0.478543276382488</v>
      </c>
      <c r="C492" s="4">
        <f>VALUE(SUBSTITUTE('1000_заявлений'!C486, ".", ","))</f>
        <v>0.350242214622423</v>
      </c>
      <c r="D492" s="4">
        <f>VALUE(SUBSTITUTE('1000_заявлений'!D486, ".", ","))</f>
        <v>0.36896873000000002</v>
      </c>
      <c r="E492" s="4">
        <f>VALUE(SUBSTITUTE('1000_заявлений'!E486, ".", ","))</f>
        <v>0.66835500000000003</v>
      </c>
      <c r="F492" s="5">
        <f>VALUE(SUBSTITUTE('1000_заявлений'!F486, ".", ","))</f>
        <v>-7693</v>
      </c>
      <c r="G492" s="5">
        <f>VALUE(SUBSTITUTE('1000_заявлений'!G486, ".", ","))</f>
        <v>-14826</v>
      </c>
      <c r="H492" s="5">
        <f>VALUE(SUBSTITUTE('1000_заявлений'!H486, ".", ","))</f>
        <v>-4286</v>
      </c>
      <c r="I492" s="4">
        <f>VALUE(SUBSTITUTE('1000_заявлений'!I486, ".", ","))</f>
        <v>0.16800000000000001</v>
      </c>
      <c r="J492" s="4">
        <f>VALUE(SUBSTITUTE('1000_заявлений'!J486, ".", ","))</f>
        <v>1.7926354583625901</v>
      </c>
      <c r="K492" s="5">
        <f>VALUE(SUBSTITUTE('1000_заявлений'!K486, ".", ","))</f>
        <v>-1898</v>
      </c>
      <c r="L492" s="6">
        <f>VALUE(SUBSTITUTE('1000_заявлений'!L486, ".", ","))</f>
        <v>37800</v>
      </c>
      <c r="M492" s="2" t="str">
        <f>IF(Данные6[[#This Row],[proba]]&gt;$C$6, "отказ", "одобрение")</f>
        <v>отказ</v>
      </c>
      <c r="N492" s="7">
        <f>IF(Данные6[[#This Row],[proba]]&lt;$D$2,$C$2,IF(Данные6[[#This Row],[proba]]&lt;$D$3,$C$3,IF(Данные6[[#This Row],[proba]]&gt;$C$6,0,$C$4)))</f>
        <v>0</v>
      </c>
      <c r="O492" s="2">
        <f>IF(Данные6[[#This Row],[weighted_ext_score]]&gt;$O$1,MIN(Данные6[[#This Row],[Базовая сумма]]*$O$2,$C$2),IF(Данные6[[#This Row],[weighted_ext_score]]&lt;$O$3,Данные6[[#This Row],[Базовая сумма]]*$O$4,N492))</f>
        <v>0</v>
      </c>
      <c r="P4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2" s="2">
        <f>ABS(Данные6[[#This Row],[days_birth]])/365.2425</f>
        <v>40.592209285611617</v>
      </c>
      <c r="S4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2" s="2">
        <f>IF(Данные6[[#This Row],[ interest_rate]]&gt;$T$1,Данные6[[#This Row],[days_birth4]]*$T$2,Данные6[[#This Row],[days_birth4]])</f>
        <v>0</v>
      </c>
      <c r="U492" s="2">
        <f>IF(Данные6[[#This Row],[Проверка отказа]]="отказ",0,MAX(Данные6[[#This Row],[interest_rate]],$C$1))</f>
        <v>0</v>
      </c>
      <c r="V492" s="2">
        <f>MROUND(Данные6[[#This Row],[Минимум 20000]], 100)</f>
        <v>0</v>
      </c>
    </row>
    <row r="493" spans="1:22" x14ac:dyDescent="0.25">
      <c r="A493" s="2">
        <f>'1000_заявлений'!A487</f>
        <v>485</v>
      </c>
      <c r="B493" s="4">
        <f>VALUE(SUBSTITUTE('1000_заявлений'!B487, ".", ","))</f>
        <v>0.26983346514030698</v>
      </c>
      <c r="C493" s="4">
        <f>VALUE(SUBSTITUTE('1000_заявлений'!C487, ".", ","))</f>
        <v>0.587630936122159</v>
      </c>
      <c r="D493" s="4">
        <f>VALUE(SUBSTITUTE('1000_заявлений'!D487, ".", ","))</f>
        <v>0.58148370000000005</v>
      </c>
      <c r="E493" s="4">
        <f>VALUE(SUBSTITUTE('1000_заявлений'!E487, ".", ","))</f>
        <v>0.69568229999999998</v>
      </c>
      <c r="F493" s="5">
        <f>VALUE(SUBSTITUTE('1000_заявлений'!F487, ".", ","))</f>
        <v>-2413</v>
      </c>
      <c r="G493" s="5">
        <f>VALUE(SUBSTITUTE('1000_заявлений'!G487, ".", ","))</f>
        <v>-13540</v>
      </c>
      <c r="H493" s="5">
        <f>VALUE(SUBSTITUTE('1000_заявлений'!H487, ".", ","))</f>
        <v>-4038</v>
      </c>
      <c r="I493" s="4">
        <f>VALUE(SUBSTITUTE('1000_заявлений'!I487, ".", ","))</f>
        <v>0.21536</v>
      </c>
      <c r="J493" s="4">
        <f>VALUE(SUBSTITUTE('1000_заявлений'!J487, ".", ","))</f>
        <v>2.76271603038886</v>
      </c>
      <c r="K493" s="5">
        <f>VALUE(SUBSTITUTE('1000_заявлений'!K487, ".", ","))</f>
        <v>-2353</v>
      </c>
      <c r="L493" s="6">
        <f>VALUE(SUBSTITUTE('1000_заявлений'!L487, ".", ","))</f>
        <v>48456</v>
      </c>
      <c r="M493" s="2" t="str">
        <f>IF(Данные6[[#This Row],[proba]]&gt;$C$6, "отказ", "одобрение")</f>
        <v>одобрение</v>
      </c>
      <c r="N493" s="7">
        <f>IF(Данные6[[#This Row],[proba]]&lt;$D$2,$C$2,IF(Данные6[[#This Row],[proba]]&lt;$D$3,$C$3,IF(Данные6[[#This Row],[proba]]&gt;$C$6,0,$C$4)))</f>
        <v>50000</v>
      </c>
      <c r="O493" s="2">
        <f>IF(Данные6[[#This Row],[weighted_ext_score]]&gt;$O$1,MIN(Данные6[[#This Row],[Базовая сумма]]*$O$2,$C$2),IF(Данные6[[#This Row],[weighted_ext_score]]&lt;$O$3,Данные6[[#This Row],[Базовая сумма]]*$O$4,N493))</f>
        <v>50000</v>
      </c>
      <c r="P4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493" s="2">
        <f>ABS(Данные6[[#This Row],[days_birth]])/365.2425</f>
        <v>37.071260874624393</v>
      </c>
      <c r="S4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493" s="2">
        <f>IF(Данные6[[#This Row],[ interest_rate]]&gt;$T$1,Данные6[[#This Row],[days_birth4]]*$T$2,Данные6[[#This Row],[days_birth4]])</f>
        <v>35000</v>
      </c>
      <c r="U493" s="2">
        <f>IF(Данные6[[#This Row],[Проверка отказа]]="отказ",0,MAX(Данные6[[#This Row],[interest_rate]],$C$1))</f>
        <v>35000</v>
      </c>
      <c r="V493" s="2">
        <f>MROUND(Данные6[[#This Row],[Минимум 20000]], 100)</f>
        <v>35000</v>
      </c>
    </row>
    <row r="494" spans="1:22" x14ac:dyDescent="0.25">
      <c r="A494" s="2">
        <f>'1000_заявлений'!A488</f>
        <v>486</v>
      </c>
      <c r="B494" s="4">
        <f>VALUE(SUBSTITUTE('1000_заявлений'!B488, ".", ","))</f>
        <v>0.26372987307413098</v>
      </c>
      <c r="C494" s="4">
        <f>VALUE(SUBSTITUTE('1000_заявлений'!C488, ".", ","))</f>
        <v>0.63016907179177495</v>
      </c>
      <c r="D494" s="4">
        <f>VALUE(SUBSTITUTE('1000_заявлений'!D488, ".", ","))</f>
        <v>0.55850659999999996</v>
      </c>
      <c r="E494" s="4">
        <f>VALUE(SUBSTITUTE('1000_заявлений'!E488, ".", ","))</f>
        <v>0.65358232999999999</v>
      </c>
      <c r="F494" s="5">
        <f>VALUE(SUBSTITUTE('1000_заявлений'!F488, ".", ","))</f>
        <v>-2260</v>
      </c>
      <c r="G494" s="5">
        <f>VALUE(SUBSTITUTE('1000_заявлений'!G488, ".", ","))</f>
        <v>-16672</v>
      </c>
      <c r="H494" s="5">
        <f>VALUE(SUBSTITUTE('1000_заявлений'!H488, ".", ","))</f>
        <v>-216</v>
      </c>
      <c r="I494" s="4">
        <f>VALUE(SUBSTITUTE('1000_заявлений'!I488, ".", ","))</f>
        <v>0.14719148936170201</v>
      </c>
      <c r="J494" s="4">
        <f>VALUE(SUBSTITUTE('1000_заявлений'!J488, ".", ","))</f>
        <v>7.3942951079285004</v>
      </c>
      <c r="K494" s="5">
        <f>VALUE(SUBSTITUTE('1000_заявлений'!K488, ".", ","))</f>
        <v>-3701</v>
      </c>
      <c r="L494" s="6">
        <f>VALUE(SUBSTITUTE('1000_заявлений'!L488, ".", ","))</f>
        <v>31131</v>
      </c>
      <c r="M494" s="2" t="str">
        <f>IF(Данные6[[#This Row],[proba]]&gt;$C$6, "отказ", "одобрение")</f>
        <v>одобрение</v>
      </c>
      <c r="N494" s="7">
        <f>IF(Данные6[[#This Row],[proba]]&lt;$D$2,$C$2,IF(Данные6[[#This Row],[proba]]&lt;$D$3,$C$3,IF(Данные6[[#This Row],[proba]]&gt;$C$6,0,$C$4)))</f>
        <v>50000</v>
      </c>
      <c r="O494" s="2">
        <f>IF(Данные6[[#This Row],[weighted_ext_score]]&gt;$O$1,MIN(Данные6[[#This Row],[Базовая сумма]]*$O$2,$C$2),IF(Данные6[[#This Row],[weighted_ext_score]]&lt;$O$3,Данные6[[#This Row],[Базовая сумма]]*$O$4,N494))</f>
        <v>50000</v>
      </c>
      <c r="P4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4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494" s="2">
        <f>ABS(Данные6[[#This Row],[days_birth]])/365.2425</f>
        <v>45.646385620512397</v>
      </c>
      <c r="S4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494" s="2">
        <f>IF(Данные6[[#This Row],[ interest_rate]]&gt;$T$1,Данные6[[#This Row],[days_birth4]]*$T$2,Данные6[[#This Row],[days_birth4]])</f>
        <v>60000</v>
      </c>
      <c r="U494" s="2">
        <f>IF(Данные6[[#This Row],[Проверка отказа]]="отказ",0,MAX(Данные6[[#This Row],[interest_rate]],$C$1))</f>
        <v>60000</v>
      </c>
      <c r="V494" s="2">
        <f>MROUND(Данные6[[#This Row],[Минимум 20000]], 100)</f>
        <v>60000</v>
      </c>
    </row>
    <row r="495" spans="1:22" x14ac:dyDescent="0.25">
      <c r="A495" s="2">
        <f>'1000_заявлений'!A489</f>
        <v>487</v>
      </c>
      <c r="B495" s="4">
        <f>VALUE(SUBSTITUTE('1000_заявлений'!B489, ".", ","))</f>
        <v>0.358810328123225</v>
      </c>
      <c r="C495" s="4">
        <f>VALUE(SUBSTITUTE('1000_заявлений'!C489, ".", ","))</f>
        <v>0.543641639400129</v>
      </c>
      <c r="D495" s="4">
        <f>VALUE(SUBSTITUTE('1000_заявлений'!D489, ".", ","))</f>
        <v>0.48665314999999998</v>
      </c>
      <c r="E495" s="4">
        <f>VALUE(SUBSTITUTE('1000_заявлений'!E489, ".", ","))</f>
        <v>0.49984332999999997</v>
      </c>
      <c r="F495" s="5">
        <f>VALUE(SUBSTITUTE('1000_заявлений'!F489, ".", ","))</f>
        <v>-1</v>
      </c>
      <c r="G495" s="5">
        <f>VALUE(SUBSTITUTE('1000_заявлений'!G489, ".", ","))</f>
        <v>-21381</v>
      </c>
      <c r="H495" s="5">
        <f>VALUE(SUBSTITUTE('1000_заявлений'!H489, ".", ","))</f>
        <v>-4908</v>
      </c>
      <c r="I495" s="4">
        <f>VALUE(SUBSTITUTE('1000_заявлений'!I489, ".", ","))</f>
        <v>0.34011999999999998</v>
      </c>
      <c r="J495" s="4">
        <f>VALUE(SUBSTITUTE('1000_заявлений'!J489, ".", ","))</f>
        <v>1.9599044997106601</v>
      </c>
      <c r="K495" s="5">
        <f>VALUE(SUBSTITUTE('1000_заявлений'!K489, ".", ","))</f>
        <v>365243</v>
      </c>
      <c r="L495" s="6">
        <f>VALUE(SUBSTITUTE('1000_заявлений'!L489, ".", ","))</f>
        <v>38263.5</v>
      </c>
      <c r="M495" s="2" t="str">
        <f>IF(Данные6[[#This Row],[proba]]&gt;$C$6, "отказ", "одобрение")</f>
        <v>отказ</v>
      </c>
      <c r="N495" s="7">
        <f>IF(Данные6[[#This Row],[proba]]&lt;$D$2,$C$2,IF(Данные6[[#This Row],[proba]]&lt;$D$3,$C$3,IF(Данные6[[#This Row],[proba]]&gt;$C$6,0,$C$4)))</f>
        <v>0</v>
      </c>
      <c r="O495" s="2">
        <f>IF(Данные6[[#This Row],[weighted_ext_score]]&gt;$O$1,MIN(Данные6[[#This Row],[Базовая сумма]]*$O$2,$C$2),IF(Данные6[[#This Row],[weighted_ext_score]]&lt;$O$3,Данные6[[#This Row],[Базовая сумма]]*$O$4,N495))</f>
        <v>0</v>
      </c>
      <c r="P4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5" s="2">
        <f>ABS(Данные6[[#This Row],[days_birth]])/365.2425</f>
        <v>58.539189716421284</v>
      </c>
      <c r="S4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5" s="2">
        <f>IF(Данные6[[#This Row],[ interest_rate]]&gt;$T$1,Данные6[[#This Row],[days_birth4]]*$T$2,Данные6[[#This Row],[days_birth4]])</f>
        <v>0</v>
      </c>
      <c r="U495" s="2">
        <f>IF(Данные6[[#This Row],[Проверка отказа]]="отказ",0,MAX(Данные6[[#This Row],[interest_rate]],$C$1))</f>
        <v>0</v>
      </c>
      <c r="V495" s="2">
        <f>MROUND(Данные6[[#This Row],[Минимум 20000]], 100)</f>
        <v>0</v>
      </c>
    </row>
    <row r="496" spans="1:22" x14ac:dyDescent="0.25">
      <c r="A496" s="2">
        <f>'1000_заявлений'!A490</f>
        <v>488</v>
      </c>
      <c r="B496" s="4">
        <f>VALUE(SUBSTITUTE('1000_заявлений'!B490, ".", ","))</f>
        <v>0.19519624056451201</v>
      </c>
      <c r="C496" s="4">
        <f>VALUE(SUBSTITUTE('1000_заявлений'!C490, ".", ","))</f>
        <v>0.475998879889102</v>
      </c>
      <c r="D496" s="4">
        <f>VALUE(SUBSTITUTE('1000_заявлений'!D490, ".", ","))</f>
        <v>0.68326885000000004</v>
      </c>
      <c r="E496" s="4">
        <f>VALUE(SUBSTITUTE('1000_заявлений'!E490, ".", ","))</f>
        <v>0.7056114</v>
      </c>
      <c r="F496" s="5">
        <f>VALUE(SUBSTITUTE('1000_заявлений'!F490, ".", ","))</f>
        <v>-12188</v>
      </c>
      <c r="G496" s="5">
        <f>VALUE(SUBSTITUTE('1000_заявлений'!G490, ".", ","))</f>
        <v>-20905</v>
      </c>
      <c r="H496" s="5">
        <f>VALUE(SUBSTITUTE('1000_заявлений'!H490, ".", ","))</f>
        <v>-2534</v>
      </c>
      <c r="I496" s="4">
        <f>VALUE(SUBSTITUTE('1000_заявлений'!I490, ".", ","))</f>
        <v>0.163833333333333</v>
      </c>
      <c r="J496" s="4">
        <f>VALUE(SUBSTITUTE('1000_заявлений'!J490, ".", ","))</f>
        <v>1.80651108610858</v>
      </c>
      <c r="K496" s="5">
        <f>VALUE(SUBSTITUTE('1000_заявлений'!K490, ".", ","))</f>
        <v>365243</v>
      </c>
      <c r="L496" s="6">
        <f>VALUE(SUBSTITUTE('1000_заявлений'!L490, ".", ","))</f>
        <v>35388</v>
      </c>
      <c r="M496" s="2" t="str">
        <f>IF(Данные6[[#This Row],[proba]]&gt;$C$6, "отказ", "одобрение")</f>
        <v>одобрение</v>
      </c>
      <c r="N496" s="7">
        <f>IF(Данные6[[#This Row],[proba]]&lt;$D$2,$C$2,IF(Данные6[[#This Row],[proba]]&lt;$D$3,$C$3,IF(Данные6[[#This Row],[proba]]&gt;$C$6,0,$C$4)))</f>
        <v>200000</v>
      </c>
      <c r="O496" s="2">
        <f>IF(Данные6[[#This Row],[weighted_ext_score]]&gt;$O$1,MIN(Данные6[[#This Row],[Базовая сумма]]*$O$2,$C$2),IF(Данные6[[#This Row],[weighted_ext_score]]&lt;$O$3,Данные6[[#This Row],[Базовая сумма]]*$O$4,N496))</f>
        <v>160000</v>
      </c>
      <c r="P4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4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496" s="2">
        <f>ABS(Данные6[[#This Row],[days_birth]])/365.2425</f>
        <v>57.235945981094751</v>
      </c>
      <c r="S4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496" s="2">
        <f>IF(Данные6[[#This Row],[ interest_rate]]&gt;$T$1,Данные6[[#This Row],[days_birth4]]*$T$2,Данные6[[#This Row],[days_birth4]])</f>
        <v>168000</v>
      </c>
      <c r="U496" s="2">
        <f>IF(Данные6[[#This Row],[Проверка отказа]]="отказ",0,MAX(Данные6[[#This Row],[interest_rate]],$C$1))</f>
        <v>168000</v>
      </c>
      <c r="V496" s="2">
        <f>MROUND(Данные6[[#This Row],[Минимум 20000]], 100)</f>
        <v>168000</v>
      </c>
    </row>
    <row r="497" spans="1:22" x14ac:dyDescent="0.25">
      <c r="A497" s="2">
        <f>'1000_заявлений'!A491</f>
        <v>489</v>
      </c>
      <c r="B497" s="4">
        <f>VALUE(SUBSTITUTE('1000_заявлений'!B491, ".", ","))</f>
        <v>0.15742480594010699</v>
      </c>
      <c r="C497" s="4">
        <f>VALUE(SUBSTITUTE('1000_заявлений'!C491, ".", ","))</f>
        <v>0.68474445595932598</v>
      </c>
      <c r="D497" s="4">
        <f>VALUE(SUBSTITUTE('1000_заявлений'!D491, ".", ","))</f>
        <v>0.73941179999999995</v>
      </c>
      <c r="E497" s="4">
        <f>VALUE(SUBSTITUTE('1000_заявлений'!E491, ".", ","))</f>
        <v>0.66636466999999999</v>
      </c>
      <c r="F497" s="5">
        <f>VALUE(SUBSTITUTE('1000_заявлений'!F491, ".", ","))</f>
        <v>-10245</v>
      </c>
      <c r="G497" s="5">
        <f>VALUE(SUBSTITUTE('1000_заявлений'!G491, ".", ","))</f>
        <v>-18207</v>
      </c>
      <c r="H497" s="5">
        <f>VALUE(SUBSTITUTE('1000_заявлений'!H491, ".", ","))</f>
        <v>-1698</v>
      </c>
      <c r="I497" s="4">
        <f>VALUE(SUBSTITUTE('1000_заявлений'!I491, ".", ","))</f>
        <v>5.70153846153846E-2</v>
      </c>
      <c r="J497" s="4">
        <f>VALUE(SUBSTITUTE('1000_заявлений'!J491, ".", ","))</f>
        <v>3.12668823094597</v>
      </c>
      <c r="K497" s="5">
        <f>VALUE(SUBSTITUTE('1000_заявлений'!K491, ".", ","))</f>
        <v>-1134</v>
      </c>
      <c r="L497" s="6">
        <f>VALUE(SUBSTITUTE('1000_заявлений'!L491, ".", ","))</f>
        <v>16677</v>
      </c>
      <c r="M497" s="2" t="str">
        <f>IF(Данные6[[#This Row],[proba]]&gt;$C$6, "отказ", "одобрение")</f>
        <v>одобрение</v>
      </c>
      <c r="N497" s="7">
        <f>IF(Данные6[[#This Row],[proba]]&lt;$D$2,$C$2,IF(Данные6[[#This Row],[proba]]&lt;$D$3,$C$3,IF(Данные6[[#This Row],[proba]]&gt;$C$6,0,$C$4)))</f>
        <v>200000</v>
      </c>
      <c r="O497" s="2">
        <f>IF(Данные6[[#This Row],[weighted_ext_score]]&gt;$O$1,MIN(Данные6[[#This Row],[Базовая сумма]]*$O$2,$C$2),IF(Данные6[[#This Row],[weighted_ext_score]]&lt;$O$3,Данные6[[#This Row],[Базовая сумма]]*$O$4,N497))</f>
        <v>200000</v>
      </c>
      <c r="P4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240000</v>
      </c>
      <c r="Q4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168000</v>
      </c>
      <c r="R497" s="2">
        <f>ABS(Данные6[[#This Row],[days_birth]])/365.2425</f>
        <v>49.849072876239759</v>
      </c>
      <c r="S4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497" s="2">
        <f>IF(Данные6[[#This Row],[ interest_rate]]&gt;$T$1,Данные6[[#This Row],[days_birth4]]*$T$2,Данные6[[#This Row],[days_birth4]])</f>
        <v>168000</v>
      </c>
      <c r="U497" s="2">
        <f>IF(Данные6[[#This Row],[Проверка отказа]]="отказ",0,MAX(Данные6[[#This Row],[interest_rate]],$C$1))</f>
        <v>168000</v>
      </c>
      <c r="V497" s="2">
        <f>MROUND(Данные6[[#This Row],[Минимум 20000]], 100)</f>
        <v>168000</v>
      </c>
    </row>
    <row r="498" spans="1:22" x14ac:dyDescent="0.25">
      <c r="A498" s="2">
        <f>'1000_заявлений'!A492</f>
        <v>490</v>
      </c>
      <c r="B498" s="4">
        <f>VALUE(SUBSTITUTE('1000_заявлений'!B492, ".", ","))</f>
        <v>0.63335709738590296</v>
      </c>
      <c r="C498" s="4">
        <f>VALUE(SUBSTITUTE('1000_заявлений'!C492, ".", ","))</f>
        <v>0.25515240717609899</v>
      </c>
      <c r="D498" s="4">
        <f>VALUE(SUBSTITUTE('1000_заявлений'!D492, ".", ","))</f>
        <v>0.36729099999999998</v>
      </c>
      <c r="E498" s="4">
        <f>VALUE(SUBSTITUTE('1000_заявлений'!E492, ".", ","))</f>
        <v>0.37707952</v>
      </c>
      <c r="F498" s="5">
        <f>VALUE(SUBSTITUTE('1000_заявлений'!F492, ".", ","))</f>
        <v>-7356</v>
      </c>
      <c r="G498" s="5">
        <f>VALUE(SUBSTITUTE('1000_заявлений'!G492, ".", ","))</f>
        <v>-16705</v>
      </c>
      <c r="H498" s="5">
        <f>VALUE(SUBSTITUTE('1000_заявлений'!H492, ".", ","))</f>
        <v>-250</v>
      </c>
      <c r="I498" s="4">
        <f>VALUE(SUBSTITUTE('1000_заявлений'!I492, ".", ","))</f>
        <v>0.13750000000000001</v>
      </c>
      <c r="J498" s="4">
        <f>VALUE(SUBSTITUTE('1000_заявлений'!J492, ".", ","))</f>
        <v>10.6209759779781</v>
      </c>
      <c r="K498" s="5">
        <f>VALUE(SUBSTITUTE('1000_заявлений'!K492, ".", ","))</f>
        <v>-1357</v>
      </c>
      <c r="L498" s="6">
        <f>VALUE(SUBSTITUTE('1000_заявлений'!L492, ".", ","))</f>
        <v>12375</v>
      </c>
      <c r="M498" s="2" t="str">
        <f>IF(Данные6[[#This Row],[proba]]&gt;$C$6, "отказ", "одобрение")</f>
        <v>отказ</v>
      </c>
      <c r="N498" s="7">
        <f>IF(Данные6[[#This Row],[proba]]&lt;$D$2,$C$2,IF(Данные6[[#This Row],[proba]]&lt;$D$3,$C$3,IF(Данные6[[#This Row],[proba]]&gt;$C$6,0,$C$4)))</f>
        <v>0</v>
      </c>
      <c r="O498" s="2">
        <f>IF(Данные6[[#This Row],[weighted_ext_score]]&gt;$O$1,MIN(Данные6[[#This Row],[Базовая сумма]]*$O$2,$C$2),IF(Данные6[[#This Row],[weighted_ext_score]]&lt;$O$3,Данные6[[#This Row],[Базовая сумма]]*$O$4,N498))</f>
        <v>0</v>
      </c>
      <c r="P4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8" s="2">
        <f>ABS(Данные6[[#This Row],[days_birth]])/365.2425</f>
        <v>45.736736551743022</v>
      </c>
      <c r="S4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8" s="2">
        <f>IF(Данные6[[#This Row],[ interest_rate]]&gt;$T$1,Данные6[[#This Row],[days_birth4]]*$T$2,Данные6[[#This Row],[days_birth4]])</f>
        <v>0</v>
      </c>
      <c r="U498" s="2">
        <f>IF(Данные6[[#This Row],[Проверка отказа]]="отказ",0,MAX(Данные6[[#This Row],[interest_rate]],$C$1))</f>
        <v>0</v>
      </c>
      <c r="V498" s="2">
        <f>MROUND(Данные6[[#This Row],[Минимум 20000]], 100)</f>
        <v>0</v>
      </c>
    </row>
    <row r="499" spans="1:22" x14ac:dyDescent="0.25">
      <c r="A499" s="2">
        <f>'1000_заявлений'!A493</f>
        <v>491</v>
      </c>
      <c r="B499" s="4">
        <f>VALUE(SUBSTITUTE('1000_заявлений'!B493, ".", ","))</f>
        <v>0.86257852863261297</v>
      </c>
      <c r="C499" s="4">
        <f>VALUE(SUBSTITUTE('1000_заявлений'!C493, ".", ","))</f>
        <v>9.7694040887295094E-2</v>
      </c>
      <c r="D499" s="4">
        <f>VALUE(SUBSTITUTE('1000_заявлений'!D493, ".", ","))</f>
        <v>0.1110424</v>
      </c>
      <c r="E499" s="4">
        <f>VALUE(SUBSTITUTE('1000_заявлений'!E493, ".", ","))</f>
        <v>0.17736721</v>
      </c>
      <c r="F499" s="5">
        <f>VALUE(SUBSTITUTE('1000_заявлений'!F493, ".", ","))</f>
        <v>-8323</v>
      </c>
      <c r="G499" s="5">
        <f>VALUE(SUBSTITUTE('1000_заявлений'!G493, ".", ","))</f>
        <v>-14826</v>
      </c>
      <c r="H499" s="5">
        <f>VALUE(SUBSTITUTE('1000_заявлений'!H493, ".", ","))</f>
        <v>-4885</v>
      </c>
      <c r="I499" s="4">
        <f>VALUE(SUBSTITUTE('1000_заявлений'!I493, ".", ","))</f>
        <v>0.18597142857142801</v>
      </c>
      <c r="J499" s="4">
        <f>VALUE(SUBSTITUTE('1000_заявлений'!J493, ".", ","))</f>
        <v>1.86007890887476</v>
      </c>
      <c r="K499" s="5">
        <f>VALUE(SUBSTITUTE('1000_заявлений'!K493, ".", ","))</f>
        <v>-1185</v>
      </c>
      <c r="L499" s="6">
        <f>VALUE(SUBSTITUTE('1000_заявлений'!L493, ".", ","))</f>
        <v>29290.5</v>
      </c>
      <c r="M499" s="2" t="str">
        <f>IF(Данные6[[#This Row],[proba]]&gt;$C$6, "отказ", "одобрение")</f>
        <v>отказ</v>
      </c>
      <c r="N499" s="7">
        <f>IF(Данные6[[#This Row],[proba]]&lt;$D$2,$C$2,IF(Данные6[[#This Row],[proba]]&lt;$D$3,$C$3,IF(Данные6[[#This Row],[proba]]&gt;$C$6,0,$C$4)))</f>
        <v>0</v>
      </c>
      <c r="O499" s="2">
        <f>IF(Данные6[[#This Row],[weighted_ext_score]]&gt;$O$1,MIN(Данные6[[#This Row],[Базовая сумма]]*$O$2,$C$2),IF(Данные6[[#This Row],[weighted_ext_score]]&lt;$O$3,Данные6[[#This Row],[Базовая сумма]]*$O$4,N499))</f>
        <v>0</v>
      </c>
      <c r="P4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4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499" s="2">
        <f>ABS(Данные6[[#This Row],[days_birth]])/365.2425</f>
        <v>40.592209285611617</v>
      </c>
      <c r="S4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499" s="2">
        <f>IF(Данные6[[#This Row],[ interest_rate]]&gt;$T$1,Данные6[[#This Row],[days_birth4]]*$T$2,Данные6[[#This Row],[days_birth4]])</f>
        <v>0</v>
      </c>
      <c r="U499" s="2">
        <f>IF(Данные6[[#This Row],[Проверка отказа]]="отказ",0,MAX(Данные6[[#This Row],[interest_rate]],$C$1))</f>
        <v>0</v>
      </c>
      <c r="V499" s="2">
        <f>MROUND(Данные6[[#This Row],[Минимум 20000]], 100)</f>
        <v>0</v>
      </c>
    </row>
    <row r="500" spans="1:22" x14ac:dyDescent="0.25">
      <c r="A500" s="2">
        <f>'1000_заявлений'!A494</f>
        <v>492</v>
      </c>
      <c r="B500" s="4">
        <f>VALUE(SUBSTITUTE('1000_заявлений'!B494, ".", ","))</f>
        <v>0.177966121713798</v>
      </c>
      <c r="C500" s="4">
        <f>VALUE(SUBSTITUTE('1000_заявлений'!C494, ".", ","))</f>
        <v>0.686611162788068</v>
      </c>
      <c r="D500" s="4">
        <f>VALUE(SUBSTITUTE('1000_заявлений'!D494, ".", ","))</f>
        <v>0.64302559999999997</v>
      </c>
      <c r="E500" s="4">
        <f>VALUE(SUBSTITUTE('1000_заявлений'!E494, ".", ","))</f>
        <v>0.61273736000000001</v>
      </c>
      <c r="F500" s="5">
        <f>VALUE(SUBSTITUTE('1000_заявлений'!F494, ".", ","))</f>
        <v>-4792</v>
      </c>
      <c r="G500" s="5">
        <f>VALUE(SUBSTITUTE('1000_заявлений'!G494, ".", ","))</f>
        <v>-21684</v>
      </c>
      <c r="H500" s="5">
        <f>VALUE(SUBSTITUTE('1000_заявлений'!H494, ".", ","))</f>
        <v>-4845</v>
      </c>
      <c r="I500" s="4">
        <f>VALUE(SUBSTITUTE('1000_заявлений'!I494, ".", ","))</f>
        <v>0.115444444444444</v>
      </c>
      <c r="J500" s="4">
        <f>VALUE(SUBSTITUTE('1000_заявлений'!J494, ".", ","))</f>
        <v>4.9806319623778501</v>
      </c>
      <c r="K500" s="5">
        <f>VALUE(SUBSTITUTE('1000_заявлений'!K494, ".", ","))</f>
        <v>-1293</v>
      </c>
      <c r="L500" s="6">
        <f>VALUE(SUBSTITUTE('1000_заявлений'!L494, ".", ","))</f>
        <v>23377.5</v>
      </c>
      <c r="M500" s="2" t="str">
        <f>IF(Данные6[[#This Row],[proba]]&gt;$C$6, "отказ", "одобрение")</f>
        <v>одобрение</v>
      </c>
      <c r="N500" s="7">
        <f>IF(Данные6[[#This Row],[proba]]&lt;$D$2,$C$2,IF(Данные6[[#This Row],[proba]]&lt;$D$3,$C$3,IF(Данные6[[#This Row],[proba]]&gt;$C$6,0,$C$4)))</f>
        <v>200000</v>
      </c>
      <c r="O500" s="2">
        <f>IF(Данные6[[#This Row],[weighted_ext_score]]&gt;$O$1,MIN(Данные6[[#This Row],[Базовая сумма]]*$O$2,$C$2),IF(Данные6[[#This Row],[weighted_ext_score]]&lt;$O$3,Данные6[[#This Row],[Базовая сумма]]*$O$4,N500))</f>
        <v>200000</v>
      </c>
      <c r="P5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5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500" s="2">
        <f>ABS(Данные6[[#This Row],[days_birth]])/365.2425</f>
        <v>59.368775539538795</v>
      </c>
      <c r="S5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147000</v>
      </c>
      <c r="T500" s="2">
        <f>IF(Данные6[[#This Row],[ interest_rate]]&gt;$T$1,Данные6[[#This Row],[days_birth4]]*$T$2,Данные6[[#This Row],[days_birth4]])</f>
        <v>147000</v>
      </c>
      <c r="U500" s="2">
        <f>IF(Данные6[[#This Row],[Проверка отказа]]="отказ",0,MAX(Данные6[[#This Row],[interest_rate]],$C$1))</f>
        <v>147000</v>
      </c>
      <c r="V500" s="2">
        <f>MROUND(Данные6[[#This Row],[Минимум 20000]], 100)</f>
        <v>147000</v>
      </c>
    </row>
    <row r="501" spans="1:22" x14ac:dyDescent="0.25">
      <c r="A501" s="2">
        <f>'1000_заявлений'!A495</f>
        <v>493</v>
      </c>
      <c r="B501" s="4">
        <f>VALUE(SUBSTITUTE('1000_заявлений'!B495, ".", ","))</f>
        <v>0.73127296003134001</v>
      </c>
      <c r="C501" s="4">
        <f>VALUE(SUBSTITUTE('1000_заявлений'!C495, ".", ","))</f>
        <v>0.16908911711268901</v>
      </c>
      <c r="D501" s="4">
        <f>VALUE(SUBSTITUTE('1000_заявлений'!D495, ".", ","))</f>
        <v>0.44361531999999998</v>
      </c>
      <c r="E501" s="4">
        <f>VALUE(SUBSTITUTE('1000_заявлений'!E495, ".", ","))</f>
        <v>2.6662515000000001E-2</v>
      </c>
      <c r="F501" s="5">
        <f>VALUE(SUBSTITUTE('1000_заявлений'!F495, ".", ","))</f>
        <v>-5071</v>
      </c>
      <c r="G501" s="5">
        <f>VALUE(SUBSTITUTE('1000_заявлений'!G495, ".", ","))</f>
        <v>-19424</v>
      </c>
      <c r="H501" s="5">
        <f>VALUE(SUBSTITUTE('1000_заявлений'!H495, ".", ","))</f>
        <v>-2910</v>
      </c>
      <c r="I501" s="4">
        <f>VALUE(SUBSTITUTE('1000_заявлений'!I495, ".", ","))</f>
        <v>0.31251612903225801</v>
      </c>
      <c r="J501" s="4">
        <f>VALUE(SUBSTITUTE('1000_заявлений'!J495, ".", ","))</f>
        <v>6.1520842308834203</v>
      </c>
      <c r="K501" s="5">
        <f>VALUE(SUBSTITUTE('1000_заявлений'!K495, ".", ","))</f>
        <v>365243</v>
      </c>
      <c r="L501" s="6">
        <f>VALUE(SUBSTITUTE('1000_заявлений'!L495, ".", ","))</f>
        <v>43596</v>
      </c>
      <c r="M501" s="2" t="str">
        <f>IF(Данные6[[#This Row],[proba]]&gt;$C$6, "отказ", "одобрение")</f>
        <v>отказ</v>
      </c>
      <c r="N501" s="7">
        <f>IF(Данные6[[#This Row],[proba]]&lt;$D$2,$C$2,IF(Данные6[[#This Row],[proba]]&lt;$D$3,$C$3,IF(Данные6[[#This Row],[proba]]&gt;$C$6,0,$C$4)))</f>
        <v>0</v>
      </c>
      <c r="O501" s="2">
        <f>IF(Данные6[[#This Row],[weighted_ext_score]]&gt;$O$1,MIN(Данные6[[#This Row],[Базовая сумма]]*$O$2,$C$2),IF(Данные6[[#This Row],[weighted_ext_score]]&lt;$O$3,Данные6[[#This Row],[Базовая сумма]]*$O$4,N501))</f>
        <v>0</v>
      </c>
      <c r="P5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1" s="2">
        <f>ABS(Данные6[[#This Row],[days_birth]])/365.2425</f>
        <v>53.18110570374477</v>
      </c>
      <c r="S5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1" s="2">
        <f>IF(Данные6[[#This Row],[ interest_rate]]&gt;$T$1,Данные6[[#This Row],[days_birth4]]*$T$2,Данные6[[#This Row],[days_birth4]])</f>
        <v>0</v>
      </c>
      <c r="U501" s="2">
        <f>IF(Данные6[[#This Row],[Проверка отказа]]="отказ",0,MAX(Данные6[[#This Row],[interest_rate]],$C$1))</f>
        <v>0</v>
      </c>
      <c r="V501" s="2">
        <f>MROUND(Данные6[[#This Row],[Минимум 20000]], 100)</f>
        <v>0</v>
      </c>
    </row>
    <row r="502" spans="1:22" x14ac:dyDescent="0.25">
      <c r="A502" s="2">
        <f>'1000_заявлений'!A496</f>
        <v>494</v>
      </c>
      <c r="B502" s="4">
        <f>VALUE(SUBSTITUTE('1000_заявлений'!B496, ".", ","))</f>
        <v>0.88843071898202097</v>
      </c>
      <c r="C502" s="4">
        <f>VALUE(SUBSTITUTE('1000_заявлений'!C496, ".", ","))</f>
        <v>9.31993759029172E-2</v>
      </c>
      <c r="D502" s="4">
        <f>VALUE(SUBSTITUTE('1000_заявлений'!D496, ".", ","))</f>
        <v>0.20325209999999999</v>
      </c>
      <c r="E502" s="4">
        <f>VALUE(SUBSTITUTE('1000_заявлений'!E496, ".", ","))</f>
        <v>6.0701235999999999E-2</v>
      </c>
      <c r="F502" s="5">
        <f>VALUE(SUBSTITUTE('1000_заявлений'!F496, ".", ","))</f>
        <v>-1394</v>
      </c>
      <c r="G502" s="5">
        <f>VALUE(SUBSTITUTE('1000_заявлений'!G496, ".", ","))</f>
        <v>-11426</v>
      </c>
      <c r="H502" s="5">
        <f>VALUE(SUBSTITUTE('1000_заявлений'!H496, ".", ","))</f>
        <v>-1403</v>
      </c>
      <c r="I502" s="4">
        <f>VALUE(SUBSTITUTE('1000_заявлений'!I496, ".", ","))</f>
        <v>0.19184999999999999</v>
      </c>
      <c r="J502" s="4">
        <f>VALUE(SUBSTITUTE('1000_заявлений'!J496, ".", ","))</f>
        <v>5.2589215916186696</v>
      </c>
      <c r="K502" s="5">
        <f>VALUE(SUBSTITUTE('1000_заявлений'!K496, ".", ","))</f>
        <v>-2941</v>
      </c>
      <c r="L502" s="6">
        <f>VALUE(SUBSTITUTE('1000_заявлений'!L496, ".", ","))</f>
        <v>17266.5</v>
      </c>
      <c r="M502" s="2" t="str">
        <f>IF(Данные6[[#This Row],[proba]]&gt;$C$6, "отказ", "одобрение")</f>
        <v>отказ</v>
      </c>
      <c r="N502" s="7">
        <f>IF(Данные6[[#This Row],[proba]]&lt;$D$2,$C$2,IF(Данные6[[#This Row],[proba]]&lt;$D$3,$C$3,IF(Данные6[[#This Row],[proba]]&gt;$C$6,0,$C$4)))</f>
        <v>0</v>
      </c>
      <c r="O502" s="2">
        <f>IF(Данные6[[#This Row],[weighted_ext_score]]&gt;$O$1,MIN(Данные6[[#This Row],[Базовая сумма]]*$O$2,$C$2),IF(Данные6[[#This Row],[weighted_ext_score]]&lt;$O$3,Данные6[[#This Row],[Базовая сумма]]*$O$4,N502))</f>
        <v>0</v>
      </c>
      <c r="P5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2" s="2">
        <f>ABS(Данные6[[#This Row],[days_birth]])/365.2425</f>
        <v>31.283325461850687</v>
      </c>
      <c r="S5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2" s="2">
        <f>IF(Данные6[[#This Row],[ interest_rate]]&gt;$T$1,Данные6[[#This Row],[days_birth4]]*$T$2,Данные6[[#This Row],[days_birth4]])</f>
        <v>0</v>
      </c>
      <c r="U502" s="2">
        <f>IF(Данные6[[#This Row],[Проверка отказа]]="отказ",0,MAX(Данные6[[#This Row],[interest_rate]],$C$1))</f>
        <v>0</v>
      </c>
      <c r="V502" s="2">
        <f>MROUND(Данные6[[#This Row],[Минимум 20000]], 100)</f>
        <v>0</v>
      </c>
    </row>
    <row r="503" spans="1:22" x14ac:dyDescent="0.25">
      <c r="A503" s="2">
        <f>'1000_заявлений'!A497</f>
        <v>495</v>
      </c>
      <c r="B503" s="4">
        <f>VALUE(SUBSTITUTE('1000_заявлений'!B497, ".", ","))</f>
        <v>0.33771976833548201</v>
      </c>
      <c r="C503" s="4">
        <f>VALUE(SUBSTITUTE('1000_заявлений'!C497, ".", ","))</f>
        <v>0.41972109369201299</v>
      </c>
      <c r="D503" s="4">
        <f>VALUE(SUBSTITUTE('1000_заявлений'!D497, ".", ","))</f>
        <v>0.65940549999999998</v>
      </c>
      <c r="E503" s="4">
        <f>VALUE(SUBSTITUTE('1000_заявлений'!E497, ".", ","))</f>
        <v>0.55872290000000002</v>
      </c>
      <c r="F503" s="5">
        <f>VALUE(SUBSTITUTE('1000_заявлений'!F497, ".", ","))</f>
        <v>-10604</v>
      </c>
      <c r="G503" s="5">
        <f>VALUE(SUBSTITUTE('1000_заявлений'!G497, ".", ","))</f>
        <v>-19148</v>
      </c>
      <c r="H503" s="5">
        <f>VALUE(SUBSTITUTE('1000_заявлений'!H497, ".", ","))</f>
        <v>-2687</v>
      </c>
      <c r="I503" s="4">
        <f>VALUE(SUBSTITUTE('1000_заявлений'!I497, ".", ","))</f>
        <v>0.27553333333333302</v>
      </c>
      <c r="J503" s="4">
        <f>VALUE(SUBSTITUTE('1000_заявлений'!J497, ".", ","))</f>
        <v>3.6030013465934299</v>
      </c>
      <c r="K503" s="5">
        <f>VALUE(SUBSTITUTE('1000_заявлений'!K497, ".", ","))</f>
        <v>-699</v>
      </c>
      <c r="L503" s="6">
        <f>VALUE(SUBSTITUTE('1000_заявлений'!L497, ".", ","))</f>
        <v>37197</v>
      </c>
      <c r="M503" s="2" t="str">
        <f>IF(Данные6[[#This Row],[proba]]&gt;$C$6, "отказ", "одобрение")</f>
        <v>отказ</v>
      </c>
      <c r="N503" s="7">
        <f>IF(Данные6[[#This Row],[proba]]&lt;$D$2,$C$2,IF(Данные6[[#This Row],[proba]]&lt;$D$3,$C$3,IF(Данные6[[#This Row],[proba]]&gt;$C$6,0,$C$4)))</f>
        <v>0</v>
      </c>
      <c r="O503" s="2">
        <f>IF(Данные6[[#This Row],[weighted_ext_score]]&gt;$O$1,MIN(Данные6[[#This Row],[Базовая сумма]]*$O$2,$C$2),IF(Данные6[[#This Row],[weighted_ext_score]]&lt;$O$3,Данные6[[#This Row],[Базовая сумма]]*$O$4,N503))</f>
        <v>0</v>
      </c>
      <c r="P5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3" s="2">
        <f>ABS(Данные6[[#This Row],[days_birth]])/365.2425</f>
        <v>52.425443369815945</v>
      </c>
      <c r="S5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3" s="2">
        <f>IF(Данные6[[#This Row],[ interest_rate]]&gt;$T$1,Данные6[[#This Row],[days_birth4]]*$T$2,Данные6[[#This Row],[days_birth4]])</f>
        <v>0</v>
      </c>
      <c r="U503" s="2">
        <f>IF(Данные6[[#This Row],[Проверка отказа]]="отказ",0,MAX(Данные6[[#This Row],[interest_rate]],$C$1))</f>
        <v>0</v>
      </c>
      <c r="V503" s="2">
        <f>MROUND(Данные6[[#This Row],[Минимум 20000]], 100)</f>
        <v>0</v>
      </c>
    </row>
    <row r="504" spans="1:22" x14ac:dyDescent="0.25">
      <c r="A504" s="2">
        <f>'1000_заявлений'!A498</f>
        <v>496</v>
      </c>
      <c r="B504" s="4">
        <f>VALUE(SUBSTITUTE('1000_заявлений'!B498, ".", ","))</f>
        <v>0.44633678320506998</v>
      </c>
      <c r="C504" s="4">
        <f>VALUE(SUBSTITUTE('1000_заявлений'!C498, ".", ","))</f>
        <v>0.37632630274134798</v>
      </c>
      <c r="D504" s="4">
        <f>VALUE(SUBSTITUTE('1000_заявлений'!D498, ".", ","))</f>
        <v>0.48305019999999999</v>
      </c>
      <c r="E504" s="4">
        <f>VALUE(SUBSTITUTE('1000_заявлений'!E498, ".", ","))</f>
        <v>0.62157220000000002</v>
      </c>
      <c r="F504" s="5">
        <f>VALUE(SUBSTITUTE('1000_заявлений'!F498, ".", ","))</f>
        <v>-8728</v>
      </c>
      <c r="G504" s="5">
        <f>VALUE(SUBSTITUTE('1000_заявлений'!G498, ".", ","))</f>
        <v>-16344</v>
      </c>
      <c r="H504" s="5">
        <f>VALUE(SUBSTITUTE('1000_заявлений'!H498, ".", ","))</f>
        <v>-614</v>
      </c>
      <c r="I504" s="4">
        <f>VALUE(SUBSTITUTE('1000_заявлений'!I498, ".", ","))</f>
        <v>0.31056666666666599</v>
      </c>
      <c r="J504" s="4">
        <f>VALUE(SUBSTITUTE('1000_заявлений'!J498, ".", ","))</f>
        <v>7.9951395445568396</v>
      </c>
      <c r="K504" s="5">
        <f>VALUE(SUBSTITUTE('1000_заявлений'!K498, ".", ","))</f>
        <v>-126</v>
      </c>
      <c r="L504" s="6">
        <f>VALUE(SUBSTITUTE('1000_заявлений'!L498, ".", ","))</f>
        <v>41926.5</v>
      </c>
      <c r="M504" s="2" t="str">
        <f>IF(Данные6[[#This Row],[proba]]&gt;$C$6, "отказ", "одобрение")</f>
        <v>отказ</v>
      </c>
      <c r="N504" s="7">
        <f>IF(Данные6[[#This Row],[proba]]&lt;$D$2,$C$2,IF(Данные6[[#This Row],[proba]]&lt;$D$3,$C$3,IF(Данные6[[#This Row],[proba]]&gt;$C$6,0,$C$4)))</f>
        <v>0</v>
      </c>
      <c r="O504" s="2">
        <f>IF(Данные6[[#This Row],[weighted_ext_score]]&gt;$O$1,MIN(Данные6[[#This Row],[Базовая сумма]]*$O$2,$C$2),IF(Данные6[[#This Row],[weighted_ext_score]]&lt;$O$3,Данные6[[#This Row],[Базовая сумма]]*$O$4,N504))</f>
        <v>0</v>
      </c>
      <c r="P5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4" s="2">
        <f>ABS(Данные6[[#This Row],[days_birth]])/365.2425</f>
        <v>44.748352122220169</v>
      </c>
      <c r="S5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4" s="2">
        <f>IF(Данные6[[#This Row],[ interest_rate]]&gt;$T$1,Данные6[[#This Row],[days_birth4]]*$T$2,Данные6[[#This Row],[days_birth4]])</f>
        <v>0</v>
      </c>
      <c r="U504" s="2">
        <f>IF(Данные6[[#This Row],[Проверка отказа]]="отказ",0,MAX(Данные6[[#This Row],[interest_rate]],$C$1))</f>
        <v>0</v>
      </c>
      <c r="V504" s="2">
        <f>MROUND(Данные6[[#This Row],[Минимум 20000]], 100)</f>
        <v>0</v>
      </c>
    </row>
    <row r="505" spans="1:22" x14ac:dyDescent="0.25">
      <c r="A505" s="2">
        <f>'1000_заявлений'!A499</f>
        <v>497</v>
      </c>
      <c r="B505" s="4">
        <f>VALUE(SUBSTITUTE('1000_заявлений'!B499, ".", ","))</f>
        <v>0.56168480217576899</v>
      </c>
      <c r="C505" s="4">
        <f>VALUE(SUBSTITUTE('1000_заявлений'!C499, ".", ","))</f>
        <v>0.26413107963710197</v>
      </c>
      <c r="D505" s="4">
        <f>VALUE(SUBSTITUTE('1000_заявлений'!D499, ".", ","))</f>
        <v>0.58499000000000001</v>
      </c>
      <c r="E505" s="4">
        <f>VALUE(SUBSTITUTE('1000_заявлений'!E499, ".", ","))</f>
        <v>0.16203467999999999</v>
      </c>
      <c r="F505" s="5">
        <f>VALUE(SUBSTITUTE('1000_заявлений'!F499, ".", ","))</f>
        <v>-3029</v>
      </c>
      <c r="G505" s="5">
        <f>VALUE(SUBSTITUTE('1000_заявлений'!G499, ".", ","))</f>
        <v>-19417</v>
      </c>
      <c r="H505" s="5">
        <f>VALUE(SUBSTITUTE('1000_заявлений'!H499, ".", ","))</f>
        <v>-2946</v>
      </c>
      <c r="I505" s="4">
        <f>VALUE(SUBSTITUTE('1000_заявлений'!I499, ".", ","))</f>
        <v>0.11</v>
      </c>
      <c r="J505" s="4">
        <f>VALUE(SUBSTITUTE('1000_заявлений'!J499, ".", ","))</f>
        <v>10.6209759779781</v>
      </c>
      <c r="K505" s="5">
        <f>VALUE(SUBSTITUTE('1000_заявлений'!K499, ".", ","))</f>
        <v>-2221</v>
      </c>
      <c r="L505" s="6">
        <f>VALUE(SUBSTITUTE('1000_заявлений'!L499, ".", ","))</f>
        <v>12375</v>
      </c>
      <c r="M505" s="2" t="str">
        <f>IF(Данные6[[#This Row],[proba]]&gt;$C$6, "отказ", "одобрение")</f>
        <v>отказ</v>
      </c>
      <c r="N505" s="7">
        <f>IF(Данные6[[#This Row],[proba]]&lt;$D$2,$C$2,IF(Данные6[[#This Row],[proba]]&lt;$D$3,$C$3,IF(Данные6[[#This Row],[proba]]&gt;$C$6,0,$C$4)))</f>
        <v>0</v>
      </c>
      <c r="O505" s="2">
        <f>IF(Данные6[[#This Row],[weighted_ext_score]]&gt;$O$1,MIN(Данные6[[#This Row],[Базовая сумма]]*$O$2,$C$2),IF(Данные6[[#This Row],[weighted_ext_score]]&lt;$O$3,Данные6[[#This Row],[Базовая сумма]]*$O$4,N505))</f>
        <v>0</v>
      </c>
      <c r="P5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5" s="2">
        <f>ABS(Данные6[[#This Row],[days_birth]])/365.2425</f>
        <v>53.161940354695851</v>
      </c>
      <c r="S5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5" s="2">
        <f>IF(Данные6[[#This Row],[ interest_rate]]&gt;$T$1,Данные6[[#This Row],[days_birth4]]*$T$2,Данные6[[#This Row],[days_birth4]])</f>
        <v>0</v>
      </c>
      <c r="U505" s="2">
        <f>IF(Данные6[[#This Row],[Проверка отказа]]="отказ",0,MAX(Данные6[[#This Row],[interest_rate]],$C$1))</f>
        <v>0</v>
      </c>
      <c r="V505" s="2">
        <f>MROUND(Данные6[[#This Row],[Минимум 20000]], 100)</f>
        <v>0</v>
      </c>
    </row>
    <row r="506" spans="1:22" x14ac:dyDescent="0.25">
      <c r="A506" s="2">
        <f>'1000_заявлений'!A500</f>
        <v>498</v>
      </c>
      <c r="B506" s="4">
        <f>VALUE(SUBSTITUTE('1000_заявлений'!B500, ".", ","))</f>
        <v>0.525676419679865</v>
      </c>
      <c r="C506" s="4">
        <f>VALUE(SUBSTITUTE('1000_заявлений'!C500, ".", ","))</f>
        <v>0.49072528178924801</v>
      </c>
      <c r="D506" s="4">
        <f>VALUE(SUBSTITUTE('1000_заявлений'!D500, ".", ","))</f>
        <v>0.37571102000000001</v>
      </c>
      <c r="E506" s="4">
        <f>VALUE(SUBSTITUTE('1000_заявлений'!E500, ".", ","))</f>
        <v>0.328679</v>
      </c>
      <c r="F506" s="5">
        <f>VALUE(SUBSTITUTE('1000_заявлений'!F500, ".", ","))</f>
        <v>-2255</v>
      </c>
      <c r="G506" s="5">
        <f>VALUE(SUBSTITUTE('1000_заявлений'!G500, ".", ","))</f>
        <v>-20614</v>
      </c>
      <c r="H506" s="5">
        <f>VALUE(SUBSTITUTE('1000_заявлений'!H500, ".", ","))</f>
        <v>-4067</v>
      </c>
      <c r="I506" s="4">
        <f>VALUE(SUBSTITUTE('1000_заявлений'!I500, ".", ","))</f>
        <v>0.21959999999999999</v>
      </c>
      <c r="J506" s="4">
        <f>VALUE(SUBSTITUTE('1000_заявлений'!J500, ".", ","))</f>
        <v>4.4867938507059799</v>
      </c>
      <c r="K506" s="5">
        <f>VALUE(SUBSTITUTE('1000_заявлений'!K500, ".", ","))</f>
        <v>-1435</v>
      </c>
      <c r="L506" s="6">
        <f>VALUE(SUBSTITUTE('1000_заявлений'!L500, ".", ","))</f>
        <v>34587</v>
      </c>
      <c r="M506" s="2" t="str">
        <f>IF(Данные6[[#This Row],[proba]]&gt;$C$6, "отказ", "одобрение")</f>
        <v>отказ</v>
      </c>
      <c r="N506" s="7">
        <f>IF(Данные6[[#This Row],[proba]]&lt;$D$2,$C$2,IF(Данные6[[#This Row],[proba]]&lt;$D$3,$C$3,IF(Данные6[[#This Row],[proba]]&gt;$C$6,0,$C$4)))</f>
        <v>0</v>
      </c>
      <c r="O506" s="2">
        <f>IF(Данные6[[#This Row],[weighted_ext_score]]&gt;$O$1,MIN(Данные6[[#This Row],[Базовая сумма]]*$O$2,$C$2),IF(Данные6[[#This Row],[weighted_ext_score]]&lt;$O$3,Данные6[[#This Row],[Базовая сумма]]*$O$4,N506))</f>
        <v>0</v>
      </c>
      <c r="P5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6" s="2">
        <f>ABS(Данные6[[#This Row],[days_birth]])/365.2425</f>
        <v>56.439215042061093</v>
      </c>
      <c r="S5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6" s="2">
        <f>IF(Данные6[[#This Row],[ interest_rate]]&gt;$T$1,Данные6[[#This Row],[days_birth4]]*$T$2,Данные6[[#This Row],[days_birth4]])</f>
        <v>0</v>
      </c>
      <c r="U506" s="2">
        <f>IF(Данные6[[#This Row],[Проверка отказа]]="отказ",0,MAX(Данные6[[#This Row],[interest_rate]],$C$1))</f>
        <v>0</v>
      </c>
      <c r="V506" s="2">
        <f>MROUND(Данные6[[#This Row],[Минимум 20000]], 100)</f>
        <v>0</v>
      </c>
    </row>
    <row r="507" spans="1:22" x14ac:dyDescent="0.25">
      <c r="A507" s="2">
        <f>'1000_заявлений'!A501</f>
        <v>499</v>
      </c>
      <c r="B507" s="4">
        <f>VALUE(SUBSTITUTE('1000_заявлений'!B501, ".", ","))</f>
        <v>0.39753807529398499</v>
      </c>
      <c r="C507" s="4">
        <f>VALUE(SUBSTITUTE('1000_заявлений'!C501, ".", ","))</f>
        <v>0.56190796376122598</v>
      </c>
      <c r="D507" s="4">
        <f>VALUE(SUBSTITUTE('1000_заявлений'!D501, ".", ","))</f>
        <v>0.33445412000000002</v>
      </c>
      <c r="E507" s="4">
        <f>VALUE(SUBSTITUTE('1000_заявлений'!E501, ".", ","))</f>
        <v>0.65545640000000005</v>
      </c>
      <c r="F507" s="5">
        <f>VALUE(SUBSTITUTE('1000_заявлений'!F501, ".", ","))</f>
        <v>-6813</v>
      </c>
      <c r="G507" s="5">
        <f>VALUE(SUBSTITUTE('1000_заявлений'!G501, ".", ","))</f>
        <v>-12834</v>
      </c>
      <c r="H507" s="5">
        <f>VALUE(SUBSTITUTE('1000_заявлений'!H501, ".", ","))</f>
        <v>-4058</v>
      </c>
      <c r="I507" s="4">
        <f>VALUE(SUBSTITUTE('1000_заявлений'!I501, ".", ","))</f>
        <v>0.13462857142857099</v>
      </c>
      <c r="J507" s="4">
        <f>VALUE(SUBSTITUTE('1000_заявлений'!J501, ".", ","))</f>
        <v>5.4410495891285402</v>
      </c>
      <c r="K507" s="5">
        <f>VALUE(SUBSTITUTE('1000_заявлений'!K501, ".", ","))</f>
        <v>-1101</v>
      </c>
      <c r="L507" s="6">
        <f>VALUE(SUBSTITUTE('1000_заявлений'!L501, ".", ","))</f>
        <v>21204</v>
      </c>
      <c r="M507" s="2" t="str">
        <f>IF(Данные6[[#This Row],[proba]]&gt;$C$6, "отказ", "одобрение")</f>
        <v>отказ</v>
      </c>
      <c r="N507" s="7">
        <f>IF(Данные6[[#This Row],[proba]]&lt;$D$2,$C$2,IF(Данные6[[#This Row],[proba]]&lt;$D$3,$C$3,IF(Данные6[[#This Row],[proba]]&gt;$C$6,0,$C$4)))</f>
        <v>0</v>
      </c>
      <c r="O507" s="2">
        <f>IF(Данные6[[#This Row],[weighted_ext_score]]&gt;$O$1,MIN(Данные6[[#This Row],[Базовая сумма]]*$O$2,$C$2),IF(Данные6[[#This Row],[weighted_ext_score]]&lt;$O$3,Данные6[[#This Row],[Базовая сумма]]*$O$4,N507))</f>
        <v>0</v>
      </c>
      <c r="P5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7" s="2">
        <f>ABS(Данные6[[#This Row],[days_birth]])/365.2425</f>
        <v>35.138298527690509</v>
      </c>
      <c r="S5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7" s="2">
        <f>IF(Данные6[[#This Row],[ interest_rate]]&gt;$T$1,Данные6[[#This Row],[days_birth4]]*$T$2,Данные6[[#This Row],[days_birth4]])</f>
        <v>0</v>
      </c>
      <c r="U507" s="2">
        <f>IF(Данные6[[#This Row],[Проверка отказа]]="отказ",0,MAX(Данные6[[#This Row],[interest_rate]],$C$1))</f>
        <v>0</v>
      </c>
      <c r="V507" s="2">
        <f>MROUND(Данные6[[#This Row],[Минимум 20000]], 100)</f>
        <v>0</v>
      </c>
    </row>
    <row r="508" spans="1:22" x14ac:dyDescent="0.25">
      <c r="A508" s="2">
        <f>'1000_заявлений'!A502</f>
        <v>500</v>
      </c>
      <c r="B508" s="4">
        <f>VALUE(SUBSTITUTE('1000_заявлений'!B502, ".", ","))</f>
        <v>0.34942343339221899</v>
      </c>
      <c r="C508" s="4">
        <f>VALUE(SUBSTITUTE('1000_заявлений'!C502, ".", ","))</f>
        <v>0.34602235169039203</v>
      </c>
      <c r="D508" s="4">
        <f>VALUE(SUBSTITUTE('1000_заявлений'!D502, ".", ","))</f>
        <v>0.59545619999999999</v>
      </c>
      <c r="E508" s="4">
        <f>VALUE(SUBSTITUTE('1000_заявлений'!E502, ".", ","))</f>
        <v>0.40282252000000002</v>
      </c>
      <c r="F508" s="5">
        <f>VALUE(SUBSTITUTE('1000_заявлений'!F502, ".", ","))</f>
        <v>-9159</v>
      </c>
      <c r="G508" s="5">
        <f>VALUE(SUBSTITUTE('1000_заявлений'!G502, ".", ","))</f>
        <v>-23279</v>
      </c>
      <c r="H508" s="5">
        <f>VALUE(SUBSTITUTE('1000_заявлений'!H502, ".", ","))</f>
        <v>-4189</v>
      </c>
      <c r="I508" s="4">
        <f>VALUE(SUBSTITUTE('1000_заявлений'!I502, ".", ","))</f>
        <v>0.154057142857142</v>
      </c>
      <c r="J508" s="4">
        <f>VALUE(SUBSTITUTE('1000_заявлений'!J502, ".", ","))</f>
        <v>7.9452793512827302</v>
      </c>
      <c r="K508" s="5">
        <f>VALUE(SUBSTITUTE('1000_заявлений'!K502, ".", ","))</f>
        <v>365243</v>
      </c>
      <c r="L508" s="6">
        <f>VALUE(SUBSTITUTE('1000_заявлений'!L502, ".", ","))</f>
        <v>12132</v>
      </c>
      <c r="M508" s="2" t="str">
        <f>IF(Данные6[[#This Row],[proba]]&gt;$C$6, "отказ", "одобрение")</f>
        <v>отказ</v>
      </c>
      <c r="N508" s="7">
        <f>IF(Данные6[[#This Row],[proba]]&lt;$D$2,$C$2,IF(Данные6[[#This Row],[proba]]&lt;$D$3,$C$3,IF(Данные6[[#This Row],[proba]]&gt;$C$6,0,$C$4)))</f>
        <v>0</v>
      </c>
      <c r="O508" s="2">
        <f>IF(Данные6[[#This Row],[weighted_ext_score]]&gt;$O$1,MIN(Данные6[[#This Row],[Базовая сумма]]*$O$2,$C$2),IF(Данные6[[#This Row],[weighted_ext_score]]&lt;$O$3,Данные6[[#This Row],[Базовая сумма]]*$O$4,N508))</f>
        <v>0</v>
      </c>
      <c r="P5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08" s="2">
        <f>ABS(Данные6[[#This Row],[days_birth]])/365.2425</f>
        <v>63.735737215685468</v>
      </c>
      <c r="S5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08" s="2">
        <f>IF(Данные6[[#This Row],[ interest_rate]]&gt;$T$1,Данные6[[#This Row],[days_birth4]]*$T$2,Данные6[[#This Row],[days_birth4]])</f>
        <v>0</v>
      </c>
      <c r="U508" s="2">
        <f>IF(Данные6[[#This Row],[Проверка отказа]]="отказ",0,MAX(Данные6[[#This Row],[interest_rate]],$C$1))</f>
        <v>0</v>
      </c>
      <c r="V508" s="2">
        <f>MROUND(Данные6[[#This Row],[Минимум 20000]], 100)</f>
        <v>0</v>
      </c>
    </row>
    <row r="509" spans="1:22" x14ac:dyDescent="0.25">
      <c r="A509" s="2">
        <f>'1000_заявлений'!A503</f>
        <v>501</v>
      </c>
      <c r="B509" s="4">
        <f>VALUE(SUBSTITUTE('1000_заявлений'!B503, ".", ","))</f>
        <v>0.28468724685943497</v>
      </c>
      <c r="C509" s="4">
        <f>VALUE(SUBSTITUTE('1000_заявлений'!C503, ".", ","))</f>
        <v>0.57717798271845799</v>
      </c>
      <c r="D509" s="4">
        <f>VALUE(SUBSTITUTE('1000_заявлений'!D503, ".", ","))</f>
        <v>0.42589290000000002</v>
      </c>
      <c r="E509" s="4">
        <f>VALUE(SUBSTITUTE('1000_заявлений'!E503, ".", ","))</f>
        <v>0.54176440000000003</v>
      </c>
      <c r="F509" s="5">
        <f>VALUE(SUBSTITUTE('1000_заявлений'!F503, ".", ","))</f>
        <v>-14244</v>
      </c>
      <c r="G509" s="5">
        <f>VALUE(SUBSTITUTE('1000_заявлений'!G503, ".", ","))</f>
        <v>-23158</v>
      </c>
      <c r="H509" s="5">
        <f>VALUE(SUBSTITUTE('1000_заявлений'!H503, ".", ","))</f>
        <v>-4153</v>
      </c>
      <c r="I509" s="4">
        <f>VALUE(SUBSTITUTE('1000_заявлений'!I503, ".", ","))</f>
        <v>0.17485000000000001</v>
      </c>
      <c r="J509" s="4">
        <f>VALUE(SUBSTITUTE('1000_заявлений'!J503, ".", ","))</f>
        <v>12.330360577348999</v>
      </c>
      <c r="K509" s="5">
        <f>VALUE(SUBSTITUTE('1000_заявлений'!K503, ".", ","))</f>
        <v>-1899</v>
      </c>
      <c r="L509" s="6">
        <f>VALUE(SUBSTITUTE('1000_заявлений'!L503, ".", ","))</f>
        <v>31473</v>
      </c>
      <c r="M509" s="2" t="str">
        <f>IF(Данные6[[#This Row],[proba]]&gt;$C$6, "отказ", "одобрение")</f>
        <v>одобрение</v>
      </c>
      <c r="N509" s="7">
        <f>IF(Данные6[[#This Row],[proba]]&lt;$D$2,$C$2,IF(Данные6[[#This Row],[proba]]&lt;$D$3,$C$3,IF(Данные6[[#This Row],[proba]]&gt;$C$6,0,$C$4)))</f>
        <v>50000</v>
      </c>
      <c r="O509" s="2">
        <f>IF(Данные6[[#This Row],[weighted_ext_score]]&gt;$O$1,MIN(Данные6[[#This Row],[Базовая сумма]]*$O$2,$C$2),IF(Данные6[[#This Row],[weighted_ext_score]]&lt;$O$3,Данные6[[#This Row],[Базовая сумма]]*$O$4,N509))</f>
        <v>50000</v>
      </c>
      <c r="P5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09" s="2">
        <f>ABS(Данные6[[#This Row],[days_birth]])/365.2425</f>
        <v>63.404450467839858</v>
      </c>
      <c r="S5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36750</v>
      </c>
      <c r="T509" s="2">
        <f>IF(Данные6[[#This Row],[ interest_rate]]&gt;$T$1,Данные6[[#This Row],[days_birth4]]*$T$2,Данные6[[#This Row],[days_birth4]])</f>
        <v>36750</v>
      </c>
      <c r="U509" s="2">
        <f>IF(Данные6[[#This Row],[Проверка отказа]]="отказ",0,MAX(Данные6[[#This Row],[interest_rate]],$C$1))</f>
        <v>36750</v>
      </c>
      <c r="V509" s="2">
        <f>MROUND(Данные6[[#This Row],[Минимум 20000]], 100)</f>
        <v>36800</v>
      </c>
    </row>
    <row r="510" spans="1:22" x14ac:dyDescent="0.25">
      <c r="A510" s="2">
        <f>'1000_заявлений'!A504</f>
        <v>502</v>
      </c>
      <c r="B510" s="4">
        <f>VALUE(SUBSTITUTE('1000_заявлений'!B504, ".", ","))</f>
        <v>0.54393444023458204</v>
      </c>
      <c r="C510" s="4">
        <f>VALUE(SUBSTITUTE('1000_заявлений'!C504, ".", ","))</f>
        <v>0.41564486921429999</v>
      </c>
      <c r="D510" s="4">
        <f>VALUE(SUBSTITUTE('1000_заявлений'!D504, ".", ","))</f>
        <v>0.51549535999999996</v>
      </c>
      <c r="E510" s="4">
        <f>VALUE(SUBSTITUTE('1000_заявлений'!E504, ".", ","))</f>
        <v>0.28589787999999999</v>
      </c>
      <c r="F510" s="5">
        <f>VALUE(SUBSTITUTE('1000_заявлений'!F504, ".", ","))</f>
        <v>-5595</v>
      </c>
      <c r="G510" s="5">
        <f>VALUE(SUBSTITUTE('1000_заявлений'!G504, ".", ","))</f>
        <v>-13962</v>
      </c>
      <c r="H510" s="5">
        <f>VALUE(SUBSTITUTE('1000_заявлений'!H504, ".", ","))</f>
        <v>-4272</v>
      </c>
      <c r="I510" s="4">
        <f>VALUE(SUBSTITUTE('1000_заявлений'!I504, ".", ","))</f>
        <v>0.16778787878787799</v>
      </c>
      <c r="J510" s="4">
        <f>VALUE(SUBSTITUTE('1000_заявлений'!J504, ".", ","))</f>
        <v>2.1390440360010001</v>
      </c>
      <c r="K510" s="5">
        <f>VALUE(SUBSTITUTE('1000_заявлений'!K504, ".", ","))</f>
        <v>-5115</v>
      </c>
      <c r="L510" s="6">
        <f>VALUE(SUBSTITUTE('1000_заявлений'!L504, ".", ","))</f>
        <v>24916.5</v>
      </c>
      <c r="M510" s="2" t="str">
        <f>IF(Данные6[[#This Row],[proba]]&gt;$C$6, "отказ", "одобрение")</f>
        <v>отказ</v>
      </c>
      <c r="N510" s="7">
        <f>IF(Данные6[[#This Row],[proba]]&lt;$D$2,$C$2,IF(Данные6[[#This Row],[proba]]&lt;$D$3,$C$3,IF(Данные6[[#This Row],[proba]]&gt;$C$6,0,$C$4)))</f>
        <v>0</v>
      </c>
      <c r="O510" s="2">
        <f>IF(Данные6[[#This Row],[weighted_ext_score]]&gt;$O$1,MIN(Данные6[[#This Row],[Базовая сумма]]*$O$2,$C$2),IF(Данные6[[#This Row],[weighted_ext_score]]&lt;$O$3,Данные6[[#This Row],[Базовая сумма]]*$O$4,N510))</f>
        <v>0</v>
      </c>
      <c r="P5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0" s="2">
        <f>ABS(Данные6[[#This Row],[days_birth]])/365.2425</f>
        <v>38.226657631573545</v>
      </c>
      <c r="S5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0" s="2">
        <f>IF(Данные6[[#This Row],[ interest_rate]]&gt;$T$1,Данные6[[#This Row],[days_birth4]]*$T$2,Данные6[[#This Row],[days_birth4]])</f>
        <v>0</v>
      </c>
      <c r="U510" s="2">
        <f>IF(Данные6[[#This Row],[Проверка отказа]]="отказ",0,MAX(Данные6[[#This Row],[interest_rate]],$C$1))</f>
        <v>0</v>
      </c>
      <c r="V510" s="2">
        <f>MROUND(Данные6[[#This Row],[Минимум 20000]], 100)</f>
        <v>0</v>
      </c>
    </row>
    <row r="511" spans="1:22" x14ac:dyDescent="0.25">
      <c r="A511" s="2">
        <f>'1000_заявлений'!A505</f>
        <v>503</v>
      </c>
      <c r="B511" s="4">
        <f>VALUE(SUBSTITUTE('1000_заявлений'!B505, ".", ","))</f>
        <v>0.557303523663085</v>
      </c>
      <c r="C511" s="4">
        <f>VALUE(SUBSTITUTE('1000_заявлений'!C505, ".", ","))</f>
        <v>0.31883102948047198</v>
      </c>
      <c r="D511" s="4">
        <f>VALUE(SUBSTITUTE('1000_заявлений'!D505, ".", ","))</f>
        <v>0.53886270000000003</v>
      </c>
      <c r="E511" s="4">
        <f>VALUE(SUBSTITUTE('1000_заявлений'!E505, ".", ","))</f>
        <v>0.38209539999999997</v>
      </c>
      <c r="F511" s="5">
        <f>VALUE(SUBSTITUTE('1000_заявлений'!F505, ".", ","))</f>
        <v>-7712</v>
      </c>
      <c r="G511" s="5">
        <f>VALUE(SUBSTITUTE('1000_заявлений'!G505, ".", ","))</f>
        <v>-18523</v>
      </c>
      <c r="H511" s="5">
        <f>VALUE(SUBSTITUTE('1000_заявлений'!H505, ".", ","))</f>
        <v>-1652</v>
      </c>
      <c r="I511" s="4">
        <f>VALUE(SUBSTITUTE('1000_заявлений'!I505, ".", ","))</f>
        <v>0.41893333333333299</v>
      </c>
      <c r="J511" s="4">
        <f>VALUE(SUBSTITUTE('1000_заявлений'!J505, ".", ","))</f>
        <v>5.4842245788730297</v>
      </c>
      <c r="K511" s="5">
        <f>VALUE(SUBSTITUTE('1000_заявлений'!K505, ".", ","))</f>
        <v>-297</v>
      </c>
      <c r="L511" s="6">
        <f>VALUE(SUBSTITUTE('1000_заявлений'!L505, ".", ","))</f>
        <v>56556</v>
      </c>
      <c r="M511" s="2" t="str">
        <f>IF(Данные6[[#This Row],[proba]]&gt;$C$6, "отказ", "одобрение")</f>
        <v>отказ</v>
      </c>
      <c r="N511" s="7">
        <f>IF(Данные6[[#This Row],[proba]]&lt;$D$2,$C$2,IF(Данные6[[#This Row],[proba]]&lt;$D$3,$C$3,IF(Данные6[[#This Row],[proba]]&gt;$C$6,0,$C$4)))</f>
        <v>0</v>
      </c>
      <c r="O511" s="2">
        <f>IF(Данные6[[#This Row],[weighted_ext_score]]&gt;$O$1,MIN(Данные6[[#This Row],[Базовая сумма]]*$O$2,$C$2),IF(Данные6[[#This Row],[weighted_ext_score]]&lt;$O$3,Данные6[[#This Row],[Базовая сумма]]*$O$4,N511))</f>
        <v>0</v>
      </c>
      <c r="P5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1" s="2">
        <f>ABS(Данные6[[#This Row],[days_birth]])/365.2425</f>
        <v>50.714251490448127</v>
      </c>
      <c r="S5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1" s="2">
        <f>IF(Данные6[[#This Row],[ interest_rate]]&gt;$T$1,Данные6[[#This Row],[days_birth4]]*$T$2,Данные6[[#This Row],[days_birth4]])</f>
        <v>0</v>
      </c>
      <c r="U511" s="2">
        <f>IF(Данные6[[#This Row],[Проверка отказа]]="отказ",0,MAX(Данные6[[#This Row],[interest_rate]],$C$1))</f>
        <v>0</v>
      </c>
      <c r="V511" s="2">
        <f>MROUND(Данные6[[#This Row],[Минимум 20000]], 100)</f>
        <v>0</v>
      </c>
    </row>
    <row r="512" spans="1:22" x14ac:dyDescent="0.25">
      <c r="A512" s="2">
        <f>'1000_заявлений'!A506</f>
        <v>504</v>
      </c>
      <c r="B512" s="4">
        <f>VALUE(SUBSTITUTE('1000_заявлений'!B506, ".", ","))</f>
        <v>0.29155896911560297</v>
      </c>
      <c r="C512" s="4">
        <f>VALUE(SUBSTITUTE('1000_заявлений'!C506, ".", ","))</f>
        <v>0.43564487847029998</v>
      </c>
      <c r="D512" s="4">
        <f>VALUE(SUBSTITUTE('1000_заявлений'!D506, ".", ","))</f>
        <v>0.70769936</v>
      </c>
      <c r="E512" s="4">
        <f>VALUE(SUBSTITUTE('1000_заявлений'!E506, ".", ","))</f>
        <v>0.55396780000000001</v>
      </c>
      <c r="F512" s="5">
        <f>VALUE(SUBSTITUTE('1000_заявлений'!F506, ".", ","))</f>
        <v>-85</v>
      </c>
      <c r="G512" s="5">
        <f>VALUE(SUBSTITUTE('1000_заявлений'!G506, ".", ","))</f>
        <v>-19127</v>
      </c>
      <c r="H512" s="5">
        <f>VALUE(SUBSTITUTE('1000_заявлений'!H506, ".", ","))</f>
        <v>-2442</v>
      </c>
      <c r="I512" s="4">
        <f>VALUE(SUBSTITUTE('1000_заявлений'!I506, ".", ","))</f>
        <v>5.6190476190476103E-2</v>
      </c>
      <c r="J512" s="4">
        <f>VALUE(SUBSTITUTE('1000_заявлений'!J506, ".", ","))</f>
        <v>4.0339859383813703</v>
      </c>
      <c r="K512" s="5">
        <f>VALUE(SUBSTITUTE('1000_заявлений'!K506, ".", ","))</f>
        <v>-602</v>
      </c>
      <c r="L512" s="6">
        <f>VALUE(SUBSTITUTE('1000_заявлений'!L506, ".", ","))</f>
        <v>10620</v>
      </c>
      <c r="M512" s="2" t="str">
        <f>IF(Данные6[[#This Row],[proba]]&gt;$C$6, "отказ", "одобрение")</f>
        <v>одобрение</v>
      </c>
      <c r="N512" s="7">
        <f>IF(Данные6[[#This Row],[proba]]&lt;$D$2,$C$2,IF(Данные6[[#This Row],[proba]]&lt;$D$3,$C$3,IF(Данные6[[#This Row],[proba]]&gt;$C$6,0,$C$4)))</f>
        <v>50000</v>
      </c>
      <c r="O512" s="2">
        <f>IF(Данные6[[#This Row],[weighted_ext_score]]&gt;$O$1,MIN(Данные6[[#This Row],[Базовая сумма]]*$O$2,$C$2),IF(Данные6[[#This Row],[weighted_ext_score]]&lt;$O$3,Данные6[[#This Row],[Базовая сумма]]*$O$4,N512))</f>
        <v>40000</v>
      </c>
      <c r="P5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5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33600</v>
      </c>
      <c r="R512" s="2">
        <f>ABS(Данные6[[#This Row],[days_birth]])/365.2425</f>
        <v>52.367947322669181</v>
      </c>
      <c r="S5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35280</v>
      </c>
      <c r="T512" s="2">
        <f>IF(Данные6[[#This Row],[ interest_rate]]&gt;$T$1,Данные6[[#This Row],[days_birth4]]*$T$2,Данные6[[#This Row],[days_birth4]])</f>
        <v>35280</v>
      </c>
      <c r="U512" s="2">
        <f>IF(Данные6[[#This Row],[Проверка отказа]]="отказ",0,MAX(Данные6[[#This Row],[interest_rate]],$C$1))</f>
        <v>35280</v>
      </c>
      <c r="V512" s="2">
        <f>MROUND(Данные6[[#This Row],[Минимум 20000]], 100)</f>
        <v>35300</v>
      </c>
    </row>
    <row r="513" spans="1:22" x14ac:dyDescent="0.25">
      <c r="A513" s="2">
        <f>'1000_заявлений'!A507</f>
        <v>505</v>
      </c>
      <c r="B513" s="4">
        <f>VALUE(SUBSTITUTE('1000_заявлений'!B507, ".", ","))</f>
        <v>0.62770374401890905</v>
      </c>
      <c r="C513" s="4">
        <f>VALUE(SUBSTITUTE('1000_заявлений'!C507, ".", ","))</f>
        <v>0.20697571923192001</v>
      </c>
      <c r="D513" s="4">
        <f>VALUE(SUBSTITUTE('1000_заявлений'!D507, ".", ","))</f>
        <v>0.30010775000000001</v>
      </c>
      <c r="E513" s="4">
        <f>VALUE(SUBSTITUTE('1000_заявлений'!E507, ".", ","))</f>
        <v>0.30346509999999999</v>
      </c>
      <c r="F513" s="5">
        <f>VALUE(SUBSTITUTE('1000_заявлений'!F507, ".", ","))</f>
        <v>-12534</v>
      </c>
      <c r="G513" s="5">
        <f>VALUE(SUBSTITUTE('1000_заявлений'!G507, ".", ","))</f>
        <v>-23023</v>
      </c>
      <c r="H513" s="5">
        <f>VALUE(SUBSTITUTE('1000_заявлений'!H507, ".", ","))</f>
        <v>-4494</v>
      </c>
      <c r="I513" s="4">
        <f>VALUE(SUBSTITUTE('1000_заявлений'!I507, ".", ","))</f>
        <v>0.14704</v>
      </c>
      <c r="J513" s="4">
        <f>VALUE(SUBSTITUTE('1000_заявлений'!J507, ".", ","))</f>
        <v>3.5421482136394702</v>
      </c>
      <c r="K513" s="5">
        <f>VALUE(SUBSTITUTE('1000_заявлений'!K507, ".", ","))</f>
        <v>365243</v>
      </c>
      <c r="L513" s="6">
        <f>VALUE(SUBSTITUTE('1000_заявлений'!L507, ".", ","))</f>
        <v>16542</v>
      </c>
      <c r="M513" s="2" t="str">
        <f>IF(Данные6[[#This Row],[proba]]&gt;$C$6, "отказ", "одобрение")</f>
        <v>отказ</v>
      </c>
      <c r="N513" s="7">
        <f>IF(Данные6[[#This Row],[proba]]&lt;$D$2,$C$2,IF(Данные6[[#This Row],[proba]]&lt;$D$3,$C$3,IF(Данные6[[#This Row],[proba]]&gt;$C$6,0,$C$4)))</f>
        <v>0</v>
      </c>
      <c r="O513" s="2">
        <f>IF(Данные6[[#This Row],[weighted_ext_score]]&gt;$O$1,MIN(Данные6[[#This Row],[Базовая сумма]]*$O$2,$C$2),IF(Данные6[[#This Row],[weighted_ext_score]]&lt;$O$3,Данные6[[#This Row],[Базовая сумма]]*$O$4,N513))</f>
        <v>0</v>
      </c>
      <c r="P5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3" s="2">
        <f>ABS(Данные6[[#This Row],[days_birth]])/365.2425</f>
        <v>63.034833021896411</v>
      </c>
      <c r="S5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3" s="2">
        <f>IF(Данные6[[#This Row],[ interest_rate]]&gt;$T$1,Данные6[[#This Row],[days_birth4]]*$T$2,Данные6[[#This Row],[days_birth4]])</f>
        <v>0</v>
      </c>
      <c r="U513" s="2">
        <f>IF(Данные6[[#This Row],[Проверка отказа]]="отказ",0,MAX(Данные6[[#This Row],[interest_rate]],$C$1))</f>
        <v>0</v>
      </c>
      <c r="V513" s="2">
        <f>MROUND(Данные6[[#This Row],[Минимум 20000]], 100)</f>
        <v>0</v>
      </c>
    </row>
    <row r="514" spans="1:22" x14ac:dyDescent="0.25">
      <c r="A514" s="2">
        <f>'1000_заявлений'!A508</f>
        <v>506</v>
      </c>
      <c r="B514" s="4">
        <f>VALUE(SUBSTITUTE('1000_заявлений'!B508, ".", ","))</f>
        <v>0.62821641297142505</v>
      </c>
      <c r="C514" s="4">
        <f>VALUE(SUBSTITUTE('1000_заявлений'!C508, ".", ","))</f>
        <v>0.40996438776542599</v>
      </c>
      <c r="D514" s="4">
        <f>VALUE(SUBSTITUTE('1000_заявлений'!D508, ".", ","))</f>
        <v>0.59719239999999996</v>
      </c>
      <c r="E514" s="4">
        <f>VALUE(SUBSTITUTE('1000_заявлений'!E508, ".", ","))</f>
        <v>0.25337163000000001</v>
      </c>
      <c r="F514" s="5">
        <f>VALUE(SUBSTITUTE('1000_заявлений'!F508, ".", ","))</f>
        <v>-4752</v>
      </c>
      <c r="G514" s="5">
        <f>VALUE(SUBSTITUTE('1000_заявлений'!G508, ".", ","))</f>
        <v>-11146</v>
      </c>
      <c r="H514" s="5">
        <f>VALUE(SUBSTITUTE('1000_заявлений'!H508, ".", ","))</f>
        <v>-695</v>
      </c>
      <c r="I514" s="4">
        <f>VALUE(SUBSTITUTE('1000_заявлений'!I508, ".", ","))</f>
        <v>0.39810000000000001</v>
      </c>
      <c r="J514" s="4">
        <f>VALUE(SUBSTITUTE('1000_заявлений'!J508, ".", ","))</f>
        <v>3.4635716682048701</v>
      </c>
      <c r="K514" s="5">
        <f>VALUE(SUBSTITUTE('1000_заявлений'!K508, ".", ","))</f>
        <v>-2910</v>
      </c>
      <c r="L514" s="6">
        <f>VALUE(SUBSTITUTE('1000_заявлений'!L508, ".", ","))</f>
        <v>17914.5</v>
      </c>
      <c r="M514" s="2" t="str">
        <f>IF(Данные6[[#This Row],[proba]]&gt;$C$6, "отказ", "одобрение")</f>
        <v>отказ</v>
      </c>
      <c r="N514" s="7">
        <f>IF(Данные6[[#This Row],[proba]]&lt;$D$2,$C$2,IF(Данные6[[#This Row],[proba]]&lt;$D$3,$C$3,IF(Данные6[[#This Row],[proba]]&gt;$C$6,0,$C$4)))</f>
        <v>0</v>
      </c>
      <c r="O514" s="2">
        <f>IF(Данные6[[#This Row],[weighted_ext_score]]&gt;$O$1,MIN(Данные6[[#This Row],[Базовая сумма]]*$O$2,$C$2),IF(Данные6[[#This Row],[weighted_ext_score]]&lt;$O$3,Данные6[[#This Row],[Базовая сумма]]*$O$4,N514))</f>
        <v>0</v>
      </c>
      <c r="P5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4" s="2">
        <f>ABS(Данные6[[#This Row],[days_birth]])/365.2425</f>
        <v>30.516711499893905</v>
      </c>
      <c r="S5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4" s="2">
        <f>IF(Данные6[[#This Row],[ interest_rate]]&gt;$T$1,Данные6[[#This Row],[days_birth4]]*$T$2,Данные6[[#This Row],[days_birth4]])</f>
        <v>0</v>
      </c>
      <c r="U514" s="2">
        <f>IF(Данные6[[#This Row],[Проверка отказа]]="отказ",0,MAX(Данные6[[#This Row],[interest_rate]],$C$1))</f>
        <v>0</v>
      </c>
      <c r="V514" s="2">
        <f>MROUND(Данные6[[#This Row],[Минимум 20000]], 100)</f>
        <v>0</v>
      </c>
    </row>
    <row r="515" spans="1:22" x14ac:dyDescent="0.25">
      <c r="A515" s="2">
        <f>'1000_заявлений'!A509</f>
        <v>507</v>
      </c>
      <c r="B515" s="4">
        <f>VALUE(SUBSTITUTE('1000_заявлений'!B509, ".", ","))</f>
        <v>0.33152148423099198</v>
      </c>
      <c r="C515" s="4">
        <f>VALUE(SUBSTITUTE('1000_заявлений'!C509, ".", ","))</f>
        <v>0.37060091297237402</v>
      </c>
      <c r="D515" s="4">
        <f>VALUE(SUBSTITUTE('1000_заявлений'!D509, ".", ","))</f>
        <v>0.53527623000000002</v>
      </c>
      <c r="E515" s="4">
        <f>VALUE(SUBSTITUTE('1000_заявлений'!E509, ".", ","))</f>
        <v>0.54569210000000001</v>
      </c>
      <c r="F515" s="5">
        <f>VALUE(SUBSTITUTE('1000_заявлений'!F509, ".", ","))</f>
        <v>-2378</v>
      </c>
      <c r="G515" s="5">
        <f>VALUE(SUBSTITUTE('1000_заявлений'!G509, ".", ","))</f>
        <v>-22326</v>
      </c>
      <c r="H515" s="5">
        <f>VALUE(SUBSTITUTE('1000_заявлений'!H509, ".", ","))</f>
        <v>-4116</v>
      </c>
      <c r="I515" s="4">
        <f>VALUE(SUBSTITUTE('1000_заявлений'!I509, ".", ","))</f>
        <v>0.1875</v>
      </c>
      <c r="J515" s="4">
        <f>VALUE(SUBSTITUTE('1000_заявлений'!J509, ".", ","))</f>
        <v>10.6209759779781</v>
      </c>
      <c r="K515" s="5">
        <f>VALUE(SUBSTITUTE('1000_заявлений'!K509, ".", ","))</f>
        <v>365243</v>
      </c>
      <c r="L515" s="6">
        <f>VALUE(SUBSTITUTE('1000_заявлений'!L509, ".", ","))</f>
        <v>6750</v>
      </c>
      <c r="M515" s="2" t="str">
        <f>IF(Данные6[[#This Row],[proba]]&gt;$C$6, "отказ", "одобрение")</f>
        <v>отказ</v>
      </c>
      <c r="N515" s="7">
        <f>IF(Данные6[[#This Row],[proba]]&lt;$D$2,$C$2,IF(Данные6[[#This Row],[proba]]&lt;$D$3,$C$3,IF(Данные6[[#This Row],[proba]]&gt;$C$6,0,$C$4)))</f>
        <v>0</v>
      </c>
      <c r="O515" s="2">
        <f>IF(Данные6[[#This Row],[weighted_ext_score]]&gt;$O$1,MIN(Данные6[[#This Row],[Базовая сумма]]*$O$2,$C$2),IF(Данные6[[#This Row],[weighted_ext_score]]&lt;$O$3,Данные6[[#This Row],[Базовая сумма]]*$O$4,N515))</f>
        <v>0</v>
      </c>
      <c r="P5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5" s="2">
        <f>ABS(Данные6[[#This Row],[days_birth]])/365.2425</f>
        <v>61.126511838025422</v>
      </c>
      <c r="S5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5" s="2">
        <f>IF(Данные6[[#This Row],[ interest_rate]]&gt;$T$1,Данные6[[#This Row],[days_birth4]]*$T$2,Данные6[[#This Row],[days_birth4]])</f>
        <v>0</v>
      </c>
      <c r="U515" s="2">
        <f>IF(Данные6[[#This Row],[Проверка отказа]]="отказ",0,MAX(Данные6[[#This Row],[interest_rate]],$C$1))</f>
        <v>0</v>
      </c>
      <c r="V515" s="2">
        <f>MROUND(Данные6[[#This Row],[Минимум 20000]], 100)</f>
        <v>0</v>
      </c>
    </row>
    <row r="516" spans="1:22" x14ac:dyDescent="0.25">
      <c r="A516" s="2">
        <f>'1000_заявлений'!A510</f>
        <v>508</v>
      </c>
      <c r="B516" s="4">
        <f>VALUE(SUBSTITUTE('1000_заявлений'!B510, ".", ","))</f>
        <v>0.69958528097423101</v>
      </c>
      <c r="C516" s="4">
        <f>VALUE(SUBSTITUTE('1000_заявлений'!C510, ".", ","))</f>
        <v>0.30465893039534903</v>
      </c>
      <c r="D516" s="4">
        <f>VALUE(SUBSTITUTE('1000_заявлений'!D510, ".", ","))</f>
        <v>0.20559815000000001</v>
      </c>
      <c r="E516" s="4">
        <f>VALUE(SUBSTITUTE('1000_заявлений'!E510, ".", ","))</f>
        <v>0.49697324999999998</v>
      </c>
      <c r="F516" s="5">
        <f>VALUE(SUBSTITUTE('1000_заявлений'!F510, ".", ","))</f>
        <v>-4174</v>
      </c>
      <c r="G516" s="5">
        <f>VALUE(SUBSTITUTE('1000_заявлений'!G510, ".", ","))</f>
        <v>-11373</v>
      </c>
      <c r="H516" s="5">
        <f>VALUE(SUBSTITUTE('1000_заявлений'!H510, ".", ","))</f>
        <v>-772</v>
      </c>
      <c r="I516" s="4">
        <f>VALUE(SUBSTITUTE('1000_заявлений'!I510, ".", ","))</f>
        <v>0.105111111111111</v>
      </c>
      <c r="J516" s="4">
        <f>VALUE(SUBSTITUTE('1000_заявлений'!J510, ".", ","))</f>
        <v>3.1464829729480299</v>
      </c>
      <c r="K516" s="5">
        <f>VALUE(SUBSTITUTE('1000_заявлений'!K510, ".", ","))</f>
        <v>-196</v>
      </c>
      <c r="L516" s="6">
        <f>VALUE(SUBSTITUTE('1000_заявлений'!L510, ".", ","))</f>
        <v>21285</v>
      </c>
      <c r="M516" s="2" t="str">
        <f>IF(Данные6[[#This Row],[proba]]&gt;$C$6, "отказ", "одобрение")</f>
        <v>отказ</v>
      </c>
      <c r="N516" s="7">
        <f>IF(Данные6[[#This Row],[proba]]&lt;$D$2,$C$2,IF(Данные6[[#This Row],[proba]]&lt;$D$3,$C$3,IF(Данные6[[#This Row],[proba]]&gt;$C$6,0,$C$4)))</f>
        <v>0</v>
      </c>
      <c r="O516" s="2">
        <f>IF(Данные6[[#This Row],[weighted_ext_score]]&gt;$O$1,MIN(Данные6[[#This Row],[Базовая сумма]]*$O$2,$C$2),IF(Данные6[[#This Row],[weighted_ext_score]]&lt;$O$3,Данные6[[#This Row],[Базовая сумма]]*$O$4,N516))</f>
        <v>0</v>
      </c>
      <c r="P5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6" s="2">
        <f>ABS(Данные6[[#This Row],[days_birth]])/365.2425</f>
        <v>31.138216390480295</v>
      </c>
      <c r="S5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6" s="2">
        <f>IF(Данные6[[#This Row],[ interest_rate]]&gt;$T$1,Данные6[[#This Row],[days_birth4]]*$T$2,Данные6[[#This Row],[days_birth4]])</f>
        <v>0</v>
      </c>
      <c r="U516" s="2">
        <f>IF(Данные6[[#This Row],[Проверка отказа]]="отказ",0,MAX(Данные6[[#This Row],[interest_rate]],$C$1))</f>
        <v>0</v>
      </c>
      <c r="V516" s="2">
        <f>MROUND(Данные6[[#This Row],[Минимум 20000]], 100)</f>
        <v>0</v>
      </c>
    </row>
    <row r="517" spans="1:22" x14ac:dyDescent="0.25">
      <c r="A517" s="2">
        <f>'1000_заявлений'!A511</f>
        <v>509</v>
      </c>
      <c r="B517" s="4">
        <f>VALUE(SUBSTITUTE('1000_заявлений'!B511, ".", ","))</f>
        <v>0.26220756528848499</v>
      </c>
      <c r="C517" s="4">
        <f>VALUE(SUBSTITUTE('1000_заявлений'!C511, ".", ","))</f>
        <v>0.60270426372077801</v>
      </c>
      <c r="D517" s="4">
        <f>VALUE(SUBSTITUTE('1000_заявлений'!D511, ".", ","))</f>
        <v>0.59197664000000005</v>
      </c>
      <c r="E517" s="4">
        <f>VALUE(SUBSTITUTE('1000_заявлений'!E511, ".", ","))</f>
        <v>0.57145374999999998</v>
      </c>
      <c r="F517" s="5">
        <f>VALUE(SUBSTITUTE('1000_заявлений'!F511, ".", ","))</f>
        <v>-6020</v>
      </c>
      <c r="G517" s="5">
        <f>VALUE(SUBSTITUTE('1000_заявлений'!G511, ".", ","))</f>
        <v>-19536</v>
      </c>
      <c r="H517" s="5">
        <f>VALUE(SUBSTITUTE('1000_заявлений'!H511, ".", ","))</f>
        <v>-2041</v>
      </c>
      <c r="I517" s="4">
        <f>VALUE(SUBSTITUTE('1000_заявлений'!I511, ".", ","))</f>
        <v>0.1825</v>
      </c>
      <c r="J517" s="4">
        <f>VALUE(SUBSTITUTE('1000_заявлений'!J511, ".", ","))</f>
        <v>1.82350016999419</v>
      </c>
      <c r="K517" s="5">
        <f>VALUE(SUBSTITUTE('1000_заявлений'!K511, ".", ","))</f>
        <v>365243</v>
      </c>
      <c r="L517" s="6">
        <f>VALUE(SUBSTITUTE('1000_заявлений'!L511, ".", ","))</f>
        <v>8212.5</v>
      </c>
      <c r="M517" s="2" t="str">
        <f>IF(Данные6[[#This Row],[proba]]&gt;$C$6, "отказ", "одобрение")</f>
        <v>одобрение</v>
      </c>
      <c r="N517" s="7">
        <f>IF(Данные6[[#This Row],[proba]]&lt;$D$2,$C$2,IF(Данные6[[#This Row],[proba]]&lt;$D$3,$C$3,IF(Данные6[[#This Row],[proba]]&gt;$C$6,0,$C$4)))</f>
        <v>50000</v>
      </c>
      <c r="O517" s="2">
        <f>IF(Данные6[[#This Row],[weighted_ext_score]]&gt;$O$1,MIN(Данные6[[#This Row],[Базовая сумма]]*$O$2,$C$2),IF(Данные6[[#This Row],[weighted_ext_score]]&lt;$O$3,Данные6[[#This Row],[Базовая сумма]]*$O$4,N517))</f>
        <v>50000</v>
      </c>
      <c r="P5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517" s="2">
        <f>ABS(Данные6[[#This Row],[days_birth]])/365.2425</f>
        <v>53.487751288527484</v>
      </c>
      <c r="S5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517" s="2">
        <f>IF(Данные6[[#This Row],[ interest_rate]]&gt;$T$1,Данные6[[#This Row],[days_birth4]]*$T$2,Данные6[[#This Row],[days_birth4]])</f>
        <v>52500</v>
      </c>
      <c r="U517" s="2">
        <f>IF(Данные6[[#This Row],[Проверка отказа]]="отказ",0,MAX(Данные6[[#This Row],[interest_rate]],$C$1))</f>
        <v>52500</v>
      </c>
      <c r="V517" s="2">
        <f>MROUND(Данные6[[#This Row],[Минимум 20000]], 100)</f>
        <v>52500</v>
      </c>
    </row>
    <row r="518" spans="1:22" x14ac:dyDescent="0.25">
      <c r="A518" s="2">
        <f>'1000_заявлений'!A512</f>
        <v>510</v>
      </c>
      <c r="B518" s="4">
        <f>VALUE(SUBSTITUTE('1000_заявлений'!B512, ".", ","))</f>
        <v>0.71286842791205696</v>
      </c>
      <c r="C518" s="4">
        <f>VALUE(SUBSTITUTE('1000_заявлений'!C512, ".", ","))</f>
        <v>0.26818450512386899</v>
      </c>
      <c r="D518" s="4">
        <f>VALUE(SUBSTITUTE('1000_заявлений'!D512, ".", ","))</f>
        <v>0.2091547</v>
      </c>
      <c r="E518" s="4">
        <f>VALUE(SUBSTITUTE('1000_заявлений'!E512, ".", ","))</f>
        <v>0.25757667000000001</v>
      </c>
      <c r="F518" s="5">
        <f>VALUE(SUBSTITUTE('1000_заявлений'!F512, ".", ","))</f>
        <v>-898</v>
      </c>
      <c r="G518" s="5">
        <f>VALUE(SUBSTITUTE('1000_заявлений'!G512, ".", ","))</f>
        <v>-14943</v>
      </c>
      <c r="H518" s="5">
        <f>VALUE(SUBSTITUTE('1000_заявлений'!H512, ".", ","))</f>
        <v>-4358</v>
      </c>
      <c r="I518" s="4">
        <f>VALUE(SUBSTITUTE('1000_заявлений'!I512, ".", ","))</f>
        <v>2.6119402985074602E-2</v>
      </c>
      <c r="J518" s="4">
        <f>VALUE(SUBSTITUTE('1000_заявлений'!J512, ".", ","))</f>
        <v>10.6209759779781</v>
      </c>
      <c r="K518" s="5">
        <f>VALUE(SUBSTITUTE('1000_заявлений'!K512, ".", ","))</f>
        <v>-7302</v>
      </c>
      <c r="L518" s="6">
        <f>VALUE(SUBSTITUTE('1000_заявлений'!L512, ".", ","))</f>
        <v>7875</v>
      </c>
      <c r="M518" s="2" t="str">
        <f>IF(Данные6[[#This Row],[proba]]&gt;$C$6, "отказ", "одобрение")</f>
        <v>отказ</v>
      </c>
      <c r="N518" s="7">
        <f>IF(Данные6[[#This Row],[proba]]&lt;$D$2,$C$2,IF(Данные6[[#This Row],[proba]]&lt;$D$3,$C$3,IF(Данные6[[#This Row],[proba]]&gt;$C$6,0,$C$4)))</f>
        <v>0</v>
      </c>
      <c r="O518" s="2">
        <f>IF(Данные6[[#This Row],[weighted_ext_score]]&gt;$O$1,MIN(Данные6[[#This Row],[Базовая сумма]]*$O$2,$C$2),IF(Данные6[[#This Row],[weighted_ext_score]]&lt;$O$3,Данные6[[#This Row],[Базовая сумма]]*$O$4,N518))</f>
        <v>0</v>
      </c>
      <c r="P5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8" s="2">
        <f>ABS(Данные6[[#This Row],[days_birth]])/365.2425</f>
        <v>40.912544405429266</v>
      </c>
      <c r="S5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8" s="2">
        <f>IF(Данные6[[#This Row],[ interest_rate]]&gt;$T$1,Данные6[[#This Row],[days_birth4]]*$T$2,Данные6[[#This Row],[days_birth4]])</f>
        <v>0</v>
      </c>
      <c r="U518" s="2">
        <f>IF(Данные6[[#This Row],[Проверка отказа]]="отказ",0,MAX(Данные6[[#This Row],[interest_rate]],$C$1))</f>
        <v>0</v>
      </c>
      <c r="V518" s="2">
        <f>MROUND(Данные6[[#This Row],[Минимум 20000]], 100)</f>
        <v>0</v>
      </c>
    </row>
    <row r="519" spans="1:22" x14ac:dyDescent="0.25">
      <c r="A519" s="2">
        <f>'1000_заявлений'!A513</f>
        <v>511</v>
      </c>
      <c r="B519" s="4">
        <f>VALUE(SUBSTITUTE('1000_заявлений'!B513, ".", ","))</f>
        <v>0.43216478492107002</v>
      </c>
      <c r="C519" s="4">
        <f>VALUE(SUBSTITUTE('1000_заявлений'!C513, ".", ","))</f>
        <v>0.38104787377992499</v>
      </c>
      <c r="D519" s="4">
        <f>VALUE(SUBSTITUTE('1000_заявлений'!D513, ".", ","))</f>
        <v>0.69409262999999999</v>
      </c>
      <c r="E519" s="4">
        <f>VALUE(SUBSTITUTE('1000_заявлений'!E513, ".", ","))</f>
        <v>0.40082519999999999</v>
      </c>
      <c r="F519" s="5">
        <f>VALUE(SUBSTITUTE('1000_заявлений'!F513, ".", ","))</f>
        <v>-4794</v>
      </c>
      <c r="G519" s="5">
        <f>VALUE(SUBSTITUTE('1000_заявлений'!G513, ".", ","))</f>
        <v>-10438</v>
      </c>
      <c r="H519" s="5">
        <f>VALUE(SUBSTITUTE('1000_заявлений'!H513, ".", ","))</f>
        <v>-3019</v>
      </c>
      <c r="I519" s="4">
        <f>VALUE(SUBSTITUTE('1000_заявлений'!I513, ".", ","))</f>
        <v>0.15440000000000001</v>
      </c>
      <c r="J519" s="4">
        <f>VALUE(SUBSTITUTE('1000_заявлений'!J513, ".", ","))</f>
        <v>5.6187976884243396</v>
      </c>
      <c r="K519" s="5">
        <f>VALUE(SUBSTITUTE('1000_заявлений'!K513, ".", ","))</f>
        <v>-1550</v>
      </c>
      <c r="L519" s="6">
        <f>VALUE(SUBSTITUTE('1000_заявлений'!L513, ".", ","))</f>
        <v>17370</v>
      </c>
      <c r="M519" s="2" t="str">
        <f>IF(Данные6[[#This Row],[proba]]&gt;$C$6, "отказ", "одобрение")</f>
        <v>отказ</v>
      </c>
      <c r="N519" s="7">
        <f>IF(Данные6[[#This Row],[proba]]&lt;$D$2,$C$2,IF(Данные6[[#This Row],[proba]]&lt;$D$3,$C$3,IF(Данные6[[#This Row],[proba]]&gt;$C$6,0,$C$4)))</f>
        <v>0</v>
      </c>
      <c r="O519" s="2">
        <f>IF(Данные6[[#This Row],[weighted_ext_score]]&gt;$O$1,MIN(Данные6[[#This Row],[Базовая сумма]]*$O$2,$C$2),IF(Данные6[[#This Row],[weighted_ext_score]]&lt;$O$3,Данные6[[#This Row],[Базовая сумма]]*$O$4,N519))</f>
        <v>0</v>
      </c>
      <c r="P5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19" s="2">
        <f>ABS(Данные6[[#This Row],[days_birth]])/365.2425</f>
        <v>28.578273338946044</v>
      </c>
      <c r="S5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19" s="2">
        <f>IF(Данные6[[#This Row],[ interest_rate]]&gt;$T$1,Данные6[[#This Row],[days_birth4]]*$T$2,Данные6[[#This Row],[days_birth4]])</f>
        <v>0</v>
      </c>
      <c r="U519" s="2">
        <f>IF(Данные6[[#This Row],[Проверка отказа]]="отказ",0,MAX(Данные6[[#This Row],[interest_rate]],$C$1))</f>
        <v>0</v>
      </c>
      <c r="V519" s="2">
        <f>MROUND(Данные6[[#This Row],[Минимум 20000]], 100)</f>
        <v>0</v>
      </c>
    </row>
    <row r="520" spans="1:22" x14ac:dyDescent="0.25">
      <c r="A520" s="2">
        <f>'1000_заявлений'!A514</f>
        <v>512</v>
      </c>
      <c r="B520" s="4">
        <f>VALUE(SUBSTITUTE('1000_заявлений'!B514, ".", ","))</f>
        <v>0.312472930313479</v>
      </c>
      <c r="C520" s="4">
        <f>VALUE(SUBSTITUTE('1000_заявлений'!C514, ".", ","))</f>
        <v>0.35888367715319303</v>
      </c>
      <c r="D520" s="4">
        <f>VALUE(SUBSTITUTE('1000_заявлений'!D514, ".", ","))</f>
        <v>0.50287824999999997</v>
      </c>
      <c r="E520" s="4">
        <f>VALUE(SUBSTITUTE('1000_заявлений'!E514, ".", ","))</f>
        <v>0.54569210000000001</v>
      </c>
      <c r="F520" s="5">
        <f>VALUE(SUBSTITUTE('1000_заявлений'!F514, ".", ","))</f>
        <v>-12316</v>
      </c>
      <c r="G520" s="5">
        <f>VALUE(SUBSTITUTE('1000_заявлений'!G514, ".", ","))</f>
        <v>-20740</v>
      </c>
      <c r="H520" s="5">
        <f>VALUE(SUBSTITUTE('1000_заявлений'!H514, ".", ","))</f>
        <v>-3990</v>
      </c>
      <c r="I520" s="4">
        <f>VALUE(SUBSTITUTE('1000_заявлений'!I514, ".", ","))</f>
        <v>0.06</v>
      </c>
      <c r="J520" s="4">
        <f>VALUE(SUBSTITUTE('1000_заявлений'!J514, ".", ","))</f>
        <v>10.6209759779781</v>
      </c>
      <c r="K520" s="5">
        <f>VALUE(SUBSTITUTE('1000_заявлений'!K514, ".", ","))</f>
        <v>365243</v>
      </c>
      <c r="L520" s="6">
        <f>VALUE(SUBSTITUTE('1000_заявлений'!L514, ".", ","))</f>
        <v>6750</v>
      </c>
      <c r="M520" s="2" t="str">
        <f>IF(Данные6[[#This Row],[proba]]&gt;$C$6, "отказ", "одобрение")</f>
        <v>отказ</v>
      </c>
      <c r="N520" s="7">
        <f>IF(Данные6[[#This Row],[proba]]&lt;$D$2,$C$2,IF(Данные6[[#This Row],[proba]]&lt;$D$3,$C$3,IF(Данные6[[#This Row],[proba]]&gt;$C$6,0,$C$4)))</f>
        <v>0</v>
      </c>
      <c r="O520" s="2">
        <f>IF(Данные6[[#This Row],[weighted_ext_score]]&gt;$O$1,MIN(Данные6[[#This Row],[Базовая сумма]]*$O$2,$C$2),IF(Данные6[[#This Row],[weighted_ext_score]]&lt;$O$3,Данные6[[#This Row],[Базовая сумма]]*$O$4,N520))</f>
        <v>0</v>
      </c>
      <c r="P5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0" s="2">
        <f>ABS(Данные6[[#This Row],[days_birth]])/365.2425</f>
        <v>56.784191324941645</v>
      </c>
      <c r="S5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0" s="2">
        <f>IF(Данные6[[#This Row],[ interest_rate]]&gt;$T$1,Данные6[[#This Row],[days_birth4]]*$T$2,Данные6[[#This Row],[days_birth4]])</f>
        <v>0</v>
      </c>
      <c r="U520" s="2">
        <f>IF(Данные6[[#This Row],[Проверка отказа]]="отказ",0,MAX(Данные6[[#This Row],[interest_rate]],$C$1))</f>
        <v>0</v>
      </c>
      <c r="V520" s="2">
        <f>MROUND(Данные6[[#This Row],[Минимум 20000]], 100)</f>
        <v>0</v>
      </c>
    </row>
    <row r="521" spans="1:22" x14ac:dyDescent="0.25">
      <c r="A521" s="2">
        <f>'1000_заявлений'!A515</f>
        <v>513</v>
      </c>
      <c r="B521" s="4">
        <f>VALUE(SUBSTITUTE('1000_заявлений'!B515, ".", ","))</f>
        <v>0.49061571726729603</v>
      </c>
      <c r="C521" s="4">
        <f>VALUE(SUBSTITUTE('1000_заявлений'!C515, ".", ","))</f>
        <v>0.328727415884629</v>
      </c>
      <c r="D521" s="4">
        <f>VALUE(SUBSTITUTE('1000_заявлений'!D515, ".", ","))</f>
        <v>0.54781049999999998</v>
      </c>
      <c r="E521" s="4">
        <f>VALUE(SUBSTITUTE('1000_заявлений'!E515, ".", ","))</f>
        <v>0.40262791999999997</v>
      </c>
      <c r="F521" s="5">
        <f>VALUE(SUBSTITUTE('1000_заявлений'!F515, ".", ","))</f>
        <v>-2274</v>
      </c>
      <c r="G521" s="5">
        <f>VALUE(SUBSTITUTE('1000_заявлений'!G515, ".", ","))</f>
        <v>-13934</v>
      </c>
      <c r="H521" s="5">
        <f>VALUE(SUBSTITUTE('1000_заявлений'!H515, ".", ","))</f>
        <v>-4536</v>
      </c>
      <c r="I521" s="4">
        <f>VALUE(SUBSTITUTE('1000_заявлений'!I515, ".", ","))</f>
        <v>0.26266666666666599</v>
      </c>
      <c r="J521" s="4">
        <f>VALUE(SUBSTITUTE('1000_заявлений'!J515, ".", ","))</f>
        <v>5.1304496483649098</v>
      </c>
      <c r="K521" s="5">
        <f>VALUE(SUBSTITUTE('1000_заявлений'!K515, ".", ","))</f>
        <v>365243</v>
      </c>
      <c r="L521" s="6">
        <f>VALUE(SUBSTITUTE('1000_заявлений'!L515, ".", ","))</f>
        <v>19503</v>
      </c>
      <c r="M521" s="2" t="str">
        <f>IF(Данные6[[#This Row],[proba]]&gt;$C$6, "отказ", "одобрение")</f>
        <v>отказ</v>
      </c>
      <c r="N521" s="7">
        <f>IF(Данные6[[#This Row],[proba]]&lt;$D$2,$C$2,IF(Данные6[[#This Row],[proba]]&lt;$D$3,$C$3,IF(Данные6[[#This Row],[proba]]&gt;$C$6,0,$C$4)))</f>
        <v>0</v>
      </c>
      <c r="O521" s="2">
        <f>IF(Данные6[[#This Row],[weighted_ext_score]]&gt;$O$1,MIN(Данные6[[#This Row],[Базовая сумма]]*$O$2,$C$2),IF(Данные6[[#This Row],[weighted_ext_score]]&lt;$O$3,Данные6[[#This Row],[Базовая сумма]]*$O$4,N521))</f>
        <v>0</v>
      </c>
      <c r="P5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1" s="2">
        <f>ABS(Данные6[[#This Row],[days_birth]])/365.2425</f>
        <v>38.149996235377863</v>
      </c>
      <c r="S5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1" s="2">
        <f>IF(Данные6[[#This Row],[ interest_rate]]&gt;$T$1,Данные6[[#This Row],[days_birth4]]*$T$2,Данные6[[#This Row],[days_birth4]])</f>
        <v>0</v>
      </c>
      <c r="U521" s="2">
        <f>IF(Данные6[[#This Row],[Проверка отказа]]="отказ",0,MAX(Данные6[[#This Row],[interest_rate]],$C$1))</f>
        <v>0</v>
      </c>
      <c r="V521" s="2">
        <f>MROUND(Данные6[[#This Row],[Минимум 20000]], 100)</f>
        <v>0</v>
      </c>
    </row>
    <row r="522" spans="1:22" x14ac:dyDescent="0.25">
      <c r="A522" s="2">
        <f>'1000_заявлений'!A516</f>
        <v>514</v>
      </c>
      <c r="B522" s="4">
        <f>VALUE(SUBSTITUTE('1000_заявлений'!B516, ".", ","))</f>
        <v>0.346785400646895</v>
      </c>
      <c r="C522" s="4">
        <f>VALUE(SUBSTITUTE('1000_заявлений'!C516, ".", ","))</f>
        <v>0.37267411968279002</v>
      </c>
      <c r="D522" s="4">
        <f>VALUE(SUBSTITUTE('1000_заявлений'!D516, ".", ","))</f>
        <v>0.41359675000000001</v>
      </c>
      <c r="E522" s="4">
        <f>VALUE(SUBSTITUTE('1000_заявлений'!E516, ".", ","))</f>
        <v>0.68775059999999999</v>
      </c>
      <c r="F522" s="5">
        <f>VALUE(SUBSTITUTE('1000_заявлений'!F516, ".", ","))</f>
        <v>-3788</v>
      </c>
      <c r="G522" s="5">
        <f>VALUE(SUBSTITUTE('1000_заявлений'!G516, ".", ","))</f>
        <v>-19564</v>
      </c>
      <c r="H522" s="5">
        <f>VALUE(SUBSTITUTE('1000_заявлений'!H516, ".", ","))</f>
        <v>-3074</v>
      </c>
      <c r="I522" s="4">
        <f>VALUE(SUBSTITUTE('1000_заявлений'!I516, ".", ","))</f>
        <v>0.27684999999999998</v>
      </c>
      <c r="J522" s="4">
        <f>VALUE(SUBSTITUTE('1000_заявлений'!J516, ".", ","))</f>
        <v>7.9422049573212901</v>
      </c>
      <c r="K522" s="5">
        <f>VALUE(SUBSTITUTE('1000_заявлений'!K516, ".", ","))</f>
        <v>365243</v>
      </c>
      <c r="L522" s="6">
        <f>VALUE(SUBSTITUTE('1000_заявлений'!L516, ".", ","))</f>
        <v>74749.5</v>
      </c>
      <c r="M522" s="2" t="str">
        <f>IF(Данные6[[#This Row],[proba]]&gt;$C$6, "отказ", "одобрение")</f>
        <v>отказ</v>
      </c>
      <c r="N522" s="7">
        <f>IF(Данные6[[#This Row],[proba]]&lt;$D$2,$C$2,IF(Данные6[[#This Row],[proba]]&lt;$D$3,$C$3,IF(Данные6[[#This Row],[proba]]&gt;$C$6,0,$C$4)))</f>
        <v>0</v>
      </c>
      <c r="O522" s="2">
        <f>IF(Данные6[[#This Row],[weighted_ext_score]]&gt;$O$1,MIN(Данные6[[#This Row],[Базовая сумма]]*$O$2,$C$2),IF(Данные6[[#This Row],[weighted_ext_score]]&lt;$O$3,Данные6[[#This Row],[Базовая сумма]]*$O$4,N522))</f>
        <v>0</v>
      </c>
      <c r="P5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2" s="2">
        <f>ABS(Данные6[[#This Row],[days_birth]])/365.2425</f>
        <v>53.564412684723159</v>
      </c>
      <c r="S5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2" s="2">
        <f>IF(Данные6[[#This Row],[ interest_rate]]&gt;$T$1,Данные6[[#This Row],[days_birth4]]*$T$2,Данные6[[#This Row],[days_birth4]])</f>
        <v>0</v>
      </c>
      <c r="U522" s="2">
        <f>IF(Данные6[[#This Row],[Проверка отказа]]="отказ",0,MAX(Данные6[[#This Row],[interest_rate]],$C$1))</f>
        <v>0</v>
      </c>
      <c r="V522" s="2">
        <f>MROUND(Данные6[[#This Row],[Минимум 20000]], 100)</f>
        <v>0</v>
      </c>
    </row>
    <row r="523" spans="1:22" x14ac:dyDescent="0.25">
      <c r="A523" s="2">
        <f>'1000_заявлений'!A517</f>
        <v>515</v>
      </c>
      <c r="B523" s="4">
        <f>VALUE(SUBSTITUTE('1000_заявлений'!B517, ".", ","))</f>
        <v>0.492779653591436</v>
      </c>
      <c r="C523" s="4">
        <f>VALUE(SUBSTITUTE('1000_заявлений'!C517, ".", ","))</f>
        <v>0.30827356707285303</v>
      </c>
      <c r="D523" s="4">
        <f>VALUE(SUBSTITUTE('1000_заявлений'!D517, ".", ","))</f>
        <v>0.61441440000000003</v>
      </c>
      <c r="E523" s="4">
        <f>VALUE(SUBSTITUTE('1000_заявлений'!E517, ".", ","))</f>
        <v>0.26531175000000001</v>
      </c>
      <c r="F523" s="5">
        <f>VALUE(SUBSTITUTE('1000_заявлений'!F517, ".", ","))</f>
        <v>-862</v>
      </c>
      <c r="G523" s="5">
        <f>VALUE(SUBSTITUTE('1000_заявлений'!G517, ".", ","))</f>
        <v>-22902</v>
      </c>
      <c r="H523" s="5">
        <f>VALUE(SUBSTITUTE('1000_заявлений'!H517, ".", ","))</f>
        <v>-4145</v>
      </c>
      <c r="I523" s="4">
        <f>VALUE(SUBSTITUTE('1000_заявлений'!I517, ".", ","))</f>
        <v>0.31591999999999998</v>
      </c>
      <c r="J523" s="4">
        <f>VALUE(SUBSTITUTE('1000_заявлений'!J517, ".", ","))</f>
        <v>1.80996976939682</v>
      </c>
      <c r="K523" s="5">
        <f>VALUE(SUBSTITUTE('1000_заявлений'!K517, ".", ","))</f>
        <v>365243</v>
      </c>
      <c r="L523" s="6">
        <f>VALUE(SUBSTITUTE('1000_заявлений'!L517, ".", ","))</f>
        <v>35541</v>
      </c>
      <c r="M523" s="2" t="str">
        <f>IF(Данные6[[#This Row],[proba]]&gt;$C$6, "отказ", "одобрение")</f>
        <v>отказ</v>
      </c>
      <c r="N523" s="7">
        <f>IF(Данные6[[#This Row],[proba]]&lt;$D$2,$C$2,IF(Данные6[[#This Row],[proba]]&lt;$D$3,$C$3,IF(Данные6[[#This Row],[proba]]&gt;$C$6,0,$C$4)))</f>
        <v>0</v>
      </c>
      <c r="O523" s="2">
        <f>IF(Данные6[[#This Row],[weighted_ext_score]]&gt;$O$1,MIN(Данные6[[#This Row],[Базовая сумма]]*$O$2,$C$2),IF(Данные6[[#This Row],[weighted_ext_score]]&lt;$O$3,Данные6[[#This Row],[Базовая сумма]]*$O$4,N523))</f>
        <v>0</v>
      </c>
      <c r="P5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3" s="2">
        <f>ABS(Данные6[[#This Row],[days_birth]])/365.2425</f>
        <v>62.703546274050801</v>
      </c>
      <c r="S5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3" s="2">
        <f>IF(Данные6[[#This Row],[ interest_rate]]&gt;$T$1,Данные6[[#This Row],[days_birth4]]*$T$2,Данные6[[#This Row],[days_birth4]])</f>
        <v>0</v>
      </c>
      <c r="U523" s="2">
        <f>IF(Данные6[[#This Row],[Проверка отказа]]="отказ",0,MAX(Данные6[[#This Row],[interest_rate]],$C$1))</f>
        <v>0</v>
      </c>
      <c r="V523" s="2">
        <f>MROUND(Данные6[[#This Row],[Минимум 20000]], 100)</f>
        <v>0</v>
      </c>
    </row>
    <row r="524" spans="1:22" x14ac:dyDescent="0.25">
      <c r="A524" s="2">
        <f>'1000_заявлений'!A518</f>
        <v>516</v>
      </c>
      <c r="B524" s="4">
        <f>VALUE(SUBSTITUTE('1000_заявлений'!B518, ".", ","))</f>
        <v>0.59208089340700298</v>
      </c>
      <c r="C524" s="4">
        <f>VALUE(SUBSTITUTE('1000_заявлений'!C518, ".", ","))</f>
        <v>0.41546096580966202</v>
      </c>
      <c r="D524" s="4">
        <f>VALUE(SUBSTITUTE('1000_заявлений'!D518, ".", ","))</f>
        <v>0.49746889999999999</v>
      </c>
      <c r="E524" s="4">
        <f>VALUE(SUBSTITUTE('1000_заявлений'!E518, ".", ","))</f>
        <v>7.0062739999999998E-3</v>
      </c>
      <c r="F524" s="5">
        <f>VALUE(SUBSTITUTE('1000_заявлений'!F518, ".", ","))</f>
        <v>-1965</v>
      </c>
      <c r="G524" s="5">
        <f>VALUE(SUBSTITUTE('1000_заявлений'!G518, ".", ","))</f>
        <v>-20555</v>
      </c>
      <c r="H524" s="5">
        <f>VALUE(SUBSTITUTE('1000_заявлений'!H518, ".", ","))</f>
        <v>-4064</v>
      </c>
      <c r="I524" s="4">
        <f>VALUE(SUBSTITUTE('1000_заявлений'!I518, ".", ","))</f>
        <v>0.17821875000000001</v>
      </c>
      <c r="J524" s="4">
        <f>VALUE(SUBSTITUTE('1000_заявлений'!J518, ".", ","))</f>
        <v>1.89886294064995</v>
      </c>
      <c r="K524" s="5">
        <f>VALUE(SUBSTITUTE('1000_заявлений'!K518, ".", ","))</f>
        <v>365243</v>
      </c>
      <c r="L524" s="6">
        <f>VALUE(SUBSTITUTE('1000_заявлений'!L518, ".", ","))</f>
        <v>25663.5</v>
      </c>
      <c r="M524" s="2" t="str">
        <f>IF(Данные6[[#This Row],[proba]]&gt;$C$6, "отказ", "одобрение")</f>
        <v>отказ</v>
      </c>
      <c r="N524" s="7">
        <f>IF(Данные6[[#This Row],[proba]]&lt;$D$2,$C$2,IF(Данные6[[#This Row],[proba]]&lt;$D$3,$C$3,IF(Данные6[[#This Row],[proba]]&gt;$C$6,0,$C$4)))</f>
        <v>0</v>
      </c>
      <c r="O524" s="2">
        <f>IF(Данные6[[#This Row],[weighted_ext_score]]&gt;$O$1,MIN(Данные6[[#This Row],[Базовая сумма]]*$O$2,$C$2),IF(Данные6[[#This Row],[weighted_ext_score]]&lt;$O$3,Данные6[[#This Row],[Базовая сумма]]*$O$4,N524))</f>
        <v>0</v>
      </c>
      <c r="P5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4" s="2">
        <f>ABS(Данные6[[#This Row],[days_birth]])/365.2425</f>
        <v>56.277678528648771</v>
      </c>
      <c r="S5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4" s="2">
        <f>IF(Данные6[[#This Row],[ interest_rate]]&gt;$T$1,Данные6[[#This Row],[days_birth4]]*$T$2,Данные6[[#This Row],[days_birth4]])</f>
        <v>0</v>
      </c>
      <c r="U524" s="2">
        <f>IF(Данные6[[#This Row],[Проверка отказа]]="отказ",0,MAX(Данные6[[#This Row],[interest_rate]],$C$1))</f>
        <v>0</v>
      </c>
      <c r="V524" s="2">
        <f>MROUND(Данные6[[#This Row],[Минимум 20000]], 100)</f>
        <v>0</v>
      </c>
    </row>
    <row r="525" spans="1:22" x14ac:dyDescent="0.25">
      <c r="A525" s="2">
        <f>'1000_заявлений'!A519</f>
        <v>517</v>
      </c>
      <c r="B525" s="4">
        <f>VALUE(SUBSTITUTE('1000_заявлений'!B519, ".", ","))</f>
        <v>0.55783530624261901</v>
      </c>
      <c r="C525" s="4">
        <f>VALUE(SUBSTITUTE('1000_заявлений'!C519, ".", ","))</f>
        <v>0.50191471176996805</v>
      </c>
      <c r="D525" s="4">
        <f>VALUE(SUBSTITUTE('1000_заявлений'!D519, ".", ","))</f>
        <v>0.13342925999999999</v>
      </c>
      <c r="E525" s="4">
        <f>VALUE(SUBSTITUTE('1000_заявлений'!E519, ".", ","))</f>
        <v>0.67804359999999997</v>
      </c>
      <c r="F525" s="5">
        <f>VALUE(SUBSTITUTE('1000_заявлений'!F519, ".", ","))</f>
        <v>-2169</v>
      </c>
      <c r="G525" s="5">
        <f>VALUE(SUBSTITUTE('1000_заявлений'!G519, ".", ","))</f>
        <v>-17243</v>
      </c>
      <c r="H525" s="5">
        <f>VALUE(SUBSTITUTE('1000_заявлений'!H519, ".", ","))</f>
        <v>-769</v>
      </c>
      <c r="I525" s="4">
        <f>VALUE(SUBSTITUTE('1000_заявлений'!I519, ".", ","))</f>
        <v>0.21877777777777699</v>
      </c>
      <c r="J525" s="4">
        <f>VALUE(SUBSTITUTE('1000_заявлений'!J519, ".", ","))</f>
        <v>3.0449571214181899</v>
      </c>
      <c r="K525" s="5">
        <f>VALUE(SUBSTITUTE('1000_заявлений'!K519, ".", ","))</f>
        <v>-1567</v>
      </c>
      <c r="L525" s="6">
        <f>VALUE(SUBSTITUTE('1000_заявлений'!L519, ".", ","))</f>
        <v>44302.5</v>
      </c>
      <c r="M525" s="2" t="str">
        <f>IF(Данные6[[#This Row],[proba]]&gt;$C$6, "отказ", "одобрение")</f>
        <v>отказ</v>
      </c>
      <c r="N525" s="7">
        <f>IF(Данные6[[#This Row],[proba]]&lt;$D$2,$C$2,IF(Данные6[[#This Row],[proba]]&lt;$D$3,$C$3,IF(Данные6[[#This Row],[proba]]&gt;$C$6,0,$C$4)))</f>
        <v>0</v>
      </c>
      <c r="O525" s="2">
        <f>IF(Данные6[[#This Row],[weighted_ext_score]]&gt;$O$1,MIN(Данные6[[#This Row],[Базовая сумма]]*$O$2,$C$2),IF(Данные6[[#This Row],[weighted_ext_score]]&lt;$O$3,Данные6[[#This Row],[Базовая сумма]]*$O$4,N525))</f>
        <v>0</v>
      </c>
      <c r="P5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5" s="2">
        <f>ABS(Данные6[[#This Row],[days_birth]])/365.2425</f>
        <v>47.209730521502834</v>
      </c>
      <c r="S5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5" s="2">
        <f>IF(Данные6[[#This Row],[ interest_rate]]&gt;$T$1,Данные6[[#This Row],[days_birth4]]*$T$2,Данные6[[#This Row],[days_birth4]])</f>
        <v>0</v>
      </c>
      <c r="U525" s="2">
        <f>IF(Данные6[[#This Row],[Проверка отказа]]="отказ",0,MAX(Данные6[[#This Row],[interest_rate]],$C$1))</f>
        <v>0</v>
      </c>
      <c r="V525" s="2">
        <f>MROUND(Данные6[[#This Row],[Минимум 20000]], 100)</f>
        <v>0</v>
      </c>
    </row>
    <row r="526" spans="1:22" x14ac:dyDescent="0.25">
      <c r="A526" s="2">
        <f>'1000_заявлений'!A520</f>
        <v>518</v>
      </c>
      <c r="B526" s="4">
        <f>VALUE(SUBSTITUTE('1000_заявлений'!B520, ".", ","))</f>
        <v>0.36259629696543899</v>
      </c>
      <c r="C526" s="4">
        <f>VALUE(SUBSTITUTE('1000_заявлений'!C520, ".", ","))</f>
        <v>0.39691698245179202</v>
      </c>
      <c r="D526" s="4">
        <f>VALUE(SUBSTITUTE('1000_заявлений'!D520, ".", ","))</f>
        <v>0.46506920000000002</v>
      </c>
      <c r="E526" s="4">
        <f>VALUE(SUBSTITUTE('1000_заявлений'!E520, ".", ","))</f>
        <v>0.70509785000000003</v>
      </c>
      <c r="F526" s="5">
        <f>VALUE(SUBSTITUTE('1000_заявлений'!F520, ".", ","))</f>
        <v>-935</v>
      </c>
      <c r="G526" s="5">
        <f>VALUE(SUBSTITUTE('1000_заявлений'!G520, ".", ","))</f>
        <v>-22151</v>
      </c>
      <c r="H526" s="5">
        <f>VALUE(SUBSTITUTE('1000_заявлений'!H520, ".", ","))</f>
        <v>-4168</v>
      </c>
      <c r="I526" s="4">
        <f>VALUE(SUBSTITUTE('1000_заявлений'!I520, ".", ","))</f>
        <v>0.16031428571428499</v>
      </c>
      <c r="J526" s="4">
        <f>VALUE(SUBSTITUTE('1000_заявлений'!J520, ".", ","))</f>
        <v>2.58180098374494</v>
      </c>
      <c r="K526" s="5">
        <f>VALUE(SUBSTITUTE('1000_заявлений'!K520, ".", ","))</f>
        <v>-6648</v>
      </c>
      <c r="L526" s="6">
        <f>VALUE(SUBSTITUTE('1000_заявлений'!L520, ".", ","))</f>
        <v>25249.5</v>
      </c>
      <c r="M526" s="2" t="str">
        <f>IF(Данные6[[#This Row],[proba]]&gt;$C$6, "отказ", "одобрение")</f>
        <v>отказ</v>
      </c>
      <c r="N526" s="7">
        <f>IF(Данные6[[#This Row],[proba]]&lt;$D$2,$C$2,IF(Данные6[[#This Row],[proba]]&lt;$D$3,$C$3,IF(Данные6[[#This Row],[proba]]&gt;$C$6,0,$C$4)))</f>
        <v>0</v>
      </c>
      <c r="O526" s="2">
        <f>IF(Данные6[[#This Row],[weighted_ext_score]]&gt;$O$1,MIN(Данные6[[#This Row],[Базовая сумма]]*$O$2,$C$2),IF(Данные6[[#This Row],[weighted_ext_score]]&lt;$O$3,Данные6[[#This Row],[Базовая сумма]]*$O$4,N526))</f>
        <v>0</v>
      </c>
      <c r="P5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6" s="2">
        <f>ABS(Данные6[[#This Row],[days_birth]])/365.2425</f>
        <v>60.647378111802432</v>
      </c>
      <c r="S5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6" s="2">
        <f>IF(Данные6[[#This Row],[ interest_rate]]&gt;$T$1,Данные6[[#This Row],[days_birth4]]*$T$2,Данные6[[#This Row],[days_birth4]])</f>
        <v>0</v>
      </c>
      <c r="U526" s="2">
        <f>IF(Данные6[[#This Row],[Проверка отказа]]="отказ",0,MAX(Данные6[[#This Row],[interest_rate]],$C$1))</f>
        <v>0</v>
      </c>
      <c r="V526" s="2">
        <f>MROUND(Данные6[[#This Row],[Минимум 20000]], 100)</f>
        <v>0</v>
      </c>
    </row>
    <row r="527" spans="1:22" x14ac:dyDescent="0.25">
      <c r="A527" s="2">
        <f>'1000_заявлений'!A521</f>
        <v>519</v>
      </c>
      <c r="B527" s="4">
        <f>VALUE(SUBSTITUTE('1000_заявлений'!B521, ".", ","))</f>
        <v>0.66425797902005701</v>
      </c>
      <c r="C527" s="4">
        <f>VALUE(SUBSTITUTE('1000_заявлений'!C521, ".", ","))</f>
        <v>0.35403684908180799</v>
      </c>
      <c r="D527" s="4">
        <f>VALUE(SUBSTITUTE('1000_заявлений'!D521, ".", ","))</f>
        <v>0.119877964</v>
      </c>
      <c r="E527" s="4">
        <f>VALUE(SUBSTITUTE('1000_заявлений'!E521, ".", ","))</f>
        <v>0.59996592999999998</v>
      </c>
      <c r="F527" s="5">
        <f>VALUE(SUBSTITUTE('1000_заявлений'!F521, ".", ","))</f>
        <v>-952</v>
      </c>
      <c r="G527" s="5">
        <f>VALUE(SUBSTITUTE('1000_заявлений'!G521, ".", ","))</f>
        <v>-11574</v>
      </c>
      <c r="H527" s="5">
        <f>VALUE(SUBSTITUTE('1000_заявлений'!H521, ".", ","))</f>
        <v>-3912</v>
      </c>
      <c r="I527" s="4">
        <f>VALUE(SUBSTITUTE('1000_заявлений'!I521, ".", ","))</f>
        <v>4.7919999999999997E-2</v>
      </c>
      <c r="J527" s="4">
        <f>VALUE(SUBSTITUTE('1000_заявлений'!J521, ".", ","))</f>
        <v>1.24011373224113</v>
      </c>
      <c r="K527" s="5">
        <f>VALUE(SUBSTITUTE('1000_заявлений'!K521, ".", ","))</f>
        <v>-3168</v>
      </c>
      <c r="L527" s="6">
        <f>VALUE(SUBSTITUTE('1000_заявлений'!L521, ".", ","))</f>
        <v>10782</v>
      </c>
      <c r="M527" s="2" t="str">
        <f>IF(Данные6[[#This Row],[proba]]&gt;$C$6, "отказ", "одобрение")</f>
        <v>отказ</v>
      </c>
      <c r="N527" s="7">
        <f>IF(Данные6[[#This Row],[proba]]&lt;$D$2,$C$2,IF(Данные6[[#This Row],[proba]]&lt;$D$3,$C$3,IF(Данные6[[#This Row],[proba]]&gt;$C$6,0,$C$4)))</f>
        <v>0</v>
      </c>
      <c r="O527" s="2">
        <f>IF(Данные6[[#This Row],[weighted_ext_score]]&gt;$O$1,MIN(Данные6[[#This Row],[Базовая сумма]]*$O$2,$C$2),IF(Данные6[[#This Row],[weighted_ext_score]]&lt;$O$3,Данные6[[#This Row],[Базовая сумма]]*$O$4,N527))</f>
        <v>0</v>
      </c>
      <c r="P5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7" s="2">
        <f>ABS(Данные6[[#This Row],[days_birth]])/365.2425</f>
        <v>31.688535698884987</v>
      </c>
      <c r="S5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7" s="2">
        <f>IF(Данные6[[#This Row],[ interest_rate]]&gt;$T$1,Данные6[[#This Row],[days_birth4]]*$T$2,Данные6[[#This Row],[days_birth4]])</f>
        <v>0</v>
      </c>
      <c r="U527" s="2">
        <f>IF(Данные6[[#This Row],[Проверка отказа]]="отказ",0,MAX(Данные6[[#This Row],[interest_rate]],$C$1))</f>
        <v>0</v>
      </c>
      <c r="V527" s="2">
        <f>MROUND(Данные6[[#This Row],[Минимум 20000]], 100)</f>
        <v>0</v>
      </c>
    </row>
    <row r="528" spans="1:22" x14ac:dyDescent="0.25">
      <c r="A528" s="2">
        <f>'1000_заявлений'!A522</f>
        <v>520</v>
      </c>
      <c r="B528" s="4">
        <f>VALUE(SUBSTITUTE('1000_заявлений'!B522, ".", ","))</f>
        <v>0.42524828188163799</v>
      </c>
      <c r="C528" s="4">
        <f>VALUE(SUBSTITUTE('1000_заявлений'!C522, ".", ","))</f>
        <v>0.44188371757262601</v>
      </c>
      <c r="D528" s="4">
        <f>VALUE(SUBSTITUTE('1000_заявлений'!D522, ".", ","))</f>
        <v>0.41709964999999999</v>
      </c>
      <c r="E528" s="4">
        <f>VALUE(SUBSTITUTE('1000_заявлений'!E522, ".", ","))</f>
        <v>0.68543076999999997</v>
      </c>
      <c r="F528" s="5">
        <f>VALUE(SUBSTITUTE('1000_заявлений'!F522, ".", ","))</f>
        <v>-10480</v>
      </c>
      <c r="G528" s="5">
        <f>VALUE(SUBSTITUTE('1000_заявлений'!G522, ".", ","))</f>
        <v>-10656</v>
      </c>
      <c r="H528" s="5">
        <f>VALUE(SUBSTITUTE('1000_заявлений'!H522, ".", ","))</f>
        <v>-3005</v>
      </c>
      <c r="I528" s="4">
        <f>VALUE(SUBSTITUTE('1000_заявлений'!I522, ".", ","))</f>
        <v>0.19752500000000001</v>
      </c>
      <c r="J528" s="4">
        <f>VALUE(SUBSTITUTE('1000_заявлений'!J522, ".", ","))</f>
        <v>4.7143205776250401</v>
      </c>
      <c r="K528" s="5">
        <f>VALUE(SUBSTITUTE('1000_заявлений'!K522, ".", ","))</f>
        <v>-926</v>
      </c>
      <c r="L528" s="6">
        <f>VALUE(SUBSTITUTE('1000_заявлений'!L522, ".", ","))</f>
        <v>35554.5</v>
      </c>
      <c r="M528" s="2" t="str">
        <f>IF(Данные6[[#This Row],[proba]]&gt;$C$6, "отказ", "одобрение")</f>
        <v>отказ</v>
      </c>
      <c r="N528" s="7">
        <f>IF(Данные6[[#This Row],[proba]]&lt;$D$2,$C$2,IF(Данные6[[#This Row],[proba]]&lt;$D$3,$C$3,IF(Данные6[[#This Row],[proba]]&gt;$C$6,0,$C$4)))</f>
        <v>0</v>
      </c>
      <c r="O528" s="2">
        <f>IF(Данные6[[#This Row],[weighted_ext_score]]&gt;$O$1,MIN(Данные6[[#This Row],[Базовая сумма]]*$O$2,$C$2),IF(Данные6[[#This Row],[weighted_ext_score]]&lt;$O$3,Данные6[[#This Row],[Базовая сумма]]*$O$4,N528))</f>
        <v>0</v>
      </c>
      <c r="P5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8" s="2">
        <f>ABS(Данные6[[#This Row],[days_birth]])/365.2425</f>
        <v>29.175137066469535</v>
      </c>
      <c r="S5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8" s="2">
        <f>IF(Данные6[[#This Row],[ interest_rate]]&gt;$T$1,Данные6[[#This Row],[days_birth4]]*$T$2,Данные6[[#This Row],[days_birth4]])</f>
        <v>0</v>
      </c>
      <c r="U528" s="2">
        <f>IF(Данные6[[#This Row],[Проверка отказа]]="отказ",0,MAX(Данные6[[#This Row],[interest_rate]],$C$1))</f>
        <v>0</v>
      </c>
      <c r="V528" s="2">
        <f>MROUND(Данные6[[#This Row],[Минимум 20000]], 100)</f>
        <v>0</v>
      </c>
    </row>
    <row r="529" spans="1:22" x14ac:dyDescent="0.25">
      <c r="A529" s="2">
        <f>'1000_заявлений'!A523</f>
        <v>521</v>
      </c>
      <c r="B529" s="4">
        <f>VALUE(SUBSTITUTE('1000_заявлений'!B523, ".", ","))</f>
        <v>0.75763924984113096</v>
      </c>
      <c r="C529" s="4">
        <f>VALUE(SUBSTITUTE('1000_заявлений'!C523, ".", ","))</f>
        <v>0.36933878189998898</v>
      </c>
      <c r="D529" s="4">
        <f>VALUE(SUBSTITUTE('1000_заявлений'!D523, ".", ","))</f>
        <v>0.19070596000000001</v>
      </c>
      <c r="E529" s="4">
        <f>VALUE(SUBSTITUTE('1000_заявлений'!E523, ".", ","))</f>
        <v>0.32619409999999999</v>
      </c>
      <c r="F529" s="5">
        <f>VALUE(SUBSTITUTE('1000_заявлений'!F523, ".", ","))</f>
        <v>-389</v>
      </c>
      <c r="G529" s="5">
        <f>VALUE(SUBSTITUTE('1000_заявлений'!G523, ".", ","))</f>
        <v>-11568</v>
      </c>
      <c r="H529" s="5">
        <f>VALUE(SUBSTITUTE('1000_заявлений'!H523, ".", ","))</f>
        <v>-1012</v>
      </c>
      <c r="I529" s="4">
        <f>VALUE(SUBSTITUTE('1000_заявлений'!I523, ".", ","))</f>
        <v>0.21144444444444399</v>
      </c>
      <c r="J529" s="4">
        <f>VALUE(SUBSTITUTE('1000_заявлений'!J523, ".", ","))</f>
        <v>2.8849272229124399</v>
      </c>
      <c r="K529" s="5">
        <f>VALUE(SUBSTITUTE('1000_заявлений'!K523, ".", ","))</f>
        <v>-662</v>
      </c>
      <c r="L529" s="6">
        <f>VALUE(SUBSTITUTE('1000_заявлений'!L523, ".", ","))</f>
        <v>34254</v>
      </c>
      <c r="M529" s="2" t="str">
        <f>IF(Данные6[[#This Row],[proba]]&gt;$C$6, "отказ", "одобрение")</f>
        <v>отказ</v>
      </c>
      <c r="N529" s="7">
        <f>IF(Данные6[[#This Row],[proba]]&lt;$D$2,$C$2,IF(Данные6[[#This Row],[proba]]&lt;$D$3,$C$3,IF(Данные6[[#This Row],[proba]]&gt;$C$6,0,$C$4)))</f>
        <v>0</v>
      </c>
      <c r="O529" s="2">
        <f>IF(Данные6[[#This Row],[weighted_ext_score]]&gt;$O$1,MIN(Данные6[[#This Row],[Базовая сумма]]*$O$2,$C$2),IF(Данные6[[#This Row],[weighted_ext_score]]&lt;$O$3,Данные6[[#This Row],[Базовая сумма]]*$O$4,N529))</f>
        <v>0</v>
      </c>
      <c r="P5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29" s="2">
        <f>ABS(Данные6[[#This Row],[days_birth]])/365.2425</f>
        <v>31.672108256843057</v>
      </c>
      <c r="S5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29" s="2">
        <f>IF(Данные6[[#This Row],[ interest_rate]]&gt;$T$1,Данные6[[#This Row],[days_birth4]]*$T$2,Данные6[[#This Row],[days_birth4]])</f>
        <v>0</v>
      </c>
      <c r="U529" s="2">
        <f>IF(Данные6[[#This Row],[Проверка отказа]]="отказ",0,MAX(Данные6[[#This Row],[interest_rate]],$C$1))</f>
        <v>0</v>
      </c>
      <c r="V529" s="2">
        <f>MROUND(Данные6[[#This Row],[Минимум 20000]], 100)</f>
        <v>0</v>
      </c>
    </row>
    <row r="530" spans="1:22" x14ac:dyDescent="0.25">
      <c r="A530" s="2">
        <f>'1000_заявлений'!A524</f>
        <v>522</v>
      </c>
      <c r="B530" s="4">
        <f>VALUE(SUBSTITUTE('1000_заявлений'!B524, ".", ","))</f>
        <v>0.40957013883744098</v>
      </c>
      <c r="C530" s="4">
        <f>VALUE(SUBSTITUTE('1000_заявлений'!C524, ".", ","))</f>
        <v>0.52866182656851302</v>
      </c>
      <c r="D530" s="4">
        <f>VALUE(SUBSTITUTE('1000_заявлений'!D524, ".", ","))</f>
        <v>0.47045611999999998</v>
      </c>
      <c r="E530" s="4">
        <f>VALUE(SUBSTITUTE('1000_заявлений'!E524, ".", ","))</f>
        <v>0.60448139999999995</v>
      </c>
      <c r="F530" s="5">
        <f>VALUE(SUBSTITUTE('1000_заявлений'!F524, ".", ","))</f>
        <v>-4322</v>
      </c>
      <c r="G530" s="5">
        <f>VALUE(SUBSTITUTE('1000_заявлений'!G524, ".", ","))</f>
        <v>-13183</v>
      </c>
      <c r="H530" s="5">
        <f>VALUE(SUBSTITUTE('1000_заявлений'!H524, ".", ","))</f>
        <v>-2209</v>
      </c>
      <c r="I530" s="4">
        <f>VALUE(SUBSTITUTE('1000_заявлений'!I524, ".", ","))</f>
        <v>0.165215686274509</v>
      </c>
      <c r="J530" s="4">
        <f>VALUE(SUBSTITUTE('1000_заявлений'!J524, ".", ","))</f>
        <v>2.0050891586311099</v>
      </c>
      <c r="K530" s="5">
        <f>VALUE(SUBSTITUTE('1000_заявлений'!K524, ".", ","))</f>
        <v>-2957</v>
      </c>
      <c r="L530" s="6">
        <f>VALUE(SUBSTITUTE('1000_заявлений'!L524, ".", ","))</f>
        <v>18958.5</v>
      </c>
      <c r="M530" s="2" t="str">
        <f>IF(Данные6[[#This Row],[proba]]&gt;$C$6, "отказ", "одобрение")</f>
        <v>отказ</v>
      </c>
      <c r="N530" s="7">
        <f>IF(Данные6[[#This Row],[proba]]&lt;$D$2,$C$2,IF(Данные6[[#This Row],[proba]]&lt;$D$3,$C$3,IF(Данные6[[#This Row],[proba]]&gt;$C$6,0,$C$4)))</f>
        <v>0</v>
      </c>
      <c r="O530" s="2">
        <f>IF(Данные6[[#This Row],[weighted_ext_score]]&gt;$O$1,MIN(Данные6[[#This Row],[Базовая сумма]]*$O$2,$C$2),IF(Данные6[[#This Row],[weighted_ext_score]]&lt;$O$3,Данные6[[#This Row],[Базовая сумма]]*$O$4,N530))</f>
        <v>0</v>
      </c>
      <c r="P5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0" s="2">
        <f>ABS(Данные6[[#This Row],[days_birth]])/365.2425</f>
        <v>36.093828073129494</v>
      </c>
      <c r="S5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0" s="2">
        <f>IF(Данные6[[#This Row],[ interest_rate]]&gt;$T$1,Данные6[[#This Row],[days_birth4]]*$T$2,Данные6[[#This Row],[days_birth4]])</f>
        <v>0</v>
      </c>
      <c r="U530" s="2">
        <f>IF(Данные6[[#This Row],[Проверка отказа]]="отказ",0,MAX(Данные6[[#This Row],[interest_rate]],$C$1))</f>
        <v>0</v>
      </c>
      <c r="V530" s="2">
        <f>MROUND(Данные6[[#This Row],[Минимум 20000]], 100)</f>
        <v>0</v>
      </c>
    </row>
    <row r="531" spans="1:22" x14ac:dyDescent="0.25">
      <c r="A531" s="2">
        <f>'1000_заявлений'!A525</f>
        <v>523</v>
      </c>
      <c r="B531" s="4">
        <f>VALUE(SUBSTITUTE('1000_заявлений'!B525, ".", ","))</f>
        <v>0.22799306718381099</v>
      </c>
      <c r="C531" s="4">
        <f>VALUE(SUBSTITUTE('1000_заявлений'!C525, ".", ","))</f>
        <v>0.66101135706678604</v>
      </c>
      <c r="D531" s="4">
        <f>VALUE(SUBSTITUTE('1000_заявлений'!D525, ".", ","))</f>
        <v>0.48845517999999999</v>
      </c>
      <c r="E531" s="4">
        <f>VALUE(SUBSTITUTE('1000_заявлений'!E525, ".", ","))</f>
        <v>0.70606550000000001</v>
      </c>
      <c r="F531" s="5">
        <f>VALUE(SUBSTITUTE('1000_заявлений'!F525, ".", ","))</f>
        <v>-4518</v>
      </c>
      <c r="G531" s="5">
        <f>VALUE(SUBSTITUTE('1000_заявлений'!G525, ".", ","))</f>
        <v>-20903</v>
      </c>
      <c r="H531" s="5">
        <f>VALUE(SUBSTITUTE('1000_заявлений'!H525, ".", ","))</f>
        <v>-4250</v>
      </c>
      <c r="I531" s="4">
        <f>VALUE(SUBSTITUTE('1000_заявлений'!I525, ".", ","))</f>
        <v>0.13962857142857099</v>
      </c>
      <c r="J531" s="4">
        <f>VALUE(SUBSTITUTE('1000_заявлений'!J525, ".", ","))</f>
        <v>1.91508527157133</v>
      </c>
      <c r="K531" s="5">
        <f>VALUE(SUBSTITUTE('1000_заявлений'!K525, ".", ","))</f>
        <v>-1894</v>
      </c>
      <c r="L531" s="6">
        <f>VALUE(SUBSTITUTE('1000_заявлений'!L525, ".", ","))</f>
        <v>43983</v>
      </c>
      <c r="M531" s="2" t="str">
        <f>IF(Данные6[[#This Row],[proba]]&gt;$C$6, "отказ", "одобрение")</f>
        <v>одобрение</v>
      </c>
      <c r="N531" s="7">
        <f>IF(Данные6[[#This Row],[proba]]&lt;$D$2,$C$2,IF(Данные6[[#This Row],[proba]]&lt;$D$3,$C$3,IF(Данные6[[#This Row],[proba]]&gt;$C$6,0,$C$4)))</f>
        <v>50000</v>
      </c>
      <c r="O531" s="2">
        <f>IF(Данные6[[#This Row],[weighted_ext_score]]&gt;$O$1,MIN(Данные6[[#This Row],[Базовая сумма]]*$O$2,$C$2),IF(Данные6[[#This Row],[weighted_ext_score]]&lt;$O$3,Данные6[[#This Row],[Базовая сумма]]*$O$4,N531))</f>
        <v>50000</v>
      </c>
      <c r="P5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31" s="2">
        <f>ABS(Данные6[[#This Row],[days_birth]])/365.2425</f>
        <v>57.230470167080775</v>
      </c>
      <c r="S5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36750</v>
      </c>
      <c r="T531" s="2">
        <f>IF(Данные6[[#This Row],[ interest_rate]]&gt;$T$1,Данные6[[#This Row],[days_birth4]]*$T$2,Данные6[[#This Row],[days_birth4]])</f>
        <v>36750</v>
      </c>
      <c r="U531" s="2">
        <f>IF(Данные6[[#This Row],[Проверка отказа]]="отказ",0,MAX(Данные6[[#This Row],[interest_rate]],$C$1))</f>
        <v>36750</v>
      </c>
      <c r="V531" s="2">
        <f>MROUND(Данные6[[#This Row],[Минимум 20000]], 100)</f>
        <v>36800</v>
      </c>
    </row>
    <row r="532" spans="1:22" x14ac:dyDescent="0.25">
      <c r="A532" s="2">
        <f>'1000_заявлений'!A526</f>
        <v>524</v>
      </c>
      <c r="B532" s="4">
        <f>VALUE(SUBSTITUTE('1000_заявлений'!B526, ".", ","))</f>
        <v>0.44172678423137601</v>
      </c>
      <c r="C532" s="4">
        <f>VALUE(SUBSTITUTE('1000_заявлений'!C526, ".", ","))</f>
        <v>0.46614501824312099</v>
      </c>
      <c r="D532" s="4">
        <f>VALUE(SUBSTITUTE('1000_заявлений'!D526, ".", ","))</f>
        <v>0.28665247999999999</v>
      </c>
      <c r="E532" s="4">
        <f>VALUE(SUBSTITUTE('1000_заявлений'!E526, ".", ","))</f>
        <v>0.77041614000000003</v>
      </c>
      <c r="F532" s="5">
        <f>VALUE(SUBSTITUTE('1000_заявлений'!F526, ".", ","))</f>
        <v>-4980</v>
      </c>
      <c r="G532" s="5">
        <f>VALUE(SUBSTITUTE('1000_заявлений'!G526, ".", ","))</f>
        <v>-13937</v>
      </c>
      <c r="H532" s="5">
        <f>VALUE(SUBSTITUTE('1000_заявлений'!H526, ".", ","))</f>
        <v>-4995</v>
      </c>
      <c r="I532" s="4">
        <f>VALUE(SUBSTITUTE('1000_заявлений'!I526, ".", ","))</f>
        <v>0.19713333333333299</v>
      </c>
      <c r="J532" s="4">
        <f>VALUE(SUBSTITUTE('1000_заявлений'!J526, ".", ","))</f>
        <v>2.4185788387575702</v>
      </c>
      <c r="K532" s="5">
        <f>VALUE(SUBSTITUTE('1000_заявлений'!K526, ".", ","))</f>
        <v>-3001</v>
      </c>
      <c r="L532" s="6">
        <f>VALUE(SUBSTITUTE('1000_заявлений'!L526, ".", ","))</f>
        <v>26613</v>
      </c>
      <c r="M532" s="2" t="str">
        <f>IF(Данные6[[#This Row],[proba]]&gt;$C$6, "отказ", "одобрение")</f>
        <v>отказ</v>
      </c>
      <c r="N532" s="7">
        <f>IF(Данные6[[#This Row],[proba]]&lt;$D$2,$C$2,IF(Данные6[[#This Row],[proba]]&lt;$D$3,$C$3,IF(Данные6[[#This Row],[proba]]&gt;$C$6,0,$C$4)))</f>
        <v>0</v>
      </c>
      <c r="O532" s="2">
        <f>IF(Данные6[[#This Row],[weighted_ext_score]]&gt;$O$1,MIN(Данные6[[#This Row],[Базовая сумма]]*$O$2,$C$2),IF(Данные6[[#This Row],[weighted_ext_score]]&lt;$O$3,Данные6[[#This Row],[Базовая сумма]]*$O$4,N532))</f>
        <v>0</v>
      </c>
      <c r="P5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2" s="2">
        <f>ABS(Данные6[[#This Row],[days_birth]])/365.2425</f>
        <v>38.158209956398828</v>
      </c>
      <c r="S5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2" s="2">
        <f>IF(Данные6[[#This Row],[ interest_rate]]&gt;$T$1,Данные6[[#This Row],[days_birth4]]*$T$2,Данные6[[#This Row],[days_birth4]])</f>
        <v>0</v>
      </c>
      <c r="U532" s="2">
        <f>IF(Данные6[[#This Row],[Проверка отказа]]="отказ",0,MAX(Данные6[[#This Row],[interest_rate]],$C$1))</f>
        <v>0</v>
      </c>
      <c r="V532" s="2">
        <f>MROUND(Данные6[[#This Row],[Минимум 20000]], 100)</f>
        <v>0</v>
      </c>
    </row>
    <row r="533" spans="1:22" x14ac:dyDescent="0.25">
      <c r="A533" s="2">
        <f>'1000_заявлений'!A527</f>
        <v>525</v>
      </c>
      <c r="B533" s="4">
        <f>VALUE(SUBSTITUTE('1000_заявлений'!B527, ".", ","))</f>
        <v>0.46757228308878501</v>
      </c>
      <c r="C533" s="4">
        <f>VALUE(SUBSTITUTE('1000_заявлений'!C527, ".", ","))</f>
        <v>0.28404969198232499</v>
      </c>
      <c r="D533" s="4">
        <f>VALUE(SUBSTITUTE('1000_заявлений'!D527, ".", ","))</f>
        <v>0.22133520000000001</v>
      </c>
      <c r="E533" s="4">
        <f>VALUE(SUBSTITUTE('1000_заявлений'!E527, ".", ","))</f>
        <v>0.62889919999999999</v>
      </c>
      <c r="F533" s="5">
        <f>VALUE(SUBSTITUTE('1000_заявлений'!F527, ".", ","))</f>
        <v>-13999</v>
      </c>
      <c r="G533" s="5">
        <f>VALUE(SUBSTITUTE('1000_заявлений'!G527, ".", ","))</f>
        <v>-22939</v>
      </c>
      <c r="H533" s="5">
        <f>VALUE(SUBSTITUTE('1000_заявлений'!H527, ".", ","))</f>
        <v>-3960</v>
      </c>
      <c r="I533" s="4">
        <f>VALUE(SUBSTITUTE('1000_заявлений'!I527, ".", ","))</f>
        <v>9.622E-2</v>
      </c>
      <c r="J533" s="4">
        <f>VALUE(SUBSTITUTE('1000_заявлений'!J527, ".", ","))</f>
        <v>6.1588825506995803</v>
      </c>
      <c r="K533" s="5">
        <f>VALUE(SUBSTITUTE('1000_заявлений'!K527, ".", ","))</f>
        <v>365243</v>
      </c>
      <c r="L533" s="6">
        <f>VALUE(SUBSTITUTE('1000_заявлений'!L527, ".", ","))</f>
        <v>21649.5</v>
      </c>
      <c r="M533" s="2" t="str">
        <f>IF(Данные6[[#This Row],[proba]]&gt;$C$6, "отказ", "одобрение")</f>
        <v>отказ</v>
      </c>
      <c r="N533" s="7">
        <f>IF(Данные6[[#This Row],[proba]]&lt;$D$2,$C$2,IF(Данные6[[#This Row],[proba]]&lt;$D$3,$C$3,IF(Данные6[[#This Row],[proba]]&gt;$C$6,0,$C$4)))</f>
        <v>0</v>
      </c>
      <c r="O533" s="2">
        <f>IF(Данные6[[#This Row],[weighted_ext_score]]&gt;$O$1,MIN(Данные6[[#This Row],[Базовая сумма]]*$O$2,$C$2),IF(Данные6[[#This Row],[weighted_ext_score]]&lt;$O$3,Данные6[[#This Row],[Базовая сумма]]*$O$4,N533))</f>
        <v>0</v>
      </c>
      <c r="P5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3" s="2">
        <f>ABS(Данные6[[#This Row],[days_birth]])/365.2425</f>
        <v>62.804848833309379</v>
      </c>
      <c r="S5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3" s="2">
        <f>IF(Данные6[[#This Row],[ interest_rate]]&gt;$T$1,Данные6[[#This Row],[days_birth4]]*$T$2,Данные6[[#This Row],[days_birth4]])</f>
        <v>0</v>
      </c>
      <c r="U533" s="2">
        <f>IF(Данные6[[#This Row],[Проверка отказа]]="отказ",0,MAX(Данные6[[#This Row],[interest_rate]],$C$1))</f>
        <v>0</v>
      </c>
      <c r="V533" s="2">
        <f>MROUND(Данные6[[#This Row],[Минимум 20000]], 100)</f>
        <v>0</v>
      </c>
    </row>
    <row r="534" spans="1:22" x14ac:dyDescent="0.25">
      <c r="A534" s="2">
        <f>'1000_заявлений'!A528</f>
        <v>526</v>
      </c>
      <c r="B534" s="4">
        <f>VALUE(SUBSTITUTE('1000_заявлений'!B528, ".", ","))</f>
        <v>0.330315473577733</v>
      </c>
      <c r="C534" s="4">
        <f>VALUE(SUBSTITUTE('1000_заявлений'!C528, ".", ","))</f>
        <v>0.57570615767153899</v>
      </c>
      <c r="D534" s="4">
        <f>VALUE(SUBSTITUTE('1000_заявлений'!D528, ".", ","))</f>
        <v>0.37064964</v>
      </c>
      <c r="E534" s="4">
        <f>VALUE(SUBSTITUTE('1000_заявлений'!E528, ".", ","))</f>
        <v>0.59541759999999999</v>
      </c>
      <c r="F534" s="5">
        <f>VALUE(SUBSTITUTE('1000_заявлений'!F528, ".", ","))</f>
        <v>-9016</v>
      </c>
      <c r="G534" s="5">
        <f>VALUE(SUBSTITUTE('1000_заявлений'!G528, ".", ","))</f>
        <v>-14897</v>
      </c>
      <c r="H534" s="5">
        <f>VALUE(SUBSTITUTE('1000_заявлений'!H528, ".", ","))</f>
        <v>-746</v>
      </c>
      <c r="I534" s="4">
        <f>VALUE(SUBSTITUTE('1000_заявлений'!I528, ".", ","))</f>
        <v>0.186470588235294</v>
      </c>
      <c r="J534" s="4">
        <f>VALUE(SUBSTITUTE('1000_заявлений'!J528, ".", ","))</f>
        <v>17.9529054994916</v>
      </c>
      <c r="K534" s="5">
        <f>VALUE(SUBSTITUTE('1000_заявлений'!K528, ".", ","))</f>
        <v>-3435</v>
      </c>
      <c r="L534" s="6">
        <f>VALUE(SUBSTITUTE('1000_заявлений'!L528, ".", ","))</f>
        <v>57060</v>
      </c>
      <c r="M534" s="2" t="str">
        <f>IF(Данные6[[#This Row],[proba]]&gt;$C$6, "отказ", "одобрение")</f>
        <v>отказ</v>
      </c>
      <c r="N534" s="7">
        <f>IF(Данные6[[#This Row],[proba]]&lt;$D$2,$C$2,IF(Данные6[[#This Row],[proba]]&lt;$D$3,$C$3,IF(Данные6[[#This Row],[proba]]&gt;$C$6,0,$C$4)))</f>
        <v>0</v>
      </c>
      <c r="O534" s="2">
        <f>IF(Данные6[[#This Row],[weighted_ext_score]]&gt;$O$1,MIN(Данные6[[#This Row],[Базовая сумма]]*$O$2,$C$2),IF(Данные6[[#This Row],[weighted_ext_score]]&lt;$O$3,Данные6[[#This Row],[Базовая сумма]]*$O$4,N534))</f>
        <v>0</v>
      </c>
      <c r="P5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4" s="2">
        <f>ABS(Данные6[[#This Row],[days_birth]])/365.2425</f>
        <v>40.7866006831078</v>
      </c>
      <c r="S5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4" s="2">
        <f>IF(Данные6[[#This Row],[ interest_rate]]&gt;$T$1,Данные6[[#This Row],[days_birth4]]*$T$2,Данные6[[#This Row],[days_birth4]])</f>
        <v>0</v>
      </c>
      <c r="U534" s="2">
        <f>IF(Данные6[[#This Row],[Проверка отказа]]="отказ",0,MAX(Данные6[[#This Row],[interest_rate]],$C$1))</f>
        <v>0</v>
      </c>
      <c r="V534" s="2">
        <f>MROUND(Данные6[[#This Row],[Минимум 20000]], 100)</f>
        <v>0</v>
      </c>
    </row>
    <row r="535" spans="1:22" x14ac:dyDescent="0.25">
      <c r="A535" s="2">
        <f>'1000_заявлений'!A529</f>
        <v>527</v>
      </c>
      <c r="B535" s="4">
        <f>VALUE(SUBSTITUTE('1000_заявлений'!B529, ".", ","))</f>
        <v>0.85658078803804605</v>
      </c>
      <c r="C535" s="4">
        <f>VALUE(SUBSTITUTE('1000_заявлений'!C529, ".", ","))</f>
        <v>0.104283450108775</v>
      </c>
      <c r="D535" s="4">
        <f>VALUE(SUBSTITUTE('1000_заявлений'!D529, ".", ","))</f>
        <v>0.14287253</v>
      </c>
      <c r="E535" s="4">
        <f>VALUE(SUBSTITUTE('1000_заявлений'!E529, ".", ","))</f>
        <v>0.16219210000000001</v>
      </c>
      <c r="F535" s="5">
        <f>VALUE(SUBSTITUTE('1000_заявлений'!F529, ".", ","))</f>
        <v>-8045</v>
      </c>
      <c r="G535" s="5">
        <f>VALUE(SUBSTITUTE('1000_заявлений'!G529, ".", ","))</f>
        <v>-13891</v>
      </c>
      <c r="H535" s="5">
        <f>VALUE(SUBSTITUTE('1000_заявлений'!H529, ".", ","))</f>
        <v>-4152</v>
      </c>
      <c r="I535" s="4">
        <f>VALUE(SUBSTITUTE('1000_заявлений'!I529, ".", ","))</f>
        <v>0.116966666666666</v>
      </c>
      <c r="J535" s="4">
        <f>VALUE(SUBSTITUTE('1000_заявлений'!J529, ".", ","))</f>
        <v>2.1575262132743802</v>
      </c>
      <c r="K535" s="5">
        <f>VALUE(SUBSTITUTE('1000_заявлений'!K529, ".", ","))</f>
        <v>-113</v>
      </c>
      <c r="L535" s="6">
        <f>VALUE(SUBSTITUTE('1000_заявлений'!L529, ".", ","))</f>
        <v>15790.5</v>
      </c>
      <c r="M535" s="2" t="str">
        <f>IF(Данные6[[#This Row],[proba]]&gt;$C$6, "отказ", "одобрение")</f>
        <v>отказ</v>
      </c>
      <c r="N535" s="7">
        <f>IF(Данные6[[#This Row],[proba]]&lt;$D$2,$C$2,IF(Данные6[[#This Row],[proba]]&lt;$D$3,$C$3,IF(Данные6[[#This Row],[proba]]&gt;$C$6,0,$C$4)))</f>
        <v>0</v>
      </c>
      <c r="O535" s="2">
        <f>IF(Данные6[[#This Row],[weighted_ext_score]]&gt;$O$1,MIN(Данные6[[#This Row],[Базовая сумма]]*$O$2,$C$2),IF(Данные6[[#This Row],[weighted_ext_score]]&lt;$O$3,Данные6[[#This Row],[Базовая сумма]]*$O$4,N535))</f>
        <v>0</v>
      </c>
      <c r="P5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5" s="2">
        <f>ABS(Данные6[[#This Row],[days_birth]])/365.2425</f>
        <v>38.032266234077362</v>
      </c>
      <c r="S5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5" s="2">
        <f>IF(Данные6[[#This Row],[ interest_rate]]&gt;$T$1,Данные6[[#This Row],[days_birth4]]*$T$2,Данные6[[#This Row],[days_birth4]])</f>
        <v>0</v>
      </c>
      <c r="U535" s="2">
        <f>IF(Данные6[[#This Row],[Проверка отказа]]="отказ",0,MAX(Данные6[[#This Row],[interest_rate]],$C$1))</f>
        <v>0</v>
      </c>
      <c r="V535" s="2">
        <f>MROUND(Данные6[[#This Row],[Минимум 20000]], 100)</f>
        <v>0</v>
      </c>
    </row>
    <row r="536" spans="1:22" x14ac:dyDescent="0.25">
      <c r="A536" s="2">
        <f>'1000_заявлений'!A530</f>
        <v>528</v>
      </c>
      <c r="B536" s="4">
        <f>VALUE(SUBSTITUTE('1000_заявлений'!B530, ".", ","))</f>
        <v>0.302867051519768</v>
      </c>
      <c r="C536" s="4">
        <f>VALUE(SUBSTITUTE('1000_заявлений'!C530, ".", ","))</f>
        <v>0.44902216342509799</v>
      </c>
      <c r="D536" s="4">
        <f>VALUE(SUBSTITUTE('1000_заявлений'!D530, ".", ","))</f>
        <v>0.69255906</v>
      </c>
      <c r="E536" s="4">
        <f>VALUE(SUBSTITUTE('1000_заявлений'!E530, ".", ","))</f>
        <v>0.61208850000000004</v>
      </c>
      <c r="F536" s="5">
        <f>VALUE(SUBSTITUTE('1000_заявлений'!F530, ".", ","))</f>
        <v>-6349</v>
      </c>
      <c r="G536" s="5">
        <f>VALUE(SUBSTITUTE('1000_заявлений'!G530, ".", ","))</f>
        <v>-17042</v>
      </c>
      <c r="H536" s="5">
        <f>VALUE(SUBSTITUTE('1000_заявлений'!H530, ".", ","))</f>
        <v>-581</v>
      </c>
      <c r="I536" s="4">
        <f>VALUE(SUBSTITUTE('1000_заявлений'!I530, ".", ","))</f>
        <v>0.185479166666666</v>
      </c>
      <c r="J536" s="4">
        <f>VALUE(SUBSTITUTE('1000_заявлений'!J530, ".", ","))</f>
        <v>3.0766120269214401</v>
      </c>
      <c r="K536" s="5">
        <f>VALUE(SUBSTITUTE('1000_заявлений'!K530, ".", ","))</f>
        <v>-240</v>
      </c>
      <c r="L536" s="6">
        <f>VALUE(SUBSTITUTE('1000_заявлений'!L530, ".", ","))</f>
        <v>40063.5</v>
      </c>
      <c r="M536" s="2" t="str">
        <f>IF(Данные6[[#This Row],[proba]]&gt;$C$6, "отказ", "одобрение")</f>
        <v>отказ</v>
      </c>
      <c r="N536" s="7">
        <f>IF(Данные6[[#This Row],[proba]]&lt;$D$2,$C$2,IF(Данные6[[#This Row],[proba]]&lt;$D$3,$C$3,IF(Данные6[[#This Row],[proba]]&gt;$C$6,0,$C$4)))</f>
        <v>0</v>
      </c>
      <c r="O536" s="2">
        <f>IF(Данные6[[#This Row],[weighted_ext_score]]&gt;$O$1,MIN(Данные6[[#This Row],[Базовая сумма]]*$O$2,$C$2),IF(Данные6[[#This Row],[weighted_ext_score]]&lt;$O$3,Данные6[[#This Row],[Базовая сумма]]*$O$4,N536))</f>
        <v>0</v>
      </c>
      <c r="P5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6" s="2">
        <f>ABS(Данные6[[#This Row],[days_birth]])/365.2425</f>
        <v>46.659411213098146</v>
      </c>
      <c r="S5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6" s="2">
        <f>IF(Данные6[[#This Row],[ interest_rate]]&gt;$T$1,Данные6[[#This Row],[days_birth4]]*$T$2,Данные6[[#This Row],[days_birth4]])</f>
        <v>0</v>
      </c>
      <c r="U536" s="2">
        <f>IF(Данные6[[#This Row],[Проверка отказа]]="отказ",0,MAX(Данные6[[#This Row],[interest_rate]],$C$1))</f>
        <v>0</v>
      </c>
      <c r="V536" s="2">
        <f>MROUND(Данные6[[#This Row],[Минимум 20000]], 100)</f>
        <v>0</v>
      </c>
    </row>
    <row r="537" spans="1:22" x14ac:dyDescent="0.25">
      <c r="A537" s="2">
        <f>'1000_заявлений'!A531</f>
        <v>529</v>
      </c>
      <c r="B537" s="4">
        <f>VALUE(SUBSTITUTE('1000_заявлений'!B531, ".", ","))</f>
        <v>0.47780252172208298</v>
      </c>
      <c r="C537" s="4">
        <f>VALUE(SUBSTITUTE('1000_заявлений'!C531, ".", ","))</f>
        <v>0.38920108993345598</v>
      </c>
      <c r="D537" s="4">
        <f>VALUE(SUBSTITUTE('1000_заявлений'!D531, ".", ","))</f>
        <v>0.34741822</v>
      </c>
      <c r="E537" s="4">
        <f>VALUE(SUBSTITUTE('1000_заявлений'!E531, ".", ","))</f>
        <v>0.68211619999999995</v>
      </c>
      <c r="F537" s="5">
        <f>VALUE(SUBSTITUTE('1000_заявлений'!F531, ".", ","))</f>
        <v>-5248</v>
      </c>
      <c r="G537" s="5">
        <f>VALUE(SUBSTITUTE('1000_заявлений'!G531, ".", ","))</f>
        <v>-11533</v>
      </c>
      <c r="H537" s="5">
        <f>VALUE(SUBSTITUTE('1000_заявлений'!H531, ".", ","))</f>
        <v>-3536</v>
      </c>
      <c r="I537" s="4">
        <f>VALUE(SUBSTITUTE('1000_заявлений'!I531, ".", ","))</f>
        <v>0.18553333333333299</v>
      </c>
      <c r="J537" s="4">
        <f>VALUE(SUBSTITUTE('1000_заявлений'!J531, ".", ","))</f>
        <v>7.9866612454842301</v>
      </c>
      <c r="K537" s="5">
        <f>VALUE(SUBSTITUTE('1000_заявлений'!K531, ".", ","))</f>
        <v>-277</v>
      </c>
      <c r="L537" s="6">
        <f>VALUE(SUBSTITUTE('1000_заявлений'!L531, ".", ","))</f>
        <v>25047</v>
      </c>
      <c r="M537" s="2" t="str">
        <f>IF(Данные6[[#This Row],[proba]]&gt;$C$6, "отказ", "одобрение")</f>
        <v>отказ</v>
      </c>
      <c r="N537" s="7">
        <f>IF(Данные6[[#This Row],[proba]]&lt;$D$2,$C$2,IF(Данные6[[#This Row],[proba]]&lt;$D$3,$C$3,IF(Данные6[[#This Row],[proba]]&gt;$C$6,0,$C$4)))</f>
        <v>0</v>
      </c>
      <c r="O537" s="2">
        <f>IF(Данные6[[#This Row],[weighted_ext_score]]&gt;$O$1,MIN(Данные6[[#This Row],[Базовая сумма]]*$O$2,$C$2),IF(Данные6[[#This Row],[weighted_ext_score]]&lt;$O$3,Данные6[[#This Row],[Базовая сумма]]*$O$4,N537))</f>
        <v>0</v>
      </c>
      <c r="P5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7" s="2">
        <f>ABS(Данные6[[#This Row],[days_birth]])/365.2425</f>
        <v>31.576281511598459</v>
      </c>
      <c r="S5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7" s="2">
        <f>IF(Данные6[[#This Row],[ interest_rate]]&gt;$T$1,Данные6[[#This Row],[days_birth4]]*$T$2,Данные6[[#This Row],[days_birth4]])</f>
        <v>0</v>
      </c>
      <c r="U537" s="2">
        <f>IF(Данные6[[#This Row],[Проверка отказа]]="отказ",0,MAX(Данные6[[#This Row],[interest_rate]],$C$1))</f>
        <v>0</v>
      </c>
      <c r="V537" s="2">
        <f>MROUND(Данные6[[#This Row],[Минимум 20000]], 100)</f>
        <v>0</v>
      </c>
    </row>
    <row r="538" spans="1:22" x14ac:dyDescent="0.25">
      <c r="A538" s="2">
        <f>'1000_заявлений'!A532</f>
        <v>530</v>
      </c>
      <c r="B538" s="4">
        <f>VALUE(SUBSTITUTE('1000_заявлений'!B532, ".", ","))</f>
        <v>0.51643093395612405</v>
      </c>
      <c r="C538" s="4">
        <f>VALUE(SUBSTITUTE('1000_заявлений'!C532, ".", ","))</f>
        <v>0.30780520427257901</v>
      </c>
      <c r="D538" s="4">
        <f>VALUE(SUBSTITUTE('1000_заявлений'!D532, ".", ","))</f>
        <v>0.3217353</v>
      </c>
      <c r="E538" s="4">
        <f>VALUE(SUBSTITUTE('1000_заявлений'!E532, ".", ","))</f>
        <v>0.59019189999999999</v>
      </c>
      <c r="F538" s="5">
        <f>VALUE(SUBSTITUTE('1000_заявлений'!F532, ".", ","))</f>
        <v>-1558</v>
      </c>
      <c r="G538" s="5">
        <f>VALUE(SUBSTITUTE('1000_заявлений'!G532, ".", ","))</f>
        <v>-20771</v>
      </c>
      <c r="H538" s="5">
        <f>VALUE(SUBSTITUTE('1000_заявлений'!H532, ".", ","))</f>
        <v>-1831</v>
      </c>
      <c r="I538" s="4">
        <f>VALUE(SUBSTITUTE('1000_заявлений'!I532, ".", ","))</f>
        <v>0.217854545454545</v>
      </c>
      <c r="J538" s="4">
        <f>VALUE(SUBSTITUTE('1000_заявлений'!J532, ".", ","))</f>
        <v>0.29900958100428299</v>
      </c>
      <c r="K538" s="5">
        <f>VALUE(SUBSTITUTE('1000_заявлений'!K532, ".", ","))</f>
        <v>365243</v>
      </c>
      <c r="L538" s="6">
        <f>VALUE(SUBSTITUTE('1000_заявлений'!L532, ".", ","))</f>
        <v>53919</v>
      </c>
      <c r="M538" s="2" t="str">
        <f>IF(Данные6[[#This Row],[proba]]&gt;$C$6, "отказ", "одобрение")</f>
        <v>отказ</v>
      </c>
      <c r="N538" s="7">
        <f>IF(Данные6[[#This Row],[proba]]&lt;$D$2,$C$2,IF(Данные6[[#This Row],[proba]]&lt;$D$3,$C$3,IF(Данные6[[#This Row],[proba]]&gt;$C$6,0,$C$4)))</f>
        <v>0</v>
      </c>
      <c r="O538" s="2">
        <f>IF(Данные6[[#This Row],[weighted_ext_score]]&gt;$O$1,MIN(Данные6[[#This Row],[Базовая сумма]]*$O$2,$C$2),IF(Данные6[[#This Row],[weighted_ext_score]]&lt;$O$3,Данные6[[#This Row],[Базовая сумма]]*$O$4,N538))</f>
        <v>0</v>
      </c>
      <c r="P5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38" s="2">
        <f>ABS(Данные6[[#This Row],[days_birth]])/365.2425</f>
        <v>56.869066442158292</v>
      </c>
      <c r="S5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38" s="2">
        <f>IF(Данные6[[#This Row],[ interest_rate]]&gt;$T$1,Данные6[[#This Row],[days_birth4]]*$T$2,Данные6[[#This Row],[days_birth4]])</f>
        <v>0</v>
      </c>
      <c r="U538" s="2">
        <f>IF(Данные6[[#This Row],[Проверка отказа]]="отказ",0,MAX(Данные6[[#This Row],[interest_rate]],$C$1))</f>
        <v>0</v>
      </c>
      <c r="V538" s="2">
        <f>MROUND(Данные6[[#This Row],[Минимум 20000]], 100)</f>
        <v>0</v>
      </c>
    </row>
    <row r="539" spans="1:22" x14ac:dyDescent="0.25">
      <c r="A539" s="2">
        <f>'1000_заявлений'!A533</f>
        <v>531</v>
      </c>
      <c r="B539" s="4">
        <f>VALUE(SUBSTITUTE('1000_заявлений'!B533, ".", ","))</f>
        <v>0.18827116749134701</v>
      </c>
      <c r="C539" s="4">
        <f>VALUE(SUBSTITUTE('1000_заявлений'!C533, ".", ","))</f>
        <v>0.64183227303479995</v>
      </c>
      <c r="D539" s="4">
        <f>VALUE(SUBSTITUTE('1000_заявлений'!D533, ".", ","))</f>
        <v>0.51369374999999995</v>
      </c>
      <c r="E539" s="4">
        <f>VALUE(SUBSTITUTE('1000_заявлений'!E533, ".", ","))</f>
        <v>0.73231024</v>
      </c>
      <c r="F539" s="5">
        <f>VALUE(SUBSTITUTE('1000_заявлений'!F533, ".", ","))</f>
        <v>-4396</v>
      </c>
      <c r="G539" s="5">
        <f>VALUE(SUBSTITUTE('1000_заявлений'!G533, ".", ","))</f>
        <v>-21747</v>
      </c>
      <c r="H539" s="5">
        <f>VALUE(SUBSTITUTE('1000_заявлений'!H533, ".", ","))</f>
        <v>-4404</v>
      </c>
      <c r="I539" s="4">
        <f>VALUE(SUBSTITUTE('1000_заявлений'!I533, ".", ","))</f>
        <v>0.166227272727272</v>
      </c>
      <c r="J539" s="4">
        <f>VALUE(SUBSTITUTE('1000_заявлений'!J533, ".", ","))</f>
        <v>5.3101828664461701</v>
      </c>
      <c r="K539" s="5">
        <f>VALUE(SUBSTITUTE('1000_заявлений'!K533, ".", ","))</f>
        <v>365243</v>
      </c>
      <c r="L539" s="6">
        <f>VALUE(SUBSTITUTE('1000_заявлений'!L533, ".", ","))</f>
        <v>16456.5</v>
      </c>
      <c r="M539" s="2" t="str">
        <f>IF(Данные6[[#This Row],[proba]]&gt;$C$6, "отказ", "одобрение")</f>
        <v>одобрение</v>
      </c>
      <c r="N539" s="7">
        <f>IF(Данные6[[#This Row],[proba]]&lt;$D$2,$C$2,IF(Данные6[[#This Row],[proba]]&lt;$D$3,$C$3,IF(Данные6[[#This Row],[proba]]&gt;$C$6,0,$C$4)))</f>
        <v>200000</v>
      </c>
      <c r="O539" s="2">
        <f>IF(Данные6[[#This Row],[weighted_ext_score]]&gt;$O$1,MIN(Данные6[[#This Row],[Базовая сумма]]*$O$2,$C$2),IF(Данные6[[#This Row],[weighted_ext_score]]&lt;$O$3,Данные6[[#This Row],[Базовая сумма]]*$O$4,N539))</f>
        <v>200000</v>
      </c>
      <c r="P5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5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539" s="2">
        <f>ABS(Данные6[[#This Row],[days_birth]])/365.2425</f>
        <v>59.541263680979071</v>
      </c>
      <c r="S5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539" s="2">
        <f>IF(Данные6[[#This Row],[ interest_rate]]&gt;$T$1,Данные6[[#This Row],[days_birth4]]*$T$2,Данные6[[#This Row],[days_birth4]])</f>
        <v>210000</v>
      </c>
      <c r="U539" s="2">
        <f>IF(Данные6[[#This Row],[Проверка отказа]]="отказ",0,MAX(Данные6[[#This Row],[interest_rate]],$C$1))</f>
        <v>210000</v>
      </c>
      <c r="V539" s="2">
        <f>MROUND(Данные6[[#This Row],[Минимум 20000]], 100)</f>
        <v>210000</v>
      </c>
    </row>
    <row r="540" spans="1:22" x14ac:dyDescent="0.25">
      <c r="A540" s="2">
        <f>'1000_заявлений'!A534</f>
        <v>532</v>
      </c>
      <c r="B540" s="4">
        <f>VALUE(SUBSTITUTE('1000_заявлений'!B534, ".", ","))</f>
        <v>0.35859404633513797</v>
      </c>
      <c r="C540" s="4">
        <f>VALUE(SUBSTITUTE('1000_заявлений'!C534, ".", ","))</f>
        <v>0.277342118435211</v>
      </c>
      <c r="D540" s="4">
        <f>VALUE(SUBSTITUTE('1000_заявлений'!D534, ".", ","))</f>
        <v>0.53527623000000002</v>
      </c>
      <c r="E540" s="4">
        <f>VALUE(SUBSTITUTE('1000_заявлений'!E534, ".", ","))</f>
        <v>0.85499966000000005</v>
      </c>
      <c r="F540" s="5">
        <f>VALUE(SUBSTITUTE('1000_заявлений'!F534, ".", ","))</f>
        <v>-93</v>
      </c>
      <c r="G540" s="5">
        <f>VALUE(SUBSTITUTE('1000_заявлений'!G534, ".", ","))</f>
        <v>-16268</v>
      </c>
      <c r="H540" s="5">
        <f>VALUE(SUBSTITUTE('1000_заявлений'!H534, ".", ","))</f>
        <v>-4335</v>
      </c>
      <c r="I540" s="4">
        <f>VALUE(SUBSTITUTE('1000_заявлений'!I534, ".", ","))</f>
        <v>0.263955555555555</v>
      </c>
      <c r="J540" s="4">
        <f>VALUE(SUBSTITUTE('1000_заявлений'!J534, ".", ","))</f>
        <v>3.7453186030569499</v>
      </c>
      <c r="K540" s="5">
        <f>VALUE(SUBSTITUTE('1000_заявлений'!K534, ".", ","))</f>
        <v>-113</v>
      </c>
      <c r="L540" s="6">
        <f>VALUE(SUBSTITUTE('1000_заявлений'!L534, ".", ","))</f>
        <v>53451</v>
      </c>
      <c r="M540" s="2" t="str">
        <f>IF(Данные6[[#This Row],[proba]]&gt;$C$6, "отказ", "одобрение")</f>
        <v>отказ</v>
      </c>
      <c r="N540" s="7">
        <f>IF(Данные6[[#This Row],[proba]]&lt;$D$2,$C$2,IF(Данные6[[#This Row],[proba]]&lt;$D$3,$C$3,IF(Данные6[[#This Row],[proba]]&gt;$C$6,0,$C$4)))</f>
        <v>0</v>
      </c>
      <c r="O540" s="2">
        <f>IF(Данные6[[#This Row],[weighted_ext_score]]&gt;$O$1,MIN(Данные6[[#This Row],[Базовая сумма]]*$O$2,$C$2),IF(Данные6[[#This Row],[weighted_ext_score]]&lt;$O$3,Данные6[[#This Row],[Базовая сумма]]*$O$4,N540))</f>
        <v>0</v>
      </c>
      <c r="P5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0" s="2">
        <f>ABS(Данные6[[#This Row],[days_birth]])/365.2425</f>
        <v>44.540271189689044</v>
      </c>
      <c r="S5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0" s="2">
        <f>IF(Данные6[[#This Row],[ interest_rate]]&gt;$T$1,Данные6[[#This Row],[days_birth4]]*$T$2,Данные6[[#This Row],[days_birth4]])</f>
        <v>0</v>
      </c>
      <c r="U540" s="2">
        <f>IF(Данные6[[#This Row],[Проверка отказа]]="отказ",0,MAX(Данные6[[#This Row],[interest_rate]],$C$1))</f>
        <v>0</v>
      </c>
      <c r="V540" s="2">
        <f>MROUND(Данные6[[#This Row],[Минимум 20000]], 100)</f>
        <v>0</v>
      </c>
    </row>
    <row r="541" spans="1:22" x14ac:dyDescent="0.25">
      <c r="A541" s="2">
        <f>'1000_заявлений'!A535</f>
        <v>533</v>
      </c>
      <c r="B541" s="4">
        <f>VALUE(SUBSTITUTE('1000_заявлений'!B535, ".", ","))</f>
        <v>0.47072847898291897</v>
      </c>
      <c r="C541" s="4">
        <f>VALUE(SUBSTITUTE('1000_заявлений'!C535, ".", ","))</f>
        <v>0.35899309746059299</v>
      </c>
      <c r="D541" s="4">
        <f>VALUE(SUBSTITUTE('1000_заявлений'!D535, ".", ","))</f>
        <v>0.30314636</v>
      </c>
      <c r="E541" s="4">
        <f>VALUE(SUBSTITUTE('1000_заявлений'!E535, ".", ","))</f>
        <v>0.76872149999999995</v>
      </c>
      <c r="F541" s="5">
        <f>VALUE(SUBSTITUTE('1000_заявлений'!F535, ".", ","))</f>
        <v>-9626</v>
      </c>
      <c r="G541" s="5">
        <f>VALUE(SUBSTITUTE('1000_заявлений'!G535, ".", ","))</f>
        <v>-19673</v>
      </c>
      <c r="H541" s="5">
        <f>VALUE(SUBSTITUTE('1000_заявлений'!H535, ".", ","))</f>
        <v>-3226</v>
      </c>
      <c r="I541" s="4">
        <f>VALUE(SUBSTITUTE('1000_заявлений'!I535, ".", ","))</f>
        <v>0.243666666666666</v>
      </c>
      <c r="J541" s="4">
        <f>VALUE(SUBSTITUTE('1000_заявлений'!J535, ".", ","))</f>
        <v>1.55972200073934</v>
      </c>
      <c r="K541" s="5">
        <f>VALUE(SUBSTITUTE('1000_заявлений'!K535, ".", ","))</f>
        <v>-5094</v>
      </c>
      <c r="L541" s="6">
        <f>VALUE(SUBSTITUTE('1000_заявлений'!L535, ".", ","))</f>
        <v>32895</v>
      </c>
      <c r="M541" s="2" t="str">
        <f>IF(Данные6[[#This Row],[proba]]&gt;$C$6, "отказ", "одобрение")</f>
        <v>отказ</v>
      </c>
      <c r="N541" s="7">
        <f>IF(Данные6[[#This Row],[proba]]&lt;$D$2,$C$2,IF(Данные6[[#This Row],[proba]]&lt;$D$3,$C$3,IF(Данные6[[#This Row],[proba]]&gt;$C$6,0,$C$4)))</f>
        <v>0</v>
      </c>
      <c r="O541" s="2">
        <f>IF(Данные6[[#This Row],[weighted_ext_score]]&gt;$O$1,MIN(Данные6[[#This Row],[Базовая сумма]]*$O$2,$C$2),IF(Данные6[[#This Row],[weighted_ext_score]]&lt;$O$3,Данные6[[#This Row],[Базовая сумма]]*$O$4,N541))</f>
        <v>0</v>
      </c>
      <c r="P5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1" s="2">
        <f>ABS(Данные6[[#This Row],[days_birth]])/365.2425</f>
        <v>53.862844548484908</v>
      </c>
      <c r="S5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1" s="2">
        <f>IF(Данные6[[#This Row],[ interest_rate]]&gt;$T$1,Данные6[[#This Row],[days_birth4]]*$T$2,Данные6[[#This Row],[days_birth4]])</f>
        <v>0</v>
      </c>
      <c r="U541" s="2">
        <f>IF(Данные6[[#This Row],[Проверка отказа]]="отказ",0,MAX(Данные6[[#This Row],[interest_rate]],$C$1))</f>
        <v>0</v>
      </c>
      <c r="V541" s="2">
        <f>MROUND(Данные6[[#This Row],[Минимум 20000]], 100)</f>
        <v>0</v>
      </c>
    </row>
    <row r="542" spans="1:22" x14ac:dyDescent="0.25">
      <c r="A542" s="2">
        <f>'1000_заявлений'!A536</f>
        <v>534</v>
      </c>
      <c r="B542" s="4">
        <f>VALUE(SUBSTITUTE('1000_заявлений'!B536, ".", ","))</f>
        <v>0.41482660595606102</v>
      </c>
      <c r="C542" s="4">
        <f>VALUE(SUBSTITUTE('1000_заявлений'!C536, ".", ","))</f>
        <v>0.45917394528086403</v>
      </c>
      <c r="D542" s="4">
        <f>VALUE(SUBSTITUTE('1000_заявлений'!D536, ".", ","))</f>
        <v>0.42236965999999998</v>
      </c>
      <c r="E542" s="4">
        <f>VALUE(SUBSTITUTE('1000_заявлений'!E536, ".", ","))</f>
        <v>0.67874500000000004</v>
      </c>
      <c r="F542" s="5">
        <f>VALUE(SUBSTITUTE('1000_заявлений'!F536, ".", ","))</f>
        <v>-5987</v>
      </c>
      <c r="G542" s="5">
        <f>VALUE(SUBSTITUTE('1000_заявлений'!G536, ".", ","))</f>
        <v>-11653</v>
      </c>
      <c r="H542" s="5">
        <f>VALUE(SUBSTITUTE('1000_заявлений'!H536, ".", ","))</f>
        <v>-4324</v>
      </c>
      <c r="I542" s="4">
        <f>VALUE(SUBSTITUTE('1000_заявлений'!I536, ".", ","))</f>
        <v>0.1978</v>
      </c>
      <c r="J542" s="4">
        <f>VALUE(SUBSTITUTE('1000_заявлений'!J536, ".", ","))</f>
        <v>2.8172376961650998</v>
      </c>
      <c r="K542" s="5">
        <f>VALUE(SUBSTITUTE('1000_заявлений'!K536, ".", ","))</f>
        <v>-1110</v>
      </c>
      <c r="L542" s="6">
        <f>VALUE(SUBSTITUTE('1000_заявлений'!L536, ".", ","))</f>
        <v>40054.5</v>
      </c>
      <c r="M542" s="2" t="str">
        <f>IF(Данные6[[#This Row],[proba]]&gt;$C$6, "отказ", "одобрение")</f>
        <v>отказ</v>
      </c>
      <c r="N542" s="7">
        <f>IF(Данные6[[#This Row],[proba]]&lt;$D$2,$C$2,IF(Данные6[[#This Row],[proba]]&lt;$D$3,$C$3,IF(Данные6[[#This Row],[proba]]&gt;$C$6,0,$C$4)))</f>
        <v>0</v>
      </c>
      <c r="O542" s="2">
        <f>IF(Данные6[[#This Row],[weighted_ext_score]]&gt;$O$1,MIN(Данные6[[#This Row],[Базовая сумма]]*$O$2,$C$2),IF(Данные6[[#This Row],[weighted_ext_score]]&lt;$O$3,Данные6[[#This Row],[Базовая сумма]]*$O$4,N542))</f>
        <v>0</v>
      </c>
      <c r="P5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2" s="2">
        <f>ABS(Данные6[[#This Row],[days_birth]])/365.2425</f>
        <v>31.904830352437077</v>
      </c>
      <c r="S5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2" s="2">
        <f>IF(Данные6[[#This Row],[ interest_rate]]&gt;$T$1,Данные6[[#This Row],[days_birth4]]*$T$2,Данные6[[#This Row],[days_birth4]])</f>
        <v>0</v>
      </c>
      <c r="U542" s="2">
        <f>IF(Данные6[[#This Row],[Проверка отказа]]="отказ",0,MAX(Данные6[[#This Row],[interest_rate]],$C$1))</f>
        <v>0</v>
      </c>
      <c r="V542" s="2">
        <f>MROUND(Данные6[[#This Row],[Минимум 20000]], 100)</f>
        <v>0</v>
      </c>
    </row>
    <row r="543" spans="1:22" x14ac:dyDescent="0.25">
      <c r="A543" s="2">
        <f>'1000_заявлений'!A537</f>
        <v>535</v>
      </c>
      <c r="B543" s="4">
        <f>VALUE(SUBSTITUTE('1000_заявлений'!B537, ".", ","))</f>
        <v>0.31701423817348301</v>
      </c>
      <c r="C543" s="4">
        <f>VALUE(SUBSTITUTE('1000_заявлений'!C537, ".", ","))</f>
        <v>0.232436532057467</v>
      </c>
      <c r="D543" s="4">
        <f>VALUE(SUBSTITUTE('1000_заявлений'!D537, ".", ","))</f>
        <v>0.53527623000000002</v>
      </c>
      <c r="E543" s="4">
        <f>VALUE(SUBSTITUTE('1000_заявлений'!E537, ".", ","))</f>
        <v>0.71656319999999996</v>
      </c>
      <c r="F543" s="5">
        <f>VALUE(SUBSTITUTE('1000_заявлений'!F537, ".", ","))</f>
        <v>-12043</v>
      </c>
      <c r="G543" s="5">
        <f>VALUE(SUBSTITUTE('1000_заявлений'!G537, ".", ","))</f>
        <v>-19027</v>
      </c>
      <c r="H543" s="5">
        <f>VALUE(SUBSTITUTE('1000_заявлений'!H537, ".", ","))</f>
        <v>-2523</v>
      </c>
      <c r="I543" s="4">
        <f>VALUE(SUBSTITUTE('1000_заявлений'!I537, ".", ","))</f>
        <v>0.27994252873563202</v>
      </c>
      <c r="J543" s="4">
        <f>VALUE(SUBSTITUTE('1000_заявлений'!J537, ".", ","))</f>
        <v>14.9926589322989</v>
      </c>
      <c r="K543" s="5">
        <f>VALUE(SUBSTITUTE('1000_заявлений'!K537, ".", ","))</f>
        <v>-7145</v>
      </c>
      <c r="L543" s="6">
        <f>VALUE(SUBSTITUTE('1000_заявлений'!L537, ".", ","))</f>
        <v>109597.5</v>
      </c>
      <c r="M543" s="2" t="str">
        <f>IF(Данные6[[#This Row],[proba]]&gt;$C$6, "отказ", "одобрение")</f>
        <v>отказ</v>
      </c>
      <c r="N543" s="7">
        <f>IF(Данные6[[#This Row],[proba]]&lt;$D$2,$C$2,IF(Данные6[[#This Row],[proba]]&lt;$D$3,$C$3,IF(Данные6[[#This Row],[proba]]&gt;$C$6,0,$C$4)))</f>
        <v>0</v>
      </c>
      <c r="O543" s="2">
        <f>IF(Данные6[[#This Row],[weighted_ext_score]]&gt;$O$1,MIN(Данные6[[#This Row],[Базовая сумма]]*$O$2,$C$2),IF(Данные6[[#This Row],[weighted_ext_score]]&lt;$O$3,Данные6[[#This Row],[Базовая сумма]]*$O$4,N543))</f>
        <v>0</v>
      </c>
      <c r="P5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3" s="2">
        <f>ABS(Данные6[[#This Row],[days_birth]])/365.2425</f>
        <v>52.094156621970335</v>
      </c>
      <c r="S5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3" s="2">
        <f>IF(Данные6[[#This Row],[ interest_rate]]&gt;$T$1,Данные6[[#This Row],[days_birth4]]*$T$2,Данные6[[#This Row],[days_birth4]])</f>
        <v>0</v>
      </c>
      <c r="U543" s="2">
        <f>IF(Данные6[[#This Row],[Проверка отказа]]="отказ",0,MAX(Данные6[[#This Row],[interest_rate]],$C$1))</f>
        <v>0</v>
      </c>
      <c r="V543" s="2">
        <f>MROUND(Данные6[[#This Row],[Минимум 20000]], 100)</f>
        <v>0</v>
      </c>
    </row>
    <row r="544" spans="1:22" x14ac:dyDescent="0.25">
      <c r="A544" s="2">
        <f>'1000_заявлений'!A538</f>
        <v>536</v>
      </c>
      <c r="B544" s="4">
        <f>VALUE(SUBSTITUTE('1000_заявлений'!B538, ".", ","))</f>
        <v>0.50741353485357799</v>
      </c>
      <c r="C544" s="4">
        <f>VALUE(SUBSTITUTE('1000_заявлений'!C538, ".", ","))</f>
        <v>0.33819878838260797</v>
      </c>
      <c r="D544" s="4">
        <f>VALUE(SUBSTITUTE('1000_заявлений'!D538, ".", ","))</f>
        <v>0.32016337</v>
      </c>
      <c r="E544" s="4">
        <f>VALUE(SUBSTITUTE('1000_заявлений'!E538, ".", ","))</f>
        <v>0.68564290000000006</v>
      </c>
      <c r="F544" s="5">
        <f>VALUE(SUBSTITUTE('1000_заявлений'!F538, ".", ","))</f>
        <v>-2667</v>
      </c>
      <c r="G544" s="5">
        <f>VALUE(SUBSTITUTE('1000_заявлений'!G538, ".", ","))</f>
        <v>-14941</v>
      </c>
      <c r="H544" s="5">
        <f>VALUE(SUBSTITUTE('1000_заявлений'!H538, ".", ","))</f>
        <v>-4474</v>
      </c>
      <c r="I544" s="4">
        <f>VALUE(SUBSTITUTE('1000_заявлений'!I538, ".", ","))</f>
        <v>0.179842857142857</v>
      </c>
      <c r="J544" s="4">
        <f>VALUE(SUBSTITUTE('1000_заявлений'!J538, ".", ","))</f>
        <v>0.51789434241999999</v>
      </c>
      <c r="K544" s="5">
        <f>VALUE(SUBSTITUTE('1000_заявлений'!K538, ".", ","))</f>
        <v>-837</v>
      </c>
      <c r="L544" s="6">
        <f>VALUE(SUBSTITUTE('1000_заявлений'!L538, ".", ","))</f>
        <v>56650.5</v>
      </c>
      <c r="M544" s="2" t="str">
        <f>IF(Данные6[[#This Row],[proba]]&gt;$C$6, "отказ", "одобрение")</f>
        <v>отказ</v>
      </c>
      <c r="N544" s="7">
        <f>IF(Данные6[[#This Row],[proba]]&lt;$D$2,$C$2,IF(Данные6[[#This Row],[proba]]&lt;$D$3,$C$3,IF(Данные6[[#This Row],[proba]]&gt;$C$6,0,$C$4)))</f>
        <v>0</v>
      </c>
      <c r="O544" s="2">
        <f>IF(Данные6[[#This Row],[weighted_ext_score]]&gt;$O$1,MIN(Данные6[[#This Row],[Базовая сумма]]*$O$2,$C$2),IF(Данные6[[#This Row],[weighted_ext_score]]&lt;$O$3,Данные6[[#This Row],[Базовая сумма]]*$O$4,N544))</f>
        <v>0</v>
      </c>
      <c r="P5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4" s="2">
        <f>ABS(Данные6[[#This Row],[days_birth]])/365.2425</f>
        <v>40.907068591415289</v>
      </c>
      <c r="S5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4" s="2">
        <f>IF(Данные6[[#This Row],[ interest_rate]]&gt;$T$1,Данные6[[#This Row],[days_birth4]]*$T$2,Данные6[[#This Row],[days_birth4]])</f>
        <v>0</v>
      </c>
      <c r="U544" s="2">
        <f>IF(Данные6[[#This Row],[Проверка отказа]]="отказ",0,MAX(Данные6[[#This Row],[interest_rate]],$C$1))</f>
        <v>0</v>
      </c>
      <c r="V544" s="2">
        <f>MROUND(Данные6[[#This Row],[Минимум 20000]], 100)</f>
        <v>0</v>
      </c>
    </row>
    <row r="545" spans="1:22" x14ac:dyDescent="0.25">
      <c r="A545" s="2">
        <f>'1000_заявлений'!A539</f>
        <v>537</v>
      </c>
      <c r="B545" s="4">
        <f>VALUE(SUBSTITUTE('1000_заявлений'!B539, ".", ","))</f>
        <v>0.51315574985978596</v>
      </c>
      <c r="C545" s="4">
        <f>VALUE(SUBSTITUTE('1000_заявлений'!C539, ".", ","))</f>
        <v>0.41054984037783598</v>
      </c>
      <c r="D545" s="4">
        <f>VALUE(SUBSTITUTE('1000_заявлений'!D539, ".", ","))</f>
        <v>0.34090643999999998</v>
      </c>
      <c r="E545" s="4">
        <f>VALUE(SUBSTITUTE('1000_заявлений'!E539, ".", ","))</f>
        <v>0.66515299999999999</v>
      </c>
      <c r="F545" s="5">
        <f>VALUE(SUBSTITUTE('1000_заявлений'!F539, ".", ","))</f>
        <v>-10085</v>
      </c>
      <c r="G545" s="5">
        <f>VALUE(SUBSTITUTE('1000_заявлений'!G539, ".", ","))</f>
        <v>-10096</v>
      </c>
      <c r="H545" s="5">
        <f>VALUE(SUBSTITUTE('1000_заявлений'!H539, ".", ","))</f>
        <v>-1216</v>
      </c>
      <c r="I545" s="4">
        <f>VALUE(SUBSTITUTE('1000_заявлений'!I539, ".", ","))</f>
        <v>3.2974999999999997E-2</v>
      </c>
      <c r="J545" s="4">
        <f>VALUE(SUBSTITUTE('1000_заявлений'!J539, ".", ","))</f>
        <v>0.150141390081315</v>
      </c>
      <c r="K545" s="5">
        <f>VALUE(SUBSTITUTE('1000_заявлений'!K539, ".", ","))</f>
        <v>-1218</v>
      </c>
      <c r="L545" s="6">
        <f>VALUE(SUBSTITUTE('1000_заявлений'!L539, ".", ","))</f>
        <v>5935.5</v>
      </c>
      <c r="M545" s="2" t="str">
        <f>IF(Данные6[[#This Row],[proba]]&gt;$C$6, "отказ", "одобрение")</f>
        <v>отказ</v>
      </c>
      <c r="N545" s="7">
        <f>IF(Данные6[[#This Row],[proba]]&lt;$D$2,$C$2,IF(Данные6[[#This Row],[proba]]&lt;$D$3,$C$3,IF(Данные6[[#This Row],[proba]]&gt;$C$6,0,$C$4)))</f>
        <v>0</v>
      </c>
      <c r="O545" s="2">
        <f>IF(Данные6[[#This Row],[weighted_ext_score]]&gt;$O$1,MIN(Данные6[[#This Row],[Базовая сумма]]*$O$2,$C$2),IF(Данные6[[#This Row],[weighted_ext_score]]&lt;$O$3,Данные6[[#This Row],[Базовая сумма]]*$O$4,N545))</f>
        <v>0</v>
      </c>
      <c r="P5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5" s="2">
        <f>ABS(Данные6[[#This Row],[days_birth]])/365.2425</f>
        <v>27.641909142555974</v>
      </c>
      <c r="S5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5" s="2">
        <f>IF(Данные6[[#This Row],[ interest_rate]]&gt;$T$1,Данные6[[#This Row],[days_birth4]]*$T$2,Данные6[[#This Row],[days_birth4]])</f>
        <v>0</v>
      </c>
      <c r="U545" s="2">
        <f>IF(Данные6[[#This Row],[Проверка отказа]]="отказ",0,MAX(Данные6[[#This Row],[interest_rate]],$C$1))</f>
        <v>0</v>
      </c>
      <c r="V545" s="2">
        <f>MROUND(Данные6[[#This Row],[Минимум 20000]], 100)</f>
        <v>0</v>
      </c>
    </row>
    <row r="546" spans="1:22" x14ac:dyDescent="0.25">
      <c r="A546" s="2">
        <f>'1000_заявлений'!A540</f>
        <v>538</v>
      </c>
      <c r="B546" s="4">
        <f>VALUE(SUBSTITUTE('1000_заявлений'!B540, ".", ","))</f>
        <v>0.23280990010060801</v>
      </c>
      <c r="C546" s="4">
        <f>VALUE(SUBSTITUTE('1000_заявлений'!C540, ".", ","))</f>
        <v>0.52578535872003995</v>
      </c>
      <c r="D546" s="4">
        <f>VALUE(SUBSTITUTE('1000_заявлений'!D540, ".", ","))</f>
        <v>0.68170589999999998</v>
      </c>
      <c r="E546" s="4">
        <f>VALUE(SUBSTITUTE('1000_заявлений'!E540, ".", ","))</f>
        <v>0.64923257000000001</v>
      </c>
      <c r="F546" s="5">
        <f>VALUE(SUBSTITUTE('1000_заявлений'!F540, ".", ","))</f>
        <v>-2911</v>
      </c>
      <c r="G546" s="5">
        <f>VALUE(SUBSTITUTE('1000_заявлений'!G540, ".", ","))</f>
        <v>-11564</v>
      </c>
      <c r="H546" s="5">
        <f>VALUE(SUBSTITUTE('1000_заявлений'!H540, ".", ","))</f>
        <v>-4072</v>
      </c>
      <c r="I546" s="4">
        <f>VALUE(SUBSTITUTE('1000_заявлений'!I540, ".", ","))</f>
        <v>6.6666666666666596E-2</v>
      </c>
      <c r="J546" s="4">
        <f>VALUE(SUBSTITUTE('1000_заявлений'!J540, ".", ","))</f>
        <v>10.6209759779781</v>
      </c>
      <c r="K546" s="5">
        <f>VALUE(SUBSTITUTE('1000_заявлений'!K540, ".", ","))</f>
        <v>-465</v>
      </c>
      <c r="L546" s="6">
        <f>VALUE(SUBSTITUTE('1000_заявлений'!L540, ".", ","))</f>
        <v>9000</v>
      </c>
      <c r="M546" s="2" t="str">
        <f>IF(Данные6[[#This Row],[proba]]&gt;$C$6, "отказ", "одобрение")</f>
        <v>одобрение</v>
      </c>
      <c r="N546" s="7">
        <f>IF(Данные6[[#This Row],[proba]]&lt;$D$2,$C$2,IF(Данные6[[#This Row],[proba]]&lt;$D$3,$C$3,IF(Данные6[[#This Row],[proba]]&gt;$C$6,0,$C$4)))</f>
        <v>50000</v>
      </c>
      <c r="O546" s="2">
        <f>IF(Данные6[[#This Row],[weighted_ext_score]]&gt;$O$1,MIN(Данные6[[#This Row],[Базовая сумма]]*$O$2,$C$2),IF(Данные6[[#This Row],[weighted_ext_score]]&lt;$O$3,Данные6[[#This Row],[Базовая сумма]]*$O$4,N546))</f>
        <v>50000</v>
      </c>
      <c r="P5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5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42000</v>
      </c>
      <c r="R546" s="2">
        <f>ABS(Данные6[[#This Row],[days_birth]])/365.2425</f>
        <v>31.661156628815103</v>
      </c>
      <c r="S5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546" s="2">
        <f>IF(Данные6[[#This Row],[ interest_rate]]&gt;$T$1,Данные6[[#This Row],[days_birth4]]*$T$2,Данные6[[#This Row],[days_birth4]])</f>
        <v>42000</v>
      </c>
      <c r="U546" s="2">
        <f>IF(Данные6[[#This Row],[Проверка отказа]]="отказ",0,MAX(Данные6[[#This Row],[interest_rate]],$C$1))</f>
        <v>42000</v>
      </c>
      <c r="V546" s="2">
        <f>MROUND(Данные6[[#This Row],[Минимум 20000]], 100)</f>
        <v>42000</v>
      </c>
    </row>
    <row r="547" spans="1:22" x14ac:dyDescent="0.25">
      <c r="A547" s="2">
        <f>'1000_заявлений'!A541</f>
        <v>539</v>
      </c>
      <c r="B547" s="4">
        <f>VALUE(SUBSTITUTE('1000_заявлений'!B541, ".", ","))</f>
        <v>0.200842406752056</v>
      </c>
      <c r="C547" s="4">
        <f>VALUE(SUBSTITUTE('1000_заявлений'!C541, ".", ","))</f>
        <v>0.610628150630948</v>
      </c>
      <c r="D547" s="4">
        <f>VALUE(SUBSTITUTE('1000_заявлений'!D541, ".", ","))</f>
        <v>0.65940549999999998</v>
      </c>
      <c r="E547" s="4">
        <f>VALUE(SUBSTITUTE('1000_заявлений'!E541, ".", ","))</f>
        <v>0.66815139999999995</v>
      </c>
      <c r="F547" s="5">
        <f>VALUE(SUBSTITUTE('1000_заявлений'!F541, ".", ","))</f>
        <v>-1102</v>
      </c>
      <c r="G547" s="5">
        <f>VALUE(SUBSTITUTE('1000_заявлений'!G541, ".", ","))</f>
        <v>-13716</v>
      </c>
      <c r="H547" s="5">
        <f>VALUE(SUBSTITUTE('1000_заявлений'!H541, ".", ","))</f>
        <v>-6092</v>
      </c>
      <c r="I547" s="4">
        <f>VALUE(SUBSTITUTE('1000_заявлений'!I541, ".", ","))</f>
        <v>0.133333333333333</v>
      </c>
      <c r="J547" s="4">
        <f>VALUE(SUBSTITUTE('1000_заявлений'!J541, ".", ","))</f>
        <v>10.6209759779781</v>
      </c>
      <c r="K547" s="5">
        <f>VALUE(SUBSTITUTE('1000_заявлений'!K541, ".", ","))</f>
        <v>-463</v>
      </c>
      <c r="L547" s="6">
        <f>VALUE(SUBSTITUTE('1000_заявлений'!L541, ".", ","))</f>
        <v>9000</v>
      </c>
      <c r="M547" s="2" t="str">
        <f>IF(Данные6[[#This Row],[proba]]&gt;$C$6, "отказ", "одобрение")</f>
        <v>одобрение</v>
      </c>
      <c r="N547" s="7">
        <f>IF(Данные6[[#This Row],[proba]]&lt;$D$2,$C$2,IF(Данные6[[#This Row],[proba]]&lt;$D$3,$C$3,IF(Данные6[[#This Row],[proba]]&gt;$C$6,0,$C$4)))</f>
        <v>50000</v>
      </c>
      <c r="O547" s="2">
        <f>IF(Данные6[[#This Row],[weighted_ext_score]]&gt;$O$1,MIN(Данные6[[#This Row],[Базовая сумма]]*$O$2,$C$2),IF(Данные6[[#This Row],[weighted_ext_score]]&lt;$O$3,Данные6[[#This Row],[Базовая сумма]]*$O$4,N547))</f>
        <v>50000</v>
      </c>
      <c r="P5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47" s="2">
        <f>ABS(Данные6[[#This Row],[days_birth]])/365.2425</f>
        <v>37.553132507854372</v>
      </c>
      <c r="S5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47" s="2">
        <f>IF(Данные6[[#This Row],[ interest_rate]]&gt;$T$1,Данные6[[#This Row],[days_birth4]]*$T$2,Данные6[[#This Row],[days_birth4]])</f>
        <v>35000</v>
      </c>
      <c r="U547" s="2">
        <f>IF(Данные6[[#This Row],[Проверка отказа]]="отказ",0,MAX(Данные6[[#This Row],[interest_rate]],$C$1))</f>
        <v>35000</v>
      </c>
      <c r="V547" s="2">
        <f>MROUND(Данные6[[#This Row],[Минимум 20000]], 100)</f>
        <v>35000</v>
      </c>
    </row>
    <row r="548" spans="1:22" x14ac:dyDescent="0.25">
      <c r="A548" s="2">
        <f>'1000_заявлений'!A542</f>
        <v>540</v>
      </c>
      <c r="B548" s="4">
        <f>VALUE(SUBSTITUTE('1000_заявлений'!B542, ".", ","))</f>
        <v>0.66737752974554398</v>
      </c>
      <c r="C548" s="4">
        <f>VALUE(SUBSTITUTE('1000_заявлений'!C542, ".", ","))</f>
        <v>0.25317938296909498</v>
      </c>
      <c r="D548" s="4">
        <f>VALUE(SUBSTITUTE('1000_заявлений'!D542, ".", ","))</f>
        <v>0.44005783999999998</v>
      </c>
      <c r="E548" s="4">
        <f>VALUE(SUBSTITUTE('1000_заявлений'!E542, ".", ","))</f>
        <v>0.28986526000000001</v>
      </c>
      <c r="F548" s="5">
        <f>VALUE(SUBSTITUTE('1000_заявлений'!F542, ".", ","))</f>
        <v>-610</v>
      </c>
      <c r="G548" s="5">
        <f>VALUE(SUBSTITUTE('1000_заявлений'!G542, ".", ","))</f>
        <v>-11084</v>
      </c>
      <c r="H548" s="5">
        <f>VALUE(SUBSTITUTE('1000_заявлений'!H542, ".", ","))</f>
        <v>-3507</v>
      </c>
      <c r="I548" s="4">
        <f>VALUE(SUBSTITUTE('1000_заявлений'!I542, ".", ","))</f>
        <v>0.22395999999999999</v>
      </c>
      <c r="J548" s="4">
        <f>VALUE(SUBSTITUTE('1000_заявлений'!J542, ".", ","))</f>
        <v>6.0867631954587296</v>
      </c>
      <c r="K548" s="5">
        <f>VALUE(SUBSTITUTE('1000_заявлений'!K542, ".", ","))</f>
        <v>-1266</v>
      </c>
      <c r="L548" s="6">
        <f>VALUE(SUBSTITUTE('1000_заявлений'!L542, ".", ","))</f>
        <v>50391</v>
      </c>
      <c r="M548" s="2" t="str">
        <f>IF(Данные6[[#This Row],[proba]]&gt;$C$6, "отказ", "одобрение")</f>
        <v>отказ</v>
      </c>
      <c r="N548" s="7">
        <f>IF(Данные6[[#This Row],[proba]]&lt;$D$2,$C$2,IF(Данные6[[#This Row],[proba]]&lt;$D$3,$C$3,IF(Данные6[[#This Row],[proba]]&gt;$C$6,0,$C$4)))</f>
        <v>0</v>
      </c>
      <c r="O548" s="2">
        <f>IF(Данные6[[#This Row],[weighted_ext_score]]&gt;$O$1,MIN(Данные6[[#This Row],[Базовая сумма]]*$O$2,$C$2),IF(Данные6[[#This Row],[weighted_ext_score]]&lt;$O$3,Данные6[[#This Row],[Базовая сумма]]*$O$4,N548))</f>
        <v>0</v>
      </c>
      <c r="P5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8" s="2">
        <f>ABS(Данные6[[#This Row],[days_birth]])/365.2425</f>
        <v>30.346961265460617</v>
      </c>
      <c r="S5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8" s="2">
        <f>IF(Данные6[[#This Row],[ interest_rate]]&gt;$T$1,Данные6[[#This Row],[days_birth4]]*$T$2,Данные6[[#This Row],[days_birth4]])</f>
        <v>0</v>
      </c>
      <c r="U548" s="2">
        <f>IF(Данные6[[#This Row],[Проверка отказа]]="отказ",0,MAX(Данные6[[#This Row],[interest_rate]],$C$1))</f>
        <v>0</v>
      </c>
      <c r="V548" s="2">
        <f>MROUND(Данные6[[#This Row],[Минимум 20000]], 100)</f>
        <v>0</v>
      </c>
    </row>
    <row r="549" spans="1:22" x14ac:dyDescent="0.25">
      <c r="A549" s="2">
        <f>'1000_заявлений'!A543</f>
        <v>541</v>
      </c>
      <c r="B549" s="4">
        <f>VALUE(SUBSTITUTE('1000_заявлений'!B543, ".", ","))</f>
        <v>0.38965428761086601</v>
      </c>
      <c r="C549" s="4">
        <f>VALUE(SUBSTITUTE('1000_заявлений'!C543, ".", ","))</f>
        <v>0.42093288163411902</v>
      </c>
      <c r="D549" s="4">
        <f>VALUE(SUBSTITUTE('1000_заявлений'!D543, ".", ","))</f>
        <v>0.58148370000000005</v>
      </c>
      <c r="E549" s="4">
        <f>VALUE(SUBSTITUTE('1000_заявлений'!E543, ".", ","))</f>
        <v>0.6103113</v>
      </c>
      <c r="F549" s="5">
        <f>VALUE(SUBSTITUTE('1000_заявлений'!F543, ".", ","))</f>
        <v>-7028</v>
      </c>
      <c r="G549" s="5">
        <f>VALUE(SUBSTITUTE('1000_заявлений'!G543, ".", ","))</f>
        <v>-13045</v>
      </c>
      <c r="H549" s="5">
        <f>VALUE(SUBSTITUTE('1000_заявлений'!H543, ".", ","))</f>
        <v>-4326</v>
      </c>
      <c r="I549" s="4">
        <f>VALUE(SUBSTITUTE('1000_заявлений'!I543, ".", ","))</f>
        <v>0.26939999999999997</v>
      </c>
      <c r="J549" s="4">
        <f>VALUE(SUBSTITUTE('1000_заявлений'!J543, ".", ","))</f>
        <v>2.6151802847663701</v>
      </c>
      <c r="K549" s="5">
        <f>VALUE(SUBSTITUTE('1000_заявлений'!K543, ".", ","))</f>
        <v>-560</v>
      </c>
      <c r="L549" s="6">
        <f>VALUE(SUBSTITUTE('1000_заявлений'!L543, ".", ","))</f>
        <v>36369</v>
      </c>
      <c r="M549" s="2" t="str">
        <f>IF(Данные6[[#This Row],[proba]]&gt;$C$6, "отказ", "одобрение")</f>
        <v>отказ</v>
      </c>
      <c r="N549" s="7">
        <f>IF(Данные6[[#This Row],[proba]]&lt;$D$2,$C$2,IF(Данные6[[#This Row],[proba]]&lt;$D$3,$C$3,IF(Данные6[[#This Row],[proba]]&gt;$C$6,0,$C$4)))</f>
        <v>0</v>
      </c>
      <c r="O549" s="2">
        <f>IF(Данные6[[#This Row],[weighted_ext_score]]&gt;$O$1,MIN(Данные6[[#This Row],[Базовая сумма]]*$O$2,$C$2),IF(Данные6[[#This Row],[weighted_ext_score]]&lt;$O$3,Данные6[[#This Row],[Базовая сумма]]*$O$4,N549))</f>
        <v>0</v>
      </c>
      <c r="P5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49" s="2">
        <f>ABS(Данные6[[#This Row],[days_birth]])/365.2425</f>
        <v>35.715996906165081</v>
      </c>
      <c r="S5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49" s="2">
        <f>IF(Данные6[[#This Row],[ interest_rate]]&gt;$T$1,Данные6[[#This Row],[days_birth4]]*$T$2,Данные6[[#This Row],[days_birth4]])</f>
        <v>0</v>
      </c>
      <c r="U549" s="2">
        <f>IF(Данные6[[#This Row],[Проверка отказа]]="отказ",0,MAX(Данные6[[#This Row],[interest_rate]],$C$1))</f>
        <v>0</v>
      </c>
      <c r="V549" s="2">
        <f>MROUND(Данные6[[#This Row],[Минимум 20000]], 100)</f>
        <v>0</v>
      </c>
    </row>
    <row r="550" spans="1:22" x14ac:dyDescent="0.25">
      <c r="A550" s="2">
        <f>'1000_заявлений'!A544</f>
        <v>542</v>
      </c>
      <c r="B550" s="4">
        <f>VALUE(SUBSTITUTE('1000_заявлений'!B544, ".", ","))</f>
        <v>0.39753068797142999</v>
      </c>
      <c r="C550" s="4">
        <f>VALUE(SUBSTITUTE('1000_заявлений'!C544, ".", ","))</f>
        <v>0.40182540412513801</v>
      </c>
      <c r="D550" s="4">
        <f>VALUE(SUBSTITUTE('1000_заявлений'!D544, ".", ","))</f>
        <v>0.54959650000000004</v>
      </c>
      <c r="E550" s="4">
        <f>VALUE(SUBSTITUTE('1000_заявлений'!E544, ".", ","))</f>
        <v>0.62598556000000005</v>
      </c>
      <c r="F550" s="5">
        <f>VALUE(SUBSTITUTE('1000_заявлений'!F544, ".", ","))</f>
        <v>-2486</v>
      </c>
      <c r="G550" s="5">
        <f>VALUE(SUBSTITUTE('1000_заявлений'!G544, ".", ","))</f>
        <v>-18167</v>
      </c>
      <c r="H550" s="5">
        <f>VALUE(SUBSTITUTE('1000_заявлений'!H544, ".", ","))</f>
        <v>-1716</v>
      </c>
      <c r="I550" s="4">
        <f>VALUE(SUBSTITUTE('1000_заявлений'!I544, ".", ","))</f>
        <v>0.19439999999999999</v>
      </c>
      <c r="J550" s="4">
        <f>VALUE(SUBSTITUTE('1000_заявлений'!J544, ".", ","))</f>
        <v>1.84195351321727</v>
      </c>
      <c r="K550" s="5">
        <f>VALUE(SUBSTITUTE('1000_заявлений'!K544, ".", ","))</f>
        <v>-1322</v>
      </c>
      <c r="L550" s="6">
        <f>VALUE(SUBSTITUTE('1000_заявлений'!L544, ".", ","))</f>
        <v>30618</v>
      </c>
      <c r="M550" s="2" t="str">
        <f>IF(Данные6[[#This Row],[proba]]&gt;$C$6, "отказ", "одобрение")</f>
        <v>отказ</v>
      </c>
      <c r="N550" s="7">
        <f>IF(Данные6[[#This Row],[proba]]&lt;$D$2,$C$2,IF(Данные6[[#This Row],[proba]]&lt;$D$3,$C$3,IF(Данные6[[#This Row],[proba]]&gt;$C$6,0,$C$4)))</f>
        <v>0</v>
      </c>
      <c r="O550" s="2">
        <f>IF(Данные6[[#This Row],[weighted_ext_score]]&gt;$O$1,MIN(Данные6[[#This Row],[Базовая сумма]]*$O$2,$C$2),IF(Данные6[[#This Row],[weighted_ext_score]]&lt;$O$3,Данные6[[#This Row],[Базовая сумма]]*$O$4,N550))</f>
        <v>0</v>
      </c>
      <c r="P5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0" s="2">
        <f>ABS(Данные6[[#This Row],[days_birth]])/365.2425</f>
        <v>49.739556595960217</v>
      </c>
      <c r="S5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0" s="2">
        <f>IF(Данные6[[#This Row],[ interest_rate]]&gt;$T$1,Данные6[[#This Row],[days_birth4]]*$T$2,Данные6[[#This Row],[days_birth4]])</f>
        <v>0</v>
      </c>
      <c r="U550" s="2">
        <f>IF(Данные6[[#This Row],[Проверка отказа]]="отказ",0,MAX(Данные6[[#This Row],[interest_rate]],$C$1))</f>
        <v>0</v>
      </c>
      <c r="V550" s="2">
        <f>MROUND(Данные6[[#This Row],[Минимум 20000]], 100)</f>
        <v>0</v>
      </c>
    </row>
    <row r="551" spans="1:22" x14ac:dyDescent="0.25">
      <c r="A551" s="2">
        <f>'1000_заявлений'!A545</f>
        <v>543</v>
      </c>
      <c r="B551" s="4">
        <f>VALUE(SUBSTITUTE('1000_заявлений'!B545, ".", ","))</f>
        <v>0.51474154013944695</v>
      </c>
      <c r="C551" s="4">
        <f>VALUE(SUBSTITUTE('1000_заявлений'!C545, ".", ","))</f>
        <v>0.31060285586615</v>
      </c>
      <c r="D551" s="4">
        <f>VALUE(SUBSTITUTE('1000_заявлений'!D545, ".", ","))</f>
        <v>0.4632753</v>
      </c>
      <c r="E551" s="4">
        <f>VALUE(SUBSTITUTE('1000_заявлений'!E545, ".", ","))</f>
        <v>0.44100586000000003</v>
      </c>
      <c r="F551" s="5">
        <f>VALUE(SUBSTITUTE('1000_заявлений'!F545, ".", ","))</f>
        <v>-11232</v>
      </c>
      <c r="G551" s="5">
        <f>VALUE(SUBSTITUTE('1000_заявлений'!G545, ".", ","))</f>
        <v>-17169</v>
      </c>
      <c r="H551" s="5">
        <f>VALUE(SUBSTITUTE('1000_заявлений'!H545, ".", ","))</f>
        <v>-708</v>
      </c>
      <c r="I551" s="4">
        <f>VALUE(SUBSTITUTE('1000_заявлений'!I545, ".", ","))</f>
        <v>0.13750000000000001</v>
      </c>
      <c r="J551" s="4">
        <f>VALUE(SUBSTITUTE('1000_заявлений'!J545, ".", ","))</f>
        <v>10.6209759779781</v>
      </c>
      <c r="K551" s="5">
        <f>VALUE(SUBSTITUTE('1000_заявлений'!K545, ".", ","))</f>
        <v>-6558</v>
      </c>
      <c r="L551" s="6">
        <f>VALUE(SUBSTITUTE('1000_заявлений'!L545, ".", ","))</f>
        <v>12375</v>
      </c>
      <c r="M551" s="2" t="str">
        <f>IF(Данные6[[#This Row],[proba]]&gt;$C$6, "отказ", "одобрение")</f>
        <v>отказ</v>
      </c>
      <c r="N551" s="7">
        <f>IF(Данные6[[#This Row],[proba]]&lt;$D$2,$C$2,IF(Данные6[[#This Row],[proba]]&lt;$D$3,$C$3,IF(Данные6[[#This Row],[proba]]&gt;$C$6,0,$C$4)))</f>
        <v>0</v>
      </c>
      <c r="O551" s="2">
        <f>IF(Данные6[[#This Row],[weighted_ext_score]]&gt;$O$1,MIN(Данные6[[#This Row],[Базовая сумма]]*$O$2,$C$2),IF(Данные6[[#This Row],[weighted_ext_score]]&lt;$O$3,Данные6[[#This Row],[Базовая сумма]]*$O$4,N551))</f>
        <v>0</v>
      </c>
      <c r="P5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1" s="2">
        <f>ABS(Данные6[[#This Row],[days_birth]])/365.2425</f>
        <v>47.007125402985686</v>
      </c>
      <c r="S5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1" s="2">
        <f>IF(Данные6[[#This Row],[ interest_rate]]&gt;$T$1,Данные6[[#This Row],[days_birth4]]*$T$2,Данные6[[#This Row],[days_birth4]])</f>
        <v>0</v>
      </c>
      <c r="U551" s="2">
        <f>IF(Данные6[[#This Row],[Проверка отказа]]="отказ",0,MAX(Данные6[[#This Row],[interest_rate]],$C$1))</f>
        <v>0</v>
      </c>
      <c r="V551" s="2">
        <f>MROUND(Данные6[[#This Row],[Минимум 20000]], 100)</f>
        <v>0</v>
      </c>
    </row>
    <row r="552" spans="1:22" x14ac:dyDescent="0.25">
      <c r="A552" s="2">
        <f>'1000_заявлений'!A546</f>
        <v>544</v>
      </c>
      <c r="B552" s="4">
        <f>VALUE(SUBSTITUTE('1000_заявлений'!B546, ".", ","))</f>
        <v>0.38561234007300399</v>
      </c>
      <c r="C552" s="4">
        <f>VALUE(SUBSTITUTE('1000_заявлений'!C546, ".", ","))</f>
        <v>0.538823394590069</v>
      </c>
      <c r="D552" s="4">
        <f>VALUE(SUBSTITUTE('1000_заявлений'!D546, ".", ","))</f>
        <v>0.59197664000000005</v>
      </c>
      <c r="E552" s="4">
        <f>VALUE(SUBSTITUTE('1000_заявлений'!E546, ".", ","))</f>
        <v>0.20739956000000001</v>
      </c>
      <c r="F552" s="5">
        <f>VALUE(SUBSTITUTE('1000_заявлений'!F546, ".", ","))</f>
        <v>-3284</v>
      </c>
      <c r="G552" s="5">
        <f>VALUE(SUBSTITUTE('1000_заявлений'!G546, ".", ","))</f>
        <v>-22540</v>
      </c>
      <c r="H552" s="5">
        <f>VALUE(SUBSTITUTE('1000_заявлений'!H546, ".", ","))</f>
        <v>-4751</v>
      </c>
      <c r="I552" s="4">
        <f>VALUE(SUBSTITUTE('1000_заявлений'!I546, ".", ","))</f>
        <v>0.21128</v>
      </c>
      <c r="J552" s="4">
        <f>VALUE(SUBSTITUTE('1000_заявлений'!J546, ".", ","))</f>
        <v>2.04123618330871</v>
      </c>
      <c r="K552" s="5">
        <f>VALUE(SUBSTITUTE('1000_заявлений'!K546, ".", ","))</f>
        <v>365243</v>
      </c>
      <c r="L552" s="6">
        <f>VALUE(SUBSTITUTE('1000_заявлений'!L546, ".", ","))</f>
        <v>23769</v>
      </c>
      <c r="M552" s="2" t="str">
        <f>IF(Данные6[[#This Row],[proba]]&gt;$C$6, "отказ", "одобрение")</f>
        <v>отказ</v>
      </c>
      <c r="N552" s="7">
        <f>IF(Данные6[[#This Row],[proba]]&lt;$D$2,$C$2,IF(Данные6[[#This Row],[proba]]&lt;$D$3,$C$3,IF(Данные6[[#This Row],[proba]]&gt;$C$6,0,$C$4)))</f>
        <v>0</v>
      </c>
      <c r="O552" s="2">
        <f>IF(Данные6[[#This Row],[weighted_ext_score]]&gt;$O$1,MIN(Данные6[[#This Row],[Базовая сумма]]*$O$2,$C$2),IF(Данные6[[#This Row],[weighted_ext_score]]&lt;$O$3,Данные6[[#This Row],[Базовая сумма]]*$O$4,N552))</f>
        <v>0</v>
      </c>
      <c r="P5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2" s="2">
        <f>ABS(Данные6[[#This Row],[days_birth]])/365.2425</f>
        <v>61.71242393752096</v>
      </c>
      <c r="S5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2" s="2">
        <f>IF(Данные6[[#This Row],[ interest_rate]]&gt;$T$1,Данные6[[#This Row],[days_birth4]]*$T$2,Данные6[[#This Row],[days_birth4]])</f>
        <v>0</v>
      </c>
      <c r="U552" s="2">
        <f>IF(Данные6[[#This Row],[Проверка отказа]]="отказ",0,MAX(Данные6[[#This Row],[interest_rate]],$C$1))</f>
        <v>0</v>
      </c>
      <c r="V552" s="2">
        <f>MROUND(Данные6[[#This Row],[Минимум 20000]], 100)</f>
        <v>0</v>
      </c>
    </row>
    <row r="553" spans="1:22" x14ac:dyDescent="0.25">
      <c r="A553" s="2">
        <f>'1000_заявлений'!A547</f>
        <v>545</v>
      </c>
      <c r="B553" s="4">
        <f>VALUE(SUBSTITUTE('1000_заявлений'!B547, ".", ","))</f>
        <v>0.69405394068053605</v>
      </c>
      <c r="C553" s="4">
        <f>VALUE(SUBSTITUTE('1000_заявлений'!C547, ".", ","))</f>
        <v>0.172857484388768</v>
      </c>
      <c r="D553" s="4">
        <f>VALUE(SUBSTITUTE('1000_заявлений'!D547, ".", ","))</f>
        <v>0.12373532</v>
      </c>
      <c r="E553" s="4">
        <f>VALUE(SUBSTITUTE('1000_заявлений'!E547, ".", ","))</f>
        <v>0.39493158</v>
      </c>
      <c r="F553" s="5">
        <f>VALUE(SUBSTITUTE('1000_заявлений'!F547, ".", ","))</f>
        <v>-9883</v>
      </c>
      <c r="G553" s="5">
        <f>VALUE(SUBSTITUTE('1000_заявлений'!G547, ".", ","))</f>
        <v>-21112</v>
      </c>
      <c r="H553" s="5">
        <f>VALUE(SUBSTITUTE('1000_заявлений'!H547, ".", ","))</f>
        <v>-3936</v>
      </c>
      <c r="I553" s="4">
        <f>VALUE(SUBSTITUTE('1000_заявлений'!I547, ".", ","))</f>
        <v>9.5055555555555504E-2</v>
      </c>
      <c r="J553" s="4">
        <f>VALUE(SUBSTITUTE('1000_заявлений'!J547, ".", ","))</f>
        <v>5.3730779051882998</v>
      </c>
      <c r="K553" s="5">
        <f>VALUE(SUBSTITUTE('1000_заявлений'!K547, ".", ","))</f>
        <v>365243</v>
      </c>
      <c r="L553" s="6">
        <f>VALUE(SUBSTITUTE('1000_заявлений'!L547, ".", ","))</f>
        <v>15399</v>
      </c>
      <c r="M553" s="2" t="str">
        <f>IF(Данные6[[#This Row],[proba]]&gt;$C$6, "отказ", "одобрение")</f>
        <v>отказ</v>
      </c>
      <c r="N553" s="7">
        <f>IF(Данные6[[#This Row],[proba]]&lt;$D$2,$C$2,IF(Данные6[[#This Row],[proba]]&lt;$D$3,$C$3,IF(Данные6[[#This Row],[proba]]&gt;$C$6,0,$C$4)))</f>
        <v>0</v>
      </c>
      <c r="O553" s="2">
        <f>IF(Данные6[[#This Row],[weighted_ext_score]]&gt;$O$1,MIN(Данные6[[#This Row],[Базовая сумма]]*$O$2,$C$2),IF(Данные6[[#This Row],[weighted_ext_score]]&lt;$O$3,Данные6[[#This Row],[Базовая сумма]]*$O$4,N553))</f>
        <v>0</v>
      </c>
      <c r="P5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3" s="2">
        <f>ABS(Данные6[[#This Row],[days_birth]])/365.2425</f>
        <v>57.80269273154137</v>
      </c>
      <c r="S5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3" s="2">
        <f>IF(Данные6[[#This Row],[ interest_rate]]&gt;$T$1,Данные6[[#This Row],[days_birth4]]*$T$2,Данные6[[#This Row],[days_birth4]])</f>
        <v>0</v>
      </c>
      <c r="U553" s="2">
        <f>IF(Данные6[[#This Row],[Проверка отказа]]="отказ",0,MAX(Данные6[[#This Row],[interest_rate]],$C$1))</f>
        <v>0</v>
      </c>
      <c r="V553" s="2">
        <f>MROUND(Данные6[[#This Row],[Минимум 20000]], 100)</f>
        <v>0</v>
      </c>
    </row>
    <row r="554" spans="1:22" x14ac:dyDescent="0.25">
      <c r="A554" s="2">
        <f>'1000_заявлений'!A548</f>
        <v>546</v>
      </c>
      <c r="B554" s="4">
        <f>VALUE(SUBSTITUTE('1000_заявлений'!B548, ".", ","))</f>
        <v>0.18870949269911999</v>
      </c>
      <c r="C554" s="4">
        <f>VALUE(SUBSTITUTE('1000_заявлений'!C548, ".", ","))</f>
        <v>0.70408642890404605</v>
      </c>
      <c r="D554" s="4">
        <f>VALUE(SUBSTITUTE('1000_заявлений'!D548, ".", ","))</f>
        <v>0.74079907</v>
      </c>
      <c r="E554" s="4">
        <f>VALUE(SUBSTITUTE('1000_заявлений'!E548, ".", ","))</f>
        <v>0.69952029999999998</v>
      </c>
      <c r="F554" s="5">
        <f>VALUE(SUBSTITUTE('1000_заявлений'!F548, ".", ","))</f>
        <v>-9789</v>
      </c>
      <c r="G554" s="5">
        <f>VALUE(SUBSTITUTE('1000_заявлений'!G548, ".", ","))</f>
        <v>-16285</v>
      </c>
      <c r="H554" s="5">
        <f>VALUE(SUBSTITUTE('1000_заявлений'!H548, ".", ","))</f>
        <v>-1205</v>
      </c>
      <c r="I554" s="4">
        <f>VALUE(SUBSTITUTE('1000_заявлений'!I548, ".", ","))</f>
        <v>0.32363999999999998</v>
      </c>
      <c r="J554" s="4">
        <f>VALUE(SUBSTITUTE('1000_заявлений'!J548, ".", ","))</f>
        <v>2.99447572364799</v>
      </c>
      <c r="K554" s="5">
        <f>VALUE(SUBSTITUTE('1000_заявлений'!K548, ".", ","))</f>
        <v>-572</v>
      </c>
      <c r="L554" s="6">
        <f>VALUE(SUBSTITUTE('1000_заявлений'!L548, ".", ","))</f>
        <v>36409.5</v>
      </c>
      <c r="M554" s="2" t="str">
        <f>IF(Данные6[[#This Row],[proba]]&gt;$C$6, "отказ", "одобрение")</f>
        <v>одобрение</v>
      </c>
      <c r="N554" s="7">
        <f>IF(Данные6[[#This Row],[proba]]&lt;$D$2,$C$2,IF(Данные6[[#This Row],[proba]]&lt;$D$3,$C$3,IF(Данные6[[#This Row],[proba]]&gt;$C$6,0,$C$4)))</f>
        <v>200000</v>
      </c>
      <c r="O554" s="2">
        <f>IF(Данные6[[#This Row],[weighted_ext_score]]&gt;$O$1,MIN(Данные6[[#This Row],[Базовая сумма]]*$O$2,$C$2),IF(Данные6[[#This Row],[weighted_ext_score]]&lt;$O$3,Данные6[[#This Row],[Базовая сумма]]*$O$4,N554))</f>
        <v>300000</v>
      </c>
      <c r="P5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5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210000</v>
      </c>
      <c r="R554" s="2">
        <f>ABS(Данные6[[#This Row],[days_birth]])/365.2425</f>
        <v>44.586815608807846</v>
      </c>
      <c r="S5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554" s="2">
        <f>IF(Данные6[[#This Row],[ interest_rate]]&gt;$T$1,Данные6[[#This Row],[days_birth4]]*$T$2,Данные6[[#This Row],[days_birth4]])</f>
        <v>210000</v>
      </c>
      <c r="U554" s="2">
        <f>IF(Данные6[[#This Row],[Проверка отказа]]="отказ",0,MAX(Данные6[[#This Row],[interest_rate]],$C$1))</f>
        <v>210000</v>
      </c>
      <c r="V554" s="2">
        <f>MROUND(Данные6[[#This Row],[Минимум 20000]], 100)</f>
        <v>210000</v>
      </c>
    </row>
    <row r="555" spans="1:22" x14ac:dyDescent="0.25">
      <c r="A555" s="2">
        <f>'1000_заявлений'!A549</f>
        <v>547</v>
      </c>
      <c r="B555" s="4">
        <f>VALUE(SUBSTITUTE('1000_заявлений'!B549, ".", ","))</f>
        <v>0.22913722962473501</v>
      </c>
      <c r="C555" s="4">
        <f>VALUE(SUBSTITUTE('1000_заявлений'!C549, ".", ","))</f>
        <v>0.637705263506675</v>
      </c>
      <c r="D555" s="4">
        <f>VALUE(SUBSTITUTE('1000_заявлений'!D549, ".", ","))</f>
        <v>0.62122630000000001</v>
      </c>
      <c r="E555" s="4">
        <f>VALUE(SUBSTITUTE('1000_заявлений'!E549, ".", ","))</f>
        <v>0.67842060000000004</v>
      </c>
      <c r="F555" s="5">
        <f>VALUE(SUBSTITUTE('1000_заявлений'!F549, ".", ","))</f>
        <v>-3079</v>
      </c>
      <c r="G555" s="5">
        <f>VALUE(SUBSTITUTE('1000_заявлений'!G549, ".", ","))</f>
        <v>-13044</v>
      </c>
      <c r="H555" s="5">
        <f>VALUE(SUBSTITUTE('1000_заявлений'!H549, ".", ","))</f>
        <v>-4137</v>
      </c>
      <c r="I555" s="4">
        <f>VALUE(SUBSTITUTE('1000_заявлений'!I549, ".", ","))</f>
        <v>0.12736666666666599</v>
      </c>
      <c r="J555" s="4">
        <f>VALUE(SUBSTITUTE('1000_заявлений'!J549, ".", ","))</f>
        <v>5.4456527187522301</v>
      </c>
      <c r="K555" s="5">
        <f>VALUE(SUBSTITUTE('1000_заявлений'!K549, ".", ","))</f>
        <v>-2621</v>
      </c>
      <c r="L555" s="6">
        <f>VALUE(SUBSTITUTE('1000_заявлений'!L549, ".", ","))</f>
        <v>17194.5</v>
      </c>
      <c r="M555" s="2" t="str">
        <f>IF(Данные6[[#This Row],[proba]]&gt;$C$6, "отказ", "одобрение")</f>
        <v>одобрение</v>
      </c>
      <c r="N555" s="7">
        <f>IF(Данные6[[#This Row],[proba]]&lt;$D$2,$C$2,IF(Данные6[[#This Row],[proba]]&lt;$D$3,$C$3,IF(Данные6[[#This Row],[proba]]&gt;$C$6,0,$C$4)))</f>
        <v>50000</v>
      </c>
      <c r="O555" s="2">
        <f>IF(Данные6[[#This Row],[weighted_ext_score]]&gt;$O$1,MIN(Данные6[[#This Row],[Базовая сумма]]*$O$2,$C$2),IF(Данные6[[#This Row],[weighted_ext_score]]&lt;$O$3,Данные6[[#This Row],[Базовая сумма]]*$O$4,N555))</f>
        <v>50000</v>
      </c>
      <c r="P5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55" s="2">
        <f>ABS(Данные6[[#This Row],[days_birth]])/365.2425</f>
        <v>35.713258999158093</v>
      </c>
      <c r="S5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55" s="2">
        <f>IF(Данные6[[#This Row],[ interest_rate]]&gt;$T$1,Данные6[[#This Row],[days_birth4]]*$T$2,Данные6[[#This Row],[days_birth4]])</f>
        <v>35000</v>
      </c>
      <c r="U555" s="2">
        <f>IF(Данные6[[#This Row],[Проверка отказа]]="отказ",0,MAX(Данные6[[#This Row],[interest_rate]],$C$1))</f>
        <v>35000</v>
      </c>
      <c r="V555" s="2">
        <f>MROUND(Данные6[[#This Row],[Минимум 20000]], 100)</f>
        <v>35000</v>
      </c>
    </row>
    <row r="556" spans="1:22" x14ac:dyDescent="0.25">
      <c r="A556" s="2">
        <f>'1000_заявлений'!A550</f>
        <v>548</v>
      </c>
      <c r="B556" s="4">
        <f>VALUE(SUBSTITUTE('1000_заявлений'!B550, ".", ","))</f>
        <v>0.48803022761635101</v>
      </c>
      <c r="C556" s="4">
        <f>VALUE(SUBSTITUTE('1000_заявлений'!C550, ".", ","))</f>
        <v>0.32265011269374599</v>
      </c>
      <c r="D556" s="4">
        <f>VALUE(SUBSTITUTE('1000_заявлений'!D550, ".", ","))</f>
        <v>0.27644067999999999</v>
      </c>
      <c r="E556" s="4">
        <f>VALUE(SUBSTITUTE('1000_заявлений'!E550, ".", ","))</f>
        <v>0.68645774999999998</v>
      </c>
      <c r="F556" s="5">
        <f>VALUE(SUBSTITUTE('1000_заявлений'!F550, ".", ","))</f>
        <v>-3522</v>
      </c>
      <c r="G556" s="5">
        <f>VALUE(SUBSTITUTE('1000_заявлений'!G550, ".", ","))</f>
        <v>-23654</v>
      </c>
      <c r="H556" s="5">
        <f>VALUE(SUBSTITUTE('1000_заявлений'!H550, ".", ","))</f>
        <v>-3819</v>
      </c>
      <c r="I556" s="4">
        <f>VALUE(SUBSTITUTE('1000_заявлений'!I550, ".", ","))</f>
        <v>0.29847826086956503</v>
      </c>
      <c r="J556" s="4">
        <f>VALUE(SUBSTITUTE('1000_заявлений'!J550, ".", ","))</f>
        <v>1.5519146418863701</v>
      </c>
      <c r="K556" s="5">
        <f>VALUE(SUBSTITUTE('1000_заявлений'!K550, ".", ","))</f>
        <v>365243</v>
      </c>
      <c r="L556" s="6">
        <f>VALUE(SUBSTITUTE('1000_заявлений'!L550, ".", ","))</f>
        <v>30892.5</v>
      </c>
      <c r="M556" s="2" t="str">
        <f>IF(Данные6[[#This Row],[proba]]&gt;$C$6, "отказ", "одобрение")</f>
        <v>отказ</v>
      </c>
      <c r="N556" s="7">
        <f>IF(Данные6[[#This Row],[proba]]&lt;$D$2,$C$2,IF(Данные6[[#This Row],[proba]]&lt;$D$3,$C$3,IF(Данные6[[#This Row],[proba]]&gt;$C$6,0,$C$4)))</f>
        <v>0</v>
      </c>
      <c r="O556" s="2">
        <f>IF(Данные6[[#This Row],[weighted_ext_score]]&gt;$O$1,MIN(Данные6[[#This Row],[Базовая сумма]]*$O$2,$C$2),IF(Данные6[[#This Row],[weighted_ext_score]]&lt;$O$3,Данные6[[#This Row],[Базовая сумма]]*$O$4,N556))</f>
        <v>0</v>
      </c>
      <c r="P5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6" s="2">
        <f>ABS(Данные6[[#This Row],[days_birth]])/365.2425</f>
        <v>64.762452343306165</v>
      </c>
      <c r="S5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6" s="2">
        <f>IF(Данные6[[#This Row],[ interest_rate]]&gt;$T$1,Данные6[[#This Row],[days_birth4]]*$T$2,Данные6[[#This Row],[days_birth4]])</f>
        <v>0</v>
      </c>
      <c r="U556" s="2">
        <f>IF(Данные6[[#This Row],[Проверка отказа]]="отказ",0,MAX(Данные6[[#This Row],[interest_rate]],$C$1))</f>
        <v>0</v>
      </c>
      <c r="V556" s="2">
        <f>MROUND(Данные6[[#This Row],[Минимум 20000]], 100)</f>
        <v>0</v>
      </c>
    </row>
    <row r="557" spans="1:22" x14ac:dyDescent="0.25">
      <c r="A557" s="2">
        <f>'1000_заявлений'!A551</f>
        <v>549</v>
      </c>
      <c r="B557" s="4">
        <f>VALUE(SUBSTITUTE('1000_заявлений'!B551, ".", ","))</f>
        <v>0.49781516525720498</v>
      </c>
      <c r="C557" s="4">
        <f>VALUE(SUBSTITUTE('1000_заявлений'!C551, ".", ","))</f>
        <v>0.305348284376741</v>
      </c>
      <c r="D557" s="4">
        <f>VALUE(SUBSTITUTE('1000_заявлений'!D551, ".", ","))</f>
        <v>0.45789953999999999</v>
      </c>
      <c r="E557" s="4">
        <f>VALUE(SUBSTITUTE('1000_заявлений'!E551, ".", ","))</f>
        <v>0.43080062000000002</v>
      </c>
      <c r="F557" s="5">
        <f>VALUE(SUBSTITUTE('1000_заявлений'!F551, ".", ","))</f>
        <v>-6106</v>
      </c>
      <c r="G557" s="5">
        <f>VALUE(SUBSTITUTE('1000_заявлений'!G551, ".", ","))</f>
        <v>-22541</v>
      </c>
      <c r="H557" s="5">
        <f>VALUE(SUBSTITUTE('1000_заявлений'!H551, ".", ","))</f>
        <v>-4587</v>
      </c>
      <c r="I557" s="4">
        <f>VALUE(SUBSTITUTE('1000_заявлений'!I551, ".", ","))</f>
        <v>0.296833333333333</v>
      </c>
      <c r="J557" s="4">
        <f>VALUE(SUBSTITUTE('1000_заявлений'!J551, ".", ","))</f>
        <v>2.6433960754607799</v>
      </c>
      <c r="K557" s="5">
        <f>VALUE(SUBSTITUTE('1000_заявлений'!K551, ".", ","))</f>
        <v>365243</v>
      </c>
      <c r="L557" s="6">
        <f>VALUE(SUBSTITUTE('1000_заявлений'!L551, ".", ","))</f>
        <v>24043.5</v>
      </c>
      <c r="M557" s="2" t="str">
        <f>IF(Данные6[[#This Row],[proba]]&gt;$C$6, "отказ", "одобрение")</f>
        <v>отказ</v>
      </c>
      <c r="N557" s="7">
        <f>IF(Данные6[[#This Row],[proba]]&lt;$D$2,$C$2,IF(Данные6[[#This Row],[proba]]&lt;$D$3,$C$3,IF(Данные6[[#This Row],[proba]]&gt;$C$6,0,$C$4)))</f>
        <v>0</v>
      </c>
      <c r="O557" s="2">
        <f>IF(Данные6[[#This Row],[weighted_ext_score]]&gt;$O$1,MIN(Данные6[[#This Row],[Базовая сумма]]*$O$2,$C$2),IF(Данные6[[#This Row],[weighted_ext_score]]&lt;$O$3,Данные6[[#This Row],[Базовая сумма]]*$O$4,N557))</f>
        <v>0</v>
      </c>
      <c r="P5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7" s="2">
        <f>ABS(Данные6[[#This Row],[days_birth]])/365.2425</f>
        <v>61.715161844527948</v>
      </c>
      <c r="S5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7" s="2">
        <f>IF(Данные6[[#This Row],[ interest_rate]]&gt;$T$1,Данные6[[#This Row],[days_birth4]]*$T$2,Данные6[[#This Row],[days_birth4]])</f>
        <v>0</v>
      </c>
      <c r="U557" s="2">
        <f>IF(Данные6[[#This Row],[Проверка отказа]]="отказ",0,MAX(Данные6[[#This Row],[interest_rate]],$C$1))</f>
        <v>0</v>
      </c>
      <c r="V557" s="2">
        <f>MROUND(Данные6[[#This Row],[Минимум 20000]], 100)</f>
        <v>0</v>
      </c>
    </row>
    <row r="558" spans="1:22" x14ac:dyDescent="0.25">
      <c r="A558" s="2">
        <f>'1000_заявлений'!A552</f>
        <v>550</v>
      </c>
      <c r="B558" s="4">
        <f>VALUE(SUBSTITUTE('1000_заявлений'!B552, ".", ","))</f>
        <v>0.175533756873549</v>
      </c>
      <c r="C558" s="4">
        <f>VALUE(SUBSTITUTE('1000_заявлений'!C552, ".", ","))</f>
        <v>0.66288860357152801</v>
      </c>
      <c r="D558" s="4">
        <f>VALUE(SUBSTITUTE('1000_заявлений'!D552, ".", ","))</f>
        <v>0.84637810000000002</v>
      </c>
      <c r="E558" s="4">
        <f>VALUE(SUBSTITUTE('1000_заявлений'!E552, ".", ","))</f>
        <v>0.52008736</v>
      </c>
      <c r="F558" s="5">
        <f>VALUE(SUBSTITUTE('1000_заявлений'!F552, ".", ","))</f>
        <v>-9856</v>
      </c>
      <c r="G558" s="5">
        <f>VALUE(SUBSTITUTE('1000_заявлений'!G552, ".", ","))</f>
        <v>-17489</v>
      </c>
      <c r="H558" s="5">
        <f>VALUE(SUBSTITUTE('1000_заявлений'!H552, ".", ","))</f>
        <v>-941</v>
      </c>
      <c r="I558" s="4">
        <f>VALUE(SUBSTITUTE('1000_заявлений'!I552, ".", ","))</f>
        <v>0.41535</v>
      </c>
      <c r="J558" s="4">
        <f>VALUE(SUBSTITUTE('1000_заявлений'!J552, ".", ","))</f>
        <v>3.2772095667945802</v>
      </c>
      <c r="K558" s="5">
        <f>VALUE(SUBSTITUTE('1000_заявлений'!K552, ".", ","))</f>
        <v>365243</v>
      </c>
      <c r="L558" s="6">
        <f>VALUE(SUBSTITUTE('1000_заявлений'!L552, ".", ","))</f>
        <v>74763</v>
      </c>
      <c r="M558" s="2" t="str">
        <f>IF(Данные6[[#This Row],[proba]]&gt;$C$6, "отказ", "одобрение")</f>
        <v>одобрение</v>
      </c>
      <c r="N558" s="7">
        <f>IF(Данные6[[#This Row],[proba]]&lt;$D$2,$C$2,IF(Данные6[[#This Row],[proba]]&lt;$D$3,$C$3,IF(Данные6[[#This Row],[proba]]&gt;$C$6,0,$C$4)))</f>
        <v>200000</v>
      </c>
      <c r="O558" s="2">
        <f>IF(Данные6[[#This Row],[weighted_ext_score]]&gt;$O$1,MIN(Данные6[[#This Row],[Базовая сумма]]*$O$2,$C$2),IF(Данные6[[#This Row],[weighted_ext_score]]&lt;$O$3,Данные6[[#This Row],[Базовая сумма]]*$O$4,N558))</f>
        <v>200000</v>
      </c>
      <c r="P5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5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558" s="2">
        <f>ABS(Данные6[[#This Row],[days_birth]])/365.2425</f>
        <v>47.883255645222008</v>
      </c>
      <c r="S5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160000</v>
      </c>
      <c r="T558" s="2">
        <f>IF(Данные6[[#This Row],[ interest_rate]]&gt;$T$1,Данные6[[#This Row],[days_birth4]]*$T$2,Данные6[[#This Row],[days_birth4]])</f>
        <v>160000</v>
      </c>
      <c r="U558" s="2">
        <f>IF(Данные6[[#This Row],[Проверка отказа]]="отказ",0,MAX(Данные6[[#This Row],[interest_rate]],$C$1))</f>
        <v>160000</v>
      </c>
      <c r="V558" s="2">
        <f>MROUND(Данные6[[#This Row],[Минимум 20000]], 100)</f>
        <v>160000</v>
      </c>
    </row>
    <row r="559" spans="1:22" x14ac:dyDescent="0.25">
      <c r="A559" s="2">
        <f>'1000_заявлений'!A553</f>
        <v>551</v>
      </c>
      <c r="B559" s="4">
        <f>VALUE(SUBSTITUTE('1000_заявлений'!B553, ".", ","))</f>
        <v>0.33448759632235298</v>
      </c>
      <c r="C559" s="4">
        <f>VALUE(SUBSTITUTE('1000_заявлений'!C553, ".", ","))</f>
        <v>0.37673325347893</v>
      </c>
      <c r="D559" s="4">
        <f>VALUE(SUBSTITUTE('1000_заявлений'!D553, ".", ","))</f>
        <v>0.7623356</v>
      </c>
      <c r="E559" s="4">
        <f>VALUE(SUBSTITUTE('1000_заявлений'!E553, ".", ","))</f>
        <v>0.31143609999999999</v>
      </c>
      <c r="F559" s="5">
        <f>VALUE(SUBSTITUTE('1000_заявлений'!F553, ".", ","))</f>
        <v>-1129</v>
      </c>
      <c r="G559" s="5">
        <f>VALUE(SUBSTITUTE('1000_заявлений'!G553, ".", ","))</f>
        <v>-21402</v>
      </c>
      <c r="H559" s="5">
        <f>VALUE(SUBSTITUTE('1000_заявлений'!H553, ".", ","))</f>
        <v>-4478</v>
      </c>
      <c r="I559" s="4">
        <f>VALUE(SUBSTITUTE('1000_заявлений'!I553, ".", ","))</f>
        <v>0.19614000000000001</v>
      </c>
      <c r="J559" s="4">
        <f>VALUE(SUBSTITUTE('1000_заявлений'!J553, ".", ","))</f>
        <v>0.72154633656382705</v>
      </c>
      <c r="K559" s="5">
        <f>VALUE(SUBSTITUTE('1000_заявлений'!K553, ".", ","))</f>
        <v>365243</v>
      </c>
      <c r="L559" s="6">
        <f>VALUE(SUBSTITUTE('1000_заявлений'!L553, ".", ","))</f>
        <v>44131.5</v>
      </c>
      <c r="M559" s="2" t="str">
        <f>IF(Данные6[[#This Row],[proba]]&gt;$C$6, "отказ", "одобрение")</f>
        <v>отказ</v>
      </c>
      <c r="N559" s="7">
        <f>IF(Данные6[[#This Row],[proba]]&lt;$D$2,$C$2,IF(Данные6[[#This Row],[proba]]&lt;$D$3,$C$3,IF(Данные6[[#This Row],[proba]]&gt;$C$6,0,$C$4)))</f>
        <v>0</v>
      </c>
      <c r="O559" s="2">
        <f>IF(Данные6[[#This Row],[weighted_ext_score]]&gt;$O$1,MIN(Данные6[[#This Row],[Базовая сумма]]*$O$2,$C$2),IF(Данные6[[#This Row],[weighted_ext_score]]&lt;$O$3,Данные6[[#This Row],[Базовая сумма]]*$O$4,N559))</f>
        <v>0</v>
      </c>
      <c r="P5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59" s="2">
        <f>ABS(Данные6[[#This Row],[days_birth]])/365.2425</f>
        <v>58.59668576356804</v>
      </c>
      <c r="S5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59" s="2">
        <f>IF(Данные6[[#This Row],[ interest_rate]]&gt;$T$1,Данные6[[#This Row],[days_birth4]]*$T$2,Данные6[[#This Row],[days_birth4]])</f>
        <v>0</v>
      </c>
      <c r="U559" s="2">
        <f>IF(Данные6[[#This Row],[Проверка отказа]]="отказ",0,MAX(Данные6[[#This Row],[interest_rate]],$C$1))</f>
        <v>0</v>
      </c>
      <c r="V559" s="2">
        <f>MROUND(Данные6[[#This Row],[Минимум 20000]], 100)</f>
        <v>0</v>
      </c>
    </row>
    <row r="560" spans="1:22" x14ac:dyDescent="0.25">
      <c r="A560" s="2">
        <f>'1000_заявлений'!A554</f>
        <v>552</v>
      </c>
      <c r="B560" s="4">
        <f>VALUE(SUBSTITUTE('1000_заявлений'!B554, ".", ","))</f>
        <v>0.259311602417924</v>
      </c>
      <c r="C560" s="4">
        <f>VALUE(SUBSTITUTE('1000_заявлений'!C554, ".", ","))</f>
        <v>0.47546355930360701</v>
      </c>
      <c r="D560" s="4">
        <f>VALUE(SUBSTITUTE('1000_заявлений'!D554, ".", ","))</f>
        <v>0.65289649999999999</v>
      </c>
      <c r="E560" s="4">
        <f>VALUE(SUBSTITUTE('1000_заявлений'!E554, ".", ","))</f>
        <v>0.73782490000000001</v>
      </c>
      <c r="F560" s="5">
        <f>VALUE(SUBSTITUTE('1000_заявлений'!F554, ".", ","))</f>
        <v>-2901</v>
      </c>
      <c r="G560" s="5">
        <f>VALUE(SUBSTITUTE('1000_заявлений'!G554, ".", ","))</f>
        <v>-13702</v>
      </c>
      <c r="H560" s="5">
        <f>VALUE(SUBSTITUTE('1000_заявлений'!H554, ".", ","))</f>
        <v>-4299</v>
      </c>
      <c r="I560" s="4">
        <f>VALUE(SUBSTITUTE('1000_заявлений'!I554, ".", ","))</f>
        <v>0.157836363636363</v>
      </c>
      <c r="J560" s="4">
        <f>VALUE(SUBSTITUTE('1000_заявлений'!J554, ".", ","))</f>
        <v>2.5997570030284298</v>
      </c>
      <c r="K560" s="5">
        <f>VALUE(SUBSTITUTE('1000_заявлений'!K554, ".", ","))</f>
        <v>-797</v>
      </c>
      <c r="L560" s="6">
        <f>VALUE(SUBSTITUTE('1000_заявлений'!L554, ".", ","))</f>
        <v>39064.5</v>
      </c>
      <c r="M560" s="2" t="str">
        <f>IF(Данные6[[#This Row],[proba]]&gt;$C$6, "отказ", "одобрение")</f>
        <v>одобрение</v>
      </c>
      <c r="N560" s="7">
        <f>IF(Данные6[[#This Row],[proba]]&lt;$D$2,$C$2,IF(Данные6[[#This Row],[proba]]&lt;$D$3,$C$3,IF(Данные6[[#This Row],[proba]]&gt;$C$6,0,$C$4)))</f>
        <v>50000</v>
      </c>
      <c r="O560" s="2">
        <f>IF(Данные6[[#This Row],[weighted_ext_score]]&gt;$O$1,MIN(Данные6[[#This Row],[Базовая сумма]]*$O$2,$C$2),IF(Данные6[[#This Row],[weighted_ext_score]]&lt;$O$3,Данные6[[#This Row],[Базовая сумма]]*$O$4,N560))</f>
        <v>40000</v>
      </c>
      <c r="P5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5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560" s="2">
        <f>ABS(Данные6[[#This Row],[days_birth]])/365.2425</f>
        <v>37.514801809756534</v>
      </c>
      <c r="S5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560" s="2">
        <f>IF(Данные6[[#This Row],[ interest_rate]]&gt;$T$1,Данные6[[#This Row],[days_birth4]]*$T$2,Данные6[[#This Row],[days_birth4]])</f>
        <v>28000</v>
      </c>
      <c r="U560" s="2">
        <f>IF(Данные6[[#This Row],[Проверка отказа]]="отказ",0,MAX(Данные6[[#This Row],[interest_rate]],$C$1))</f>
        <v>28000</v>
      </c>
      <c r="V560" s="2">
        <f>MROUND(Данные6[[#This Row],[Минимум 20000]], 100)</f>
        <v>28000</v>
      </c>
    </row>
    <row r="561" spans="1:22" x14ac:dyDescent="0.25">
      <c r="A561" s="2">
        <f>'1000_заявлений'!A555</f>
        <v>553</v>
      </c>
      <c r="B561" s="4">
        <f>VALUE(SUBSTITUTE('1000_заявлений'!B555, ".", ","))</f>
        <v>0.32966387770272598</v>
      </c>
      <c r="C561" s="4">
        <f>VALUE(SUBSTITUTE('1000_заявлений'!C555, ".", ","))</f>
        <v>0.51063885574509704</v>
      </c>
      <c r="D561" s="4">
        <f>VALUE(SUBSTITUTE('1000_заявлений'!D555, ".", ","))</f>
        <v>0.52629495000000004</v>
      </c>
      <c r="E561" s="4">
        <f>VALUE(SUBSTITUTE('1000_заявлений'!E555, ".", ","))</f>
        <v>0.57966960000000001</v>
      </c>
      <c r="F561" s="5">
        <f>VALUE(SUBSTITUTE('1000_заявлений'!F555, ".", ","))</f>
        <v>-2891</v>
      </c>
      <c r="G561" s="5">
        <f>VALUE(SUBSTITUTE('1000_заявлений'!G555, ".", ","))</f>
        <v>-18929</v>
      </c>
      <c r="H561" s="5">
        <f>VALUE(SUBSTITUTE('1000_заявлений'!H555, ".", ","))</f>
        <v>-2474</v>
      </c>
      <c r="I561" s="4">
        <f>VALUE(SUBSTITUTE('1000_заявлений'!I555, ".", ","))</f>
        <v>0.24632499999999999</v>
      </c>
      <c r="J561" s="4">
        <f>VALUE(SUBSTITUTE('1000_заявлений'!J555, ".", ","))</f>
        <v>0.71875757736485901</v>
      </c>
      <c r="K561" s="5">
        <f>VALUE(SUBSTITUTE('1000_заявлений'!K555, ".", ","))</f>
        <v>365243</v>
      </c>
      <c r="L561" s="6">
        <f>VALUE(SUBSTITUTE('1000_заявлений'!L555, ".", ","))</f>
        <v>44338.5</v>
      </c>
      <c r="M561" s="2" t="str">
        <f>IF(Данные6[[#This Row],[proba]]&gt;$C$6, "отказ", "одобрение")</f>
        <v>отказ</v>
      </c>
      <c r="N561" s="7">
        <f>IF(Данные6[[#This Row],[proba]]&lt;$D$2,$C$2,IF(Данные6[[#This Row],[proba]]&lt;$D$3,$C$3,IF(Данные6[[#This Row],[proba]]&gt;$C$6,0,$C$4)))</f>
        <v>0</v>
      </c>
      <c r="O561" s="2">
        <f>IF(Данные6[[#This Row],[weighted_ext_score]]&gt;$O$1,MIN(Данные6[[#This Row],[Базовая сумма]]*$O$2,$C$2),IF(Данные6[[#This Row],[weighted_ext_score]]&lt;$O$3,Данные6[[#This Row],[Базовая сумма]]*$O$4,N561))</f>
        <v>0</v>
      </c>
      <c r="P5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1" s="2">
        <f>ABS(Данные6[[#This Row],[days_birth]])/365.2425</f>
        <v>51.825841735285458</v>
      </c>
      <c r="S5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1" s="2">
        <f>IF(Данные6[[#This Row],[ interest_rate]]&gt;$T$1,Данные6[[#This Row],[days_birth4]]*$T$2,Данные6[[#This Row],[days_birth4]])</f>
        <v>0</v>
      </c>
      <c r="U561" s="2">
        <f>IF(Данные6[[#This Row],[Проверка отказа]]="отказ",0,MAX(Данные6[[#This Row],[interest_rate]],$C$1))</f>
        <v>0</v>
      </c>
      <c r="V561" s="2">
        <f>MROUND(Данные6[[#This Row],[Минимум 20000]], 100)</f>
        <v>0</v>
      </c>
    </row>
    <row r="562" spans="1:22" x14ac:dyDescent="0.25">
      <c r="A562" s="2">
        <f>'1000_заявлений'!A556</f>
        <v>554</v>
      </c>
      <c r="B562" s="4">
        <f>VALUE(SUBSTITUTE('1000_заявлений'!B556, ".", ","))</f>
        <v>0.81172663296569203</v>
      </c>
      <c r="C562" s="4">
        <f>VALUE(SUBSTITUTE('1000_заявлений'!C556, ".", ","))</f>
        <v>0.21266574419453599</v>
      </c>
      <c r="D562" s="4">
        <f>VALUE(SUBSTITUTE('1000_заявлений'!D556, ".", ","))</f>
        <v>0.12217975</v>
      </c>
      <c r="E562" s="4">
        <f>VALUE(SUBSTITUTE('1000_заявлений'!E556, ".", ","))</f>
        <v>0.39801353</v>
      </c>
      <c r="F562" s="5">
        <f>VALUE(SUBSTITUTE('1000_заявлений'!F556, ".", ","))</f>
        <v>-1178</v>
      </c>
      <c r="G562" s="5">
        <f>VALUE(SUBSTITUTE('1000_заявлений'!G556, ".", ","))</f>
        <v>-9861</v>
      </c>
      <c r="H562" s="5">
        <f>VALUE(SUBSTITUTE('1000_заявлений'!H556, ".", ","))</f>
        <v>-2550</v>
      </c>
      <c r="I562" s="4">
        <f>VALUE(SUBSTITUTE('1000_заявлений'!I556, ".", ","))</f>
        <v>0.18088888888888799</v>
      </c>
      <c r="J562" s="4">
        <f>VALUE(SUBSTITUTE('1000_заявлений'!J556, ".", ","))</f>
        <v>3.31608645956329</v>
      </c>
      <c r="K562" s="5">
        <f>VALUE(SUBSTITUTE('1000_заявлений'!K556, ".", ","))</f>
        <v>-918</v>
      </c>
      <c r="L562" s="6">
        <f>VALUE(SUBSTITUTE('1000_заявлений'!L556, ".", ","))</f>
        <v>21978</v>
      </c>
      <c r="M562" s="2" t="str">
        <f>IF(Данные6[[#This Row],[proba]]&gt;$C$6, "отказ", "одобрение")</f>
        <v>отказ</v>
      </c>
      <c r="N562" s="7">
        <f>IF(Данные6[[#This Row],[proba]]&lt;$D$2,$C$2,IF(Данные6[[#This Row],[proba]]&lt;$D$3,$C$3,IF(Данные6[[#This Row],[proba]]&gt;$C$6,0,$C$4)))</f>
        <v>0</v>
      </c>
      <c r="O562" s="2">
        <f>IF(Данные6[[#This Row],[weighted_ext_score]]&gt;$O$1,MIN(Данные6[[#This Row],[Базовая сумма]]*$O$2,$C$2),IF(Данные6[[#This Row],[weighted_ext_score]]&lt;$O$3,Данные6[[#This Row],[Базовая сумма]]*$O$4,N562))</f>
        <v>0</v>
      </c>
      <c r="P5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2" s="2">
        <f>ABS(Данные6[[#This Row],[days_birth]])/365.2425</f>
        <v>26.998500995913673</v>
      </c>
      <c r="S5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2" s="2">
        <f>IF(Данные6[[#This Row],[ interest_rate]]&gt;$T$1,Данные6[[#This Row],[days_birth4]]*$T$2,Данные6[[#This Row],[days_birth4]])</f>
        <v>0</v>
      </c>
      <c r="U562" s="2">
        <f>IF(Данные6[[#This Row],[Проверка отказа]]="отказ",0,MAX(Данные6[[#This Row],[interest_rate]],$C$1))</f>
        <v>0</v>
      </c>
      <c r="V562" s="2">
        <f>MROUND(Данные6[[#This Row],[Минимум 20000]], 100)</f>
        <v>0</v>
      </c>
    </row>
    <row r="563" spans="1:22" x14ac:dyDescent="0.25">
      <c r="A563" s="2">
        <f>'1000_заявлений'!A557</f>
        <v>555</v>
      </c>
      <c r="B563" s="4">
        <f>VALUE(SUBSTITUTE('1000_заявлений'!B557, ".", ","))</f>
        <v>0.64452695388512204</v>
      </c>
      <c r="C563" s="4">
        <f>VALUE(SUBSTITUTE('1000_заявлений'!C557, ".", ","))</f>
        <v>0.29022642918640001</v>
      </c>
      <c r="D563" s="4">
        <f>VALUE(SUBSTITUTE('1000_заявлений'!D557, ".", ","))</f>
        <v>0.60065749999999996</v>
      </c>
      <c r="E563" s="4">
        <f>VALUE(SUBSTITUTE('1000_заявлений'!E557, ".", ","))</f>
        <v>5.0950486000000003E-2</v>
      </c>
      <c r="F563" s="5">
        <f>VALUE(SUBSTITUTE('1000_заявлений'!F557, ".", ","))</f>
        <v>-58</v>
      </c>
      <c r="G563" s="5">
        <f>VALUE(SUBSTITUTE('1000_заявлений'!G557, ".", ","))</f>
        <v>-11819</v>
      </c>
      <c r="H563" s="5">
        <f>VALUE(SUBSTITUTE('1000_заявлений'!H557, ".", ","))</f>
        <v>-4106</v>
      </c>
      <c r="I563" s="4">
        <f>VALUE(SUBSTITUTE('1000_заявлений'!I557, ".", ","))</f>
        <v>0.14686666666666601</v>
      </c>
      <c r="J563" s="4">
        <f>VALUE(SUBSTITUTE('1000_заявлений'!J557, ".", ","))</f>
        <v>8.1469238499156393</v>
      </c>
      <c r="K563" s="5">
        <f>VALUE(SUBSTITUTE('1000_заявлений'!K557, ".", ","))</f>
        <v>-186</v>
      </c>
      <c r="L563" s="6">
        <f>VALUE(SUBSTITUTE('1000_заявлений'!L557, ".", ","))</f>
        <v>19827</v>
      </c>
      <c r="M563" s="2" t="str">
        <f>IF(Данные6[[#This Row],[proba]]&gt;$C$6, "отказ", "одобрение")</f>
        <v>отказ</v>
      </c>
      <c r="N563" s="7">
        <f>IF(Данные6[[#This Row],[proba]]&lt;$D$2,$C$2,IF(Данные6[[#This Row],[proba]]&lt;$D$3,$C$3,IF(Данные6[[#This Row],[proba]]&gt;$C$6,0,$C$4)))</f>
        <v>0</v>
      </c>
      <c r="O563" s="2">
        <f>IF(Данные6[[#This Row],[weighted_ext_score]]&gt;$O$1,MIN(Данные6[[#This Row],[Базовая сумма]]*$O$2,$C$2),IF(Данные6[[#This Row],[weighted_ext_score]]&lt;$O$3,Данные6[[#This Row],[Базовая сумма]]*$O$4,N563))</f>
        <v>0</v>
      </c>
      <c r="P5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3" s="2">
        <f>ABS(Данные6[[#This Row],[days_birth]])/365.2425</f>
        <v>32.359322915597168</v>
      </c>
      <c r="S5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3" s="2">
        <f>IF(Данные6[[#This Row],[ interest_rate]]&gt;$T$1,Данные6[[#This Row],[days_birth4]]*$T$2,Данные6[[#This Row],[days_birth4]])</f>
        <v>0</v>
      </c>
      <c r="U563" s="2">
        <f>IF(Данные6[[#This Row],[Проверка отказа]]="отказ",0,MAX(Данные6[[#This Row],[interest_rate]],$C$1))</f>
        <v>0</v>
      </c>
      <c r="V563" s="2">
        <f>MROUND(Данные6[[#This Row],[Минимум 20000]], 100)</f>
        <v>0</v>
      </c>
    </row>
    <row r="564" spans="1:22" x14ac:dyDescent="0.25">
      <c r="A564" s="2">
        <f>'1000_заявлений'!A558</f>
        <v>556</v>
      </c>
      <c r="B564" s="4">
        <f>VALUE(SUBSTITUTE('1000_заявлений'!B558, ".", ","))</f>
        <v>0.54280319350920203</v>
      </c>
      <c r="C564" s="4">
        <f>VALUE(SUBSTITUTE('1000_заявлений'!C558, ".", ","))</f>
        <v>0.38727536716044297</v>
      </c>
      <c r="D564" s="4">
        <f>VALUE(SUBSTITUTE('1000_заявлений'!D558, ".", ","))</f>
        <v>0.56914880000000001</v>
      </c>
      <c r="E564" s="4">
        <f>VALUE(SUBSTITUTE('1000_заявлений'!E558, ".", ","))</f>
        <v>0.28873673</v>
      </c>
      <c r="F564" s="5">
        <f>VALUE(SUBSTITUTE('1000_заявлений'!F558, ".", ","))</f>
        <v>-1064</v>
      </c>
      <c r="G564" s="5">
        <f>VALUE(SUBSTITUTE('1000_заявлений'!G558, ".", ","))</f>
        <v>-10493</v>
      </c>
      <c r="H564" s="5">
        <f>VALUE(SUBSTITUTE('1000_заявлений'!H558, ".", ","))</f>
        <v>-3086</v>
      </c>
      <c r="I564" s="4">
        <f>VALUE(SUBSTITUTE('1000_заявлений'!I558, ".", ","))</f>
        <v>0.167066666666666</v>
      </c>
      <c r="J564" s="4">
        <f>VALUE(SUBSTITUTE('1000_заявлений'!J558, ".", ","))</f>
        <v>7.0267044368058196</v>
      </c>
      <c r="K564" s="5">
        <f>VALUE(SUBSTITUTE('1000_заявлений'!K558, ".", ","))</f>
        <v>-1068</v>
      </c>
      <c r="L564" s="6">
        <f>VALUE(SUBSTITUTE('1000_заявлений'!L558, ".", ","))</f>
        <v>22554</v>
      </c>
      <c r="M564" s="2" t="str">
        <f>IF(Данные6[[#This Row],[proba]]&gt;$C$6, "отказ", "одобрение")</f>
        <v>отказ</v>
      </c>
      <c r="N564" s="7">
        <f>IF(Данные6[[#This Row],[proba]]&lt;$D$2,$C$2,IF(Данные6[[#This Row],[proba]]&lt;$D$3,$C$3,IF(Данные6[[#This Row],[proba]]&gt;$C$6,0,$C$4)))</f>
        <v>0</v>
      </c>
      <c r="O564" s="2">
        <f>IF(Данные6[[#This Row],[weighted_ext_score]]&gt;$O$1,MIN(Данные6[[#This Row],[Базовая сумма]]*$O$2,$C$2),IF(Данные6[[#This Row],[weighted_ext_score]]&lt;$O$3,Данные6[[#This Row],[Базовая сумма]]*$O$4,N564))</f>
        <v>0</v>
      </c>
      <c r="P5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4" s="2">
        <f>ABS(Данные6[[#This Row],[days_birth]])/365.2425</f>
        <v>28.728858224330409</v>
      </c>
      <c r="S5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4" s="2">
        <f>IF(Данные6[[#This Row],[ interest_rate]]&gt;$T$1,Данные6[[#This Row],[days_birth4]]*$T$2,Данные6[[#This Row],[days_birth4]])</f>
        <v>0</v>
      </c>
      <c r="U564" s="2">
        <f>IF(Данные6[[#This Row],[Проверка отказа]]="отказ",0,MAX(Данные6[[#This Row],[interest_rate]],$C$1))</f>
        <v>0</v>
      </c>
      <c r="V564" s="2">
        <f>MROUND(Данные6[[#This Row],[Минимум 20000]], 100)</f>
        <v>0</v>
      </c>
    </row>
    <row r="565" spans="1:22" x14ac:dyDescent="0.25">
      <c r="A565" s="2">
        <f>'1000_заявлений'!A559</f>
        <v>557</v>
      </c>
      <c r="B565" s="4">
        <f>VALUE(SUBSTITUTE('1000_заявлений'!B559, ".", ","))</f>
        <v>0.28178373348061703</v>
      </c>
      <c r="C565" s="4">
        <f>VALUE(SUBSTITUTE('1000_заявлений'!C559, ".", ","))</f>
        <v>0.60952214040263197</v>
      </c>
      <c r="D565" s="4">
        <f>VALUE(SUBSTITUTE('1000_заявлений'!D559, ".", ","))</f>
        <v>0.53168610000000005</v>
      </c>
      <c r="E565" s="4">
        <f>VALUE(SUBSTITUTE('1000_заявлений'!E559, ".", ","))</f>
        <v>0.73493410000000003</v>
      </c>
      <c r="F565" s="5">
        <f>VALUE(SUBSTITUTE('1000_заявлений'!F559, ".", ","))</f>
        <v>-6077</v>
      </c>
      <c r="G565" s="5">
        <f>VALUE(SUBSTITUTE('1000_заявлений'!G559, ".", ","))</f>
        <v>-17267</v>
      </c>
      <c r="H565" s="5">
        <f>VALUE(SUBSTITUTE('1000_заявлений'!H559, ".", ","))</f>
        <v>-800</v>
      </c>
      <c r="I565" s="4">
        <f>VALUE(SUBSTITUTE('1000_заявлений'!I559, ".", ","))</f>
        <v>0.27656666666666602</v>
      </c>
      <c r="J565" s="4">
        <f>VALUE(SUBSTITUTE('1000_заявлений'!J559, ".", ","))</f>
        <v>4.4575220582381503</v>
      </c>
      <c r="K565" s="5">
        <f>VALUE(SUBSTITUTE('1000_заявлений'!K559, ".", ","))</f>
        <v>-1568</v>
      </c>
      <c r="L565" s="6">
        <f>VALUE(SUBSTITUTE('1000_заявлений'!L559, ".", ","))</f>
        <v>37336.5</v>
      </c>
      <c r="M565" s="2" t="str">
        <f>IF(Данные6[[#This Row],[proba]]&gt;$C$6, "отказ", "одобрение")</f>
        <v>одобрение</v>
      </c>
      <c r="N565" s="7">
        <f>IF(Данные6[[#This Row],[proba]]&lt;$D$2,$C$2,IF(Данные6[[#This Row],[proba]]&lt;$D$3,$C$3,IF(Данные6[[#This Row],[proba]]&gt;$C$6,0,$C$4)))</f>
        <v>50000</v>
      </c>
      <c r="O565" s="2">
        <f>IF(Данные6[[#This Row],[weighted_ext_score]]&gt;$O$1,MIN(Данные6[[#This Row],[Базовая сумма]]*$O$2,$C$2),IF(Данные6[[#This Row],[weighted_ext_score]]&lt;$O$3,Данные6[[#This Row],[Базовая сумма]]*$O$4,N565))</f>
        <v>50000</v>
      </c>
      <c r="P5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65" s="2">
        <f>ABS(Данные6[[#This Row],[days_birth]])/365.2425</f>
        <v>47.275440289670563</v>
      </c>
      <c r="S5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65" s="2">
        <f>IF(Данные6[[#This Row],[ interest_rate]]&gt;$T$1,Данные6[[#This Row],[days_birth4]]*$T$2,Данные6[[#This Row],[days_birth4]])</f>
        <v>35000</v>
      </c>
      <c r="U565" s="2">
        <f>IF(Данные6[[#This Row],[Проверка отказа]]="отказ",0,MAX(Данные6[[#This Row],[interest_rate]],$C$1))</f>
        <v>35000</v>
      </c>
      <c r="V565" s="2">
        <f>MROUND(Данные6[[#This Row],[Минимум 20000]], 100)</f>
        <v>35000</v>
      </c>
    </row>
    <row r="566" spans="1:22" x14ac:dyDescent="0.25">
      <c r="A566" s="2">
        <f>'1000_заявлений'!A560</f>
        <v>558</v>
      </c>
      <c r="B566" s="4">
        <f>VALUE(SUBSTITUTE('1000_заявлений'!B560, ".", ","))</f>
        <v>0.20420463643995199</v>
      </c>
      <c r="C566" s="4">
        <f>VALUE(SUBSTITUTE('1000_заявлений'!C560, ".", ","))</f>
        <v>0.69474929967740295</v>
      </c>
      <c r="D566" s="4">
        <f>VALUE(SUBSTITUTE('1000_заявлений'!D560, ".", ","))</f>
        <v>0.79813725000000002</v>
      </c>
      <c r="E566" s="4">
        <f>VALUE(SUBSTITUTE('1000_заявлений'!E560, ".", ","))</f>
        <v>0.58037806000000003</v>
      </c>
      <c r="F566" s="5">
        <f>VALUE(SUBSTITUTE('1000_заявлений'!F560, ".", ","))</f>
        <v>-3828</v>
      </c>
      <c r="G566" s="5">
        <f>VALUE(SUBSTITUTE('1000_заявлений'!G560, ".", ","))</f>
        <v>-12754</v>
      </c>
      <c r="H566" s="5">
        <f>VALUE(SUBSTITUTE('1000_заявлений'!H560, ".", ","))</f>
        <v>-3507</v>
      </c>
      <c r="I566" s="4">
        <f>VALUE(SUBSTITUTE('1000_заявлений'!I560, ".", ","))</f>
        <v>0.3584</v>
      </c>
      <c r="J566" s="4">
        <f>VALUE(SUBSTITUTE('1000_заявлений'!J560, ".", ","))</f>
        <v>6.52340447126877</v>
      </c>
      <c r="K566" s="5">
        <f>VALUE(SUBSTITUTE('1000_заявлений'!K560, ".", ","))</f>
        <v>-5040</v>
      </c>
      <c r="L566" s="6">
        <f>VALUE(SUBSTITUTE('1000_заявлений'!L560, ".", ","))</f>
        <v>40320</v>
      </c>
      <c r="M566" s="2" t="str">
        <f>IF(Данные6[[#This Row],[proba]]&gt;$C$6, "отказ", "одобрение")</f>
        <v>одобрение</v>
      </c>
      <c r="N566" s="7">
        <f>IF(Данные6[[#This Row],[proba]]&lt;$D$2,$C$2,IF(Данные6[[#This Row],[proba]]&lt;$D$3,$C$3,IF(Данные6[[#This Row],[proba]]&gt;$C$6,0,$C$4)))</f>
        <v>50000</v>
      </c>
      <c r="O566" s="2">
        <f>IF(Данные6[[#This Row],[weighted_ext_score]]&gt;$O$1,MIN(Данные6[[#This Row],[Базовая сумма]]*$O$2,$C$2),IF(Данные6[[#This Row],[weighted_ext_score]]&lt;$O$3,Данные6[[#This Row],[Базовая сумма]]*$O$4,N566))</f>
        <v>50000</v>
      </c>
      <c r="P5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566" s="2">
        <f>ABS(Данные6[[#This Row],[days_birth]])/365.2425</f>
        <v>34.919265967131423</v>
      </c>
      <c r="S5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566" s="2">
        <f>IF(Данные6[[#This Row],[ interest_rate]]&gt;$T$1,Данные6[[#This Row],[days_birth4]]*$T$2,Данные6[[#This Row],[days_birth4]])</f>
        <v>60000</v>
      </c>
      <c r="U566" s="2">
        <f>IF(Данные6[[#This Row],[Проверка отказа]]="отказ",0,MAX(Данные6[[#This Row],[interest_rate]],$C$1))</f>
        <v>60000</v>
      </c>
      <c r="V566" s="2">
        <f>MROUND(Данные6[[#This Row],[Минимум 20000]], 100)</f>
        <v>60000</v>
      </c>
    </row>
    <row r="567" spans="1:22" x14ac:dyDescent="0.25">
      <c r="A567" s="2">
        <f>'1000_заявлений'!A561</f>
        <v>559</v>
      </c>
      <c r="B567" s="4">
        <f>VALUE(SUBSTITUTE('1000_заявлений'!B561, ".", ","))</f>
        <v>0.50055864002199202</v>
      </c>
      <c r="C567" s="4">
        <f>VALUE(SUBSTITUTE('1000_заявлений'!C561, ".", ","))</f>
        <v>0.29793612496527699</v>
      </c>
      <c r="D567" s="4">
        <f>VALUE(SUBSTITUTE('1000_заявлений'!D561, ".", ","))</f>
        <v>0.67065173</v>
      </c>
      <c r="E567" s="4">
        <f>VALUE(SUBSTITUTE('1000_заявлений'!E561, ".", ","))</f>
        <v>0.17074104000000001</v>
      </c>
      <c r="F567" s="5">
        <f>VALUE(SUBSTITUTE('1000_заявлений'!F561, ".", ","))</f>
        <v>-5029</v>
      </c>
      <c r="G567" s="5">
        <f>VALUE(SUBSTITUTE('1000_заявлений'!G561, ".", ","))</f>
        <v>-18935</v>
      </c>
      <c r="H567" s="5">
        <f>VALUE(SUBSTITUTE('1000_заявлений'!H561, ".", ","))</f>
        <v>-2468</v>
      </c>
      <c r="I567" s="4">
        <f>VALUE(SUBSTITUTE('1000_заявлений'!I561, ".", ","))</f>
        <v>0.18306666666666599</v>
      </c>
      <c r="J567" s="4">
        <f>VALUE(SUBSTITUTE('1000_заявлений'!J561, ".", ","))</f>
        <v>10.2772118114323</v>
      </c>
      <c r="K567" s="5">
        <f>VALUE(SUBSTITUTE('1000_заявлений'!K561, ".", ","))</f>
        <v>-1415</v>
      </c>
      <c r="L567" s="6">
        <f>VALUE(SUBSTITUTE('1000_заявлений'!L561, ".", ","))</f>
        <v>37071</v>
      </c>
      <c r="M567" s="2" t="str">
        <f>IF(Данные6[[#This Row],[proba]]&gt;$C$6, "отказ", "одобрение")</f>
        <v>отказ</v>
      </c>
      <c r="N567" s="7">
        <f>IF(Данные6[[#This Row],[proba]]&lt;$D$2,$C$2,IF(Данные6[[#This Row],[proba]]&lt;$D$3,$C$3,IF(Данные6[[#This Row],[proba]]&gt;$C$6,0,$C$4)))</f>
        <v>0</v>
      </c>
      <c r="O567" s="2">
        <f>IF(Данные6[[#This Row],[weighted_ext_score]]&gt;$O$1,MIN(Данные6[[#This Row],[Базовая сумма]]*$O$2,$C$2),IF(Данные6[[#This Row],[weighted_ext_score]]&lt;$O$3,Данные6[[#This Row],[Базовая сумма]]*$O$4,N567))</f>
        <v>0</v>
      </c>
      <c r="P5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67" s="2">
        <f>ABS(Данные6[[#This Row],[days_birth]])/365.2425</f>
        <v>51.842269177327388</v>
      </c>
      <c r="S5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67" s="2">
        <f>IF(Данные6[[#This Row],[ interest_rate]]&gt;$T$1,Данные6[[#This Row],[days_birth4]]*$T$2,Данные6[[#This Row],[days_birth4]])</f>
        <v>0</v>
      </c>
      <c r="U567" s="2">
        <f>IF(Данные6[[#This Row],[Проверка отказа]]="отказ",0,MAX(Данные6[[#This Row],[interest_rate]],$C$1))</f>
        <v>0</v>
      </c>
      <c r="V567" s="2">
        <f>MROUND(Данные6[[#This Row],[Минимум 20000]], 100)</f>
        <v>0</v>
      </c>
    </row>
    <row r="568" spans="1:22" x14ac:dyDescent="0.25">
      <c r="A568" s="2">
        <f>'1000_заявлений'!A562</f>
        <v>560</v>
      </c>
      <c r="B568" s="4">
        <f>VALUE(SUBSTITUTE('1000_заявлений'!B562, ".", ","))</f>
        <v>0.28367054379205903</v>
      </c>
      <c r="C568" s="4">
        <f>VALUE(SUBSTITUTE('1000_заявлений'!C562, ".", ","))</f>
        <v>0.57709862738467199</v>
      </c>
      <c r="D568" s="4">
        <f>VALUE(SUBSTITUTE('1000_заявлений'!D562, ".", ","))</f>
        <v>0.52089759999999996</v>
      </c>
      <c r="E568" s="4">
        <f>VALUE(SUBSTITUTE('1000_заявлений'!E562, ".", ","))</f>
        <v>0.7024492</v>
      </c>
      <c r="F568" s="5">
        <f>VALUE(SUBSTITUTE('1000_заявлений'!F562, ".", ","))</f>
        <v>-7520</v>
      </c>
      <c r="G568" s="5">
        <f>VALUE(SUBSTITUTE('1000_заявлений'!G562, ".", ","))</f>
        <v>-13563</v>
      </c>
      <c r="H568" s="5">
        <f>VALUE(SUBSTITUTE('1000_заявлений'!H562, ".", ","))</f>
        <v>-3885</v>
      </c>
      <c r="I568" s="4">
        <f>VALUE(SUBSTITUTE('1000_заявлений'!I562, ".", ","))</f>
        <v>0.122316666666666</v>
      </c>
      <c r="J568" s="4">
        <f>VALUE(SUBSTITUTE('1000_заявлений'!J562, ".", ","))</f>
        <v>1.8302979515786899</v>
      </c>
      <c r="K568" s="5">
        <f>VALUE(SUBSTITUTE('1000_заявлений'!K562, ".", ","))</f>
        <v>-491</v>
      </c>
      <c r="L568" s="6">
        <f>VALUE(SUBSTITUTE('1000_заявлений'!L562, ".", ","))</f>
        <v>33025.5</v>
      </c>
      <c r="M568" s="2" t="str">
        <f>IF(Данные6[[#This Row],[proba]]&gt;$C$6, "отказ", "одобрение")</f>
        <v>одобрение</v>
      </c>
      <c r="N568" s="7">
        <f>IF(Данные6[[#This Row],[proba]]&lt;$D$2,$C$2,IF(Данные6[[#This Row],[proba]]&lt;$D$3,$C$3,IF(Данные6[[#This Row],[proba]]&gt;$C$6,0,$C$4)))</f>
        <v>50000</v>
      </c>
      <c r="O568" s="2">
        <f>IF(Данные6[[#This Row],[weighted_ext_score]]&gt;$O$1,MIN(Данные6[[#This Row],[Базовая сумма]]*$O$2,$C$2),IF(Данные6[[#This Row],[weighted_ext_score]]&lt;$O$3,Данные6[[#This Row],[Базовая сумма]]*$O$4,N568))</f>
        <v>50000</v>
      </c>
      <c r="P5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68" s="2">
        <f>ABS(Данные6[[#This Row],[days_birth]])/365.2425</f>
        <v>37.134232735785126</v>
      </c>
      <c r="S5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68" s="2">
        <f>IF(Данные6[[#This Row],[ interest_rate]]&gt;$T$1,Данные6[[#This Row],[days_birth4]]*$T$2,Данные6[[#This Row],[days_birth4]])</f>
        <v>35000</v>
      </c>
      <c r="U568" s="2">
        <f>IF(Данные6[[#This Row],[Проверка отказа]]="отказ",0,MAX(Данные6[[#This Row],[interest_rate]],$C$1))</f>
        <v>35000</v>
      </c>
      <c r="V568" s="2">
        <f>MROUND(Данные6[[#This Row],[Минимум 20000]], 100)</f>
        <v>35000</v>
      </c>
    </row>
    <row r="569" spans="1:22" x14ac:dyDescent="0.25">
      <c r="A569" s="2">
        <f>'1000_заявлений'!A563</f>
        <v>561</v>
      </c>
      <c r="B569" s="4">
        <f>VALUE(SUBSTITUTE('1000_заявлений'!B563, ".", ","))</f>
        <v>0.228708789659331</v>
      </c>
      <c r="C569" s="4">
        <f>VALUE(SUBSTITUTE('1000_заявлений'!C563, ".", ","))</f>
        <v>0.43929964997291399</v>
      </c>
      <c r="D569" s="4">
        <f>VALUE(SUBSTITUTE('1000_заявлений'!D563, ".", ","))</f>
        <v>0.58674000000000004</v>
      </c>
      <c r="E569" s="4">
        <f>VALUE(SUBSTITUTE('1000_заявлений'!E563, ".", ","))</f>
        <v>0.70009909999999997</v>
      </c>
      <c r="F569" s="5">
        <f>VALUE(SUBSTITUTE('1000_заявлений'!F563, ".", ","))</f>
        <v>-10479</v>
      </c>
      <c r="G569" s="5">
        <f>VALUE(SUBSTITUTE('1000_заявлений'!G563, ".", ","))</f>
        <v>-22733</v>
      </c>
      <c r="H569" s="5">
        <f>VALUE(SUBSTITUTE('1000_заявлений'!H563, ".", ","))</f>
        <v>-4555</v>
      </c>
      <c r="I569" s="4">
        <f>VALUE(SUBSTITUTE('1000_заявлений'!I563, ".", ","))</f>
        <v>0.125413793103448</v>
      </c>
      <c r="J569" s="4">
        <f>VALUE(SUBSTITUTE('1000_заявлений'!J563, ".", ","))</f>
        <v>2.1071422843475101</v>
      </c>
      <c r="K569" s="5">
        <f>VALUE(SUBSTITUTE('1000_заявлений'!K563, ".", ","))</f>
        <v>365243</v>
      </c>
      <c r="L569" s="6">
        <f>VALUE(SUBSTITUTE('1000_заявлений'!L563, ".", ","))</f>
        <v>16366.5</v>
      </c>
      <c r="M569" s="2" t="str">
        <f>IF(Данные6[[#This Row],[proba]]&gt;$C$6, "отказ", "одобрение")</f>
        <v>одобрение</v>
      </c>
      <c r="N569" s="7">
        <f>IF(Данные6[[#This Row],[proba]]&lt;$D$2,$C$2,IF(Данные6[[#This Row],[proba]]&lt;$D$3,$C$3,IF(Данные6[[#This Row],[proba]]&gt;$C$6,0,$C$4)))</f>
        <v>50000</v>
      </c>
      <c r="O569" s="2">
        <f>IF(Данные6[[#This Row],[weighted_ext_score]]&gt;$O$1,MIN(Данные6[[#This Row],[Базовая сумма]]*$O$2,$C$2),IF(Данные6[[#This Row],[weighted_ext_score]]&lt;$O$3,Данные6[[#This Row],[Базовая сумма]]*$O$4,N569))</f>
        <v>40000</v>
      </c>
      <c r="P5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5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569" s="2">
        <f>ABS(Данные6[[#This Row],[days_birth]])/365.2425</f>
        <v>62.240839989869741</v>
      </c>
      <c r="S5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569" s="2">
        <f>IF(Данные6[[#This Row],[ interest_rate]]&gt;$T$1,Данные6[[#This Row],[days_birth4]]*$T$2,Данные6[[#This Row],[days_birth4]])</f>
        <v>42000</v>
      </c>
      <c r="U569" s="2">
        <f>IF(Данные6[[#This Row],[Проверка отказа]]="отказ",0,MAX(Данные6[[#This Row],[interest_rate]],$C$1))</f>
        <v>42000</v>
      </c>
      <c r="V569" s="2">
        <f>MROUND(Данные6[[#This Row],[Минимум 20000]], 100)</f>
        <v>42000</v>
      </c>
    </row>
    <row r="570" spans="1:22" x14ac:dyDescent="0.25">
      <c r="A570" s="2">
        <f>'1000_заявлений'!A564</f>
        <v>562</v>
      </c>
      <c r="B570" s="4">
        <f>VALUE(SUBSTITUTE('1000_заявлений'!B564, ".", ","))</f>
        <v>0.37445302375327799</v>
      </c>
      <c r="C570" s="4">
        <f>VALUE(SUBSTITUTE('1000_заявлений'!C564, ".", ","))</f>
        <v>0.40875121310283002</v>
      </c>
      <c r="D570" s="4">
        <f>VALUE(SUBSTITUTE('1000_заявлений'!D564, ".", ","))</f>
        <v>0.53348165999999997</v>
      </c>
      <c r="E570" s="4">
        <f>VALUE(SUBSTITUTE('1000_заявлений'!E564, ".", ","))</f>
        <v>0.66530400000000001</v>
      </c>
      <c r="F570" s="5">
        <f>VALUE(SUBSTITUTE('1000_заявлений'!F564, ".", ","))</f>
        <v>-3621</v>
      </c>
      <c r="G570" s="5">
        <f>VALUE(SUBSTITUTE('1000_заявлений'!G564, ".", ","))</f>
        <v>-18703</v>
      </c>
      <c r="H570" s="5">
        <f>VALUE(SUBSTITUTE('1000_заявлений'!H564, ".", ","))</f>
        <v>-2252</v>
      </c>
      <c r="I570" s="4">
        <f>VALUE(SUBSTITUTE('1000_заявлений'!I564, ".", ","))</f>
        <v>0.112933333333333</v>
      </c>
      <c r="J570" s="4">
        <f>VALUE(SUBSTITUTE('1000_заявлений'!J564, ".", ","))</f>
        <v>1.57786284296075</v>
      </c>
      <c r="K570" s="5">
        <f>VALUE(SUBSTITUTE('1000_заявлений'!K564, ".", ","))</f>
        <v>-8369</v>
      </c>
      <c r="L570" s="6">
        <f>VALUE(SUBSTITUTE('1000_заявлений'!L564, ".", ","))</f>
        <v>7623</v>
      </c>
      <c r="M570" s="2" t="str">
        <f>IF(Данные6[[#This Row],[proba]]&gt;$C$6, "отказ", "одобрение")</f>
        <v>отказ</v>
      </c>
      <c r="N570" s="7">
        <f>IF(Данные6[[#This Row],[proba]]&lt;$D$2,$C$2,IF(Данные6[[#This Row],[proba]]&lt;$D$3,$C$3,IF(Данные6[[#This Row],[proba]]&gt;$C$6,0,$C$4)))</f>
        <v>0</v>
      </c>
      <c r="O570" s="2">
        <f>IF(Данные6[[#This Row],[weighted_ext_score]]&gt;$O$1,MIN(Данные6[[#This Row],[Базовая сумма]]*$O$2,$C$2),IF(Данные6[[#This Row],[weighted_ext_score]]&lt;$O$3,Данные6[[#This Row],[Базовая сумма]]*$O$4,N570))</f>
        <v>0</v>
      </c>
      <c r="P5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0" s="2">
        <f>ABS(Данные6[[#This Row],[days_birth]])/365.2425</f>
        <v>51.20707475170606</v>
      </c>
      <c r="S5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0" s="2">
        <f>IF(Данные6[[#This Row],[ interest_rate]]&gt;$T$1,Данные6[[#This Row],[days_birth4]]*$T$2,Данные6[[#This Row],[days_birth4]])</f>
        <v>0</v>
      </c>
      <c r="U570" s="2">
        <f>IF(Данные6[[#This Row],[Проверка отказа]]="отказ",0,MAX(Данные6[[#This Row],[interest_rate]],$C$1))</f>
        <v>0</v>
      </c>
      <c r="V570" s="2">
        <f>MROUND(Данные6[[#This Row],[Минимум 20000]], 100)</f>
        <v>0</v>
      </c>
    </row>
    <row r="571" spans="1:22" x14ac:dyDescent="0.25">
      <c r="A571" s="2">
        <f>'1000_заявлений'!A565</f>
        <v>563</v>
      </c>
      <c r="B571" s="4">
        <f>VALUE(SUBSTITUTE('1000_заявлений'!B565, ".", ","))</f>
        <v>0.323155769725675</v>
      </c>
      <c r="C571" s="4">
        <f>VALUE(SUBSTITUTE('1000_заявлений'!C565, ".", ","))</f>
        <v>0.49717504486228298</v>
      </c>
      <c r="D571" s="4">
        <f>VALUE(SUBSTITUTE('1000_заявлений'!D565, ".", ","))</f>
        <v>0.58148370000000005</v>
      </c>
      <c r="E571" s="4">
        <f>VALUE(SUBSTITUTE('1000_заявлений'!E565, ".", ","))</f>
        <v>0.51515149999999998</v>
      </c>
      <c r="F571" s="5">
        <f>VALUE(SUBSTITUTE('1000_заявлений'!F565, ".", ","))</f>
        <v>-6217</v>
      </c>
      <c r="G571" s="5">
        <f>VALUE(SUBSTITUTE('1000_заявлений'!G565, ".", ","))</f>
        <v>-12341</v>
      </c>
      <c r="H571" s="5">
        <f>VALUE(SUBSTITUTE('1000_заявлений'!H565, ".", ","))</f>
        <v>-4151</v>
      </c>
      <c r="I571" s="4">
        <f>VALUE(SUBSTITUTE('1000_заявлений'!I565, ".", ","))</f>
        <v>0.1</v>
      </c>
      <c r="J571" s="4">
        <f>VALUE(SUBSTITUTE('1000_заявлений'!J565, ".", ","))</f>
        <v>10.6209759779781</v>
      </c>
      <c r="K571" s="5">
        <f>VALUE(SUBSTITUTE('1000_заявлений'!K565, ".", ","))</f>
        <v>-4904</v>
      </c>
      <c r="L571" s="6">
        <f>VALUE(SUBSTITUTE('1000_заявлений'!L565, ".", ","))</f>
        <v>22500</v>
      </c>
      <c r="M571" s="2" t="str">
        <f>IF(Данные6[[#This Row],[proba]]&gt;$C$6, "отказ", "одобрение")</f>
        <v>отказ</v>
      </c>
      <c r="N571" s="7">
        <f>IF(Данные6[[#This Row],[proba]]&lt;$D$2,$C$2,IF(Данные6[[#This Row],[proba]]&lt;$D$3,$C$3,IF(Данные6[[#This Row],[proba]]&gt;$C$6,0,$C$4)))</f>
        <v>0</v>
      </c>
      <c r="O571" s="2">
        <f>IF(Данные6[[#This Row],[weighted_ext_score]]&gt;$O$1,MIN(Данные6[[#This Row],[Базовая сумма]]*$O$2,$C$2),IF(Данные6[[#This Row],[weighted_ext_score]]&lt;$O$3,Данные6[[#This Row],[Базовая сумма]]*$O$4,N571))</f>
        <v>0</v>
      </c>
      <c r="P5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1" s="2">
        <f>ABS(Данные6[[#This Row],[days_birth]])/365.2425</f>
        <v>33.788510373245174</v>
      </c>
      <c r="S5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1" s="2">
        <f>IF(Данные6[[#This Row],[ interest_rate]]&gt;$T$1,Данные6[[#This Row],[days_birth4]]*$T$2,Данные6[[#This Row],[days_birth4]])</f>
        <v>0</v>
      </c>
      <c r="U571" s="2">
        <f>IF(Данные6[[#This Row],[Проверка отказа]]="отказ",0,MAX(Данные6[[#This Row],[interest_rate]],$C$1))</f>
        <v>0</v>
      </c>
      <c r="V571" s="2">
        <f>MROUND(Данные6[[#This Row],[Минимум 20000]], 100)</f>
        <v>0</v>
      </c>
    </row>
    <row r="572" spans="1:22" x14ac:dyDescent="0.25">
      <c r="A572" s="2">
        <f>'1000_заявлений'!A566</f>
        <v>564</v>
      </c>
      <c r="B572" s="4">
        <f>VALUE(SUBSTITUTE('1000_заявлений'!B566, ".", ","))</f>
        <v>0.38418279921110399</v>
      </c>
      <c r="C572" s="4">
        <f>VALUE(SUBSTITUTE('1000_заявлений'!C566, ".", ","))</f>
        <v>0.21266136617689699</v>
      </c>
      <c r="D572" s="4">
        <f>VALUE(SUBSTITUTE('1000_заявлений'!D566, ".", ","))</f>
        <v>0.53527623000000002</v>
      </c>
      <c r="E572" s="4">
        <f>VALUE(SUBSTITUTE('1000_заявлений'!E566, ".", ","))</f>
        <v>0.65559964999999998</v>
      </c>
      <c r="F572" s="5">
        <f>VALUE(SUBSTITUTE('1000_заявлений'!F566, ".", ","))</f>
        <v>-8334</v>
      </c>
      <c r="G572" s="5">
        <f>VALUE(SUBSTITUTE('1000_заявлений'!G566, ".", ","))</f>
        <v>-19767</v>
      </c>
      <c r="H572" s="5">
        <f>VALUE(SUBSTITUTE('1000_заявлений'!H566, ".", ","))</f>
        <v>-3319</v>
      </c>
      <c r="I572" s="4">
        <f>VALUE(SUBSTITUTE('1000_заявлений'!I566, ".", ","))</f>
        <v>0.21856</v>
      </c>
      <c r="J572" s="4">
        <f>VALUE(SUBSTITUTE('1000_заявлений'!J566, ".", ","))</f>
        <v>16.211785382357199</v>
      </c>
      <c r="K572" s="5">
        <f>VALUE(SUBSTITUTE('1000_заявлений'!K566, ".", ","))</f>
        <v>-4287</v>
      </c>
      <c r="L572" s="6">
        <f>VALUE(SUBSTITUTE('1000_заявлений'!L566, ".", ","))</f>
        <v>24588</v>
      </c>
      <c r="M572" s="2" t="str">
        <f>IF(Данные6[[#This Row],[proba]]&gt;$C$6, "отказ", "одобрение")</f>
        <v>отказ</v>
      </c>
      <c r="N572" s="7">
        <f>IF(Данные6[[#This Row],[proba]]&lt;$D$2,$C$2,IF(Данные6[[#This Row],[proba]]&lt;$D$3,$C$3,IF(Данные6[[#This Row],[proba]]&gt;$C$6,0,$C$4)))</f>
        <v>0</v>
      </c>
      <c r="O572" s="2">
        <f>IF(Данные6[[#This Row],[weighted_ext_score]]&gt;$O$1,MIN(Данные6[[#This Row],[Базовая сумма]]*$O$2,$C$2),IF(Данные6[[#This Row],[weighted_ext_score]]&lt;$O$3,Данные6[[#This Row],[Базовая сумма]]*$O$4,N572))</f>
        <v>0</v>
      </c>
      <c r="P5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2" s="2">
        <f>ABS(Данные6[[#This Row],[days_birth]])/365.2425</f>
        <v>54.120207807141831</v>
      </c>
      <c r="S5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2" s="2">
        <f>IF(Данные6[[#This Row],[ interest_rate]]&gt;$T$1,Данные6[[#This Row],[days_birth4]]*$T$2,Данные6[[#This Row],[days_birth4]])</f>
        <v>0</v>
      </c>
      <c r="U572" s="2">
        <f>IF(Данные6[[#This Row],[Проверка отказа]]="отказ",0,MAX(Данные6[[#This Row],[interest_rate]],$C$1))</f>
        <v>0</v>
      </c>
      <c r="V572" s="2">
        <f>MROUND(Данные6[[#This Row],[Минимум 20000]], 100)</f>
        <v>0</v>
      </c>
    </row>
    <row r="573" spans="1:22" x14ac:dyDescent="0.25">
      <c r="A573" s="2">
        <f>'1000_заявлений'!A567</f>
        <v>565</v>
      </c>
      <c r="B573" s="4">
        <f>VALUE(SUBSTITUTE('1000_заявлений'!B567, ".", ","))</f>
        <v>0.29025289432350099</v>
      </c>
      <c r="C573" s="4">
        <f>VALUE(SUBSTITUTE('1000_заявлений'!C567, ".", ","))</f>
        <v>0.60134074465454501</v>
      </c>
      <c r="D573" s="4">
        <f>VALUE(SUBSTITUTE('1000_заявлений'!D567, ".", ","))</f>
        <v>0.61270420000000003</v>
      </c>
      <c r="E573" s="4">
        <f>VALUE(SUBSTITUTE('1000_заявлений'!E567, ".", ","))</f>
        <v>0.40698509999999999</v>
      </c>
      <c r="F573" s="5">
        <f>VALUE(SUBSTITUTE('1000_заявлений'!F567, ".", ","))</f>
        <v>-4364</v>
      </c>
      <c r="G573" s="5">
        <f>VALUE(SUBSTITUTE('1000_заявлений'!G567, ".", ","))</f>
        <v>-18916</v>
      </c>
      <c r="H573" s="5">
        <f>VALUE(SUBSTITUTE('1000_заявлений'!H567, ".", ","))</f>
        <v>-2463</v>
      </c>
      <c r="I573" s="4">
        <f>VALUE(SUBSTITUTE('1000_заявлений'!I567, ".", ","))</f>
        <v>7.2378378378378294E-2</v>
      </c>
      <c r="J573" s="4">
        <f>VALUE(SUBSTITUTE('1000_заявлений'!J567, ".", ","))</f>
        <v>10.005470846844601</v>
      </c>
      <c r="K573" s="5">
        <f>VALUE(SUBSTITUTE('1000_заявлений'!K567, ".", ","))</f>
        <v>-804</v>
      </c>
      <c r="L573" s="6">
        <f>VALUE(SUBSTITUTE('1000_заявлений'!L567, ".", ","))</f>
        <v>6025.5</v>
      </c>
      <c r="M573" s="2" t="str">
        <f>IF(Данные6[[#This Row],[proba]]&gt;$C$6, "отказ", "одобрение")</f>
        <v>одобрение</v>
      </c>
      <c r="N573" s="7">
        <f>IF(Данные6[[#This Row],[proba]]&lt;$D$2,$C$2,IF(Данные6[[#This Row],[proba]]&lt;$D$3,$C$3,IF(Данные6[[#This Row],[proba]]&gt;$C$6,0,$C$4)))</f>
        <v>50000</v>
      </c>
      <c r="O573" s="2">
        <f>IF(Данные6[[#This Row],[weighted_ext_score]]&gt;$O$1,MIN(Данные6[[#This Row],[Базовая сумма]]*$O$2,$C$2),IF(Данные6[[#This Row],[weighted_ext_score]]&lt;$O$3,Данные6[[#This Row],[Базовая сумма]]*$O$4,N573))</f>
        <v>50000</v>
      </c>
      <c r="P5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5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42000</v>
      </c>
      <c r="R573" s="2">
        <f>ABS(Данные6[[#This Row],[days_birth]])/365.2425</f>
        <v>51.790248944194609</v>
      </c>
      <c r="S5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44100</v>
      </c>
      <c r="T573" s="2">
        <f>IF(Данные6[[#This Row],[ interest_rate]]&gt;$T$1,Данные6[[#This Row],[days_birth4]]*$T$2,Данные6[[#This Row],[days_birth4]])</f>
        <v>44100</v>
      </c>
      <c r="U573" s="2">
        <f>IF(Данные6[[#This Row],[Проверка отказа]]="отказ",0,MAX(Данные6[[#This Row],[interest_rate]],$C$1))</f>
        <v>44100</v>
      </c>
      <c r="V573" s="2">
        <f>MROUND(Данные6[[#This Row],[Минимум 20000]], 100)</f>
        <v>44100</v>
      </c>
    </row>
    <row r="574" spans="1:22" x14ac:dyDescent="0.25">
      <c r="A574" s="2">
        <f>'1000_заявлений'!A568</f>
        <v>566</v>
      </c>
      <c r="B574" s="4">
        <f>VALUE(SUBSTITUTE('1000_заявлений'!B568, ".", ","))</f>
        <v>0.41642737978595601</v>
      </c>
      <c r="C574" s="4">
        <f>VALUE(SUBSTITUTE('1000_заявлений'!C568, ".", ","))</f>
        <v>0.45449271378008399</v>
      </c>
      <c r="D574" s="4">
        <f>VALUE(SUBSTITUTE('1000_заявлений'!D568, ".", ","))</f>
        <v>0.34415499999999999</v>
      </c>
      <c r="E574" s="4">
        <f>VALUE(SUBSTITUTE('1000_заявлений'!E568, ".", ","))</f>
        <v>0.74269790000000002</v>
      </c>
      <c r="F574" s="5">
        <f>VALUE(SUBSTITUTE('1000_заявлений'!F568, ".", ","))</f>
        <v>-4644</v>
      </c>
      <c r="G574" s="5">
        <f>VALUE(SUBSTITUTE('1000_заявлений'!G568, ".", ","))</f>
        <v>-16145</v>
      </c>
      <c r="H574" s="5">
        <f>VALUE(SUBSTITUTE('1000_заявлений'!H568, ".", ","))</f>
        <v>-4644</v>
      </c>
      <c r="I574" s="4">
        <f>VALUE(SUBSTITUTE('1000_заявлений'!I568, ".", ","))</f>
        <v>0.147433333333333</v>
      </c>
      <c r="J574" s="4">
        <f>VALUE(SUBSTITUTE('1000_заявлений'!J568, ".", ","))</f>
        <v>1.0244471676037401</v>
      </c>
      <c r="K574" s="5">
        <f>VALUE(SUBSTITUTE('1000_заявлений'!K568, ".", ","))</f>
        <v>-785</v>
      </c>
      <c r="L574" s="6">
        <f>VALUE(SUBSTITUTE('1000_заявлений'!L568, ".", ","))</f>
        <v>19903.5</v>
      </c>
      <c r="M574" s="2" t="str">
        <f>IF(Данные6[[#This Row],[proba]]&gt;$C$6, "отказ", "одобрение")</f>
        <v>отказ</v>
      </c>
      <c r="N574" s="7">
        <f>IF(Данные6[[#This Row],[proba]]&lt;$D$2,$C$2,IF(Данные6[[#This Row],[proba]]&lt;$D$3,$C$3,IF(Данные6[[#This Row],[proba]]&gt;$C$6,0,$C$4)))</f>
        <v>0</v>
      </c>
      <c r="O574" s="2">
        <f>IF(Данные6[[#This Row],[weighted_ext_score]]&gt;$O$1,MIN(Данные6[[#This Row],[Базовая сумма]]*$O$2,$C$2),IF(Данные6[[#This Row],[weighted_ext_score]]&lt;$O$3,Данные6[[#This Row],[Базовая сумма]]*$O$4,N574))</f>
        <v>0</v>
      </c>
      <c r="P5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4" s="2">
        <f>ABS(Данные6[[#This Row],[days_birth]])/365.2425</f>
        <v>44.203508627829457</v>
      </c>
      <c r="S5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4" s="2">
        <f>IF(Данные6[[#This Row],[ interest_rate]]&gt;$T$1,Данные6[[#This Row],[days_birth4]]*$T$2,Данные6[[#This Row],[days_birth4]])</f>
        <v>0</v>
      </c>
      <c r="U574" s="2">
        <f>IF(Данные6[[#This Row],[Проверка отказа]]="отказ",0,MAX(Данные6[[#This Row],[interest_rate]],$C$1))</f>
        <v>0</v>
      </c>
      <c r="V574" s="2">
        <f>MROUND(Данные6[[#This Row],[Минимум 20000]], 100)</f>
        <v>0</v>
      </c>
    </row>
    <row r="575" spans="1:22" x14ac:dyDescent="0.25">
      <c r="A575" s="2">
        <f>'1000_заявлений'!A569</f>
        <v>567</v>
      </c>
      <c r="B575" s="4">
        <f>VALUE(SUBSTITUTE('1000_заявлений'!B569, ".", ","))</f>
        <v>0.50168282860962798</v>
      </c>
      <c r="C575" s="4">
        <f>VALUE(SUBSTITUTE('1000_заявлений'!C569, ".", ","))</f>
        <v>0.43912635942331002</v>
      </c>
      <c r="D575" s="4">
        <f>VALUE(SUBSTITUTE('1000_заявлений'!D569, ".", ","))</f>
        <v>0.3457848</v>
      </c>
      <c r="E575" s="4">
        <f>VALUE(SUBSTITUTE('1000_заявлений'!E569, ".", ","))</f>
        <v>0.59156629999999999</v>
      </c>
      <c r="F575" s="5">
        <f>VALUE(SUBSTITUTE('1000_заявлений'!F569, ".", ","))</f>
        <v>-7702</v>
      </c>
      <c r="G575" s="5">
        <f>VALUE(SUBSTITUTE('1000_заявлений'!G569, ".", ","))</f>
        <v>-8570</v>
      </c>
      <c r="H575" s="5">
        <f>VALUE(SUBSTITUTE('1000_заявлений'!H569, ".", ","))</f>
        <v>-1238</v>
      </c>
      <c r="I575" s="4">
        <f>VALUE(SUBSTITUTE('1000_заявлений'!I569, ".", ","))</f>
        <v>0.12</v>
      </c>
      <c r="J575" s="4">
        <f>VALUE(SUBSTITUTE('1000_заявлений'!J569, ".", ","))</f>
        <v>10.6209759779781</v>
      </c>
      <c r="K575" s="5">
        <f>VALUE(SUBSTITUTE('1000_заявлений'!K569, ".", ","))</f>
        <v>-1000</v>
      </c>
      <c r="L575" s="6">
        <f>VALUE(SUBSTITUTE('1000_заявлений'!L569, ".", ","))</f>
        <v>13500</v>
      </c>
      <c r="M575" s="2" t="str">
        <f>IF(Данные6[[#This Row],[proba]]&gt;$C$6, "отказ", "одобрение")</f>
        <v>отказ</v>
      </c>
      <c r="N575" s="7">
        <f>IF(Данные6[[#This Row],[proba]]&lt;$D$2,$C$2,IF(Данные6[[#This Row],[proba]]&lt;$D$3,$C$3,IF(Данные6[[#This Row],[proba]]&gt;$C$6,0,$C$4)))</f>
        <v>0</v>
      </c>
      <c r="O575" s="2">
        <f>IF(Данные6[[#This Row],[weighted_ext_score]]&gt;$O$1,MIN(Данные6[[#This Row],[Базовая сумма]]*$O$2,$C$2),IF(Данные6[[#This Row],[weighted_ext_score]]&lt;$O$3,Данные6[[#This Row],[Базовая сумма]]*$O$4,N575))</f>
        <v>0</v>
      </c>
      <c r="P5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5" s="2">
        <f>ABS(Данные6[[#This Row],[days_birth]])/365.2425</f>
        <v>23.463863049891511</v>
      </c>
      <c r="S5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5" s="2">
        <f>IF(Данные6[[#This Row],[ interest_rate]]&gt;$T$1,Данные6[[#This Row],[days_birth4]]*$T$2,Данные6[[#This Row],[days_birth4]])</f>
        <v>0</v>
      </c>
      <c r="U575" s="2">
        <f>IF(Данные6[[#This Row],[Проверка отказа]]="отказ",0,MAX(Данные6[[#This Row],[interest_rate]],$C$1))</f>
        <v>0</v>
      </c>
      <c r="V575" s="2">
        <f>MROUND(Данные6[[#This Row],[Минимум 20000]], 100)</f>
        <v>0</v>
      </c>
    </row>
    <row r="576" spans="1:22" x14ac:dyDescent="0.25">
      <c r="A576" s="2">
        <f>'1000_заявлений'!A570</f>
        <v>568</v>
      </c>
      <c r="B576" s="4">
        <f>VALUE(SUBSTITUTE('1000_заявлений'!B570, ".", ","))</f>
        <v>0.28631798788582302</v>
      </c>
      <c r="C576" s="4">
        <f>VALUE(SUBSTITUTE('1000_заявлений'!C570, ".", ","))</f>
        <v>0.56113937296882699</v>
      </c>
      <c r="D576" s="4">
        <f>VALUE(SUBSTITUTE('1000_заявлений'!D570, ".", ","))</f>
        <v>0.51729654999999997</v>
      </c>
      <c r="E576" s="4">
        <f>VALUE(SUBSTITUTE('1000_заявлений'!E570, ".", ","))</f>
        <v>0.62058409999999997</v>
      </c>
      <c r="F576" s="5">
        <f>VALUE(SUBSTITUTE('1000_заявлений'!F570, ".", ","))</f>
        <v>-1587</v>
      </c>
      <c r="G576" s="5">
        <f>VALUE(SUBSTITUTE('1000_заявлений'!G570, ".", ","))</f>
        <v>-21563</v>
      </c>
      <c r="H576" s="5">
        <f>VALUE(SUBSTITUTE('1000_заявлений'!H570, ".", ","))</f>
        <v>-2518</v>
      </c>
      <c r="I576" s="4">
        <f>VALUE(SUBSTITUTE('1000_заявлений'!I570, ".", ","))</f>
        <v>0.22814545454545401</v>
      </c>
      <c r="J576" s="4">
        <f>VALUE(SUBSTITUTE('1000_заявлений'!J570, ".", ","))</f>
        <v>1.87300484527073</v>
      </c>
      <c r="K576" s="5">
        <f>VALUE(SUBSTITUTE('1000_заявлений'!K570, ".", ","))</f>
        <v>365243</v>
      </c>
      <c r="L576" s="6">
        <f>VALUE(SUBSTITUTE('1000_заявлений'!L570, ".", ","))</f>
        <v>28233</v>
      </c>
      <c r="M576" s="2" t="str">
        <f>IF(Данные6[[#This Row],[proba]]&gt;$C$6, "отказ", "одобрение")</f>
        <v>одобрение</v>
      </c>
      <c r="N576" s="7">
        <f>IF(Данные6[[#This Row],[proba]]&lt;$D$2,$C$2,IF(Данные6[[#This Row],[proba]]&lt;$D$3,$C$3,IF(Данные6[[#This Row],[proba]]&gt;$C$6,0,$C$4)))</f>
        <v>50000</v>
      </c>
      <c r="O576" s="2">
        <f>IF(Данные6[[#This Row],[weighted_ext_score]]&gt;$O$1,MIN(Данные6[[#This Row],[Базовая сумма]]*$O$2,$C$2),IF(Данные6[[#This Row],[weighted_ext_score]]&lt;$O$3,Данные6[[#This Row],[Базовая сумма]]*$O$4,N576))</f>
        <v>50000</v>
      </c>
      <c r="P5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576" s="2">
        <f>ABS(Данные6[[#This Row],[days_birth]])/365.2425</f>
        <v>59.037488791693193</v>
      </c>
      <c r="S5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576" s="2">
        <f>IF(Данные6[[#This Row],[ interest_rate]]&gt;$T$1,Данные6[[#This Row],[days_birth4]]*$T$2,Данные6[[#This Row],[days_birth4]])</f>
        <v>52500</v>
      </c>
      <c r="U576" s="2">
        <f>IF(Данные6[[#This Row],[Проверка отказа]]="отказ",0,MAX(Данные6[[#This Row],[interest_rate]],$C$1))</f>
        <v>52500</v>
      </c>
      <c r="V576" s="2">
        <f>MROUND(Данные6[[#This Row],[Минимум 20000]], 100)</f>
        <v>52500</v>
      </c>
    </row>
    <row r="577" spans="1:22" x14ac:dyDescent="0.25">
      <c r="A577" s="2">
        <f>'1000_заявлений'!A571</f>
        <v>569</v>
      </c>
      <c r="B577" s="4">
        <f>VALUE(SUBSTITUTE('1000_заявлений'!B571, ".", ","))</f>
        <v>0.450684574375039</v>
      </c>
      <c r="C577" s="4">
        <f>VALUE(SUBSTITUTE('1000_заявлений'!C571, ".", ","))</f>
        <v>0.31288186571246301</v>
      </c>
      <c r="D577" s="4">
        <f>VALUE(SUBSTITUTE('1000_заявлений'!D571, ".", ","))</f>
        <v>0.28078957999999998</v>
      </c>
      <c r="E577" s="4">
        <f>VALUE(SUBSTITUTE('1000_заявлений'!E571, ".", ","))</f>
        <v>0.65149504000000003</v>
      </c>
      <c r="F577" s="5">
        <f>VALUE(SUBSTITUTE('1000_заявлений'!F571, ".", ","))</f>
        <v>-3750</v>
      </c>
      <c r="G577" s="5">
        <f>VALUE(SUBSTITUTE('1000_заявлений'!G571, ".", ","))</f>
        <v>-22766</v>
      </c>
      <c r="H577" s="5">
        <f>VALUE(SUBSTITUTE('1000_заявлений'!H571, ".", ","))</f>
        <v>-4766</v>
      </c>
      <c r="I577" s="4">
        <f>VALUE(SUBSTITUTE('1000_заявлений'!I571, ".", ","))</f>
        <v>9.776E-2</v>
      </c>
      <c r="J577" s="4">
        <f>VALUE(SUBSTITUTE('1000_заявлений'!J571, ".", ","))</f>
        <v>3.2316332548520901</v>
      </c>
      <c r="K577" s="5">
        <f>VALUE(SUBSTITUTE('1000_заявлений'!K571, ".", ","))</f>
        <v>365243</v>
      </c>
      <c r="L577" s="6">
        <f>VALUE(SUBSTITUTE('1000_заявлений'!L571, ".", ","))</f>
        <v>10998</v>
      </c>
      <c r="M577" s="2" t="str">
        <f>IF(Данные6[[#This Row],[proba]]&gt;$C$6, "отказ", "одобрение")</f>
        <v>отказ</v>
      </c>
      <c r="N577" s="7">
        <f>IF(Данные6[[#This Row],[proba]]&lt;$D$2,$C$2,IF(Данные6[[#This Row],[proba]]&lt;$D$3,$C$3,IF(Данные6[[#This Row],[proba]]&gt;$C$6,0,$C$4)))</f>
        <v>0</v>
      </c>
      <c r="O577" s="2">
        <f>IF(Данные6[[#This Row],[weighted_ext_score]]&gt;$O$1,MIN(Данные6[[#This Row],[Базовая сумма]]*$O$2,$C$2),IF(Данные6[[#This Row],[weighted_ext_score]]&lt;$O$3,Данные6[[#This Row],[Базовая сумма]]*$O$4,N577))</f>
        <v>0</v>
      </c>
      <c r="P5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7" s="2">
        <f>ABS(Данные6[[#This Row],[days_birth]])/365.2425</f>
        <v>62.331190921100365</v>
      </c>
      <c r="S5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7" s="2">
        <f>IF(Данные6[[#This Row],[ interest_rate]]&gt;$T$1,Данные6[[#This Row],[days_birth4]]*$T$2,Данные6[[#This Row],[days_birth4]])</f>
        <v>0</v>
      </c>
      <c r="U577" s="2">
        <f>IF(Данные6[[#This Row],[Проверка отказа]]="отказ",0,MAX(Данные6[[#This Row],[interest_rate]],$C$1))</f>
        <v>0</v>
      </c>
      <c r="V577" s="2">
        <f>MROUND(Данные6[[#This Row],[Минимум 20000]], 100)</f>
        <v>0</v>
      </c>
    </row>
    <row r="578" spans="1:22" x14ac:dyDescent="0.25">
      <c r="A578" s="2">
        <f>'1000_заявлений'!A572</f>
        <v>570</v>
      </c>
      <c r="B578" s="4">
        <f>VALUE(SUBSTITUTE('1000_заявлений'!B572, ".", ","))</f>
        <v>0.55458737709744699</v>
      </c>
      <c r="C578" s="4">
        <f>VALUE(SUBSTITUTE('1000_заявлений'!C572, ".", ","))</f>
        <v>0.301694330470414</v>
      </c>
      <c r="D578" s="4">
        <f>VALUE(SUBSTITUTE('1000_заявлений'!D572, ".", ","))</f>
        <v>0.40835884</v>
      </c>
      <c r="E578" s="4">
        <f>VALUE(SUBSTITUTE('1000_заявлений'!E572, ".", ","))</f>
        <v>0.47477174</v>
      </c>
      <c r="F578" s="5">
        <f>VALUE(SUBSTITUTE('1000_заявлений'!F572, ".", ","))</f>
        <v>-17</v>
      </c>
      <c r="G578" s="5">
        <f>VALUE(SUBSTITUTE('1000_заявлений'!G572, ".", ","))</f>
        <v>-13441</v>
      </c>
      <c r="H578" s="5">
        <f>VALUE(SUBSTITUTE('1000_заявлений'!H572, ".", ","))</f>
        <v>-3410</v>
      </c>
      <c r="I578" s="4">
        <f>VALUE(SUBSTITUTE('1000_заявлений'!I572, ".", ","))</f>
        <v>0.17142857142857101</v>
      </c>
      <c r="J578" s="4">
        <f>VALUE(SUBSTITUTE('1000_заявлений'!J572, ".", ","))</f>
        <v>10.6209759779781</v>
      </c>
      <c r="K578" s="5">
        <f>VALUE(SUBSTITUTE('1000_заявлений'!K572, ".", ","))</f>
        <v>-1918</v>
      </c>
      <c r="L578" s="6">
        <f>VALUE(SUBSTITUTE('1000_заявлений'!L572, ".", ","))</f>
        <v>27000</v>
      </c>
      <c r="M578" s="2" t="str">
        <f>IF(Данные6[[#This Row],[proba]]&gt;$C$6, "отказ", "одобрение")</f>
        <v>отказ</v>
      </c>
      <c r="N578" s="7">
        <f>IF(Данные6[[#This Row],[proba]]&lt;$D$2,$C$2,IF(Данные6[[#This Row],[proba]]&lt;$D$3,$C$3,IF(Данные6[[#This Row],[proba]]&gt;$C$6,0,$C$4)))</f>
        <v>0</v>
      </c>
      <c r="O578" s="2">
        <f>IF(Данные6[[#This Row],[weighted_ext_score]]&gt;$O$1,MIN(Данные6[[#This Row],[Базовая сумма]]*$O$2,$C$2),IF(Данные6[[#This Row],[weighted_ext_score]]&lt;$O$3,Данные6[[#This Row],[Базовая сумма]]*$O$4,N578))</f>
        <v>0</v>
      </c>
      <c r="P5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8" s="2">
        <f>ABS(Данные6[[#This Row],[days_birth]])/365.2425</f>
        <v>36.800208080932528</v>
      </c>
      <c r="S5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8" s="2">
        <f>IF(Данные6[[#This Row],[ interest_rate]]&gt;$T$1,Данные6[[#This Row],[days_birth4]]*$T$2,Данные6[[#This Row],[days_birth4]])</f>
        <v>0</v>
      </c>
      <c r="U578" s="2">
        <f>IF(Данные6[[#This Row],[Проверка отказа]]="отказ",0,MAX(Данные6[[#This Row],[interest_rate]],$C$1))</f>
        <v>0</v>
      </c>
      <c r="V578" s="2">
        <f>MROUND(Данные6[[#This Row],[Минимум 20000]], 100)</f>
        <v>0</v>
      </c>
    </row>
    <row r="579" spans="1:22" x14ac:dyDescent="0.25">
      <c r="A579" s="2">
        <f>'1000_заявлений'!A573</f>
        <v>571</v>
      </c>
      <c r="B579" s="4">
        <f>VALUE(SUBSTITUTE('1000_заявлений'!B573, ".", ","))</f>
        <v>0.63053374518361205</v>
      </c>
      <c r="C579" s="4">
        <f>VALUE(SUBSTITUTE('1000_заявлений'!C573, ".", ","))</f>
        <v>0.38348878187443303</v>
      </c>
      <c r="D579" s="4">
        <f>VALUE(SUBSTITUTE('1000_заявлений'!D573, ".", ","))</f>
        <v>0.41534715999999999</v>
      </c>
      <c r="E579" s="4">
        <f>VALUE(SUBSTITUTE('1000_заявлений'!E573, ".", ","))</f>
        <v>0.29398756999999998</v>
      </c>
      <c r="F579" s="5">
        <f>VALUE(SUBSTITUTE('1000_заявлений'!F573, ".", ","))</f>
        <v>-4976</v>
      </c>
      <c r="G579" s="5">
        <f>VALUE(SUBSTITUTE('1000_заявлений'!G573, ".", ","))</f>
        <v>-14434</v>
      </c>
      <c r="H579" s="5">
        <f>VALUE(SUBSTITUTE('1000_заявлений'!H573, ".", ","))</f>
        <v>-3989</v>
      </c>
      <c r="I579" s="4">
        <f>VALUE(SUBSTITUTE('1000_заявлений'!I573, ".", ","))</f>
        <v>0.19253846153846099</v>
      </c>
      <c r="J579" s="4">
        <f>VALUE(SUBSTITUTE('1000_заявлений'!J573, ".", ","))</f>
        <v>1.6188658411483201</v>
      </c>
      <c r="K579" s="5">
        <f>VALUE(SUBSTITUTE('1000_заявлений'!K573, ".", ","))</f>
        <v>-3759</v>
      </c>
      <c r="L579" s="6">
        <f>VALUE(SUBSTITUTE('1000_заявлений'!L573, ".", ","))</f>
        <v>11263.5</v>
      </c>
      <c r="M579" s="2" t="str">
        <f>IF(Данные6[[#This Row],[proba]]&gt;$C$6, "отказ", "одобрение")</f>
        <v>отказ</v>
      </c>
      <c r="N579" s="7">
        <f>IF(Данные6[[#This Row],[proba]]&lt;$D$2,$C$2,IF(Данные6[[#This Row],[proba]]&lt;$D$3,$C$3,IF(Данные6[[#This Row],[proba]]&gt;$C$6,0,$C$4)))</f>
        <v>0</v>
      </c>
      <c r="O579" s="2">
        <f>IF(Данные6[[#This Row],[weighted_ext_score]]&gt;$O$1,MIN(Данные6[[#This Row],[Базовая сумма]]*$O$2,$C$2),IF(Данные6[[#This Row],[weighted_ext_score]]&lt;$O$3,Данные6[[#This Row],[Базовая сумма]]*$O$4,N579))</f>
        <v>0</v>
      </c>
      <c r="P5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79" s="2">
        <f>ABS(Данные6[[#This Row],[days_birth]])/365.2425</f>
        <v>39.518949738872116</v>
      </c>
      <c r="S5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79" s="2">
        <f>IF(Данные6[[#This Row],[ interest_rate]]&gt;$T$1,Данные6[[#This Row],[days_birth4]]*$T$2,Данные6[[#This Row],[days_birth4]])</f>
        <v>0</v>
      </c>
      <c r="U579" s="2">
        <f>IF(Данные6[[#This Row],[Проверка отказа]]="отказ",0,MAX(Данные6[[#This Row],[interest_rate]],$C$1))</f>
        <v>0</v>
      </c>
      <c r="V579" s="2">
        <f>MROUND(Данные6[[#This Row],[Минимум 20000]], 100)</f>
        <v>0</v>
      </c>
    </row>
    <row r="580" spans="1:22" x14ac:dyDescent="0.25">
      <c r="A580" s="2">
        <f>'1000_заявлений'!A574</f>
        <v>572</v>
      </c>
      <c r="B580" s="4">
        <f>VALUE(SUBSTITUTE('1000_заявлений'!B574, ".", ","))</f>
        <v>0.35823447890409499</v>
      </c>
      <c r="C580" s="4">
        <f>VALUE(SUBSTITUTE('1000_заявлений'!C574, ".", ","))</f>
        <v>0.38960347835369902</v>
      </c>
      <c r="D580" s="4">
        <f>VALUE(SUBSTITUTE('1000_заявлений'!D574, ".", ","))</f>
        <v>0.68013880000000004</v>
      </c>
      <c r="E580" s="4">
        <f>VALUE(SUBSTITUTE('1000_заявлений'!E574, ".", ","))</f>
        <v>0.4427586</v>
      </c>
      <c r="F580" s="5">
        <f>VALUE(SUBSTITUTE('1000_заявлений'!F574, ".", ","))</f>
        <v>-8034</v>
      </c>
      <c r="G580" s="5">
        <f>VALUE(SUBSTITUTE('1000_заявлений'!G574, ".", ","))</f>
        <v>-21359</v>
      </c>
      <c r="H580" s="5">
        <f>VALUE(SUBSTITUTE('1000_заявлений'!H574, ".", ","))</f>
        <v>-4082</v>
      </c>
      <c r="I580" s="4">
        <f>VALUE(SUBSTITUTE('1000_заявлений'!I574, ".", ","))</f>
        <v>0.23785000000000001</v>
      </c>
      <c r="J580" s="4">
        <f>VALUE(SUBSTITUTE('1000_заявлений'!J574, ".", ","))</f>
        <v>5.44173240598293</v>
      </c>
      <c r="K580" s="5">
        <f>VALUE(SUBSTITUTE('1000_заявлений'!K574, ".", ","))</f>
        <v>-864</v>
      </c>
      <c r="L580" s="6">
        <f>VALUE(SUBSTITUTE('1000_заявлений'!L574, ".", ","))</f>
        <v>21406.5</v>
      </c>
      <c r="M580" s="2" t="str">
        <f>IF(Данные6[[#This Row],[proba]]&gt;$C$6, "отказ", "одобрение")</f>
        <v>отказ</v>
      </c>
      <c r="N580" s="7">
        <f>IF(Данные6[[#This Row],[proba]]&lt;$D$2,$C$2,IF(Данные6[[#This Row],[proba]]&lt;$D$3,$C$3,IF(Данные6[[#This Row],[proba]]&gt;$C$6,0,$C$4)))</f>
        <v>0</v>
      </c>
      <c r="O580" s="2">
        <f>IF(Данные6[[#This Row],[weighted_ext_score]]&gt;$O$1,MIN(Данные6[[#This Row],[Базовая сумма]]*$O$2,$C$2),IF(Данные6[[#This Row],[weighted_ext_score]]&lt;$O$3,Данные6[[#This Row],[Базовая сумма]]*$O$4,N580))</f>
        <v>0</v>
      </c>
      <c r="P5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0" s="2">
        <f>ABS(Данные6[[#This Row],[days_birth]])/365.2425</f>
        <v>58.478955762267532</v>
      </c>
      <c r="S5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0" s="2">
        <f>IF(Данные6[[#This Row],[ interest_rate]]&gt;$T$1,Данные6[[#This Row],[days_birth4]]*$T$2,Данные6[[#This Row],[days_birth4]])</f>
        <v>0</v>
      </c>
      <c r="U580" s="2">
        <f>IF(Данные6[[#This Row],[Проверка отказа]]="отказ",0,MAX(Данные6[[#This Row],[interest_rate]],$C$1))</f>
        <v>0</v>
      </c>
      <c r="V580" s="2">
        <f>MROUND(Данные6[[#This Row],[Минимум 20000]], 100)</f>
        <v>0</v>
      </c>
    </row>
    <row r="581" spans="1:22" x14ac:dyDescent="0.25">
      <c r="A581" s="2">
        <f>'1000_заявлений'!A575</f>
        <v>573</v>
      </c>
      <c r="B581" s="4">
        <f>VALUE(SUBSTITUTE('1000_заявлений'!B575, ".", ","))</f>
        <v>0.355186457903029</v>
      </c>
      <c r="C581" s="4">
        <f>VALUE(SUBSTITUTE('1000_заявлений'!C575, ".", ","))</f>
        <v>0.40015786555464</v>
      </c>
      <c r="D581" s="4">
        <f>VALUE(SUBSTITUTE('1000_заявлений'!D575, ".", ","))</f>
        <v>0.52988979999999997</v>
      </c>
      <c r="E581" s="4">
        <f>VALUE(SUBSTITUTE('1000_заявлений'!E575, ".", ","))</f>
        <v>0.64281690000000002</v>
      </c>
      <c r="F581" s="5">
        <f>VALUE(SUBSTITUTE('1000_заявлений'!F575, ".", ","))</f>
        <v>-3</v>
      </c>
      <c r="G581" s="5">
        <f>VALUE(SUBSTITUTE('1000_заявлений'!G575, ".", ","))</f>
        <v>-19512</v>
      </c>
      <c r="H581" s="5">
        <f>VALUE(SUBSTITUTE('1000_заявлений'!H575, ".", ","))</f>
        <v>-3049</v>
      </c>
      <c r="I581" s="4">
        <f>VALUE(SUBSTITUTE('1000_заявлений'!I575, ".", ","))</f>
        <v>0.1008125</v>
      </c>
      <c r="J581" s="4">
        <f>VALUE(SUBSTITUTE('1000_заявлений'!J575, ".", ","))</f>
        <v>2.3522351798308501</v>
      </c>
      <c r="K581" s="5">
        <f>VALUE(SUBSTITUTE('1000_заявлений'!K575, ".", ","))</f>
        <v>-968</v>
      </c>
      <c r="L581" s="6">
        <f>VALUE(SUBSTITUTE('1000_заявлений'!L575, ".", ","))</f>
        <v>36292.5</v>
      </c>
      <c r="M581" s="2" t="str">
        <f>IF(Данные6[[#This Row],[proba]]&gt;$C$6, "отказ", "одобрение")</f>
        <v>отказ</v>
      </c>
      <c r="N581" s="7">
        <f>IF(Данные6[[#This Row],[proba]]&lt;$D$2,$C$2,IF(Данные6[[#This Row],[proba]]&lt;$D$3,$C$3,IF(Данные6[[#This Row],[proba]]&gt;$C$6,0,$C$4)))</f>
        <v>0</v>
      </c>
      <c r="O581" s="2">
        <f>IF(Данные6[[#This Row],[weighted_ext_score]]&gt;$O$1,MIN(Данные6[[#This Row],[Базовая сумма]]*$O$2,$C$2),IF(Данные6[[#This Row],[weighted_ext_score]]&lt;$O$3,Данные6[[#This Row],[Базовая сумма]]*$O$4,N581))</f>
        <v>0</v>
      </c>
      <c r="P5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1" s="2">
        <f>ABS(Данные6[[#This Row],[days_birth]])/365.2425</f>
        <v>53.422041520359763</v>
      </c>
      <c r="S5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1" s="2">
        <f>IF(Данные6[[#This Row],[ interest_rate]]&gt;$T$1,Данные6[[#This Row],[days_birth4]]*$T$2,Данные6[[#This Row],[days_birth4]])</f>
        <v>0</v>
      </c>
      <c r="U581" s="2">
        <f>IF(Данные6[[#This Row],[Проверка отказа]]="отказ",0,MAX(Данные6[[#This Row],[interest_rate]],$C$1))</f>
        <v>0</v>
      </c>
      <c r="V581" s="2">
        <f>MROUND(Данные6[[#This Row],[Минимум 20000]], 100)</f>
        <v>0</v>
      </c>
    </row>
    <row r="582" spans="1:22" x14ac:dyDescent="0.25">
      <c r="A582" s="2">
        <f>'1000_заявлений'!A576</f>
        <v>574</v>
      </c>
      <c r="B582" s="4">
        <f>VALUE(SUBSTITUTE('1000_заявлений'!B576, ".", ","))</f>
        <v>0.47627259444189801</v>
      </c>
      <c r="C582" s="4">
        <f>VALUE(SUBSTITUTE('1000_заявлений'!C576, ".", ","))</f>
        <v>0.33871796535847998</v>
      </c>
      <c r="D582" s="4">
        <f>VALUE(SUBSTITUTE('1000_заявлений'!D576, ".", ","))</f>
        <v>0.58148370000000005</v>
      </c>
      <c r="E582" s="4">
        <f>VALUE(SUBSTITUTE('1000_заявлений'!E576, ".", ","))</f>
        <v>0.39588301999999997</v>
      </c>
      <c r="F582" s="5">
        <f>VALUE(SUBSTITUTE('1000_заявлений'!F576, ".", ","))</f>
        <v>-4656</v>
      </c>
      <c r="G582" s="5">
        <f>VALUE(SUBSTITUTE('1000_заявлений'!G576, ".", ","))</f>
        <v>-15060</v>
      </c>
      <c r="H582" s="5">
        <f>VALUE(SUBSTITUTE('1000_заявлений'!H576, ".", ","))</f>
        <v>-4730</v>
      </c>
      <c r="I582" s="4">
        <f>VALUE(SUBSTITUTE('1000_заявлений'!I576, ".", ","))</f>
        <v>0.12342500000000001</v>
      </c>
      <c r="J582" s="4">
        <f>VALUE(SUBSTITUTE('1000_заявлений'!J576, ".", ","))</f>
        <v>2.7840931875254098</v>
      </c>
      <c r="K582" s="5">
        <f>VALUE(SUBSTITUTE('1000_заявлений'!K576, ".", ","))</f>
        <v>-2234</v>
      </c>
      <c r="L582" s="6">
        <f>VALUE(SUBSTITUTE('1000_заявлений'!L576, ".", ","))</f>
        <v>22216.5</v>
      </c>
      <c r="M582" s="2" t="str">
        <f>IF(Данные6[[#This Row],[proba]]&gt;$C$6, "отказ", "одобрение")</f>
        <v>отказ</v>
      </c>
      <c r="N582" s="7">
        <f>IF(Данные6[[#This Row],[proba]]&lt;$D$2,$C$2,IF(Данные6[[#This Row],[proba]]&lt;$D$3,$C$3,IF(Данные6[[#This Row],[proba]]&gt;$C$6,0,$C$4)))</f>
        <v>0</v>
      </c>
      <c r="O582" s="2">
        <f>IF(Данные6[[#This Row],[weighted_ext_score]]&gt;$O$1,MIN(Данные6[[#This Row],[Базовая сумма]]*$O$2,$C$2),IF(Данные6[[#This Row],[weighted_ext_score]]&lt;$O$3,Данные6[[#This Row],[Базовая сумма]]*$O$4,N582))</f>
        <v>0</v>
      </c>
      <c r="P5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2" s="2">
        <f>ABS(Данные6[[#This Row],[days_birth]])/365.2425</f>
        <v>41.232879525246922</v>
      </c>
      <c r="S5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2" s="2">
        <f>IF(Данные6[[#This Row],[ interest_rate]]&gt;$T$1,Данные6[[#This Row],[days_birth4]]*$T$2,Данные6[[#This Row],[days_birth4]])</f>
        <v>0</v>
      </c>
      <c r="U582" s="2">
        <f>IF(Данные6[[#This Row],[Проверка отказа]]="отказ",0,MAX(Данные6[[#This Row],[interest_rate]],$C$1))</f>
        <v>0</v>
      </c>
      <c r="V582" s="2">
        <f>MROUND(Данные6[[#This Row],[Минимум 20000]], 100)</f>
        <v>0</v>
      </c>
    </row>
    <row r="583" spans="1:22" x14ac:dyDescent="0.25">
      <c r="A583" s="2">
        <f>'1000_заявлений'!A577</f>
        <v>575</v>
      </c>
      <c r="B583" s="4">
        <f>VALUE(SUBSTITUTE('1000_заявлений'!B577, ".", ","))</f>
        <v>0.67707266602702998</v>
      </c>
      <c r="C583" s="4">
        <f>VALUE(SUBSTITUTE('1000_заявлений'!C577, ".", ","))</f>
        <v>0.353254918194297</v>
      </c>
      <c r="D583" s="4">
        <f>VALUE(SUBSTITUTE('1000_заявлений'!D577, ".", ","))</f>
        <v>0.3944954</v>
      </c>
      <c r="E583" s="4">
        <f>VALUE(SUBSTITUTE('1000_заявлений'!E577, ".", ","))</f>
        <v>0.3852911</v>
      </c>
      <c r="F583" s="5">
        <f>VALUE(SUBSTITUTE('1000_заявлений'!F577, ".", ","))</f>
        <v>-3898</v>
      </c>
      <c r="G583" s="5">
        <f>VALUE(SUBSTITUTE('1000_заявлений'!G577, ".", ","))</f>
        <v>-9064</v>
      </c>
      <c r="H583" s="5">
        <f>VALUE(SUBSTITUTE('1000_заявлений'!H577, ".", ","))</f>
        <v>-1732</v>
      </c>
      <c r="I583" s="4">
        <f>VALUE(SUBSTITUTE('1000_заявлений'!I577, ".", ","))</f>
        <v>0.27044444444444399</v>
      </c>
      <c r="J583" s="4">
        <f>VALUE(SUBSTITUTE('1000_заявлений'!J577, ".", ","))</f>
        <v>2.8029246753719899</v>
      </c>
      <c r="K583" s="5">
        <f>VALUE(SUBSTITUTE('1000_заявлений'!K577, ".", ","))</f>
        <v>-105</v>
      </c>
      <c r="L583" s="6">
        <f>VALUE(SUBSTITUTE('1000_заявлений'!L577, ".", ","))</f>
        <v>21906</v>
      </c>
      <c r="M583" s="2" t="str">
        <f>IF(Данные6[[#This Row],[proba]]&gt;$C$6, "отказ", "одобрение")</f>
        <v>отказ</v>
      </c>
      <c r="N583" s="7">
        <f>IF(Данные6[[#This Row],[proba]]&lt;$D$2,$C$2,IF(Данные6[[#This Row],[proba]]&lt;$D$3,$C$3,IF(Данные6[[#This Row],[proba]]&gt;$C$6,0,$C$4)))</f>
        <v>0</v>
      </c>
      <c r="O583" s="2">
        <f>IF(Данные6[[#This Row],[weighted_ext_score]]&gt;$O$1,MIN(Данные6[[#This Row],[Базовая сумма]]*$O$2,$C$2),IF(Данные6[[#This Row],[weighted_ext_score]]&lt;$O$3,Данные6[[#This Row],[Базовая сумма]]*$O$4,N583))</f>
        <v>0</v>
      </c>
      <c r="P5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3" s="2">
        <f>ABS(Данные6[[#This Row],[days_birth]])/365.2425</f>
        <v>24.816389111343831</v>
      </c>
      <c r="S5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3" s="2">
        <f>IF(Данные6[[#This Row],[ interest_rate]]&gt;$T$1,Данные6[[#This Row],[days_birth4]]*$T$2,Данные6[[#This Row],[days_birth4]])</f>
        <v>0</v>
      </c>
      <c r="U583" s="2">
        <f>IF(Данные6[[#This Row],[Проверка отказа]]="отказ",0,MAX(Данные6[[#This Row],[interest_rate]],$C$1))</f>
        <v>0</v>
      </c>
      <c r="V583" s="2">
        <f>MROUND(Данные6[[#This Row],[Минимум 20000]], 100)</f>
        <v>0</v>
      </c>
    </row>
    <row r="584" spans="1:22" x14ac:dyDescent="0.25">
      <c r="A584" s="2">
        <f>'1000_заявлений'!A578</f>
        <v>576</v>
      </c>
      <c r="B584" s="4">
        <f>VALUE(SUBSTITUTE('1000_заявлений'!B578, ".", ","))</f>
        <v>0.45766975389540798</v>
      </c>
      <c r="C584" s="4">
        <f>VALUE(SUBSTITUTE('1000_заявлений'!C578, ".", ","))</f>
        <v>0.443215246607151</v>
      </c>
      <c r="D584" s="4">
        <f>VALUE(SUBSTITUTE('1000_заявлений'!D578, ".", ","))</f>
        <v>0.45074727999999997</v>
      </c>
      <c r="E584" s="4">
        <f>VALUE(SUBSTITUTE('1000_заявлений'!E578, ".", ","))</f>
        <v>0.54115086999999995</v>
      </c>
      <c r="F584" s="5">
        <f>VALUE(SUBSTITUTE('1000_заявлений'!F578, ".", ","))</f>
        <v>-6127</v>
      </c>
      <c r="G584" s="5">
        <f>VALUE(SUBSTITUTE('1000_заявлений'!G578, ".", ","))</f>
        <v>-11831</v>
      </c>
      <c r="H584" s="5">
        <f>VALUE(SUBSTITUTE('1000_заявлений'!H578, ".", ","))</f>
        <v>-2598</v>
      </c>
      <c r="I584" s="4">
        <f>VALUE(SUBSTITUTE('1000_заявлений'!I578, ".", ","))</f>
        <v>0.264666666666666</v>
      </c>
      <c r="J584" s="4">
        <f>VALUE(SUBSTITUTE('1000_заявлений'!J578, ".", ","))</f>
        <v>8.05806190441578</v>
      </c>
      <c r="K584" s="5">
        <f>VALUE(SUBSTITUTE('1000_заявлений'!K578, ".", ","))</f>
        <v>-2266</v>
      </c>
      <c r="L584" s="6">
        <f>VALUE(SUBSTITUTE('1000_заявлений'!L578, ".", ","))</f>
        <v>53595</v>
      </c>
      <c r="M584" s="2" t="str">
        <f>IF(Данные6[[#This Row],[proba]]&gt;$C$6, "отказ", "одобрение")</f>
        <v>отказ</v>
      </c>
      <c r="N584" s="7">
        <f>IF(Данные6[[#This Row],[proba]]&lt;$D$2,$C$2,IF(Данные6[[#This Row],[proba]]&lt;$D$3,$C$3,IF(Данные6[[#This Row],[proba]]&gt;$C$6,0,$C$4)))</f>
        <v>0</v>
      </c>
      <c r="O584" s="2">
        <f>IF(Данные6[[#This Row],[weighted_ext_score]]&gt;$O$1,MIN(Данные6[[#This Row],[Базовая сумма]]*$O$2,$C$2),IF(Данные6[[#This Row],[weighted_ext_score]]&lt;$O$3,Данные6[[#This Row],[Базовая сумма]]*$O$4,N584))</f>
        <v>0</v>
      </c>
      <c r="P5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4" s="2">
        <f>ABS(Данные6[[#This Row],[days_birth]])/365.2425</f>
        <v>32.392177799681036</v>
      </c>
      <c r="S5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4" s="2">
        <f>IF(Данные6[[#This Row],[ interest_rate]]&gt;$T$1,Данные6[[#This Row],[days_birth4]]*$T$2,Данные6[[#This Row],[days_birth4]])</f>
        <v>0</v>
      </c>
      <c r="U584" s="2">
        <f>IF(Данные6[[#This Row],[Проверка отказа]]="отказ",0,MAX(Данные6[[#This Row],[interest_rate]],$C$1))</f>
        <v>0</v>
      </c>
      <c r="V584" s="2">
        <f>MROUND(Данные6[[#This Row],[Минимум 20000]], 100)</f>
        <v>0</v>
      </c>
    </row>
    <row r="585" spans="1:22" x14ac:dyDescent="0.25">
      <c r="A585" s="2">
        <f>'1000_заявлений'!A579</f>
        <v>577</v>
      </c>
      <c r="B585" s="4">
        <f>VALUE(SUBSTITUTE('1000_заявлений'!B579, ".", ","))</f>
        <v>0.24456920140133601</v>
      </c>
      <c r="C585" s="4">
        <f>VALUE(SUBSTITUTE('1000_заявлений'!C579, ".", ","))</f>
        <v>0.52446914299085701</v>
      </c>
      <c r="D585" s="4">
        <f>VALUE(SUBSTITUTE('1000_заявлений'!D579, ".", ","))</f>
        <v>0.7223929</v>
      </c>
      <c r="E585" s="4">
        <f>VALUE(SUBSTITUTE('1000_заявлений'!E579, ".", ","))</f>
        <v>0.63827040000000002</v>
      </c>
      <c r="F585" s="5">
        <f>VALUE(SUBSTITUTE('1000_заявлений'!F579, ".", ","))</f>
        <v>-7150</v>
      </c>
      <c r="G585" s="5">
        <f>VALUE(SUBSTITUTE('1000_заявлений'!G579, ".", ","))</f>
        <v>-13262</v>
      </c>
      <c r="H585" s="5">
        <f>VALUE(SUBSTITUTE('1000_заявлений'!H579, ".", ","))</f>
        <v>-4364</v>
      </c>
      <c r="I585" s="4">
        <f>VALUE(SUBSTITUTE('1000_заявлений'!I579, ".", ","))</f>
        <v>0.15805714285714201</v>
      </c>
      <c r="J585" s="4">
        <f>VALUE(SUBSTITUTE('1000_заявлений'!J579, ".", ","))</f>
        <v>3.2391149578721401</v>
      </c>
      <c r="K585" s="5">
        <f>VALUE(SUBSTITUTE('1000_заявлений'!K579, ".", ","))</f>
        <v>-2394</v>
      </c>
      <c r="L585" s="6">
        <f>VALUE(SUBSTITUTE('1000_заявлений'!L579, ".", ","))</f>
        <v>24894</v>
      </c>
      <c r="M585" s="2" t="str">
        <f>IF(Данные6[[#This Row],[proba]]&gt;$C$6, "отказ", "одобрение")</f>
        <v>одобрение</v>
      </c>
      <c r="N585" s="7">
        <f>IF(Данные6[[#This Row],[proba]]&lt;$D$2,$C$2,IF(Данные6[[#This Row],[proba]]&lt;$D$3,$C$3,IF(Данные6[[#This Row],[proba]]&gt;$C$6,0,$C$4)))</f>
        <v>50000</v>
      </c>
      <c r="O585" s="2">
        <f>IF(Данные6[[#This Row],[weighted_ext_score]]&gt;$O$1,MIN(Данные6[[#This Row],[Базовая сумма]]*$O$2,$C$2),IF(Данные6[[#This Row],[weighted_ext_score]]&lt;$O$3,Данные6[[#This Row],[Базовая сумма]]*$O$4,N585))</f>
        <v>50000</v>
      </c>
      <c r="P5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85" s="2">
        <f>ABS(Данные6[[#This Row],[days_birth]])/365.2425</f>
        <v>36.310122726681591</v>
      </c>
      <c r="S5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85" s="2">
        <f>IF(Данные6[[#This Row],[ interest_rate]]&gt;$T$1,Данные6[[#This Row],[days_birth4]]*$T$2,Данные6[[#This Row],[days_birth4]])</f>
        <v>35000</v>
      </c>
      <c r="U585" s="2">
        <f>IF(Данные6[[#This Row],[Проверка отказа]]="отказ",0,MAX(Данные6[[#This Row],[interest_rate]],$C$1))</f>
        <v>35000</v>
      </c>
      <c r="V585" s="2">
        <f>MROUND(Данные6[[#This Row],[Минимум 20000]], 100)</f>
        <v>35000</v>
      </c>
    </row>
    <row r="586" spans="1:22" x14ac:dyDescent="0.25">
      <c r="A586" s="2">
        <f>'1000_заявлений'!A580</f>
        <v>578</v>
      </c>
      <c r="B586" s="4">
        <f>VALUE(SUBSTITUTE('1000_заявлений'!B580, ".", ","))</f>
        <v>0.67840122435086803</v>
      </c>
      <c r="C586" s="4">
        <f>VALUE(SUBSTITUTE('1000_заявлений'!C580, ".", ","))</f>
        <v>0.31712070565226103</v>
      </c>
      <c r="D586" s="4">
        <f>VALUE(SUBSTITUTE('1000_заявлений'!D580, ".", ","))</f>
        <v>0.28078957999999998</v>
      </c>
      <c r="E586" s="4">
        <f>VALUE(SUBSTITUTE('1000_заявлений'!E580, ".", ","))</f>
        <v>0.52690579999999998</v>
      </c>
      <c r="F586" s="5">
        <f>VALUE(SUBSTITUTE('1000_заявлений'!F580, ".", ","))</f>
        <v>-3413</v>
      </c>
      <c r="G586" s="5">
        <f>VALUE(SUBSTITUTE('1000_заявлений'!G580, ".", ","))</f>
        <v>-8241</v>
      </c>
      <c r="H586" s="5">
        <f>VALUE(SUBSTITUTE('1000_заявлений'!H580, ".", ","))</f>
        <v>-658</v>
      </c>
      <c r="I586" s="4">
        <f>VALUE(SUBSTITUTE('1000_заявлений'!I580, ".", ","))</f>
        <v>0.20655999999999999</v>
      </c>
      <c r="J586" s="4">
        <f>VALUE(SUBSTITUTE('1000_заявлений'!J580, ".", ","))</f>
        <v>5.7157346235331996</v>
      </c>
      <c r="K586" s="5">
        <f>VALUE(SUBSTITUTE('1000_заявлений'!K580, ".", ","))</f>
        <v>-657</v>
      </c>
      <c r="L586" s="6">
        <f>VALUE(SUBSTITUTE('1000_заявлений'!L580, ".", ","))</f>
        <v>23238</v>
      </c>
      <c r="M586" s="2" t="str">
        <f>IF(Данные6[[#This Row],[proba]]&gt;$C$6, "отказ", "одобрение")</f>
        <v>отказ</v>
      </c>
      <c r="N586" s="7">
        <f>IF(Данные6[[#This Row],[proba]]&lt;$D$2,$C$2,IF(Данные6[[#This Row],[proba]]&lt;$D$3,$C$3,IF(Данные6[[#This Row],[proba]]&gt;$C$6,0,$C$4)))</f>
        <v>0</v>
      </c>
      <c r="O586" s="2">
        <f>IF(Данные6[[#This Row],[weighted_ext_score]]&gt;$O$1,MIN(Данные6[[#This Row],[Базовая сумма]]*$O$2,$C$2),IF(Данные6[[#This Row],[weighted_ext_score]]&lt;$O$3,Данные6[[#This Row],[Базовая сумма]]*$O$4,N586))</f>
        <v>0</v>
      </c>
      <c r="P5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6" s="2">
        <f>ABS(Данные6[[#This Row],[days_birth]])/365.2425</f>
        <v>22.563091644592291</v>
      </c>
      <c r="S5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6" s="2">
        <f>IF(Данные6[[#This Row],[ interest_rate]]&gt;$T$1,Данные6[[#This Row],[days_birth4]]*$T$2,Данные6[[#This Row],[days_birth4]])</f>
        <v>0</v>
      </c>
      <c r="U586" s="2">
        <f>IF(Данные6[[#This Row],[Проверка отказа]]="отказ",0,MAX(Данные6[[#This Row],[interest_rate]],$C$1))</f>
        <v>0</v>
      </c>
      <c r="V586" s="2">
        <f>MROUND(Данные6[[#This Row],[Минимум 20000]], 100)</f>
        <v>0</v>
      </c>
    </row>
    <row r="587" spans="1:22" x14ac:dyDescent="0.25">
      <c r="A587" s="2">
        <f>'1000_заявлений'!A581</f>
        <v>579</v>
      </c>
      <c r="B587" s="4">
        <f>VALUE(SUBSTITUTE('1000_заявлений'!B581, ".", ","))</f>
        <v>0.64956169089634097</v>
      </c>
      <c r="C587" s="4">
        <f>VALUE(SUBSTITUTE('1000_заявлений'!C581, ".", ","))</f>
        <v>0.35007687525699299</v>
      </c>
      <c r="D587" s="4">
        <f>VALUE(SUBSTITUTE('1000_заявлений'!D581, ".", ","))</f>
        <v>0.18629295000000001</v>
      </c>
      <c r="E587" s="4">
        <f>VALUE(SUBSTITUTE('1000_заявлений'!E581, ".", ","))</f>
        <v>0.60630459999999997</v>
      </c>
      <c r="F587" s="5">
        <f>VALUE(SUBSTITUTE('1000_заявлений'!F581, ".", ","))</f>
        <v>-3666</v>
      </c>
      <c r="G587" s="5">
        <f>VALUE(SUBSTITUTE('1000_заявлений'!G581, ".", ","))</f>
        <v>-8968</v>
      </c>
      <c r="H587" s="5">
        <f>VALUE(SUBSTITUTE('1000_заявлений'!H581, ".", ","))</f>
        <v>-1581</v>
      </c>
      <c r="I587" s="4">
        <f>VALUE(SUBSTITUTE('1000_заявлений'!I581, ".", ","))</f>
        <v>0.113178571428571</v>
      </c>
      <c r="J587" s="4">
        <f>VALUE(SUBSTITUTE('1000_заявлений'!J581, ".", ","))</f>
        <v>5.9690120391371302</v>
      </c>
      <c r="K587" s="5">
        <f>VALUE(SUBSTITUTE('1000_заявлений'!K581, ".", ","))</f>
        <v>-450</v>
      </c>
      <c r="L587" s="6">
        <f>VALUE(SUBSTITUTE('1000_заявлений'!L581, ".", ","))</f>
        <v>14260.5</v>
      </c>
      <c r="M587" s="2" t="str">
        <f>IF(Данные6[[#This Row],[proba]]&gt;$C$6, "отказ", "одобрение")</f>
        <v>отказ</v>
      </c>
      <c r="N587" s="7">
        <f>IF(Данные6[[#This Row],[proba]]&lt;$D$2,$C$2,IF(Данные6[[#This Row],[proba]]&lt;$D$3,$C$3,IF(Данные6[[#This Row],[proba]]&gt;$C$6,0,$C$4)))</f>
        <v>0</v>
      </c>
      <c r="O587" s="2">
        <f>IF(Данные6[[#This Row],[weighted_ext_score]]&gt;$O$1,MIN(Данные6[[#This Row],[Базовая сумма]]*$O$2,$C$2),IF(Данные6[[#This Row],[weighted_ext_score]]&lt;$O$3,Данные6[[#This Row],[Базовая сумма]]*$O$4,N587))</f>
        <v>0</v>
      </c>
      <c r="P5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7" s="2">
        <f>ABS(Данные6[[#This Row],[days_birth]])/365.2425</f>
        <v>24.553550038672935</v>
      </c>
      <c r="S5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7" s="2">
        <f>IF(Данные6[[#This Row],[ interest_rate]]&gt;$T$1,Данные6[[#This Row],[days_birth4]]*$T$2,Данные6[[#This Row],[days_birth4]])</f>
        <v>0</v>
      </c>
      <c r="U587" s="2">
        <f>IF(Данные6[[#This Row],[Проверка отказа]]="отказ",0,MAX(Данные6[[#This Row],[interest_rate]],$C$1))</f>
        <v>0</v>
      </c>
      <c r="V587" s="2">
        <f>MROUND(Данные6[[#This Row],[Минимум 20000]], 100)</f>
        <v>0</v>
      </c>
    </row>
    <row r="588" spans="1:22" x14ac:dyDescent="0.25">
      <c r="A588" s="2">
        <f>'1000_заявлений'!A582</f>
        <v>580</v>
      </c>
      <c r="B588" s="4">
        <f>VALUE(SUBSTITUTE('1000_заявлений'!B582, ".", ","))</f>
        <v>0.65523676310288104</v>
      </c>
      <c r="C588" s="4">
        <f>VALUE(SUBSTITUTE('1000_заявлений'!C582, ".", ","))</f>
        <v>0.26602558645985203</v>
      </c>
      <c r="D588" s="4">
        <f>VALUE(SUBSTITUTE('1000_заявлений'!D582, ".", ","))</f>
        <v>0.25946765999999999</v>
      </c>
      <c r="E588" s="4">
        <f>VALUE(SUBSTITUTE('1000_заявлений'!E582, ".", ","))</f>
        <v>0.53081789999999995</v>
      </c>
      <c r="F588" s="5">
        <f>VALUE(SUBSTITUTE('1000_заявлений'!F582, ".", ","))</f>
        <v>-9067</v>
      </c>
      <c r="G588" s="5">
        <f>VALUE(SUBSTITUTE('1000_заявлений'!G582, ".", ","))</f>
        <v>-17426</v>
      </c>
      <c r="H588" s="5">
        <f>VALUE(SUBSTITUTE('1000_заявлений'!H582, ".", ","))</f>
        <v>-973</v>
      </c>
      <c r="I588" s="4">
        <f>VALUE(SUBSTITUTE('1000_заявлений'!I582, ".", ","))</f>
        <v>9.2299999999999993E-2</v>
      </c>
      <c r="J588" s="4">
        <f>VALUE(SUBSTITUTE('1000_заявлений'!J582, ".", ","))</f>
        <v>0.13010053056405901</v>
      </c>
      <c r="K588" s="5">
        <f>VALUE(SUBSTITUTE('1000_заявлений'!K582, ".", ","))</f>
        <v>-1168</v>
      </c>
      <c r="L588" s="6">
        <f>VALUE(SUBSTITUTE('1000_заявлений'!L582, ".", ","))</f>
        <v>8307</v>
      </c>
      <c r="M588" s="2" t="str">
        <f>IF(Данные6[[#This Row],[proba]]&gt;$C$6, "отказ", "одобрение")</f>
        <v>отказ</v>
      </c>
      <c r="N588" s="7">
        <f>IF(Данные6[[#This Row],[proba]]&lt;$D$2,$C$2,IF(Данные6[[#This Row],[proba]]&lt;$D$3,$C$3,IF(Данные6[[#This Row],[proba]]&gt;$C$6,0,$C$4)))</f>
        <v>0</v>
      </c>
      <c r="O588" s="2">
        <f>IF(Данные6[[#This Row],[weighted_ext_score]]&gt;$O$1,MIN(Данные6[[#This Row],[Базовая сумма]]*$O$2,$C$2),IF(Данные6[[#This Row],[weighted_ext_score]]&lt;$O$3,Данные6[[#This Row],[Базовая сумма]]*$O$4,N588))</f>
        <v>0</v>
      </c>
      <c r="P5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88" s="2">
        <f>ABS(Данные6[[#This Row],[days_birth]])/365.2425</f>
        <v>47.710767503781732</v>
      </c>
      <c r="S5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88" s="2">
        <f>IF(Данные6[[#This Row],[ interest_rate]]&gt;$T$1,Данные6[[#This Row],[days_birth4]]*$T$2,Данные6[[#This Row],[days_birth4]])</f>
        <v>0</v>
      </c>
      <c r="U588" s="2">
        <f>IF(Данные6[[#This Row],[Проверка отказа]]="отказ",0,MAX(Данные6[[#This Row],[interest_rate]],$C$1))</f>
        <v>0</v>
      </c>
      <c r="V588" s="2">
        <f>MROUND(Данные6[[#This Row],[Минимум 20000]], 100)</f>
        <v>0</v>
      </c>
    </row>
    <row r="589" spans="1:22" x14ac:dyDescent="0.25">
      <c r="A589" s="2">
        <f>'1000_заявлений'!A583</f>
        <v>581</v>
      </c>
      <c r="B589" s="4">
        <f>VALUE(SUBSTITUTE('1000_заявлений'!B583, ".", ","))</f>
        <v>0.158874276350364</v>
      </c>
      <c r="C589" s="4">
        <f>VALUE(SUBSTITUTE('1000_заявлений'!C583, ".", ","))</f>
        <v>0.69655896135997897</v>
      </c>
      <c r="D589" s="4">
        <f>VALUE(SUBSTITUTE('1000_заявлений'!D583, ".", ","))</f>
        <v>0.71803284000000001</v>
      </c>
      <c r="E589" s="4">
        <f>VALUE(SUBSTITUTE('1000_заявлений'!E583, ".", ","))</f>
        <v>0.67132429999999998</v>
      </c>
      <c r="F589" s="5">
        <f>VALUE(SUBSTITUTE('1000_заявлений'!F583, ".", ","))</f>
        <v>-7052</v>
      </c>
      <c r="G589" s="5">
        <f>VALUE(SUBSTITUTE('1000_заявлений'!G583, ".", ","))</f>
        <v>-14760</v>
      </c>
      <c r="H589" s="5">
        <f>VALUE(SUBSTITUTE('1000_заявлений'!H583, ".", ","))</f>
        <v>-209</v>
      </c>
      <c r="I589" s="4">
        <f>VALUE(SUBSTITUTE('1000_заявлений'!I583, ".", ","))</f>
        <v>0.241288888888888</v>
      </c>
      <c r="J589" s="4">
        <f>VALUE(SUBSTITUTE('1000_заявлений'!J583, ".", ","))</f>
        <v>15.6215898578526</v>
      </c>
      <c r="K589" s="5">
        <f>VALUE(SUBSTITUTE('1000_заявлений'!K583, ".", ","))</f>
        <v>-198</v>
      </c>
      <c r="L589" s="6">
        <f>VALUE(SUBSTITUTE('1000_заявлений'!L583, ".", ","))</f>
        <v>48861</v>
      </c>
      <c r="M589" s="2" t="str">
        <f>IF(Данные6[[#This Row],[proba]]&gt;$C$6, "отказ", "одобрение")</f>
        <v>одобрение</v>
      </c>
      <c r="N589" s="7">
        <f>IF(Данные6[[#This Row],[proba]]&lt;$D$2,$C$2,IF(Данные6[[#This Row],[proba]]&lt;$D$3,$C$3,IF(Данные6[[#This Row],[proba]]&gt;$C$6,0,$C$4)))</f>
        <v>200000</v>
      </c>
      <c r="O589" s="2">
        <f>IF(Данные6[[#This Row],[weighted_ext_score]]&gt;$O$1,MIN(Данные6[[#This Row],[Базовая сумма]]*$O$2,$C$2),IF(Данные6[[#This Row],[weighted_ext_score]]&lt;$O$3,Данные6[[#This Row],[Базовая сумма]]*$O$4,N589))</f>
        <v>200000</v>
      </c>
      <c r="P5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5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589" s="2">
        <f>ABS(Данные6[[#This Row],[days_birth]])/365.2425</f>
        <v>40.411507423150375</v>
      </c>
      <c r="S5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200000</v>
      </c>
      <c r="T589" s="2">
        <f>IF(Данные6[[#This Row],[ interest_rate]]&gt;$T$1,Данные6[[#This Row],[days_birth4]]*$T$2,Данные6[[#This Row],[days_birth4]])</f>
        <v>200000</v>
      </c>
      <c r="U589" s="2">
        <f>IF(Данные6[[#This Row],[Проверка отказа]]="отказ",0,MAX(Данные6[[#This Row],[interest_rate]],$C$1))</f>
        <v>200000</v>
      </c>
      <c r="V589" s="2">
        <f>MROUND(Данные6[[#This Row],[Минимум 20000]], 100)</f>
        <v>200000</v>
      </c>
    </row>
    <row r="590" spans="1:22" x14ac:dyDescent="0.25">
      <c r="A590" s="2">
        <f>'1000_заявлений'!A584</f>
        <v>582</v>
      </c>
      <c r="B590" s="4">
        <f>VALUE(SUBSTITUTE('1000_заявлений'!B584, ".", ","))</f>
        <v>0.34623032556141098</v>
      </c>
      <c r="C590" s="4">
        <f>VALUE(SUBSTITUTE('1000_заявлений'!C584, ".", ","))</f>
        <v>0.38262998051935698</v>
      </c>
      <c r="D590" s="4">
        <f>VALUE(SUBSTITUTE('1000_заявлений'!D584, ".", ","))</f>
        <v>0.44896227</v>
      </c>
      <c r="E590" s="4">
        <f>VALUE(SUBSTITUTE('1000_заявлений'!E584, ".", ","))</f>
        <v>0.6790119</v>
      </c>
      <c r="F590" s="5">
        <f>VALUE(SUBSTITUTE('1000_заявлений'!F584, ".", ","))</f>
        <v>-5465</v>
      </c>
      <c r="G590" s="5">
        <f>VALUE(SUBSTITUTE('1000_заявлений'!G584, ".", ","))</f>
        <v>-11088</v>
      </c>
      <c r="H590" s="5">
        <f>VALUE(SUBSTITUTE('1000_заявлений'!H584, ".", ","))</f>
        <v>-3778</v>
      </c>
      <c r="I590" s="4">
        <f>VALUE(SUBSTITUTE('1000_заявлений'!I584, ".", ","))</f>
        <v>7.4175000000000005E-2</v>
      </c>
      <c r="J590" s="4">
        <f>VALUE(SUBSTITUTE('1000_заявлений'!J584, ".", ","))</f>
        <v>17.3011913436535</v>
      </c>
      <c r="K590" s="5">
        <f>VALUE(SUBSTITUTE('1000_заявлений'!K584, ".", ","))</f>
        <v>-893</v>
      </c>
      <c r="L590" s="6">
        <f>VALUE(SUBSTITUTE('1000_заявлений'!L584, ".", ","))</f>
        <v>26703</v>
      </c>
      <c r="M590" s="2" t="str">
        <f>IF(Данные6[[#This Row],[proba]]&gt;$C$6, "отказ", "одобрение")</f>
        <v>отказ</v>
      </c>
      <c r="N590" s="7">
        <f>IF(Данные6[[#This Row],[proba]]&lt;$D$2,$C$2,IF(Данные6[[#This Row],[proba]]&lt;$D$3,$C$3,IF(Данные6[[#This Row],[proba]]&gt;$C$6,0,$C$4)))</f>
        <v>0</v>
      </c>
      <c r="O590" s="2">
        <f>IF(Данные6[[#This Row],[weighted_ext_score]]&gt;$O$1,MIN(Данные6[[#This Row],[Базовая сумма]]*$O$2,$C$2),IF(Данные6[[#This Row],[weighted_ext_score]]&lt;$O$3,Данные6[[#This Row],[Базовая сумма]]*$O$4,N590))</f>
        <v>0</v>
      </c>
      <c r="P5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0" s="2">
        <f>ABS(Данные6[[#This Row],[days_birth]])/365.2425</f>
        <v>30.357912893488571</v>
      </c>
      <c r="S5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0" s="2">
        <f>IF(Данные6[[#This Row],[ interest_rate]]&gt;$T$1,Данные6[[#This Row],[days_birth4]]*$T$2,Данные6[[#This Row],[days_birth4]])</f>
        <v>0</v>
      </c>
      <c r="U590" s="2">
        <f>IF(Данные6[[#This Row],[Проверка отказа]]="отказ",0,MAX(Данные6[[#This Row],[interest_rate]],$C$1))</f>
        <v>0</v>
      </c>
      <c r="V590" s="2">
        <f>MROUND(Данные6[[#This Row],[Минимум 20000]], 100)</f>
        <v>0</v>
      </c>
    </row>
    <row r="591" spans="1:22" x14ac:dyDescent="0.25">
      <c r="A591" s="2">
        <f>'1000_заявлений'!A585</f>
        <v>583</v>
      </c>
      <c r="B591" s="4">
        <f>VALUE(SUBSTITUTE('1000_заявлений'!B585, ".", ","))</f>
        <v>0.71335801569384805</v>
      </c>
      <c r="C591" s="4">
        <f>VALUE(SUBSTITUTE('1000_заявлений'!C585, ".", ","))</f>
        <v>0.22448437774357899</v>
      </c>
      <c r="D591" s="4">
        <f>VALUE(SUBSTITUTE('1000_заявлений'!D585, ".", ","))</f>
        <v>0.19294222999999999</v>
      </c>
      <c r="E591" s="4">
        <f>VALUE(SUBSTITUTE('1000_заявлений'!E585, ".", ","))</f>
        <v>0.47692612000000001</v>
      </c>
      <c r="F591" s="5">
        <f>VALUE(SUBSTITUTE('1000_заявлений'!F585, ".", ","))</f>
        <v>-11349</v>
      </c>
      <c r="G591" s="5">
        <f>VALUE(SUBSTITUTE('1000_заявлений'!G585, ".", ","))</f>
        <v>-20756</v>
      </c>
      <c r="H591" s="5">
        <f>VALUE(SUBSTITUTE('1000_заявлений'!H585, ".", ","))</f>
        <v>-4163</v>
      </c>
      <c r="I591" s="4">
        <f>VALUE(SUBSTITUTE('1000_заявлений'!I585, ".", ","))</f>
        <v>0.44800000000000001</v>
      </c>
      <c r="J591" s="4">
        <f>VALUE(SUBSTITUTE('1000_заявлений'!J585, ".", ","))</f>
        <v>6.52340447126877</v>
      </c>
      <c r="K591" s="5">
        <f>VALUE(SUBSTITUTE('1000_заявлений'!K585, ".", ","))</f>
        <v>-2341</v>
      </c>
      <c r="L591" s="6">
        <f>VALUE(SUBSTITUTE('1000_заявлений'!L585, ".", ","))</f>
        <v>40320</v>
      </c>
      <c r="M591" s="2" t="str">
        <f>IF(Данные6[[#This Row],[proba]]&gt;$C$6, "отказ", "одобрение")</f>
        <v>отказ</v>
      </c>
      <c r="N591" s="7">
        <f>IF(Данные6[[#This Row],[proba]]&lt;$D$2,$C$2,IF(Данные6[[#This Row],[proba]]&lt;$D$3,$C$3,IF(Данные6[[#This Row],[proba]]&gt;$C$6,0,$C$4)))</f>
        <v>0</v>
      </c>
      <c r="O591" s="2">
        <f>IF(Данные6[[#This Row],[weighted_ext_score]]&gt;$O$1,MIN(Данные6[[#This Row],[Базовая сумма]]*$O$2,$C$2),IF(Данные6[[#This Row],[weighted_ext_score]]&lt;$O$3,Данные6[[#This Row],[Базовая сумма]]*$O$4,N591))</f>
        <v>0</v>
      </c>
      <c r="P5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1" s="2">
        <f>ABS(Данные6[[#This Row],[days_birth]])/365.2425</f>
        <v>56.827997837053466</v>
      </c>
      <c r="S5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1" s="2">
        <f>IF(Данные6[[#This Row],[ interest_rate]]&gt;$T$1,Данные6[[#This Row],[days_birth4]]*$T$2,Данные6[[#This Row],[days_birth4]])</f>
        <v>0</v>
      </c>
      <c r="U591" s="2">
        <f>IF(Данные6[[#This Row],[Проверка отказа]]="отказ",0,MAX(Данные6[[#This Row],[interest_rate]],$C$1))</f>
        <v>0</v>
      </c>
      <c r="V591" s="2">
        <f>MROUND(Данные6[[#This Row],[Минимум 20000]], 100)</f>
        <v>0</v>
      </c>
    </row>
    <row r="592" spans="1:22" x14ac:dyDescent="0.25">
      <c r="A592" s="2">
        <f>'1000_заявлений'!A586</f>
        <v>584</v>
      </c>
      <c r="B592" s="4">
        <f>VALUE(SUBSTITUTE('1000_заявлений'!B586, ".", ","))</f>
        <v>0.491425181507751</v>
      </c>
      <c r="C592" s="4">
        <f>VALUE(SUBSTITUTE('1000_заявлений'!C586, ".", ","))</f>
        <v>0.35045922062027202</v>
      </c>
      <c r="D592" s="4">
        <f>VALUE(SUBSTITUTE('1000_заявлений'!D586, ".", ","))</f>
        <v>0.33125088000000003</v>
      </c>
      <c r="E592" s="4">
        <f>VALUE(SUBSTITUTE('1000_заявлений'!E586, ".", ","))</f>
        <v>0.71107770000000003</v>
      </c>
      <c r="F592" s="5">
        <f>VALUE(SUBSTITUTE('1000_заявлений'!F586, ".", ","))</f>
        <v>-942</v>
      </c>
      <c r="G592" s="5">
        <f>VALUE(SUBSTITUTE('1000_заявлений'!G586, ".", ","))</f>
        <v>-16295</v>
      </c>
      <c r="H592" s="5">
        <f>VALUE(SUBSTITUTE('1000_заявлений'!H586, ".", ","))</f>
        <v>-4008</v>
      </c>
      <c r="I592" s="4">
        <f>VALUE(SUBSTITUTE('1000_заявлений'!I586, ".", ","))</f>
        <v>0.18211428571428501</v>
      </c>
      <c r="J592" s="4">
        <f>VALUE(SUBSTITUTE('1000_заявлений'!J586, ".", ","))</f>
        <v>3.1914411000596399</v>
      </c>
      <c r="K592" s="5">
        <f>VALUE(SUBSTITUTE('1000_заявлений'!K586, ".", ","))</f>
        <v>-642</v>
      </c>
      <c r="L592" s="6">
        <f>VALUE(SUBSTITUTE('1000_заявлений'!L586, ".", ","))</f>
        <v>28683</v>
      </c>
      <c r="M592" s="2" t="str">
        <f>IF(Данные6[[#This Row],[proba]]&gt;$C$6, "отказ", "одобрение")</f>
        <v>отказ</v>
      </c>
      <c r="N592" s="7">
        <f>IF(Данные6[[#This Row],[proba]]&lt;$D$2,$C$2,IF(Данные6[[#This Row],[proba]]&lt;$D$3,$C$3,IF(Данные6[[#This Row],[proba]]&gt;$C$6,0,$C$4)))</f>
        <v>0</v>
      </c>
      <c r="O592" s="2">
        <f>IF(Данные6[[#This Row],[weighted_ext_score]]&gt;$O$1,MIN(Данные6[[#This Row],[Базовая сумма]]*$O$2,$C$2),IF(Данные6[[#This Row],[weighted_ext_score]]&lt;$O$3,Данные6[[#This Row],[Базовая сумма]]*$O$4,N592))</f>
        <v>0</v>
      </c>
      <c r="P5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2" s="2">
        <f>ABS(Данные6[[#This Row],[days_birth]])/365.2425</f>
        <v>44.61419467887773</v>
      </c>
      <c r="S5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2" s="2">
        <f>IF(Данные6[[#This Row],[ interest_rate]]&gt;$T$1,Данные6[[#This Row],[days_birth4]]*$T$2,Данные6[[#This Row],[days_birth4]])</f>
        <v>0</v>
      </c>
      <c r="U592" s="2">
        <f>IF(Данные6[[#This Row],[Проверка отказа]]="отказ",0,MAX(Данные6[[#This Row],[interest_rate]],$C$1))</f>
        <v>0</v>
      </c>
      <c r="V592" s="2">
        <f>MROUND(Данные6[[#This Row],[Минимум 20000]], 100)</f>
        <v>0</v>
      </c>
    </row>
    <row r="593" spans="1:22" x14ac:dyDescent="0.25">
      <c r="A593" s="2">
        <f>'1000_заявлений'!A587</f>
        <v>585</v>
      </c>
      <c r="B593" s="4">
        <f>VALUE(SUBSTITUTE('1000_заявлений'!B587, ".", ","))</f>
        <v>0.27711130413225399</v>
      </c>
      <c r="C593" s="4">
        <f>VALUE(SUBSTITUTE('1000_заявлений'!C587, ".", ","))</f>
        <v>0.64207182748598901</v>
      </c>
      <c r="D593" s="4">
        <f>VALUE(SUBSTITUTE('1000_заявлений'!D587, ".", ","))</f>
        <v>0.54065439999999998</v>
      </c>
      <c r="E593" s="4">
        <f>VALUE(SUBSTITUTE('1000_заявлений'!E587, ".", ","))</f>
        <v>0.71568299999999996</v>
      </c>
      <c r="F593" s="5">
        <f>VALUE(SUBSTITUTE('1000_заявлений'!F587, ".", ","))</f>
        <v>-390</v>
      </c>
      <c r="G593" s="5">
        <f>VALUE(SUBSTITUTE('1000_заявлений'!G587, ".", ","))</f>
        <v>-11158</v>
      </c>
      <c r="H593" s="5">
        <f>VALUE(SUBSTITUTE('1000_заявлений'!H587, ".", ","))</f>
        <v>-2475</v>
      </c>
      <c r="I593" s="4">
        <f>VALUE(SUBSTITUTE('1000_заявлений'!I587, ".", ","))</f>
        <v>0.24884444444444401</v>
      </c>
      <c r="J593" s="4">
        <f>VALUE(SUBSTITUTE('1000_заявлений'!J587, ".", ","))</f>
        <v>6.0867631954587296</v>
      </c>
      <c r="K593" s="5">
        <f>VALUE(SUBSTITUTE('1000_заявлений'!K587, ".", ","))</f>
        <v>-640</v>
      </c>
      <c r="L593" s="6">
        <f>VALUE(SUBSTITUTE('1000_заявлений'!L587, ".", ","))</f>
        <v>50391</v>
      </c>
      <c r="M593" s="2" t="str">
        <f>IF(Данные6[[#This Row],[proba]]&gt;$C$6, "отказ", "одобрение")</f>
        <v>одобрение</v>
      </c>
      <c r="N593" s="7">
        <f>IF(Данные6[[#This Row],[proba]]&lt;$D$2,$C$2,IF(Данные6[[#This Row],[proba]]&lt;$D$3,$C$3,IF(Данные6[[#This Row],[proba]]&gt;$C$6,0,$C$4)))</f>
        <v>50000</v>
      </c>
      <c r="O593" s="2">
        <f>IF(Данные6[[#This Row],[weighted_ext_score]]&gt;$O$1,MIN(Данные6[[#This Row],[Базовая сумма]]*$O$2,$C$2),IF(Данные6[[#This Row],[weighted_ext_score]]&lt;$O$3,Данные6[[#This Row],[Базовая сумма]]*$O$4,N593))</f>
        <v>50000</v>
      </c>
      <c r="P5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5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593" s="2">
        <f>ABS(Данные6[[#This Row],[days_birth]])/365.2425</f>
        <v>30.549566383977769</v>
      </c>
      <c r="S5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593" s="2">
        <f>IF(Данные6[[#This Row],[ interest_rate]]&gt;$T$1,Данные6[[#This Row],[days_birth4]]*$T$2,Данные6[[#This Row],[days_birth4]])</f>
        <v>35000</v>
      </c>
      <c r="U593" s="2">
        <f>IF(Данные6[[#This Row],[Проверка отказа]]="отказ",0,MAX(Данные6[[#This Row],[interest_rate]],$C$1))</f>
        <v>35000</v>
      </c>
      <c r="V593" s="2">
        <f>MROUND(Данные6[[#This Row],[Минимум 20000]], 100)</f>
        <v>35000</v>
      </c>
    </row>
    <row r="594" spans="1:22" x14ac:dyDescent="0.25">
      <c r="A594" s="2">
        <f>'1000_заявлений'!A588</f>
        <v>586</v>
      </c>
      <c r="B594" s="4">
        <f>VALUE(SUBSTITUTE('1000_заявлений'!B588, ".", ","))</f>
        <v>0.66221604602454098</v>
      </c>
      <c r="C594" s="4">
        <f>VALUE(SUBSTITUTE('1000_заявлений'!C588, ".", ","))</f>
        <v>0.30266968942140099</v>
      </c>
      <c r="D594" s="4">
        <f>VALUE(SUBSTITUTE('1000_заявлений'!D588, ".", ","))</f>
        <v>0.19519839999999999</v>
      </c>
      <c r="E594" s="4">
        <f>VALUE(SUBSTITUTE('1000_заявлений'!E588, ".", ","))</f>
        <v>0.50637589999999999</v>
      </c>
      <c r="F594" s="5">
        <f>VALUE(SUBSTITUTE('1000_заявлений'!F588, ".", ","))</f>
        <v>-42</v>
      </c>
      <c r="G594" s="5">
        <f>VALUE(SUBSTITUTE('1000_заявлений'!G588, ".", ","))</f>
        <v>-13700</v>
      </c>
      <c r="H594" s="5">
        <f>VALUE(SUBSTITUTE('1000_заявлений'!H588, ".", ","))</f>
        <v>-4367</v>
      </c>
      <c r="I594" s="4">
        <f>VALUE(SUBSTITUTE('1000_заявлений'!I588, ".", ","))</f>
        <v>0.19848571428571399</v>
      </c>
      <c r="J594" s="4">
        <f>VALUE(SUBSTITUTE('1000_заявлений'!J588, ".", ","))</f>
        <v>7.8744259631260096</v>
      </c>
      <c r="K594" s="5">
        <f>VALUE(SUBSTITUTE('1000_заявлений'!K588, ".", ","))</f>
        <v>-2159</v>
      </c>
      <c r="L594" s="6">
        <f>VALUE(SUBSTITUTE('1000_заявлений'!L588, ".", ","))</f>
        <v>31261.5</v>
      </c>
      <c r="M594" s="2" t="str">
        <f>IF(Данные6[[#This Row],[proba]]&gt;$C$6, "отказ", "одобрение")</f>
        <v>отказ</v>
      </c>
      <c r="N594" s="7">
        <f>IF(Данные6[[#This Row],[proba]]&lt;$D$2,$C$2,IF(Данные6[[#This Row],[proba]]&lt;$D$3,$C$3,IF(Данные6[[#This Row],[proba]]&gt;$C$6,0,$C$4)))</f>
        <v>0</v>
      </c>
      <c r="O594" s="2">
        <f>IF(Данные6[[#This Row],[weighted_ext_score]]&gt;$O$1,MIN(Данные6[[#This Row],[Базовая сумма]]*$O$2,$C$2),IF(Данные6[[#This Row],[weighted_ext_score]]&lt;$O$3,Данные6[[#This Row],[Базовая сумма]]*$O$4,N594))</f>
        <v>0</v>
      </c>
      <c r="P5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4" s="2">
        <f>ABS(Данные6[[#This Row],[days_birth]])/365.2425</f>
        <v>37.509325995742557</v>
      </c>
      <c r="S5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4" s="2">
        <f>IF(Данные6[[#This Row],[ interest_rate]]&gt;$T$1,Данные6[[#This Row],[days_birth4]]*$T$2,Данные6[[#This Row],[days_birth4]])</f>
        <v>0</v>
      </c>
      <c r="U594" s="2">
        <f>IF(Данные6[[#This Row],[Проверка отказа]]="отказ",0,MAX(Данные6[[#This Row],[interest_rate]],$C$1))</f>
        <v>0</v>
      </c>
      <c r="V594" s="2">
        <f>MROUND(Данные6[[#This Row],[Минимум 20000]], 100)</f>
        <v>0</v>
      </c>
    </row>
    <row r="595" spans="1:22" x14ac:dyDescent="0.25">
      <c r="A595" s="2">
        <f>'1000_заявлений'!A589</f>
        <v>587</v>
      </c>
      <c r="B595" s="4">
        <f>VALUE(SUBSTITUTE('1000_заявлений'!B589, ".", ","))</f>
        <v>0.75923022932750295</v>
      </c>
      <c r="C595" s="4">
        <f>VALUE(SUBSTITUTE('1000_заявлений'!C589, ".", ","))</f>
        <v>0.27534198130766302</v>
      </c>
      <c r="D595" s="4">
        <f>VALUE(SUBSTITUTE('1000_заявлений'!D589, ".", ","))</f>
        <v>0.19977057000000001</v>
      </c>
      <c r="E595" s="4">
        <f>VALUE(SUBSTITUTE('1000_заявлений'!E589, ".", ","))</f>
        <v>0.31820008</v>
      </c>
      <c r="F595" s="5">
        <f>VALUE(SUBSTITUTE('1000_заявлений'!F589, ".", ","))</f>
        <v>-1291</v>
      </c>
      <c r="G595" s="5">
        <f>VALUE(SUBSTITUTE('1000_заявлений'!G589, ".", ","))</f>
        <v>-10172</v>
      </c>
      <c r="H595" s="5">
        <f>VALUE(SUBSTITUTE('1000_заявлений'!H589, ".", ","))</f>
        <v>-2860</v>
      </c>
      <c r="I595" s="4">
        <f>VALUE(SUBSTITUTE('1000_заявлений'!I589, ".", ","))</f>
        <v>5.5E-2</v>
      </c>
      <c r="J595" s="4">
        <f>VALUE(SUBSTITUTE('1000_заявлений'!J589, ".", ","))</f>
        <v>3.3372809348847401</v>
      </c>
      <c r="K595" s="5">
        <f>VALUE(SUBSTITUTE('1000_заявлений'!K589, ".", ","))</f>
        <v>-1076</v>
      </c>
      <c r="L595" s="6">
        <f>VALUE(SUBSTITUTE('1000_заявлений'!L589, ".", ","))</f>
        <v>17077.5</v>
      </c>
      <c r="M595" s="2" t="str">
        <f>IF(Данные6[[#This Row],[proba]]&gt;$C$6, "отказ", "одобрение")</f>
        <v>отказ</v>
      </c>
      <c r="N595" s="7">
        <f>IF(Данные6[[#This Row],[proba]]&lt;$D$2,$C$2,IF(Данные6[[#This Row],[proba]]&lt;$D$3,$C$3,IF(Данные6[[#This Row],[proba]]&gt;$C$6,0,$C$4)))</f>
        <v>0</v>
      </c>
      <c r="O595" s="2">
        <f>IF(Данные6[[#This Row],[weighted_ext_score]]&gt;$O$1,MIN(Данные6[[#This Row],[Базовая сумма]]*$O$2,$C$2),IF(Данные6[[#This Row],[weighted_ext_score]]&lt;$O$3,Данные6[[#This Row],[Базовая сумма]]*$O$4,N595))</f>
        <v>0</v>
      </c>
      <c r="P5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5" s="2">
        <f>ABS(Данные6[[#This Row],[days_birth]])/365.2425</f>
        <v>27.849990075087099</v>
      </c>
      <c r="S5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5" s="2">
        <f>IF(Данные6[[#This Row],[ interest_rate]]&gt;$T$1,Данные6[[#This Row],[days_birth4]]*$T$2,Данные6[[#This Row],[days_birth4]])</f>
        <v>0</v>
      </c>
      <c r="U595" s="2">
        <f>IF(Данные6[[#This Row],[Проверка отказа]]="отказ",0,MAX(Данные6[[#This Row],[interest_rate]],$C$1))</f>
        <v>0</v>
      </c>
      <c r="V595" s="2">
        <f>MROUND(Данные6[[#This Row],[Минимум 20000]], 100)</f>
        <v>0</v>
      </c>
    </row>
    <row r="596" spans="1:22" x14ac:dyDescent="0.25">
      <c r="A596" s="2">
        <f>'1000_заявлений'!A590</f>
        <v>588</v>
      </c>
      <c r="B596" s="4">
        <f>VALUE(SUBSTITUTE('1000_заявлений'!B590, ".", ","))</f>
        <v>0.18994046201189199</v>
      </c>
      <c r="C596" s="4">
        <f>VALUE(SUBSTITUTE('1000_заявлений'!C590, ".", ","))</f>
        <v>0.67317221192403698</v>
      </c>
      <c r="D596" s="4">
        <f>VALUE(SUBSTITUTE('1000_заявлений'!D590, ".", ","))</f>
        <v>0.63637613999999998</v>
      </c>
      <c r="E596" s="4">
        <f>VALUE(SUBSTITUTE('1000_заявлений'!E590, ".", ","))</f>
        <v>0.68002145999999997</v>
      </c>
      <c r="F596" s="5">
        <f>VALUE(SUBSTITUTE('1000_заявлений'!F590, ".", ","))</f>
        <v>-10293</v>
      </c>
      <c r="G596" s="5">
        <f>VALUE(SUBSTITUTE('1000_заявлений'!G590, ".", ","))</f>
        <v>-16306</v>
      </c>
      <c r="H596" s="5">
        <f>VALUE(SUBSTITUTE('1000_заявлений'!H590, ".", ","))</f>
        <v>-3966</v>
      </c>
      <c r="I596" s="4">
        <f>VALUE(SUBSTITUTE('1000_заявлений'!I590, ".", ","))</f>
        <v>0.12234545454545399</v>
      </c>
      <c r="J596" s="4">
        <f>VALUE(SUBSTITUTE('1000_заявлений'!J590, ".", ","))</f>
        <v>3.1761818223621199</v>
      </c>
      <c r="K596" s="5">
        <f>VALUE(SUBSTITUTE('1000_заявлений'!K590, ".", ","))</f>
        <v>-4904</v>
      </c>
      <c r="L596" s="6">
        <f>VALUE(SUBSTITUTE('1000_заявлений'!L590, ".", ","))</f>
        <v>30280.5</v>
      </c>
      <c r="M596" s="2" t="str">
        <f>IF(Данные6[[#This Row],[proba]]&gt;$C$6, "отказ", "одобрение")</f>
        <v>одобрение</v>
      </c>
      <c r="N596" s="7">
        <f>IF(Данные6[[#This Row],[proba]]&lt;$D$2,$C$2,IF(Данные6[[#This Row],[proba]]&lt;$D$3,$C$3,IF(Данные6[[#This Row],[proba]]&gt;$C$6,0,$C$4)))</f>
        <v>200000</v>
      </c>
      <c r="O596" s="2">
        <f>IF(Данные6[[#This Row],[weighted_ext_score]]&gt;$O$1,MIN(Данные6[[#This Row],[Базовая сумма]]*$O$2,$C$2),IF(Данные6[[#This Row],[weighted_ext_score]]&lt;$O$3,Данные6[[#This Row],[Базовая сумма]]*$O$4,N596))</f>
        <v>200000</v>
      </c>
      <c r="P5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5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596" s="2">
        <f>ABS(Данные6[[#This Row],[days_birth]])/365.2425</f>
        <v>44.644311655954603</v>
      </c>
      <c r="S5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596" s="2">
        <f>IF(Данные6[[#This Row],[ interest_rate]]&gt;$T$1,Данные6[[#This Row],[days_birth4]]*$T$2,Данные6[[#This Row],[days_birth4]])</f>
        <v>240000</v>
      </c>
      <c r="U596" s="2">
        <f>IF(Данные6[[#This Row],[Проверка отказа]]="отказ",0,MAX(Данные6[[#This Row],[interest_rate]],$C$1))</f>
        <v>240000</v>
      </c>
      <c r="V596" s="2">
        <f>MROUND(Данные6[[#This Row],[Минимум 20000]], 100)</f>
        <v>240000</v>
      </c>
    </row>
    <row r="597" spans="1:22" x14ac:dyDescent="0.25">
      <c r="A597" s="2">
        <f>'1000_заявлений'!A591</f>
        <v>589</v>
      </c>
      <c r="B597" s="4">
        <f>VALUE(SUBSTITUTE('1000_заявлений'!B591, ".", ","))</f>
        <v>0.18397410952903101</v>
      </c>
      <c r="C597" s="4">
        <f>VALUE(SUBSTITUTE('1000_заявлений'!C591, ".", ","))</f>
        <v>0.67969325990098195</v>
      </c>
      <c r="D597" s="4">
        <f>VALUE(SUBSTITUTE('1000_заявлений'!D591, ".", ","))</f>
        <v>0.70018387000000004</v>
      </c>
      <c r="E597" s="4">
        <f>VALUE(SUBSTITUTE('1000_заявлений'!E591, ".", ","))</f>
        <v>0.58762959999999997</v>
      </c>
      <c r="F597" s="5">
        <f>VALUE(SUBSTITUTE('1000_заявлений'!F591, ".", ","))</f>
        <v>-1636</v>
      </c>
      <c r="G597" s="5">
        <f>VALUE(SUBSTITUTE('1000_заявлений'!G591, ".", ","))</f>
        <v>-16380</v>
      </c>
      <c r="H597" s="5">
        <f>VALUE(SUBSTITUTE('1000_заявлений'!H591, ".", ","))</f>
        <v>-4216</v>
      </c>
      <c r="I597" s="4">
        <f>VALUE(SUBSTITUTE('1000_заявлений'!I591, ".", ","))</f>
        <v>3.3906976744186003E-2</v>
      </c>
      <c r="J597" s="4">
        <f>VALUE(SUBSTITUTE('1000_заявлений'!J591, ".", ","))</f>
        <v>6.3733002797703797</v>
      </c>
      <c r="K597" s="5">
        <f>VALUE(SUBSTITUTE('1000_заявлений'!K591, ".", ","))</f>
        <v>-1993</v>
      </c>
      <c r="L597" s="6">
        <f>VALUE(SUBSTITUTE('1000_заявлений'!L591, ".", ","))</f>
        <v>6561</v>
      </c>
      <c r="M597" s="2" t="str">
        <f>IF(Данные6[[#This Row],[proba]]&gt;$C$6, "отказ", "одобрение")</f>
        <v>одобрение</v>
      </c>
      <c r="N597" s="7">
        <f>IF(Данные6[[#This Row],[proba]]&lt;$D$2,$C$2,IF(Данные6[[#This Row],[proba]]&lt;$D$3,$C$3,IF(Данные6[[#This Row],[proba]]&gt;$C$6,0,$C$4)))</f>
        <v>200000</v>
      </c>
      <c r="O597" s="2">
        <f>IF(Данные6[[#This Row],[weighted_ext_score]]&gt;$O$1,MIN(Данные6[[#This Row],[Базовая сумма]]*$O$2,$C$2),IF(Данные6[[#This Row],[weighted_ext_score]]&lt;$O$3,Данные6[[#This Row],[Базовая сумма]]*$O$4,N597))</f>
        <v>200000</v>
      </c>
      <c r="P5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240000</v>
      </c>
      <c r="Q5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168000</v>
      </c>
      <c r="R597" s="2">
        <f>ABS(Данные6[[#This Row],[days_birth]])/365.2425</f>
        <v>44.846916774471751</v>
      </c>
      <c r="S5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597" s="2">
        <f>IF(Данные6[[#This Row],[ interest_rate]]&gt;$T$1,Данные6[[#This Row],[days_birth4]]*$T$2,Данные6[[#This Row],[days_birth4]])</f>
        <v>168000</v>
      </c>
      <c r="U597" s="2">
        <f>IF(Данные6[[#This Row],[Проверка отказа]]="отказ",0,MAX(Данные6[[#This Row],[interest_rate]],$C$1))</f>
        <v>168000</v>
      </c>
      <c r="V597" s="2">
        <f>MROUND(Данные6[[#This Row],[Минимум 20000]], 100)</f>
        <v>168000</v>
      </c>
    </row>
    <row r="598" spans="1:22" x14ac:dyDescent="0.25">
      <c r="A598" s="2">
        <f>'1000_заявлений'!A592</f>
        <v>590</v>
      </c>
      <c r="B598" s="4">
        <f>VALUE(SUBSTITUTE('1000_заявлений'!B592, ".", ","))</f>
        <v>0.41760772008177699</v>
      </c>
      <c r="C598" s="4">
        <f>VALUE(SUBSTITUTE('1000_заявлений'!C592, ".", ","))</f>
        <v>0.373149815942454</v>
      </c>
      <c r="D598" s="4">
        <f>VALUE(SUBSTITUTE('1000_заявлений'!D592, ".", ","))</f>
        <v>0.56383499999999998</v>
      </c>
      <c r="E598" s="4">
        <f>VALUE(SUBSTITUTE('1000_заявлений'!E592, ".", ","))</f>
        <v>0.52170819999999996</v>
      </c>
      <c r="F598" s="5">
        <f>VALUE(SUBSTITUTE('1000_заявлений'!F592, ".", ","))</f>
        <v>-5194</v>
      </c>
      <c r="G598" s="5">
        <f>VALUE(SUBSTITUTE('1000_заявлений'!G592, ".", ","))</f>
        <v>-16370</v>
      </c>
      <c r="H598" s="5">
        <f>VALUE(SUBSTITUTE('1000_заявлений'!H592, ".", ","))</f>
        <v>-4221</v>
      </c>
      <c r="I598" s="4">
        <f>VALUE(SUBSTITUTE('1000_заявлений'!I592, ".", ","))</f>
        <v>0.132075</v>
      </c>
      <c r="J598" s="4">
        <f>VALUE(SUBSTITUTE('1000_заявлений'!J592, ".", ","))</f>
        <v>1.9305916734964901</v>
      </c>
      <c r="K598" s="5">
        <f>VALUE(SUBSTITUTE('1000_заявлений'!K592, ".", ","))</f>
        <v>-964</v>
      </c>
      <c r="L598" s="6">
        <f>VALUE(SUBSTITUTE('1000_заявлений'!L592, ".", ","))</f>
        <v>23773.5</v>
      </c>
      <c r="M598" s="2" t="str">
        <f>IF(Данные6[[#This Row],[proba]]&gt;$C$6, "отказ", "одобрение")</f>
        <v>отказ</v>
      </c>
      <c r="N598" s="7">
        <f>IF(Данные6[[#This Row],[proba]]&lt;$D$2,$C$2,IF(Данные6[[#This Row],[proba]]&lt;$D$3,$C$3,IF(Данные6[[#This Row],[proba]]&gt;$C$6,0,$C$4)))</f>
        <v>0</v>
      </c>
      <c r="O598" s="2">
        <f>IF(Данные6[[#This Row],[weighted_ext_score]]&gt;$O$1,MIN(Данные6[[#This Row],[Базовая сумма]]*$O$2,$C$2),IF(Данные6[[#This Row],[weighted_ext_score]]&lt;$O$3,Данные6[[#This Row],[Базовая сумма]]*$O$4,N598))</f>
        <v>0</v>
      </c>
      <c r="P5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8" s="2">
        <f>ABS(Данные6[[#This Row],[days_birth]])/365.2425</f>
        <v>44.819537704401867</v>
      </c>
      <c r="S5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8" s="2">
        <f>IF(Данные6[[#This Row],[ interest_rate]]&gt;$T$1,Данные6[[#This Row],[days_birth4]]*$T$2,Данные6[[#This Row],[days_birth4]])</f>
        <v>0</v>
      </c>
      <c r="U598" s="2">
        <f>IF(Данные6[[#This Row],[Проверка отказа]]="отказ",0,MAX(Данные6[[#This Row],[interest_rate]],$C$1))</f>
        <v>0</v>
      </c>
      <c r="V598" s="2">
        <f>MROUND(Данные6[[#This Row],[Минимум 20000]], 100)</f>
        <v>0</v>
      </c>
    </row>
    <row r="599" spans="1:22" x14ac:dyDescent="0.25">
      <c r="A599" s="2">
        <f>'1000_заявлений'!A593</f>
        <v>591</v>
      </c>
      <c r="B599" s="4">
        <f>VALUE(SUBSTITUTE('1000_заявлений'!B593, ".", ","))</f>
        <v>0.50149036570180905</v>
      </c>
      <c r="C599" s="4">
        <f>VALUE(SUBSTITUTE('1000_заявлений'!C593, ".", ","))</f>
        <v>0.42489469905864402</v>
      </c>
      <c r="D599" s="4">
        <f>VALUE(SUBSTITUTE('1000_заявлений'!D593, ".", ","))</f>
        <v>0.47405130000000001</v>
      </c>
      <c r="E599" s="4">
        <f>VALUE(SUBSTITUTE('1000_заявлений'!E593, ".", ","))</f>
        <v>0.50880265000000002</v>
      </c>
      <c r="F599" s="5">
        <f>VALUE(SUBSTITUTE('1000_заявлений'!F593, ".", ","))</f>
        <v>0</v>
      </c>
      <c r="G599" s="5">
        <f>VALUE(SUBSTITUTE('1000_заявлений'!G593, ".", ","))</f>
        <v>-14994</v>
      </c>
      <c r="H599" s="5">
        <f>VALUE(SUBSTITUTE('1000_заявлений'!H593, ".", ","))</f>
        <v>-3837</v>
      </c>
      <c r="I599" s="4">
        <f>VALUE(SUBSTITUTE('1000_заявлений'!I593, ".", ","))</f>
        <v>0.26462857142857099</v>
      </c>
      <c r="J599" s="4">
        <f>VALUE(SUBSTITUTE('1000_заявлений'!J593, ".", ","))</f>
        <v>0.343847213770964</v>
      </c>
      <c r="K599" s="5">
        <f>VALUE(SUBSTITUTE('1000_заявлений'!K593, ".", ","))</f>
        <v>-2661</v>
      </c>
      <c r="L599" s="6">
        <f>VALUE(SUBSTITUTE('1000_заявлений'!L593, ".", ","))</f>
        <v>41679</v>
      </c>
      <c r="M599" s="2" t="str">
        <f>IF(Данные6[[#This Row],[proba]]&gt;$C$6, "отказ", "одобрение")</f>
        <v>отказ</v>
      </c>
      <c r="N599" s="7">
        <f>IF(Данные6[[#This Row],[proba]]&lt;$D$2,$C$2,IF(Данные6[[#This Row],[proba]]&lt;$D$3,$C$3,IF(Данные6[[#This Row],[proba]]&gt;$C$6,0,$C$4)))</f>
        <v>0</v>
      </c>
      <c r="O599" s="2">
        <f>IF(Данные6[[#This Row],[weighted_ext_score]]&gt;$O$1,MIN(Данные6[[#This Row],[Базовая сумма]]*$O$2,$C$2),IF(Данные6[[#This Row],[weighted_ext_score]]&lt;$O$3,Данные6[[#This Row],[Базовая сумма]]*$O$4,N599))</f>
        <v>0</v>
      </c>
      <c r="P5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5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599" s="2">
        <f>ABS(Данные6[[#This Row],[days_birth]])/365.2425</f>
        <v>41.052177662785681</v>
      </c>
      <c r="S5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599" s="2">
        <f>IF(Данные6[[#This Row],[ interest_rate]]&gt;$T$1,Данные6[[#This Row],[days_birth4]]*$T$2,Данные6[[#This Row],[days_birth4]])</f>
        <v>0</v>
      </c>
      <c r="U599" s="2">
        <f>IF(Данные6[[#This Row],[Проверка отказа]]="отказ",0,MAX(Данные6[[#This Row],[interest_rate]],$C$1))</f>
        <v>0</v>
      </c>
      <c r="V599" s="2">
        <f>MROUND(Данные6[[#This Row],[Минимум 20000]], 100)</f>
        <v>0</v>
      </c>
    </row>
    <row r="600" spans="1:22" x14ac:dyDescent="0.25">
      <c r="A600" s="2">
        <f>'1000_заявлений'!A594</f>
        <v>592</v>
      </c>
      <c r="B600" s="4">
        <f>VALUE(SUBSTITUTE('1000_заявлений'!B594, ".", ","))</f>
        <v>0.32634940326709999</v>
      </c>
      <c r="C600" s="4">
        <f>VALUE(SUBSTITUTE('1000_заявлений'!C594, ".", ","))</f>
        <v>0.59553910895592299</v>
      </c>
      <c r="D600" s="4">
        <f>VALUE(SUBSTITUTE('1000_заявлений'!D594, ".", ","))</f>
        <v>0.49927201999999998</v>
      </c>
      <c r="E600" s="4">
        <f>VALUE(SUBSTITUTE('1000_заявлений'!E594, ".", ","))</f>
        <v>0.62811289999999997</v>
      </c>
      <c r="F600" s="5">
        <f>VALUE(SUBSTITUTE('1000_заявлений'!F594, ".", ","))</f>
        <v>-8819</v>
      </c>
      <c r="G600" s="5">
        <f>VALUE(SUBSTITUTE('1000_заявлений'!G594, ".", ","))</f>
        <v>-16542</v>
      </c>
      <c r="H600" s="5">
        <f>VALUE(SUBSTITUTE('1000_заявлений'!H594, ".", ","))</f>
        <v>-69</v>
      </c>
      <c r="I600" s="4">
        <f>VALUE(SUBSTITUTE('1000_заявлений'!I594, ".", ","))</f>
        <v>0.17348333333333299</v>
      </c>
      <c r="J600" s="4">
        <f>VALUE(SUBSTITUTE('1000_заявлений'!J594, ".", ","))</f>
        <v>1.89206635055718</v>
      </c>
      <c r="K600" s="5">
        <f>VALUE(SUBSTITUTE('1000_заявлений'!K594, ".", ","))</f>
        <v>-2588</v>
      </c>
      <c r="L600" s="6">
        <f>VALUE(SUBSTITUTE('1000_заявлений'!L594, ".", ","))</f>
        <v>46840.5</v>
      </c>
      <c r="M600" s="2" t="str">
        <f>IF(Данные6[[#This Row],[proba]]&gt;$C$6, "отказ", "одобрение")</f>
        <v>отказ</v>
      </c>
      <c r="N600" s="7">
        <f>IF(Данные6[[#This Row],[proba]]&lt;$D$2,$C$2,IF(Данные6[[#This Row],[proba]]&lt;$D$3,$C$3,IF(Данные6[[#This Row],[proba]]&gt;$C$6,0,$C$4)))</f>
        <v>0</v>
      </c>
      <c r="O600" s="2">
        <f>IF(Данные6[[#This Row],[weighted_ext_score]]&gt;$O$1,MIN(Данные6[[#This Row],[Базовая сумма]]*$O$2,$C$2),IF(Данные6[[#This Row],[weighted_ext_score]]&lt;$O$3,Данные6[[#This Row],[Базовая сумма]]*$O$4,N600))</f>
        <v>0</v>
      </c>
      <c r="P6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0" s="2">
        <f>ABS(Данные6[[#This Row],[days_birth]])/365.2425</f>
        <v>45.290457709603892</v>
      </c>
      <c r="S6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0" s="2">
        <f>IF(Данные6[[#This Row],[ interest_rate]]&gt;$T$1,Данные6[[#This Row],[days_birth4]]*$T$2,Данные6[[#This Row],[days_birth4]])</f>
        <v>0</v>
      </c>
      <c r="U600" s="2">
        <f>IF(Данные6[[#This Row],[Проверка отказа]]="отказ",0,MAX(Данные6[[#This Row],[interest_rate]],$C$1))</f>
        <v>0</v>
      </c>
      <c r="V600" s="2">
        <f>MROUND(Данные6[[#This Row],[Минимум 20000]], 100)</f>
        <v>0</v>
      </c>
    </row>
    <row r="601" spans="1:22" x14ac:dyDescent="0.25">
      <c r="A601" s="2">
        <f>'1000_заявлений'!A595</f>
        <v>593</v>
      </c>
      <c r="B601" s="4">
        <f>VALUE(SUBSTITUTE('1000_заявлений'!B595, ".", ","))</f>
        <v>0.35033242476795501</v>
      </c>
      <c r="C601" s="4">
        <f>VALUE(SUBSTITUTE('1000_заявлений'!C595, ".", ","))</f>
        <v>0.37463632921789403</v>
      </c>
      <c r="D601" s="4">
        <f>VALUE(SUBSTITUTE('1000_заявлений'!D595, ".", ","))</f>
        <v>0.40835884</v>
      </c>
      <c r="E601" s="4">
        <f>VALUE(SUBSTITUTE('1000_заявлений'!E595, ".", ","))</f>
        <v>0.69963980000000003</v>
      </c>
      <c r="F601" s="5">
        <f>VALUE(SUBSTITUTE('1000_заявлений'!F595, ".", ","))</f>
        <v>-2908</v>
      </c>
      <c r="G601" s="5">
        <f>VALUE(SUBSTITUTE('1000_заявлений'!G595, ".", ","))</f>
        <v>-18640</v>
      </c>
      <c r="H601" s="5">
        <f>VALUE(SUBSTITUTE('1000_заявлений'!H595, ".", ","))</f>
        <v>-2137</v>
      </c>
      <c r="I601" s="4">
        <f>VALUE(SUBSTITUTE('1000_заявлений'!I595, ".", ","))</f>
        <v>8.6537500000000003E-2</v>
      </c>
      <c r="J601" s="4">
        <f>VALUE(SUBSTITUTE('1000_заявлений'!J595, ".", ","))</f>
        <v>5.9524485475499702</v>
      </c>
      <c r="K601" s="5">
        <f>VALUE(SUBSTITUTE('1000_заявлений'!K595, ".", ","))</f>
        <v>365243</v>
      </c>
      <c r="L601" s="6">
        <f>VALUE(SUBSTITUTE('1000_заявлений'!L595, ".", ","))</f>
        <v>31153.5</v>
      </c>
      <c r="M601" s="2" t="str">
        <f>IF(Данные6[[#This Row],[proba]]&gt;$C$6, "отказ", "одобрение")</f>
        <v>отказ</v>
      </c>
      <c r="N601" s="7">
        <f>IF(Данные6[[#This Row],[proba]]&lt;$D$2,$C$2,IF(Данные6[[#This Row],[proba]]&lt;$D$3,$C$3,IF(Данные6[[#This Row],[proba]]&gt;$C$6,0,$C$4)))</f>
        <v>0</v>
      </c>
      <c r="O601" s="2">
        <f>IF(Данные6[[#This Row],[weighted_ext_score]]&gt;$O$1,MIN(Данные6[[#This Row],[Базовая сумма]]*$O$2,$C$2),IF(Данные6[[#This Row],[weighted_ext_score]]&lt;$O$3,Данные6[[#This Row],[Базовая сумма]]*$O$4,N601))</f>
        <v>0</v>
      </c>
      <c r="P6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1" s="2">
        <f>ABS(Данные6[[#This Row],[days_birth]])/365.2425</f>
        <v>51.034586610265784</v>
      </c>
      <c r="S6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1" s="2">
        <f>IF(Данные6[[#This Row],[ interest_rate]]&gt;$T$1,Данные6[[#This Row],[days_birth4]]*$T$2,Данные6[[#This Row],[days_birth4]])</f>
        <v>0</v>
      </c>
      <c r="U601" s="2">
        <f>IF(Данные6[[#This Row],[Проверка отказа]]="отказ",0,MAX(Данные6[[#This Row],[interest_rate]],$C$1))</f>
        <v>0</v>
      </c>
      <c r="V601" s="2">
        <f>MROUND(Данные6[[#This Row],[Минимум 20000]], 100)</f>
        <v>0</v>
      </c>
    </row>
    <row r="602" spans="1:22" x14ac:dyDescent="0.25">
      <c r="A602" s="2">
        <f>'1000_заявлений'!A596</f>
        <v>594</v>
      </c>
      <c r="B602" s="4">
        <f>VALUE(SUBSTITUTE('1000_заявлений'!B596, ".", ","))</f>
        <v>0.55738436655128698</v>
      </c>
      <c r="C602" s="4">
        <f>VALUE(SUBSTITUTE('1000_заявлений'!C596, ".", ","))</f>
        <v>0.40354115004879598</v>
      </c>
      <c r="D602" s="4">
        <f>VALUE(SUBSTITUTE('1000_заявлений'!D596, ".", ","))</f>
        <v>0.17249547000000001</v>
      </c>
      <c r="E602" s="4">
        <f>VALUE(SUBSTITUTE('1000_заявлений'!E596, ".", ","))</f>
        <v>0.63986933000000001</v>
      </c>
      <c r="F602" s="5">
        <f>VALUE(SUBSTITUTE('1000_заявлений'!F596, ".", ","))</f>
        <v>-4539</v>
      </c>
      <c r="G602" s="5">
        <f>VALUE(SUBSTITUTE('1000_заявлений'!G596, ".", ","))</f>
        <v>-13804</v>
      </c>
      <c r="H602" s="5">
        <f>VALUE(SUBSTITUTE('1000_заявлений'!H596, ".", ","))</f>
        <v>-4823</v>
      </c>
      <c r="I602" s="4">
        <f>VALUE(SUBSTITUTE('1000_заявлений'!I596, ".", ","))</f>
        <v>9.5781818181818107E-2</v>
      </c>
      <c r="J602" s="4">
        <f>VALUE(SUBSTITUTE('1000_заявлений'!J596, ".", ","))</f>
        <v>4.0733273865988604</v>
      </c>
      <c r="K602" s="5">
        <f>VALUE(SUBSTITUTE('1000_заявлений'!K596, ".", ","))</f>
        <v>-191</v>
      </c>
      <c r="L602" s="6">
        <f>VALUE(SUBSTITUTE('1000_заявлений'!L596, ".", ","))</f>
        <v>23706</v>
      </c>
      <c r="M602" s="2" t="str">
        <f>IF(Данные6[[#This Row],[proba]]&gt;$C$6, "отказ", "одобрение")</f>
        <v>отказ</v>
      </c>
      <c r="N602" s="7">
        <f>IF(Данные6[[#This Row],[proba]]&lt;$D$2,$C$2,IF(Данные6[[#This Row],[proba]]&lt;$D$3,$C$3,IF(Данные6[[#This Row],[proba]]&gt;$C$6,0,$C$4)))</f>
        <v>0</v>
      </c>
      <c r="O602" s="2">
        <f>IF(Данные6[[#This Row],[weighted_ext_score]]&gt;$O$1,MIN(Данные6[[#This Row],[Базовая сумма]]*$O$2,$C$2),IF(Данные6[[#This Row],[weighted_ext_score]]&lt;$O$3,Данные6[[#This Row],[Базовая сумма]]*$O$4,N602))</f>
        <v>0</v>
      </c>
      <c r="P6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2" s="2">
        <f>ABS(Данные6[[#This Row],[days_birth]])/365.2425</f>
        <v>37.794068324469357</v>
      </c>
      <c r="S6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2" s="2">
        <f>IF(Данные6[[#This Row],[ interest_rate]]&gt;$T$1,Данные6[[#This Row],[days_birth4]]*$T$2,Данные6[[#This Row],[days_birth4]])</f>
        <v>0</v>
      </c>
      <c r="U602" s="2">
        <f>IF(Данные6[[#This Row],[Проверка отказа]]="отказ",0,MAX(Данные6[[#This Row],[interest_rate]],$C$1))</f>
        <v>0</v>
      </c>
      <c r="V602" s="2">
        <f>MROUND(Данные6[[#This Row],[Минимум 20000]], 100)</f>
        <v>0</v>
      </c>
    </row>
    <row r="603" spans="1:22" x14ac:dyDescent="0.25">
      <c r="A603" s="2">
        <f>'1000_заявлений'!A597</f>
        <v>595</v>
      </c>
      <c r="B603" s="4">
        <f>VALUE(SUBSTITUTE('1000_заявлений'!B597, ".", ","))</f>
        <v>0.48554215742880602</v>
      </c>
      <c r="C603" s="4">
        <f>VALUE(SUBSTITUTE('1000_заявлений'!C597, ".", ","))</f>
        <v>0.44977042246423599</v>
      </c>
      <c r="D603" s="4">
        <f>VALUE(SUBSTITUTE('1000_заявлений'!D597, ".", ","))</f>
        <v>0.34090643999999998</v>
      </c>
      <c r="E603" s="4">
        <f>VALUE(SUBSTITUTE('1000_заявлений'!E597, ".", ","))</f>
        <v>0.34339229999999998</v>
      </c>
      <c r="F603" s="5">
        <f>VALUE(SUBSTITUTE('1000_заявлений'!F597, ".", ","))</f>
        <v>-14519</v>
      </c>
      <c r="G603" s="5">
        <f>VALUE(SUBSTITUTE('1000_заявлений'!G597, ".", ","))</f>
        <v>-23986</v>
      </c>
      <c r="H603" s="5">
        <f>VALUE(SUBSTITUTE('1000_заявлений'!H597, ".", ","))</f>
        <v>-4072</v>
      </c>
      <c r="I603" s="4">
        <f>VALUE(SUBSTITUTE('1000_заявлений'!I597, ".", ","))</f>
        <v>0.26803333333333301</v>
      </c>
      <c r="J603" s="4">
        <f>VALUE(SUBSTITUTE('1000_заявлений'!J597, ".", ","))</f>
        <v>2.9382994718097399</v>
      </c>
      <c r="K603" s="5">
        <f>VALUE(SUBSTITUTE('1000_заявлений'!K597, ".", ","))</f>
        <v>365243</v>
      </c>
      <c r="L603" s="6">
        <f>VALUE(SUBSTITUTE('1000_заявлений'!L597, ".", ","))</f>
        <v>36184.5</v>
      </c>
      <c r="M603" s="2" t="str">
        <f>IF(Данные6[[#This Row],[proba]]&gt;$C$6, "отказ", "одобрение")</f>
        <v>отказ</v>
      </c>
      <c r="N603" s="7">
        <f>IF(Данные6[[#This Row],[proba]]&lt;$D$2,$C$2,IF(Данные6[[#This Row],[proba]]&lt;$D$3,$C$3,IF(Данные6[[#This Row],[proba]]&gt;$C$6,0,$C$4)))</f>
        <v>0</v>
      </c>
      <c r="O603" s="2">
        <f>IF(Данные6[[#This Row],[weighted_ext_score]]&gt;$O$1,MIN(Данные6[[#This Row],[Базовая сумма]]*$O$2,$C$2),IF(Данные6[[#This Row],[weighted_ext_score]]&lt;$O$3,Данные6[[#This Row],[Базовая сумма]]*$O$4,N603))</f>
        <v>0</v>
      </c>
      <c r="P6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3" s="2">
        <f>ABS(Данные6[[#This Row],[days_birth]])/365.2425</f>
        <v>65.671437469626341</v>
      </c>
      <c r="S6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3" s="2">
        <f>IF(Данные6[[#This Row],[ interest_rate]]&gt;$T$1,Данные6[[#This Row],[days_birth4]]*$T$2,Данные6[[#This Row],[days_birth4]])</f>
        <v>0</v>
      </c>
      <c r="U603" s="2">
        <f>IF(Данные6[[#This Row],[Проверка отказа]]="отказ",0,MAX(Данные6[[#This Row],[interest_rate]],$C$1))</f>
        <v>0</v>
      </c>
      <c r="V603" s="2">
        <f>MROUND(Данные6[[#This Row],[Минимум 20000]], 100)</f>
        <v>0</v>
      </c>
    </row>
    <row r="604" spans="1:22" x14ac:dyDescent="0.25">
      <c r="A604" s="2">
        <f>'1000_заявлений'!A598</f>
        <v>596</v>
      </c>
      <c r="B604" s="4">
        <f>VALUE(SUBSTITUTE('1000_заявлений'!B598, ".", ","))</f>
        <v>0.147402536903708</v>
      </c>
      <c r="C604" s="4">
        <f>VALUE(SUBSTITUTE('1000_заявлений'!C598, ".", ","))</f>
        <v>0.69837257364810801</v>
      </c>
      <c r="D604" s="4">
        <f>VALUE(SUBSTITUTE('1000_заявлений'!D598, ".", ","))</f>
        <v>0.61952770000000001</v>
      </c>
      <c r="E604" s="4">
        <f>VALUE(SUBSTITUTE('1000_заявлений'!E598, ".", ","))</f>
        <v>0.68469005999999999</v>
      </c>
      <c r="F604" s="5">
        <f>VALUE(SUBSTITUTE('1000_заявлений'!F598, ".", ","))</f>
        <v>-9413</v>
      </c>
      <c r="G604" s="5">
        <f>VALUE(SUBSTITUTE('1000_заявлений'!G598, ".", ","))</f>
        <v>-23158</v>
      </c>
      <c r="H604" s="5">
        <f>VALUE(SUBSTITUTE('1000_заявлений'!H598, ".", ","))</f>
        <v>-4312</v>
      </c>
      <c r="I604" s="4">
        <f>VALUE(SUBSTITUTE('1000_заявлений'!I598, ".", ","))</f>
        <v>0.17633333333333301</v>
      </c>
      <c r="J604" s="4">
        <f>VALUE(SUBSTITUTE('1000_заявлений'!J598, ".", ","))</f>
        <v>3.3940806885698498</v>
      </c>
      <c r="K604" s="5">
        <f>VALUE(SUBSTITUTE('1000_заявлений'!K598, ".", ","))</f>
        <v>365243</v>
      </c>
      <c r="L604" s="6">
        <f>VALUE(SUBSTITUTE('1000_заявлений'!L598, ".", ","))</f>
        <v>19044</v>
      </c>
      <c r="M604" s="2" t="str">
        <f>IF(Данные6[[#This Row],[proba]]&gt;$C$6, "отказ", "одобрение")</f>
        <v>одобрение</v>
      </c>
      <c r="N604" s="7">
        <f>IF(Данные6[[#This Row],[proba]]&lt;$D$2,$C$2,IF(Данные6[[#This Row],[proba]]&lt;$D$3,$C$3,IF(Данные6[[#This Row],[proba]]&gt;$C$6,0,$C$4)))</f>
        <v>200000</v>
      </c>
      <c r="O604" s="2">
        <f>IF(Данные6[[#This Row],[weighted_ext_score]]&gt;$O$1,MIN(Данные6[[#This Row],[Базовая сумма]]*$O$2,$C$2),IF(Данные6[[#This Row],[weighted_ext_score]]&lt;$O$3,Данные6[[#This Row],[Базовая сумма]]*$O$4,N604))</f>
        <v>200000</v>
      </c>
      <c r="P6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604" s="2">
        <f>ABS(Данные6[[#This Row],[days_birth]])/365.2425</f>
        <v>63.404450467839858</v>
      </c>
      <c r="S6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604" s="2">
        <f>IF(Данные6[[#This Row],[ interest_rate]]&gt;$T$1,Данные6[[#This Row],[days_birth4]]*$T$2,Данные6[[#This Row],[days_birth4]])</f>
        <v>210000</v>
      </c>
      <c r="U604" s="2">
        <f>IF(Данные6[[#This Row],[Проверка отказа]]="отказ",0,MAX(Данные6[[#This Row],[interest_rate]],$C$1))</f>
        <v>210000</v>
      </c>
      <c r="V604" s="2">
        <f>MROUND(Данные6[[#This Row],[Минимум 20000]], 100)</f>
        <v>210000</v>
      </c>
    </row>
    <row r="605" spans="1:22" x14ac:dyDescent="0.25">
      <c r="A605" s="2">
        <f>'1000_заявлений'!A599</f>
        <v>597</v>
      </c>
      <c r="B605" s="4">
        <f>VALUE(SUBSTITUTE('1000_заявлений'!B599, ".", ","))</f>
        <v>0.48596254519403997</v>
      </c>
      <c r="C605" s="4">
        <f>VALUE(SUBSTITUTE('1000_заявлений'!C599, ".", ","))</f>
        <v>0.29909098716215698</v>
      </c>
      <c r="D605" s="4">
        <f>VALUE(SUBSTITUTE('1000_заявлений'!D599, ".", ","))</f>
        <v>0.36729099999999998</v>
      </c>
      <c r="E605" s="4">
        <f>VALUE(SUBSTITUTE('1000_заявлений'!E599, ".", ","))</f>
        <v>0.51253486000000004</v>
      </c>
      <c r="F605" s="5">
        <f>VALUE(SUBSTITUTE('1000_заявлений'!F599, ".", ","))</f>
        <v>-4110</v>
      </c>
      <c r="G605" s="5">
        <f>VALUE(SUBSTITUTE('1000_заявлений'!G599, ".", ","))</f>
        <v>-21430</v>
      </c>
      <c r="H605" s="5">
        <f>VALUE(SUBSTITUTE('1000_заявлений'!H599, ".", ","))</f>
        <v>-4573</v>
      </c>
      <c r="I605" s="4">
        <f>VALUE(SUBSTITUTE('1000_заявлений'!I599, ".", ","))</f>
        <v>8.1955555555555504E-2</v>
      </c>
      <c r="J605" s="4">
        <f>VALUE(SUBSTITUTE('1000_заявлений'!J599, ".", ","))</f>
        <v>0.123460316453583</v>
      </c>
      <c r="K605" s="5">
        <f>VALUE(SUBSTITUTE('1000_заявлений'!K599, ".", ","))</f>
        <v>365243</v>
      </c>
      <c r="L605" s="6">
        <f>VALUE(SUBSTITUTE('1000_заявлений'!L599, ".", ","))</f>
        <v>16596</v>
      </c>
      <c r="M605" s="2" t="str">
        <f>IF(Данные6[[#This Row],[proba]]&gt;$C$6, "отказ", "одобрение")</f>
        <v>отказ</v>
      </c>
      <c r="N605" s="7">
        <f>IF(Данные6[[#This Row],[proba]]&lt;$D$2,$C$2,IF(Данные6[[#This Row],[proba]]&lt;$D$3,$C$3,IF(Данные6[[#This Row],[proba]]&gt;$C$6,0,$C$4)))</f>
        <v>0</v>
      </c>
      <c r="O605" s="2">
        <f>IF(Данные6[[#This Row],[weighted_ext_score]]&gt;$O$1,MIN(Данные6[[#This Row],[Базовая сумма]]*$O$2,$C$2),IF(Данные6[[#This Row],[weighted_ext_score]]&lt;$O$3,Данные6[[#This Row],[Базовая сумма]]*$O$4,N605))</f>
        <v>0</v>
      </c>
      <c r="P6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5" s="2">
        <f>ABS(Данные6[[#This Row],[days_birth]])/365.2425</f>
        <v>58.673347159763715</v>
      </c>
      <c r="S6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5" s="2">
        <f>IF(Данные6[[#This Row],[ interest_rate]]&gt;$T$1,Данные6[[#This Row],[days_birth4]]*$T$2,Данные6[[#This Row],[days_birth4]])</f>
        <v>0</v>
      </c>
      <c r="U605" s="2">
        <f>IF(Данные6[[#This Row],[Проверка отказа]]="отказ",0,MAX(Данные6[[#This Row],[interest_rate]],$C$1))</f>
        <v>0</v>
      </c>
      <c r="V605" s="2">
        <f>MROUND(Данные6[[#This Row],[Минимум 20000]], 100)</f>
        <v>0</v>
      </c>
    </row>
    <row r="606" spans="1:22" x14ac:dyDescent="0.25">
      <c r="A606" s="2">
        <f>'1000_заявлений'!A600</f>
        <v>598</v>
      </c>
      <c r="B606" s="4">
        <f>VALUE(SUBSTITUTE('1000_заявлений'!B600, ".", ","))</f>
        <v>0.35261785543048602</v>
      </c>
      <c r="C606" s="4">
        <f>VALUE(SUBSTITUTE('1000_заявлений'!C600, ".", ","))</f>
        <v>0.56848512128940998</v>
      </c>
      <c r="D606" s="4">
        <f>VALUE(SUBSTITUTE('1000_заявлений'!D600, ".", ","))</f>
        <v>0.62630427</v>
      </c>
      <c r="E606" s="4">
        <f>VALUE(SUBSTITUTE('1000_заявлений'!E600, ".", ","))</f>
        <v>0.31436035000000001</v>
      </c>
      <c r="F606" s="5">
        <f>VALUE(SUBSTITUTE('1000_заявлений'!F600, ".", ","))</f>
        <v>-4126</v>
      </c>
      <c r="G606" s="5">
        <f>VALUE(SUBSTITUTE('1000_заявлений'!G600, ".", ","))</f>
        <v>-15116</v>
      </c>
      <c r="H606" s="5">
        <f>VALUE(SUBSTITUTE('1000_заявлений'!H600, ".", ","))</f>
        <v>-4542</v>
      </c>
      <c r="I606" s="4">
        <f>VALUE(SUBSTITUTE('1000_заявлений'!I600, ".", ","))</f>
        <v>6.3500000000000001E-2</v>
      </c>
      <c r="J606" s="4">
        <f>VALUE(SUBSTITUTE('1000_заявлений'!J600, ".", ","))</f>
        <v>5.6228851265796003</v>
      </c>
      <c r="K606" s="5">
        <f>VALUE(SUBSTITUTE('1000_заявлений'!K600, ".", ","))</f>
        <v>-2134</v>
      </c>
      <c r="L606" s="6">
        <f>VALUE(SUBSTITUTE('1000_заявлений'!L600, ".", ","))</f>
        <v>11430</v>
      </c>
      <c r="M606" s="2" t="str">
        <f>IF(Данные6[[#This Row],[proba]]&gt;$C$6, "отказ", "одобрение")</f>
        <v>отказ</v>
      </c>
      <c r="N606" s="7">
        <f>IF(Данные6[[#This Row],[proba]]&lt;$D$2,$C$2,IF(Данные6[[#This Row],[proba]]&lt;$D$3,$C$3,IF(Данные6[[#This Row],[proba]]&gt;$C$6,0,$C$4)))</f>
        <v>0</v>
      </c>
      <c r="O606" s="2">
        <f>IF(Данные6[[#This Row],[weighted_ext_score]]&gt;$O$1,MIN(Данные6[[#This Row],[Базовая сумма]]*$O$2,$C$2),IF(Данные6[[#This Row],[weighted_ext_score]]&lt;$O$3,Данные6[[#This Row],[Базовая сумма]]*$O$4,N606))</f>
        <v>0</v>
      </c>
      <c r="P6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6" s="2">
        <f>ABS(Данные6[[#This Row],[days_birth]])/365.2425</f>
        <v>41.386202317638279</v>
      </c>
      <c r="S6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6" s="2">
        <f>IF(Данные6[[#This Row],[ interest_rate]]&gt;$T$1,Данные6[[#This Row],[days_birth4]]*$T$2,Данные6[[#This Row],[days_birth4]])</f>
        <v>0</v>
      </c>
      <c r="U606" s="2">
        <f>IF(Данные6[[#This Row],[Проверка отказа]]="отказ",0,MAX(Данные6[[#This Row],[interest_rate]],$C$1))</f>
        <v>0</v>
      </c>
      <c r="V606" s="2">
        <f>MROUND(Данные6[[#This Row],[Минимум 20000]], 100)</f>
        <v>0</v>
      </c>
    </row>
    <row r="607" spans="1:22" x14ac:dyDescent="0.25">
      <c r="A607" s="2">
        <f>'1000_заявлений'!A601</f>
        <v>599</v>
      </c>
      <c r="B607" s="4">
        <f>VALUE(SUBSTITUTE('1000_заявлений'!B601, ".", ","))</f>
        <v>0.43513740927470201</v>
      </c>
      <c r="C607" s="4">
        <f>VALUE(SUBSTITUTE('1000_заявлений'!C601, ".", ","))</f>
        <v>0.49604703232194403</v>
      </c>
      <c r="D607" s="4">
        <f>VALUE(SUBSTITUTE('1000_заявлений'!D601, ".", ","))</f>
        <v>0.20796417</v>
      </c>
      <c r="E607" s="4">
        <f>VALUE(SUBSTITUTE('1000_заявлений'!E601, ".", ","))</f>
        <v>0.65856590000000004</v>
      </c>
      <c r="F607" s="5">
        <f>VALUE(SUBSTITUTE('1000_заявлений'!F601, ".", ","))</f>
        <v>-7497</v>
      </c>
      <c r="G607" s="5">
        <f>VALUE(SUBSTITUTE('1000_заявлений'!G601, ".", ","))</f>
        <v>-20830</v>
      </c>
      <c r="H607" s="5">
        <f>VALUE(SUBSTITUTE('1000_заявлений'!H601, ".", ","))</f>
        <v>-3473</v>
      </c>
      <c r="I607" s="4">
        <f>VALUE(SUBSTITUTE('1000_заявлений'!I601, ".", ","))</f>
        <v>0.1426</v>
      </c>
      <c r="J607" s="4">
        <f>VALUE(SUBSTITUTE('1000_заявлений'!J601, ".", ","))</f>
        <v>0.74604876663348896</v>
      </c>
      <c r="K607" s="5">
        <f>VALUE(SUBSTITUTE('1000_заявлений'!K601, ".", ","))</f>
        <v>365243</v>
      </c>
      <c r="L607" s="6">
        <f>VALUE(SUBSTITUTE('1000_заявлений'!L601, ".", ","))</f>
        <v>16042.5</v>
      </c>
      <c r="M607" s="2" t="str">
        <f>IF(Данные6[[#This Row],[proba]]&gt;$C$6, "отказ", "одобрение")</f>
        <v>отказ</v>
      </c>
      <c r="N607" s="7">
        <f>IF(Данные6[[#This Row],[proba]]&lt;$D$2,$C$2,IF(Данные6[[#This Row],[proba]]&lt;$D$3,$C$3,IF(Данные6[[#This Row],[proba]]&gt;$C$6,0,$C$4)))</f>
        <v>0</v>
      </c>
      <c r="O607" s="2">
        <f>IF(Данные6[[#This Row],[weighted_ext_score]]&gt;$O$1,MIN(Данные6[[#This Row],[Базовая сумма]]*$O$2,$C$2),IF(Данные6[[#This Row],[weighted_ext_score]]&lt;$O$3,Данные6[[#This Row],[Базовая сумма]]*$O$4,N607))</f>
        <v>0</v>
      </c>
      <c r="P6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7" s="2">
        <f>ABS(Данные6[[#This Row],[days_birth]])/365.2425</f>
        <v>57.030602955570615</v>
      </c>
      <c r="S6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7" s="2">
        <f>IF(Данные6[[#This Row],[ interest_rate]]&gt;$T$1,Данные6[[#This Row],[days_birth4]]*$T$2,Данные6[[#This Row],[days_birth4]])</f>
        <v>0</v>
      </c>
      <c r="U607" s="2">
        <f>IF(Данные6[[#This Row],[Проверка отказа]]="отказ",0,MAX(Данные6[[#This Row],[interest_rate]],$C$1))</f>
        <v>0</v>
      </c>
      <c r="V607" s="2">
        <f>MROUND(Данные6[[#This Row],[Минимум 20000]], 100)</f>
        <v>0</v>
      </c>
    </row>
    <row r="608" spans="1:22" x14ac:dyDescent="0.25">
      <c r="A608" s="2">
        <f>'1000_заявлений'!A602</f>
        <v>600</v>
      </c>
      <c r="B608" s="4">
        <f>VALUE(SUBSTITUTE('1000_заявлений'!B602, ".", ","))</f>
        <v>0.20947240840279799</v>
      </c>
      <c r="C608" s="4">
        <f>VALUE(SUBSTITUTE('1000_заявлений'!C602, ".", ","))</f>
        <v>0.57995432063058405</v>
      </c>
      <c r="D608" s="4">
        <f>VALUE(SUBSTITUTE('1000_заявлений'!D602, ".", ","))</f>
        <v>0.65452929999999998</v>
      </c>
      <c r="E608" s="4">
        <f>VALUE(SUBSTITUTE('1000_заявлений'!E602, ".", ","))</f>
        <v>0.75659149999999997</v>
      </c>
      <c r="F608" s="5">
        <f>VALUE(SUBSTITUTE('1000_заявлений'!F602, ".", ","))</f>
        <v>-2905</v>
      </c>
      <c r="G608" s="5">
        <f>VALUE(SUBSTITUTE('1000_заявлений'!G602, ".", ","))</f>
        <v>-12130</v>
      </c>
      <c r="H608" s="5">
        <f>VALUE(SUBSTITUTE('1000_заявлений'!H602, ".", ","))</f>
        <v>-3690</v>
      </c>
      <c r="I608" s="4">
        <f>VALUE(SUBSTITUTE('1000_заявлений'!I602, ".", ","))</f>
        <v>0.15</v>
      </c>
      <c r="J608" s="4">
        <f>VALUE(SUBSTITUTE('1000_заявлений'!J602, ".", ","))</f>
        <v>10.6209759779781</v>
      </c>
      <c r="K608" s="5">
        <f>VALUE(SUBSTITUTE('1000_заявлений'!K602, ".", ","))</f>
        <v>-4277</v>
      </c>
      <c r="L608" s="6">
        <f>VALUE(SUBSTITUTE('1000_заявлений'!L602, ".", ","))</f>
        <v>10125</v>
      </c>
      <c r="M608" s="2" t="str">
        <f>IF(Данные6[[#This Row],[proba]]&gt;$C$6, "отказ", "одобрение")</f>
        <v>одобрение</v>
      </c>
      <c r="N608" s="7">
        <f>IF(Данные6[[#This Row],[proba]]&lt;$D$2,$C$2,IF(Данные6[[#This Row],[proba]]&lt;$D$3,$C$3,IF(Данные6[[#This Row],[proba]]&gt;$C$6,0,$C$4)))</f>
        <v>50000</v>
      </c>
      <c r="O608" s="2">
        <f>IF(Данные6[[#This Row],[weighted_ext_score]]&gt;$O$1,MIN(Данные6[[#This Row],[Базовая сумма]]*$O$2,$C$2),IF(Данные6[[#This Row],[weighted_ext_score]]&lt;$O$3,Данные6[[#This Row],[Базовая сумма]]*$O$4,N608))</f>
        <v>50000</v>
      </c>
      <c r="P6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608" s="2">
        <f>ABS(Данные6[[#This Row],[days_birth]])/365.2425</f>
        <v>33.210811994770594</v>
      </c>
      <c r="S6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608" s="2">
        <f>IF(Данные6[[#This Row],[ interest_rate]]&gt;$T$1,Данные6[[#This Row],[days_birth4]]*$T$2,Данные6[[#This Row],[days_birth4]])</f>
        <v>60000</v>
      </c>
      <c r="U608" s="2">
        <f>IF(Данные6[[#This Row],[Проверка отказа]]="отказ",0,MAX(Данные6[[#This Row],[interest_rate]],$C$1))</f>
        <v>60000</v>
      </c>
      <c r="V608" s="2">
        <f>MROUND(Данные6[[#This Row],[Минимум 20000]], 100)</f>
        <v>60000</v>
      </c>
    </row>
    <row r="609" spans="1:22" x14ac:dyDescent="0.25">
      <c r="A609" s="2">
        <f>'1000_заявлений'!A603</f>
        <v>601</v>
      </c>
      <c r="B609" s="4">
        <f>VALUE(SUBSTITUTE('1000_заявлений'!B603, ".", ","))</f>
        <v>0.56392719124399904</v>
      </c>
      <c r="C609" s="4">
        <f>VALUE(SUBSTITUTE('1000_заявлений'!C603, ".", ","))</f>
        <v>0.33261799587436502</v>
      </c>
      <c r="D609" s="4">
        <f>VALUE(SUBSTITUTE('1000_заявлений'!D603, ".", ","))</f>
        <v>0.28517989999999999</v>
      </c>
      <c r="E609" s="4">
        <f>VALUE(SUBSTITUTE('1000_заявлений'!E603, ".", ","))</f>
        <v>0.70744324000000003</v>
      </c>
      <c r="F609" s="5">
        <f>VALUE(SUBSTITUTE('1000_заявлений'!F603, ".", ","))</f>
        <v>-4648</v>
      </c>
      <c r="G609" s="5">
        <f>VALUE(SUBSTITUTE('1000_заявлений'!G603, ".", ","))</f>
        <v>-9917</v>
      </c>
      <c r="H609" s="5">
        <f>VALUE(SUBSTITUTE('1000_заявлений'!H603, ".", ","))</f>
        <v>-2181</v>
      </c>
      <c r="I609" s="4">
        <f>VALUE(SUBSTITUTE('1000_заявлений'!I603, ".", ","))</f>
        <v>0.120127659574468</v>
      </c>
      <c r="J609" s="4">
        <f>VALUE(SUBSTITUTE('1000_заявлений'!J603, ".", ","))</f>
        <v>2.6757393730520902</v>
      </c>
      <c r="K609" s="5">
        <f>VALUE(SUBSTITUTE('1000_заявлений'!K603, ".", ","))</f>
        <v>-1482</v>
      </c>
      <c r="L609" s="6">
        <f>VALUE(SUBSTITUTE('1000_заявлений'!L603, ".", ","))</f>
        <v>25407</v>
      </c>
      <c r="M609" s="2" t="str">
        <f>IF(Данные6[[#This Row],[proba]]&gt;$C$6, "отказ", "одобрение")</f>
        <v>отказ</v>
      </c>
      <c r="N609" s="7">
        <f>IF(Данные6[[#This Row],[proba]]&lt;$D$2,$C$2,IF(Данные6[[#This Row],[proba]]&lt;$D$3,$C$3,IF(Данные6[[#This Row],[proba]]&gt;$C$6,0,$C$4)))</f>
        <v>0</v>
      </c>
      <c r="O609" s="2">
        <f>IF(Данные6[[#This Row],[weighted_ext_score]]&gt;$O$1,MIN(Данные6[[#This Row],[Базовая сумма]]*$O$2,$C$2),IF(Данные6[[#This Row],[weighted_ext_score]]&lt;$O$3,Данные6[[#This Row],[Базовая сумма]]*$O$4,N609))</f>
        <v>0</v>
      </c>
      <c r="P6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09" s="2">
        <f>ABS(Данные6[[#This Row],[days_birth]])/365.2425</f>
        <v>27.15182378830503</v>
      </c>
      <c r="S6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09" s="2">
        <f>IF(Данные6[[#This Row],[ interest_rate]]&gt;$T$1,Данные6[[#This Row],[days_birth4]]*$T$2,Данные6[[#This Row],[days_birth4]])</f>
        <v>0</v>
      </c>
      <c r="U609" s="2">
        <f>IF(Данные6[[#This Row],[Проверка отказа]]="отказ",0,MAX(Данные6[[#This Row],[interest_rate]],$C$1))</f>
        <v>0</v>
      </c>
      <c r="V609" s="2">
        <f>MROUND(Данные6[[#This Row],[Минимум 20000]], 100)</f>
        <v>0</v>
      </c>
    </row>
    <row r="610" spans="1:22" x14ac:dyDescent="0.25">
      <c r="A610" s="2">
        <f>'1000_заявлений'!A604</f>
        <v>602</v>
      </c>
      <c r="B610" s="4">
        <f>VALUE(SUBSTITUTE('1000_заявлений'!B604, ".", ","))</f>
        <v>0.61481386785605396</v>
      </c>
      <c r="C610" s="4">
        <f>VALUE(SUBSTITUTE('1000_заявлений'!C604, ".", ","))</f>
        <v>0.18826270091670699</v>
      </c>
      <c r="D610" s="4">
        <f>VALUE(SUBSTITUTE('1000_заявлений'!D604, ".", ","))</f>
        <v>0.53527623000000002</v>
      </c>
      <c r="E610" s="4">
        <f>VALUE(SUBSTITUTE('1000_заявлений'!E604, ".", ","))</f>
        <v>0.41855019999999998</v>
      </c>
      <c r="F610" s="5">
        <f>VALUE(SUBSTITUTE('1000_заявлений'!F604, ".", ","))</f>
        <v>-8910</v>
      </c>
      <c r="G610" s="5">
        <f>VALUE(SUBSTITUTE('1000_заявлений'!G604, ".", ","))</f>
        <v>-8929</v>
      </c>
      <c r="H610" s="5">
        <f>VALUE(SUBSTITUTE('1000_заявлений'!H604, ".", ","))</f>
        <v>-1585</v>
      </c>
      <c r="I610" s="4">
        <f>VALUE(SUBSTITUTE('1000_заявлений'!I604, ".", ","))</f>
        <v>0.14232</v>
      </c>
      <c r="J610" s="4">
        <f>VALUE(SUBSTITUTE('1000_заявлений'!J604, ".", ","))</f>
        <v>6.2423098804797297</v>
      </c>
      <c r="K610" s="5">
        <f>VALUE(SUBSTITUTE('1000_заявлений'!K604, ".", ","))</f>
        <v>-129</v>
      </c>
      <c r="L610" s="6">
        <f>VALUE(SUBSTITUTE('1000_заявлений'!L604, ".", ","))</f>
        <v>16011</v>
      </c>
      <c r="M610" s="2" t="str">
        <f>IF(Данные6[[#This Row],[proba]]&gt;$C$6, "отказ", "одобрение")</f>
        <v>отказ</v>
      </c>
      <c r="N610" s="7">
        <f>IF(Данные6[[#This Row],[proba]]&lt;$D$2,$C$2,IF(Данные6[[#This Row],[proba]]&lt;$D$3,$C$3,IF(Данные6[[#This Row],[proba]]&gt;$C$6,0,$C$4)))</f>
        <v>0</v>
      </c>
      <c r="O610" s="2">
        <f>IF(Данные6[[#This Row],[weighted_ext_score]]&gt;$O$1,MIN(Данные6[[#This Row],[Базовая сумма]]*$O$2,$C$2),IF(Данные6[[#This Row],[weighted_ext_score]]&lt;$O$3,Данные6[[#This Row],[Базовая сумма]]*$O$4,N610))</f>
        <v>0</v>
      </c>
      <c r="P6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0" s="2">
        <f>ABS(Данные6[[#This Row],[days_birth]])/365.2425</f>
        <v>24.446771665400384</v>
      </c>
      <c r="S6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0" s="2">
        <f>IF(Данные6[[#This Row],[ interest_rate]]&gt;$T$1,Данные6[[#This Row],[days_birth4]]*$T$2,Данные6[[#This Row],[days_birth4]])</f>
        <v>0</v>
      </c>
      <c r="U610" s="2">
        <f>IF(Данные6[[#This Row],[Проверка отказа]]="отказ",0,MAX(Данные6[[#This Row],[interest_rate]],$C$1))</f>
        <v>0</v>
      </c>
      <c r="V610" s="2">
        <f>MROUND(Данные6[[#This Row],[Минимум 20000]], 100)</f>
        <v>0</v>
      </c>
    </row>
    <row r="611" spans="1:22" x14ac:dyDescent="0.25">
      <c r="A611" s="2">
        <f>'1000_заявлений'!A605</f>
        <v>603</v>
      </c>
      <c r="B611" s="4">
        <f>VALUE(SUBSTITUTE('1000_заявлений'!B605, ".", ","))</f>
        <v>0.29481854915457201</v>
      </c>
      <c r="C611" s="4">
        <f>VALUE(SUBSTITUTE('1000_заявлений'!C605, ".", ","))</f>
        <v>0.41247157484029201</v>
      </c>
      <c r="D611" s="4">
        <f>VALUE(SUBSTITUTE('1000_заявлений'!D605, ".", ","))</f>
        <v>0.62292199999999998</v>
      </c>
      <c r="E611" s="4">
        <f>VALUE(SUBSTITUTE('1000_заявлений'!E605, ".", ","))</f>
        <v>0.57705130000000004</v>
      </c>
      <c r="F611" s="5">
        <f>VALUE(SUBSTITUTE('1000_заявлений'!F605, ".", ","))</f>
        <v>-7818</v>
      </c>
      <c r="G611" s="5">
        <f>VALUE(SUBSTITUTE('1000_заявлений'!G605, ".", ","))</f>
        <v>-13711</v>
      </c>
      <c r="H611" s="5">
        <f>VALUE(SUBSTITUTE('1000_заявлений'!H605, ".", ","))</f>
        <v>-4104</v>
      </c>
      <c r="I611" s="4">
        <f>VALUE(SUBSTITUTE('1000_заявлений'!I605, ".", ","))</f>
        <v>8.0066666666666605E-2</v>
      </c>
      <c r="J611" s="4">
        <f>VALUE(SUBSTITUTE('1000_заявлений'!J605, ".", ","))</f>
        <v>13.9003424890617</v>
      </c>
      <c r="K611" s="5">
        <f>VALUE(SUBSTITUTE('1000_заявлений'!K605, ".", ","))</f>
        <v>-452</v>
      </c>
      <c r="L611" s="6">
        <f>VALUE(SUBSTITUTE('1000_заявлений'!L605, ".", ","))</f>
        <v>10809</v>
      </c>
      <c r="M611" s="2" t="str">
        <f>IF(Данные6[[#This Row],[proba]]&gt;$C$6, "отказ", "одобрение")</f>
        <v>одобрение</v>
      </c>
      <c r="N611" s="7">
        <f>IF(Данные6[[#This Row],[proba]]&lt;$D$2,$C$2,IF(Данные6[[#This Row],[proba]]&lt;$D$3,$C$3,IF(Данные6[[#This Row],[proba]]&gt;$C$6,0,$C$4)))</f>
        <v>50000</v>
      </c>
      <c r="O611" s="2">
        <f>IF(Данные6[[#This Row],[weighted_ext_score]]&gt;$O$1,MIN(Данные6[[#This Row],[Базовая сумма]]*$O$2,$C$2),IF(Данные6[[#This Row],[weighted_ext_score]]&lt;$O$3,Данные6[[#This Row],[Базовая сумма]]*$O$4,N611))</f>
        <v>40000</v>
      </c>
      <c r="P6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6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33600</v>
      </c>
      <c r="R611" s="2">
        <f>ABS(Данные6[[#This Row],[days_birth]])/365.2425</f>
        <v>37.53944297281943</v>
      </c>
      <c r="S6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33600</v>
      </c>
      <c r="T611" s="2">
        <f>IF(Данные6[[#This Row],[ interest_rate]]&gt;$T$1,Данные6[[#This Row],[days_birth4]]*$T$2,Данные6[[#This Row],[days_birth4]])</f>
        <v>33600</v>
      </c>
      <c r="U611" s="2">
        <f>IF(Данные6[[#This Row],[Проверка отказа]]="отказ",0,MAX(Данные6[[#This Row],[interest_rate]],$C$1))</f>
        <v>33600</v>
      </c>
      <c r="V611" s="2">
        <f>MROUND(Данные6[[#This Row],[Минимум 20000]], 100)</f>
        <v>33600</v>
      </c>
    </row>
    <row r="612" spans="1:22" x14ac:dyDescent="0.25">
      <c r="A612" s="2">
        <f>'1000_заявлений'!A606</f>
        <v>604</v>
      </c>
      <c r="B612" s="4">
        <f>VALUE(SUBSTITUTE('1000_заявлений'!B606, ".", ","))</f>
        <v>0.53912412002549603</v>
      </c>
      <c r="C612" s="4">
        <f>VALUE(SUBSTITUTE('1000_заявлений'!C606, ".", ","))</f>
        <v>0.27213544254579303</v>
      </c>
      <c r="D612" s="4">
        <f>VALUE(SUBSTITUTE('1000_заявлений'!D606, ".", ","))</f>
        <v>0.20092608000000001</v>
      </c>
      <c r="E612" s="4">
        <f>VALUE(SUBSTITUTE('1000_заявлений'!E606, ".", ","))</f>
        <v>0.61492480000000005</v>
      </c>
      <c r="F612" s="5">
        <f>VALUE(SUBSTITUTE('1000_заявлений'!F606, ".", ","))</f>
        <v>-2379</v>
      </c>
      <c r="G612" s="5">
        <f>VALUE(SUBSTITUTE('1000_заявлений'!G606, ".", ","))</f>
        <v>-23789</v>
      </c>
      <c r="H612" s="5">
        <f>VALUE(SUBSTITUTE('1000_заявлений'!H606, ".", ","))</f>
        <v>-4804</v>
      </c>
      <c r="I612" s="4">
        <f>VALUE(SUBSTITUTE('1000_заявлений'!I606, ".", ","))</f>
        <v>0.13400000000000001</v>
      </c>
      <c r="J612" s="4">
        <f>VALUE(SUBSTITUTE('1000_заявлений'!J606, ".", ","))</f>
        <v>2.2392870662879001</v>
      </c>
      <c r="K612" s="5">
        <f>VALUE(SUBSTITUTE('1000_заявлений'!K606, ".", ","))</f>
        <v>365243</v>
      </c>
      <c r="L612" s="6">
        <f>VALUE(SUBSTITUTE('1000_заявлений'!L606, ".", ","))</f>
        <v>15075</v>
      </c>
      <c r="M612" s="2" t="str">
        <f>IF(Данные6[[#This Row],[proba]]&gt;$C$6, "отказ", "одобрение")</f>
        <v>отказ</v>
      </c>
      <c r="N612" s="7">
        <f>IF(Данные6[[#This Row],[proba]]&lt;$D$2,$C$2,IF(Данные6[[#This Row],[proba]]&lt;$D$3,$C$3,IF(Данные6[[#This Row],[proba]]&gt;$C$6,0,$C$4)))</f>
        <v>0</v>
      </c>
      <c r="O612" s="2">
        <f>IF(Данные6[[#This Row],[weighted_ext_score]]&gt;$O$1,MIN(Данные6[[#This Row],[Базовая сумма]]*$O$2,$C$2),IF(Данные6[[#This Row],[weighted_ext_score]]&lt;$O$3,Данные6[[#This Row],[Базовая сумма]]*$O$4,N612))</f>
        <v>0</v>
      </c>
      <c r="P6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2" s="2">
        <f>ABS(Данные6[[#This Row],[days_birth]])/365.2425</f>
        <v>65.132069789249613</v>
      </c>
      <c r="S6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2" s="2">
        <f>IF(Данные6[[#This Row],[ interest_rate]]&gt;$T$1,Данные6[[#This Row],[days_birth4]]*$T$2,Данные6[[#This Row],[days_birth4]])</f>
        <v>0</v>
      </c>
      <c r="U612" s="2">
        <f>IF(Данные6[[#This Row],[Проверка отказа]]="отказ",0,MAX(Данные6[[#This Row],[interest_rate]],$C$1))</f>
        <v>0</v>
      </c>
      <c r="V612" s="2">
        <f>MROUND(Данные6[[#This Row],[Минимум 20000]], 100)</f>
        <v>0</v>
      </c>
    </row>
    <row r="613" spans="1:22" x14ac:dyDescent="0.25">
      <c r="A613" s="2">
        <f>'1000_заявлений'!A607</f>
        <v>605</v>
      </c>
      <c r="B613" s="4">
        <f>VALUE(SUBSTITUTE('1000_заявлений'!B607, ".", ","))</f>
        <v>0.57036145611571099</v>
      </c>
      <c r="C613" s="4">
        <f>VALUE(SUBSTITUTE('1000_заявлений'!C607, ".", ","))</f>
        <v>0.264937876596885</v>
      </c>
      <c r="D613" s="4">
        <f>VALUE(SUBSTITUTE('1000_заявлений'!D607, ".", ","))</f>
        <v>0.40314168</v>
      </c>
      <c r="E613" s="4">
        <f>VALUE(SUBSTITUTE('1000_заявлений'!E607, ".", ","))</f>
        <v>0.36727460000000001</v>
      </c>
      <c r="F613" s="5">
        <f>VALUE(SUBSTITUTE('1000_заявлений'!F607, ".", ","))</f>
        <v>-433</v>
      </c>
      <c r="G613" s="5">
        <f>VALUE(SUBSTITUTE('1000_заявлений'!G607, ".", ","))</f>
        <v>-16829</v>
      </c>
      <c r="H613" s="5">
        <f>VALUE(SUBSTITUTE('1000_заявлений'!H607, ".", ","))</f>
        <v>-383</v>
      </c>
      <c r="I613" s="4">
        <f>VALUE(SUBSTITUTE('1000_заявлений'!I607, ".", ","))</f>
        <v>0.1449125</v>
      </c>
      <c r="J613" s="4">
        <f>VALUE(SUBSTITUTE('1000_заявлений'!J607, ".", ","))</f>
        <v>15.562973481363001</v>
      </c>
      <c r="K613" s="5">
        <f>VALUE(SUBSTITUTE('1000_заявлений'!K607, ".", ","))</f>
        <v>-853</v>
      </c>
      <c r="L613" s="6">
        <f>VALUE(SUBSTITUTE('1000_заявлений'!L607, ".", ","))</f>
        <v>52168.5</v>
      </c>
      <c r="M613" s="2" t="str">
        <f>IF(Данные6[[#This Row],[proba]]&gt;$C$6, "отказ", "одобрение")</f>
        <v>отказ</v>
      </c>
      <c r="N613" s="7">
        <f>IF(Данные6[[#This Row],[proba]]&lt;$D$2,$C$2,IF(Данные6[[#This Row],[proba]]&lt;$D$3,$C$3,IF(Данные6[[#This Row],[proba]]&gt;$C$6,0,$C$4)))</f>
        <v>0</v>
      </c>
      <c r="O613" s="2">
        <f>IF(Данные6[[#This Row],[weighted_ext_score]]&gt;$O$1,MIN(Данные6[[#This Row],[Базовая сумма]]*$O$2,$C$2),IF(Данные6[[#This Row],[weighted_ext_score]]&lt;$O$3,Данные6[[#This Row],[Базовая сумма]]*$O$4,N613))</f>
        <v>0</v>
      </c>
      <c r="P6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3" s="2">
        <f>ABS(Данные6[[#This Row],[days_birth]])/365.2425</f>
        <v>46.076237020609597</v>
      </c>
      <c r="S6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3" s="2">
        <f>IF(Данные6[[#This Row],[ interest_rate]]&gt;$T$1,Данные6[[#This Row],[days_birth4]]*$T$2,Данные6[[#This Row],[days_birth4]])</f>
        <v>0</v>
      </c>
      <c r="U613" s="2">
        <f>IF(Данные6[[#This Row],[Проверка отказа]]="отказ",0,MAX(Данные6[[#This Row],[interest_rate]],$C$1))</f>
        <v>0</v>
      </c>
      <c r="V613" s="2">
        <f>MROUND(Данные6[[#This Row],[Минимум 20000]], 100)</f>
        <v>0</v>
      </c>
    </row>
    <row r="614" spans="1:22" x14ac:dyDescent="0.25">
      <c r="A614" s="2">
        <f>'1000_заявлений'!A608</f>
        <v>606</v>
      </c>
      <c r="B614" s="4">
        <f>VALUE(SUBSTITUTE('1000_заявлений'!B608, ".", ","))</f>
        <v>0.31340291468842102</v>
      </c>
      <c r="C614" s="4">
        <f>VALUE(SUBSTITUTE('1000_заявлений'!C608, ".", ","))</f>
        <v>0.441341639540695</v>
      </c>
      <c r="D614" s="4">
        <f>VALUE(SUBSTITUTE('1000_заявлений'!D608, ".", ","))</f>
        <v>0.70470642999999999</v>
      </c>
      <c r="E614" s="4">
        <f>VALUE(SUBSTITUTE('1000_заявлений'!E608, ".", ","))</f>
        <v>0.57486694999999999</v>
      </c>
      <c r="F614" s="5">
        <f>VALUE(SUBSTITUTE('1000_заявлений'!F608, ".", ","))</f>
        <v>-1559</v>
      </c>
      <c r="G614" s="5">
        <f>VALUE(SUBSTITUTE('1000_заявлений'!G608, ".", ","))</f>
        <v>-18880</v>
      </c>
      <c r="H614" s="5">
        <f>VALUE(SUBSTITUTE('1000_заявлений'!H608, ".", ","))</f>
        <v>-407</v>
      </c>
      <c r="I614" s="4">
        <f>VALUE(SUBSTITUTE('1000_заявлений'!I608, ".", ","))</f>
        <v>0.19798333333333301</v>
      </c>
      <c r="J614" s="4">
        <f>VALUE(SUBSTITUTE('1000_заявлений'!J608, ".", ","))</f>
        <v>1.8568382236701</v>
      </c>
      <c r="K614" s="5">
        <f>VALUE(SUBSTITUTE('1000_заявлений'!K608, ".", ","))</f>
        <v>-1355</v>
      </c>
      <c r="L614" s="6">
        <f>VALUE(SUBSTITUTE('1000_заявлений'!L608, ".", ","))</f>
        <v>53455.5</v>
      </c>
      <c r="M614" s="2" t="str">
        <f>IF(Данные6[[#This Row],[proba]]&gt;$C$6, "отказ", "одобрение")</f>
        <v>отказ</v>
      </c>
      <c r="N614" s="7">
        <f>IF(Данные6[[#This Row],[proba]]&lt;$D$2,$C$2,IF(Данные6[[#This Row],[proba]]&lt;$D$3,$C$3,IF(Данные6[[#This Row],[proba]]&gt;$C$6,0,$C$4)))</f>
        <v>0</v>
      </c>
      <c r="O614" s="2">
        <f>IF(Данные6[[#This Row],[weighted_ext_score]]&gt;$O$1,MIN(Данные6[[#This Row],[Базовая сумма]]*$O$2,$C$2),IF(Данные6[[#This Row],[weighted_ext_score]]&lt;$O$3,Данные6[[#This Row],[Базовая сумма]]*$O$4,N614))</f>
        <v>0</v>
      </c>
      <c r="P6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4" s="2">
        <f>ABS(Данные6[[#This Row],[days_birth]])/365.2425</f>
        <v>51.691684291943027</v>
      </c>
      <c r="S6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4" s="2">
        <f>IF(Данные6[[#This Row],[ interest_rate]]&gt;$T$1,Данные6[[#This Row],[days_birth4]]*$T$2,Данные6[[#This Row],[days_birth4]])</f>
        <v>0</v>
      </c>
      <c r="U614" s="2">
        <f>IF(Данные6[[#This Row],[Проверка отказа]]="отказ",0,MAX(Данные6[[#This Row],[interest_rate]],$C$1))</f>
        <v>0</v>
      </c>
      <c r="V614" s="2">
        <f>MROUND(Данные6[[#This Row],[Минимум 20000]], 100)</f>
        <v>0</v>
      </c>
    </row>
    <row r="615" spans="1:22" x14ac:dyDescent="0.25">
      <c r="A615" s="2">
        <f>'1000_заявлений'!A609</f>
        <v>607</v>
      </c>
      <c r="B615" s="4">
        <f>VALUE(SUBSTITUTE('1000_заявлений'!B609, ".", ","))</f>
        <v>0.444491432003637</v>
      </c>
      <c r="C615" s="4">
        <f>VALUE(SUBSTITUTE('1000_заявлений'!C609, ".", ","))</f>
        <v>0.47450059341627498</v>
      </c>
      <c r="D615" s="4">
        <f>VALUE(SUBSTITUTE('1000_заявлений'!D609, ".", ","))</f>
        <v>0.37064964</v>
      </c>
      <c r="E615" s="4">
        <f>VALUE(SUBSTITUTE('1000_заявлений'!E609, ".", ","))</f>
        <v>0.54777849999999995</v>
      </c>
      <c r="F615" s="5">
        <f>VALUE(SUBSTITUTE('1000_заявлений'!F609, ".", ","))</f>
        <v>-102</v>
      </c>
      <c r="G615" s="5">
        <f>VALUE(SUBSTITUTE('1000_заявлений'!G609, ".", ","))</f>
        <v>-15081</v>
      </c>
      <c r="H615" s="5">
        <f>VALUE(SUBSTITUTE('1000_заявлений'!H609, ".", ","))</f>
        <v>-4792</v>
      </c>
      <c r="I615" s="4">
        <f>VALUE(SUBSTITUTE('1000_заявлений'!I609, ".", ","))</f>
        <v>0.11365263157894701</v>
      </c>
      <c r="J615" s="4">
        <f>VALUE(SUBSTITUTE('1000_заявлений'!J609, ".", ","))</f>
        <v>2.9354350402932501</v>
      </c>
      <c r="K615" s="5">
        <f>VALUE(SUBSTITUTE('1000_заявлений'!K609, ".", ","))</f>
        <v>-864</v>
      </c>
      <c r="L615" s="6">
        <f>VALUE(SUBSTITUTE('1000_заявлений'!L609, ".", ","))</f>
        <v>48586.5</v>
      </c>
      <c r="M615" s="2" t="str">
        <f>IF(Данные6[[#This Row],[proba]]&gt;$C$6, "отказ", "одобрение")</f>
        <v>отказ</v>
      </c>
      <c r="N615" s="7">
        <f>IF(Данные6[[#This Row],[proba]]&lt;$D$2,$C$2,IF(Данные6[[#This Row],[proba]]&lt;$D$3,$C$3,IF(Данные6[[#This Row],[proba]]&gt;$C$6,0,$C$4)))</f>
        <v>0</v>
      </c>
      <c r="O615" s="2">
        <f>IF(Данные6[[#This Row],[weighted_ext_score]]&gt;$O$1,MIN(Данные6[[#This Row],[Базовая сумма]]*$O$2,$C$2),IF(Данные6[[#This Row],[weighted_ext_score]]&lt;$O$3,Данные6[[#This Row],[Базовая сумма]]*$O$4,N615))</f>
        <v>0</v>
      </c>
      <c r="P6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5" s="2">
        <f>ABS(Данные6[[#This Row],[days_birth]])/365.2425</f>
        <v>41.290375572393685</v>
      </c>
      <c r="S6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5" s="2">
        <f>IF(Данные6[[#This Row],[ interest_rate]]&gt;$T$1,Данные6[[#This Row],[days_birth4]]*$T$2,Данные6[[#This Row],[days_birth4]])</f>
        <v>0</v>
      </c>
      <c r="U615" s="2">
        <f>IF(Данные6[[#This Row],[Проверка отказа]]="отказ",0,MAX(Данные6[[#This Row],[interest_rate]],$C$1))</f>
        <v>0</v>
      </c>
      <c r="V615" s="2">
        <f>MROUND(Данные6[[#This Row],[Минимум 20000]], 100)</f>
        <v>0</v>
      </c>
    </row>
    <row r="616" spans="1:22" x14ac:dyDescent="0.25">
      <c r="A616" s="2">
        <f>'1000_заявлений'!A610</f>
        <v>608</v>
      </c>
      <c r="B616" s="4">
        <f>VALUE(SUBSTITUTE('1000_заявлений'!B610, ".", ","))</f>
        <v>0.30703109144917201</v>
      </c>
      <c r="C616" s="4">
        <f>VALUE(SUBSTITUTE('1000_заявлений'!C610, ".", ","))</f>
        <v>0.53529454660492404</v>
      </c>
      <c r="D616" s="4">
        <f>VALUE(SUBSTITUTE('1000_заявлений'!D610, ".", ","))</f>
        <v>0.41184854999999998</v>
      </c>
      <c r="E616" s="4">
        <f>VALUE(SUBSTITUTE('1000_заявлений'!E610, ".", ","))</f>
        <v>0.68878280000000003</v>
      </c>
      <c r="F616" s="5">
        <f>VALUE(SUBSTITUTE('1000_заявлений'!F610, ".", ","))</f>
        <v>-10507</v>
      </c>
      <c r="G616" s="5">
        <f>VALUE(SUBSTITUTE('1000_заявлений'!G610, ".", ","))</f>
        <v>-22570</v>
      </c>
      <c r="H616" s="5">
        <f>VALUE(SUBSTITUTE('1000_заявлений'!H610, ".", ","))</f>
        <v>-4745</v>
      </c>
      <c r="I616" s="4">
        <f>VALUE(SUBSTITUTE('1000_заявлений'!I610, ".", ","))</f>
        <v>0.224725806451612</v>
      </c>
      <c r="J616" s="4">
        <f>VALUE(SUBSTITUTE('1000_заявлений'!J610, ".", ","))</f>
        <v>0.81186196051394799</v>
      </c>
      <c r="K616" s="5">
        <f>VALUE(SUBSTITUTE('1000_заявлений'!K610, ".", ","))</f>
        <v>-972</v>
      </c>
      <c r="L616" s="6">
        <f>VALUE(SUBSTITUTE('1000_заявлений'!L610, ".", ","))</f>
        <v>62698.5</v>
      </c>
      <c r="M616" s="2" t="str">
        <f>IF(Данные6[[#This Row],[proba]]&gt;$C$6, "отказ", "одобрение")</f>
        <v>отказ</v>
      </c>
      <c r="N616" s="7">
        <f>IF(Данные6[[#This Row],[proba]]&lt;$D$2,$C$2,IF(Данные6[[#This Row],[proba]]&lt;$D$3,$C$3,IF(Данные6[[#This Row],[proba]]&gt;$C$6,0,$C$4)))</f>
        <v>0</v>
      </c>
      <c r="O616" s="2">
        <f>IF(Данные6[[#This Row],[weighted_ext_score]]&gt;$O$1,MIN(Данные6[[#This Row],[Базовая сумма]]*$O$2,$C$2),IF(Данные6[[#This Row],[weighted_ext_score]]&lt;$O$3,Данные6[[#This Row],[Базовая сумма]]*$O$4,N616))</f>
        <v>0</v>
      </c>
      <c r="P6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6" s="2">
        <f>ABS(Данные6[[#This Row],[days_birth]])/365.2425</f>
        <v>61.794561147730619</v>
      </c>
      <c r="S6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6" s="2">
        <f>IF(Данные6[[#This Row],[ interest_rate]]&gt;$T$1,Данные6[[#This Row],[days_birth4]]*$T$2,Данные6[[#This Row],[days_birth4]])</f>
        <v>0</v>
      </c>
      <c r="U616" s="2">
        <f>IF(Данные6[[#This Row],[Проверка отказа]]="отказ",0,MAX(Данные6[[#This Row],[interest_rate]],$C$1))</f>
        <v>0</v>
      </c>
      <c r="V616" s="2">
        <f>MROUND(Данные6[[#This Row],[Минимум 20000]], 100)</f>
        <v>0</v>
      </c>
    </row>
    <row r="617" spans="1:22" x14ac:dyDescent="0.25">
      <c r="A617" s="2">
        <f>'1000_заявлений'!A611</f>
        <v>609</v>
      </c>
      <c r="B617" s="4">
        <f>VALUE(SUBSTITUTE('1000_заявлений'!B611, ".", ","))</f>
        <v>0.20404446852285499</v>
      </c>
      <c r="C617" s="4">
        <f>VALUE(SUBSTITUTE('1000_заявлений'!C611, ".", ","))</f>
        <v>0.50240990472383595</v>
      </c>
      <c r="D617" s="4">
        <f>VALUE(SUBSTITUTE('1000_заявлений'!D611, ".", ","))</f>
        <v>0.79813725000000002</v>
      </c>
      <c r="E617" s="4">
        <f>VALUE(SUBSTITUTE('1000_заявлений'!E611, ".", ","))</f>
        <v>0.65895910000000002</v>
      </c>
      <c r="F617" s="5">
        <f>VALUE(SUBSTITUTE('1000_заявлений'!F611, ".", ","))</f>
        <v>-9708</v>
      </c>
      <c r="G617" s="5">
        <f>VALUE(SUBSTITUTE('1000_заявлений'!G611, ".", ","))</f>
        <v>-17820</v>
      </c>
      <c r="H617" s="5">
        <f>VALUE(SUBSTITUTE('1000_заявлений'!H611, ".", ","))</f>
        <v>-1348</v>
      </c>
      <c r="I617" s="4">
        <f>VALUE(SUBSTITUTE('1000_заявлений'!I611, ".", ","))</f>
        <v>0.12352</v>
      </c>
      <c r="J617" s="4">
        <f>VALUE(SUBSTITUTE('1000_заявлений'!J611, ".", ","))</f>
        <v>3.20927609481542</v>
      </c>
      <c r="K617" s="5">
        <f>VALUE(SUBSTITUTE('1000_заявлений'!K611, ".", ","))</f>
        <v>-2900</v>
      </c>
      <c r="L617" s="6">
        <f>VALUE(SUBSTITUTE('1000_заявлений'!L611, ".", ","))</f>
        <v>27792</v>
      </c>
      <c r="M617" s="2" t="str">
        <f>IF(Данные6[[#This Row],[proba]]&gt;$C$6, "отказ", "одобрение")</f>
        <v>одобрение</v>
      </c>
      <c r="N617" s="7">
        <f>IF(Данные6[[#This Row],[proba]]&lt;$D$2,$C$2,IF(Данные6[[#This Row],[proba]]&lt;$D$3,$C$3,IF(Данные6[[#This Row],[proba]]&gt;$C$6,0,$C$4)))</f>
        <v>50000</v>
      </c>
      <c r="O617" s="2">
        <f>IF(Данные6[[#This Row],[weighted_ext_score]]&gt;$O$1,MIN(Данные6[[#This Row],[Базовая сумма]]*$O$2,$C$2),IF(Данные6[[#This Row],[weighted_ext_score]]&lt;$O$3,Данные6[[#This Row],[Базовая сумма]]*$O$4,N617))</f>
        <v>50000</v>
      </c>
      <c r="P6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617" s="2">
        <f>ABS(Данные6[[#This Row],[days_birth]])/365.2425</f>
        <v>48.789502864535208</v>
      </c>
      <c r="S6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617" s="2">
        <f>IF(Данные6[[#This Row],[ interest_rate]]&gt;$T$1,Данные6[[#This Row],[days_birth4]]*$T$2,Данные6[[#This Row],[days_birth4]])</f>
        <v>35000</v>
      </c>
      <c r="U617" s="2">
        <f>IF(Данные6[[#This Row],[Проверка отказа]]="отказ",0,MAX(Данные6[[#This Row],[interest_rate]],$C$1))</f>
        <v>35000</v>
      </c>
      <c r="V617" s="2">
        <f>MROUND(Данные6[[#This Row],[Минимум 20000]], 100)</f>
        <v>35000</v>
      </c>
    </row>
    <row r="618" spans="1:22" x14ac:dyDescent="0.25">
      <c r="A618" s="2">
        <f>'1000_заявлений'!A612</f>
        <v>610</v>
      </c>
      <c r="B618" s="4">
        <f>VALUE(SUBSTITUTE('1000_заявлений'!B612, ".", ","))</f>
        <v>0.49691699161341701</v>
      </c>
      <c r="C618" s="4">
        <f>VALUE(SUBSTITUTE('1000_заявлений'!C612, ".", ","))</f>
        <v>0.22667592459217001</v>
      </c>
      <c r="D618" s="4">
        <f>VALUE(SUBSTITUTE('1000_заявлений'!D612, ".", ","))</f>
        <v>0.53527623000000002</v>
      </c>
      <c r="E618" s="4">
        <f>VALUE(SUBSTITUTE('1000_заявлений'!E612, ".", ","))</f>
        <v>0.41457485999999999</v>
      </c>
      <c r="F618" s="5">
        <f>VALUE(SUBSTITUTE('1000_заявлений'!F612, ".", ","))</f>
        <v>-2038</v>
      </c>
      <c r="G618" s="5">
        <f>VALUE(SUBSTITUTE('1000_заявлений'!G612, ".", ","))</f>
        <v>-15060</v>
      </c>
      <c r="H618" s="5">
        <f>VALUE(SUBSTITUTE('1000_заявлений'!H612, ".", ","))</f>
        <v>-1884</v>
      </c>
      <c r="I618" s="4">
        <f>VALUE(SUBSTITUTE('1000_заявлений'!I612, ".", ","))</f>
        <v>8.0750000000000002E-2</v>
      </c>
      <c r="J618" s="4">
        <f>VALUE(SUBSTITUTE('1000_заявлений'!J612, ".", ","))</f>
        <v>17.683351419079099</v>
      </c>
      <c r="K618" s="5">
        <f>VALUE(SUBSTITUTE('1000_заявлений'!K612, ".", ","))</f>
        <v>-118</v>
      </c>
      <c r="L618" s="6">
        <f>VALUE(SUBSTITUTE('1000_заявлений'!L612, ".", ","))</f>
        <v>7267.5</v>
      </c>
      <c r="M618" s="2" t="str">
        <f>IF(Данные6[[#This Row],[proba]]&gt;$C$6, "отказ", "одобрение")</f>
        <v>отказ</v>
      </c>
      <c r="N618" s="7">
        <f>IF(Данные6[[#This Row],[proba]]&lt;$D$2,$C$2,IF(Данные6[[#This Row],[proba]]&lt;$D$3,$C$3,IF(Данные6[[#This Row],[proba]]&gt;$C$6,0,$C$4)))</f>
        <v>0</v>
      </c>
      <c r="O618" s="2">
        <f>IF(Данные6[[#This Row],[weighted_ext_score]]&gt;$O$1,MIN(Данные6[[#This Row],[Базовая сумма]]*$O$2,$C$2),IF(Данные6[[#This Row],[weighted_ext_score]]&lt;$O$3,Данные6[[#This Row],[Базовая сумма]]*$O$4,N618))</f>
        <v>0</v>
      </c>
      <c r="P6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8" s="2">
        <f>ABS(Данные6[[#This Row],[days_birth]])/365.2425</f>
        <v>41.232879525246922</v>
      </c>
      <c r="S6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8" s="2">
        <f>IF(Данные6[[#This Row],[ interest_rate]]&gt;$T$1,Данные6[[#This Row],[days_birth4]]*$T$2,Данные6[[#This Row],[days_birth4]])</f>
        <v>0</v>
      </c>
      <c r="U618" s="2">
        <f>IF(Данные6[[#This Row],[Проверка отказа]]="отказ",0,MAX(Данные6[[#This Row],[interest_rate]],$C$1))</f>
        <v>0</v>
      </c>
      <c r="V618" s="2">
        <f>MROUND(Данные6[[#This Row],[Минимум 20000]], 100)</f>
        <v>0</v>
      </c>
    </row>
    <row r="619" spans="1:22" x14ac:dyDescent="0.25">
      <c r="A619" s="2">
        <f>'1000_заявлений'!A613</f>
        <v>611</v>
      </c>
      <c r="B619" s="4">
        <f>VALUE(SUBSTITUTE('1000_заявлений'!B613, ".", ","))</f>
        <v>0.40273413641732397</v>
      </c>
      <c r="C619" s="4">
        <f>VALUE(SUBSTITUTE('1000_заявлений'!C613, ".", ","))</f>
        <v>0.38824401784844498</v>
      </c>
      <c r="D619" s="4">
        <f>VALUE(SUBSTITUTE('1000_заявлений'!D613, ".", ","))</f>
        <v>0.59545619999999999</v>
      </c>
      <c r="E619" s="4">
        <f>VALUE(SUBSTITUTE('1000_заявлений'!E613, ".", ","))</f>
        <v>0.53298489999999998</v>
      </c>
      <c r="F619" s="5">
        <f>VALUE(SUBSTITUTE('1000_заявлений'!F613, ".", ","))</f>
        <v>-4078</v>
      </c>
      <c r="G619" s="5">
        <f>VALUE(SUBSTITUTE('1000_заявлений'!G613, ".", ","))</f>
        <v>-20464</v>
      </c>
      <c r="H619" s="5">
        <f>VALUE(SUBSTITUTE('1000_заявлений'!H613, ".", ","))</f>
        <v>-817</v>
      </c>
      <c r="I619" s="4">
        <f>VALUE(SUBSTITUTE('1000_заявлений'!I613, ".", ","))</f>
        <v>0.17922222222222201</v>
      </c>
      <c r="J619" s="4">
        <f>VALUE(SUBSTITUTE('1000_заявлений'!J613, ".", ","))</f>
        <v>2.3522351798308501</v>
      </c>
      <c r="K619" s="5">
        <f>VALUE(SUBSTITUTE('1000_заявлений'!K613, ".", ","))</f>
        <v>-4526</v>
      </c>
      <c r="L619" s="6">
        <f>VALUE(SUBSTITUTE('1000_заявлений'!L613, ".", ","))</f>
        <v>29034</v>
      </c>
      <c r="M619" s="2" t="str">
        <f>IF(Данные6[[#This Row],[proba]]&gt;$C$6, "отказ", "одобрение")</f>
        <v>отказ</v>
      </c>
      <c r="N619" s="7">
        <f>IF(Данные6[[#This Row],[proba]]&lt;$D$2,$C$2,IF(Данные6[[#This Row],[proba]]&lt;$D$3,$C$3,IF(Данные6[[#This Row],[proba]]&gt;$C$6,0,$C$4)))</f>
        <v>0</v>
      </c>
      <c r="O619" s="2">
        <f>IF(Данные6[[#This Row],[weighted_ext_score]]&gt;$O$1,MIN(Данные6[[#This Row],[Базовая сумма]]*$O$2,$C$2),IF(Данные6[[#This Row],[weighted_ext_score]]&lt;$O$3,Данные6[[#This Row],[Базовая сумма]]*$O$4,N619))</f>
        <v>0</v>
      </c>
      <c r="P6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19" s="2">
        <f>ABS(Данные6[[#This Row],[days_birth]])/365.2425</f>
        <v>56.02852899101282</v>
      </c>
      <c r="S6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19" s="2">
        <f>IF(Данные6[[#This Row],[ interest_rate]]&gt;$T$1,Данные6[[#This Row],[days_birth4]]*$T$2,Данные6[[#This Row],[days_birth4]])</f>
        <v>0</v>
      </c>
      <c r="U619" s="2">
        <f>IF(Данные6[[#This Row],[Проверка отказа]]="отказ",0,MAX(Данные6[[#This Row],[interest_rate]],$C$1))</f>
        <v>0</v>
      </c>
      <c r="V619" s="2">
        <f>MROUND(Данные6[[#This Row],[Минимум 20000]], 100)</f>
        <v>0</v>
      </c>
    </row>
    <row r="620" spans="1:22" x14ac:dyDescent="0.25">
      <c r="A620" s="2">
        <f>'1000_заявлений'!A614</f>
        <v>612</v>
      </c>
      <c r="B620" s="4">
        <f>VALUE(SUBSTITUTE('1000_заявлений'!B614, ".", ","))</f>
        <v>0.54577753679164998</v>
      </c>
      <c r="C620" s="4">
        <f>VALUE(SUBSTITUTE('1000_заявлений'!C614, ".", ","))</f>
        <v>0.28344442993813102</v>
      </c>
      <c r="D620" s="4">
        <f>VALUE(SUBSTITUTE('1000_заявлений'!D614, ".", ","))</f>
        <v>0.37402079999999999</v>
      </c>
      <c r="E620" s="4">
        <f>VALUE(SUBSTITUTE('1000_заявлений'!E614, ".", ","))</f>
        <v>0.45679570000000003</v>
      </c>
      <c r="F620" s="5">
        <f>VALUE(SUBSTITUTE('1000_заявлений'!F614, ".", ","))</f>
        <v>-5872</v>
      </c>
      <c r="G620" s="5">
        <f>VALUE(SUBSTITUTE('1000_заявлений'!G614, ".", ","))</f>
        <v>-15882</v>
      </c>
      <c r="H620" s="5">
        <f>VALUE(SUBSTITUTE('1000_заявлений'!H614, ".", ","))</f>
        <v>-5872</v>
      </c>
      <c r="I620" s="4">
        <f>VALUE(SUBSTITUTE('1000_заявлений'!I614, ".", ","))</f>
        <v>0.1381</v>
      </c>
      <c r="J620" s="4">
        <f>VALUE(SUBSTITUTE('1000_заявлений'!J614, ".", ","))</f>
        <v>5.8312782123837597</v>
      </c>
      <c r="K620" s="5">
        <f>VALUE(SUBSTITUTE('1000_заявлений'!K614, ".", ","))</f>
        <v>-6189</v>
      </c>
      <c r="L620" s="6">
        <f>VALUE(SUBSTITUTE('1000_заявлений'!L614, ".", ","))</f>
        <v>43501.5</v>
      </c>
      <c r="M620" s="2" t="str">
        <f>IF(Данные6[[#This Row],[proba]]&gt;$C$6, "отказ", "одобрение")</f>
        <v>отказ</v>
      </c>
      <c r="N620" s="7">
        <f>IF(Данные6[[#This Row],[proba]]&lt;$D$2,$C$2,IF(Данные6[[#This Row],[proba]]&lt;$D$3,$C$3,IF(Данные6[[#This Row],[proba]]&gt;$C$6,0,$C$4)))</f>
        <v>0</v>
      </c>
      <c r="O620" s="2">
        <f>IF(Данные6[[#This Row],[weighted_ext_score]]&gt;$O$1,MIN(Данные6[[#This Row],[Базовая сумма]]*$O$2,$C$2),IF(Данные6[[#This Row],[weighted_ext_score]]&lt;$O$3,Данные6[[#This Row],[Базовая сумма]]*$O$4,N620))</f>
        <v>0</v>
      </c>
      <c r="P6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20" s="2">
        <f>ABS(Данные6[[#This Row],[days_birth]])/365.2425</f>
        <v>43.483439084991474</v>
      </c>
      <c r="S6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20" s="2">
        <f>IF(Данные6[[#This Row],[ interest_rate]]&gt;$T$1,Данные6[[#This Row],[days_birth4]]*$T$2,Данные6[[#This Row],[days_birth4]])</f>
        <v>0</v>
      </c>
      <c r="U620" s="2">
        <f>IF(Данные6[[#This Row],[Проверка отказа]]="отказ",0,MAX(Данные6[[#This Row],[interest_rate]],$C$1))</f>
        <v>0</v>
      </c>
      <c r="V620" s="2">
        <f>MROUND(Данные6[[#This Row],[Минимум 20000]], 100)</f>
        <v>0</v>
      </c>
    </row>
    <row r="621" spans="1:22" x14ac:dyDescent="0.25">
      <c r="A621" s="2">
        <f>'1000_заявлений'!A615</f>
        <v>613</v>
      </c>
      <c r="B621" s="4">
        <f>VALUE(SUBSTITUTE('1000_заявлений'!B615, ".", ","))</f>
        <v>0.21472721882982401</v>
      </c>
      <c r="C621" s="4">
        <f>VALUE(SUBSTITUTE('1000_заявлений'!C615, ".", ","))</f>
        <v>0.64361882063435205</v>
      </c>
      <c r="D621" s="4">
        <f>VALUE(SUBSTITUTE('1000_заявлений'!D615, ".", ","))</f>
        <v>0.55850659999999996</v>
      </c>
      <c r="E621" s="4">
        <f>VALUE(SUBSTITUTE('1000_заявлений'!E615, ".", ","))</f>
        <v>0.77675090000000002</v>
      </c>
      <c r="F621" s="5">
        <f>VALUE(SUBSTITUTE('1000_заявлений'!F615, ".", ","))</f>
        <v>-3299</v>
      </c>
      <c r="G621" s="5">
        <f>VALUE(SUBSTITUTE('1000_заявлений'!G615, ".", ","))</f>
        <v>-14076</v>
      </c>
      <c r="H621" s="5">
        <f>VALUE(SUBSTITUTE('1000_заявлений'!H615, ".", ","))</f>
        <v>-4837</v>
      </c>
      <c r="I621" s="4">
        <f>VALUE(SUBSTITUTE('1000_заявлений'!I615, ".", ","))</f>
        <v>0.36712499999999998</v>
      </c>
      <c r="J621" s="4">
        <f>VALUE(SUBSTITUTE('1000_заявлений'!J615, ".", ","))</f>
        <v>16.152025818866701</v>
      </c>
      <c r="K621" s="5">
        <f>VALUE(SUBSTITUTE('1000_заявлений'!K615, ".", ","))</f>
        <v>-4889</v>
      </c>
      <c r="L621" s="6">
        <f>VALUE(SUBSTITUTE('1000_заявлений'!L615, ".", ","))</f>
        <v>26433</v>
      </c>
      <c r="M621" s="2" t="str">
        <f>IF(Данные6[[#This Row],[proba]]&gt;$C$6, "отказ", "одобрение")</f>
        <v>одобрение</v>
      </c>
      <c r="N621" s="7">
        <f>IF(Данные6[[#This Row],[proba]]&lt;$D$2,$C$2,IF(Данные6[[#This Row],[proba]]&lt;$D$3,$C$3,IF(Данные6[[#This Row],[proba]]&gt;$C$6,0,$C$4)))</f>
        <v>50000</v>
      </c>
      <c r="O621" s="2">
        <f>IF(Данные6[[#This Row],[weighted_ext_score]]&gt;$O$1,MIN(Данные6[[#This Row],[Базовая сумма]]*$O$2,$C$2),IF(Данные6[[#This Row],[weighted_ext_score]]&lt;$O$3,Данные6[[#This Row],[Базовая сумма]]*$O$4,N621))</f>
        <v>50000</v>
      </c>
      <c r="P6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621" s="2">
        <f>ABS(Данные6[[#This Row],[days_birth]])/365.2425</f>
        <v>38.538779030370236</v>
      </c>
      <c r="S6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621" s="2">
        <f>IF(Данные6[[#This Row],[ interest_rate]]&gt;$T$1,Данные6[[#This Row],[days_birth4]]*$T$2,Данные6[[#This Row],[days_birth4]])</f>
        <v>60000</v>
      </c>
      <c r="U621" s="2">
        <f>IF(Данные6[[#This Row],[Проверка отказа]]="отказ",0,MAX(Данные6[[#This Row],[interest_rate]],$C$1))</f>
        <v>60000</v>
      </c>
      <c r="V621" s="2">
        <f>MROUND(Данные6[[#This Row],[Минимум 20000]], 100)</f>
        <v>60000</v>
      </c>
    </row>
    <row r="622" spans="1:22" x14ac:dyDescent="0.25">
      <c r="A622" s="2">
        <f>'1000_заявлений'!A616</f>
        <v>614</v>
      </c>
      <c r="B622" s="4">
        <f>VALUE(SUBSTITUTE('1000_заявлений'!B616, ".", ","))</f>
        <v>0.56640212300152204</v>
      </c>
      <c r="C622" s="4">
        <f>VALUE(SUBSTITUTE('1000_заявлений'!C616, ".", ","))</f>
        <v>0.313292960810929</v>
      </c>
      <c r="D622" s="4">
        <f>VALUE(SUBSTITUTE('1000_заявлений'!D616, ".", ","))</f>
        <v>0.29708663000000002</v>
      </c>
      <c r="E622" s="4">
        <f>VALUE(SUBSTITUTE('1000_заявлений'!E616, ".", ","))</f>
        <v>0.63459189999999999</v>
      </c>
      <c r="F622" s="5">
        <f>VALUE(SUBSTITUTE('1000_заявлений'!F616, ".", ","))</f>
        <v>-4639</v>
      </c>
      <c r="G622" s="5">
        <f>VALUE(SUBSTITUTE('1000_заявлений'!G616, ".", ","))</f>
        <v>-11222</v>
      </c>
      <c r="H622" s="5">
        <f>VALUE(SUBSTITUTE('1000_заявлений'!H616, ".", ","))</f>
        <v>-3575</v>
      </c>
      <c r="I622" s="4">
        <f>VALUE(SUBSTITUTE('1000_заявлений'!I616, ".", ","))</f>
        <v>0.13830000000000001</v>
      </c>
      <c r="J622" s="4">
        <f>VALUE(SUBSTITUTE('1000_заявлений'!J616, ".", ","))</f>
        <v>7.3768452485718203</v>
      </c>
      <c r="K622" s="5">
        <f>VALUE(SUBSTITUTE('1000_заявлений'!K616, ".", ","))</f>
        <v>-3281</v>
      </c>
      <c r="L622" s="6">
        <f>VALUE(SUBSTITUTE('1000_заявлений'!L616, ".", ","))</f>
        <v>12447</v>
      </c>
      <c r="M622" s="2" t="str">
        <f>IF(Данные6[[#This Row],[proba]]&gt;$C$6, "отказ", "одобрение")</f>
        <v>отказ</v>
      </c>
      <c r="N622" s="7">
        <f>IF(Данные6[[#This Row],[proba]]&lt;$D$2,$C$2,IF(Данные6[[#This Row],[proba]]&lt;$D$3,$C$3,IF(Данные6[[#This Row],[proba]]&gt;$C$6,0,$C$4)))</f>
        <v>0</v>
      </c>
      <c r="O622" s="2">
        <f>IF(Данные6[[#This Row],[weighted_ext_score]]&gt;$O$1,MIN(Данные6[[#This Row],[Базовая сумма]]*$O$2,$C$2),IF(Данные6[[#This Row],[weighted_ext_score]]&lt;$O$3,Данные6[[#This Row],[Базовая сумма]]*$O$4,N622))</f>
        <v>0</v>
      </c>
      <c r="P6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22" s="2">
        <f>ABS(Данные6[[#This Row],[days_birth]])/365.2425</f>
        <v>30.724792432425033</v>
      </c>
      <c r="S6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22" s="2">
        <f>IF(Данные6[[#This Row],[ interest_rate]]&gt;$T$1,Данные6[[#This Row],[days_birth4]]*$T$2,Данные6[[#This Row],[days_birth4]])</f>
        <v>0</v>
      </c>
      <c r="U622" s="2">
        <f>IF(Данные6[[#This Row],[Проверка отказа]]="отказ",0,MAX(Данные6[[#This Row],[interest_rate]],$C$1))</f>
        <v>0</v>
      </c>
      <c r="V622" s="2">
        <f>MROUND(Данные6[[#This Row],[Минимум 20000]], 100)</f>
        <v>0</v>
      </c>
    </row>
    <row r="623" spans="1:22" x14ac:dyDescent="0.25">
      <c r="A623" s="2">
        <f>'1000_заявлений'!A617</f>
        <v>615</v>
      </c>
      <c r="B623" s="4">
        <f>VALUE(SUBSTITUTE('1000_заявлений'!B617, ".", ","))</f>
        <v>0.26044495604136603</v>
      </c>
      <c r="C623" s="4">
        <f>VALUE(SUBSTITUTE('1000_заявлений'!C617, ".", ","))</f>
        <v>0.43052605679557099</v>
      </c>
      <c r="D623" s="4">
        <f>VALUE(SUBSTITUTE('1000_заявлений'!D617, ".", ","))</f>
        <v>0.63303167000000005</v>
      </c>
      <c r="E623" s="4">
        <f>VALUE(SUBSTITUTE('1000_заявлений'!E617, ".", ","))</f>
        <v>0.62143844000000004</v>
      </c>
      <c r="F623" s="5">
        <f>VALUE(SUBSTITUTE('1000_заявлений'!F617, ".", ","))</f>
        <v>-7747</v>
      </c>
      <c r="G623" s="5">
        <f>VALUE(SUBSTITUTE('1000_заявлений'!G617, ".", ","))</f>
        <v>-20850</v>
      </c>
      <c r="H623" s="5">
        <f>VALUE(SUBSTITUTE('1000_заявлений'!H617, ".", ","))</f>
        <v>-3975</v>
      </c>
      <c r="I623" s="4">
        <f>VALUE(SUBSTITUTE('1000_заявлений'!I617, ".", ","))</f>
        <v>0.16418749999999999</v>
      </c>
      <c r="J623" s="4">
        <f>VALUE(SUBSTITUTE('1000_заявлений'!J617, ".", ","))</f>
        <v>1.55416635790726</v>
      </c>
      <c r="K623" s="5">
        <f>VALUE(SUBSTITUTE('1000_заявлений'!K617, ".", ","))</f>
        <v>365243</v>
      </c>
      <c r="L623" s="6">
        <f>VALUE(SUBSTITUTE('1000_заявлений'!L617, ".", ","))</f>
        <v>23643</v>
      </c>
      <c r="M623" s="2" t="str">
        <f>IF(Данные6[[#This Row],[proba]]&gt;$C$6, "отказ", "одобрение")</f>
        <v>одобрение</v>
      </c>
      <c r="N623" s="7">
        <f>IF(Данные6[[#This Row],[proba]]&lt;$D$2,$C$2,IF(Данные6[[#This Row],[proba]]&lt;$D$3,$C$3,IF(Данные6[[#This Row],[proba]]&gt;$C$6,0,$C$4)))</f>
        <v>50000</v>
      </c>
      <c r="O623" s="2">
        <f>IF(Данные6[[#This Row],[weighted_ext_score]]&gt;$O$1,MIN(Данные6[[#This Row],[Базовая сумма]]*$O$2,$C$2),IF(Данные6[[#This Row],[weighted_ext_score]]&lt;$O$3,Данные6[[#This Row],[Базовая сумма]]*$O$4,N623))</f>
        <v>40000</v>
      </c>
      <c r="P6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623" s="2">
        <f>ABS(Данные6[[#This Row],[days_birth]])/365.2425</f>
        <v>57.085361095710383</v>
      </c>
      <c r="S6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623" s="2">
        <f>IF(Данные6[[#This Row],[ interest_rate]]&gt;$T$1,Данные6[[#This Row],[days_birth4]]*$T$2,Данные6[[#This Row],[days_birth4]])</f>
        <v>42000</v>
      </c>
      <c r="U623" s="2">
        <f>IF(Данные6[[#This Row],[Проверка отказа]]="отказ",0,MAX(Данные6[[#This Row],[interest_rate]],$C$1))</f>
        <v>42000</v>
      </c>
      <c r="V623" s="2">
        <f>MROUND(Данные6[[#This Row],[Минимум 20000]], 100)</f>
        <v>42000</v>
      </c>
    </row>
    <row r="624" spans="1:22" x14ac:dyDescent="0.25">
      <c r="A624" s="2">
        <f>'1000_заявлений'!A618</f>
        <v>616</v>
      </c>
      <c r="B624" s="4">
        <f>VALUE(SUBSTITUTE('1000_заявлений'!B618, ".", ","))</f>
        <v>0.217961410087432</v>
      </c>
      <c r="C624" s="4">
        <f>VALUE(SUBSTITUTE('1000_заявлений'!C618, ".", ","))</f>
        <v>0.66802188932668605</v>
      </c>
      <c r="D624" s="4">
        <f>VALUE(SUBSTITUTE('1000_заявлений'!D618, ".", ","))</f>
        <v>0.57268249999999998</v>
      </c>
      <c r="E624" s="4">
        <f>VALUE(SUBSTITUTE('1000_заявлений'!E618, ".", ","))</f>
        <v>0.60216296000000002</v>
      </c>
      <c r="F624" s="5">
        <f>VALUE(SUBSTITUTE('1000_заявлений'!F618, ".", ","))</f>
        <v>-5938</v>
      </c>
      <c r="G624" s="5">
        <f>VALUE(SUBSTITUTE('1000_заявлений'!G618, ".", ","))</f>
        <v>-21530</v>
      </c>
      <c r="H624" s="5">
        <f>VALUE(SUBSTITUTE('1000_заявлений'!H618, ".", ","))</f>
        <v>-4829</v>
      </c>
      <c r="I624" s="4">
        <f>VALUE(SUBSTITUTE('1000_заявлений'!I618, ".", ","))</f>
        <v>0.311142857142857</v>
      </c>
      <c r="J624" s="4">
        <f>VALUE(SUBSTITUTE('1000_заявлений'!J618, ".", ","))</f>
        <v>1.94448426997755</v>
      </c>
      <c r="K624" s="5">
        <f>VALUE(SUBSTITUTE('1000_заявлений'!K618, ".", ","))</f>
        <v>365243</v>
      </c>
      <c r="L624" s="6">
        <f>VALUE(SUBSTITUTE('1000_заявлений'!L618, ".", ","))</f>
        <v>39204</v>
      </c>
      <c r="M624" s="2" t="str">
        <f>IF(Данные6[[#This Row],[proba]]&gt;$C$6, "отказ", "одобрение")</f>
        <v>одобрение</v>
      </c>
      <c r="N624" s="7">
        <f>IF(Данные6[[#This Row],[proba]]&lt;$D$2,$C$2,IF(Данные6[[#This Row],[proba]]&lt;$D$3,$C$3,IF(Данные6[[#This Row],[proba]]&gt;$C$6,0,$C$4)))</f>
        <v>50000</v>
      </c>
      <c r="O624" s="2">
        <f>IF(Данные6[[#This Row],[weighted_ext_score]]&gt;$O$1,MIN(Данные6[[#This Row],[Базовая сумма]]*$O$2,$C$2),IF(Данные6[[#This Row],[weighted_ext_score]]&lt;$O$3,Данные6[[#This Row],[Базовая сумма]]*$O$4,N624))</f>
        <v>50000</v>
      </c>
      <c r="P6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624" s="2">
        <f>ABS(Данные6[[#This Row],[days_birth]])/365.2425</f>
        <v>58.947137860462568</v>
      </c>
      <c r="S6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624" s="2">
        <f>IF(Данные6[[#This Row],[ interest_rate]]&gt;$T$1,Данные6[[#This Row],[days_birth4]]*$T$2,Данные6[[#This Row],[days_birth4]])</f>
        <v>52500</v>
      </c>
      <c r="U624" s="2">
        <f>IF(Данные6[[#This Row],[Проверка отказа]]="отказ",0,MAX(Данные6[[#This Row],[interest_rate]],$C$1))</f>
        <v>52500</v>
      </c>
      <c r="V624" s="2">
        <f>MROUND(Данные6[[#This Row],[Минимум 20000]], 100)</f>
        <v>52500</v>
      </c>
    </row>
    <row r="625" spans="1:22" x14ac:dyDescent="0.25">
      <c r="A625" s="2">
        <f>'1000_заявлений'!A619</f>
        <v>617</v>
      </c>
      <c r="B625" s="4">
        <f>VALUE(SUBSTITUTE('1000_заявлений'!B619, ".", ","))</f>
        <v>0.180545898759644</v>
      </c>
      <c r="C625" s="4">
        <f>VALUE(SUBSTITUTE('1000_заявлений'!C619, ".", ","))</f>
        <v>0.43089948309986298</v>
      </c>
      <c r="D625" s="4">
        <f>VALUE(SUBSTITUTE('1000_заявлений'!D619, ".", ","))</f>
        <v>0.62799084000000005</v>
      </c>
      <c r="E625" s="4">
        <f>VALUE(SUBSTITUTE('1000_заявлений'!E619, ".", ","))</f>
        <v>0.62820995000000002</v>
      </c>
      <c r="F625" s="5">
        <f>VALUE(SUBSTITUTE('1000_заявлений'!F619, ".", ","))</f>
        <v>-7950</v>
      </c>
      <c r="G625" s="5">
        <f>VALUE(SUBSTITUTE('1000_заявлений'!G619, ".", ","))</f>
        <v>-23734</v>
      </c>
      <c r="H625" s="5">
        <f>VALUE(SUBSTITUTE('1000_заявлений'!H619, ".", ","))</f>
        <v>-4634</v>
      </c>
      <c r="I625" s="4">
        <f>VALUE(SUBSTITUTE('1000_заявлений'!I619, ".", ","))</f>
        <v>0.14025000000000001</v>
      </c>
      <c r="J625" s="4">
        <f>VALUE(SUBSTITUTE('1000_заявлений'!J619, ".", ","))</f>
        <v>19.124657153966002</v>
      </c>
      <c r="K625" s="5">
        <f>VALUE(SUBSTITUTE('1000_заявлений'!K619, ".", ","))</f>
        <v>365243</v>
      </c>
      <c r="L625" s="6">
        <f>VALUE(SUBSTITUTE('1000_заявлений'!L619, ".", ","))</f>
        <v>7573.5</v>
      </c>
      <c r="M625" s="2" t="str">
        <f>IF(Данные6[[#This Row],[proba]]&gt;$C$6, "отказ", "одобрение")</f>
        <v>одобрение</v>
      </c>
      <c r="N625" s="7">
        <f>IF(Данные6[[#This Row],[proba]]&lt;$D$2,$C$2,IF(Данные6[[#This Row],[proba]]&lt;$D$3,$C$3,IF(Данные6[[#This Row],[proba]]&gt;$C$6,0,$C$4)))</f>
        <v>200000</v>
      </c>
      <c r="O625" s="2">
        <f>IF(Данные6[[#This Row],[weighted_ext_score]]&gt;$O$1,MIN(Данные6[[#This Row],[Базовая сумма]]*$O$2,$C$2),IF(Данные6[[#This Row],[weighted_ext_score]]&lt;$O$3,Данные6[[#This Row],[Базовая сумма]]*$O$4,N625))</f>
        <v>160000</v>
      </c>
      <c r="P6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6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625" s="2">
        <f>ABS(Данные6[[#This Row],[days_birth]])/365.2425</f>
        <v>64.981484903865237</v>
      </c>
      <c r="S6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625" s="2">
        <f>IF(Данные6[[#This Row],[ interest_rate]]&gt;$T$1,Данные6[[#This Row],[days_birth4]]*$T$2,Данные6[[#This Row],[days_birth4]])</f>
        <v>168000</v>
      </c>
      <c r="U625" s="2">
        <f>IF(Данные6[[#This Row],[Проверка отказа]]="отказ",0,MAX(Данные6[[#This Row],[interest_rate]],$C$1))</f>
        <v>168000</v>
      </c>
      <c r="V625" s="2">
        <f>MROUND(Данные6[[#This Row],[Минимум 20000]], 100)</f>
        <v>168000</v>
      </c>
    </row>
    <row r="626" spans="1:22" x14ac:dyDescent="0.25">
      <c r="A626" s="2">
        <f>'1000_заявлений'!A620</f>
        <v>618</v>
      </c>
      <c r="B626" s="4">
        <f>VALUE(SUBSTITUTE('1000_заявлений'!B620, ".", ","))</f>
        <v>0.29494893600084598</v>
      </c>
      <c r="C626" s="4">
        <f>VALUE(SUBSTITUTE('1000_заявлений'!C620, ".", ","))</f>
        <v>0.43696126481898501</v>
      </c>
      <c r="D626" s="4">
        <f>VALUE(SUBSTITUTE('1000_заявлений'!D620, ".", ","))</f>
        <v>0.79813725000000002</v>
      </c>
      <c r="E626" s="4">
        <f>VALUE(SUBSTITUTE('1000_заявлений'!E620, ".", ","))</f>
        <v>0.45719182000000003</v>
      </c>
      <c r="F626" s="5">
        <f>VALUE(SUBSTITUTE('1000_заявлений'!F620, ".", ","))</f>
        <v>-10615</v>
      </c>
      <c r="G626" s="5">
        <f>VALUE(SUBSTITUTE('1000_заявлений'!G620, ".", ","))</f>
        <v>-20806</v>
      </c>
      <c r="H626" s="5">
        <f>VALUE(SUBSTITUTE('1000_заявлений'!H620, ".", ","))</f>
        <v>-4295</v>
      </c>
      <c r="I626" s="4">
        <f>VALUE(SUBSTITUTE('1000_заявлений'!I620, ".", ","))</f>
        <v>0.30123333333333302</v>
      </c>
      <c r="J626" s="4">
        <f>VALUE(SUBSTITUTE('1000_заявлений'!J620, ".", ","))</f>
        <v>1.45690028578246</v>
      </c>
      <c r="K626" s="5">
        <f>VALUE(SUBSTITUTE('1000_заявлений'!K620, ".", ","))</f>
        <v>-10624</v>
      </c>
      <c r="L626" s="6">
        <f>VALUE(SUBSTITUTE('1000_заявлений'!L620, ".", ","))</f>
        <v>40666.5</v>
      </c>
      <c r="M626" s="2" t="str">
        <f>IF(Данные6[[#This Row],[proba]]&gt;$C$6, "отказ", "одобрение")</f>
        <v>одобрение</v>
      </c>
      <c r="N626" s="7">
        <f>IF(Данные6[[#This Row],[proba]]&lt;$D$2,$C$2,IF(Данные6[[#This Row],[proba]]&lt;$D$3,$C$3,IF(Данные6[[#This Row],[proba]]&gt;$C$6,0,$C$4)))</f>
        <v>50000</v>
      </c>
      <c r="O626" s="2">
        <f>IF(Данные6[[#This Row],[weighted_ext_score]]&gt;$O$1,MIN(Данные6[[#This Row],[Базовая сумма]]*$O$2,$C$2),IF(Данные6[[#This Row],[weighted_ext_score]]&lt;$O$3,Данные6[[#This Row],[Базовая сумма]]*$O$4,N626))</f>
        <v>40000</v>
      </c>
      <c r="P6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26" s="2">
        <f>ABS(Данные6[[#This Row],[days_birth]])/365.2425</f>
        <v>56.964893187402886</v>
      </c>
      <c r="S6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626" s="2">
        <f>IF(Данные6[[#This Row],[ interest_rate]]&gt;$T$1,Данные6[[#This Row],[days_birth4]]*$T$2,Данные6[[#This Row],[days_birth4]])</f>
        <v>50400</v>
      </c>
      <c r="U626" s="2">
        <f>IF(Данные6[[#This Row],[Проверка отказа]]="отказ",0,MAX(Данные6[[#This Row],[interest_rate]],$C$1))</f>
        <v>50400</v>
      </c>
      <c r="V626" s="2">
        <f>MROUND(Данные6[[#This Row],[Минимум 20000]], 100)</f>
        <v>50400</v>
      </c>
    </row>
    <row r="627" spans="1:22" x14ac:dyDescent="0.25">
      <c r="A627" s="2">
        <f>'1000_заявлений'!A621</f>
        <v>619</v>
      </c>
      <c r="B627" s="4">
        <f>VALUE(SUBSTITUTE('1000_заявлений'!B621, ".", ","))</f>
        <v>0.168506095943667</v>
      </c>
      <c r="C627" s="4">
        <f>VALUE(SUBSTITUTE('1000_заявлений'!C621, ".", ","))</f>
        <v>0.65587267410582495</v>
      </c>
      <c r="D627" s="4">
        <f>VALUE(SUBSTITUTE('1000_заявлений'!D621, ".", ","))</f>
        <v>0.81609240000000005</v>
      </c>
      <c r="E627" s="4">
        <f>VALUE(SUBSTITUTE('1000_заявлений'!E621, ".", ","))</f>
        <v>0.57994663999999996</v>
      </c>
      <c r="F627" s="5">
        <f>VALUE(SUBSTITUTE('1000_заявлений'!F621, ".", ","))</f>
        <v>-4983</v>
      </c>
      <c r="G627" s="5">
        <f>VALUE(SUBSTITUTE('1000_заявлений'!G621, ".", ","))</f>
        <v>-15257</v>
      </c>
      <c r="H627" s="5">
        <f>VALUE(SUBSTITUTE('1000_заявлений'!H621, ".", ","))</f>
        <v>-3997</v>
      </c>
      <c r="I627" s="4">
        <f>VALUE(SUBSTITUTE('1000_заявлений'!I621, ".", ","))</f>
        <v>0.12970000000000001</v>
      </c>
      <c r="J627" s="4">
        <f>VALUE(SUBSTITUTE('1000_заявлений'!J621, ".", ","))</f>
        <v>2.0293009376184101</v>
      </c>
      <c r="K627" s="5">
        <f>VALUE(SUBSTITUTE('1000_заявлений'!K621, ".", ","))</f>
        <v>-887</v>
      </c>
      <c r="L627" s="6">
        <f>VALUE(SUBSTITUTE('1000_заявлений'!L621, ".", ","))</f>
        <v>46692</v>
      </c>
      <c r="M627" s="2" t="str">
        <f>IF(Данные6[[#This Row],[proba]]&gt;$C$6, "отказ", "одобрение")</f>
        <v>одобрение</v>
      </c>
      <c r="N627" s="7">
        <f>IF(Данные6[[#This Row],[proba]]&lt;$D$2,$C$2,IF(Данные6[[#This Row],[proba]]&lt;$D$3,$C$3,IF(Данные6[[#This Row],[proba]]&gt;$C$6,0,$C$4)))</f>
        <v>200000</v>
      </c>
      <c r="O627" s="2">
        <f>IF(Данные6[[#This Row],[weighted_ext_score]]&gt;$O$1,MIN(Данные6[[#This Row],[Базовая сумма]]*$O$2,$C$2),IF(Данные6[[#This Row],[weighted_ext_score]]&lt;$O$3,Данные6[[#This Row],[Базовая сумма]]*$O$4,N627))</f>
        <v>200000</v>
      </c>
      <c r="P6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627" s="2">
        <f>ABS(Данные6[[#This Row],[days_birth]])/365.2425</f>
        <v>41.772247205623657</v>
      </c>
      <c r="S6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140000</v>
      </c>
      <c r="T627" s="2">
        <f>IF(Данные6[[#This Row],[ interest_rate]]&gt;$T$1,Данные6[[#This Row],[days_birth4]]*$T$2,Данные6[[#This Row],[days_birth4]])</f>
        <v>140000</v>
      </c>
      <c r="U627" s="2">
        <f>IF(Данные6[[#This Row],[Проверка отказа]]="отказ",0,MAX(Данные6[[#This Row],[interest_rate]],$C$1))</f>
        <v>140000</v>
      </c>
      <c r="V627" s="2">
        <f>MROUND(Данные6[[#This Row],[Минимум 20000]], 100)</f>
        <v>140000</v>
      </c>
    </row>
    <row r="628" spans="1:22" x14ac:dyDescent="0.25">
      <c r="A628" s="2">
        <f>'1000_заявлений'!A622</f>
        <v>620</v>
      </c>
      <c r="B628" s="4">
        <f>VALUE(SUBSTITUTE('1000_заявлений'!B622, ".", ","))</f>
        <v>0.17843101496154201</v>
      </c>
      <c r="C628" s="4">
        <f>VALUE(SUBSTITUTE('1000_заявлений'!C622, ".", ","))</f>
        <v>0.46255424549502799</v>
      </c>
      <c r="D628" s="4">
        <f>VALUE(SUBSTITUTE('1000_заявлений'!D622, ".", ","))</f>
        <v>0.60755729999999997</v>
      </c>
      <c r="E628" s="4">
        <f>VALUE(SUBSTITUTE('1000_заявлений'!E622, ".", ","))</f>
        <v>0.74857879999999999</v>
      </c>
      <c r="F628" s="5">
        <f>VALUE(SUBSTITUTE('1000_заявлений'!F622, ".", ","))</f>
        <v>-5732</v>
      </c>
      <c r="G628" s="5">
        <f>VALUE(SUBSTITUTE('1000_заявлений'!G622, ".", ","))</f>
        <v>-21156</v>
      </c>
      <c r="H628" s="5">
        <f>VALUE(SUBSTITUTE('1000_заявлений'!H622, ".", ","))</f>
        <v>-1103</v>
      </c>
      <c r="I628" s="4">
        <f>VALUE(SUBSTITUTE('1000_заявлений'!I622, ".", ","))</f>
        <v>4.8928571428571398E-2</v>
      </c>
      <c r="J628" s="4">
        <f>VALUE(SUBSTITUTE('1000_заявлений'!J622, ".", ","))</f>
        <v>23.513723920043201</v>
      </c>
      <c r="K628" s="5">
        <f>VALUE(SUBSTITUTE('1000_заявлений'!K622, ".", ","))</f>
        <v>-999</v>
      </c>
      <c r="L628" s="6">
        <f>VALUE(SUBSTITUTE('1000_заявлений'!L622, ".", ","))</f>
        <v>6165</v>
      </c>
      <c r="M628" s="2" t="str">
        <f>IF(Данные6[[#This Row],[proba]]&gt;$C$6, "отказ", "одобрение")</f>
        <v>одобрение</v>
      </c>
      <c r="N628" s="7">
        <f>IF(Данные6[[#This Row],[proba]]&lt;$D$2,$C$2,IF(Данные6[[#This Row],[proba]]&lt;$D$3,$C$3,IF(Данные6[[#This Row],[proba]]&gt;$C$6,0,$C$4)))</f>
        <v>200000</v>
      </c>
      <c r="O628" s="2">
        <f>IF(Данные6[[#This Row],[weighted_ext_score]]&gt;$O$1,MIN(Данные6[[#This Row],[Базовая сумма]]*$O$2,$C$2),IF(Данные6[[#This Row],[weighted_ext_score]]&lt;$O$3,Данные6[[#This Row],[Базовая сумма]]*$O$4,N628))</f>
        <v>160000</v>
      </c>
      <c r="P6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192000</v>
      </c>
      <c r="Q6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134400</v>
      </c>
      <c r="R628" s="2">
        <f>ABS(Данные6[[#This Row],[days_birth]])/365.2425</f>
        <v>57.923160639848867</v>
      </c>
      <c r="S6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141120</v>
      </c>
      <c r="T628" s="2">
        <f>IF(Данные6[[#This Row],[ interest_rate]]&gt;$T$1,Данные6[[#This Row],[days_birth4]]*$T$2,Данные6[[#This Row],[days_birth4]])</f>
        <v>112896</v>
      </c>
      <c r="U628" s="2">
        <f>IF(Данные6[[#This Row],[Проверка отказа]]="отказ",0,MAX(Данные6[[#This Row],[interest_rate]],$C$1))</f>
        <v>112896</v>
      </c>
      <c r="V628" s="2">
        <f>MROUND(Данные6[[#This Row],[Минимум 20000]], 100)</f>
        <v>112900</v>
      </c>
    </row>
    <row r="629" spans="1:22" x14ac:dyDescent="0.25">
      <c r="A629" s="2">
        <f>'1000_заявлений'!A623</f>
        <v>621</v>
      </c>
      <c r="B629" s="4">
        <f>VALUE(SUBSTITUTE('1000_заявлений'!B623, ".", ","))</f>
        <v>0.58617745799081</v>
      </c>
      <c r="C629" s="4">
        <f>VALUE(SUBSTITUTE('1000_заявлений'!C623, ".", ","))</f>
        <v>0.26072054521434901</v>
      </c>
      <c r="D629" s="4">
        <f>VALUE(SUBSTITUTE('1000_заявлений'!D623, ".", ","))</f>
        <v>0.14375805999999999</v>
      </c>
      <c r="E629" s="4">
        <f>VALUE(SUBSTITUTE('1000_заявлений'!E623, ".", ","))</f>
        <v>0.64347434000000003</v>
      </c>
      <c r="F629" s="5">
        <f>VALUE(SUBSTITUTE('1000_заявлений'!F623, ".", ","))</f>
        <v>-3731</v>
      </c>
      <c r="G629" s="5">
        <f>VALUE(SUBSTITUTE('1000_заявлений'!G623, ".", ","))</f>
        <v>-19994</v>
      </c>
      <c r="H629" s="5">
        <f>VALUE(SUBSTITUTE('1000_заявлений'!H623, ".", ","))</f>
        <v>-3443</v>
      </c>
      <c r="I629" s="4">
        <f>VALUE(SUBSTITUTE('1000_заявлений'!I623, ".", ","))</f>
        <v>7.4999999999999997E-2</v>
      </c>
      <c r="J629" s="4">
        <f>VALUE(SUBSTITUTE('1000_заявлений'!J623, ".", ","))</f>
        <v>10.6209759779781</v>
      </c>
      <c r="K629" s="5">
        <f>VALUE(SUBSTITUTE('1000_заявлений'!K623, ".", ","))</f>
        <v>-1573</v>
      </c>
      <c r="L629" s="6">
        <f>VALUE(SUBSTITUTE('1000_заявлений'!L623, ".", ","))</f>
        <v>10125</v>
      </c>
      <c r="M629" s="2" t="str">
        <f>IF(Данные6[[#This Row],[proba]]&gt;$C$6, "отказ", "одобрение")</f>
        <v>отказ</v>
      </c>
      <c r="N629" s="7">
        <f>IF(Данные6[[#This Row],[proba]]&lt;$D$2,$C$2,IF(Данные6[[#This Row],[proba]]&lt;$D$3,$C$3,IF(Данные6[[#This Row],[proba]]&gt;$C$6,0,$C$4)))</f>
        <v>0</v>
      </c>
      <c r="O629" s="2">
        <f>IF(Данные6[[#This Row],[weighted_ext_score]]&gt;$O$1,MIN(Данные6[[#This Row],[Базовая сумма]]*$O$2,$C$2),IF(Данные6[[#This Row],[weighted_ext_score]]&lt;$O$3,Данные6[[#This Row],[Базовая сумма]]*$O$4,N629))</f>
        <v>0</v>
      </c>
      <c r="P6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29" s="2">
        <f>ABS(Данные6[[#This Row],[days_birth]])/365.2425</f>
        <v>54.741712697728218</v>
      </c>
      <c r="S6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29" s="2">
        <f>IF(Данные6[[#This Row],[ interest_rate]]&gt;$T$1,Данные6[[#This Row],[days_birth4]]*$T$2,Данные6[[#This Row],[days_birth4]])</f>
        <v>0</v>
      </c>
      <c r="U629" s="2">
        <f>IF(Данные6[[#This Row],[Проверка отказа]]="отказ",0,MAX(Данные6[[#This Row],[interest_rate]],$C$1))</f>
        <v>0</v>
      </c>
      <c r="V629" s="2">
        <f>MROUND(Данные6[[#This Row],[Минимум 20000]], 100)</f>
        <v>0</v>
      </c>
    </row>
    <row r="630" spans="1:22" x14ac:dyDescent="0.25">
      <c r="A630" s="2">
        <f>'1000_заявлений'!A624</f>
        <v>622</v>
      </c>
      <c r="B630" s="4">
        <f>VALUE(SUBSTITUTE('1000_заявлений'!B624, ".", ","))</f>
        <v>0.30325232455083101</v>
      </c>
      <c r="C630" s="4">
        <f>VALUE(SUBSTITUTE('1000_заявлений'!C624, ".", ","))</f>
        <v>0.56108031199660802</v>
      </c>
      <c r="D630" s="4">
        <f>VALUE(SUBSTITUTE('1000_заявлений'!D624, ".", ","))</f>
        <v>0.64136826999999996</v>
      </c>
      <c r="E630" s="4">
        <f>VALUE(SUBSTITUTE('1000_заявлений'!E624, ".", ","))</f>
        <v>0.49361143000000002</v>
      </c>
      <c r="F630" s="5">
        <f>VALUE(SUBSTITUTE('1000_заявлений'!F624, ".", ","))</f>
        <v>-5122</v>
      </c>
      <c r="G630" s="5">
        <f>VALUE(SUBSTITUTE('1000_заявлений'!G624, ".", ","))</f>
        <v>-16298</v>
      </c>
      <c r="H630" s="5">
        <f>VALUE(SUBSTITUTE('1000_заявлений'!H624, ".", ","))</f>
        <v>-4123</v>
      </c>
      <c r="I630" s="4">
        <f>VALUE(SUBSTITUTE('1000_заявлений'!I624, ".", ","))</f>
        <v>0.19911428571428499</v>
      </c>
      <c r="J630" s="4">
        <f>VALUE(SUBSTITUTE('1000_заявлений'!J624, ".", ","))</f>
        <v>4.5116474880502597</v>
      </c>
      <c r="K630" s="5">
        <f>VALUE(SUBSTITUTE('1000_заявлений'!K624, ".", ","))</f>
        <v>-3587</v>
      </c>
      <c r="L630" s="6">
        <f>VALUE(SUBSTITUTE('1000_заявлений'!L624, ".", ","))</f>
        <v>31360.5</v>
      </c>
      <c r="M630" s="2" t="str">
        <f>IF(Данные6[[#This Row],[proba]]&gt;$C$6, "отказ", "одобрение")</f>
        <v>отказ</v>
      </c>
      <c r="N630" s="7">
        <f>IF(Данные6[[#This Row],[proba]]&lt;$D$2,$C$2,IF(Данные6[[#This Row],[proba]]&lt;$D$3,$C$3,IF(Данные6[[#This Row],[proba]]&gt;$C$6,0,$C$4)))</f>
        <v>0</v>
      </c>
      <c r="O630" s="2">
        <f>IF(Данные6[[#This Row],[weighted_ext_score]]&gt;$O$1,MIN(Данные6[[#This Row],[Базовая сумма]]*$O$2,$C$2),IF(Данные6[[#This Row],[weighted_ext_score]]&lt;$O$3,Данные6[[#This Row],[Базовая сумма]]*$O$4,N630))</f>
        <v>0</v>
      </c>
      <c r="P6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0" s="2">
        <f>ABS(Данные6[[#This Row],[days_birth]])/365.2425</f>
        <v>44.622408399898696</v>
      </c>
      <c r="S6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0" s="2">
        <f>IF(Данные6[[#This Row],[ interest_rate]]&gt;$T$1,Данные6[[#This Row],[days_birth4]]*$T$2,Данные6[[#This Row],[days_birth4]])</f>
        <v>0</v>
      </c>
      <c r="U630" s="2">
        <f>IF(Данные6[[#This Row],[Проверка отказа]]="отказ",0,MAX(Данные6[[#This Row],[interest_rate]],$C$1))</f>
        <v>0</v>
      </c>
      <c r="V630" s="2">
        <f>MROUND(Данные6[[#This Row],[Минимум 20000]], 100)</f>
        <v>0</v>
      </c>
    </row>
    <row r="631" spans="1:22" x14ac:dyDescent="0.25">
      <c r="A631" s="2">
        <f>'1000_заявлений'!A625</f>
        <v>623</v>
      </c>
      <c r="B631" s="4">
        <f>VALUE(SUBSTITUTE('1000_заявлений'!B625, ".", ","))</f>
        <v>0.26845163305088299</v>
      </c>
      <c r="C631" s="4">
        <f>VALUE(SUBSTITUTE('1000_заявлений'!C625, ".", ","))</f>
        <v>0.43469401035012101</v>
      </c>
      <c r="D631" s="4">
        <f>VALUE(SUBSTITUTE('1000_заявлений'!D625, ".", ","))</f>
        <v>0.54244510000000001</v>
      </c>
      <c r="E631" s="4">
        <f>VALUE(SUBSTITUTE('1000_заявлений'!E625, ".", ","))</f>
        <v>0.73528749999999998</v>
      </c>
      <c r="F631" s="5">
        <f>VALUE(SUBSTITUTE('1000_заявлений'!F625, ".", ","))</f>
        <v>-9535</v>
      </c>
      <c r="G631" s="5">
        <f>VALUE(SUBSTITUTE('1000_заявлений'!G625, ".", ","))</f>
        <v>-19369</v>
      </c>
      <c r="H631" s="5">
        <f>VALUE(SUBSTITUTE('1000_заявлений'!H625, ".", ","))</f>
        <v>-2898</v>
      </c>
      <c r="I631" s="4">
        <f>VALUE(SUBSTITUTE('1000_заявлений'!I625, ".", ","))</f>
        <v>0.1125</v>
      </c>
      <c r="J631" s="4">
        <f>VALUE(SUBSTITUTE('1000_заявлений'!J625, ".", ","))</f>
        <v>10.6209759779781</v>
      </c>
      <c r="K631" s="5">
        <f>VALUE(SUBSTITUTE('1000_заявлений'!K625, ".", ","))</f>
        <v>-6419</v>
      </c>
      <c r="L631" s="6">
        <f>VALUE(SUBSTITUTE('1000_заявлений'!L625, ".", ","))</f>
        <v>10125</v>
      </c>
      <c r="M631" s="2" t="str">
        <f>IF(Данные6[[#This Row],[proba]]&gt;$C$6, "отказ", "одобрение")</f>
        <v>одобрение</v>
      </c>
      <c r="N631" s="7">
        <f>IF(Данные6[[#This Row],[proba]]&lt;$D$2,$C$2,IF(Данные6[[#This Row],[proba]]&lt;$D$3,$C$3,IF(Данные6[[#This Row],[proba]]&gt;$C$6,0,$C$4)))</f>
        <v>50000</v>
      </c>
      <c r="O631" s="2">
        <f>IF(Данные6[[#This Row],[weighted_ext_score]]&gt;$O$1,MIN(Данные6[[#This Row],[Базовая сумма]]*$O$2,$C$2),IF(Данные6[[#This Row],[weighted_ext_score]]&lt;$O$3,Данные6[[#This Row],[Базовая сумма]]*$O$4,N631))</f>
        <v>40000</v>
      </c>
      <c r="P6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31" s="2">
        <f>ABS(Данные6[[#This Row],[days_birth]])/365.2425</f>
        <v>53.030520818360401</v>
      </c>
      <c r="S6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631" s="2">
        <f>IF(Данные6[[#This Row],[ interest_rate]]&gt;$T$1,Данные6[[#This Row],[days_birth4]]*$T$2,Данные6[[#This Row],[days_birth4]])</f>
        <v>50400</v>
      </c>
      <c r="U631" s="2">
        <f>IF(Данные6[[#This Row],[Проверка отказа]]="отказ",0,MAX(Данные6[[#This Row],[interest_rate]],$C$1))</f>
        <v>50400</v>
      </c>
      <c r="V631" s="2">
        <f>MROUND(Данные6[[#This Row],[Минимум 20000]], 100)</f>
        <v>50400</v>
      </c>
    </row>
    <row r="632" spans="1:22" x14ac:dyDescent="0.25">
      <c r="A632" s="2">
        <f>'1000_заявлений'!A626</f>
        <v>624</v>
      </c>
      <c r="B632" s="4">
        <f>VALUE(SUBSTITUTE('1000_заявлений'!B626, ".", ","))</f>
        <v>0.39671535569890298</v>
      </c>
      <c r="C632" s="4">
        <f>VALUE(SUBSTITUTE('1000_заявлений'!C626, ".", ","))</f>
        <v>0.53689130303060195</v>
      </c>
      <c r="D632" s="4">
        <f>VALUE(SUBSTITUTE('1000_заявлений'!D626, ".", ","))</f>
        <v>0.44183581999999999</v>
      </c>
      <c r="E632" s="4">
        <f>VALUE(SUBSTITUTE('1000_заявлений'!E626, ".", ","))</f>
        <v>0.63087726</v>
      </c>
      <c r="F632" s="5">
        <f>VALUE(SUBSTITUTE('1000_заявлений'!F626, ".", ","))</f>
        <v>-3894</v>
      </c>
      <c r="G632" s="5">
        <f>VALUE(SUBSTITUTE('1000_заявлений'!G626, ".", ","))</f>
        <v>-18493</v>
      </c>
      <c r="H632" s="5">
        <f>VALUE(SUBSTITUTE('1000_заявлений'!H626, ".", ","))</f>
        <v>-2038</v>
      </c>
      <c r="I632" s="4">
        <f>VALUE(SUBSTITUTE('1000_заявлений'!I626, ".", ","))</f>
        <v>0.16530769230769199</v>
      </c>
      <c r="J632" s="4">
        <f>VALUE(SUBSTITUTE('1000_заявлений'!J626, ".", ","))</f>
        <v>0.19110614998758499</v>
      </c>
      <c r="K632" s="5">
        <f>VALUE(SUBSTITUTE('1000_заявлений'!K626, ".", ","))</f>
        <v>-211</v>
      </c>
      <c r="L632" s="6">
        <f>VALUE(SUBSTITUTE('1000_заявлений'!L626, ".", ","))</f>
        <v>9670.5</v>
      </c>
      <c r="M632" s="2" t="str">
        <f>IF(Данные6[[#This Row],[proba]]&gt;$C$6, "отказ", "одобрение")</f>
        <v>отказ</v>
      </c>
      <c r="N632" s="7">
        <f>IF(Данные6[[#This Row],[proba]]&lt;$D$2,$C$2,IF(Данные6[[#This Row],[proba]]&lt;$D$3,$C$3,IF(Данные6[[#This Row],[proba]]&gt;$C$6,0,$C$4)))</f>
        <v>0</v>
      </c>
      <c r="O632" s="2">
        <f>IF(Данные6[[#This Row],[weighted_ext_score]]&gt;$O$1,MIN(Данные6[[#This Row],[Базовая сумма]]*$O$2,$C$2),IF(Данные6[[#This Row],[weighted_ext_score]]&lt;$O$3,Данные6[[#This Row],[Базовая сумма]]*$O$4,N632))</f>
        <v>0</v>
      </c>
      <c r="P6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2" s="2">
        <f>ABS(Данные6[[#This Row],[days_birth]])/365.2425</f>
        <v>50.632114280238468</v>
      </c>
      <c r="S6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2" s="2">
        <f>IF(Данные6[[#This Row],[ interest_rate]]&gt;$T$1,Данные6[[#This Row],[days_birth4]]*$T$2,Данные6[[#This Row],[days_birth4]])</f>
        <v>0</v>
      </c>
      <c r="U632" s="2">
        <f>IF(Данные6[[#This Row],[Проверка отказа]]="отказ",0,MAX(Данные6[[#This Row],[interest_rate]],$C$1))</f>
        <v>0</v>
      </c>
      <c r="V632" s="2">
        <f>MROUND(Данные6[[#This Row],[Минимум 20000]], 100)</f>
        <v>0</v>
      </c>
    </row>
    <row r="633" spans="1:22" x14ac:dyDescent="0.25">
      <c r="A633" s="2">
        <f>'1000_заявлений'!A627</f>
        <v>625</v>
      </c>
      <c r="B633" s="4">
        <f>VALUE(SUBSTITUTE('1000_заявлений'!B627, ".", ","))</f>
        <v>0.30138031319598202</v>
      </c>
      <c r="C633" s="4">
        <f>VALUE(SUBSTITUTE('1000_заявлений'!C627, ".", ","))</f>
        <v>0.42400983971010803</v>
      </c>
      <c r="D633" s="4">
        <f>VALUE(SUBSTITUTE('1000_заявлений'!D627, ".", ","))</f>
        <v>0.59719239999999996</v>
      </c>
      <c r="E633" s="4">
        <f>VALUE(SUBSTITUTE('1000_заявлений'!E627, ".", ","))</f>
        <v>0.64130920000000002</v>
      </c>
      <c r="F633" s="5">
        <f>VALUE(SUBSTITUTE('1000_заявлений'!F627, ".", ","))</f>
        <v>-9359</v>
      </c>
      <c r="G633" s="5">
        <f>VALUE(SUBSTITUTE('1000_заявлений'!G627, ".", ","))</f>
        <v>-21622</v>
      </c>
      <c r="H633" s="5">
        <f>VALUE(SUBSTITUTE('1000_заявлений'!H627, ".", ","))</f>
        <v>-4041</v>
      </c>
      <c r="I633" s="4">
        <f>VALUE(SUBSTITUTE('1000_заявлений'!I627, ".", ","))</f>
        <v>0.26429999999999998</v>
      </c>
      <c r="J633" s="4">
        <f>VALUE(SUBSTITUTE('1000_заявлений'!J627, ".", ","))</f>
        <v>7.5854054980361898</v>
      </c>
      <c r="K633" s="5">
        <f>VALUE(SUBSTITUTE('1000_заявлений'!K627, ".", ","))</f>
        <v>-6842</v>
      </c>
      <c r="L633" s="6">
        <f>VALUE(SUBSTITUTE('1000_заявлений'!L627, ".", ","))</f>
        <v>23787</v>
      </c>
      <c r="M633" s="2" t="str">
        <f>IF(Данные6[[#This Row],[proba]]&gt;$C$6, "отказ", "одобрение")</f>
        <v>отказ</v>
      </c>
      <c r="N633" s="7">
        <f>IF(Данные6[[#This Row],[proba]]&lt;$D$2,$C$2,IF(Данные6[[#This Row],[proba]]&lt;$D$3,$C$3,IF(Данные6[[#This Row],[proba]]&gt;$C$6,0,$C$4)))</f>
        <v>0</v>
      </c>
      <c r="O633" s="2">
        <f>IF(Данные6[[#This Row],[weighted_ext_score]]&gt;$O$1,MIN(Данные6[[#This Row],[Базовая сумма]]*$O$2,$C$2),IF(Данные6[[#This Row],[weighted_ext_score]]&lt;$O$3,Данные6[[#This Row],[Базовая сумма]]*$O$4,N633))</f>
        <v>0</v>
      </c>
      <c r="P6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3" s="2">
        <f>ABS(Данные6[[#This Row],[days_birth]])/365.2425</f>
        <v>59.199025305105508</v>
      </c>
      <c r="S6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3" s="2">
        <f>IF(Данные6[[#This Row],[ interest_rate]]&gt;$T$1,Данные6[[#This Row],[days_birth4]]*$T$2,Данные6[[#This Row],[days_birth4]])</f>
        <v>0</v>
      </c>
      <c r="U633" s="2">
        <f>IF(Данные6[[#This Row],[Проверка отказа]]="отказ",0,MAX(Данные6[[#This Row],[interest_rate]],$C$1))</f>
        <v>0</v>
      </c>
      <c r="V633" s="2">
        <f>MROUND(Данные6[[#This Row],[Минимум 20000]], 100)</f>
        <v>0</v>
      </c>
    </row>
    <row r="634" spans="1:22" x14ac:dyDescent="0.25">
      <c r="A634" s="2">
        <f>'1000_заявлений'!A628</f>
        <v>626</v>
      </c>
      <c r="B634" s="4">
        <f>VALUE(SUBSTITUTE('1000_заявлений'!B628, ".", ","))</f>
        <v>0.13840433103261099</v>
      </c>
      <c r="C634" s="4">
        <f>VALUE(SUBSTITUTE('1000_заявлений'!C628, ".", ","))</f>
        <v>0.51761120747422495</v>
      </c>
      <c r="D634" s="4">
        <f>VALUE(SUBSTITUTE('1000_заявлений'!D628, ".", ","))</f>
        <v>0.75440615</v>
      </c>
      <c r="E634" s="4">
        <f>VALUE(SUBSTITUTE('1000_заявлений'!E628, ".", ","))</f>
        <v>0.75458040000000004</v>
      </c>
      <c r="F634" s="5">
        <f>VALUE(SUBSTITUTE('1000_заявлений'!F628, ".", ","))</f>
        <v>-13277</v>
      </c>
      <c r="G634" s="5">
        <f>VALUE(SUBSTITUTE('1000_заявлений'!G628, ".", ","))</f>
        <v>-20355</v>
      </c>
      <c r="H634" s="5">
        <f>VALUE(SUBSTITUTE('1000_заявлений'!H628, ".", ","))</f>
        <v>-3686</v>
      </c>
      <c r="I634" s="4">
        <f>VALUE(SUBSTITUTE('1000_заявлений'!I628, ".", ","))</f>
        <v>0.1741625</v>
      </c>
      <c r="J634" s="4">
        <f>VALUE(SUBSTITUTE('1000_заявлений'!J628, ".", ","))</f>
        <v>0.81186196051394799</v>
      </c>
      <c r="K634" s="5">
        <f>VALUE(SUBSTITUTE('1000_заявлений'!K628, ".", ","))</f>
        <v>365243</v>
      </c>
      <c r="L634" s="6">
        <f>VALUE(SUBSTITUTE('1000_заявлений'!L628, ".", ","))</f>
        <v>62698.5</v>
      </c>
      <c r="M634" s="2" t="str">
        <f>IF(Данные6[[#This Row],[proba]]&gt;$C$6, "отказ", "одобрение")</f>
        <v>одобрение</v>
      </c>
      <c r="N634" s="7">
        <f>IF(Данные6[[#This Row],[proba]]&lt;$D$2,$C$2,IF(Данные6[[#This Row],[proba]]&lt;$D$3,$C$3,IF(Данные6[[#This Row],[proba]]&gt;$C$6,0,$C$4)))</f>
        <v>200000</v>
      </c>
      <c r="O634" s="2">
        <f>IF(Данные6[[#This Row],[weighted_ext_score]]&gt;$O$1,MIN(Данные6[[#This Row],[Базовая сумма]]*$O$2,$C$2),IF(Данные6[[#This Row],[weighted_ext_score]]&lt;$O$3,Данные6[[#This Row],[Базовая сумма]]*$O$4,N634))</f>
        <v>200000</v>
      </c>
      <c r="P6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634" s="2">
        <f>ABS(Данные6[[#This Row],[days_birth]])/365.2425</f>
        <v>55.730097127251071</v>
      </c>
      <c r="S6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634" s="2">
        <f>IF(Данные6[[#This Row],[ interest_rate]]&gt;$T$1,Данные6[[#This Row],[days_birth4]]*$T$2,Данные6[[#This Row],[days_birth4]])</f>
        <v>210000</v>
      </c>
      <c r="U634" s="2">
        <f>IF(Данные6[[#This Row],[Проверка отказа]]="отказ",0,MAX(Данные6[[#This Row],[interest_rate]],$C$1))</f>
        <v>210000</v>
      </c>
      <c r="V634" s="2">
        <f>MROUND(Данные6[[#This Row],[Минимум 20000]], 100)</f>
        <v>210000</v>
      </c>
    </row>
    <row r="635" spans="1:22" x14ac:dyDescent="0.25">
      <c r="A635" s="2">
        <f>'1000_заявлений'!A629</f>
        <v>627</v>
      </c>
      <c r="B635" s="4">
        <f>VALUE(SUBSTITUTE('1000_заявлений'!B629, ".", ","))</f>
        <v>0.91655211920539303</v>
      </c>
      <c r="C635" s="4">
        <f>VALUE(SUBSTITUTE('1000_заявлений'!C629, ".", ","))</f>
        <v>2.63620682649446E-2</v>
      </c>
      <c r="D635" s="4">
        <f>VALUE(SUBSTITUTE('1000_заявлений'!D629, ".", ","))</f>
        <v>6.7339510000000005E-2</v>
      </c>
      <c r="E635" s="4">
        <f>VALUE(SUBSTITUTE('1000_заявлений'!E629, ".", ","))</f>
        <v>6.1893499999999997E-3</v>
      </c>
      <c r="F635" s="5">
        <f>VALUE(SUBSTITUTE('1000_заявлений'!F629, ".", ","))</f>
        <v>-3940</v>
      </c>
      <c r="G635" s="5">
        <f>VALUE(SUBSTITUTE('1000_заявлений'!G629, ".", ","))</f>
        <v>-12572</v>
      </c>
      <c r="H635" s="5">
        <f>VALUE(SUBSTITUTE('1000_заявлений'!H629, ".", ","))</f>
        <v>-5241</v>
      </c>
      <c r="I635" s="4">
        <f>VALUE(SUBSTITUTE('1000_заявлений'!I629, ".", ","))</f>
        <v>0.21163333333333301</v>
      </c>
      <c r="J635" s="4">
        <f>VALUE(SUBSTITUTE('1000_заявлений'!J629, ".", ","))</f>
        <v>5.5232286919132596</v>
      </c>
      <c r="K635" s="5">
        <f>VALUE(SUBSTITUTE('1000_заявлений'!K629, ".", ","))</f>
        <v>-5501</v>
      </c>
      <c r="L635" s="6">
        <f>VALUE(SUBSTITUTE('1000_заявлений'!L629, ".", ","))</f>
        <v>28570.5</v>
      </c>
      <c r="M635" s="2" t="str">
        <f>IF(Данные6[[#This Row],[proba]]&gt;$C$6, "отказ", "одобрение")</f>
        <v>отказ</v>
      </c>
      <c r="N635" s="7">
        <f>IF(Данные6[[#This Row],[proba]]&lt;$D$2,$C$2,IF(Данные6[[#This Row],[proba]]&lt;$D$3,$C$3,IF(Данные6[[#This Row],[proba]]&gt;$C$6,0,$C$4)))</f>
        <v>0</v>
      </c>
      <c r="O635" s="2">
        <f>IF(Данные6[[#This Row],[weighted_ext_score]]&gt;$O$1,MIN(Данные6[[#This Row],[Базовая сумма]]*$O$2,$C$2),IF(Данные6[[#This Row],[weighted_ext_score]]&lt;$O$3,Данные6[[#This Row],[Базовая сумма]]*$O$4,N635))</f>
        <v>0</v>
      </c>
      <c r="P6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5" s="2">
        <f>ABS(Данные6[[#This Row],[days_birth]])/365.2425</f>
        <v>34.420966891859514</v>
      </c>
      <c r="S6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5" s="2">
        <f>IF(Данные6[[#This Row],[ interest_rate]]&gt;$T$1,Данные6[[#This Row],[days_birth4]]*$T$2,Данные6[[#This Row],[days_birth4]])</f>
        <v>0</v>
      </c>
      <c r="U635" s="2">
        <f>IF(Данные6[[#This Row],[Проверка отказа]]="отказ",0,MAX(Данные6[[#This Row],[interest_rate]],$C$1))</f>
        <v>0</v>
      </c>
      <c r="V635" s="2">
        <f>MROUND(Данные6[[#This Row],[Минимум 20000]], 100)</f>
        <v>0</v>
      </c>
    </row>
    <row r="636" spans="1:22" x14ac:dyDescent="0.25">
      <c r="A636" s="2">
        <f>'1000_заявлений'!A630</f>
        <v>628</v>
      </c>
      <c r="B636" s="4">
        <f>VALUE(SUBSTITUTE('1000_заявлений'!B630, ".", ","))</f>
        <v>0.22702393322457301</v>
      </c>
      <c r="C636" s="4">
        <f>VALUE(SUBSTITUTE('1000_заявлений'!C630, ".", ","))</f>
        <v>0.46911330367409299</v>
      </c>
      <c r="D636" s="4">
        <f>VALUE(SUBSTITUTE('1000_заявлений'!D630, ".", ","))</f>
        <v>0.64797689999999997</v>
      </c>
      <c r="E636" s="4">
        <f>VALUE(SUBSTITUTE('1000_заявлений'!E630, ".", ","))</f>
        <v>0.72373324999999999</v>
      </c>
      <c r="F636" s="5">
        <f>VALUE(SUBSTITUTE('1000_заявлений'!F630, ".", ","))</f>
        <v>-9051</v>
      </c>
      <c r="G636" s="5">
        <f>VALUE(SUBSTITUTE('1000_заявлений'!G630, ".", ","))</f>
        <v>-16408</v>
      </c>
      <c r="H636" s="5">
        <f>VALUE(SUBSTITUTE('1000_заявлений'!H630, ".", ","))</f>
        <v>-4145</v>
      </c>
      <c r="I636" s="4">
        <f>VALUE(SUBSTITUTE('1000_заявлений'!I630, ".", ","))</f>
        <v>0.173925</v>
      </c>
      <c r="J636" s="4">
        <f>VALUE(SUBSTITUTE('1000_заявлений'!J630, ".", ","))</f>
        <v>5.0897011064750597</v>
      </c>
      <c r="K636" s="5">
        <f>VALUE(SUBSTITUTE('1000_заявлений'!K630, ".", ","))</f>
        <v>-3579</v>
      </c>
      <c r="L636" s="6">
        <f>VALUE(SUBSTITUTE('1000_заявлений'!L630, ".", ","))</f>
        <v>62613</v>
      </c>
      <c r="M636" s="2" t="str">
        <f>IF(Данные6[[#This Row],[proba]]&gt;$C$6, "отказ", "одобрение")</f>
        <v>одобрение</v>
      </c>
      <c r="N636" s="7">
        <f>IF(Данные6[[#This Row],[proba]]&lt;$D$2,$C$2,IF(Данные6[[#This Row],[proba]]&lt;$D$3,$C$3,IF(Данные6[[#This Row],[proba]]&gt;$C$6,0,$C$4)))</f>
        <v>50000</v>
      </c>
      <c r="O636" s="2">
        <f>IF(Данные6[[#This Row],[weighted_ext_score]]&gt;$O$1,MIN(Данные6[[#This Row],[Базовая сумма]]*$O$2,$C$2),IF(Данные6[[#This Row],[weighted_ext_score]]&lt;$O$3,Данные6[[#This Row],[Базовая сумма]]*$O$4,N636))</f>
        <v>40000</v>
      </c>
      <c r="P6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36" s="2">
        <f>ABS(Данные6[[#This Row],[days_birth]])/365.2425</f>
        <v>44.923578170667433</v>
      </c>
      <c r="S6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636" s="2">
        <f>IF(Данные6[[#This Row],[ interest_rate]]&gt;$T$1,Данные6[[#This Row],[days_birth4]]*$T$2,Данные6[[#This Row],[days_birth4]])</f>
        <v>48000</v>
      </c>
      <c r="U636" s="2">
        <f>IF(Данные6[[#This Row],[Проверка отказа]]="отказ",0,MAX(Данные6[[#This Row],[interest_rate]],$C$1))</f>
        <v>48000</v>
      </c>
      <c r="V636" s="2">
        <f>MROUND(Данные6[[#This Row],[Минимум 20000]], 100)</f>
        <v>48000</v>
      </c>
    </row>
    <row r="637" spans="1:22" x14ac:dyDescent="0.25">
      <c r="A637" s="2">
        <f>'1000_заявлений'!A631</f>
        <v>629</v>
      </c>
      <c r="B637" s="4">
        <f>VALUE(SUBSTITUTE('1000_заявлений'!B631, ".", ","))</f>
        <v>0.35795296638312502</v>
      </c>
      <c r="C637" s="4">
        <f>VALUE(SUBSTITUTE('1000_заявлений'!C631, ".", ","))</f>
        <v>0.42513707234468301</v>
      </c>
      <c r="D637" s="4">
        <f>VALUE(SUBSTITUTE('1000_заявлений'!D631, ".", ","))</f>
        <v>0.68326885000000004</v>
      </c>
      <c r="E637" s="4">
        <f>VALUE(SUBSTITUTE('1000_заявлений'!E631, ".", ","))</f>
        <v>0.54881290000000005</v>
      </c>
      <c r="F637" s="5">
        <f>VALUE(SUBSTITUTE('1000_заявлений'!F631, ".", ","))</f>
        <v>-4277</v>
      </c>
      <c r="G637" s="5">
        <f>VALUE(SUBSTITUTE('1000_заявлений'!G631, ".", ","))</f>
        <v>-19716</v>
      </c>
      <c r="H637" s="5">
        <f>VALUE(SUBSTITUTE('1000_заявлений'!H631, ".", ","))</f>
        <v>-3272</v>
      </c>
      <c r="I637" s="4">
        <f>VALUE(SUBSTITUTE('1000_заявлений'!I631, ".", ","))</f>
        <v>0.29060000000000002</v>
      </c>
      <c r="J637" s="4">
        <f>VALUE(SUBSTITUTE('1000_заявлений'!J631, ".", ","))</f>
        <v>0.65944728718305701</v>
      </c>
      <c r="K637" s="5">
        <f>VALUE(SUBSTITUTE('1000_заявлений'!K631, ".", ","))</f>
        <v>-4571</v>
      </c>
      <c r="L637" s="6">
        <f>VALUE(SUBSTITUTE('1000_заявлений'!L631, ".", ","))</f>
        <v>26154</v>
      </c>
      <c r="M637" s="2" t="str">
        <f>IF(Данные6[[#This Row],[proba]]&gt;$C$6, "отказ", "одобрение")</f>
        <v>отказ</v>
      </c>
      <c r="N637" s="7">
        <f>IF(Данные6[[#This Row],[proba]]&lt;$D$2,$C$2,IF(Данные6[[#This Row],[proba]]&lt;$D$3,$C$3,IF(Данные6[[#This Row],[proba]]&gt;$C$6,0,$C$4)))</f>
        <v>0</v>
      </c>
      <c r="O637" s="2">
        <f>IF(Данные6[[#This Row],[weighted_ext_score]]&gt;$O$1,MIN(Данные6[[#This Row],[Базовая сумма]]*$O$2,$C$2),IF(Данные6[[#This Row],[weighted_ext_score]]&lt;$O$3,Данные6[[#This Row],[Базовая сумма]]*$O$4,N637))</f>
        <v>0</v>
      </c>
      <c r="P6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7" s="2">
        <f>ABS(Данные6[[#This Row],[days_birth]])/365.2425</f>
        <v>53.980574549785416</v>
      </c>
      <c r="S6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7" s="2">
        <f>IF(Данные6[[#This Row],[ interest_rate]]&gt;$T$1,Данные6[[#This Row],[days_birth4]]*$T$2,Данные6[[#This Row],[days_birth4]])</f>
        <v>0</v>
      </c>
      <c r="U637" s="2">
        <f>IF(Данные6[[#This Row],[Проверка отказа]]="отказ",0,MAX(Данные6[[#This Row],[interest_rate]],$C$1))</f>
        <v>0</v>
      </c>
      <c r="V637" s="2">
        <f>MROUND(Данные6[[#This Row],[Минимум 20000]], 100)</f>
        <v>0</v>
      </c>
    </row>
    <row r="638" spans="1:22" x14ac:dyDescent="0.25">
      <c r="A638" s="2">
        <f>'1000_заявлений'!A632</f>
        <v>630</v>
      </c>
      <c r="B638" s="4">
        <f>VALUE(SUBSTITUTE('1000_заявлений'!B632, ".", ","))</f>
        <v>0.66710795161736602</v>
      </c>
      <c r="C638" s="4">
        <f>VALUE(SUBSTITUTE('1000_заявлений'!C632, ".", ","))</f>
        <v>0.23998041040720899</v>
      </c>
      <c r="D638" s="4">
        <f>VALUE(SUBSTITUTE('1000_заявлений'!D632, ".", ","))</f>
        <v>0.32331124</v>
      </c>
      <c r="E638" s="4">
        <f>VALUE(SUBSTITUTE('1000_заявлений'!E632, ".", ","))</f>
        <v>0.37934223</v>
      </c>
      <c r="F638" s="5">
        <f>VALUE(SUBSTITUTE('1000_заявлений'!F632, ".", ","))</f>
        <v>-10501</v>
      </c>
      <c r="G638" s="5">
        <f>VALUE(SUBSTITUTE('1000_заявлений'!G632, ".", ","))</f>
        <v>-19148</v>
      </c>
      <c r="H638" s="5">
        <f>VALUE(SUBSTITUTE('1000_заявлений'!H632, ".", ","))</f>
        <v>-1249</v>
      </c>
      <c r="I638" s="4">
        <f>VALUE(SUBSTITUTE('1000_заявлений'!I632, ".", ","))</f>
        <v>9.9281250000000001E-2</v>
      </c>
      <c r="J638" s="4">
        <f>VALUE(SUBSTITUTE('1000_заявлений'!J632, ".", ","))</f>
        <v>1.79931414735652</v>
      </c>
      <c r="K638" s="5">
        <f>VALUE(SUBSTITUTE('1000_заявлений'!K632, ".", ","))</f>
        <v>-1484</v>
      </c>
      <c r="L638" s="6">
        <f>VALUE(SUBSTITUTE('1000_заявлений'!L632, ".", ","))</f>
        <v>14296.5</v>
      </c>
      <c r="M638" s="2" t="str">
        <f>IF(Данные6[[#This Row],[proba]]&gt;$C$6, "отказ", "одобрение")</f>
        <v>отказ</v>
      </c>
      <c r="N638" s="7">
        <f>IF(Данные6[[#This Row],[proba]]&lt;$D$2,$C$2,IF(Данные6[[#This Row],[proba]]&lt;$D$3,$C$3,IF(Данные6[[#This Row],[proba]]&gt;$C$6,0,$C$4)))</f>
        <v>0</v>
      </c>
      <c r="O638" s="2">
        <f>IF(Данные6[[#This Row],[weighted_ext_score]]&gt;$O$1,MIN(Данные6[[#This Row],[Базовая сумма]]*$O$2,$C$2),IF(Данные6[[#This Row],[weighted_ext_score]]&lt;$O$3,Данные6[[#This Row],[Базовая сумма]]*$O$4,N638))</f>
        <v>0</v>
      </c>
      <c r="P6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8" s="2">
        <f>ABS(Данные6[[#This Row],[days_birth]])/365.2425</f>
        <v>52.425443369815945</v>
      </c>
      <c r="S6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8" s="2">
        <f>IF(Данные6[[#This Row],[ interest_rate]]&gt;$T$1,Данные6[[#This Row],[days_birth4]]*$T$2,Данные6[[#This Row],[days_birth4]])</f>
        <v>0</v>
      </c>
      <c r="U638" s="2">
        <f>IF(Данные6[[#This Row],[Проверка отказа]]="отказ",0,MAX(Данные6[[#This Row],[interest_rate]],$C$1))</f>
        <v>0</v>
      </c>
      <c r="V638" s="2">
        <f>MROUND(Данные6[[#This Row],[Минимум 20000]], 100)</f>
        <v>0</v>
      </c>
    </row>
    <row r="639" spans="1:22" x14ac:dyDescent="0.25">
      <c r="A639" s="2">
        <f>'1000_заявлений'!A633</f>
        <v>631</v>
      </c>
      <c r="B639" s="4">
        <f>VALUE(SUBSTITUTE('1000_заявлений'!B633, ".", ","))</f>
        <v>0.51553495265662996</v>
      </c>
      <c r="C639" s="4">
        <f>VALUE(SUBSTITUTE('1000_заявлений'!C633, ".", ","))</f>
        <v>0.31818664351182402</v>
      </c>
      <c r="D639" s="4">
        <f>VALUE(SUBSTITUTE('1000_заявлений'!D633, ".", ","))</f>
        <v>0.58499000000000001</v>
      </c>
      <c r="E639" s="4">
        <f>VALUE(SUBSTITUTE('1000_заявлений'!E633, ".", ","))</f>
        <v>0.328679</v>
      </c>
      <c r="F639" s="5">
        <f>VALUE(SUBSTITUTE('1000_заявлений'!F633, ".", ","))</f>
        <v>-12353</v>
      </c>
      <c r="G639" s="5">
        <f>VALUE(SUBSTITUTE('1000_заявлений'!G633, ".", ","))</f>
        <v>-18377</v>
      </c>
      <c r="H639" s="5">
        <f>VALUE(SUBSTITUTE('1000_заявлений'!H633, ".", ","))</f>
        <v>-1917</v>
      </c>
      <c r="I639" s="4">
        <f>VALUE(SUBSTITUTE('1000_заявлений'!I633, ".", ","))</f>
        <v>0.14036000000000001</v>
      </c>
      <c r="J639" s="4">
        <f>VALUE(SUBSTITUTE('1000_заявлений'!J633, ".", ","))</f>
        <v>2.1575262132743802</v>
      </c>
      <c r="K639" s="5">
        <f>VALUE(SUBSTITUTE('1000_заявлений'!K633, ".", ","))</f>
        <v>-5210</v>
      </c>
      <c r="L639" s="6">
        <f>VALUE(SUBSTITUTE('1000_заявлений'!L633, ".", ","))</f>
        <v>15790.5</v>
      </c>
      <c r="M639" s="2" t="str">
        <f>IF(Данные6[[#This Row],[proba]]&gt;$C$6, "отказ", "одобрение")</f>
        <v>отказ</v>
      </c>
      <c r="N639" s="7">
        <f>IF(Данные6[[#This Row],[proba]]&lt;$D$2,$C$2,IF(Данные6[[#This Row],[proba]]&lt;$D$3,$C$3,IF(Данные6[[#This Row],[proba]]&gt;$C$6,0,$C$4)))</f>
        <v>0</v>
      </c>
      <c r="O639" s="2">
        <f>IF(Данные6[[#This Row],[weighted_ext_score]]&gt;$O$1,MIN(Данные6[[#This Row],[Базовая сумма]]*$O$2,$C$2),IF(Данные6[[#This Row],[weighted_ext_score]]&lt;$O$3,Данные6[[#This Row],[Базовая сумма]]*$O$4,N639))</f>
        <v>0</v>
      </c>
      <c r="P6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39" s="2">
        <f>ABS(Данные6[[#This Row],[days_birth]])/365.2425</f>
        <v>50.314517067427801</v>
      </c>
      <c r="S6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39" s="2">
        <f>IF(Данные6[[#This Row],[ interest_rate]]&gt;$T$1,Данные6[[#This Row],[days_birth4]]*$T$2,Данные6[[#This Row],[days_birth4]])</f>
        <v>0</v>
      </c>
      <c r="U639" s="2">
        <f>IF(Данные6[[#This Row],[Проверка отказа]]="отказ",0,MAX(Данные6[[#This Row],[interest_rate]],$C$1))</f>
        <v>0</v>
      </c>
      <c r="V639" s="2">
        <f>MROUND(Данные6[[#This Row],[Минимум 20000]], 100)</f>
        <v>0</v>
      </c>
    </row>
    <row r="640" spans="1:22" x14ac:dyDescent="0.25">
      <c r="A640" s="2">
        <f>'1000_заявлений'!A634</f>
        <v>632</v>
      </c>
      <c r="B640" s="4">
        <f>VALUE(SUBSTITUTE('1000_заявлений'!B634, ".", ","))</f>
        <v>0.30120211373047101</v>
      </c>
      <c r="C640" s="4">
        <f>VALUE(SUBSTITUTE('1000_заявлений'!C634, ".", ","))</f>
        <v>0.46970220691463499</v>
      </c>
      <c r="D640" s="4">
        <f>VALUE(SUBSTITUTE('1000_заявлений'!D634, ".", ","))</f>
        <v>0.63970757</v>
      </c>
      <c r="E640" s="4">
        <f>VALUE(SUBSTITUTE('1000_заявлений'!E634, ".", ","))</f>
        <v>0.44634395999999998</v>
      </c>
      <c r="F640" s="5">
        <f>VALUE(SUBSTITUTE('1000_заявлений'!F634, ".", ","))</f>
        <v>-5736</v>
      </c>
      <c r="G640" s="5">
        <f>VALUE(SUBSTITUTE('1000_заявлений'!G634, ".", ","))</f>
        <v>-14891</v>
      </c>
      <c r="H640" s="5">
        <f>VALUE(SUBSTITUTE('1000_заявлений'!H634, ".", ","))</f>
        <v>-3867</v>
      </c>
      <c r="I640" s="4">
        <f>VALUE(SUBSTITUTE('1000_заявлений'!I634, ".", ","))</f>
        <v>0.12068</v>
      </c>
      <c r="J640" s="4">
        <f>VALUE(SUBSTITUTE('1000_заявлений'!J634, ".", ","))</f>
        <v>15.1247420072579</v>
      </c>
      <c r="K640" s="5">
        <f>VALUE(SUBSTITUTE('1000_заявлений'!K634, ".", ","))</f>
        <v>-258</v>
      </c>
      <c r="L640" s="6">
        <f>VALUE(SUBSTITUTE('1000_заявлений'!L634, ".", ","))</f>
        <v>27153</v>
      </c>
      <c r="M640" s="2" t="str">
        <f>IF(Данные6[[#This Row],[proba]]&gt;$C$6, "отказ", "одобрение")</f>
        <v>отказ</v>
      </c>
      <c r="N640" s="7">
        <f>IF(Данные6[[#This Row],[proba]]&lt;$D$2,$C$2,IF(Данные6[[#This Row],[proba]]&lt;$D$3,$C$3,IF(Данные6[[#This Row],[proba]]&gt;$C$6,0,$C$4)))</f>
        <v>0</v>
      </c>
      <c r="O640" s="2">
        <f>IF(Данные6[[#This Row],[weighted_ext_score]]&gt;$O$1,MIN(Данные6[[#This Row],[Базовая сумма]]*$O$2,$C$2),IF(Данные6[[#This Row],[weighted_ext_score]]&lt;$O$3,Данные6[[#This Row],[Базовая сумма]]*$O$4,N640))</f>
        <v>0</v>
      </c>
      <c r="P6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0" s="2">
        <f>ABS(Данные6[[#This Row],[days_birth]])/365.2425</f>
        <v>40.770173241065869</v>
      </c>
      <c r="S6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0" s="2">
        <f>IF(Данные6[[#This Row],[ interest_rate]]&gt;$T$1,Данные6[[#This Row],[days_birth4]]*$T$2,Данные6[[#This Row],[days_birth4]])</f>
        <v>0</v>
      </c>
      <c r="U640" s="2">
        <f>IF(Данные6[[#This Row],[Проверка отказа]]="отказ",0,MAX(Данные6[[#This Row],[interest_rate]],$C$1))</f>
        <v>0</v>
      </c>
      <c r="V640" s="2">
        <f>MROUND(Данные6[[#This Row],[Минимум 20000]], 100)</f>
        <v>0</v>
      </c>
    </row>
    <row r="641" spans="1:22" x14ac:dyDescent="0.25">
      <c r="A641" s="2">
        <f>'1000_заявлений'!A635</f>
        <v>633</v>
      </c>
      <c r="B641" s="4">
        <f>VALUE(SUBSTITUTE('1000_заявлений'!B635, ".", ","))</f>
        <v>0.33151495764715999</v>
      </c>
      <c r="C641" s="4">
        <f>VALUE(SUBSTITUTE('1000_заявлений'!C635, ".", ","))</f>
        <v>0.43749900831173</v>
      </c>
      <c r="D641" s="4">
        <f>VALUE(SUBSTITUTE('1000_заявлений'!D635, ".", ","))</f>
        <v>0.65452929999999998</v>
      </c>
      <c r="E641" s="4">
        <f>VALUE(SUBSTITUTE('1000_заявлений'!E635, ".", ","))</f>
        <v>0.61896600000000002</v>
      </c>
      <c r="F641" s="5">
        <f>VALUE(SUBSTITUTE('1000_заявлений'!F635, ".", ","))</f>
        <v>-3310</v>
      </c>
      <c r="G641" s="5">
        <f>VALUE(SUBSTITUTE('1000_заявлений'!G635, ".", ","))</f>
        <v>-13329</v>
      </c>
      <c r="H641" s="5">
        <f>VALUE(SUBSTITUTE('1000_заявлений'!H635, ".", ","))</f>
        <v>-4779</v>
      </c>
      <c r="I641" s="4">
        <f>VALUE(SUBSTITUTE('1000_заявлений'!I635, ".", ","))</f>
        <v>0.21162</v>
      </c>
      <c r="J641" s="4">
        <f>VALUE(SUBSTITUTE('1000_заявлений'!J635, ".", ","))</f>
        <v>0.31963619860924097</v>
      </c>
      <c r="K641" s="5">
        <f>VALUE(SUBSTITUTE('1000_заявлений'!K635, ".", ","))</f>
        <v>-2337</v>
      </c>
      <c r="L641" s="6">
        <f>VALUE(SUBSTITUTE('1000_заявлений'!L635, ".", ","))</f>
        <v>47614.5</v>
      </c>
      <c r="M641" s="2" t="str">
        <f>IF(Данные6[[#This Row],[proba]]&gt;$C$6, "отказ", "одобрение")</f>
        <v>отказ</v>
      </c>
      <c r="N641" s="7">
        <f>IF(Данные6[[#This Row],[proba]]&lt;$D$2,$C$2,IF(Данные6[[#This Row],[proba]]&lt;$D$3,$C$3,IF(Данные6[[#This Row],[proba]]&gt;$C$6,0,$C$4)))</f>
        <v>0</v>
      </c>
      <c r="O641" s="2">
        <f>IF(Данные6[[#This Row],[weighted_ext_score]]&gt;$O$1,MIN(Данные6[[#This Row],[Базовая сумма]]*$O$2,$C$2),IF(Данные6[[#This Row],[weighted_ext_score]]&lt;$O$3,Данные6[[#This Row],[Базовая сумма]]*$O$4,N641))</f>
        <v>0</v>
      </c>
      <c r="P6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1" s="2">
        <f>ABS(Данные6[[#This Row],[days_birth]])/365.2425</f>
        <v>36.493562496149821</v>
      </c>
      <c r="S6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1" s="2">
        <f>IF(Данные6[[#This Row],[ interest_rate]]&gt;$T$1,Данные6[[#This Row],[days_birth4]]*$T$2,Данные6[[#This Row],[days_birth4]])</f>
        <v>0</v>
      </c>
      <c r="U641" s="2">
        <f>IF(Данные6[[#This Row],[Проверка отказа]]="отказ",0,MAX(Данные6[[#This Row],[interest_rate]],$C$1))</f>
        <v>0</v>
      </c>
      <c r="V641" s="2">
        <f>MROUND(Данные6[[#This Row],[Минимум 20000]], 100)</f>
        <v>0</v>
      </c>
    </row>
    <row r="642" spans="1:22" x14ac:dyDescent="0.25">
      <c r="A642" s="2">
        <f>'1000_заявлений'!A636</f>
        <v>634</v>
      </c>
      <c r="B642" s="4">
        <f>VALUE(SUBSTITUTE('1000_заявлений'!B636, ".", ","))</f>
        <v>0.438094621407282</v>
      </c>
      <c r="C642" s="4">
        <f>VALUE(SUBSTITUTE('1000_заявлений'!C636, ".", ","))</f>
        <v>0.47282180209575703</v>
      </c>
      <c r="D642" s="4">
        <f>VALUE(SUBSTITUTE('1000_заявлений'!D636, ".", ","))</f>
        <v>0.47584989999999999</v>
      </c>
      <c r="E642" s="4">
        <f>VALUE(SUBSTITUTE('1000_заявлений'!E636, ".", ","))</f>
        <v>0.5849723</v>
      </c>
      <c r="F642" s="5">
        <f>VALUE(SUBSTITUTE('1000_заявлений'!F636, ".", ","))</f>
        <v>-3374</v>
      </c>
      <c r="G642" s="5">
        <f>VALUE(SUBSTITUTE('1000_заявлений'!G636, ".", ","))</f>
        <v>-10584</v>
      </c>
      <c r="H642" s="5">
        <f>VALUE(SUBSTITUTE('1000_заявлений'!H636, ".", ","))</f>
        <v>-3254</v>
      </c>
      <c r="I642" s="4">
        <f>VALUE(SUBSTITUTE('1000_заявлений'!I636, ".", ","))</f>
        <v>8.4074999999999997E-2</v>
      </c>
      <c r="J642" s="4">
        <f>VALUE(SUBSTITUTE('1000_заявлений'!J636, ".", ","))</f>
        <v>0.678426258057229</v>
      </c>
      <c r="K642" s="5">
        <f>VALUE(SUBSTITUTE('1000_заявлений'!K636, ".", ","))</f>
        <v>-1903</v>
      </c>
      <c r="L642" s="6">
        <f>VALUE(SUBSTITUTE('1000_заявлений'!L636, ".", ","))</f>
        <v>15133.5</v>
      </c>
      <c r="M642" s="2" t="str">
        <f>IF(Данные6[[#This Row],[proba]]&gt;$C$6, "отказ", "одобрение")</f>
        <v>отказ</v>
      </c>
      <c r="N642" s="7">
        <f>IF(Данные6[[#This Row],[proba]]&lt;$D$2,$C$2,IF(Данные6[[#This Row],[proba]]&lt;$D$3,$C$3,IF(Данные6[[#This Row],[proba]]&gt;$C$6,0,$C$4)))</f>
        <v>0</v>
      </c>
      <c r="O642" s="2">
        <f>IF(Данные6[[#This Row],[weighted_ext_score]]&gt;$O$1,MIN(Данные6[[#This Row],[Базовая сумма]]*$O$2,$C$2),IF(Данные6[[#This Row],[weighted_ext_score]]&lt;$O$3,Данные6[[#This Row],[Базовая сумма]]*$O$4,N642))</f>
        <v>0</v>
      </c>
      <c r="P6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2" s="2">
        <f>ABS(Данные6[[#This Row],[days_birth]])/365.2425</f>
        <v>28.978007761966364</v>
      </c>
      <c r="S6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2" s="2">
        <f>IF(Данные6[[#This Row],[ interest_rate]]&gt;$T$1,Данные6[[#This Row],[days_birth4]]*$T$2,Данные6[[#This Row],[days_birth4]])</f>
        <v>0</v>
      </c>
      <c r="U642" s="2">
        <f>IF(Данные6[[#This Row],[Проверка отказа]]="отказ",0,MAX(Данные6[[#This Row],[interest_rate]],$C$1))</f>
        <v>0</v>
      </c>
      <c r="V642" s="2">
        <f>MROUND(Данные6[[#This Row],[Минимум 20000]], 100)</f>
        <v>0</v>
      </c>
    </row>
    <row r="643" spans="1:22" x14ac:dyDescent="0.25">
      <c r="A643" s="2">
        <f>'1000_заявлений'!A637</f>
        <v>635</v>
      </c>
      <c r="B643" s="4">
        <f>VALUE(SUBSTITUTE('1000_заявлений'!B637, ".", ","))</f>
        <v>0.27917785019698999</v>
      </c>
      <c r="C643" s="4">
        <f>VALUE(SUBSTITUTE('1000_заявлений'!C637, ".", ","))</f>
        <v>0.45815261387331502</v>
      </c>
      <c r="D643" s="4">
        <f>VALUE(SUBSTITUTE('1000_заявлений'!D637, ".", ","))</f>
        <v>0.80388504000000005</v>
      </c>
      <c r="E643" s="4">
        <f>VALUE(SUBSTITUTE('1000_заявлений'!E637, ".", ","))</f>
        <v>0.51611269999999998</v>
      </c>
      <c r="F643" s="5">
        <f>VALUE(SUBSTITUTE('1000_заявлений'!F637, ".", ","))</f>
        <v>-411</v>
      </c>
      <c r="G643" s="5">
        <f>VALUE(SUBSTITUTE('1000_заявлений'!G637, ".", ","))</f>
        <v>-16714</v>
      </c>
      <c r="H643" s="5">
        <f>VALUE(SUBSTITUTE('1000_заявлений'!H637, ".", ","))</f>
        <v>-272</v>
      </c>
      <c r="I643" s="4">
        <f>VALUE(SUBSTITUTE('1000_заявлений'!I637, ".", ","))</f>
        <v>9.8705882352941102E-2</v>
      </c>
      <c r="J643" s="4">
        <f>VALUE(SUBSTITUTE('1000_заявлений'!J637, ".", ","))</f>
        <v>2.4823644894277299</v>
      </c>
      <c r="K643" s="5">
        <f>VALUE(SUBSTITUTE('1000_заявлений'!K637, ".", ","))</f>
        <v>-253</v>
      </c>
      <c r="L643" s="6">
        <f>VALUE(SUBSTITUTE('1000_заявлений'!L637, ".", ","))</f>
        <v>37755</v>
      </c>
      <c r="M643" s="2" t="str">
        <f>IF(Данные6[[#This Row],[proba]]&gt;$C$6, "отказ", "одобрение")</f>
        <v>одобрение</v>
      </c>
      <c r="N643" s="7">
        <f>IF(Данные6[[#This Row],[proba]]&lt;$D$2,$C$2,IF(Данные6[[#This Row],[proba]]&lt;$D$3,$C$3,IF(Данные6[[#This Row],[proba]]&gt;$C$6,0,$C$4)))</f>
        <v>50000</v>
      </c>
      <c r="O643" s="2">
        <f>IF(Данные6[[#This Row],[weighted_ext_score]]&gt;$O$1,MIN(Данные6[[#This Row],[Базовая сумма]]*$O$2,$C$2),IF(Данные6[[#This Row],[weighted_ext_score]]&lt;$O$3,Данные6[[#This Row],[Базовая сумма]]*$O$4,N643))</f>
        <v>40000</v>
      </c>
      <c r="P6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6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43" s="2">
        <f>ABS(Данные6[[#This Row],[days_birth]])/365.2425</f>
        <v>45.761377714805917</v>
      </c>
      <c r="S6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643" s="2">
        <f>IF(Данные6[[#This Row],[ interest_rate]]&gt;$T$1,Данные6[[#This Row],[days_birth4]]*$T$2,Данные6[[#This Row],[days_birth4]])</f>
        <v>48000</v>
      </c>
      <c r="U643" s="2">
        <f>IF(Данные6[[#This Row],[Проверка отказа]]="отказ",0,MAX(Данные6[[#This Row],[interest_rate]],$C$1))</f>
        <v>48000</v>
      </c>
      <c r="V643" s="2">
        <f>MROUND(Данные6[[#This Row],[Минимум 20000]], 100)</f>
        <v>48000</v>
      </c>
    </row>
    <row r="644" spans="1:22" x14ac:dyDescent="0.25">
      <c r="A644" s="2">
        <f>'1000_заявлений'!A638</f>
        <v>636</v>
      </c>
      <c r="B644" s="4">
        <f>VALUE(SUBSTITUTE('1000_заявлений'!B638, ".", ","))</f>
        <v>0.41667745474874601</v>
      </c>
      <c r="C644" s="4">
        <f>VALUE(SUBSTITUTE('1000_заявлений'!C638, ".", ","))</f>
        <v>0.35068673448850801</v>
      </c>
      <c r="D644" s="4">
        <f>VALUE(SUBSTITUTE('1000_заявлений'!D638, ".", ","))</f>
        <v>0.39794633000000001</v>
      </c>
      <c r="E644" s="4">
        <f>VALUE(SUBSTITUTE('1000_заявлений'!E638, ".", ","))</f>
        <v>0.63741665999999997</v>
      </c>
      <c r="F644" s="5">
        <f>VALUE(SUBSTITUTE('1000_заявлений'!F638, ".", ","))</f>
        <v>-329</v>
      </c>
      <c r="G644" s="5">
        <f>VALUE(SUBSTITUTE('1000_заявлений'!G638, ".", ","))</f>
        <v>-22073</v>
      </c>
      <c r="H644" s="5">
        <f>VALUE(SUBSTITUTE('1000_заявлений'!H638, ".", ","))</f>
        <v>-4725</v>
      </c>
      <c r="I644" s="4">
        <f>VALUE(SUBSTITUTE('1000_заявлений'!I638, ".", ","))</f>
        <v>0.21748000000000001</v>
      </c>
      <c r="J644" s="4">
        <f>VALUE(SUBSTITUTE('1000_заявлений'!J638, ".", ","))</f>
        <v>1.8465642430804701</v>
      </c>
      <c r="K644" s="5">
        <f>VALUE(SUBSTITUTE('1000_заявлений'!K638, ".", ","))</f>
        <v>365243</v>
      </c>
      <c r="L644" s="6">
        <f>VALUE(SUBSTITUTE('1000_заявлений'!L638, ".", ","))</f>
        <v>24466.5</v>
      </c>
      <c r="M644" s="2" t="str">
        <f>IF(Данные6[[#This Row],[proba]]&gt;$C$6, "отказ", "одобрение")</f>
        <v>отказ</v>
      </c>
      <c r="N644" s="7">
        <f>IF(Данные6[[#This Row],[proba]]&lt;$D$2,$C$2,IF(Данные6[[#This Row],[proba]]&lt;$D$3,$C$3,IF(Данные6[[#This Row],[proba]]&gt;$C$6,0,$C$4)))</f>
        <v>0</v>
      </c>
      <c r="O644" s="2">
        <f>IF(Данные6[[#This Row],[weighted_ext_score]]&gt;$O$1,MIN(Данные6[[#This Row],[Базовая сумма]]*$O$2,$C$2),IF(Данные6[[#This Row],[weighted_ext_score]]&lt;$O$3,Данные6[[#This Row],[Базовая сумма]]*$O$4,N644))</f>
        <v>0</v>
      </c>
      <c r="P6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4" s="2">
        <f>ABS(Данные6[[#This Row],[days_birth]])/365.2425</f>
        <v>60.43382136525733</v>
      </c>
      <c r="S6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4" s="2">
        <f>IF(Данные6[[#This Row],[ interest_rate]]&gt;$T$1,Данные6[[#This Row],[days_birth4]]*$T$2,Данные6[[#This Row],[days_birth4]])</f>
        <v>0</v>
      </c>
      <c r="U644" s="2">
        <f>IF(Данные6[[#This Row],[Проверка отказа]]="отказ",0,MAX(Данные6[[#This Row],[interest_rate]],$C$1))</f>
        <v>0</v>
      </c>
      <c r="V644" s="2">
        <f>MROUND(Данные6[[#This Row],[Минимум 20000]], 100)</f>
        <v>0</v>
      </c>
    </row>
    <row r="645" spans="1:22" x14ac:dyDescent="0.25">
      <c r="A645" s="2">
        <f>'1000_заявлений'!A639</f>
        <v>637</v>
      </c>
      <c r="B645" s="4">
        <f>VALUE(SUBSTITUTE('1000_заявлений'!B639, ".", ","))</f>
        <v>0.677427898866933</v>
      </c>
      <c r="C645" s="4">
        <f>VALUE(SUBSTITUTE('1000_заявлений'!C639, ".", ","))</f>
        <v>0.30462647713541102</v>
      </c>
      <c r="D645" s="4">
        <f>VALUE(SUBSTITUTE('1000_заявлений'!D639, ".", ","))</f>
        <v>0.36394525</v>
      </c>
      <c r="E645" s="4">
        <f>VALUE(SUBSTITUTE('1000_заявлений'!E639, ".", ","))</f>
        <v>0.37904367</v>
      </c>
      <c r="F645" s="5">
        <f>VALUE(SUBSTITUTE('1000_заявлений'!F639, ".", ","))</f>
        <v>-5627</v>
      </c>
      <c r="G645" s="5">
        <f>VALUE(SUBSTITUTE('1000_заявлений'!G639, ".", ","))</f>
        <v>-10013</v>
      </c>
      <c r="H645" s="5">
        <f>VALUE(SUBSTITUTE('1000_заявлений'!H639, ".", ","))</f>
        <v>-2456</v>
      </c>
      <c r="I645" s="4">
        <f>VALUE(SUBSTITUTE('1000_заявлений'!I639, ".", ","))</f>
        <v>0.23274</v>
      </c>
      <c r="J645" s="4">
        <f>VALUE(SUBSTITUTE('1000_заявлений'!J639, ".", ","))</f>
        <v>1.4702629206988</v>
      </c>
      <c r="K645" s="5">
        <f>VALUE(SUBSTITUTE('1000_заявлений'!K639, ".", ","))</f>
        <v>-301</v>
      </c>
      <c r="L645" s="6">
        <f>VALUE(SUBSTITUTE('1000_заявлений'!L639, ".", ","))</f>
        <v>52366.5</v>
      </c>
      <c r="M645" s="2" t="str">
        <f>IF(Данные6[[#This Row],[proba]]&gt;$C$6, "отказ", "одобрение")</f>
        <v>отказ</v>
      </c>
      <c r="N645" s="7">
        <f>IF(Данные6[[#This Row],[proba]]&lt;$D$2,$C$2,IF(Данные6[[#This Row],[proba]]&lt;$D$3,$C$3,IF(Данные6[[#This Row],[proba]]&gt;$C$6,0,$C$4)))</f>
        <v>0</v>
      </c>
      <c r="O645" s="2">
        <f>IF(Данные6[[#This Row],[weighted_ext_score]]&gt;$O$1,MIN(Данные6[[#This Row],[Базовая сумма]]*$O$2,$C$2),IF(Данные6[[#This Row],[weighted_ext_score]]&lt;$O$3,Данные6[[#This Row],[Базовая сумма]]*$O$4,N645))</f>
        <v>0</v>
      </c>
      <c r="P6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5" s="2">
        <f>ABS(Данные6[[#This Row],[days_birth]])/365.2425</f>
        <v>27.414662860975927</v>
      </c>
      <c r="S6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5" s="2">
        <f>IF(Данные6[[#This Row],[ interest_rate]]&gt;$T$1,Данные6[[#This Row],[days_birth4]]*$T$2,Данные6[[#This Row],[days_birth4]])</f>
        <v>0</v>
      </c>
      <c r="U645" s="2">
        <f>IF(Данные6[[#This Row],[Проверка отказа]]="отказ",0,MAX(Данные6[[#This Row],[interest_rate]],$C$1))</f>
        <v>0</v>
      </c>
      <c r="V645" s="2">
        <f>MROUND(Данные6[[#This Row],[Минимум 20000]], 100)</f>
        <v>0</v>
      </c>
    </row>
    <row r="646" spans="1:22" x14ac:dyDescent="0.25">
      <c r="A646" s="2">
        <f>'1000_заявлений'!A640</f>
        <v>638</v>
      </c>
      <c r="B646" s="4">
        <f>VALUE(SUBSTITUTE('1000_заявлений'!B640, ".", ","))</f>
        <v>0.24854965436808199</v>
      </c>
      <c r="C646" s="4">
        <f>VALUE(SUBSTITUTE('1000_заявлений'!C640, ".", ","))</f>
        <v>0.47907998568453902</v>
      </c>
      <c r="D646" s="4">
        <f>VALUE(SUBSTITUTE('1000_заявлений'!D640, ".", ","))</f>
        <v>0.63637613999999998</v>
      </c>
      <c r="E646" s="4">
        <f>VALUE(SUBSTITUTE('1000_заявлений'!E640, ".", ","))</f>
        <v>0.7673932</v>
      </c>
      <c r="F646" s="5">
        <f>VALUE(SUBSTITUTE('1000_заявлений'!F640, ".", ","))</f>
        <v>-153</v>
      </c>
      <c r="G646" s="5">
        <f>VALUE(SUBSTITUTE('1000_заявлений'!G640, ".", ","))</f>
        <v>-19547</v>
      </c>
      <c r="H646" s="5">
        <f>VALUE(SUBSTITUTE('1000_заявлений'!H640, ".", ","))</f>
        <v>-2935</v>
      </c>
      <c r="I646" s="4">
        <f>VALUE(SUBSTITUTE('1000_заявлений'!I640, ".", ","))</f>
        <v>0.27855000000000002</v>
      </c>
      <c r="J646" s="4">
        <f>VALUE(SUBSTITUTE('1000_заявлений'!J640, ".", ","))</f>
        <v>5.5153142323782296</v>
      </c>
      <c r="K646" s="5">
        <f>VALUE(SUBSTITUTE('1000_заявлений'!K640, ".", ","))</f>
        <v>-3979</v>
      </c>
      <c r="L646" s="6">
        <f>VALUE(SUBSTITUTE('1000_заявлений'!L640, ".", ","))</f>
        <v>50139</v>
      </c>
      <c r="M646" s="2" t="str">
        <f>IF(Данные6[[#This Row],[proba]]&gt;$C$6, "отказ", "одобрение")</f>
        <v>одобрение</v>
      </c>
      <c r="N646" s="7">
        <f>IF(Данные6[[#This Row],[proba]]&lt;$D$2,$C$2,IF(Данные6[[#This Row],[proba]]&lt;$D$3,$C$3,IF(Данные6[[#This Row],[proba]]&gt;$C$6,0,$C$4)))</f>
        <v>50000</v>
      </c>
      <c r="O646" s="2">
        <f>IF(Данные6[[#This Row],[weighted_ext_score]]&gt;$O$1,MIN(Данные6[[#This Row],[Базовая сумма]]*$O$2,$C$2),IF(Данные6[[#This Row],[weighted_ext_score]]&lt;$O$3,Данные6[[#This Row],[Базовая сумма]]*$O$4,N646))</f>
        <v>40000</v>
      </c>
      <c r="P6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46" s="2">
        <f>ABS(Данные6[[#This Row],[days_birth]])/365.2425</f>
        <v>53.517868265604356</v>
      </c>
      <c r="S6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646" s="2">
        <f>IF(Данные6[[#This Row],[ interest_rate]]&gt;$T$1,Данные6[[#This Row],[days_birth4]]*$T$2,Данные6[[#This Row],[days_birth4]])</f>
        <v>50400</v>
      </c>
      <c r="U646" s="2">
        <f>IF(Данные6[[#This Row],[Проверка отказа]]="отказ",0,MAX(Данные6[[#This Row],[interest_rate]],$C$1))</f>
        <v>50400</v>
      </c>
      <c r="V646" s="2">
        <f>MROUND(Данные6[[#This Row],[Минимум 20000]], 100)</f>
        <v>50400</v>
      </c>
    </row>
    <row r="647" spans="1:22" x14ac:dyDescent="0.25">
      <c r="A647" s="2">
        <f>'1000_заявлений'!A641</f>
        <v>639</v>
      </c>
      <c r="B647" s="4">
        <f>VALUE(SUBSTITUTE('1000_заявлений'!B641, ".", ","))</f>
        <v>0.92667904968164005</v>
      </c>
      <c r="C647" s="4">
        <f>VALUE(SUBSTITUTE('1000_заявлений'!C641, ".", ","))</f>
        <v>4.2770615938462798E-2</v>
      </c>
      <c r="D647" s="4">
        <f>VALUE(SUBSTITUTE('1000_заявлений'!D641, ".", ","))</f>
        <v>9.5692724000000007E-2</v>
      </c>
      <c r="E647" s="4">
        <f>VALUE(SUBSTITUTE('1000_заявлений'!E641, ".", ","))</f>
        <v>2.5161617000000001E-2</v>
      </c>
      <c r="F647" s="5">
        <f>VALUE(SUBSTITUTE('1000_заявлений'!F641, ".", ","))</f>
        <v>-5532</v>
      </c>
      <c r="G647" s="5">
        <f>VALUE(SUBSTITUTE('1000_заявлений'!G641, ".", ","))</f>
        <v>-10772</v>
      </c>
      <c r="H647" s="5">
        <f>VALUE(SUBSTITUTE('1000_заявлений'!H641, ".", ","))</f>
        <v>-3022</v>
      </c>
      <c r="I647" s="4">
        <f>VALUE(SUBSTITUTE('1000_заявлений'!I641, ".", ","))</f>
        <v>0.35308</v>
      </c>
      <c r="J647" s="4">
        <f>VALUE(SUBSTITUTE('1000_заявлений'!J641, ".", ","))</f>
        <v>4.1322313349679796</v>
      </c>
      <c r="K647" s="5">
        <f>VALUE(SUBSTITUTE('1000_заявлений'!K641, ".", ","))</f>
        <v>-241</v>
      </c>
      <c r="L647" s="6">
        <f>VALUE(SUBSTITUTE('1000_заявлений'!L641, ".", ","))</f>
        <v>39721.5</v>
      </c>
      <c r="M647" s="2" t="str">
        <f>IF(Данные6[[#This Row],[proba]]&gt;$C$6, "отказ", "одобрение")</f>
        <v>отказ</v>
      </c>
      <c r="N647" s="7">
        <f>IF(Данные6[[#This Row],[proba]]&lt;$D$2,$C$2,IF(Данные6[[#This Row],[proba]]&lt;$D$3,$C$3,IF(Данные6[[#This Row],[proba]]&gt;$C$6,0,$C$4)))</f>
        <v>0</v>
      </c>
      <c r="O647" s="2">
        <f>IF(Данные6[[#This Row],[weighted_ext_score]]&gt;$O$1,MIN(Данные6[[#This Row],[Базовая сумма]]*$O$2,$C$2),IF(Данные6[[#This Row],[weighted_ext_score]]&lt;$O$3,Данные6[[#This Row],[Базовая сумма]]*$O$4,N647))</f>
        <v>0</v>
      </c>
      <c r="P6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47" s="2">
        <f>ABS(Данные6[[#This Row],[days_birth]])/365.2425</f>
        <v>29.492734279280203</v>
      </c>
      <c r="S6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47" s="2">
        <f>IF(Данные6[[#This Row],[ interest_rate]]&gt;$T$1,Данные6[[#This Row],[days_birth4]]*$T$2,Данные6[[#This Row],[days_birth4]])</f>
        <v>0</v>
      </c>
      <c r="U647" s="2">
        <f>IF(Данные6[[#This Row],[Проверка отказа]]="отказ",0,MAX(Данные6[[#This Row],[interest_rate]],$C$1))</f>
        <v>0</v>
      </c>
      <c r="V647" s="2">
        <f>MROUND(Данные6[[#This Row],[Минимум 20000]], 100)</f>
        <v>0</v>
      </c>
    </row>
    <row r="648" spans="1:22" x14ac:dyDescent="0.25">
      <c r="A648" s="2">
        <f>'1000_заявлений'!A642</f>
        <v>640</v>
      </c>
      <c r="B648" s="4">
        <f>VALUE(SUBSTITUTE('1000_заявлений'!B642, ".", ","))</f>
        <v>0.29360177589190201</v>
      </c>
      <c r="C648" s="4">
        <f>VALUE(SUBSTITUTE('1000_заявлений'!C642, ".", ","))</f>
        <v>0.61684210129934902</v>
      </c>
      <c r="D648" s="4">
        <f>VALUE(SUBSTITUTE('1000_заявлений'!D642, ".", ","))</f>
        <v>0.57444660000000003</v>
      </c>
      <c r="E648" s="4">
        <f>VALUE(SUBSTITUTE('1000_заявлений'!E642, ".", ","))</f>
        <v>0.46046599999999999</v>
      </c>
      <c r="F648" s="5">
        <f>VALUE(SUBSTITUTE('1000_заявлений'!F642, ".", ","))</f>
        <v>-4694</v>
      </c>
      <c r="G648" s="5">
        <f>VALUE(SUBSTITUTE('1000_заявлений'!G642, ".", ","))</f>
        <v>-21207</v>
      </c>
      <c r="H648" s="5">
        <f>VALUE(SUBSTITUTE('1000_заявлений'!H642, ".", ","))</f>
        <v>-364</v>
      </c>
      <c r="I648" s="4">
        <f>VALUE(SUBSTITUTE('1000_заявлений'!I642, ".", ","))</f>
        <v>0.23430000000000001</v>
      </c>
      <c r="J648" s="4">
        <f>VALUE(SUBSTITUTE('1000_заявлений'!J642, ".", ","))</f>
        <v>4.2466283018955204</v>
      </c>
      <c r="K648" s="5">
        <f>VALUE(SUBSTITUTE('1000_заявлений'!K642, ".", ","))</f>
        <v>365243</v>
      </c>
      <c r="L648" s="6">
        <f>VALUE(SUBSTITUTE('1000_заявлений'!L642, ".", ","))</f>
        <v>31630.5</v>
      </c>
      <c r="M648" s="2" t="str">
        <f>IF(Данные6[[#This Row],[proba]]&gt;$C$6, "отказ", "одобрение")</f>
        <v>одобрение</v>
      </c>
      <c r="N648" s="7">
        <f>IF(Данные6[[#This Row],[proba]]&lt;$D$2,$C$2,IF(Данные6[[#This Row],[proba]]&lt;$D$3,$C$3,IF(Данные6[[#This Row],[proba]]&gt;$C$6,0,$C$4)))</f>
        <v>50000</v>
      </c>
      <c r="O648" s="2">
        <f>IF(Данные6[[#This Row],[weighted_ext_score]]&gt;$O$1,MIN(Данные6[[#This Row],[Базовая сумма]]*$O$2,$C$2),IF(Данные6[[#This Row],[weighted_ext_score]]&lt;$O$3,Данные6[[#This Row],[Базовая сумма]]*$O$4,N648))</f>
        <v>50000</v>
      </c>
      <c r="P6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648" s="2">
        <f>ABS(Данные6[[#This Row],[days_birth]])/365.2425</f>
        <v>58.062793897205282</v>
      </c>
      <c r="S6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648" s="2">
        <f>IF(Данные6[[#This Row],[ interest_rate]]&gt;$T$1,Данные6[[#This Row],[days_birth4]]*$T$2,Данные6[[#This Row],[days_birth4]])</f>
        <v>52500</v>
      </c>
      <c r="U648" s="2">
        <f>IF(Данные6[[#This Row],[Проверка отказа]]="отказ",0,MAX(Данные6[[#This Row],[interest_rate]],$C$1))</f>
        <v>52500</v>
      </c>
      <c r="V648" s="2">
        <f>MROUND(Данные6[[#This Row],[Минимум 20000]], 100)</f>
        <v>52500</v>
      </c>
    </row>
    <row r="649" spans="1:22" x14ac:dyDescent="0.25">
      <c r="A649" s="2">
        <f>'1000_заявлений'!A643</f>
        <v>641</v>
      </c>
      <c r="B649" s="4">
        <f>VALUE(SUBSTITUTE('1000_заявлений'!B643, ".", ","))</f>
        <v>0.219090193240741</v>
      </c>
      <c r="C649" s="4">
        <f>VALUE(SUBSTITUTE('1000_заявлений'!C643, ".", ","))</f>
        <v>0.63040013317414501</v>
      </c>
      <c r="D649" s="4">
        <f>VALUE(SUBSTITUTE('1000_заявлений'!D643, ".", ","))</f>
        <v>0.49927201999999998</v>
      </c>
      <c r="E649" s="4">
        <f>VALUE(SUBSTITUTE('1000_заявлений'!E643, ".", ","))</f>
        <v>0.7334233</v>
      </c>
      <c r="F649" s="5">
        <f>VALUE(SUBSTITUTE('1000_заявлений'!F643, ".", ","))</f>
        <v>-4186</v>
      </c>
      <c r="G649" s="5">
        <f>VALUE(SUBSTITUTE('1000_заявлений'!G643, ".", ","))</f>
        <v>-20934</v>
      </c>
      <c r="H649" s="5">
        <f>VALUE(SUBSTITUTE('1000_заявлений'!H643, ".", ","))</f>
        <v>-4341</v>
      </c>
      <c r="I649" s="4">
        <f>VALUE(SUBSTITUTE('1000_заявлений'!I643, ".", ","))</f>
        <v>8.3952380952380903E-2</v>
      </c>
      <c r="J649" s="4">
        <f>VALUE(SUBSTITUTE('1000_заявлений'!J643, ".", ","))</f>
        <v>6.08442708481331</v>
      </c>
      <c r="K649" s="5">
        <f>VALUE(SUBSTITUTE('1000_заявлений'!K643, ".", ","))</f>
        <v>-4371</v>
      </c>
      <c r="L649" s="6">
        <f>VALUE(SUBSTITUTE('1000_заявлений'!L643, ".", ","))</f>
        <v>7933.5</v>
      </c>
      <c r="M649" s="2" t="str">
        <f>IF(Данные6[[#This Row],[proba]]&gt;$C$6, "отказ", "одобрение")</f>
        <v>одобрение</v>
      </c>
      <c r="N649" s="7">
        <f>IF(Данные6[[#This Row],[proba]]&lt;$D$2,$C$2,IF(Данные6[[#This Row],[proba]]&lt;$D$3,$C$3,IF(Данные6[[#This Row],[proba]]&gt;$C$6,0,$C$4)))</f>
        <v>50000</v>
      </c>
      <c r="O649" s="2">
        <f>IF(Данные6[[#This Row],[weighted_ext_score]]&gt;$O$1,MIN(Данные6[[#This Row],[Базовая сумма]]*$O$2,$C$2),IF(Данные6[[#This Row],[weighted_ext_score]]&lt;$O$3,Данные6[[#This Row],[Базовая сумма]]*$O$4,N649))</f>
        <v>50000</v>
      </c>
      <c r="P6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6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72000</v>
      </c>
      <c r="R649" s="2">
        <f>ABS(Данные6[[#This Row],[days_birth]])/365.2425</f>
        <v>57.315345284297415</v>
      </c>
      <c r="S6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75600</v>
      </c>
      <c r="T649" s="2">
        <f>IF(Данные6[[#This Row],[ interest_rate]]&gt;$T$1,Данные6[[#This Row],[days_birth4]]*$T$2,Данные6[[#This Row],[days_birth4]])</f>
        <v>75600</v>
      </c>
      <c r="U649" s="2">
        <f>IF(Данные6[[#This Row],[Проверка отказа]]="отказ",0,MAX(Данные6[[#This Row],[interest_rate]],$C$1))</f>
        <v>75600</v>
      </c>
      <c r="V649" s="2">
        <f>MROUND(Данные6[[#This Row],[Минимум 20000]], 100)</f>
        <v>75600</v>
      </c>
    </row>
    <row r="650" spans="1:22" x14ac:dyDescent="0.25">
      <c r="A650" s="2">
        <f>'1000_заявлений'!A644</f>
        <v>642</v>
      </c>
      <c r="B650" s="4">
        <f>VALUE(SUBSTITUTE('1000_заявлений'!B644, ".", ","))</f>
        <v>0.46611583315161897</v>
      </c>
      <c r="C650" s="4">
        <f>VALUE(SUBSTITUTE('1000_заявлений'!C644, ".", ","))</f>
        <v>0.34011698452108402</v>
      </c>
      <c r="D650" s="4">
        <f>VALUE(SUBSTITUTE('1000_заявлений'!D644, ".", ","))</f>
        <v>0.35729327999999999</v>
      </c>
      <c r="E650" s="4">
        <f>VALUE(SUBSTITUTE('1000_заявлений'!E644, ".", ","))</f>
        <v>0.65015820000000002</v>
      </c>
      <c r="F650" s="5">
        <f>VALUE(SUBSTITUTE('1000_заявлений'!F644, ".", ","))</f>
        <v>-11205</v>
      </c>
      <c r="G650" s="5">
        <f>VALUE(SUBSTITUTE('1000_заявлений'!G644, ".", ","))</f>
        <v>-18776</v>
      </c>
      <c r="H650" s="5">
        <f>VALUE(SUBSTITUTE('1000_заявлений'!H644, ".", ","))</f>
        <v>-2327</v>
      </c>
      <c r="I650" s="4">
        <f>VALUE(SUBSTITUTE('1000_заявлений'!I644, ".", ","))</f>
        <v>9.5884615384615304E-2</v>
      </c>
      <c r="J650" s="4">
        <f>VALUE(SUBSTITUTE('1000_заявлений'!J644, ".", ","))</f>
        <v>3.3105015253756802</v>
      </c>
      <c r="K650" s="5">
        <f>VALUE(SUBSTITUTE('1000_заявлений'!K644, ".", ","))</f>
        <v>-778</v>
      </c>
      <c r="L650" s="6">
        <f>VALUE(SUBSTITUTE('1000_заявлений'!L644, ".", ","))</f>
        <v>22437</v>
      </c>
      <c r="M650" s="2" t="str">
        <f>IF(Данные6[[#This Row],[proba]]&gt;$C$6, "отказ", "одобрение")</f>
        <v>отказ</v>
      </c>
      <c r="N650" s="7">
        <f>IF(Данные6[[#This Row],[proba]]&lt;$D$2,$C$2,IF(Данные6[[#This Row],[proba]]&lt;$D$3,$C$3,IF(Данные6[[#This Row],[proba]]&gt;$C$6,0,$C$4)))</f>
        <v>0</v>
      </c>
      <c r="O650" s="2">
        <f>IF(Данные6[[#This Row],[weighted_ext_score]]&gt;$O$1,MIN(Данные6[[#This Row],[Базовая сумма]]*$O$2,$C$2),IF(Данные6[[#This Row],[weighted_ext_score]]&lt;$O$3,Данные6[[#This Row],[Базовая сумма]]*$O$4,N650))</f>
        <v>0</v>
      </c>
      <c r="P6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0" s="2">
        <f>ABS(Данные6[[#This Row],[days_birth]])/365.2425</f>
        <v>51.406941963216219</v>
      </c>
      <c r="S6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0" s="2">
        <f>IF(Данные6[[#This Row],[ interest_rate]]&gt;$T$1,Данные6[[#This Row],[days_birth4]]*$T$2,Данные6[[#This Row],[days_birth4]])</f>
        <v>0</v>
      </c>
      <c r="U650" s="2">
        <f>IF(Данные6[[#This Row],[Проверка отказа]]="отказ",0,MAX(Данные6[[#This Row],[interest_rate]],$C$1))</f>
        <v>0</v>
      </c>
      <c r="V650" s="2">
        <f>MROUND(Данные6[[#This Row],[Минимум 20000]], 100)</f>
        <v>0</v>
      </c>
    </row>
    <row r="651" spans="1:22" x14ac:dyDescent="0.25">
      <c r="A651" s="2">
        <f>'1000_заявлений'!A645</f>
        <v>643</v>
      </c>
      <c r="B651" s="4">
        <f>VALUE(SUBSTITUTE('1000_заявлений'!B645, ".", ","))</f>
        <v>0.443136143719635</v>
      </c>
      <c r="C651" s="4">
        <f>VALUE(SUBSTITUTE('1000_заявлений'!C645, ".", ","))</f>
        <v>0.51543538468748595</v>
      </c>
      <c r="D651" s="4">
        <f>VALUE(SUBSTITUTE('1000_заявлений'!D645, ".", ","))</f>
        <v>0.47405130000000001</v>
      </c>
      <c r="E651" s="4">
        <f>VALUE(SUBSTITUTE('1000_заявлений'!E645, ".", ","))</f>
        <v>0.53833690000000001</v>
      </c>
      <c r="F651" s="5">
        <f>VALUE(SUBSTITUTE('1000_заявлений'!F645, ".", ","))</f>
        <v>-4809</v>
      </c>
      <c r="G651" s="5">
        <f>VALUE(SUBSTITUTE('1000_заявлений'!G645, ".", ","))</f>
        <v>-11195</v>
      </c>
      <c r="H651" s="5">
        <f>VALUE(SUBSTITUTE('1000_заявлений'!H645, ".", ","))</f>
        <v>-3291</v>
      </c>
      <c r="I651" s="4">
        <f>VALUE(SUBSTITUTE('1000_заявлений'!I645, ".", ","))</f>
        <v>0.17644444444444399</v>
      </c>
      <c r="J651" s="4">
        <f>VALUE(SUBSTITUTE('1000_заявлений'!J645, ".", ","))</f>
        <v>0.147189663201863</v>
      </c>
      <c r="K651" s="5">
        <f>VALUE(SUBSTITUTE('1000_заявлений'!K645, ".", ","))</f>
        <v>-491</v>
      </c>
      <c r="L651" s="6">
        <f>VALUE(SUBSTITUTE('1000_заявлений'!L645, ".", ","))</f>
        <v>35730</v>
      </c>
      <c r="M651" s="2" t="str">
        <f>IF(Данные6[[#This Row],[proba]]&gt;$C$6, "отказ", "одобрение")</f>
        <v>отказ</v>
      </c>
      <c r="N651" s="7">
        <f>IF(Данные6[[#This Row],[proba]]&lt;$D$2,$C$2,IF(Данные6[[#This Row],[proba]]&lt;$D$3,$C$3,IF(Данные6[[#This Row],[proba]]&gt;$C$6,0,$C$4)))</f>
        <v>0</v>
      </c>
      <c r="O651" s="2">
        <f>IF(Данные6[[#This Row],[weighted_ext_score]]&gt;$O$1,MIN(Данные6[[#This Row],[Базовая сумма]]*$O$2,$C$2),IF(Данные6[[#This Row],[weighted_ext_score]]&lt;$O$3,Данные6[[#This Row],[Базовая сумма]]*$O$4,N651))</f>
        <v>0</v>
      </c>
      <c r="P6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1" s="2">
        <f>ABS(Данные6[[#This Row],[days_birth]])/365.2425</f>
        <v>30.650868943236343</v>
      </c>
      <c r="S6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1" s="2">
        <f>IF(Данные6[[#This Row],[ interest_rate]]&gt;$T$1,Данные6[[#This Row],[days_birth4]]*$T$2,Данные6[[#This Row],[days_birth4]])</f>
        <v>0</v>
      </c>
      <c r="U651" s="2">
        <f>IF(Данные6[[#This Row],[Проверка отказа]]="отказ",0,MAX(Данные6[[#This Row],[interest_rate]],$C$1))</f>
        <v>0</v>
      </c>
      <c r="V651" s="2">
        <f>MROUND(Данные6[[#This Row],[Минимум 20000]], 100)</f>
        <v>0</v>
      </c>
    </row>
    <row r="652" spans="1:22" x14ac:dyDescent="0.25">
      <c r="A652" s="2">
        <f>'1000_заявлений'!A646</f>
        <v>644</v>
      </c>
      <c r="B652" s="4">
        <f>VALUE(SUBSTITUTE('1000_заявлений'!B646, ".", ","))</f>
        <v>0.57647371997197905</v>
      </c>
      <c r="C652" s="4">
        <f>VALUE(SUBSTITUTE('1000_заявлений'!C646, ".", ","))</f>
        <v>0.33521796074103699</v>
      </c>
      <c r="D652" s="4">
        <f>VALUE(SUBSTITUTE('1000_заявлений'!D646, ".", ","))</f>
        <v>0.41709964999999999</v>
      </c>
      <c r="E652" s="4">
        <f>VALUE(SUBSTITUTE('1000_заявлений'!E646, ".", ","))</f>
        <v>0.43133690000000002</v>
      </c>
      <c r="F652" s="5">
        <f>VALUE(SUBSTITUTE('1000_заявлений'!F646, ".", ","))</f>
        <v>-2475</v>
      </c>
      <c r="G652" s="5">
        <f>VALUE(SUBSTITUTE('1000_заявлений'!G646, ".", ","))</f>
        <v>-11530</v>
      </c>
      <c r="H652" s="5">
        <f>VALUE(SUBSTITUTE('1000_заявлений'!H646, ".", ","))</f>
        <v>-4000</v>
      </c>
      <c r="I652" s="4">
        <f>VALUE(SUBSTITUTE('1000_заявлений'!I646, ".", ","))</f>
        <v>0.125475</v>
      </c>
      <c r="J652" s="4">
        <f>VALUE(SUBSTITUTE('1000_заявлений'!J646, ".", ","))</f>
        <v>4.6346865333209903</v>
      </c>
      <c r="K652" s="5">
        <f>VALUE(SUBSTITUTE('1000_заявлений'!K646, ".", ","))</f>
        <v>-2479</v>
      </c>
      <c r="L652" s="6">
        <f>VALUE(SUBSTITUTE('1000_заявлений'!L646, ".", ","))</f>
        <v>22585.5</v>
      </c>
      <c r="M652" s="2" t="str">
        <f>IF(Данные6[[#This Row],[proba]]&gt;$C$6, "отказ", "одобрение")</f>
        <v>отказ</v>
      </c>
      <c r="N652" s="7">
        <f>IF(Данные6[[#This Row],[proba]]&lt;$D$2,$C$2,IF(Данные6[[#This Row],[proba]]&lt;$D$3,$C$3,IF(Данные6[[#This Row],[proba]]&gt;$C$6,0,$C$4)))</f>
        <v>0</v>
      </c>
      <c r="O652" s="2">
        <f>IF(Данные6[[#This Row],[weighted_ext_score]]&gt;$O$1,MIN(Данные6[[#This Row],[Базовая сумма]]*$O$2,$C$2),IF(Данные6[[#This Row],[weighted_ext_score]]&lt;$O$3,Данные6[[#This Row],[Базовая сумма]]*$O$4,N652))</f>
        <v>0</v>
      </c>
      <c r="P6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2" s="2">
        <f>ABS(Данные6[[#This Row],[days_birth]])/365.2425</f>
        <v>31.568067790577491</v>
      </c>
      <c r="S6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2" s="2">
        <f>IF(Данные6[[#This Row],[ interest_rate]]&gt;$T$1,Данные6[[#This Row],[days_birth4]]*$T$2,Данные6[[#This Row],[days_birth4]])</f>
        <v>0</v>
      </c>
      <c r="U652" s="2">
        <f>IF(Данные6[[#This Row],[Проверка отказа]]="отказ",0,MAX(Данные6[[#This Row],[interest_rate]],$C$1))</f>
        <v>0</v>
      </c>
      <c r="V652" s="2">
        <f>MROUND(Данные6[[#This Row],[Минимум 20000]], 100)</f>
        <v>0</v>
      </c>
    </row>
    <row r="653" spans="1:22" x14ac:dyDescent="0.25">
      <c r="A653" s="2">
        <f>'1000_заявлений'!A647</f>
        <v>645</v>
      </c>
      <c r="B653" s="4">
        <f>VALUE(SUBSTITUTE('1000_заявлений'!B647, ".", ","))</f>
        <v>0.53899708002076596</v>
      </c>
      <c r="C653" s="4">
        <f>VALUE(SUBSTITUTE('1000_заявлений'!C647, ".", ","))</f>
        <v>0.31670840439541897</v>
      </c>
      <c r="D653" s="4">
        <f>VALUE(SUBSTITUTE('1000_заявлений'!D647, ".", ","))</f>
        <v>0.7223929</v>
      </c>
      <c r="E653" s="4">
        <f>VALUE(SUBSTITUTE('1000_заявлений'!E647, ".", ","))</f>
        <v>0.17092378</v>
      </c>
      <c r="F653" s="5">
        <f>VALUE(SUBSTITUTE('1000_заявлений'!F647, ".", ","))</f>
        <v>-4354</v>
      </c>
      <c r="G653" s="5">
        <f>VALUE(SUBSTITUTE('1000_заявлений'!G647, ".", ","))</f>
        <v>-9612</v>
      </c>
      <c r="H653" s="5">
        <f>VALUE(SUBSTITUTE('1000_заявлений'!H647, ".", ","))</f>
        <v>-2281</v>
      </c>
      <c r="I653" s="4">
        <f>VALUE(SUBSTITUTE('1000_заявлений'!I647, ".", ","))</f>
        <v>0.1216</v>
      </c>
      <c r="J653" s="4">
        <f>VALUE(SUBSTITUTE('1000_заявлений'!J647, ".", ","))</f>
        <v>7.4034534250056101</v>
      </c>
      <c r="K653" s="5">
        <f>VALUE(SUBSTITUTE('1000_заявлений'!K647, ".", ","))</f>
        <v>-809</v>
      </c>
      <c r="L653" s="6">
        <f>VALUE(SUBSTITUTE('1000_заявлений'!L647, ".", ","))</f>
        <v>16416</v>
      </c>
      <c r="M653" s="2" t="str">
        <f>IF(Данные6[[#This Row],[proba]]&gt;$C$6, "отказ", "одобрение")</f>
        <v>отказ</v>
      </c>
      <c r="N653" s="7">
        <f>IF(Данные6[[#This Row],[proba]]&lt;$D$2,$C$2,IF(Данные6[[#This Row],[proba]]&lt;$D$3,$C$3,IF(Данные6[[#This Row],[proba]]&gt;$C$6,0,$C$4)))</f>
        <v>0</v>
      </c>
      <c r="O653" s="2">
        <f>IF(Данные6[[#This Row],[weighted_ext_score]]&gt;$O$1,MIN(Данные6[[#This Row],[Базовая сумма]]*$O$2,$C$2),IF(Данные6[[#This Row],[weighted_ext_score]]&lt;$O$3,Данные6[[#This Row],[Базовая сумма]]*$O$4,N653))</f>
        <v>0</v>
      </c>
      <c r="P6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3" s="2">
        <f>ABS(Данные6[[#This Row],[days_birth]])/365.2425</f>
        <v>26.316762151173535</v>
      </c>
      <c r="S6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3" s="2">
        <f>IF(Данные6[[#This Row],[ interest_rate]]&gt;$T$1,Данные6[[#This Row],[days_birth4]]*$T$2,Данные6[[#This Row],[days_birth4]])</f>
        <v>0</v>
      </c>
      <c r="U653" s="2">
        <f>IF(Данные6[[#This Row],[Проверка отказа]]="отказ",0,MAX(Данные6[[#This Row],[interest_rate]],$C$1))</f>
        <v>0</v>
      </c>
      <c r="V653" s="2">
        <f>MROUND(Данные6[[#This Row],[Минимум 20000]], 100)</f>
        <v>0</v>
      </c>
    </row>
    <row r="654" spans="1:22" x14ac:dyDescent="0.25">
      <c r="A654" s="2">
        <f>'1000_заявлений'!A648</f>
        <v>646</v>
      </c>
      <c r="B654" s="4">
        <f>VALUE(SUBSTITUTE('1000_заявлений'!B648, ".", ","))</f>
        <v>0.68942711884866603</v>
      </c>
      <c r="C654" s="4">
        <f>VALUE(SUBSTITUTE('1000_заявлений'!C648, ".", ","))</f>
        <v>0.227342433027166</v>
      </c>
      <c r="D654" s="4">
        <f>VALUE(SUBSTITUTE('1000_заявлений'!D648, ".", ","))</f>
        <v>4.8925864999999999E-2</v>
      </c>
      <c r="E654" s="4">
        <f>VALUE(SUBSTITUTE('1000_заявлений'!E648, ".", ","))</f>
        <v>0.64630880000000002</v>
      </c>
      <c r="F654" s="5">
        <f>VALUE(SUBSTITUTE('1000_заявлений'!F648, ".", ","))</f>
        <v>-7993</v>
      </c>
      <c r="G654" s="5">
        <f>VALUE(SUBSTITUTE('1000_заявлений'!G648, ".", ","))</f>
        <v>-19032</v>
      </c>
      <c r="H654" s="5">
        <f>VALUE(SUBSTITUTE('1000_заявлений'!H648, ".", ","))</f>
        <v>-2567</v>
      </c>
      <c r="I654" s="4">
        <f>VALUE(SUBSTITUTE('1000_заявлений'!I648, ".", ","))</f>
        <v>0.13493333333333299</v>
      </c>
      <c r="J654" s="4">
        <f>VALUE(SUBSTITUTE('1000_заявлений'!J648, ".", ","))</f>
        <v>4.3425486746510904</v>
      </c>
      <c r="K654" s="5">
        <f>VALUE(SUBSTITUTE('1000_заявлений'!K648, ".", ","))</f>
        <v>-3776</v>
      </c>
      <c r="L654" s="6">
        <f>VALUE(SUBSTITUTE('1000_заявлений'!L648, ".", ","))</f>
        <v>27324</v>
      </c>
      <c r="M654" s="2" t="str">
        <f>IF(Данные6[[#This Row],[proba]]&gt;$C$6, "отказ", "одобрение")</f>
        <v>отказ</v>
      </c>
      <c r="N654" s="7">
        <f>IF(Данные6[[#This Row],[proba]]&lt;$D$2,$C$2,IF(Данные6[[#This Row],[proba]]&lt;$D$3,$C$3,IF(Данные6[[#This Row],[proba]]&gt;$C$6,0,$C$4)))</f>
        <v>0</v>
      </c>
      <c r="O654" s="2">
        <f>IF(Данные6[[#This Row],[weighted_ext_score]]&gt;$O$1,MIN(Данные6[[#This Row],[Базовая сумма]]*$O$2,$C$2),IF(Данные6[[#This Row],[weighted_ext_score]]&lt;$O$3,Данные6[[#This Row],[Базовая сумма]]*$O$4,N654))</f>
        <v>0</v>
      </c>
      <c r="P6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4" s="2">
        <f>ABS(Данные6[[#This Row],[days_birth]])/365.2425</f>
        <v>52.107846157005277</v>
      </c>
      <c r="S6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4" s="2">
        <f>IF(Данные6[[#This Row],[ interest_rate]]&gt;$T$1,Данные6[[#This Row],[days_birth4]]*$T$2,Данные6[[#This Row],[days_birth4]])</f>
        <v>0</v>
      </c>
      <c r="U654" s="2">
        <f>IF(Данные6[[#This Row],[Проверка отказа]]="отказ",0,MAX(Данные6[[#This Row],[interest_rate]],$C$1))</f>
        <v>0</v>
      </c>
      <c r="V654" s="2">
        <f>MROUND(Данные6[[#This Row],[Минимум 20000]], 100)</f>
        <v>0</v>
      </c>
    </row>
    <row r="655" spans="1:22" x14ac:dyDescent="0.25">
      <c r="A655" s="2">
        <f>'1000_заявлений'!A649</f>
        <v>647</v>
      </c>
      <c r="B655" s="4">
        <f>VALUE(SUBSTITUTE('1000_заявлений'!B649, ".", ","))</f>
        <v>0.50909250603085399</v>
      </c>
      <c r="C655" s="4">
        <f>VALUE(SUBSTITUTE('1000_заявлений'!C649, ".", ","))</f>
        <v>0.39076926178528298</v>
      </c>
      <c r="D655" s="4">
        <f>VALUE(SUBSTITUTE('1000_заявлений'!D649, ".", ","))</f>
        <v>0.59371759999999996</v>
      </c>
      <c r="E655" s="4">
        <f>VALUE(SUBSTITUTE('1000_заявлений'!E649, ".", ","))</f>
        <v>0.44017046999999998</v>
      </c>
      <c r="F655" s="5">
        <f>VALUE(SUBSTITUTE('1000_заявлений'!F649, ".", ","))</f>
        <v>-572</v>
      </c>
      <c r="G655" s="5">
        <f>VALUE(SUBSTITUTE('1000_заявлений'!G649, ".", ","))</f>
        <v>-10351</v>
      </c>
      <c r="H655" s="5">
        <f>VALUE(SUBSTITUTE('1000_заявлений'!H649, ".", ","))</f>
        <v>-2981</v>
      </c>
      <c r="I655" s="4">
        <f>VALUE(SUBSTITUTE('1000_заявлений'!I649, ".", ","))</f>
        <v>0.31844</v>
      </c>
      <c r="J655" s="4">
        <f>VALUE(SUBSTITUTE('1000_заявлений'!J649, ".", ","))</f>
        <v>5.3612428368247</v>
      </c>
      <c r="K655" s="5">
        <f>VALUE(SUBSTITUTE('1000_заявлений'!K649, ".", ","))</f>
        <v>-1152</v>
      </c>
      <c r="L655" s="6">
        <f>VALUE(SUBSTITUTE('1000_заявлений'!L649, ".", ","))</f>
        <v>35824.5</v>
      </c>
      <c r="M655" s="2" t="str">
        <f>IF(Данные6[[#This Row],[proba]]&gt;$C$6, "отказ", "одобрение")</f>
        <v>отказ</v>
      </c>
      <c r="N655" s="7">
        <f>IF(Данные6[[#This Row],[proba]]&lt;$D$2,$C$2,IF(Данные6[[#This Row],[proba]]&lt;$D$3,$C$3,IF(Данные6[[#This Row],[proba]]&gt;$C$6,0,$C$4)))</f>
        <v>0</v>
      </c>
      <c r="O655" s="2">
        <f>IF(Данные6[[#This Row],[weighted_ext_score]]&gt;$O$1,MIN(Данные6[[#This Row],[Базовая сумма]]*$O$2,$C$2),IF(Данные6[[#This Row],[weighted_ext_score]]&lt;$O$3,Данные6[[#This Row],[Базовая сумма]]*$O$4,N655))</f>
        <v>0</v>
      </c>
      <c r="P6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5" s="2">
        <f>ABS(Данные6[[#This Row],[days_birth]])/365.2425</f>
        <v>28.340075429338043</v>
      </c>
      <c r="S6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5" s="2">
        <f>IF(Данные6[[#This Row],[ interest_rate]]&gt;$T$1,Данные6[[#This Row],[days_birth4]]*$T$2,Данные6[[#This Row],[days_birth4]])</f>
        <v>0</v>
      </c>
      <c r="U655" s="2">
        <f>IF(Данные6[[#This Row],[Проверка отказа]]="отказ",0,MAX(Данные6[[#This Row],[interest_rate]],$C$1))</f>
        <v>0</v>
      </c>
      <c r="V655" s="2">
        <f>MROUND(Данные6[[#This Row],[Минимум 20000]], 100)</f>
        <v>0</v>
      </c>
    </row>
    <row r="656" spans="1:22" x14ac:dyDescent="0.25">
      <c r="A656" s="2">
        <f>'1000_заявлений'!A650</f>
        <v>648</v>
      </c>
      <c r="B656" s="4">
        <f>VALUE(SUBSTITUTE('1000_заявлений'!B650, ".", ","))</f>
        <v>0.53162654693568701</v>
      </c>
      <c r="C656" s="4">
        <f>VALUE(SUBSTITUTE('1000_заявлений'!C650, ".", ","))</f>
        <v>0.30947564431161201</v>
      </c>
      <c r="D656" s="4">
        <f>VALUE(SUBSTITUTE('1000_заявлений'!D650, ".", ","))</f>
        <v>0.45253357</v>
      </c>
      <c r="E656" s="4">
        <f>VALUE(SUBSTITUTE('1000_заявлений'!E650, ".", ","))</f>
        <v>0.4495074</v>
      </c>
      <c r="F656" s="5">
        <f>VALUE(SUBSTITUTE('1000_заявлений'!F650, ".", ","))</f>
        <v>-5906</v>
      </c>
      <c r="G656" s="5">
        <f>VALUE(SUBSTITUTE('1000_заявлений'!G650, ".", ","))</f>
        <v>-16378</v>
      </c>
      <c r="H656" s="5">
        <f>VALUE(SUBSTITUTE('1000_заявлений'!H650, ".", ","))</f>
        <v>-5423</v>
      </c>
      <c r="I656" s="4">
        <f>VALUE(SUBSTITUTE('1000_заявлений'!I650, ".", ","))</f>
        <v>0.114230769230769</v>
      </c>
      <c r="J656" s="4">
        <f>VALUE(SUBSTITUTE('1000_заявлений'!J650, ".", ","))</f>
        <v>1.89770631998214</v>
      </c>
      <c r="K656" s="5">
        <f>VALUE(SUBSTITUTE('1000_заявлений'!K650, ".", ","))</f>
        <v>-379</v>
      </c>
      <c r="L656" s="6">
        <f>VALUE(SUBSTITUTE('1000_заявлений'!L650, ".", ","))</f>
        <v>13365</v>
      </c>
      <c r="M656" s="2" t="str">
        <f>IF(Данные6[[#This Row],[proba]]&gt;$C$6, "отказ", "одобрение")</f>
        <v>отказ</v>
      </c>
      <c r="N656" s="7">
        <f>IF(Данные6[[#This Row],[proba]]&lt;$D$2,$C$2,IF(Данные6[[#This Row],[proba]]&lt;$D$3,$C$3,IF(Данные6[[#This Row],[proba]]&gt;$C$6,0,$C$4)))</f>
        <v>0</v>
      </c>
      <c r="O656" s="2">
        <f>IF(Данные6[[#This Row],[weighted_ext_score]]&gt;$O$1,MIN(Данные6[[#This Row],[Базовая сумма]]*$O$2,$C$2),IF(Данные6[[#This Row],[weighted_ext_score]]&lt;$O$3,Данные6[[#This Row],[Базовая сумма]]*$O$4,N656))</f>
        <v>0</v>
      </c>
      <c r="P6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6" s="2">
        <f>ABS(Данные6[[#This Row],[days_birth]])/365.2425</f>
        <v>44.841440960457774</v>
      </c>
      <c r="S6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6" s="2">
        <f>IF(Данные6[[#This Row],[ interest_rate]]&gt;$T$1,Данные6[[#This Row],[days_birth4]]*$T$2,Данные6[[#This Row],[days_birth4]])</f>
        <v>0</v>
      </c>
      <c r="U656" s="2">
        <f>IF(Данные6[[#This Row],[Проверка отказа]]="отказ",0,MAX(Данные6[[#This Row],[interest_rate]],$C$1))</f>
        <v>0</v>
      </c>
      <c r="V656" s="2">
        <f>MROUND(Данные6[[#This Row],[Минимум 20000]], 100)</f>
        <v>0</v>
      </c>
    </row>
    <row r="657" spans="1:22" x14ac:dyDescent="0.25">
      <c r="A657" s="2">
        <f>'1000_заявлений'!A651</f>
        <v>649</v>
      </c>
      <c r="B657" s="4">
        <f>VALUE(SUBSTITUTE('1000_заявлений'!B651, ".", ","))</f>
        <v>0.71097785226259602</v>
      </c>
      <c r="C657" s="4">
        <f>VALUE(SUBSTITUTE('1000_заявлений'!C651, ".", ","))</f>
        <v>8.6043026072538706E-2</v>
      </c>
      <c r="D657" s="4">
        <f>VALUE(SUBSTITUTE('1000_заявлений'!D651, ".", ","))</f>
        <v>0.53527623000000002</v>
      </c>
      <c r="E657" s="4">
        <f>VALUE(SUBSTITUTE('1000_заявлений'!E651, ".", ","))</f>
        <v>0.26525634999999997</v>
      </c>
      <c r="F657" s="5">
        <f>VALUE(SUBSTITUTE('1000_заявлений'!F651, ".", ","))</f>
        <v>-10484</v>
      </c>
      <c r="G657" s="5">
        <f>VALUE(SUBSTITUTE('1000_заявлений'!G651, ".", ","))</f>
        <v>-19381</v>
      </c>
      <c r="H657" s="5">
        <f>VALUE(SUBSTITUTE('1000_заявлений'!H651, ".", ","))</f>
        <v>-2579</v>
      </c>
      <c r="I657" s="4">
        <f>VALUE(SUBSTITUTE('1000_заявлений'!I651, ".", ","))</f>
        <v>0.36227999999999999</v>
      </c>
      <c r="J657" s="4">
        <f>VALUE(SUBSTITUTE('1000_заявлений'!J651, ".", ","))</f>
        <v>1.47486764754836</v>
      </c>
      <c r="K657" s="5">
        <f>VALUE(SUBSTITUTE('1000_заявлений'!K651, ".", ","))</f>
        <v>-119</v>
      </c>
      <c r="L657" s="6">
        <f>VALUE(SUBSTITUTE('1000_заявлений'!L651, ".", ","))</f>
        <v>40756.5</v>
      </c>
      <c r="M657" s="2" t="str">
        <f>IF(Данные6[[#This Row],[proba]]&gt;$C$6, "отказ", "одобрение")</f>
        <v>отказ</v>
      </c>
      <c r="N657" s="7">
        <f>IF(Данные6[[#This Row],[proba]]&lt;$D$2,$C$2,IF(Данные6[[#This Row],[proba]]&lt;$D$3,$C$3,IF(Данные6[[#This Row],[proba]]&gt;$C$6,0,$C$4)))</f>
        <v>0</v>
      </c>
      <c r="O657" s="2">
        <f>IF(Данные6[[#This Row],[weighted_ext_score]]&gt;$O$1,MIN(Данные6[[#This Row],[Базовая сумма]]*$O$2,$C$2),IF(Данные6[[#This Row],[weighted_ext_score]]&lt;$O$3,Данные6[[#This Row],[Базовая сумма]]*$O$4,N657))</f>
        <v>0</v>
      </c>
      <c r="P6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7" s="2">
        <f>ABS(Данные6[[#This Row],[days_birth]])/365.2425</f>
        <v>53.063375702444269</v>
      </c>
      <c r="S6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7" s="2">
        <f>IF(Данные6[[#This Row],[ interest_rate]]&gt;$T$1,Данные6[[#This Row],[days_birth4]]*$T$2,Данные6[[#This Row],[days_birth4]])</f>
        <v>0</v>
      </c>
      <c r="U657" s="2">
        <f>IF(Данные6[[#This Row],[Проверка отказа]]="отказ",0,MAX(Данные6[[#This Row],[interest_rate]],$C$1))</f>
        <v>0</v>
      </c>
      <c r="V657" s="2">
        <f>MROUND(Данные6[[#This Row],[Минимум 20000]], 100)</f>
        <v>0</v>
      </c>
    </row>
    <row r="658" spans="1:22" x14ac:dyDescent="0.25">
      <c r="A658" s="2">
        <f>'1000_заявлений'!A652</f>
        <v>650</v>
      </c>
      <c r="B658" s="4">
        <f>VALUE(SUBSTITUTE('1000_заявлений'!B652, ".", ","))</f>
        <v>0.52867975020543501</v>
      </c>
      <c r="C658" s="4">
        <f>VALUE(SUBSTITUTE('1000_заявлений'!C652, ".", ","))</f>
        <v>0.31075074092951599</v>
      </c>
      <c r="D658" s="4">
        <f>VALUE(SUBSTITUTE('1000_заявлений'!D652, ".", ","))</f>
        <v>0.45432106</v>
      </c>
      <c r="E658" s="4">
        <f>VALUE(SUBSTITUTE('1000_заявлений'!E652, ".", ","))</f>
        <v>0.45144533999999997</v>
      </c>
      <c r="F658" s="5">
        <f>VALUE(SUBSTITUTE('1000_заявлений'!F652, ".", ","))</f>
        <v>-2801</v>
      </c>
      <c r="G658" s="5">
        <f>VALUE(SUBSTITUTE('1000_заявлений'!G652, ".", ","))</f>
        <v>-12651</v>
      </c>
      <c r="H658" s="5">
        <f>VALUE(SUBSTITUTE('1000_заявлений'!H652, ".", ","))</f>
        <v>-5085</v>
      </c>
      <c r="I658" s="4">
        <f>VALUE(SUBSTITUTE('1000_заявлений'!I652, ".", ","))</f>
        <v>9.5133333333333306E-2</v>
      </c>
      <c r="J658" s="4">
        <f>VALUE(SUBSTITUTE('1000_заявлений'!J652, ".", ","))</f>
        <v>6.1380826058724498</v>
      </c>
      <c r="K658" s="5">
        <f>VALUE(SUBSTITUTE('1000_заявлений'!K652, ".", ","))</f>
        <v>-4827</v>
      </c>
      <c r="L658" s="6">
        <f>VALUE(SUBSTITUTE('1000_заявлений'!L652, ".", ","))</f>
        <v>19264.5</v>
      </c>
      <c r="M658" s="2" t="str">
        <f>IF(Данные6[[#This Row],[proba]]&gt;$C$6, "отказ", "одобрение")</f>
        <v>отказ</v>
      </c>
      <c r="N658" s="7">
        <f>IF(Данные6[[#This Row],[proba]]&lt;$D$2,$C$2,IF(Данные6[[#This Row],[proba]]&lt;$D$3,$C$3,IF(Данные6[[#This Row],[proba]]&gt;$C$6,0,$C$4)))</f>
        <v>0</v>
      </c>
      <c r="O658" s="2">
        <f>IF(Данные6[[#This Row],[weighted_ext_score]]&gt;$O$1,MIN(Данные6[[#This Row],[Базовая сумма]]*$O$2,$C$2),IF(Данные6[[#This Row],[weighted_ext_score]]&lt;$O$3,Данные6[[#This Row],[Базовая сумма]]*$O$4,N658))</f>
        <v>0</v>
      </c>
      <c r="P6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58" s="2">
        <f>ABS(Данные6[[#This Row],[days_birth]])/365.2425</f>
        <v>34.637261545411612</v>
      </c>
      <c r="S6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58" s="2">
        <f>IF(Данные6[[#This Row],[ interest_rate]]&gt;$T$1,Данные6[[#This Row],[days_birth4]]*$T$2,Данные6[[#This Row],[days_birth4]])</f>
        <v>0</v>
      </c>
      <c r="U658" s="2">
        <f>IF(Данные6[[#This Row],[Проверка отказа]]="отказ",0,MAX(Данные6[[#This Row],[interest_rate]],$C$1))</f>
        <v>0</v>
      </c>
      <c r="V658" s="2">
        <f>MROUND(Данные6[[#This Row],[Минимум 20000]], 100)</f>
        <v>0</v>
      </c>
    </row>
    <row r="659" spans="1:22" x14ac:dyDescent="0.25">
      <c r="A659" s="2">
        <f>'1000_заявлений'!A653</f>
        <v>651</v>
      </c>
      <c r="B659" s="4">
        <f>VALUE(SUBSTITUTE('1000_заявлений'!B653, ".", ","))</f>
        <v>0.18406929004688599</v>
      </c>
      <c r="C659" s="4">
        <f>VALUE(SUBSTITUTE('1000_заявлений'!C653, ".", ","))</f>
        <v>0.67599110250517702</v>
      </c>
      <c r="D659" s="4">
        <f>VALUE(SUBSTITUTE('1000_заявлений'!D653, ".", ","))</f>
        <v>0.54959650000000004</v>
      </c>
      <c r="E659" s="4">
        <f>VALUE(SUBSTITUTE('1000_заявлений'!E653, ".", ","))</f>
        <v>0.75509833999999998</v>
      </c>
      <c r="F659" s="5">
        <f>VALUE(SUBSTITUTE('1000_заявлений'!F653, ".", ","))</f>
        <v>-7283</v>
      </c>
      <c r="G659" s="5">
        <f>VALUE(SUBSTITUTE('1000_заявлений'!G653, ".", ","))</f>
        <v>-19499</v>
      </c>
      <c r="H659" s="5">
        <f>VALUE(SUBSTITUTE('1000_заявлений'!H653, ".", ","))</f>
        <v>-3053</v>
      </c>
      <c r="I659" s="4">
        <f>VALUE(SUBSTITUTE('1000_заявлений'!I653, ".", ","))</f>
        <v>0.13200000000000001</v>
      </c>
      <c r="J659" s="4">
        <f>VALUE(SUBSTITUTE('1000_заявлений'!J653, ".", ","))</f>
        <v>2.7653963316522399</v>
      </c>
      <c r="K659" s="5">
        <f>VALUE(SUBSTITUTE('1000_заявлений'!K653, ".", ","))</f>
        <v>-209</v>
      </c>
      <c r="L659" s="6">
        <f>VALUE(SUBSTITUTE('1000_заявлений'!L653, ".", ","))</f>
        <v>59400</v>
      </c>
      <c r="M659" s="2" t="str">
        <f>IF(Данные6[[#This Row],[proba]]&gt;$C$6, "отказ", "одобрение")</f>
        <v>одобрение</v>
      </c>
      <c r="N659" s="7">
        <f>IF(Данные6[[#This Row],[proba]]&lt;$D$2,$C$2,IF(Данные6[[#This Row],[proba]]&lt;$D$3,$C$3,IF(Данные6[[#This Row],[proba]]&gt;$C$6,0,$C$4)))</f>
        <v>200000</v>
      </c>
      <c r="O659" s="2">
        <f>IF(Данные6[[#This Row],[weighted_ext_score]]&gt;$O$1,MIN(Данные6[[#This Row],[Базовая сумма]]*$O$2,$C$2),IF(Данные6[[#This Row],[weighted_ext_score]]&lt;$O$3,Данные6[[#This Row],[Базовая сумма]]*$O$4,N659))</f>
        <v>200000</v>
      </c>
      <c r="P6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659" s="2">
        <f>ABS(Данные6[[#This Row],[days_birth]])/365.2425</f>
        <v>53.386448729268906</v>
      </c>
      <c r="S6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659" s="2">
        <f>IF(Данные6[[#This Row],[ interest_rate]]&gt;$T$1,Данные6[[#This Row],[days_birth4]]*$T$2,Данные6[[#This Row],[days_birth4]])</f>
        <v>210000</v>
      </c>
      <c r="U659" s="2">
        <f>IF(Данные6[[#This Row],[Проверка отказа]]="отказ",0,MAX(Данные6[[#This Row],[interest_rate]],$C$1))</f>
        <v>210000</v>
      </c>
      <c r="V659" s="2">
        <f>MROUND(Данные6[[#This Row],[Минимум 20000]], 100)</f>
        <v>210000</v>
      </c>
    </row>
    <row r="660" spans="1:22" x14ac:dyDescent="0.25">
      <c r="A660" s="2">
        <f>'1000_заявлений'!A654</f>
        <v>652</v>
      </c>
      <c r="B660" s="4">
        <f>VALUE(SUBSTITUTE('1000_заявлений'!B654, ".", ","))</f>
        <v>0.68102927725754803</v>
      </c>
      <c r="C660" s="4">
        <f>VALUE(SUBSTITUTE('1000_заявлений'!C654, ".", ","))</f>
        <v>0.41206369912801999</v>
      </c>
      <c r="D660" s="4">
        <f>VALUE(SUBSTITUTE('1000_заявлений'!D654, ".", ","))</f>
        <v>0.31703176999999999</v>
      </c>
      <c r="E660" s="4">
        <f>VALUE(SUBSTITUTE('1000_заявлений'!E654, ".", ","))</f>
        <v>0.40833163</v>
      </c>
      <c r="F660" s="5">
        <f>VALUE(SUBSTITUTE('1000_заявлений'!F654, ".", ","))</f>
        <v>-2931</v>
      </c>
      <c r="G660" s="5">
        <f>VALUE(SUBSTITUTE('1000_заявлений'!G654, ".", ","))</f>
        <v>-14811</v>
      </c>
      <c r="H660" s="5">
        <f>VALUE(SUBSTITUTE('1000_заявлений'!H654, ".", ","))</f>
        <v>-153</v>
      </c>
      <c r="I660" s="4">
        <f>VALUE(SUBSTITUTE('1000_заявлений'!I654, ".", ","))</f>
        <v>0.35170000000000001</v>
      </c>
      <c r="J660" s="4">
        <f>VALUE(SUBSTITUTE('1000_заявлений'!J654, ".", ","))</f>
        <v>1.83324182632016</v>
      </c>
      <c r="K660" s="5">
        <f>VALUE(SUBSTITUTE('1000_заявлений'!K654, ".", ","))</f>
        <v>-904</v>
      </c>
      <c r="L660" s="6">
        <f>VALUE(SUBSTITUTE('1000_заявлений'!L654, ".", ","))</f>
        <v>31653</v>
      </c>
      <c r="M660" s="2" t="str">
        <f>IF(Данные6[[#This Row],[proba]]&gt;$C$6, "отказ", "одобрение")</f>
        <v>отказ</v>
      </c>
      <c r="N660" s="7">
        <f>IF(Данные6[[#This Row],[proba]]&lt;$D$2,$C$2,IF(Данные6[[#This Row],[proba]]&lt;$D$3,$C$3,IF(Данные6[[#This Row],[proba]]&gt;$C$6,0,$C$4)))</f>
        <v>0</v>
      </c>
      <c r="O660" s="2">
        <f>IF(Данные6[[#This Row],[weighted_ext_score]]&gt;$O$1,MIN(Данные6[[#This Row],[Базовая сумма]]*$O$2,$C$2),IF(Данные6[[#This Row],[weighted_ext_score]]&lt;$O$3,Данные6[[#This Row],[Базовая сумма]]*$O$4,N660))</f>
        <v>0</v>
      </c>
      <c r="P6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0" s="2">
        <f>ABS(Данные6[[#This Row],[days_birth]])/365.2425</f>
        <v>40.551140680506784</v>
      </c>
      <c r="S6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0" s="2">
        <f>IF(Данные6[[#This Row],[ interest_rate]]&gt;$T$1,Данные6[[#This Row],[days_birth4]]*$T$2,Данные6[[#This Row],[days_birth4]])</f>
        <v>0</v>
      </c>
      <c r="U660" s="2">
        <f>IF(Данные6[[#This Row],[Проверка отказа]]="отказ",0,MAX(Данные6[[#This Row],[interest_rate]],$C$1))</f>
        <v>0</v>
      </c>
      <c r="V660" s="2">
        <f>MROUND(Данные6[[#This Row],[Минимум 20000]], 100)</f>
        <v>0</v>
      </c>
    </row>
    <row r="661" spans="1:22" x14ac:dyDescent="0.25">
      <c r="A661" s="2">
        <f>'1000_заявлений'!A655</f>
        <v>653</v>
      </c>
      <c r="B661" s="4">
        <f>VALUE(SUBSTITUTE('1000_заявлений'!B655, ".", ","))</f>
        <v>0.54428726637329305</v>
      </c>
      <c r="C661" s="4">
        <f>VALUE(SUBSTITUTE('1000_заявлений'!C655, ".", ","))</f>
        <v>0.27491734546719898</v>
      </c>
      <c r="D661" s="4">
        <f>VALUE(SUBSTITUTE('1000_заявлений'!D655, ".", ","))</f>
        <v>0.22258075999999999</v>
      </c>
      <c r="E661" s="4">
        <f>VALUE(SUBSTITUTE('1000_заявлений'!E655, ".", ","))</f>
        <v>0.59935695</v>
      </c>
      <c r="F661" s="5">
        <f>VALUE(SUBSTITUTE('1000_заявлений'!F655, ".", ","))</f>
        <v>-2345</v>
      </c>
      <c r="G661" s="5">
        <f>VALUE(SUBSTITUTE('1000_заявлений'!G655, ".", ","))</f>
        <v>-23145</v>
      </c>
      <c r="H661" s="5">
        <f>VALUE(SUBSTITUTE('1000_заявлений'!H655, ".", ","))</f>
        <v>-3632</v>
      </c>
      <c r="I661" s="4">
        <f>VALUE(SUBSTITUTE('1000_заявлений'!I655, ".", ","))</f>
        <v>7.2826086956521693E-2</v>
      </c>
      <c r="J661" s="4">
        <f>VALUE(SUBSTITUTE('1000_заявлений'!J655, ".", ","))</f>
        <v>0.63246618577590397</v>
      </c>
      <c r="K661" s="5">
        <f>VALUE(SUBSTITUTE('1000_заявлений'!K655, ".", ","))</f>
        <v>365243</v>
      </c>
      <c r="L661" s="6">
        <f>VALUE(SUBSTITUTE('1000_заявлений'!L655, ".", ","))</f>
        <v>7537.5</v>
      </c>
      <c r="M661" s="2" t="str">
        <f>IF(Данные6[[#This Row],[proba]]&gt;$C$6, "отказ", "одобрение")</f>
        <v>отказ</v>
      </c>
      <c r="N661" s="7">
        <f>IF(Данные6[[#This Row],[proba]]&lt;$D$2,$C$2,IF(Данные6[[#This Row],[proba]]&lt;$D$3,$C$3,IF(Данные6[[#This Row],[proba]]&gt;$C$6,0,$C$4)))</f>
        <v>0</v>
      </c>
      <c r="O661" s="2">
        <f>IF(Данные6[[#This Row],[weighted_ext_score]]&gt;$O$1,MIN(Данные6[[#This Row],[Базовая сумма]]*$O$2,$C$2),IF(Данные6[[#This Row],[weighted_ext_score]]&lt;$O$3,Данные6[[#This Row],[Базовая сумма]]*$O$4,N661))</f>
        <v>0</v>
      </c>
      <c r="P6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1" s="2">
        <f>ABS(Данные6[[#This Row],[days_birth]])/365.2425</f>
        <v>63.368857676749009</v>
      </c>
      <c r="S6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1" s="2">
        <f>IF(Данные6[[#This Row],[ interest_rate]]&gt;$T$1,Данные6[[#This Row],[days_birth4]]*$T$2,Данные6[[#This Row],[days_birth4]])</f>
        <v>0</v>
      </c>
      <c r="U661" s="2">
        <f>IF(Данные6[[#This Row],[Проверка отказа]]="отказ",0,MAX(Данные6[[#This Row],[interest_rate]],$C$1))</f>
        <v>0</v>
      </c>
      <c r="V661" s="2">
        <f>MROUND(Данные6[[#This Row],[Минимум 20000]], 100)</f>
        <v>0</v>
      </c>
    </row>
    <row r="662" spans="1:22" x14ac:dyDescent="0.25">
      <c r="A662" s="2">
        <f>'1000_заявлений'!A656</f>
        <v>654</v>
      </c>
      <c r="B662" s="4">
        <f>VALUE(SUBSTITUTE('1000_заявлений'!B656, ".", ","))</f>
        <v>0.71951986476549301</v>
      </c>
      <c r="C662" s="4">
        <f>VALUE(SUBSTITUTE('1000_заявлений'!C656, ".", ","))</f>
        <v>1.82348622863093E-2</v>
      </c>
      <c r="D662" s="4">
        <f>VALUE(SUBSTITUTE('1000_заявлений'!D656, ".", ","))</f>
        <v>0.53527623000000002</v>
      </c>
      <c r="E662" s="4">
        <f>VALUE(SUBSTITUTE('1000_заявлений'!E656, ".", ","))</f>
        <v>5.6215050000000003E-2</v>
      </c>
      <c r="F662" s="5">
        <f>VALUE(SUBSTITUTE('1000_заявлений'!F656, ".", ","))</f>
        <v>-3011</v>
      </c>
      <c r="G662" s="5">
        <f>VALUE(SUBSTITUTE('1000_заявлений'!G656, ".", ","))</f>
        <v>-21599</v>
      </c>
      <c r="H662" s="5">
        <f>VALUE(SUBSTITUTE('1000_заявлений'!H656, ".", ","))</f>
        <v>-4771</v>
      </c>
      <c r="I662" s="4">
        <f>VALUE(SUBSTITUTE('1000_заявлений'!I656, ".", ","))</f>
        <v>0.18834210526315701</v>
      </c>
      <c r="J662" s="4">
        <f>VALUE(SUBSTITUTE('1000_заявлений'!J656, ".", ","))</f>
        <v>1.61119697637148</v>
      </c>
      <c r="K662" s="5">
        <f>VALUE(SUBSTITUTE('1000_заявлений'!K656, ".", ","))</f>
        <v>365243</v>
      </c>
      <c r="L662" s="6">
        <f>VALUE(SUBSTITUTE('1000_заявлений'!L656, ".", ","))</f>
        <v>32206.5</v>
      </c>
      <c r="M662" s="2" t="str">
        <f>IF(Данные6[[#This Row],[proba]]&gt;$C$6, "отказ", "одобрение")</f>
        <v>отказ</v>
      </c>
      <c r="N662" s="7">
        <f>IF(Данные6[[#This Row],[proba]]&lt;$D$2,$C$2,IF(Данные6[[#This Row],[proba]]&lt;$D$3,$C$3,IF(Данные6[[#This Row],[proba]]&gt;$C$6,0,$C$4)))</f>
        <v>0</v>
      </c>
      <c r="O662" s="2">
        <f>IF(Данные6[[#This Row],[weighted_ext_score]]&gt;$O$1,MIN(Данные6[[#This Row],[Базовая сумма]]*$O$2,$C$2),IF(Данные6[[#This Row],[weighted_ext_score]]&lt;$O$3,Данные6[[#This Row],[Базовая сумма]]*$O$4,N662))</f>
        <v>0</v>
      </c>
      <c r="P6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2" s="2">
        <f>ABS(Данные6[[#This Row],[days_birth]])/365.2425</f>
        <v>59.136053443944775</v>
      </c>
      <c r="S6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2" s="2">
        <f>IF(Данные6[[#This Row],[ interest_rate]]&gt;$T$1,Данные6[[#This Row],[days_birth4]]*$T$2,Данные6[[#This Row],[days_birth4]])</f>
        <v>0</v>
      </c>
      <c r="U662" s="2">
        <f>IF(Данные6[[#This Row],[Проверка отказа]]="отказ",0,MAX(Данные6[[#This Row],[interest_rate]],$C$1))</f>
        <v>0</v>
      </c>
      <c r="V662" s="2">
        <f>MROUND(Данные6[[#This Row],[Минимум 20000]], 100)</f>
        <v>0</v>
      </c>
    </row>
    <row r="663" spans="1:22" x14ac:dyDescent="0.25">
      <c r="A663" s="2">
        <f>'1000_заявлений'!A657</f>
        <v>655</v>
      </c>
      <c r="B663" s="4">
        <f>VALUE(SUBSTITUTE('1000_заявлений'!B657, ".", ","))</f>
        <v>0.28885450820386299</v>
      </c>
      <c r="C663" s="4">
        <f>VALUE(SUBSTITUTE('1000_заявлений'!C657, ".", ","))</f>
        <v>0.59459404629565404</v>
      </c>
      <c r="D663" s="4">
        <f>VALUE(SUBSTITUTE('1000_заявлений'!D657, ".", ","))</f>
        <v>0.6785677</v>
      </c>
      <c r="E663" s="4">
        <f>VALUE(SUBSTITUTE('1000_заявлений'!E657, ".", ","))</f>
        <v>0.54884540000000004</v>
      </c>
      <c r="F663" s="5">
        <f>VALUE(SUBSTITUTE('1000_заявлений'!F657, ".", ","))</f>
        <v>-6502</v>
      </c>
      <c r="G663" s="5">
        <f>VALUE(SUBSTITUTE('1000_заявлений'!G657, ".", ","))</f>
        <v>-14455</v>
      </c>
      <c r="H663" s="5">
        <f>VALUE(SUBSTITUTE('1000_заявлений'!H657, ".", ","))</f>
        <v>-4441</v>
      </c>
      <c r="I663" s="4">
        <f>VALUE(SUBSTITUTE('1000_заявлений'!I657, ".", ","))</f>
        <v>0.23065217391304299</v>
      </c>
      <c r="J663" s="4">
        <f>VALUE(SUBSTITUTE('1000_заявлений'!J657, ".", ","))</f>
        <v>0.48910019777199598</v>
      </c>
      <c r="K663" s="5">
        <f>VALUE(SUBSTITUTE('1000_заявлений'!K657, ".", ","))</f>
        <v>-2064</v>
      </c>
      <c r="L663" s="6">
        <f>VALUE(SUBSTITUTE('1000_заявлений'!L657, ".", ","))</f>
        <v>23872.5</v>
      </c>
      <c r="M663" s="2" t="str">
        <f>IF(Данные6[[#This Row],[proba]]&gt;$C$6, "отказ", "одобрение")</f>
        <v>одобрение</v>
      </c>
      <c r="N663" s="7">
        <f>IF(Данные6[[#This Row],[proba]]&lt;$D$2,$C$2,IF(Данные6[[#This Row],[proba]]&lt;$D$3,$C$3,IF(Данные6[[#This Row],[proba]]&gt;$C$6,0,$C$4)))</f>
        <v>50000</v>
      </c>
      <c r="O663" s="2">
        <f>IF(Данные6[[#This Row],[weighted_ext_score]]&gt;$O$1,MIN(Данные6[[#This Row],[Базовая сумма]]*$O$2,$C$2),IF(Данные6[[#This Row],[weighted_ext_score]]&lt;$O$3,Данные6[[#This Row],[Базовая сумма]]*$O$4,N663))</f>
        <v>50000</v>
      </c>
      <c r="P6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663" s="2">
        <f>ABS(Данные6[[#This Row],[days_birth]])/365.2425</f>
        <v>39.57644578601888</v>
      </c>
      <c r="S6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663" s="2">
        <f>IF(Данные6[[#This Row],[ interest_rate]]&gt;$T$1,Данные6[[#This Row],[days_birth4]]*$T$2,Данные6[[#This Row],[days_birth4]])</f>
        <v>35000</v>
      </c>
      <c r="U663" s="2">
        <f>IF(Данные6[[#This Row],[Проверка отказа]]="отказ",0,MAX(Данные6[[#This Row],[interest_rate]],$C$1))</f>
        <v>35000</v>
      </c>
      <c r="V663" s="2">
        <f>MROUND(Данные6[[#This Row],[Минимум 20000]], 100)</f>
        <v>35000</v>
      </c>
    </row>
    <row r="664" spans="1:22" x14ac:dyDescent="0.25">
      <c r="A664" s="2">
        <f>'1000_заявлений'!A658</f>
        <v>656</v>
      </c>
      <c r="B664" s="4">
        <f>VALUE(SUBSTITUTE('1000_заявлений'!B658, ".", ","))</f>
        <v>0.25772972347865297</v>
      </c>
      <c r="C664" s="4">
        <f>VALUE(SUBSTITUTE('1000_заявлений'!C658, ".", ","))</f>
        <v>0.37291564609377997</v>
      </c>
      <c r="D664" s="4">
        <f>VALUE(SUBSTITUTE('1000_заявлений'!D658, ".", ","))</f>
        <v>0.76102639999999999</v>
      </c>
      <c r="E664" s="4">
        <f>VALUE(SUBSTITUTE('1000_заявлений'!E658, ".", ","))</f>
        <v>0.30112675</v>
      </c>
      <c r="F664" s="5">
        <f>VALUE(SUBSTITUTE('1000_заявлений'!F658, ".", ","))</f>
        <v>-3653</v>
      </c>
      <c r="G664" s="5">
        <f>VALUE(SUBSTITUTE('1000_заявлений'!G658, ".", ","))</f>
        <v>-22396</v>
      </c>
      <c r="H664" s="5">
        <f>VALUE(SUBSTITUTE('1000_заявлений'!H658, ".", ","))</f>
        <v>-4048</v>
      </c>
      <c r="I664" s="4">
        <f>VALUE(SUBSTITUTE('1000_заявлений'!I658, ".", ","))</f>
        <v>0.17478571428571399</v>
      </c>
      <c r="J664" s="4">
        <f>VALUE(SUBSTITUTE('1000_заявлений'!J658, ".", ","))</f>
        <v>20.746764236831002</v>
      </c>
      <c r="K664" s="5">
        <f>VALUE(SUBSTITUTE('1000_заявлений'!K658, ".", ","))</f>
        <v>365243</v>
      </c>
      <c r="L664" s="6">
        <f>VALUE(SUBSTITUTE('1000_заявлений'!L658, ".", ","))</f>
        <v>11011.5</v>
      </c>
      <c r="M664" s="2" t="str">
        <f>IF(Данные6[[#This Row],[proba]]&gt;$C$6, "отказ", "одобрение")</f>
        <v>одобрение</v>
      </c>
      <c r="N664" s="7">
        <f>IF(Данные6[[#This Row],[proba]]&lt;$D$2,$C$2,IF(Данные6[[#This Row],[proba]]&lt;$D$3,$C$3,IF(Данные6[[#This Row],[proba]]&gt;$C$6,0,$C$4)))</f>
        <v>50000</v>
      </c>
      <c r="O664" s="2">
        <f>IF(Данные6[[#This Row],[weighted_ext_score]]&gt;$O$1,MIN(Данные6[[#This Row],[Базовая сумма]]*$O$2,$C$2),IF(Данные6[[#This Row],[weighted_ext_score]]&lt;$O$3,Данные6[[#This Row],[Базовая сумма]]*$O$4,N664))</f>
        <v>40000</v>
      </c>
      <c r="P6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664" s="2">
        <f>ABS(Данные6[[#This Row],[days_birth]])/365.2425</f>
        <v>61.318165328514617</v>
      </c>
      <c r="S6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664" s="2">
        <f>IF(Данные6[[#This Row],[ interest_rate]]&gt;$T$1,Данные6[[#This Row],[days_birth4]]*$T$2,Данные6[[#This Row],[days_birth4]])</f>
        <v>33600</v>
      </c>
      <c r="U664" s="2">
        <f>IF(Данные6[[#This Row],[Проверка отказа]]="отказ",0,MAX(Данные6[[#This Row],[interest_rate]],$C$1))</f>
        <v>33600</v>
      </c>
      <c r="V664" s="2">
        <f>MROUND(Данные6[[#This Row],[Минимум 20000]], 100)</f>
        <v>33600</v>
      </c>
    </row>
    <row r="665" spans="1:22" x14ac:dyDescent="0.25">
      <c r="A665" s="2">
        <f>'1000_заявлений'!A659</f>
        <v>657</v>
      </c>
      <c r="B665" s="4">
        <f>VALUE(SUBSTITUTE('1000_заявлений'!B659, ".", ","))</f>
        <v>0.84420126800915396</v>
      </c>
      <c r="C665" s="4">
        <f>VALUE(SUBSTITUTE('1000_заявлений'!C659, ".", ","))</f>
        <v>0.194576041270935</v>
      </c>
      <c r="D665" s="4">
        <f>VALUE(SUBSTITUTE('1000_заявлений'!D659, ".", ","))</f>
        <v>0.15100753</v>
      </c>
      <c r="E665" s="4">
        <f>VALUE(SUBSTITUTE('1000_заявлений'!E659, ".", ","))</f>
        <v>8.8954920000000007E-2</v>
      </c>
      <c r="F665" s="5">
        <f>VALUE(SUBSTITUTE('1000_заявлений'!F659, ".", ","))</f>
        <v>-6707</v>
      </c>
      <c r="G665" s="5">
        <f>VALUE(SUBSTITUTE('1000_заявлений'!G659, ".", ","))</f>
        <v>-14314</v>
      </c>
      <c r="H665" s="5">
        <f>VALUE(SUBSTITUTE('1000_заявлений'!H659, ".", ","))</f>
        <v>-4012</v>
      </c>
      <c r="I665" s="4">
        <f>VALUE(SUBSTITUTE('1000_заявлений'!I659, ".", ","))</f>
        <v>0.19414285714285701</v>
      </c>
      <c r="J665" s="4">
        <f>VALUE(SUBSTITUTE('1000_заявлений'!J659, ".", ","))</f>
        <v>6.1509630438540901</v>
      </c>
      <c r="K665" s="5">
        <f>VALUE(SUBSTITUTE('1000_заявлений'!K659, ".", ","))</f>
        <v>-3751</v>
      </c>
      <c r="L665" s="6">
        <f>VALUE(SUBSTITUTE('1000_заявлений'!L659, ".", ","))</f>
        <v>24462</v>
      </c>
      <c r="M665" s="2" t="str">
        <f>IF(Данные6[[#This Row],[proba]]&gt;$C$6, "отказ", "одобрение")</f>
        <v>отказ</v>
      </c>
      <c r="N665" s="7">
        <f>IF(Данные6[[#This Row],[proba]]&lt;$D$2,$C$2,IF(Данные6[[#This Row],[proba]]&lt;$D$3,$C$3,IF(Данные6[[#This Row],[proba]]&gt;$C$6,0,$C$4)))</f>
        <v>0</v>
      </c>
      <c r="O665" s="2">
        <f>IF(Данные6[[#This Row],[weighted_ext_score]]&gt;$O$1,MIN(Данные6[[#This Row],[Базовая сумма]]*$O$2,$C$2),IF(Данные6[[#This Row],[weighted_ext_score]]&lt;$O$3,Данные6[[#This Row],[Базовая сумма]]*$O$4,N665))</f>
        <v>0</v>
      </c>
      <c r="P6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5" s="2">
        <f>ABS(Данные6[[#This Row],[days_birth]])/365.2425</f>
        <v>39.190400898033495</v>
      </c>
      <c r="S6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5" s="2">
        <f>IF(Данные6[[#This Row],[ interest_rate]]&gt;$T$1,Данные6[[#This Row],[days_birth4]]*$T$2,Данные6[[#This Row],[days_birth4]])</f>
        <v>0</v>
      </c>
      <c r="U665" s="2">
        <f>IF(Данные6[[#This Row],[Проверка отказа]]="отказ",0,MAX(Данные6[[#This Row],[interest_rate]],$C$1))</f>
        <v>0</v>
      </c>
      <c r="V665" s="2">
        <f>MROUND(Данные6[[#This Row],[Минимум 20000]], 100)</f>
        <v>0</v>
      </c>
    </row>
    <row r="666" spans="1:22" x14ac:dyDescent="0.25">
      <c r="A666" s="2">
        <f>'1000_заявлений'!A660</f>
        <v>658</v>
      </c>
      <c r="B666" s="4">
        <f>VALUE(SUBSTITUTE('1000_заявлений'!B660, ".", ","))</f>
        <v>0.48472552386579498</v>
      </c>
      <c r="C666" s="4">
        <f>VALUE(SUBSTITUTE('1000_заявлений'!C660, ".", ","))</f>
        <v>0.34263259790876199</v>
      </c>
      <c r="D666" s="4">
        <f>VALUE(SUBSTITUTE('1000_заявлений'!D660, ".", ","))</f>
        <v>0.71215516000000001</v>
      </c>
      <c r="E666" s="4">
        <f>VALUE(SUBSTITUTE('1000_заявлений'!E660, ".", ","))</f>
        <v>0.26225838000000001</v>
      </c>
      <c r="F666" s="5">
        <f>VALUE(SUBSTITUTE('1000_заявлений'!F660, ".", ","))</f>
        <v>-8708</v>
      </c>
      <c r="G666" s="5">
        <f>VALUE(SUBSTITUTE('1000_заявлений'!G660, ".", ","))</f>
        <v>-19755</v>
      </c>
      <c r="H666" s="5">
        <f>VALUE(SUBSTITUTE('1000_заявлений'!H660, ".", ","))</f>
        <v>-3299</v>
      </c>
      <c r="I666" s="4">
        <f>VALUE(SUBSTITUTE('1000_заявлений'!I660, ".", ","))</f>
        <v>0.23946666666666599</v>
      </c>
      <c r="J666" s="4">
        <f>VALUE(SUBSTITUTE('1000_заявлений'!J660, ".", ","))</f>
        <v>0.47687988516475999</v>
      </c>
      <c r="K666" s="5">
        <f>VALUE(SUBSTITUTE('1000_заявлений'!K660, ".", ","))</f>
        <v>-4147</v>
      </c>
      <c r="L666" s="6">
        <f>VALUE(SUBSTITUTE('1000_заявлений'!L660, ".", ","))</f>
        <v>16164</v>
      </c>
      <c r="M666" s="2" t="str">
        <f>IF(Данные6[[#This Row],[proba]]&gt;$C$6, "отказ", "одобрение")</f>
        <v>отказ</v>
      </c>
      <c r="N666" s="7">
        <f>IF(Данные6[[#This Row],[proba]]&lt;$D$2,$C$2,IF(Данные6[[#This Row],[proba]]&lt;$D$3,$C$3,IF(Данные6[[#This Row],[proba]]&gt;$C$6,0,$C$4)))</f>
        <v>0</v>
      </c>
      <c r="O666" s="2">
        <f>IF(Данные6[[#This Row],[weighted_ext_score]]&gt;$O$1,MIN(Данные6[[#This Row],[Базовая сумма]]*$O$2,$C$2),IF(Данные6[[#This Row],[weighted_ext_score]]&lt;$O$3,Данные6[[#This Row],[Базовая сумма]]*$O$4,N666))</f>
        <v>0</v>
      </c>
      <c r="P6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6" s="2">
        <f>ABS(Данные6[[#This Row],[days_birth]])/365.2425</f>
        <v>54.087352923057971</v>
      </c>
      <c r="S6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6" s="2">
        <f>IF(Данные6[[#This Row],[ interest_rate]]&gt;$T$1,Данные6[[#This Row],[days_birth4]]*$T$2,Данные6[[#This Row],[days_birth4]])</f>
        <v>0</v>
      </c>
      <c r="U666" s="2">
        <f>IF(Данные6[[#This Row],[Проверка отказа]]="отказ",0,MAX(Данные6[[#This Row],[interest_rate]],$C$1))</f>
        <v>0</v>
      </c>
      <c r="V666" s="2">
        <f>MROUND(Данные6[[#This Row],[Минимум 20000]], 100)</f>
        <v>0</v>
      </c>
    </row>
    <row r="667" spans="1:22" x14ac:dyDescent="0.25">
      <c r="A667" s="2">
        <f>'1000_заявлений'!A661</f>
        <v>659</v>
      </c>
      <c r="B667" s="4">
        <f>VALUE(SUBSTITUTE('1000_заявлений'!B661, ".", ","))</f>
        <v>0.248828214808649</v>
      </c>
      <c r="C667" s="4">
        <f>VALUE(SUBSTITUTE('1000_заявлений'!C661, ".", ","))</f>
        <v>0.4793523502691</v>
      </c>
      <c r="D667" s="4">
        <f>VALUE(SUBSTITUTE('1000_заявлений'!D661, ".", ","))</f>
        <v>0.66905669999999995</v>
      </c>
      <c r="E667" s="4">
        <f>VALUE(SUBSTITUTE('1000_заявлений'!E661, ".", ","))</f>
        <v>0.73179550000000004</v>
      </c>
      <c r="F667" s="5">
        <f>VALUE(SUBSTITUTE('1000_заявлений'!F661, ".", ","))</f>
        <v>-3726</v>
      </c>
      <c r="G667" s="5">
        <f>VALUE(SUBSTITUTE('1000_заявлений'!G661, ".", ","))</f>
        <v>-17145</v>
      </c>
      <c r="H667" s="5">
        <f>VALUE(SUBSTITUTE('1000_заявлений'!H661, ".", ","))</f>
        <v>-675</v>
      </c>
      <c r="I667" s="4">
        <f>VALUE(SUBSTITUTE('1000_заявлений'!I661, ".", ","))</f>
        <v>0.138618181818181</v>
      </c>
      <c r="J667" s="4">
        <f>VALUE(SUBSTITUTE('1000_заявлений'!J661, ".", ","))</f>
        <v>4.9469129431424204</v>
      </c>
      <c r="K667" s="5">
        <f>VALUE(SUBSTITUTE('1000_заявлений'!K661, ".", ","))</f>
        <v>-3225</v>
      </c>
      <c r="L667" s="6">
        <f>VALUE(SUBSTITUTE('1000_заявлений'!L661, ".", ","))</f>
        <v>34308</v>
      </c>
      <c r="M667" s="2" t="str">
        <f>IF(Данные6[[#This Row],[proba]]&gt;$C$6, "отказ", "одобрение")</f>
        <v>одобрение</v>
      </c>
      <c r="N667" s="7">
        <f>IF(Данные6[[#This Row],[proba]]&lt;$D$2,$C$2,IF(Данные6[[#This Row],[proba]]&lt;$D$3,$C$3,IF(Данные6[[#This Row],[proba]]&gt;$C$6,0,$C$4)))</f>
        <v>50000</v>
      </c>
      <c r="O667" s="2">
        <f>IF(Данные6[[#This Row],[weighted_ext_score]]&gt;$O$1,MIN(Данные6[[#This Row],[Базовая сумма]]*$O$2,$C$2),IF(Данные6[[#This Row],[weighted_ext_score]]&lt;$O$3,Данные6[[#This Row],[Базовая сумма]]*$O$4,N667))</f>
        <v>40000</v>
      </c>
      <c r="P6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67" s="2">
        <f>ABS(Данные6[[#This Row],[days_birth]])/365.2425</f>
        <v>46.941415634817965</v>
      </c>
      <c r="S6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667" s="2">
        <f>IF(Данные6[[#This Row],[ interest_rate]]&gt;$T$1,Данные6[[#This Row],[days_birth4]]*$T$2,Данные6[[#This Row],[days_birth4]])</f>
        <v>48000</v>
      </c>
      <c r="U667" s="2">
        <f>IF(Данные6[[#This Row],[Проверка отказа]]="отказ",0,MAX(Данные6[[#This Row],[interest_rate]],$C$1))</f>
        <v>48000</v>
      </c>
      <c r="V667" s="2">
        <f>MROUND(Данные6[[#This Row],[Минимум 20000]], 100)</f>
        <v>48000</v>
      </c>
    </row>
    <row r="668" spans="1:22" x14ac:dyDescent="0.25">
      <c r="A668" s="2">
        <f>'1000_заявлений'!A662</f>
        <v>660</v>
      </c>
      <c r="B668" s="4">
        <f>VALUE(SUBSTITUTE('1000_заявлений'!B662, ".", ","))</f>
        <v>0.65365597972274603</v>
      </c>
      <c r="C668" s="4">
        <f>VALUE(SUBSTITUTE('1000_заявлений'!C662, ".", ","))</f>
        <v>0.35244674459682102</v>
      </c>
      <c r="D668" s="4">
        <f>VALUE(SUBSTITUTE('1000_заявлений'!D662, ".", ","))</f>
        <v>0.52269730000000003</v>
      </c>
      <c r="E668" s="4">
        <f>VALUE(SUBSTITUTE('1000_заявлений'!E662, ".", ","))</f>
        <v>0.12465459</v>
      </c>
      <c r="F668" s="5">
        <f>VALUE(SUBSTITUTE('1000_заявлений'!F662, ".", ","))</f>
        <v>-1909</v>
      </c>
      <c r="G668" s="5">
        <f>VALUE(SUBSTITUTE('1000_заявлений'!G662, ".", ","))</f>
        <v>-9765</v>
      </c>
      <c r="H668" s="5">
        <f>VALUE(SUBSTITUTE('1000_заявлений'!H662, ".", ","))</f>
        <v>-1901</v>
      </c>
      <c r="I668" s="4">
        <f>VALUE(SUBSTITUTE('1000_заявлений'!I662, ".", ","))</f>
        <v>7.1050000000000002E-2</v>
      </c>
      <c r="J668" s="4">
        <f>VALUE(SUBSTITUTE('1000_заявлений'!J662, ".", ","))</f>
        <v>5.2421471506988802</v>
      </c>
      <c r="K668" s="5">
        <f>VALUE(SUBSTITUTE('1000_заявлений'!K662, ".", ","))</f>
        <v>-1791</v>
      </c>
      <c r="L668" s="6">
        <f>VALUE(SUBSTITUTE('1000_заявлений'!L662, ".", ","))</f>
        <v>12789</v>
      </c>
      <c r="M668" s="2" t="str">
        <f>IF(Данные6[[#This Row],[proba]]&gt;$C$6, "отказ", "одобрение")</f>
        <v>отказ</v>
      </c>
      <c r="N668" s="7">
        <f>IF(Данные6[[#This Row],[proba]]&lt;$D$2,$C$2,IF(Данные6[[#This Row],[proba]]&lt;$D$3,$C$3,IF(Данные6[[#This Row],[proba]]&gt;$C$6,0,$C$4)))</f>
        <v>0</v>
      </c>
      <c r="O668" s="2">
        <f>IF(Данные6[[#This Row],[weighted_ext_score]]&gt;$O$1,MIN(Данные6[[#This Row],[Базовая сумма]]*$O$2,$C$2),IF(Данные6[[#This Row],[weighted_ext_score]]&lt;$O$3,Данные6[[#This Row],[Базовая сумма]]*$O$4,N668))</f>
        <v>0</v>
      </c>
      <c r="P6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68" s="2">
        <f>ABS(Данные6[[#This Row],[days_birth]])/365.2425</f>
        <v>26.735661923242777</v>
      </c>
      <c r="S6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68" s="2">
        <f>IF(Данные6[[#This Row],[ interest_rate]]&gt;$T$1,Данные6[[#This Row],[days_birth4]]*$T$2,Данные6[[#This Row],[days_birth4]])</f>
        <v>0</v>
      </c>
      <c r="U668" s="2">
        <f>IF(Данные6[[#This Row],[Проверка отказа]]="отказ",0,MAX(Данные6[[#This Row],[interest_rate]],$C$1))</f>
        <v>0</v>
      </c>
      <c r="V668" s="2">
        <f>MROUND(Данные6[[#This Row],[Минимум 20000]], 100)</f>
        <v>0</v>
      </c>
    </row>
    <row r="669" spans="1:22" x14ac:dyDescent="0.25">
      <c r="A669" s="2">
        <f>'1000_заявлений'!A663</f>
        <v>661</v>
      </c>
      <c r="B669" s="4">
        <f>VALUE(SUBSTITUTE('1000_заявлений'!B663, ".", ","))</f>
        <v>0.23754786816479601</v>
      </c>
      <c r="C669" s="4">
        <f>VALUE(SUBSTITUTE('1000_заявлений'!C663, ".", ","))</f>
        <v>0.459911079465326</v>
      </c>
      <c r="D669" s="4">
        <f>VALUE(SUBSTITUTE('1000_заявлений'!D663, ".", ","))</f>
        <v>0.58323795</v>
      </c>
      <c r="E669" s="4">
        <f>VALUE(SUBSTITUTE('1000_заявлений'!E663, ".", ","))</f>
        <v>0.76754533999999996</v>
      </c>
      <c r="F669" s="5">
        <f>VALUE(SUBSTITUTE('1000_заявлений'!F663, ".", ","))</f>
        <v>-8865</v>
      </c>
      <c r="G669" s="5">
        <f>VALUE(SUBSTITUTE('1000_заявлений'!G663, ".", ","))</f>
        <v>-17950</v>
      </c>
      <c r="H669" s="5">
        <f>VALUE(SUBSTITUTE('1000_заявлений'!H663, ".", ","))</f>
        <v>-1494</v>
      </c>
      <c r="I669" s="4">
        <f>VALUE(SUBSTITUTE('1000_заявлений'!I663, ".", ","))</f>
        <v>0.125</v>
      </c>
      <c r="J669" s="4">
        <f>VALUE(SUBSTITUTE('1000_заявлений'!J663, ".", ","))</f>
        <v>10.6209759779781</v>
      </c>
      <c r="K669" s="5">
        <f>VALUE(SUBSTITUTE('1000_заявлений'!K663, ".", ","))</f>
        <v>-7433</v>
      </c>
      <c r="L669" s="6">
        <f>VALUE(SUBSTITUTE('1000_заявлений'!L663, ".", ","))</f>
        <v>33750</v>
      </c>
      <c r="M669" s="2" t="str">
        <f>IF(Данные6[[#This Row],[proba]]&gt;$C$6, "отказ", "одобрение")</f>
        <v>одобрение</v>
      </c>
      <c r="N669" s="7">
        <f>IF(Данные6[[#This Row],[proba]]&lt;$D$2,$C$2,IF(Данные6[[#This Row],[proba]]&lt;$D$3,$C$3,IF(Данные6[[#This Row],[proba]]&gt;$C$6,0,$C$4)))</f>
        <v>50000</v>
      </c>
      <c r="O669" s="2">
        <f>IF(Данные6[[#This Row],[weighted_ext_score]]&gt;$O$1,MIN(Данные6[[#This Row],[Базовая сумма]]*$O$2,$C$2),IF(Данные6[[#This Row],[weighted_ext_score]]&lt;$O$3,Данные6[[#This Row],[Базовая сумма]]*$O$4,N669))</f>
        <v>40000</v>
      </c>
      <c r="P6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669" s="2">
        <f>ABS(Данные6[[#This Row],[days_birth]])/365.2425</f>
        <v>49.145430775443714</v>
      </c>
      <c r="S6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669" s="2">
        <f>IF(Данные6[[#This Row],[ interest_rate]]&gt;$T$1,Данные6[[#This Row],[days_birth4]]*$T$2,Данные6[[#This Row],[days_birth4]])</f>
        <v>48000</v>
      </c>
      <c r="U669" s="2">
        <f>IF(Данные6[[#This Row],[Проверка отказа]]="отказ",0,MAX(Данные6[[#This Row],[interest_rate]],$C$1))</f>
        <v>48000</v>
      </c>
      <c r="V669" s="2">
        <f>MROUND(Данные6[[#This Row],[Минимум 20000]], 100)</f>
        <v>48000</v>
      </c>
    </row>
    <row r="670" spans="1:22" x14ac:dyDescent="0.25">
      <c r="A670" s="2">
        <f>'1000_заявлений'!A664</f>
        <v>662</v>
      </c>
      <c r="B670" s="4">
        <f>VALUE(SUBSTITUTE('1000_заявлений'!B664, ".", ","))</f>
        <v>0.46673392227987298</v>
      </c>
      <c r="C670" s="4">
        <f>VALUE(SUBSTITUTE('1000_заявлений'!C664, ".", ","))</f>
        <v>0.3220525490051</v>
      </c>
      <c r="D670" s="4">
        <f>VALUE(SUBSTITUTE('1000_заявлений'!D664, ".", ","))</f>
        <v>0.36394525</v>
      </c>
      <c r="E670" s="4">
        <f>VALUE(SUBSTITUTE('1000_заявлений'!E664, ".", ","))</f>
        <v>0.58705189999999996</v>
      </c>
      <c r="F670" s="5">
        <f>VALUE(SUBSTITUTE('1000_заявлений'!F664, ".", ","))</f>
        <v>-6328</v>
      </c>
      <c r="G670" s="5">
        <f>VALUE(SUBSTITUTE('1000_заявлений'!G664, ".", ","))</f>
        <v>-16024</v>
      </c>
      <c r="H670" s="5">
        <f>VALUE(SUBSTITUTE('1000_заявлений'!H664, ".", ","))</f>
        <v>-4274</v>
      </c>
      <c r="I670" s="4">
        <f>VALUE(SUBSTITUTE('1000_заявлений'!I664, ".", ","))</f>
        <v>6.25E-2</v>
      </c>
      <c r="J670" s="4">
        <f>VALUE(SUBSTITUTE('1000_заявлений'!J664, ".", ","))</f>
        <v>10.6209759779781</v>
      </c>
      <c r="K670" s="5">
        <f>VALUE(SUBSTITUTE('1000_заявлений'!K664, ".", ","))</f>
        <v>-5001</v>
      </c>
      <c r="L670" s="6">
        <f>VALUE(SUBSTITUTE('1000_заявлений'!L664, ".", ","))</f>
        <v>11250</v>
      </c>
      <c r="M670" s="2" t="str">
        <f>IF(Данные6[[#This Row],[proba]]&gt;$C$6, "отказ", "одобрение")</f>
        <v>отказ</v>
      </c>
      <c r="N670" s="7">
        <f>IF(Данные6[[#This Row],[proba]]&lt;$D$2,$C$2,IF(Данные6[[#This Row],[proba]]&lt;$D$3,$C$3,IF(Данные6[[#This Row],[proba]]&gt;$C$6,0,$C$4)))</f>
        <v>0</v>
      </c>
      <c r="O670" s="2">
        <f>IF(Данные6[[#This Row],[weighted_ext_score]]&gt;$O$1,MIN(Данные6[[#This Row],[Базовая сумма]]*$O$2,$C$2),IF(Данные6[[#This Row],[weighted_ext_score]]&lt;$O$3,Данные6[[#This Row],[Базовая сумма]]*$O$4,N670))</f>
        <v>0</v>
      </c>
      <c r="P6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0" s="2">
        <f>ABS(Данные6[[#This Row],[days_birth]])/365.2425</f>
        <v>43.872221879983847</v>
      </c>
      <c r="S6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0" s="2">
        <f>IF(Данные6[[#This Row],[ interest_rate]]&gt;$T$1,Данные6[[#This Row],[days_birth4]]*$T$2,Данные6[[#This Row],[days_birth4]])</f>
        <v>0</v>
      </c>
      <c r="U670" s="2">
        <f>IF(Данные6[[#This Row],[Проверка отказа]]="отказ",0,MAX(Данные6[[#This Row],[interest_rate]],$C$1))</f>
        <v>0</v>
      </c>
      <c r="V670" s="2">
        <f>MROUND(Данные6[[#This Row],[Минимум 20000]], 100)</f>
        <v>0</v>
      </c>
    </row>
    <row r="671" spans="1:22" x14ac:dyDescent="0.25">
      <c r="A671" s="2">
        <f>'1000_заявлений'!A665</f>
        <v>663</v>
      </c>
      <c r="B671" s="4">
        <f>VALUE(SUBSTITUTE('1000_заявлений'!B665, ".", ","))</f>
        <v>0.442143508678355</v>
      </c>
      <c r="C671" s="4">
        <f>VALUE(SUBSTITUTE('1000_заявлений'!C665, ".", ","))</f>
        <v>0.59007165173707399</v>
      </c>
      <c r="D671" s="4">
        <f>VALUE(SUBSTITUTE('1000_заявлений'!D665, ".", ","))</f>
        <v>0.23401516999999999</v>
      </c>
      <c r="E671" s="4">
        <f>VALUE(SUBSTITUTE('1000_заявлений'!E665, ".", ","))</f>
        <v>0.71368085999999997</v>
      </c>
      <c r="F671" s="5">
        <f>VALUE(SUBSTITUTE('1000_заявлений'!F665, ".", ","))</f>
        <v>-286</v>
      </c>
      <c r="G671" s="5">
        <f>VALUE(SUBSTITUTE('1000_заявлений'!G665, ".", ","))</f>
        <v>-16603</v>
      </c>
      <c r="H671" s="5">
        <f>VALUE(SUBSTITUTE('1000_заявлений'!H665, ".", ","))</f>
        <v>-145</v>
      </c>
      <c r="I671" s="4">
        <f>VALUE(SUBSTITUTE('1000_заявлений'!I665, ".", ","))</f>
        <v>0.125285714285714</v>
      </c>
      <c r="J671" s="4">
        <f>VALUE(SUBSTITUTE('1000_заявлений'!J665, ".", ","))</f>
        <v>1.54417138270848</v>
      </c>
      <c r="K671" s="5">
        <f>VALUE(SUBSTITUTE('1000_заявлений'!K665, ".", ","))</f>
        <v>-644</v>
      </c>
      <c r="L671" s="6">
        <f>VALUE(SUBSTITUTE('1000_заявлений'!L665, ".", ","))</f>
        <v>39465</v>
      </c>
      <c r="M671" s="2" t="str">
        <f>IF(Данные6[[#This Row],[proba]]&gt;$C$6, "отказ", "одобрение")</f>
        <v>отказ</v>
      </c>
      <c r="N671" s="7">
        <f>IF(Данные6[[#This Row],[proba]]&lt;$D$2,$C$2,IF(Данные6[[#This Row],[proba]]&lt;$D$3,$C$3,IF(Данные6[[#This Row],[proba]]&gt;$C$6,0,$C$4)))</f>
        <v>0</v>
      </c>
      <c r="O671" s="2">
        <f>IF(Данные6[[#This Row],[weighted_ext_score]]&gt;$O$1,MIN(Данные6[[#This Row],[Базовая сумма]]*$O$2,$C$2),IF(Данные6[[#This Row],[weighted_ext_score]]&lt;$O$3,Данные6[[#This Row],[Базовая сумма]]*$O$4,N671))</f>
        <v>0</v>
      </c>
      <c r="P6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1" s="2">
        <f>ABS(Данные6[[#This Row],[days_birth]])/365.2425</f>
        <v>45.457470037030191</v>
      </c>
      <c r="S6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1" s="2">
        <f>IF(Данные6[[#This Row],[ interest_rate]]&gt;$T$1,Данные6[[#This Row],[days_birth4]]*$T$2,Данные6[[#This Row],[days_birth4]])</f>
        <v>0</v>
      </c>
      <c r="U671" s="2">
        <f>IF(Данные6[[#This Row],[Проверка отказа]]="отказ",0,MAX(Данные6[[#This Row],[interest_rate]],$C$1))</f>
        <v>0</v>
      </c>
      <c r="V671" s="2">
        <f>MROUND(Данные6[[#This Row],[Минимум 20000]], 100)</f>
        <v>0</v>
      </c>
    </row>
    <row r="672" spans="1:22" x14ac:dyDescent="0.25">
      <c r="A672" s="2">
        <f>'1000_заявлений'!A666</f>
        <v>664</v>
      </c>
      <c r="B672" s="4">
        <f>VALUE(SUBSTITUTE('1000_заявлений'!B666, ".", ","))</f>
        <v>0.37671881960958298</v>
      </c>
      <c r="C672" s="4">
        <f>VALUE(SUBSTITUTE('1000_заявлений'!C666, ".", ","))</f>
        <v>0.40059285364490999</v>
      </c>
      <c r="D672" s="4">
        <f>VALUE(SUBSTITUTE('1000_заявлений'!D666, ".", ","))</f>
        <v>0.46506920000000002</v>
      </c>
      <c r="E672" s="4">
        <f>VALUE(SUBSTITUTE('1000_заявлений'!E666, ".", ","))</f>
        <v>0.71642994999999998</v>
      </c>
      <c r="F672" s="5">
        <f>VALUE(SUBSTITUTE('1000_заявлений'!F666, ".", ","))</f>
        <v>-7629</v>
      </c>
      <c r="G672" s="5">
        <f>VALUE(SUBSTITUTE('1000_заявлений'!G666, ".", ","))</f>
        <v>-13573</v>
      </c>
      <c r="H672" s="5">
        <f>VALUE(SUBSTITUTE('1000_заявлений'!H666, ".", ","))</f>
        <v>-4786</v>
      </c>
      <c r="I672" s="4">
        <f>VALUE(SUBSTITUTE('1000_заявлений'!I666, ".", ","))</f>
        <v>0.12475</v>
      </c>
      <c r="J672" s="4">
        <f>VALUE(SUBSTITUTE('1000_заявлений'!J666, ".", ","))</f>
        <v>1.8231631974301199</v>
      </c>
      <c r="K672" s="5">
        <f>VALUE(SUBSTITUTE('1000_заявлений'!K666, ".", ","))</f>
        <v>-1796</v>
      </c>
      <c r="L672" s="6">
        <f>VALUE(SUBSTITUTE('1000_заявлений'!L666, ".", ","))</f>
        <v>33682.5</v>
      </c>
      <c r="M672" s="2" t="str">
        <f>IF(Данные6[[#This Row],[proba]]&gt;$C$6, "отказ", "одобрение")</f>
        <v>отказ</v>
      </c>
      <c r="N672" s="7">
        <f>IF(Данные6[[#This Row],[proba]]&lt;$D$2,$C$2,IF(Данные6[[#This Row],[proba]]&lt;$D$3,$C$3,IF(Данные6[[#This Row],[proba]]&gt;$C$6,0,$C$4)))</f>
        <v>0</v>
      </c>
      <c r="O672" s="2">
        <f>IF(Данные6[[#This Row],[weighted_ext_score]]&gt;$O$1,MIN(Данные6[[#This Row],[Базовая сумма]]*$O$2,$C$2),IF(Данные6[[#This Row],[weighted_ext_score]]&lt;$O$3,Данные6[[#This Row],[Базовая сумма]]*$O$4,N672))</f>
        <v>0</v>
      </c>
      <c r="P6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2" s="2">
        <f>ABS(Данные6[[#This Row],[days_birth]])/365.2425</f>
        <v>37.16161180585501</v>
      </c>
      <c r="S6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2" s="2">
        <f>IF(Данные6[[#This Row],[ interest_rate]]&gt;$T$1,Данные6[[#This Row],[days_birth4]]*$T$2,Данные6[[#This Row],[days_birth4]])</f>
        <v>0</v>
      </c>
      <c r="U672" s="2">
        <f>IF(Данные6[[#This Row],[Проверка отказа]]="отказ",0,MAX(Данные6[[#This Row],[interest_rate]],$C$1))</f>
        <v>0</v>
      </c>
      <c r="V672" s="2">
        <f>MROUND(Данные6[[#This Row],[Минимум 20000]], 100)</f>
        <v>0</v>
      </c>
    </row>
    <row r="673" spans="1:22" x14ac:dyDescent="0.25">
      <c r="A673" s="2">
        <f>'1000_заявлений'!A667</f>
        <v>665</v>
      </c>
      <c r="B673" s="4">
        <f>VALUE(SUBSTITUTE('1000_заявлений'!B667, ".", ","))</f>
        <v>0.36929961895858299</v>
      </c>
      <c r="C673" s="4">
        <f>VALUE(SUBSTITUTE('1000_заявлений'!C667, ".", ","))</f>
        <v>0.40491317711758301</v>
      </c>
      <c r="D673" s="4">
        <f>VALUE(SUBSTITUTE('1000_заявлений'!D667, ".", ","))</f>
        <v>0.6769925</v>
      </c>
      <c r="E673" s="4">
        <f>VALUE(SUBSTITUTE('1000_заявлений'!E667, ".", ","))</f>
        <v>0.49346383999999999</v>
      </c>
      <c r="F673" s="5">
        <f>VALUE(SUBSTITUTE('1000_заявлений'!F667, ".", ","))</f>
        <v>-7512</v>
      </c>
      <c r="G673" s="5">
        <f>VALUE(SUBSTITUTE('1000_заявлений'!G667, ".", ","))</f>
        <v>-12404</v>
      </c>
      <c r="H673" s="5">
        <f>VALUE(SUBSTITUTE('1000_заявлений'!H667, ".", ","))</f>
        <v>-2458</v>
      </c>
      <c r="I673" s="4">
        <f>VALUE(SUBSTITUTE('1000_заявлений'!I667, ".", ","))</f>
        <v>0.33637142857142799</v>
      </c>
      <c r="J673" s="4">
        <f>VALUE(SUBSTITUTE('1000_заявлений'!J667, ".", ","))</f>
        <v>11.944734621092399</v>
      </c>
      <c r="K673" s="5">
        <f>VALUE(SUBSTITUTE('1000_заявлений'!K667, ".", ","))</f>
        <v>-2636</v>
      </c>
      <c r="L673" s="6">
        <f>VALUE(SUBSTITUTE('1000_заявлений'!L667, ".", ","))</f>
        <v>52978.5</v>
      </c>
      <c r="M673" s="2" t="str">
        <f>IF(Данные6[[#This Row],[proba]]&gt;$C$6, "отказ", "одобрение")</f>
        <v>отказ</v>
      </c>
      <c r="N673" s="7">
        <f>IF(Данные6[[#This Row],[proba]]&lt;$D$2,$C$2,IF(Данные6[[#This Row],[proba]]&lt;$D$3,$C$3,IF(Данные6[[#This Row],[proba]]&gt;$C$6,0,$C$4)))</f>
        <v>0</v>
      </c>
      <c r="O673" s="2">
        <f>IF(Данные6[[#This Row],[weighted_ext_score]]&gt;$O$1,MIN(Данные6[[#This Row],[Базовая сумма]]*$O$2,$C$2),IF(Данные6[[#This Row],[weighted_ext_score]]&lt;$O$3,Данные6[[#This Row],[Базовая сумма]]*$O$4,N673))</f>
        <v>0</v>
      </c>
      <c r="P6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3" s="2">
        <f>ABS(Данные6[[#This Row],[days_birth]])/365.2425</f>
        <v>33.96099851468545</v>
      </c>
      <c r="S6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3" s="2">
        <f>IF(Данные6[[#This Row],[ interest_rate]]&gt;$T$1,Данные6[[#This Row],[days_birth4]]*$T$2,Данные6[[#This Row],[days_birth4]])</f>
        <v>0</v>
      </c>
      <c r="U673" s="2">
        <f>IF(Данные6[[#This Row],[Проверка отказа]]="отказ",0,MAX(Данные6[[#This Row],[interest_rate]],$C$1))</f>
        <v>0</v>
      </c>
      <c r="V673" s="2">
        <f>MROUND(Данные6[[#This Row],[Минимум 20000]], 100)</f>
        <v>0</v>
      </c>
    </row>
    <row r="674" spans="1:22" x14ac:dyDescent="0.25">
      <c r="A674" s="2">
        <f>'1000_заявлений'!A668</f>
        <v>666</v>
      </c>
      <c r="B674" s="4">
        <f>VALUE(SUBSTITUTE('1000_заявлений'!B668, ".", ","))</f>
        <v>0.62044665501231</v>
      </c>
      <c r="C674" s="4">
        <f>VALUE(SUBSTITUTE('1000_заявлений'!C668, ".", ","))</f>
        <v>0.25427844367772001</v>
      </c>
      <c r="D674" s="4">
        <f>VALUE(SUBSTITUTE('1000_заявлений'!D668, ".", ","))</f>
        <v>0.39621958000000002</v>
      </c>
      <c r="E674" s="4">
        <f>VALUE(SUBSTITUTE('1000_заявлений'!E668, ".", ","))</f>
        <v>0.34213116999999998</v>
      </c>
      <c r="F674" s="5">
        <f>VALUE(SUBSTITUTE('1000_заявлений'!F668, ".", ","))</f>
        <v>-6163</v>
      </c>
      <c r="G674" s="5">
        <f>VALUE(SUBSTITUTE('1000_заявлений'!G668, ".", ","))</f>
        <v>-20448</v>
      </c>
      <c r="H674" s="5">
        <f>VALUE(SUBSTITUTE('1000_заявлений'!H668, ".", ","))</f>
        <v>-4000</v>
      </c>
      <c r="I674" s="4">
        <f>VALUE(SUBSTITUTE('1000_заявлений'!I668, ".", ","))</f>
        <v>0.254575</v>
      </c>
      <c r="J674" s="4">
        <f>VALUE(SUBSTITUTE('1000_заявлений'!J668, ".", ","))</f>
        <v>4.4594441217255802</v>
      </c>
      <c r="K674" s="5">
        <f>VALUE(SUBSTITUTE('1000_заявлений'!K668, ".", ","))</f>
        <v>-3212</v>
      </c>
      <c r="L674" s="6">
        <f>VALUE(SUBSTITUTE('1000_заявлений'!L668, ".", ","))</f>
        <v>45823.5</v>
      </c>
      <c r="M674" s="2" t="str">
        <f>IF(Данные6[[#This Row],[proba]]&gt;$C$6, "отказ", "одобрение")</f>
        <v>отказ</v>
      </c>
      <c r="N674" s="7">
        <f>IF(Данные6[[#This Row],[proba]]&lt;$D$2,$C$2,IF(Данные6[[#This Row],[proba]]&lt;$D$3,$C$3,IF(Данные6[[#This Row],[proba]]&gt;$C$6,0,$C$4)))</f>
        <v>0</v>
      </c>
      <c r="O674" s="2">
        <f>IF(Данные6[[#This Row],[weighted_ext_score]]&gt;$O$1,MIN(Данные6[[#This Row],[Базовая сумма]]*$O$2,$C$2),IF(Данные6[[#This Row],[weighted_ext_score]]&lt;$O$3,Данные6[[#This Row],[Базовая сумма]]*$O$4,N674))</f>
        <v>0</v>
      </c>
      <c r="P6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4" s="2">
        <f>ABS(Данные6[[#This Row],[days_birth]])/365.2425</f>
        <v>55.984722478901006</v>
      </c>
      <c r="S6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4" s="2">
        <f>IF(Данные6[[#This Row],[ interest_rate]]&gt;$T$1,Данные6[[#This Row],[days_birth4]]*$T$2,Данные6[[#This Row],[days_birth4]])</f>
        <v>0</v>
      </c>
      <c r="U674" s="2">
        <f>IF(Данные6[[#This Row],[Проверка отказа]]="отказ",0,MAX(Данные6[[#This Row],[interest_rate]],$C$1))</f>
        <v>0</v>
      </c>
      <c r="V674" s="2">
        <f>MROUND(Данные6[[#This Row],[Минимум 20000]], 100)</f>
        <v>0</v>
      </c>
    </row>
    <row r="675" spans="1:22" x14ac:dyDescent="0.25">
      <c r="A675" s="2">
        <f>'1000_заявлений'!A669</f>
        <v>667</v>
      </c>
      <c r="B675" s="4">
        <f>VALUE(SUBSTITUTE('1000_заявлений'!B669, ".", ","))</f>
        <v>0.61890941950417799</v>
      </c>
      <c r="C675" s="4">
        <f>VALUE(SUBSTITUTE('1000_заявлений'!C669, ".", ","))</f>
        <v>0.28006650706206399</v>
      </c>
      <c r="D675" s="4">
        <f>VALUE(SUBSTITUTE('1000_заявлений'!D669, ".", ","))</f>
        <v>0.35563869999999997</v>
      </c>
      <c r="E675" s="4">
        <f>VALUE(SUBSTITUTE('1000_заявлений'!E669, ".", ","))</f>
        <v>0.46687733999999997</v>
      </c>
      <c r="F675" s="5">
        <f>VALUE(SUBSTITUTE('1000_заявлений'!F669, ".", ","))</f>
        <v>-6058</v>
      </c>
      <c r="G675" s="5">
        <f>VALUE(SUBSTITUTE('1000_заявлений'!G669, ".", ","))</f>
        <v>-15827</v>
      </c>
      <c r="H675" s="5">
        <f>VALUE(SUBSTITUTE('1000_заявлений'!H669, ".", ","))</f>
        <v>-1480</v>
      </c>
      <c r="I675" s="4">
        <f>VALUE(SUBSTITUTE('1000_заявлений'!I669, ".", ","))</f>
        <v>0.168866666666666</v>
      </c>
      <c r="J675" s="4">
        <f>VALUE(SUBSTITUTE('1000_заявлений'!J669, ".", ","))</f>
        <v>6.7995256949890903</v>
      </c>
      <c r="K675" s="5">
        <f>VALUE(SUBSTITUTE('1000_заявлений'!K669, ".", ","))</f>
        <v>-1998</v>
      </c>
      <c r="L675" s="6">
        <f>VALUE(SUBSTITUTE('1000_заявлений'!L669, ".", ","))</f>
        <v>11398.5</v>
      </c>
      <c r="M675" s="2" t="str">
        <f>IF(Данные6[[#This Row],[proba]]&gt;$C$6, "отказ", "одобрение")</f>
        <v>отказ</v>
      </c>
      <c r="N675" s="7">
        <f>IF(Данные6[[#This Row],[proba]]&lt;$D$2,$C$2,IF(Данные6[[#This Row],[proba]]&lt;$D$3,$C$3,IF(Данные6[[#This Row],[proba]]&gt;$C$6,0,$C$4)))</f>
        <v>0</v>
      </c>
      <c r="O675" s="2">
        <f>IF(Данные6[[#This Row],[weighted_ext_score]]&gt;$O$1,MIN(Данные6[[#This Row],[Базовая сумма]]*$O$2,$C$2),IF(Данные6[[#This Row],[weighted_ext_score]]&lt;$O$3,Данные6[[#This Row],[Базовая сумма]]*$O$4,N675))</f>
        <v>0</v>
      </c>
      <c r="P6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5" s="2">
        <f>ABS(Данные6[[#This Row],[days_birth]])/365.2425</f>
        <v>43.332854199607112</v>
      </c>
      <c r="S6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5" s="2">
        <f>IF(Данные6[[#This Row],[ interest_rate]]&gt;$T$1,Данные6[[#This Row],[days_birth4]]*$T$2,Данные6[[#This Row],[days_birth4]])</f>
        <v>0</v>
      </c>
      <c r="U675" s="2">
        <f>IF(Данные6[[#This Row],[Проверка отказа]]="отказ",0,MAX(Данные6[[#This Row],[interest_rate]],$C$1))</f>
        <v>0</v>
      </c>
      <c r="V675" s="2">
        <f>MROUND(Данные6[[#This Row],[Минимум 20000]], 100)</f>
        <v>0</v>
      </c>
    </row>
    <row r="676" spans="1:22" x14ac:dyDescent="0.25">
      <c r="A676" s="2">
        <f>'1000_заявлений'!A670</f>
        <v>668</v>
      </c>
      <c r="B676" s="4">
        <f>VALUE(SUBSTITUTE('1000_заявлений'!B670, ".", ","))</f>
        <v>0.48510314422363399</v>
      </c>
      <c r="C676" s="4">
        <f>VALUE(SUBSTITUTE('1000_заявлений'!C670, ".", ","))</f>
        <v>0.50304437653859402</v>
      </c>
      <c r="D676" s="4">
        <f>VALUE(SUBSTITUTE('1000_заявлений'!D670, ".", ","))</f>
        <v>0.52089759999999996</v>
      </c>
      <c r="E676" s="4">
        <f>VALUE(SUBSTITUTE('1000_заявлений'!E670, ".", ","))</f>
        <v>0.26531175000000001</v>
      </c>
      <c r="F676" s="5">
        <f>VALUE(SUBSTITUTE('1000_заявлений'!F670, ".", ","))</f>
        <v>-9722</v>
      </c>
      <c r="G676" s="5">
        <f>VALUE(SUBSTITUTE('1000_заявлений'!G670, ".", ","))</f>
        <v>-20862</v>
      </c>
      <c r="H676" s="5">
        <f>VALUE(SUBSTITUTE('1000_заявлений'!H670, ".", ","))</f>
        <v>-4387</v>
      </c>
      <c r="I676" s="4">
        <f>VALUE(SUBSTITUTE('1000_заявлений'!I670, ".", ","))</f>
        <v>0.2994</v>
      </c>
      <c r="J676" s="4">
        <f>VALUE(SUBSTITUTE('1000_заявлений'!J670, ".", ","))</f>
        <v>2.7682725227066798</v>
      </c>
      <c r="K676" s="5">
        <f>VALUE(SUBSTITUTE('1000_заявлений'!K670, ".", ","))</f>
        <v>-1061</v>
      </c>
      <c r="L676" s="6">
        <f>VALUE(SUBSTITUTE('1000_заявлений'!L670, ".", ","))</f>
        <v>26946</v>
      </c>
      <c r="M676" s="2" t="str">
        <f>IF(Данные6[[#This Row],[proba]]&gt;$C$6, "отказ", "одобрение")</f>
        <v>отказ</v>
      </c>
      <c r="N676" s="7">
        <f>IF(Данные6[[#This Row],[proba]]&lt;$D$2,$C$2,IF(Данные6[[#This Row],[proba]]&lt;$D$3,$C$3,IF(Данные6[[#This Row],[proba]]&gt;$C$6,0,$C$4)))</f>
        <v>0</v>
      </c>
      <c r="O676" s="2">
        <f>IF(Данные6[[#This Row],[weighted_ext_score]]&gt;$O$1,MIN(Данные6[[#This Row],[Базовая сумма]]*$O$2,$C$2),IF(Данные6[[#This Row],[weighted_ext_score]]&lt;$O$3,Данные6[[#This Row],[Базовая сумма]]*$O$4,N676))</f>
        <v>0</v>
      </c>
      <c r="P6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6" s="2">
        <f>ABS(Данные6[[#This Row],[days_birth]])/365.2425</f>
        <v>57.118215979794243</v>
      </c>
      <c r="S6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6" s="2">
        <f>IF(Данные6[[#This Row],[ interest_rate]]&gt;$T$1,Данные6[[#This Row],[days_birth4]]*$T$2,Данные6[[#This Row],[days_birth4]])</f>
        <v>0</v>
      </c>
      <c r="U676" s="2">
        <f>IF(Данные6[[#This Row],[Проверка отказа]]="отказ",0,MAX(Данные6[[#This Row],[interest_rate]],$C$1))</f>
        <v>0</v>
      </c>
      <c r="V676" s="2">
        <f>MROUND(Данные6[[#This Row],[Минимум 20000]], 100)</f>
        <v>0</v>
      </c>
    </row>
    <row r="677" spans="1:22" x14ac:dyDescent="0.25">
      <c r="A677" s="2">
        <f>'1000_заявлений'!A671</f>
        <v>669</v>
      </c>
      <c r="B677" s="4">
        <f>VALUE(SUBSTITUTE('1000_заявлений'!B671, ".", ","))</f>
        <v>0.16691173179150101</v>
      </c>
      <c r="C677" s="4">
        <f>VALUE(SUBSTITUTE('1000_заявлений'!C671, ".", ","))</f>
        <v>0.67324435442103303</v>
      </c>
      <c r="D677" s="4">
        <f>VALUE(SUBSTITUTE('1000_заявлений'!D671, ".", ","))</f>
        <v>0.59892624999999999</v>
      </c>
      <c r="E677" s="4">
        <f>VALUE(SUBSTITUTE('1000_заявлений'!E671, ".", ","))</f>
        <v>0.69752634000000002</v>
      </c>
      <c r="F677" s="5">
        <f>VALUE(SUBSTITUTE('1000_заявлений'!F671, ".", ","))</f>
        <v>-1104</v>
      </c>
      <c r="G677" s="5">
        <f>VALUE(SUBSTITUTE('1000_заявлений'!G671, ".", ","))</f>
        <v>-18449</v>
      </c>
      <c r="H677" s="5">
        <f>VALUE(SUBSTITUTE('1000_заявлений'!H671, ".", ","))</f>
        <v>-1994</v>
      </c>
      <c r="I677" s="4">
        <f>VALUE(SUBSTITUTE('1000_заявлений'!I671, ".", ","))</f>
        <v>0.15</v>
      </c>
      <c r="J677" s="4">
        <f>VALUE(SUBSTITUTE('1000_заявлений'!J671, ".", ","))</f>
        <v>10.6209759779781</v>
      </c>
      <c r="K677" s="5">
        <f>VALUE(SUBSTITUTE('1000_заявлений'!K671, ".", ","))</f>
        <v>365243</v>
      </c>
      <c r="L677" s="6">
        <f>VALUE(SUBSTITUTE('1000_заявлений'!L671, ".", ","))</f>
        <v>20250</v>
      </c>
      <c r="M677" s="2" t="str">
        <f>IF(Данные6[[#This Row],[proba]]&gt;$C$6, "отказ", "одобрение")</f>
        <v>одобрение</v>
      </c>
      <c r="N677" s="7">
        <f>IF(Данные6[[#This Row],[proba]]&lt;$D$2,$C$2,IF(Данные6[[#This Row],[proba]]&lt;$D$3,$C$3,IF(Данные6[[#This Row],[proba]]&gt;$C$6,0,$C$4)))</f>
        <v>200000</v>
      </c>
      <c r="O677" s="2">
        <f>IF(Данные6[[#This Row],[weighted_ext_score]]&gt;$O$1,MIN(Данные6[[#This Row],[Базовая сумма]]*$O$2,$C$2),IF(Данные6[[#This Row],[weighted_ext_score]]&lt;$O$3,Данные6[[#This Row],[Базовая сумма]]*$O$4,N677))</f>
        <v>200000</v>
      </c>
      <c r="P6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677" s="2">
        <f>ABS(Данные6[[#This Row],[days_birth]])/365.2425</f>
        <v>50.511646371930979</v>
      </c>
      <c r="S6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677" s="2">
        <f>IF(Данные6[[#This Row],[ interest_rate]]&gt;$T$1,Данные6[[#This Row],[days_birth4]]*$T$2,Данные6[[#This Row],[days_birth4]])</f>
        <v>210000</v>
      </c>
      <c r="U677" s="2">
        <f>IF(Данные6[[#This Row],[Проверка отказа]]="отказ",0,MAX(Данные6[[#This Row],[interest_rate]],$C$1))</f>
        <v>210000</v>
      </c>
      <c r="V677" s="2">
        <f>MROUND(Данные6[[#This Row],[Минимум 20000]], 100)</f>
        <v>210000</v>
      </c>
    </row>
    <row r="678" spans="1:22" x14ac:dyDescent="0.25">
      <c r="A678" s="2">
        <f>'1000_заявлений'!A672</f>
        <v>670</v>
      </c>
      <c r="B678" s="4">
        <f>VALUE(SUBSTITUTE('1000_заявлений'!B672, ".", ","))</f>
        <v>0.58194441465857805</v>
      </c>
      <c r="C678" s="4">
        <f>VALUE(SUBSTITUTE('1000_заявлений'!C672, ".", ","))</f>
        <v>0.28428117959180599</v>
      </c>
      <c r="D678" s="4">
        <f>VALUE(SUBSTITUTE('1000_заявлений'!D672, ".", ","))</f>
        <v>0.44361531999999998</v>
      </c>
      <c r="E678" s="4">
        <f>VALUE(SUBSTITUTE('1000_заявлений'!E672, ".", ","))</f>
        <v>0.38178050000000002</v>
      </c>
      <c r="F678" s="5">
        <f>VALUE(SUBSTITUTE('1000_заявлений'!F672, ".", ","))</f>
        <v>-3942</v>
      </c>
      <c r="G678" s="5">
        <f>VALUE(SUBSTITUTE('1000_заявлений'!G672, ".", ","))</f>
        <v>-17545</v>
      </c>
      <c r="H678" s="5">
        <f>VALUE(SUBSTITUTE('1000_заявлений'!H672, ".", ","))</f>
        <v>-1081</v>
      </c>
      <c r="I678" s="4">
        <f>VALUE(SUBSTITUTE('1000_заявлений'!I672, ".", ","))</f>
        <v>0.16203999999999999</v>
      </c>
      <c r="J678" s="4">
        <f>VALUE(SUBSTITUTE('1000_заявлений'!J672, ".", ","))</f>
        <v>6.5526323213506297</v>
      </c>
      <c r="K678" s="5">
        <f>VALUE(SUBSTITUTE('1000_заявлений'!K672, ".", ","))</f>
        <v>-1079</v>
      </c>
      <c r="L678" s="6">
        <f>VALUE(SUBSTITUTE('1000_заявлений'!L672, ".", ","))</f>
        <v>36459</v>
      </c>
      <c r="M678" s="2" t="str">
        <f>IF(Данные6[[#This Row],[proba]]&gt;$C$6, "отказ", "одобрение")</f>
        <v>отказ</v>
      </c>
      <c r="N678" s="7">
        <f>IF(Данные6[[#This Row],[proba]]&lt;$D$2,$C$2,IF(Данные6[[#This Row],[proba]]&lt;$D$3,$C$3,IF(Данные6[[#This Row],[proba]]&gt;$C$6,0,$C$4)))</f>
        <v>0</v>
      </c>
      <c r="O678" s="2">
        <f>IF(Данные6[[#This Row],[weighted_ext_score]]&gt;$O$1,MIN(Данные6[[#This Row],[Базовая сумма]]*$O$2,$C$2),IF(Данные6[[#This Row],[weighted_ext_score]]&lt;$O$3,Данные6[[#This Row],[Базовая сумма]]*$O$4,N678))</f>
        <v>0</v>
      </c>
      <c r="P6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78" s="2">
        <f>ABS(Данные6[[#This Row],[days_birth]])/365.2425</f>
        <v>48.036578437613365</v>
      </c>
      <c r="S6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78" s="2">
        <f>IF(Данные6[[#This Row],[ interest_rate]]&gt;$T$1,Данные6[[#This Row],[days_birth4]]*$T$2,Данные6[[#This Row],[days_birth4]])</f>
        <v>0</v>
      </c>
      <c r="U678" s="2">
        <f>IF(Данные6[[#This Row],[Проверка отказа]]="отказ",0,MAX(Данные6[[#This Row],[interest_rate]],$C$1))</f>
        <v>0</v>
      </c>
      <c r="V678" s="2">
        <f>MROUND(Данные6[[#This Row],[Минимум 20000]], 100)</f>
        <v>0</v>
      </c>
    </row>
    <row r="679" spans="1:22" x14ac:dyDescent="0.25">
      <c r="A679" s="2">
        <f>'1000_заявлений'!A673</f>
        <v>671</v>
      </c>
      <c r="B679" s="4">
        <f>VALUE(SUBSTITUTE('1000_заявлений'!B673, ".", ","))</f>
        <v>0.20406877695480599</v>
      </c>
      <c r="C679" s="4">
        <f>VALUE(SUBSTITUTE('1000_заявлений'!C673, ".", ","))</f>
        <v>0.50030167252119795</v>
      </c>
      <c r="D679" s="4">
        <f>VALUE(SUBSTITUTE('1000_заявлений'!D673, ".", ","))</f>
        <v>0.74902170000000001</v>
      </c>
      <c r="E679" s="4">
        <f>VALUE(SUBSTITUTE('1000_заявлений'!E673, ".", ","))</f>
        <v>0.7072214</v>
      </c>
      <c r="F679" s="5">
        <f>VALUE(SUBSTITUTE('1000_заявлений'!F673, ".", ","))</f>
        <v>-8319</v>
      </c>
      <c r="G679" s="5">
        <f>VALUE(SUBSTITUTE('1000_заявлений'!G673, ".", ","))</f>
        <v>-15977</v>
      </c>
      <c r="H679" s="5">
        <f>VALUE(SUBSTITUTE('1000_заявлений'!H673, ".", ","))</f>
        <v>-4628</v>
      </c>
      <c r="I679" s="4">
        <f>VALUE(SUBSTITUTE('1000_заявлений'!I673, ".", ","))</f>
        <v>0.130024776255246</v>
      </c>
      <c r="J679" s="4">
        <f>VALUE(SUBSTITUTE('1000_заявлений'!J673, ".", ","))</f>
        <v>2.9223424726345799</v>
      </c>
      <c r="K679" s="5">
        <f>VALUE(SUBSTITUTE('1000_заявлений'!K673, ".", ","))</f>
        <v>-2419</v>
      </c>
      <c r="L679" s="6">
        <f>VALUE(SUBSTITUTE('1000_заявлений'!L673, ".", ","))</f>
        <v>23143.5</v>
      </c>
      <c r="M679" s="2" t="str">
        <f>IF(Данные6[[#This Row],[proba]]&gt;$C$6, "отказ", "одобрение")</f>
        <v>одобрение</v>
      </c>
      <c r="N679" s="7">
        <f>IF(Данные6[[#This Row],[proba]]&lt;$D$2,$C$2,IF(Данные6[[#This Row],[proba]]&lt;$D$3,$C$3,IF(Данные6[[#This Row],[proba]]&gt;$C$6,0,$C$4)))</f>
        <v>50000</v>
      </c>
      <c r="O679" s="2">
        <f>IF(Данные6[[#This Row],[weighted_ext_score]]&gt;$O$1,MIN(Данные6[[#This Row],[Базовая сумма]]*$O$2,$C$2),IF(Данные6[[#This Row],[weighted_ext_score]]&lt;$O$3,Данные6[[#This Row],[Базовая сумма]]*$O$4,N679))</f>
        <v>50000</v>
      </c>
      <c r="P6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679" s="2">
        <f>ABS(Данные6[[#This Row],[days_birth]])/365.2425</f>
        <v>43.743540250655386</v>
      </c>
      <c r="S6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679" s="2">
        <f>IF(Данные6[[#This Row],[ interest_rate]]&gt;$T$1,Данные6[[#This Row],[days_birth4]]*$T$2,Данные6[[#This Row],[days_birth4]])</f>
        <v>35000</v>
      </c>
      <c r="U679" s="2">
        <f>IF(Данные6[[#This Row],[Проверка отказа]]="отказ",0,MAX(Данные6[[#This Row],[interest_rate]],$C$1))</f>
        <v>35000</v>
      </c>
      <c r="V679" s="2">
        <f>MROUND(Данные6[[#This Row],[Минимум 20000]], 100)</f>
        <v>35000</v>
      </c>
    </row>
    <row r="680" spans="1:22" x14ac:dyDescent="0.25">
      <c r="A680" s="2">
        <f>'1000_заявлений'!A674</f>
        <v>672</v>
      </c>
      <c r="B680" s="4">
        <f>VALUE(SUBSTITUTE('1000_заявлений'!B674, ".", ","))</f>
        <v>0.50397091131868699</v>
      </c>
      <c r="C680" s="4">
        <f>VALUE(SUBSTITUTE('1000_заявлений'!C674, ".", ","))</f>
        <v>0.32785959489684502</v>
      </c>
      <c r="D680" s="4">
        <f>VALUE(SUBSTITUTE('1000_заявлений'!D674, ".", ","))</f>
        <v>0.51549535999999996</v>
      </c>
      <c r="E680" s="4">
        <f>VALUE(SUBSTITUTE('1000_заявлений'!E674, ".", ","))</f>
        <v>0.4359825</v>
      </c>
      <c r="F680" s="5">
        <f>VALUE(SUBSTITUTE('1000_заявлений'!F674, ".", ","))</f>
        <v>-3584</v>
      </c>
      <c r="G680" s="5">
        <f>VALUE(SUBSTITUTE('1000_заявлений'!G674, ".", ","))</f>
        <v>-21062</v>
      </c>
      <c r="H680" s="5">
        <f>VALUE(SUBSTITUTE('1000_заявлений'!H674, ".", ","))</f>
        <v>-998</v>
      </c>
      <c r="I680" s="4">
        <f>VALUE(SUBSTITUTE('1000_заявлений'!I674, ".", ","))</f>
        <v>0.13644000000000001</v>
      </c>
      <c r="J680" s="4">
        <f>VALUE(SUBSTITUTE('1000_заявлений'!J674, ".", ","))</f>
        <v>3.5273746419186498</v>
      </c>
      <c r="K680" s="5">
        <f>VALUE(SUBSTITUTE('1000_заявлений'!K674, ".", ","))</f>
        <v>-1598</v>
      </c>
      <c r="L680" s="6">
        <f>VALUE(SUBSTITUTE('1000_заявлений'!L674, ".", ","))</f>
        <v>15349.5</v>
      </c>
      <c r="M680" s="2" t="str">
        <f>IF(Данные6[[#This Row],[proba]]&gt;$C$6, "отказ", "одобрение")</f>
        <v>отказ</v>
      </c>
      <c r="N680" s="7">
        <f>IF(Данные6[[#This Row],[proba]]&lt;$D$2,$C$2,IF(Данные6[[#This Row],[proba]]&lt;$D$3,$C$3,IF(Данные6[[#This Row],[proba]]&gt;$C$6,0,$C$4)))</f>
        <v>0</v>
      </c>
      <c r="O680" s="2">
        <f>IF(Данные6[[#This Row],[weighted_ext_score]]&gt;$O$1,MIN(Данные6[[#This Row],[Базовая сумма]]*$O$2,$C$2),IF(Данные6[[#This Row],[weighted_ext_score]]&lt;$O$3,Данные6[[#This Row],[Базовая сумма]]*$O$4,N680))</f>
        <v>0</v>
      </c>
      <c r="P6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0" s="2">
        <f>ABS(Данные6[[#This Row],[days_birth]])/365.2425</f>
        <v>57.665797381191943</v>
      </c>
      <c r="S6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0" s="2">
        <f>IF(Данные6[[#This Row],[ interest_rate]]&gt;$T$1,Данные6[[#This Row],[days_birth4]]*$T$2,Данные6[[#This Row],[days_birth4]])</f>
        <v>0</v>
      </c>
      <c r="U680" s="2">
        <f>IF(Данные6[[#This Row],[Проверка отказа]]="отказ",0,MAX(Данные6[[#This Row],[interest_rate]],$C$1))</f>
        <v>0</v>
      </c>
      <c r="V680" s="2">
        <f>MROUND(Данные6[[#This Row],[Минимум 20000]], 100)</f>
        <v>0</v>
      </c>
    </row>
    <row r="681" spans="1:22" x14ac:dyDescent="0.25">
      <c r="A681" s="2">
        <f>'1000_заявлений'!A675</f>
        <v>673</v>
      </c>
      <c r="B681" s="4">
        <f>VALUE(SUBSTITUTE('1000_заявлений'!B675, ".", ","))</f>
        <v>0.53811668518922895</v>
      </c>
      <c r="C681" s="4">
        <f>VALUE(SUBSTITUTE('1000_заявлений'!C675, ".", ","))</f>
        <v>0.43305250617200303</v>
      </c>
      <c r="D681" s="4">
        <f>VALUE(SUBSTITUTE('1000_заявлений'!D675, ".", ","))</f>
        <v>0.31703176999999999</v>
      </c>
      <c r="E681" s="4">
        <f>VALUE(SUBSTITUTE('1000_заявлений'!E675, ".", ","))</f>
        <v>0.65384966</v>
      </c>
      <c r="F681" s="5">
        <f>VALUE(SUBSTITUTE('1000_заявлений'!F675, ".", ","))</f>
        <v>-1158</v>
      </c>
      <c r="G681" s="5">
        <f>VALUE(SUBSTITUTE('1000_заявлений'!G675, ".", ","))</f>
        <v>-13034</v>
      </c>
      <c r="H681" s="5">
        <f>VALUE(SUBSTITUTE('1000_заявлений'!H675, ".", ","))</f>
        <v>-4611</v>
      </c>
      <c r="I681" s="4">
        <f>VALUE(SUBSTITUTE('1000_заявлений'!I675, ".", ","))</f>
        <v>0.35053333333333297</v>
      </c>
      <c r="J681" s="4">
        <f>VALUE(SUBSTITUTE('1000_заявлений'!J675, ".", ","))</f>
        <v>1.8914674618260401</v>
      </c>
      <c r="K681" s="5">
        <f>VALUE(SUBSTITUTE('1000_заявлений'!K675, ".", ","))</f>
        <v>-5643</v>
      </c>
      <c r="L681" s="6">
        <f>VALUE(SUBSTITUTE('1000_заявлений'!L675, ".", ","))</f>
        <v>47322</v>
      </c>
      <c r="M681" s="2" t="str">
        <f>IF(Данные6[[#This Row],[proba]]&gt;$C$6, "отказ", "одобрение")</f>
        <v>отказ</v>
      </c>
      <c r="N681" s="7">
        <f>IF(Данные6[[#This Row],[proba]]&lt;$D$2,$C$2,IF(Данные6[[#This Row],[proba]]&lt;$D$3,$C$3,IF(Данные6[[#This Row],[proba]]&gt;$C$6,0,$C$4)))</f>
        <v>0</v>
      </c>
      <c r="O681" s="2">
        <f>IF(Данные6[[#This Row],[weighted_ext_score]]&gt;$O$1,MIN(Данные6[[#This Row],[Базовая сумма]]*$O$2,$C$2),IF(Данные6[[#This Row],[weighted_ext_score]]&lt;$O$3,Данные6[[#This Row],[Базовая сумма]]*$O$4,N681))</f>
        <v>0</v>
      </c>
      <c r="P6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1" s="2">
        <f>ABS(Данные6[[#This Row],[days_birth]])/365.2425</f>
        <v>35.685879929088209</v>
      </c>
      <c r="S6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1" s="2">
        <f>IF(Данные6[[#This Row],[ interest_rate]]&gt;$T$1,Данные6[[#This Row],[days_birth4]]*$T$2,Данные6[[#This Row],[days_birth4]])</f>
        <v>0</v>
      </c>
      <c r="U681" s="2">
        <f>IF(Данные6[[#This Row],[Проверка отказа]]="отказ",0,MAX(Данные6[[#This Row],[interest_rate]],$C$1))</f>
        <v>0</v>
      </c>
      <c r="V681" s="2">
        <f>MROUND(Данные6[[#This Row],[Минимум 20000]], 100)</f>
        <v>0</v>
      </c>
    </row>
    <row r="682" spans="1:22" x14ac:dyDescent="0.25">
      <c r="A682" s="2">
        <f>'1000_заявлений'!A676</f>
        <v>674</v>
      </c>
      <c r="B682" s="4">
        <f>VALUE(SUBSTITUTE('1000_заявлений'!B676, ".", ","))</f>
        <v>0.15797597046345799</v>
      </c>
      <c r="C682" s="4">
        <f>VALUE(SUBSTITUTE('1000_заявлений'!C676, ".", ","))</f>
        <v>0.72326363179933695</v>
      </c>
      <c r="D682" s="4">
        <f>VALUE(SUBSTITUTE('1000_заявлений'!D676, ".", ","))</f>
        <v>0.66263777000000001</v>
      </c>
      <c r="E682" s="4">
        <f>VALUE(SUBSTITUTE('1000_заявлений'!E676, ".", ","))</f>
        <v>0.74668913999999997</v>
      </c>
      <c r="F682" s="5">
        <f>VALUE(SUBSTITUTE('1000_заявлений'!F676, ".", ","))</f>
        <v>-9691</v>
      </c>
      <c r="G682" s="5">
        <f>VALUE(SUBSTITUTE('1000_заявлений'!G676, ".", ","))</f>
        <v>-18606</v>
      </c>
      <c r="H682" s="5">
        <f>VALUE(SUBSTITUTE('1000_заявлений'!H676, ".", ","))</f>
        <v>-2159</v>
      </c>
      <c r="I682" s="4">
        <f>VALUE(SUBSTITUTE('1000_заявлений'!I676, ".", ","))</f>
        <v>0.192</v>
      </c>
      <c r="J682" s="4">
        <f>VALUE(SUBSTITUTE('1000_заявлений'!J676, ".", ","))</f>
        <v>1.62349302286386</v>
      </c>
      <c r="K682" s="5">
        <f>VALUE(SUBSTITUTE('1000_заявлений'!K676, ".", ","))</f>
        <v>-11683</v>
      </c>
      <c r="L682" s="6">
        <f>VALUE(SUBSTITUTE('1000_заявлений'!L676, ".", ","))</f>
        <v>56160</v>
      </c>
      <c r="M682" s="2" t="str">
        <f>IF(Данные6[[#This Row],[proba]]&gt;$C$6, "отказ", "одобрение")</f>
        <v>одобрение</v>
      </c>
      <c r="N682" s="7">
        <f>IF(Данные6[[#This Row],[proba]]&lt;$D$2,$C$2,IF(Данные6[[#This Row],[proba]]&lt;$D$3,$C$3,IF(Данные6[[#This Row],[proba]]&gt;$C$6,0,$C$4)))</f>
        <v>200000</v>
      </c>
      <c r="O682" s="2">
        <f>IF(Данные6[[#This Row],[weighted_ext_score]]&gt;$O$1,MIN(Данные6[[#This Row],[Базовая сумма]]*$O$2,$C$2),IF(Данные6[[#This Row],[weighted_ext_score]]&lt;$O$3,Данные6[[#This Row],[Базовая сумма]]*$O$4,N682))</f>
        <v>300000</v>
      </c>
      <c r="P6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6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682" s="2">
        <f>ABS(Данные6[[#This Row],[days_birth]])/365.2425</f>
        <v>50.941497772028171</v>
      </c>
      <c r="S6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682" s="2">
        <f>IF(Данные6[[#This Row],[ interest_rate]]&gt;$T$1,Данные6[[#This Row],[days_birth4]]*$T$2,Данные6[[#This Row],[days_birth4]])</f>
        <v>300000</v>
      </c>
      <c r="U682" s="2">
        <f>IF(Данные6[[#This Row],[Проверка отказа]]="отказ",0,MAX(Данные6[[#This Row],[interest_rate]],$C$1))</f>
        <v>300000</v>
      </c>
      <c r="V682" s="2">
        <f>MROUND(Данные6[[#This Row],[Минимум 20000]], 100)</f>
        <v>300000</v>
      </c>
    </row>
    <row r="683" spans="1:22" x14ac:dyDescent="0.25">
      <c r="A683" s="2">
        <f>'1000_заявлений'!A677</f>
        <v>675</v>
      </c>
      <c r="B683" s="4">
        <f>VALUE(SUBSTITUTE('1000_заявлений'!B677, ".", ","))</f>
        <v>0.23256553142329001</v>
      </c>
      <c r="C683" s="4">
        <f>VALUE(SUBSTITUTE('1000_заявлений'!C677, ".", ","))</f>
        <v>0.56850498249354697</v>
      </c>
      <c r="D683" s="4">
        <f>VALUE(SUBSTITUTE('1000_заявлений'!D677, ".", ","))</f>
        <v>0.61099130000000001</v>
      </c>
      <c r="E683" s="4">
        <f>VALUE(SUBSTITUTE('1000_заявлений'!E677, ".", ","))</f>
        <v>0.71907467000000003</v>
      </c>
      <c r="F683" s="5">
        <f>VALUE(SUBSTITUTE('1000_заявлений'!F677, ".", ","))</f>
        <v>-4690</v>
      </c>
      <c r="G683" s="5">
        <f>VALUE(SUBSTITUTE('1000_заявлений'!G677, ".", ","))</f>
        <v>-13631</v>
      </c>
      <c r="H683" s="5">
        <f>VALUE(SUBSTITUTE('1000_заявлений'!H677, ".", ","))</f>
        <v>-4978</v>
      </c>
      <c r="I683" s="4">
        <f>VALUE(SUBSTITUTE('1000_заявлений'!I677, ".", ","))</f>
        <v>0.16468333333333299</v>
      </c>
      <c r="J683" s="4">
        <f>VALUE(SUBSTITUTE('1000_заявлений'!J677, ".", ","))</f>
        <v>4.18741570209637</v>
      </c>
      <c r="K683" s="5">
        <f>VALUE(SUBSTITUTE('1000_заявлений'!K677, ".", ","))</f>
        <v>-1585</v>
      </c>
      <c r="L683" s="6">
        <f>VALUE(SUBSTITUTE('1000_заявлений'!L677, ".", ","))</f>
        <v>44464.5</v>
      </c>
      <c r="M683" s="2" t="str">
        <f>IF(Данные6[[#This Row],[proba]]&gt;$C$6, "отказ", "одобрение")</f>
        <v>одобрение</v>
      </c>
      <c r="N683" s="7">
        <f>IF(Данные6[[#This Row],[proba]]&lt;$D$2,$C$2,IF(Данные6[[#This Row],[proba]]&lt;$D$3,$C$3,IF(Данные6[[#This Row],[proba]]&gt;$C$6,0,$C$4)))</f>
        <v>50000</v>
      </c>
      <c r="O683" s="2">
        <f>IF(Данные6[[#This Row],[weighted_ext_score]]&gt;$O$1,MIN(Данные6[[#This Row],[Базовая сумма]]*$O$2,$C$2),IF(Данные6[[#This Row],[weighted_ext_score]]&lt;$O$3,Данные6[[#This Row],[Базовая сумма]]*$O$4,N683))</f>
        <v>50000</v>
      </c>
      <c r="P6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683" s="2">
        <f>ABS(Данные6[[#This Row],[days_birth]])/365.2425</f>
        <v>37.320410412260344</v>
      </c>
      <c r="S6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683" s="2">
        <f>IF(Данные6[[#This Row],[ interest_rate]]&gt;$T$1,Данные6[[#This Row],[days_birth4]]*$T$2,Данные6[[#This Row],[days_birth4]])</f>
        <v>35000</v>
      </c>
      <c r="U683" s="2">
        <f>IF(Данные6[[#This Row],[Проверка отказа]]="отказ",0,MAX(Данные6[[#This Row],[interest_rate]],$C$1))</f>
        <v>35000</v>
      </c>
      <c r="V683" s="2">
        <f>MROUND(Данные6[[#This Row],[Минимум 20000]], 100)</f>
        <v>35000</v>
      </c>
    </row>
    <row r="684" spans="1:22" x14ac:dyDescent="0.25">
      <c r="A684" s="2">
        <f>'1000_заявлений'!A678</f>
        <v>676</v>
      </c>
      <c r="B684" s="4">
        <f>VALUE(SUBSTITUTE('1000_заявлений'!B678, ".", ","))</f>
        <v>0.16941217668886499</v>
      </c>
      <c r="C684" s="4">
        <f>VALUE(SUBSTITUTE('1000_заявлений'!C678, ".", ","))</f>
        <v>0.66598270345084698</v>
      </c>
      <c r="D684" s="4">
        <f>VALUE(SUBSTITUTE('1000_заявлений'!D678, ".", ","))</f>
        <v>0.57796913000000005</v>
      </c>
      <c r="E684" s="4">
        <f>VALUE(SUBSTITUTE('1000_заявлений'!E678, ".", ","))</f>
        <v>0.56332742999999996</v>
      </c>
      <c r="F684" s="5">
        <f>VALUE(SUBSTITUTE('1000_заявлений'!F678, ".", ","))</f>
        <v>-1693</v>
      </c>
      <c r="G684" s="5">
        <f>VALUE(SUBSTITUTE('1000_заявлений'!G678, ".", ","))</f>
        <v>-24778</v>
      </c>
      <c r="H684" s="5">
        <f>VALUE(SUBSTITUTE('1000_заявлений'!H678, ".", ","))</f>
        <v>-2420</v>
      </c>
      <c r="I684" s="4">
        <f>VALUE(SUBSTITUTE('1000_заявлений'!I678, ".", ","))</f>
        <v>0.16236666666666599</v>
      </c>
      <c r="J684" s="4">
        <f>VALUE(SUBSTITUTE('1000_заявлений'!J678, ".", ","))</f>
        <v>14.9926589322989</v>
      </c>
      <c r="K684" s="5">
        <f>VALUE(SUBSTITUTE('1000_заявлений'!K678, ".", ","))</f>
        <v>365243</v>
      </c>
      <c r="L684" s="6">
        <f>VALUE(SUBSTITUTE('1000_заявлений'!L678, ".", ","))</f>
        <v>21919.5</v>
      </c>
      <c r="M684" s="2" t="str">
        <f>IF(Данные6[[#This Row],[proba]]&gt;$C$6, "отказ", "одобрение")</f>
        <v>одобрение</v>
      </c>
      <c r="N684" s="7">
        <f>IF(Данные6[[#This Row],[proba]]&lt;$D$2,$C$2,IF(Данные6[[#This Row],[proba]]&lt;$D$3,$C$3,IF(Данные6[[#This Row],[proba]]&gt;$C$6,0,$C$4)))</f>
        <v>200000</v>
      </c>
      <c r="O684" s="2">
        <f>IF(Данные6[[#This Row],[weighted_ext_score]]&gt;$O$1,MIN(Данные6[[#This Row],[Базовая сумма]]*$O$2,$C$2),IF(Данные6[[#This Row],[weighted_ext_score]]&lt;$O$3,Данные6[[#This Row],[Базовая сумма]]*$O$4,N684))</f>
        <v>200000</v>
      </c>
      <c r="P6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6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684" s="2">
        <f>ABS(Данные6[[#This Row],[days_birth]])/365.2425</f>
        <v>67.839859819161248</v>
      </c>
      <c r="S6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684" s="2">
        <f>IF(Данные6[[#This Row],[ interest_rate]]&gt;$T$1,Данные6[[#This Row],[days_birth4]]*$T$2,Данные6[[#This Row],[days_birth4]])</f>
        <v>210000</v>
      </c>
      <c r="U684" s="2">
        <f>IF(Данные6[[#This Row],[Проверка отказа]]="отказ",0,MAX(Данные6[[#This Row],[interest_rate]],$C$1))</f>
        <v>210000</v>
      </c>
      <c r="V684" s="2">
        <f>MROUND(Данные6[[#This Row],[Минимум 20000]], 100)</f>
        <v>210000</v>
      </c>
    </row>
    <row r="685" spans="1:22" x14ac:dyDescent="0.25">
      <c r="A685" s="2">
        <f>'1000_заявлений'!A679</f>
        <v>677</v>
      </c>
      <c r="B685" s="4">
        <f>VALUE(SUBSTITUTE('1000_заявлений'!B679, ".", ","))</f>
        <v>0.12564204399294099</v>
      </c>
      <c r="C685" s="4">
        <f>VALUE(SUBSTITUTE('1000_заявлений'!C679, ".", ","))</f>
        <v>0.73353907121998796</v>
      </c>
      <c r="D685" s="4">
        <f>VALUE(SUBSTITUTE('1000_заявлений'!D679, ".", ","))</f>
        <v>0.6910212</v>
      </c>
      <c r="E685" s="4">
        <f>VALUE(SUBSTITUTE('1000_заявлений'!E679, ".", ","))</f>
        <v>0.59671280000000004</v>
      </c>
      <c r="F685" s="5">
        <f>VALUE(SUBSTITUTE('1000_заявлений'!F679, ".", ","))</f>
        <v>-1309</v>
      </c>
      <c r="G685" s="5">
        <f>VALUE(SUBSTITUTE('1000_заявлений'!G679, ".", ","))</f>
        <v>-23494</v>
      </c>
      <c r="H685" s="5">
        <f>VALUE(SUBSTITUTE('1000_заявлений'!H679, ".", ","))</f>
        <v>-1983</v>
      </c>
      <c r="I685" s="4">
        <f>VALUE(SUBSTITUTE('1000_заявлений'!I679, ".", ","))</f>
        <v>0.163636363636363</v>
      </c>
      <c r="J685" s="4">
        <f>VALUE(SUBSTITUTE('1000_заявлений'!J679, ".", ","))</f>
        <v>10.6209759779781</v>
      </c>
      <c r="K685" s="5">
        <f>VALUE(SUBSTITUTE('1000_заявлений'!K679, ".", ","))</f>
        <v>365243</v>
      </c>
      <c r="L685" s="6">
        <f>VALUE(SUBSTITUTE('1000_заявлений'!L679, ".", ","))</f>
        <v>40500</v>
      </c>
      <c r="M685" s="2" t="str">
        <f>IF(Данные6[[#This Row],[proba]]&gt;$C$6, "отказ", "одобрение")</f>
        <v>одобрение</v>
      </c>
      <c r="N685" s="7">
        <f>IF(Данные6[[#This Row],[proba]]&lt;$D$2,$C$2,IF(Данные6[[#This Row],[proba]]&lt;$D$3,$C$3,IF(Данные6[[#This Row],[proba]]&gt;$C$6,0,$C$4)))</f>
        <v>200000</v>
      </c>
      <c r="O685" s="2">
        <f>IF(Данные6[[#This Row],[weighted_ext_score]]&gt;$O$1,MIN(Данные6[[#This Row],[Базовая сумма]]*$O$2,$C$2),IF(Данные6[[#This Row],[weighted_ext_score]]&lt;$O$3,Данные6[[#This Row],[Базовая сумма]]*$O$4,N685))</f>
        <v>300000</v>
      </c>
      <c r="P6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6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685" s="2">
        <f>ABS(Данные6[[#This Row],[days_birth]])/365.2425</f>
        <v>64.324387222187994</v>
      </c>
      <c r="S6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685" s="2">
        <f>IF(Данные6[[#This Row],[ interest_rate]]&gt;$T$1,Данные6[[#This Row],[days_birth4]]*$T$2,Данные6[[#This Row],[days_birth4]])</f>
        <v>300000</v>
      </c>
      <c r="U685" s="2">
        <f>IF(Данные6[[#This Row],[Проверка отказа]]="отказ",0,MAX(Данные6[[#This Row],[interest_rate]],$C$1))</f>
        <v>300000</v>
      </c>
      <c r="V685" s="2">
        <f>MROUND(Данные6[[#This Row],[Минимум 20000]], 100)</f>
        <v>300000</v>
      </c>
    </row>
    <row r="686" spans="1:22" x14ac:dyDescent="0.25">
      <c r="A686" s="2">
        <f>'1000_заявлений'!A680</f>
        <v>678</v>
      </c>
      <c r="B686" s="4">
        <f>VALUE(SUBSTITUTE('1000_заявлений'!B680, ".", ","))</f>
        <v>0.76580236376305599</v>
      </c>
      <c r="C686" s="4">
        <f>VALUE(SUBSTITUTE('1000_заявлений'!C680, ".", ","))</f>
        <v>0.253373816218323</v>
      </c>
      <c r="D686" s="4">
        <f>VALUE(SUBSTITUTE('1000_заявлений'!D680, ".", ","))</f>
        <v>0.17982176</v>
      </c>
      <c r="E686" s="4">
        <f>VALUE(SUBSTITUTE('1000_заявлений'!E680, ".", ","))</f>
        <v>0.33364356000000001</v>
      </c>
      <c r="F686" s="5">
        <f>VALUE(SUBSTITUTE('1000_заявлений'!F680, ".", ","))</f>
        <v>-979</v>
      </c>
      <c r="G686" s="5">
        <f>VALUE(SUBSTITUTE('1000_заявлений'!G680, ".", ","))</f>
        <v>-11686</v>
      </c>
      <c r="H686" s="5">
        <f>VALUE(SUBSTITUTE('1000_заявлений'!H680, ".", ","))</f>
        <v>-3036</v>
      </c>
      <c r="I686" s="4">
        <f>VALUE(SUBSTITUTE('1000_заявлений'!I680, ".", ","))</f>
        <v>0.156142857142857</v>
      </c>
      <c r="J686" s="4">
        <f>VALUE(SUBSTITUTE('1000_заявлений'!J680, ".", ","))</f>
        <v>6.7529529522816798</v>
      </c>
      <c r="K686" s="5">
        <f>VALUE(SUBSTITUTE('1000_заявлений'!K680, ".", ","))</f>
        <v>-1000</v>
      </c>
      <c r="L686" s="6">
        <f>VALUE(SUBSTITUTE('1000_заявлений'!L680, ".", ","))</f>
        <v>24592.5</v>
      </c>
      <c r="M686" s="2" t="str">
        <f>IF(Данные6[[#This Row],[proba]]&gt;$C$6, "отказ", "одобрение")</f>
        <v>отказ</v>
      </c>
      <c r="N686" s="7">
        <f>IF(Данные6[[#This Row],[proba]]&lt;$D$2,$C$2,IF(Данные6[[#This Row],[proba]]&lt;$D$3,$C$3,IF(Данные6[[#This Row],[proba]]&gt;$C$6,0,$C$4)))</f>
        <v>0</v>
      </c>
      <c r="O686" s="2">
        <f>IF(Данные6[[#This Row],[weighted_ext_score]]&gt;$O$1,MIN(Данные6[[#This Row],[Базовая сумма]]*$O$2,$C$2),IF(Данные6[[#This Row],[weighted_ext_score]]&lt;$O$3,Данные6[[#This Row],[Базовая сумма]]*$O$4,N686))</f>
        <v>0</v>
      </c>
      <c r="P6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6" s="2">
        <f>ABS(Данные6[[#This Row],[days_birth]])/365.2425</f>
        <v>31.995181283667698</v>
      </c>
      <c r="S6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6" s="2">
        <f>IF(Данные6[[#This Row],[ interest_rate]]&gt;$T$1,Данные6[[#This Row],[days_birth4]]*$T$2,Данные6[[#This Row],[days_birth4]])</f>
        <v>0</v>
      </c>
      <c r="U686" s="2">
        <f>IF(Данные6[[#This Row],[Проверка отказа]]="отказ",0,MAX(Данные6[[#This Row],[interest_rate]],$C$1))</f>
        <v>0</v>
      </c>
      <c r="V686" s="2">
        <f>MROUND(Данные6[[#This Row],[Минимум 20000]], 100)</f>
        <v>0</v>
      </c>
    </row>
    <row r="687" spans="1:22" x14ac:dyDescent="0.25">
      <c r="A687" s="2">
        <f>'1000_заявлений'!A681</f>
        <v>679</v>
      </c>
      <c r="B687" s="4">
        <f>VALUE(SUBSTITUTE('1000_заявлений'!B681, ".", ","))</f>
        <v>0.71831257289462802</v>
      </c>
      <c r="C687" s="4">
        <f>VALUE(SUBSTITUTE('1000_заявлений'!C681, ".", ","))</f>
        <v>0.24864282971659599</v>
      </c>
      <c r="D687" s="4">
        <f>VALUE(SUBSTITUTE('1000_заявлений'!D681, ".", ","))</f>
        <v>0.54781049999999998</v>
      </c>
      <c r="E687" s="4">
        <f>VALUE(SUBSTITUTE('1000_заявлений'!E681, ".", ","))</f>
        <v>0.15574045</v>
      </c>
      <c r="F687" s="5">
        <f>VALUE(SUBSTITUTE('1000_заявлений'!F681, ".", ","))</f>
        <v>-5115</v>
      </c>
      <c r="G687" s="5">
        <f>VALUE(SUBSTITUTE('1000_заявлений'!G681, ".", ","))</f>
        <v>-12767</v>
      </c>
      <c r="H687" s="5">
        <f>VALUE(SUBSTITUTE('1000_заявлений'!H681, ".", ","))</f>
        <v>-4271</v>
      </c>
      <c r="I687" s="4">
        <f>VALUE(SUBSTITUTE('1000_заявлений'!I681, ".", ","))</f>
        <v>0.35799999999999998</v>
      </c>
      <c r="J687" s="4">
        <f>VALUE(SUBSTITUTE('1000_заявлений'!J681, ".", ","))</f>
        <v>0.63712055850906302</v>
      </c>
      <c r="K687" s="5">
        <f>VALUE(SUBSTITUTE('1000_заявлений'!K681, ".", ","))</f>
        <v>-848</v>
      </c>
      <c r="L687" s="6">
        <f>VALUE(SUBSTITUTE('1000_заявлений'!L681, ".", ","))</f>
        <v>27387</v>
      </c>
      <c r="M687" s="2" t="str">
        <f>IF(Данные6[[#This Row],[proba]]&gt;$C$6, "отказ", "одобрение")</f>
        <v>отказ</v>
      </c>
      <c r="N687" s="7">
        <f>IF(Данные6[[#This Row],[proba]]&lt;$D$2,$C$2,IF(Данные6[[#This Row],[proba]]&lt;$D$3,$C$3,IF(Данные6[[#This Row],[proba]]&gt;$C$6,0,$C$4)))</f>
        <v>0</v>
      </c>
      <c r="O687" s="2">
        <f>IF(Данные6[[#This Row],[weighted_ext_score]]&gt;$O$1,MIN(Данные6[[#This Row],[Базовая сумма]]*$O$2,$C$2),IF(Данные6[[#This Row],[weighted_ext_score]]&lt;$O$3,Данные6[[#This Row],[Базовая сумма]]*$O$4,N687))</f>
        <v>0</v>
      </c>
      <c r="P6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7" s="2">
        <f>ABS(Данные6[[#This Row],[days_birth]])/365.2425</f>
        <v>34.954858758222279</v>
      </c>
      <c r="S6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7" s="2">
        <f>IF(Данные6[[#This Row],[ interest_rate]]&gt;$T$1,Данные6[[#This Row],[days_birth4]]*$T$2,Данные6[[#This Row],[days_birth4]])</f>
        <v>0</v>
      </c>
      <c r="U687" s="2">
        <f>IF(Данные6[[#This Row],[Проверка отказа]]="отказ",0,MAX(Данные6[[#This Row],[interest_rate]],$C$1))</f>
        <v>0</v>
      </c>
      <c r="V687" s="2">
        <f>MROUND(Данные6[[#This Row],[Минимум 20000]], 100)</f>
        <v>0</v>
      </c>
    </row>
    <row r="688" spans="1:22" x14ac:dyDescent="0.25">
      <c r="A688" s="2">
        <f>'1000_заявлений'!A682</f>
        <v>680</v>
      </c>
      <c r="B688" s="4">
        <f>VALUE(SUBSTITUTE('1000_заявлений'!B682, ".", ","))</f>
        <v>0.55162951910896496</v>
      </c>
      <c r="C688" s="4">
        <f>VALUE(SUBSTITUTE('1000_заявлений'!C682, ".", ","))</f>
        <v>0.30683626501837702</v>
      </c>
      <c r="D688" s="4">
        <f>VALUE(SUBSTITUTE('1000_заявлений'!D682, ".", ","))</f>
        <v>0.59197664000000005</v>
      </c>
      <c r="E688" s="4">
        <f>VALUE(SUBSTITUTE('1000_заявлений'!E682, ".", ","))</f>
        <v>0.28589787999999999</v>
      </c>
      <c r="F688" s="5">
        <f>VALUE(SUBSTITUTE('1000_заявлений'!F682, ".", ","))</f>
        <v>-12162</v>
      </c>
      <c r="G688" s="5">
        <f>VALUE(SUBSTITUTE('1000_заявлений'!G682, ".", ","))</f>
        <v>-17630</v>
      </c>
      <c r="H688" s="5">
        <f>VALUE(SUBSTITUTE('1000_заявлений'!H682, ".", ","))</f>
        <v>-1173</v>
      </c>
      <c r="I688" s="4">
        <f>VALUE(SUBSTITUTE('1000_заявлений'!I682, ".", ","))</f>
        <v>0.21357499999999999</v>
      </c>
      <c r="J688" s="4">
        <f>VALUE(SUBSTITUTE('1000_заявлений'!J682, ".", ","))</f>
        <v>1.7860355393922001</v>
      </c>
      <c r="K688" s="5">
        <f>VALUE(SUBSTITUTE('1000_заявлений'!K682, ".", ","))</f>
        <v>-1580</v>
      </c>
      <c r="L688" s="6">
        <f>VALUE(SUBSTITUTE('1000_заявлений'!L682, ".", ","))</f>
        <v>38443.5</v>
      </c>
      <c r="M688" s="2" t="str">
        <f>IF(Данные6[[#This Row],[proba]]&gt;$C$6, "отказ", "одобрение")</f>
        <v>отказ</v>
      </c>
      <c r="N688" s="7">
        <f>IF(Данные6[[#This Row],[proba]]&lt;$D$2,$C$2,IF(Данные6[[#This Row],[proba]]&lt;$D$3,$C$3,IF(Данные6[[#This Row],[proba]]&gt;$C$6,0,$C$4)))</f>
        <v>0</v>
      </c>
      <c r="O688" s="2">
        <f>IF(Данные6[[#This Row],[weighted_ext_score]]&gt;$O$1,MIN(Данные6[[#This Row],[Базовая сумма]]*$O$2,$C$2),IF(Данные6[[#This Row],[weighted_ext_score]]&lt;$O$3,Данные6[[#This Row],[Базовая сумма]]*$O$4,N688))</f>
        <v>0</v>
      </c>
      <c r="P6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8" s="2">
        <f>ABS(Данные6[[#This Row],[days_birth]])/365.2425</f>
        <v>48.269300533207385</v>
      </c>
      <c r="S6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8" s="2">
        <f>IF(Данные6[[#This Row],[ interest_rate]]&gt;$T$1,Данные6[[#This Row],[days_birth4]]*$T$2,Данные6[[#This Row],[days_birth4]])</f>
        <v>0</v>
      </c>
      <c r="U688" s="2">
        <f>IF(Данные6[[#This Row],[Проверка отказа]]="отказ",0,MAX(Данные6[[#This Row],[interest_rate]],$C$1))</f>
        <v>0</v>
      </c>
      <c r="V688" s="2">
        <f>MROUND(Данные6[[#This Row],[Минимум 20000]], 100)</f>
        <v>0</v>
      </c>
    </row>
    <row r="689" spans="1:22" x14ac:dyDescent="0.25">
      <c r="A689" s="2">
        <f>'1000_заявлений'!A683</f>
        <v>681</v>
      </c>
      <c r="B689" s="4">
        <f>VALUE(SUBSTITUTE('1000_заявлений'!B683, ".", ","))</f>
        <v>0.66003567052994105</v>
      </c>
      <c r="C689" s="4">
        <f>VALUE(SUBSTITUTE('1000_заявлений'!C683, ".", ","))</f>
        <v>0.25380356200838</v>
      </c>
      <c r="D689" s="4">
        <f>VALUE(SUBSTITUTE('1000_заявлений'!D683, ".", ","))</f>
        <v>0.54781049999999998</v>
      </c>
      <c r="E689" s="4">
        <f>VALUE(SUBSTITUTE('1000_заявлений'!E683, ".", ","))</f>
        <v>0.17165013000000001</v>
      </c>
      <c r="F689" s="5">
        <f>VALUE(SUBSTITUTE('1000_заявлений'!F683, ".", ","))</f>
        <v>-7893</v>
      </c>
      <c r="G689" s="5">
        <f>VALUE(SUBSTITUTE('1000_заявлений'!G683, ".", ","))</f>
        <v>-8656</v>
      </c>
      <c r="H689" s="5">
        <f>VALUE(SUBSTITUTE('1000_заявлений'!H683, ".", ","))</f>
        <v>-1327</v>
      </c>
      <c r="I689" s="4">
        <f>VALUE(SUBSTITUTE('1000_заявлений'!I683, ".", ","))</f>
        <v>0.11033333333333301</v>
      </c>
      <c r="J689" s="4">
        <f>VALUE(SUBSTITUTE('1000_заявлений'!J683, ".", ","))</f>
        <v>8.5341464511093008</v>
      </c>
      <c r="K689" s="5">
        <f>VALUE(SUBSTITUTE('1000_заявлений'!K683, ".", ","))</f>
        <v>-612</v>
      </c>
      <c r="L689" s="6">
        <f>VALUE(SUBSTITUTE('1000_заявлений'!L683, ".", ","))</f>
        <v>14895</v>
      </c>
      <c r="M689" s="2" t="str">
        <f>IF(Данные6[[#This Row],[proba]]&gt;$C$6, "отказ", "одобрение")</f>
        <v>отказ</v>
      </c>
      <c r="N689" s="7">
        <f>IF(Данные6[[#This Row],[proba]]&lt;$D$2,$C$2,IF(Данные6[[#This Row],[proba]]&lt;$D$3,$C$3,IF(Данные6[[#This Row],[proba]]&gt;$C$6,0,$C$4)))</f>
        <v>0</v>
      </c>
      <c r="O689" s="2">
        <f>IF(Данные6[[#This Row],[weighted_ext_score]]&gt;$O$1,MIN(Данные6[[#This Row],[Базовая сумма]]*$O$2,$C$2),IF(Данные6[[#This Row],[weighted_ext_score]]&lt;$O$3,Данные6[[#This Row],[Базовая сумма]]*$O$4,N689))</f>
        <v>0</v>
      </c>
      <c r="P6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89" s="2">
        <f>ABS(Данные6[[#This Row],[days_birth]])/365.2425</f>
        <v>23.69932305249252</v>
      </c>
      <c r="S6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89" s="2">
        <f>IF(Данные6[[#This Row],[ interest_rate]]&gt;$T$1,Данные6[[#This Row],[days_birth4]]*$T$2,Данные6[[#This Row],[days_birth4]])</f>
        <v>0</v>
      </c>
      <c r="U689" s="2">
        <f>IF(Данные6[[#This Row],[Проверка отказа]]="отказ",0,MAX(Данные6[[#This Row],[interest_rate]],$C$1))</f>
        <v>0</v>
      </c>
      <c r="V689" s="2">
        <f>MROUND(Данные6[[#This Row],[Минимум 20000]], 100)</f>
        <v>0</v>
      </c>
    </row>
    <row r="690" spans="1:22" x14ac:dyDescent="0.25">
      <c r="A690" s="2">
        <f>'1000_заявлений'!A684</f>
        <v>682</v>
      </c>
      <c r="B690" s="4">
        <f>VALUE(SUBSTITUTE('1000_заявлений'!B684, ".", ","))</f>
        <v>0.75723347111462402</v>
      </c>
      <c r="C690" s="4">
        <f>VALUE(SUBSTITUTE('1000_заявлений'!C684, ".", ","))</f>
        <v>0.219744193121406</v>
      </c>
      <c r="D690" s="4">
        <f>VALUE(SUBSTITUTE('1000_заявлений'!D684, ".", ","))</f>
        <v>0.20442262</v>
      </c>
      <c r="E690" s="4">
        <f>VALUE(SUBSTITUTE('1000_заявлений'!E684, ".", ","))</f>
        <v>0.44951279999999999</v>
      </c>
      <c r="F690" s="5">
        <f>VALUE(SUBSTITUTE('1000_заявлений'!F684, ".", ","))</f>
        <v>-1735</v>
      </c>
      <c r="G690" s="5">
        <f>VALUE(SUBSTITUTE('1000_заявлений'!G684, ".", ","))</f>
        <v>-13426</v>
      </c>
      <c r="H690" s="5">
        <f>VALUE(SUBSTITUTE('1000_заявлений'!H684, ".", ","))</f>
        <v>-4151</v>
      </c>
      <c r="I690" s="4">
        <f>VALUE(SUBSTITUTE('1000_заявлений'!I684, ".", ","))</f>
        <v>0.3681875</v>
      </c>
      <c r="J690" s="4">
        <f>VALUE(SUBSTITUTE('1000_заявлений'!J684, ".", ","))</f>
        <v>7.3980757530384098</v>
      </c>
      <c r="K690" s="5">
        <f>VALUE(SUBSTITUTE('1000_заявлений'!K684, ".", ","))</f>
        <v>-2540</v>
      </c>
      <c r="L690" s="6">
        <f>VALUE(SUBSTITUTE('1000_заявлений'!L684, ".", ","))</f>
        <v>26509.5</v>
      </c>
      <c r="M690" s="2" t="str">
        <f>IF(Данные6[[#This Row],[proba]]&gt;$C$6, "отказ", "одобрение")</f>
        <v>отказ</v>
      </c>
      <c r="N690" s="7">
        <f>IF(Данные6[[#This Row],[proba]]&lt;$D$2,$C$2,IF(Данные6[[#This Row],[proba]]&lt;$D$3,$C$3,IF(Данные6[[#This Row],[proba]]&gt;$C$6,0,$C$4)))</f>
        <v>0</v>
      </c>
      <c r="O690" s="2">
        <f>IF(Данные6[[#This Row],[weighted_ext_score]]&gt;$O$1,MIN(Данные6[[#This Row],[Базовая сумма]]*$O$2,$C$2),IF(Данные6[[#This Row],[weighted_ext_score]]&lt;$O$3,Данные6[[#This Row],[Базовая сумма]]*$O$4,N690))</f>
        <v>0</v>
      </c>
      <c r="P6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0" s="2">
        <f>ABS(Данные6[[#This Row],[days_birth]])/365.2425</f>
        <v>36.759139475827702</v>
      </c>
      <c r="S6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0" s="2">
        <f>IF(Данные6[[#This Row],[ interest_rate]]&gt;$T$1,Данные6[[#This Row],[days_birth4]]*$T$2,Данные6[[#This Row],[days_birth4]])</f>
        <v>0</v>
      </c>
      <c r="U690" s="2">
        <f>IF(Данные6[[#This Row],[Проверка отказа]]="отказ",0,MAX(Данные6[[#This Row],[interest_rate]],$C$1))</f>
        <v>0</v>
      </c>
      <c r="V690" s="2">
        <f>MROUND(Данные6[[#This Row],[Минимум 20000]], 100)</f>
        <v>0</v>
      </c>
    </row>
    <row r="691" spans="1:22" x14ac:dyDescent="0.25">
      <c r="A691" s="2">
        <f>'1000_заявлений'!A685</f>
        <v>683</v>
      </c>
      <c r="B691" s="4">
        <f>VALUE(SUBSTITUTE('1000_заявлений'!B685, ".", ","))</f>
        <v>0.29168016237482303</v>
      </c>
      <c r="C691" s="4">
        <f>VALUE(SUBSTITUTE('1000_заявлений'!C685, ".", ","))</f>
        <v>0.534226691967152</v>
      </c>
      <c r="D691" s="4">
        <f>VALUE(SUBSTITUTE('1000_заявлений'!D685, ".", ","))</f>
        <v>0.53348165999999997</v>
      </c>
      <c r="E691" s="4">
        <f>VALUE(SUBSTITUTE('1000_заявлений'!E685, ".", ","))</f>
        <v>0.68001676</v>
      </c>
      <c r="F691" s="5">
        <f>VALUE(SUBSTITUTE('1000_заявлений'!F685, ".", ","))</f>
        <v>-9249</v>
      </c>
      <c r="G691" s="5">
        <f>VALUE(SUBSTITUTE('1000_заявлений'!G685, ".", ","))</f>
        <v>-10296</v>
      </c>
      <c r="H691" s="5">
        <f>VALUE(SUBSTITUTE('1000_заявлений'!H685, ".", ","))</f>
        <v>-2943</v>
      </c>
      <c r="I691" s="4">
        <f>VALUE(SUBSTITUTE('1000_заявлений'!I685, ".", ","))</f>
        <v>0.1</v>
      </c>
      <c r="J691" s="4">
        <f>VALUE(SUBSTITUTE('1000_заявлений'!J685, ".", ","))</f>
        <v>10.6209759779781</v>
      </c>
      <c r="K691" s="5">
        <f>VALUE(SUBSTITUTE('1000_заявлений'!K685, ".", ","))</f>
        <v>-2599</v>
      </c>
      <c r="L691" s="6">
        <f>VALUE(SUBSTITUTE('1000_заявлений'!L685, ".", ","))</f>
        <v>13500</v>
      </c>
      <c r="M691" s="2" t="str">
        <f>IF(Данные6[[#This Row],[proba]]&gt;$C$6, "отказ", "одобрение")</f>
        <v>одобрение</v>
      </c>
      <c r="N691" s="7">
        <f>IF(Данные6[[#This Row],[proba]]&lt;$D$2,$C$2,IF(Данные6[[#This Row],[proba]]&lt;$D$3,$C$3,IF(Данные6[[#This Row],[proba]]&gt;$C$6,0,$C$4)))</f>
        <v>50000</v>
      </c>
      <c r="O691" s="2">
        <f>IF(Данные6[[#This Row],[weighted_ext_score]]&gt;$O$1,MIN(Данные6[[#This Row],[Базовая сумма]]*$O$2,$C$2),IF(Данные6[[#This Row],[weighted_ext_score]]&lt;$O$3,Данные6[[#This Row],[Базовая сумма]]*$O$4,N691))</f>
        <v>50000</v>
      </c>
      <c r="P6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6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691" s="2">
        <f>ABS(Данные6[[#This Row],[days_birth]])/365.2425</f>
        <v>28.189490543953674</v>
      </c>
      <c r="S6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691" s="2">
        <f>IF(Данные6[[#This Row],[ interest_rate]]&gt;$T$1,Данные6[[#This Row],[days_birth4]]*$T$2,Данные6[[#This Row],[days_birth4]])</f>
        <v>35000</v>
      </c>
      <c r="U691" s="2">
        <f>IF(Данные6[[#This Row],[Проверка отказа]]="отказ",0,MAX(Данные6[[#This Row],[interest_rate]],$C$1))</f>
        <v>35000</v>
      </c>
      <c r="V691" s="2">
        <f>MROUND(Данные6[[#This Row],[Минимум 20000]], 100)</f>
        <v>35000</v>
      </c>
    </row>
    <row r="692" spans="1:22" x14ac:dyDescent="0.25">
      <c r="A692" s="2">
        <f>'1000_заявлений'!A686</f>
        <v>684</v>
      </c>
      <c r="B692" s="4">
        <f>VALUE(SUBSTITUTE('1000_заявлений'!B686, ".", ","))</f>
        <v>0.31253223011265302</v>
      </c>
      <c r="C692" s="4">
        <f>VALUE(SUBSTITUTE('1000_заявлений'!C686, ".", ","))</f>
        <v>0.56679635723788602</v>
      </c>
      <c r="D692" s="4">
        <f>VALUE(SUBSTITUTE('1000_заявлений'!D686, ".", ","))</f>
        <v>0.71215516000000001</v>
      </c>
      <c r="E692" s="4">
        <f>VALUE(SUBSTITUTE('1000_заявлений'!E686, ".", ","))</f>
        <v>0.44121072</v>
      </c>
      <c r="F692" s="5">
        <f>VALUE(SUBSTITUTE('1000_заявлений'!F686, ".", ","))</f>
        <v>-7278</v>
      </c>
      <c r="G692" s="5">
        <f>VALUE(SUBSTITUTE('1000_заявлений'!G686, ".", ","))</f>
        <v>-16431</v>
      </c>
      <c r="H692" s="5">
        <f>VALUE(SUBSTITUTE('1000_заявлений'!H686, ".", ","))</f>
        <v>-4435</v>
      </c>
      <c r="I692" s="4">
        <f>VALUE(SUBSTITUTE('1000_заявлений'!I686, ".", ","))</f>
        <v>0.35299999999999998</v>
      </c>
      <c r="J692" s="4">
        <f>VALUE(SUBSTITUTE('1000_заявлений'!J686, ".", ","))</f>
        <v>5.4389373942866204</v>
      </c>
      <c r="K692" s="5">
        <f>VALUE(SUBSTITUTE('1000_заявлений'!K686, ".", ","))</f>
        <v>-3721</v>
      </c>
      <c r="L692" s="6">
        <f>VALUE(SUBSTITUTE('1000_заявлений'!L686, ".", ","))</f>
        <v>31770</v>
      </c>
      <c r="M692" s="2" t="str">
        <f>IF(Данные6[[#This Row],[proba]]&gt;$C$6, "отказ", "одобрение")</f>
        <v>отказ</v>
      </c>
      <c r="N692" s="7">
        <f>IF(Данные6[[#This Row],[proba]]&lt;$D$2,$C$2,IF(Данные6[[#This Row],[proba]]&lt;$D$3,$C$3,IF(Данные6[[#This Row],[proba]]&gt;$C$6,0,$C$4)))</f>
        <v>0</v>
      </c>
      <c r="O692" s="2">
        <f>IF(Данные6[[#This Row],[weighted_ext_score]]&gt;$O$1,MIN(Данные6[[#This Row],[Базовая сумма]]*$O$2,$C$2),IF(Данные6[[#This Row],[weighted_ext_score]]&lt;$O$3,Данные6[[#This Row],[Базовая сумма]]*$O$4,N692))</f>
        <v>0</v>
      </c>
      <c r="P6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2" s="2">
        <f>ABS(Данные6[[#This Row],[days_birth]])/365.2425</f>
        <v>44.986550031828166</v>
      </c>
      <c r="S6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2" s="2">
        <f>IF(Данные6[[#This Row],[ interest_rate]]&gt;$T$1,Данные6[[#This Row],[days_birth4]]*$T$2,Данные6[[#This Row],[days_birth4]])</f>
        <v>0</v>
      </c>
      <c r="U692" s="2">
        <f>IF(Данные6[[#This Row],[Проверка отказа]]="отказ",0,MAX(Данные6[[#This Row],[interest_rate]],$C$1))</f>
        <v>0</v>
      </c>
      <c r="V692" s="2">
        <f>MROUND(Данные6[[#This Row],[Минимум 20000]], 100)</f>
        <v>0</v>
      </c>
    </row>
    <row r="693" spans="1:22" x14ac:dyDescent="0.25">
      <c r="A693" s="2">
        <f>'1000_заявлений'!A687</f>
        <v>685</v>
      </c>
      <c r="B693" s="4">
        <f>VALUE(SUBSTITUTE('1000_заявлений'!B687, ".", ","))</f>
        <v>0.60220768420390602</v>
      </c>
      <c r="C693" s="4">
        <f>VALUE(SUBSTITUTE('1000_заявлений'!C687, ".", ","))</f>
        <v>0.29093557736404102</v>
      </c>
      <c r="D693" s="4">
        <f>VALUE(SUBSTITUTE('1000_заявлений'!D687, ".", ","))</f>
        <v>0.33125088000000003</v>
      </c>
      <c r="E693" s="4">
        <f>VALUE(SUBSTITUTE('1000_заявлений'!E687, ".", ","))</f>
        <v>0.52757620000000005</v>
      </c>
      <c r="F693" s="5">
        <f>VALUE(SUBSTITUTE('1000_заявлений'!F687, ".", ","))</f>
        <v>-2360</v>
      </c>
      <c r="G693" s="5">
        <f>VALUE(SUBSTITUTE('1000_заявлений'!G687, ".", ","))</f>
        <v>-16676</v>
      </c>
      <c r="H693" s="5">
        <f>VALUE(SUBSTITUTE('1000_заявлений'!H687, ".", ","))</f>
        <v>-227</v>
      </c>
      <c r="I693" s="4">
        <f>VALUE(SUBSTITUTE('1000_заявлений'!I687, ".", ","))</f>
        <v>0.24199999999999999</v>
      </c>
      <c r="J693" s="4">
        <f>VALUE(SUBSTITUTE('1000_заявлений'!J687, ".", ","))</f>
        <v>1.14997718293541</v>
      </c>
      <c r="K693" s="5">
        <f>VALUE(SUBSTITUTE('1000_заявлений'!K687, ".", ","))</f>
        <v>365243</v>
      </c>
      <c r="L693" s="6">
        <f>VALUE(SUBSTITUTE('1000_заявлений'!L687, ".", ","))</f>
        <v>32670</v>
      </c>
      <c r="M693" s="2" t="str">
        <f>IF(Данные6[[#This Row],[proba]]&gt;$C$6, "отказ", "одобрение")</f>
        <v>отказ</v>
      </c>
      <c r="N693" s="7">
        <f>IF(Данные6[[#This Row],[proba]]&lt;$D$2,$C$2,IF(Данные6[[#This Row],[proba]]&lt;$D$3,$C$3,IF(Данные6[[#This Row],[proba]]&gt;$C$6,0,$C$4)))</f>
        <v>0</v>
      </c>
      <c r="O693" s="2">
        <f>IF(Данные6[[#This Row],[weighted_ext_score]]&gt;$O$1,MIN(Данные6[[#This Row],[Базовая сумма]]*$O$2,$C$2),IF(Данные6[[#This Row],[weighted_ext_score]]&lt;$O$3,Данные6[[#This Row],[Базовая сумма]]*$O$4,N693))</f>
        <v>0</v>
      </c>
      <c r="P6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3" s="2">
        <f>ABS(Данные6[[#This Row],[days_birth]])/365.2425</f>
        <v>45.657337248540351</v>
      </c>
      <c r="S6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3" s="2">
        <f>IF(Данные6[[#This Row],[ interest_rate]]&gt;$T$1,Данные6[[#This Row],[days_birth4]]*$T$2,Данные6[[#This Row],[days_birth4]])</f>
        <v>0</v>
      </c>
      <c r="U693" s="2">
        <f>IF(Данные6[[#This Row],[Проверка отказа]]="отказ",0,MAX(Данные6[[#This Row],[interest_rate]],$C$1))</f>
        <v>0</v>
      </c>
      <c r="V693" s="2">
        <f>MROUND(Данные6[[#This Row],[Минимум 20000]], 100)</f>
        <v>0</v>
      </c>
    </row>
    <row r="694" spans="1:22" x14ac:dyDescent="0.25">
      <c r="A694" s="2">
        <f>'1000_заявлений'!A688</f>
        <v>686</v>
      </c>
      <c r="B694" s="4">
        <f>VALUE(SUBSTITUTE('1000_заявлений'!B688, ".", ","))</f>
        <v>0.12227380931820001</v>
      </c>
      <c r="C694" s="4">
        <f>VALUE(SUBSTITUTE('1000_заявлений'!C688, ".", ","))</f>
        <v>0.74876280881205104</v>
      </c>
      <c r="D694" s="4">
        <f>VALUE(SUBSTITUTE('1000_заявлений'!D688, ".", ","))</f>
        <v>0.82459499999999997</v>
      </c>
      <c r="E694" s="4">
        <f>VALUE(SUBSTITUTE('1000_заявлений'!E688, ".", ","))</f>
        <v>0.66059369999999995</v>
      </c>
      <c r="F694" s="5">
        <f>VALUE(SUBSTITUTE('1000_заявлений'!F688, ".", ","))</f>
        <v>-13244</v>
      </c>
      <c r="G694" s="5">
        <f>VALUE(SUBSTITUTE('1000_заявлений'!G688, ".", ","))</f>
        <v>-19586</v>
      </c>
      <c r="H694" s="5">
        <f>VALUE(SUBSTITUTE('1000_заявлений'!H688, ".", ","))</f>
        <v>-3121</v>
      </c>
      <c r="I694" s="4">
        <f>VALUE(SUBSTITUTE('1000_заявлений'!I688, ".", ","))</f>
        <v>0.16814705882352901</v>
      </c>
      <c r="J694" s="4">
        <f>VALUE(SUBSTITUTE('1000_заявлений'!J688, ".", ","))</f>
        <v>2.11706988758722</v>
      </c>
      <c r="K694" s="5">
        <f>VALUE(SUBSTITUTE('1000_заявлений'!K688, ".", ","))</f>
        <v>-4542</v>
      </c>
      <c r="L694" s="6">
        <f>VALUE(SUBSTITUTE('1000_заявлений'!L688, ".", ","))</f>
        <v>25726.5</v>
      </c>
      <c r="M694" s="2" t="str">
        <f>IF(Данные6[[#This Row],[proba]]&gt;$C$6, "отказ", "одобрение")</f>
        <v>одобрение</v>
      </c>
      <c r="N694" s="7">
        <f>IF(Данные6[[#This Row],[proba]]&lt;$D$2,$C$2,IF(Данные6[[#This Row],[proba]]&lt;$D$3,$C$3,IF(Данные6[[#This Row],[proba]]&gt;$C$6,0,$C$4)))</f>
        <v>200000</v>
      </c>
      <c r="O694" s="2">
        <f>IF(Данные6[[#This Row],[weighted_ext_score]]&gt;$O$1,MIN(Данные6[[#This Row],[Базовая сумма]]*$O$2,$C$2),IF(Данные6[[#This Row],[weighted_ext_score]]&lt;$O$3,Данные6[[#This Row],[Базовая сумма]]*$O$4,N694))</f>
        <v>300000</v>
      </c>
      <c r="P6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6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694" s="2">
        <f>ABS(Данные6[[#This Row],[days_birth]])/365.2425</f>
        <v>53.624646638876911</v>
      </c>
      <c r="S6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694" s="2">
        <f>IF(Данные6[[#This Row],[ interest_rate]]&gt;$T$1,Данные6[[#This Row],[days_birth4]]*$T$2,Данные6[[#This Row],[days_birth4]])</f>
        <v>300000</v>
      </c>
      <c r="U694" s="2">
        <f>IF(Данные6[[#This Row],[Проверка отказа]]="отказ",0,MAX(Данные6[[#This Row],[interest_rate]],$C$1))</f>
        <v>300000</v>
      </c>
      <c r="V694" s="2">
        <f>MROUND(Данные6[[#This Row],[Минимум 20000]], 100)</f>
        <v>300000</v>
      </c>
    </row>
    <row r="695" spans="1:22" x14ac:dyDescent="0.25">
      <c r="A695" s="2">
        <f>'1000_заявлений'!A689</f>
        <v>687</v>
      </c>
      <c r="B695" s="4">
        <f>VALUE(SUBSTITUTE('1000_заявлений'!B689, ".", ","))</f>
        <v>0.2117030256254</v>
      </c>
      <c r="C695" s="4">
        <f>VALUE(SUBSTITUTE('1000_заявлений'!C689, ".", ","))</f>
        <v>0.45688485080247998</v>
      </c>
      <c r="D695" s="4">
        <f>VALUE(SUBSTITUTE('1000_заявлений'!D689, ".", ","))</f>
        <v>0.81391745999999998</v>
      </c>
      <c r="E695" s="4">
        <f>VALUE(SUBSTITUTE('1000_заявлений'!E689, ".", ","))</f>
        <v>0.50101870000000004</v>
      </c>
      <c r="F695" s="5">
        <f>VALUE(SUBSTITUTE('1000_заявлений'!F689, ".", ","))</f>
        <v>-4403</v>
      </c>
      <c r="G695" s="5">
        <f>VALUE(SUBSTITUTE('1000_заявлений'!G689, ".", ","))</f>
        <v>-21737</v>
      </c>
      <c r="H695" s="5">
        <f>VALUE(SUBSTITUTE('1000_заявлений'!H689, ".", ","))</f>
        <v>-4949</v>
      </c>
      <c r="I695" s="4">
        <f>VALUE(SUBSTITUTE('1000_заявлений'!I689, ".", ","))</f>
        <v>0.256533333333333</v>
      </c>
      <c r="J695" s="4">
        <f>VALUE(SUBSTITUTE('1000_заявлений'!J689, ".", ","))</f>
        <v>1.8684821377263201</v>
      </c>
      <c r="K695" s="5">
        <f>VALUE(SUBSTITUTE('1000_заявлений'!K689, ".", ","))</f>
        <v>365243</v>
      </c>
      <c r="L695" s="6">
        <f>VALUE(SUBSTITUTE('1000_заявлений'!L689, ".", ","))</f>
        <v>51948</v>
      </c>
      <c r="M695" s="2" t="str">
        <f>IF(Данные6[[#This Row],[proba]]&gt;$C$6, "отказ", "одобрение")</f>
        <v>одобрение</v>
      </c>
      <c r="N695" s="7">
        <f>IF(Данные6[[#This Row],[proba]]&lt;$D$2,$C$2,IF(Данные6[[#This Row],[proba]]&lt;$D$3,$C$3,IF(Данные6[[#This Row],[proba]]&gt;$C$6,0,$C$4)))</f>
        <v>50000</v>
      </c>
      <c r="O695" s="2">
        <f>IF(Данные6[[#This Row],[weighted_ext_score]]&gt;$O$1,MIN(Данные6[[#This Row],[Базовая сумма]]*$O$2,$C$2),IF(Данные6[[#This Row],[weighted_ext_score]]&lt;$O$3,Данные6[[#This Row],[Базовая сумма]]*$O$4,N695))</f>
        <v>40000</v>
      </c>
      <c r="P6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695" s="2">
        <f>ABS(Данные6[[#This Row],[days_birth]])/365.2425</f>
        <v>59.513884610909187</v>
      </c>
      <c r="S6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695" s="2">
        <f>IF(Данные6[[#This Row],[ interest_rate]]&gt;$T$1,Данные6[[#This Row],[days_birth4]]*$T$2,Данные6[[#This Row],[days_birth4]])</f>
        <v>42000</v>
      </c>
      <c r="U695" s="2">
        <f>IF(Данные6[[#This Row],[Проверка отказа]]="отказ",0,MAX(Данные6[[#This Row],[interest_rate]],$C$1))</f>
        <v>42000</v>
      </c>
      <c r="V695" s="2">
        <f>MROUND(Данные6[[#This Row],[Минимум 20000]], 100)</f>
        <v>42000</v>
      </c>
    </row>
    <row r="696" spans="1:22" x14ac:dyDescent="0.25">
      <c r="A696" s="2">
        <f>'1000_заявлений'!A690</f>
        <v>688</v>
      </c>
      <c r="B696" s="4">
        <f>VALUE(SUBSTITUTE('1000_заявлений'!B690, ".", ","))</f>
        <v>0.35412221713941999</v>
      </c>
      <c r="C696" s="4">
        <f>VALUE(SUBSTITUTE('1000_заявлений'!C690, ".", ","))</f>
        <v>0.59660700535399203</v>
      </c>
      <c r="D696" s="4">
        <f>VALUE(SUBSTITUTE('1000_заявлений'!D690, ".", ","))</f>
        <v>0.42589290000000002</v>
      </c>
      <c r="E696" s="4">
        <f>VALUE(SUBSTITUTE('1000_заявлений'!E690, ".", ","))</f>
        <v>0.59586006000000002</v>
      </c>
      <c r="F696" s="5">
        <f>VALUE(SUBSTITUTE('1000_заявлений'!F690, ".", ","))</f>
        <v>-7077</v>
      </c>
      <c r="G696" s="5">
        <f>VALUE(SUBSTITUTE('1000_заявлений'!G690, ".", ","))</f>
        <v>-12954</v>
      </c>
      <c r="H696" s="5">
        <f>VALUE(SUBSTITUTE('1000_заявлений'!H690, ".", ","))</f>
        <v>-4747</v>
      </c>
      <c r="I696" s="4">
        <f>VALUE(SUBSTITUTE('1000_заявлений'!I690, ".", ","))</f>
        <v>0.145711864406779</v>
      </c>
      <c r="J696" s="4">
        <f>VALUE(SUBSTITUTE('1000_заявлений'!J690, ".", ","))</f>
        <v>2.8211127982831998</v>
      </c>
      <c r="K696" s="5">
        <f>VALUE(SUBSTITUTE('1000_заявлений'!K690, ".", ","))</f>
        <v>-1608</v>
      </c>
      <c r="L696" s="6">
        <f>VALUE(SUBSTITUTE('1000_заявлений'!L690, ".", ","))</f>
        <v>38686.5</v>
      </c>
      <c r="M696" s="2" t="str">
        <f>IF(Данные6[[#This Row],[proba]]&gt;$C$6, "отказ", "одобрение")</f>
        <v>отказ</v>
      </c>
      <c r="N696" s="7">
        <f>IF(Данные6[[#This Row],[proba]]&lt;$D$2,$C$2,IF(Данные6[[#This Row],[proba]]&lt;$D$3,$C$3,IF(Данные6[[#This Row],[proba]]&gt;$C$6,0,$C$4)))</f>
        <v>0</v>
      </c>
      <c r="O696" s="2">
        <f>IF(Данные6[[#This Row],[weighted_ext_score]]&gt;$O$1,MIN(Данные6[[#This Row],[Базовая сумма]]*$O$2,$C$2),IF(Данные6[[#This Row],[weighted_ext_score]]&lt;$O$3,Данные6[[#This Row],[Базовая сумма]]*$O$4,N696))</f>
        <v>0</v>
      </c>
      <c r="P6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6" s="2">
        <f>ABS(Данные6[[#This Row],[days_birth]])/365.2425</f>
        <v>35.46684736852913</v>
      </c>
      <c r="S6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6" s="2">
        <f>IF(Данные6[[#This Row],[ interest_rate]]&gt;$T$1,Данные6[[#This Row],[days_birth4]]*$T$2,Данные6[[#This Row],[days_birth4]])</f>
        <v>0</v>
      </c>
      <c r="U696" s="2">
        <f>IF(Данные6[[#This Row],[Проверка отказа]]="отказ",0,MAX(Данные6[[#This Row],[interest_rate]],$C$1))</f>
        <v>0</v>
      </c>
      <c r="V696" s="2">
        <f>MROUND(Данные6[[#This Row],[Минимум 20000]], 100)</f>
        <v>0</v>
      </c>
    </row>
    <row r="697" spans="1:22" x14ac:dyDescent="0.25">
      <c r="A697" s="2">
        <f>'1000_заявлений'!A691</f>
        <v>689</v>
      </c>
      <c r="B697" s="4">
        <f>VALUE(SUBSTITUTE('1000_заявлений'!B691, ".", ","))</f>
        <v>0.27626205668403703</v>
      </c>
      <c r="C697" s="4">
        <f>VALUE(SUBSTITUTE('1000_заявлений'!C691, ".", ","))</f>
        <v>0.46011774273477402</v>
      </c>
      <c r="D697" s="4">
        <f>VALUE(SUBSTITUTE('1000_заявлений'!D691, ".", ","))</f>
        <v>0.73662269999999996</v>
      </c>
      <c r="E697" s="4">
        <f>VALUE(SUBSTITUTE('1000_заявлений'!E691, ".", ","))</f>
        <v>0.59716535000000004</v>
      </c>
      <c r="F697" s="5">
        <f>VALUE(SUBSTITUTE('1000_заявлений'!F691, ".", ","))</f>
        <v>-2986</v>
      </c>
      <c r="G697" s="5">
        <f>VALUE(SUBSTITUTE('1000_заявлений'!G691, ".", ","))</f>
        <v>-13581</v>
      </c>
      <c r="H697" s="5">
        <f>VALUE(SUBSTITUTE('1000_заявлений'!H691, ".", ","))</f>
        <v>-1065</v>
      </c>
      <c r="I697" s="4">
        <f>VALUE(SUBSTITUTE('1000_заявлений'!I691, ".", ","))</f>
        <v>0.13894000000000001</v>
      </c>
      <c r="J697" s="4">
        <f>VALUE(SUBSTITUTE('1000_заявлений'!J691, ".", ","))</f>
        <v>7.8744259631260096</v>
      </c>
      <c r="K697" s="5">
        <f>VALUE(SUBSTITUTE('1000_заявлений'!K691, ".", ","))</f>
        <v>-2180</v>
      </c>
      <c r="L697" s="6">
        <f>VALUE(SUBSTITUTE('1000_заявлений'!L691, ".", ","))</f>
        <v>31261.5</v>
      </c>
      <c r="M697" s="2" t="str">
        <f>IF(Данные6[[#This Row],[proba]]&gt;$C$6, "отказ", "одобрение")</f>
        <v>одобрение</v>
      </c>
      <c r="N697" s="7">
        <f>IF(Данные6[[#This Row],[proba]]&lt;$D$2,$C$2,IF(Данные6[[#This Row],[proba]]&lt;$D$3,$C$3,IF(Данные6[[#This Row],[proba]]&gt;$C$6,0,$C$4)))</f>
        <v>50000</v>
      </c>
      <c r="O697" s="2">
        <f>IF(Данные6[[#This Row],[weighted_ext_score]]&gt;$O$1,MIN(Данные6[[#This Row],[Базовая сумма]]*$O$2,$C$2),IF(Данные6[[#This Row],[weighted_ext_score]]&lt;$O$3,Данные6[[#This Row],[Базовая сумма]]*$O$4,N697))</f>
        <v>40000</v>
      </c>
      <c r="P6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6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697" s="2">
        <f>ABS(Данные6[[#This Row],[days_birth]])/365.2425</f>
        <v>37.183515061910924</v>
      </c>
      <c r="S6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697" s="2">
        <f>IF(Данные6[[#This Row],[ interest_rate]]&gt;$T$1,Данные6[[#This Row],[days_birth4]]*$T$2,Данные6[[#This Row],[days_birth4]])</f>
        <v>28000</v>
      </c>
      <c r="U697" s="2">
        <f>IF(Данные6[[#This Row],[Проверка отказа]]="отказ",0,MAX(Данные6[[#This Row],[interest_rate]],$C$1))</f>
        <v>28000</v>
      </c>
      <c r="V697" s="2">
        <f>MROUND(Данные6[[#This Row],[Минимум 20000]], 100)</f>
        <v>28000</v>
      </c>
    </row>
    <row r="698" spans="1:22" x14ac:dyDescent="0.25">
      <c r="A698" s="2">
        <f>'1000_заявлений'!A692</f>
        <v>690</v>
      </c>
      <c r="B698" s="4">
        <f>VALUE(SUBSTITUTE('1000_заявлений'!B692, ".", ","))</f>
        <v>0.69709567505028902</v>
      </c>
      <c r="C698" s="4">
        <f>VALUE(SUBSTITUTE('1000_заявлений'!C692, ".", ","))</f>
        <v>0.25692680092472903</v>
      </c>
      <c r="D698" s="4">
        <f>VALUE(SUBSTITUTE('1000_заявлений'!D692, ".", ","))</f>
        <v>0.24451639</v>
      </c>
      <c r="E698" s="4">
        <f>VALUE(SUBSTITUTE('1000_заявлений'!E692, ".", ","))</f>
        <v>0.51943784999999998</v>
      </c>
      <c r="F698" s="5">
        <f>VALUE(SUBSTITUTE('1000_заявлений'!F692, ".", ","))</f>
        <v>-8288</v>
      </c>
      <c r="G698" s="5">
        <f>VALUE(SUBSTITUTE('1000_заявлений'!G692, ".", ","))</f>
        <v>-8935</v>
      </c>
      <c r="H698" s="5">
        <f>VALUE(SUBSTITUTE('1000_заявлений'!H692, ".", ","))</f>
        <v>-1620</v>
      </c>
      <c r="I698" s="4">
        <f>VALUE(SUBSTITUTE('1000_заявлений'!I692, ".", ","))</f>
        <v>0.20752473862722401</v>
      </c>
      <c r="J698" s="4">
        <f>VALUE(SUBSTITUTE('1000_заявлений'!J692, ".", ","))</f>
        <v>6.8476229924627097</v>
      </c>
      <c r="K698" s="5">
        <f>VALUE(SUBSTITUTE('1000_заявлений'!K692, ".", ","))</f>
        <v>-539</v>
      </c>
      <c r="L698" s="6">
        <f>VALUE(SUBSTITUTE('1000_заявлений'!L692, ".", ","))</f>
        <v>26707.5</v>
      </c>
      <c r="M698" s="2" t="str">
        <f>IF(Данные6[[#This Row],[proba]]&gt;$C$6, "отказ", "одобрение")</f>
        <v>отказ</v>
      </c>
      <c r="N698" s="7">
        <f>IF(Данные6[[#This Row],[proba]]&lt;$D$2,$C$2,IF(Данные6[[#This Row],[proba]]&lt;$D$3,$C$3,IF(Данные6[[#This Row],[proba]]&gt;$C$6,0,$C$4)))</f>
        <v>0</v>
      </c>
      <c r="O698" s="2">
        <f>IF(Данные6[[#This Row],[weighted_ext_score]]&gt;$O$1,MIN(Данные6[[#This Row],[Базовая сумма]]*$O$2,$C$2),IF(Данные6[[#This Row],[weighted_ext_score]]&lt;$O$3,Данные6[[#This Row],[Базовая сумма]]*$O$4,N698))</f>
        <v>0</v>
      </c>
      <c r="P6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8" s="2">
        <f>ABS(Данные6[[#This Row],[days_birth]])/365.2425</f>
        <v>24.463199107442314</v>
      </c>
      <c r="S6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8" s="2">
        <f>IF(Данные6[[#This Row],[ interest_rate]]&gt;$T$1,Данные6[[#This Row],[days_birth4]]*$T$2,Данные6[[#This Row],[days_birth4]])</f>
        <v>0</v>
      </c>
      <c r="U698" s="2">
        <f>IF(Данные6[[#This Row],[Проверка отказа]]="отказ",0,MAX(Данные6[[#This Row],[interest_rate]],$C$1))</f>
        <v>0</v>
      </c>
      <c r="V698" s="2">
        <f>MROUND(Данные6[[#This Row],[Минимум 20000]], 100)</f>
        <v>0</v>
      </c>
    </row>
    <row r="699" spans="1:22" x14ac:dyDescent="0.25">
      <c r="A699" s="2">
        <f>'1000_заявлений'!A693</f>
        <v>691</v>
      </c>
      <c r="B699" s="4">
        <f>VALUE(SUBSTITUTE('1000_заявлений'!B693, ".", ","))</f>
        <v>0.54211523344160195</v>
      </c>
      <c r="C699" s="4">
        <f>VALUE(SUBSTITUTE('1000_заявлений'!C693, ".", ","))</f>
        <v>0.25894072154608599</v>
      </c>
      <c r="D699" s="4">
        <f>VALUE(SUBSTITUTE('1000_заявлений'!D693, ".", ","))</f>
        <v>0.53168610000000005</v>
      </c>
      <c r="E699" s="4">
        <f>VALUE(SUBSTITUTE('1000_заявлений'!E693, ".", ","))</f>
        <v>0.20546512</v>
      </c>
      <c r="F699" s="5">
        <f>VALUE(SUBSTITUTE('1000_заявлений'!F693, ".", ","))</f>
        <v>-10584</v>
      </c>
      <c r="G699" s="5">
        <f>VALUE(SUBSTITUTE('1000_заявлений'!G693, ".", ","))</f>
        <v>-22278</v>
      </c>
      <c r="H699" s="5">
        <f>VALUE(SUBSTITUTE('1000_заявлений'!H693, ".", ","))</f>
        <v>-5079</v>
      </c>
      <c r="I699" s="4">
        <f>VALUE(SUBSTITUTE('1000_заявлений'!I693, ".", ","))</f>
        <v>0.191647058823529</v>
      </c>
      <c r="J699" s="4">
        <f>VALUE(SUBSTITUTE('1000_заявлений'!J693, ".", ","))</f>
        <v>2.3462351916581499</v>
      </c>
      <c r="K699" s="5">
        <f>VALUE(SUBSTITUTE('1000_заявлений'!K693, ".", ","))</f>
        <v>365243</v>
      </c>
      <c r="L699" s="6">
        <f>VALUE(SUBSTITUTE('1000_заявлений'!L693, ".", ","))</f>
        <v>14661</v>
      </c>
      <c r="M699" s="2" t="str">
        <f>IF(Данные6[[#This Row],[proba]]&gt;$C$6, "отказ", "одобрение")</f>
        <v>отказ</v>
      </c>
      <c r="N699" s="7">
        <f>IF(Данные6[[#This Row],[proba]]&lt;$D$2,$C$2,IF(Данные6[[#This Row],[proba]]&lt;$D$3,$C$3,IF(Данные6[[#This Row],[proba]]&gt;$C$6,0,$C$4)))</f>
        <v>0</v>
      </c>
      <c r="O699" s="2">
        <f>IF(Данные6[[#This Row],[weighted_ext_score]]&gt;$O$1,MIN(Данные6[[#This Row],[Базовая сумма]]*$O$2,$C$2),IF(Данные6[[#This Row],[weighted_ext_score]]&lt;$O$3,Данные6[[#This Row],[Базовая сумма]]*$O$4,N699))</f>
        <v>0</v>
      </c>
      <c r="P6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6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699" s="2">
        <f>ABS(Данные6[[#This Row],[days_birth]])/365.2425</f>
        <v>60.995092301689972</v>
      </c>
      <c r="S6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699" s="2">
        <f>IF(Данные6[[#This Row],[ interest_rate]]&gt;$T$1,Данные6[[#This Row],[days_birth4]]*$T$2,Данные6[[#This Row],[days_birth4]])</f>
        <v>0</v>
      </c>
      <c r="U699" s="2">
        <f>IF(Данные6[[#This Row],[Проверка отказа]]="отказ",0,MAX(Данные6[[#This Row],[interest_rate]],$C$1))</f>
        <v>0</v>
      </c>
      <c r="V699" s="2">
        <f>MROUND(Данные6[[#This Row],[Минимум 20000]], 100)</f>
        <v>0</v>
      </c>
    </row>
    <row r="700" spans="1:22" x14ac:dyDescent="0.25">
      <c r="A700" s="2">
        <f>'1000_заявлений'!A694</f>
        <v>692</v>
      </c>
      <c r="B700" s="4">
        <f>VALUE(SUBSTITUTE('1000_заявлений'!B694, ".", ","))</f>
        <v>0.53817123387459698</v>
      </c>
      <c r="C700" s="4">
        <f>VALUE(SUBSTITUTE('1000_заявлений'!C694, ".", ","))</f>
        <v>0.332569653344441</v>
      </c>
      <c r="D700" s="4">
        <f>VALUE(SUBSTITUTE('1000_заявлений'!D694, ".", ","))</f>
        <v>0.54423474999999999</v>
      </c>
      <c r="E700" s="4">
        <f>VALUE(SUBSTITUTE('1000_заявлений'!E694, ".", ","))</f>
        <v>0.41845969999999999</v>
      </c>
      <c r="F700" s="5">
        <f>VALUE(SUBSTITUTE('1000_заявлений'!F694, ".", ","))</f>
        <v>-8713</v>
      </c>
      <c r="G700" s="5">
        <f>VALUE(SUBSTITUTE('1000_заявлений'!G694, ".", ","))</f>
        <v>-10156</v>
      </c>
      <c r="H700" s="5">
        <f>VALUE(SUBSTITUTE('1000_заявлений'!H694, ".", ","))</f>
        <v>-1133</v>
      </c>
      <c r="I700" s="4">
        <f>VALUE(SUBSTITUTE('1000_заявлений'!I694, ".", ","))</f>
        <v>0.14688888888888799</v>
      </c>
      <c r="J700" s="4">
        <f>VALUE(SUBSTITUTE('1000_заявлений'!J694, ".", ","))</f>
        <v>4.1948317763984297</v>
      </c>
      <c r="K700" s="5">
        <f>VALUE(SUBSTITUTE('1000_заявлений'!K694, ".", ","))</f>
        <v>-1801</v>
      </c>
      <c r="L700" s="6">
        <f>VALUE(SUBSTITUTE('1000_заявлений'!L694, ".", ","))</f>
        <v>29745</v>
      </c>
      <c r="M700" s="2" t="str">
        <f>IF(Данные6[[#This Row],[proba]]&gt;$C$6, "отказ", "одобрение")</f>
        <v>отказ</v>
      </c>
      <c r="N700" s="7">
        <f>IF(Данные6[[#This Row],[proba]]&lt;$D$2,$C$2,IF(Данные6[[#This Row],[proba]]&lt;$D$3,$C$3,IF(Данные6[[#This Row],[proba]]&gt;$C$6,0,$C$4)))</f>
        <v>0</v>
      </c>
      <c r="O700" s="2">
        <f>IF(Данные6[[#This Row],[weighted_ext_score]]&gt;$O$1,MIN(Данные6[[#This Row],[Базовая сумма]]*$O$2,$C$2),IF(Данные6[[#This Row],[weighted_ext_score]]&lt;$O$3,Данные6[[#This Row],[Базовая сумма]]*$O$4,N700))</f>
        <v>0</v>
      </c>
      <c r="P7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00" s="2">
        <f>ABS(Данные6[[#This Row],[days_birth]])/365.2425</f>
        <v>27.806183562975281</v>
      </c>
      <c r="S7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00" s="2">
        <f>IF(Данные6[[#This Row],[ interest_rate]]&gt;$T$1,Данные6[[#This Row],[days_birth4]]*$T$2,Данные6[[#This Row],[days_birth4]])</f>
        <v>0</v>
      </c>
      <c r="U700" s="2">
        <f>IF(Данные6[[#This Row],[Проверка отказа]]="отказ",0,MAX(Данные6[[#This Row],[interest_rate]],$C$1))</f>
        <v>0</v>
      </c>
      <c r="V700" s="2">
        <f>MROUND(Данные6[[#This Row],[Минимум 20000]], 100)</f>
        <v>0</v>
      </c>
    </row>
    <row r="701" spans="1:22" x14ac:dyDescent="0.25">
      <c r="A701" s="2">
        <f>'1000_заявлений'!A695</f>
        <v>693</v>
      </c>
      <c r="B701" s="4">
        <f>VALUE(SUBSTITUTE('1000_заявлений'!B695, ".", ","))</f>
        <v>0.176167510142582</v>
      </c>
      <c r="C701" s="4">
        <f>VALUE(SUBSTITUTE('1000_заявлений'!C695, ".", ","))</f>
        <v>0.50699880376982098</v>
      </c>
      <c r="D701" s="4">
        <f>VALUE(SUBSTITUTE('1000_заявлений'!D695, ".", ","))</f>
        <v>0.832785</v>
      </c>
      <c r="E701" s="4">
        <f>VALUE(SUBSTITUTE('1000_заявлений'!E695, ".", ","))</f>
        <v>0.63447522999999995</v>
      </c>
      <c r="F701" s="5">
        <f>VALUE(SUBSTITUTE('1000_заявлений'!F695, ".", ","))</f>
        <v>-4153</v>
      </c>
      <c r="G701" s="5">
        <f>VALUE(SUBSTITUTE('1000_заявлений'!G695, ".", ","))</f>
        <v>-18618</v>
      </c>
      <c r="H701" s="5">
        <f>VALUE(SUBSTITUTE('1000_заявлений'!H695, ".", ","))</f>
        <v>-2161</v>
      </c>
      <c r="I701" s="4">
        <f>VALUE(SUBSTITUTE('1000_заявлений'!I695, ".", ","))</f>
        <v>0.31902702702702701</v>
      </c>
      <c r="J701" s="4">
        <f>VALUE(SUBSTITUTE('1000_заявлений'!J695, ".", ","))</f>
        <v>15.568113826180999</v>
      </c>
      <c r="K701" s="5">
        <f>VALUE(SUBSTITUTE('1000_заявлений'!K695, ".", ","))</f>
        <v>-2632</v>
      </c>
      <c r="L701" s="6">
        <f>VALUE(SUBSTITUTE('1000_заявлений'!L695, ".", ","))</f>
        <v>53118</v>
      </c>
      <c r="M701" s="2" t="str">
        <f>IF(Данные6[[#This Row],[proba]]&gt;$C$6, "отказ", "одобрение")</f>
        <v>одобрение</v>
      </c>
      <c r="N701" s="7">
        <f>IF(Данные6[[#This Row],[proba]]&lt;$D$2,$C$2,IF(Данные6[[#This Row],[proba]]&lt;$D$3,$C$3,IF(Данные6[[#This Row],[proba]]&gt;$C$6,0,$C$4)))</f>
        <v>200000</v>
      </c>
      <c r="O701" s="2">
        <f>IF(Данные6[[#This Row],[weighted_ext_score]]&gt;$O$1,MIN(Данные6[[#This Row],[Базовая сумма]]*$O$2,$C$2),IF(Данные6[[#This Row],[weighted_ext_score]]&lt;$O$3,Данные6[[#This Row],[Базовая сумма]]*$O$4,N701))</f>
        <v>200000</v>
      </c>
      <c r="P7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701" s="2">
        <f>ABS(Данные6[[#This Row],[days_birth]])/365.2425</f>
        <v>50.974352656112032</v>
      </c>
      <c r="S7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147000</v>
      </c>
      <c r="T701" s="2">
        <f>IF(Данные6[[#This Row],[ interest_rate]]&gt;$T$1,Данные6[[#This Row],[days_birth4]]*$T$2,Данные6[[#This Row],[days_birth4]])</f>
        <v>147000</v>
      </c>
      <c r="U701" s="2">
        <f>IF(Данные6[[#This Row],[Проверка отказа]]="отказ",0,MAX(Данные6[[#This Row],[interest_rate]],$C$1))</f>
        <v>147000</v>
      </c>
      <c r="V701" s="2">
        <f>MROUND(Данные6[[#This Row],[Минимум 20000]], 100)</f>
        <v>147000</v>
      </c>
    </row>
    <row r="702" spans="1:22" x14ac:dyDescent="0.25">
      <c r="A702" s="2">
        <f>'1000_заявлений'!A696</f>
        <v>694</v>
      </c>
      <c r="B702" s="4">
        <f>VALUE(SUBSTITUTE('1000_заявлений'!B696, ".", ","))</f>
        <v>0.14026526442990001</v>
      </c>
      <c r="C702" s="4">
        <f>VALUE(SUBSTITUTE('1000_заявлений'!C696, ".", ","))</f>
        <v>0.51158072636108398</v>
      </c>
      <c r="D702" s="4">
        <f>VALUE(SUBSTITUTE('1000_заявлений'!D696, ".", ","))</f>
        <v>0.80839360000000005</v>
      </c>
      <c r="E702" s="4">
        <f>VALUE(SUBSTITUTE('1000_заявлений'!E696, ".", ","))</f>
        <v>0.67579584999999998</v>
      </c>
      <c r="F702" s="5">
        <f>VALUE(SUBSTITUTE('1000_заявлений'!F696, ".", ","))</f>
        <v>-11403</v>
      </c>
      <c r="G702" s="5">
        <f>VALUE(SUBSTITUTE('1000_заявлений'!G696, ".", ","))</f>
        <v>-20924</v>
      </c>
      <c r="H702" s="5">
        <f>VALUE(SUBSTITUTE('1000_заявлений'!H696, ".", ","))</f>
        <v>-4325</v>
      </c>
      <c r="I702" s="4">
        <f>VALUE(SUBSTITUTE('1000_заявлений'!I696, ".", ","))</f>
        <v>0.1988</v>
      </c>
      <c r="J702" s="4">
        <f>VALUE(SUBSTITUTE('1000_заявлений'!J696, ".", ","))</f>
        <v>6.6204342716436404</v>
      </c>
      <c r="K702" s="5">
        <f>VALUE(SUBSTITUTE('1000_заявлений'!K696, ".", ","))</f>
        <v>365243</v>
      </c>
      <c r="L702" s="6">
        <f>VALUE(SUBSTITUTE('1000_заявлений'!L696, ".", ","))</f>
        <v>26838</v>
      </c>
      <c r="M702" s="2" t="str">
        <f>IF(Данные6[[#This Row],[proba]]&gt;$C$6, "отказ", "одобрение")</f>
        <v>одобрение</v>
      </c>
      <c r="N702" s="7">
        <f>IF(Данные6[[#This Row],[proba]]&lt;$D$2,$C$2,IF(Данные6[[#This Row],[proba]]&lt;$D$3,$C$3,IF(Данные6[[#This Row],[proba]]&gt;$C$6,0,$C$4)))</f>
        <v>200000</v>
      </c>
      <c r="O702" s="2">
        <f>IF(Данные6[[#This Row],[weighted_ext_score]]&gt;$O$1,MIN(Данные6[[#This Row],[Базовая сумма]]*$O$2,$C$2),IF(Данные6[[#This Row],[weighted_ext_score]]&lt;$O$3,Данные6[[#This Row],[Базовая сумма]]*$O$4,N702))</f>
        <v>200000</v>
      </c>
      <c r="P7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702" s="2">
        <f>ABS(Данные6[[#This Row],[days_birth]])/365.2425</f>
        <v>57.287966214227531</v>
      </c>
      <c r="S7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702" s="2">
        <f>IF(Данные6[[#This Row],[ interest_rate]]&gt;$T$1,Данные6[[#This Row],[days_birth4]]*$T$2,Данные6[[#This Row],[days_birth4]])</f>
        <v>210000</v>
      </c>
      <c r="U702" s="2">
        <f>IF(Данные6[[#This Row],[Проверка отказа]]="отказ",0,MAX(Данные6[[#This Row],[interest_rate]],$C$1))</f>
        <v>210000</v>
      </c>
      <c r="V702" s="2">
        <f>MROUND(Данные6[[#This Row],[Минимум 20000]], 100)</f>
        <v>210000</v>
      </c>
    </row>
    <row r="703" spans="1:22" x14ac:dyDescent="0.25">
      <c r="A703" s="2">
        <f>'1000_заявлений'!A697</f>
        <v>695</v>
      </c>
      <c r="B703" s="4">
        <f>VALUE(SUBSTITUTE('1000_заявлений'!B697, ".", ","))</f>
        <v>0.26458851352426099</v>
      </c>
      <c r="C703" s="4">
        <f>VALUE(SUBSTITUTE('1000_заявлений'!C697, ".", ","))</f>
        <v>0.64750587587533903</v>
      </c>
      <c r="D703" s="4">
        <f>VALUE(SUBSTITUTE('1000_заявлений'!D697, ".", ","))</f>
        <v>0.62799084000000005</v>
      </c>
      <c r="E703" s="4">
        <f>VALUE(SUBSTITUTE('1000_заявлений'!E697, ".", ","))</f>
        <v>0.66822890000000001</v>
      </c>
      <c r="F703" s="5">
        <f>VALUE(SUBSTITUTE('1000_заявлений'!F697, ".", ","))</f>
        <v>-2147</v>
      </c>
      <c r="G703" s="5">
        <f>VALUE(SUBSTITUTE('1000_заявлений'!G697, ".", ","))</f>
        <v>-11675</v>
      </c>
      <c r="H703" s="5">
        <f>VALUE(SUBSTITUTE('1000_заявлений'!H697, ".", ","))</f>
        <v>-4046</v>
      </c>
      <c r="I703" s="4">
        <f>VALUE(SUBSTITUTE('1000_заявлений'!I697, ".", ","))</f>
        <v>0.37326666666666602</v>
      </c>
      <c r="J703" s="4">
        <f>VALUE(SUBSTITUTE('1000_заявлений'!J697, ".", ","))</f>
        <v>6.0867631954587296</v>
      </c>
      <c r="K703" s="5">
        <f>VALUE(SUBSTITUTE('1000_заявлений'!K697, ".", ","))</f>
        <v>-2288</v>
      </c>
      <c r="L703" s="6">
        <f>VALUE(SUBSTITUTE('1000_заявлений'!L697, ".", ","))</f>
        <v>50391</v>
      </c>
      <c r="M703" s="2" t="str">
        <f>IF(Данные6[[#This Row],[proba]]&gt;$C$6, "отказ", "одобрение")</f>
        <v>одобрение</v>
      </c>
      <c r="N703" s="7">
        <f>IF(Данные6[[#This Row],[proba]]&lt;$D$2,$C$2,IF(Данные6[[#This Row],[proba]]&lt;$D$3,$C$3,IF(Данные6[[#This Row],[proba]]&gt;$C$6,0,$C$4)))</f>
        <v>50000</v>
      </c>
      <c r="O703" s="2">
        <f>IF(Данные6[[#This Row],[weighted_ext_score]]&gt;$O$1,MIN(Данные6[[#This Row],[Базовая сумма]]*$O$2,$C$2),IF(Данные6[[#This Row],[weighted_ext_score]]&lt;$O$3,Данные6[[#This Row],[Базовая сумма]]*$O$4,N703))</f>
        <v>50000</v>
      </c>
      <c r="P7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703" s="2">
        <f>ABS(Данные6[[#This Row],[days_birth]])/365.2425</f>
        <v>31.965064306590826</v>
      </c>
      <c r="S7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703" s="2">
        <f>IF(Данные6[[#This Row],[ interest_rate]]&gt;$T$1,Данные6[[#This Row],[days_birth4]]*$T$2,Данные6[[#This Row],[days_birth4]])</f>
        <v>35000</v>
      </c>
      <c r="U703" s="2">
        <f>IF(Данные6[[#This Row],[Проверка отказа]]="отказ",0,MAX(Данные6[[#This Row],[interest_rate]],$C$1))</f>
        <v>35000</v>
      </c>
      <c r="V703" s="2">
        <f>MROUND(Данные6[[#This Row],[Минимум 20000]], 100)</f>
        <v>35000</v>
      </c>
    </row>
    <row r="704" spans="1:22" x14ac:dyDescent="0.25">
      <c r="A704" s="2">
        <f>'1000_заявлений'!A698</f>
        <v>696</v>
      </c>
      <c r="B704" s="4">
        <f>VALUE(SUBSTITUTE('1000_заявлений'!B698, ".", ","))</f>
        <v>0.47499255477848301</v>
      </c>
      <c r="C704" s="4">
        <f>VALUE(SUBSTITUTE('1000_заявлений'!C698, ".", ","))</f>
        <v>0.37721126891439799</v>
      </c>
      <c r="D704" s="4">
        <f>VALUE(SUBSTITUTE('1000_заявлений'!D698, ".", ","))</f>
        <v>0.55138129999999996</v>
      </c>
      <c r="E704" s="4">
        <f>VALUE(SUBSTITUTE('1000_заявлений'!E698, ".", ","))</f>
        <v>0.54811430000000005</v>
      </c>
      <c r="F704" s="5">
        <f>VALUE(SUBSTITUTE('1000_заявлений'!F698, ".", ","))</f>
        <v>-8000</v>
      </c>
      <c r="G704" s="5">
        <f>VALUE(SUBSTITUTE('1000_заявлений'!G698, ".", ","))</f>
        <v>-17280</v>
      </c>
      <c r="H704" s="5">
        <f>VALUE(SUBSTITUTE('1000_заявлений'!H698, ".", ","))</f>
        <v>-840</v>
      </c>
      <c r="I704" s="4">
        <f>VALUE(SUBSTITUTE('1000_заявлений'!I698, ".", ","))</f>
        <v>0.46288000000000001</v>
      </c>
      <c r="J704" s="4">
        <f>VALUE(SUBSTITUTE('1000_заявлений'!J698, ".", ","))</f>
        <v>6.7806974495320604</v>
      </c>
      <c r="K704" s="5">
        <f>VALUE(SUBSTITUTE('1000_заявлений'!K698, ".", ","))</f>
        <v>-254</v>
      </c>
      <c r="L704" s="6">
        <f>VALUE(SUBSTITUTE('1000_заявлений'!L698, ".", ","))</f>
        <v>52074</v>
      </c>
      <c r="M704" s="2" t="str">
        <f>IF(Данные6[[#This Row],[proba]]&gt;$C$6, "отказ", "одобрение")</f>
        <v>отказ</v>
      </c>
      <c r="N704" s="7">
        <f>IF(Данные6[[#This Row],[proba]]&lt;$D$2,$C$2,IF(Данные6[[#This Row],[proba]]&lt;$D$3,$C$3,IF(Данные6[[#This Row],[proba]]&gt;$C$6,0,$C$4)))</f>
        <v>0</v>
      </c>
      <c r="O704" s="2">
        <f>IF(Данные6[[#This Row],[weighted_ext_score]]&gt;$O$1,MIN(Данные6[[#This Row],[Базовая сумма]]*$O$2,$C$2),IF(Данные6[[#This Row],[weighted_ext_score]]&lt;$O$3,Данные6[[#This Row],[Базовая сумма]]*$O$4,N704))</f>
        <v>0</v>
      </c>
      <c r="P7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04" s="2">
        <f>ABS(Данные6[[#This Row],[days_birth]])/365.2425</f>
        <v>47.311033080761412</v>
      </c>
      <c r="S7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04" s="2">
        <f>IF(Данные6[[#This Row],[ interest_rate]]&gt;$T$1,Данные6[[#This Row],[days_birth4]]*$T$2,Данные6[[#This Row],[days_birth4]])</f>
        <v>0</v>
      </c>
      <c r="U704" s="2">
        <f>IF(Данные6[[#This Row],[Проверка отказа]]="отказ",0,MAX(Данные6[[#This Row],[interest_rate]],$C$1))</f>
        <v>0</v>
      </c>
      <c r="V704" s="2">
        <f>MROUND(Данные6[[#This Row],[Минимум 20000]], 100)</f>
        <v>0</v>
      </c>
    </row>
    <row r="705" spans="1:22" x14ac:dyDescent="0.25">
      <c r="A705" s="2">
        <f>'1000_заявлений'!A699</f>
        <v>697</v>
      </c>
      <c r="B705" s="4">
        <f>VALUE(SUBSTITUTE('1000_заявлений'!B699, ".", ","))</f>
        <v>0.27331661984315597</v>
      </c>
      <c r="C705" s="4">
        <f>VALUE(SUBSTITUTE('1000_заявлений'!C699, ".", ","))</f>
        <v>0.55129389286615404</v>
      </c>
      <c r="D705" s="4">
        <f>VALUE(SUBSTITUTE('1000_заявлений'!D699, ".", ","))</f>
        <v>0.33606150000000001</v>
      </c>
      <c r="E705" s="4">
        <f>VALUE(SUBSTITUTE('1000_заявлений'!E699, ".", ","))</f>
        <v>0.5377499</v>
      </c>
      <c r="F705" s="5">
        <f>VALUE(SUBSTITUTE('1000_заявлений'!F699, ".", ","))</f>
        <v>-7274</v>
      </c>
      <c r="G705" s="5">
        <f>VALUE(SUBSTITUTE('1000_заявлений'!G699, ".", ","))</f>
        <v>-23105</v>
      </c>
      <c r="H705" s="5">
        <f>VALUE(SUBSTITUTE('1000_заявлений'!H699, ".", ","))</f>
        <v>-4601</v>
      </c>
      <c r="I705" s="4">
        <f>VALUE(SUBSTITUTE('1000_заявлений'!I699, ".", ","))</f>
        <v>0.138333333333333</v>
      </c>
      <c r="J705" s="4">
        <f>VALUE(SUBSTITUTE('1000_заявлений'!J699, ".", ","))</f>
        <v>19.093475644659701</v>
      </c>
      <c r="K705" s="5">
        <f>VALUE(SUBSTITUTE('1000_заявлений'!K699, ".", ","))</f>
        <v>365243</v>
      </c>
      <c r="L705" s="6">
        <f>VALUE(SUBSTITUTE('1000_заявлений'!L699, ".", ","))</f>
        <v>20542.5</v>
      </c>
      <c r="M705" s="2" t="str">
        <f>IF(Данные6[[#This Row],[proba]]&gt;$C$6, "отказ", "одобрение")</f>
        <v>одобрение</v>
      </c>
      <c r="N705" s="7">
        <f>IF(Данные6[[#This Row],[proba]]&lt;$D$2,$C$2,IF(Данные6[[#This Row],[proba]]&lt;$D$3,$C$3,IF(Данные6[[#This Row],[proba]]&gt;$C$6,0,$C$4)))</f>
        <v>50000</v>
      </c>
      <c r="O705" s="2">
        <f>IF(Данные6[[#This Row],[weighted_ext_score]]&gt;$O$1,MIN(Данные6[[#This Row],[Базовая сумма]]*$O$2,$C$2),IF(Данные6[[#This Row],[weighted_ext_score]]&lt;$O$3,Данные6[[#This Row],[Базовая сумма]]*$O$4,N705))</f>
        <v>50000</v>
      </c>
      <c r="P7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705" s="2">
        <f>ABS(Данные6[[#This Row],[days_birth]])/365.2425</f>
        <v>63.259341396469466</v>
      </c>
      <c r="S7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705" s="2">
        <f>IF(Данные6[[#This Row],[ interest_rate]]&gt;$T$1,Данные6[[#This Row],[days_birth4]]*$T$2,Данные6[[#This Row],[days_birth4]])</f>
        <v>52500</v>
      </c>
      <c r="U705" s="2">
        <f>IF(Данные6[[#This Row],[Проверка отказа]]="отказ",0,MAX(Данные6[[#This Row],[interest_rate]],$C$1))</f>
        <v>52500</v>
      </c>
      <c r="V705" s="2">
        <f>MROUND(Данные6[[#This Row],[Минимум 20000]], 100)</f>
        <v>52500</v>
      </c>
    </row>
    <row r="706" spans="1:22" x14ac:dyDescent="0.25">
      <c r="A706" s="2">
        <f>'1000_заявлений'!A700</f>
        <v>698</v>
      </c>
      <c r="B706" s="4">
        <f>VALUE(SUBSTITUTE('1000_заявлений'!B700, ".", ","))</f>
        <v>0.30727031984513797</v>
      </c>
      <c r="C706" s="4">
        <f>VALUE(SUBSTITUTE('1000_заявлений'!C700, ".", ","))</f>
        <v>0.51121691087473198</v>
      </c>
      <c r="D706" s="4">
        <f>VALUE(SUBSTITUTE('1000_заявлений'!D700, ".", ","))</f>
        <v>0.67383009999999999</v>
      </c>
      <c r="E706" s="4">
        <f>VALUE(SUBSTITUTE('1000_заявлений'!E700, ".", ","))</f>
        <v>0.62106280000000003</v>
      </c>
      <c r="F706" s="5">
        <f>VALUE(SUBSTITUTE('1000_заявлений'!F700, ".", ","))</f>
        <v>-3596</v>
      </c>
      <c r="G706" s="5">
        <f>VALUE(SUBSTITUTE('1000_заявлений'!G700, ".", ","))</f>
        <v>-8711</v>
      </c>
      <c r="H706" s="5">
        <f>VALUE(SUBSTITUTE('1000_заявлений'!H700, ".", ","))</f>
        <v>-1181</v>
      </c>
      <c r="I706" s="4">
        <f>VALUE(SUBSTITUTE('1000_заявлений'!I700, ".", ","))</f>
        <v>0.12275999999999999</v>
      </c>
      <c r="J706" s="4">
        <f>VALUE(SUBSTITUTE('1000_заявлений'!J700, ".", ","))</f>
        <v>5.7188056341743003</v>
      </c>
      <c r="K706" s="5">
        <f>VALUE(SUBSTITUTE('1000_заявлений'!K700, ".", ","))</f>
        <v>-882</v>
      </c>
      <c r="L706" s="6">
        <f>VALUE(SUBSTITUTE('1000_заявлений'!L700, ".", ","))</f>
        <v>27621</v>
      </c>
      <c r="M706" s="2" t="str">
        <f>IF(Данные6[[#This Row],[proba]]&gt;$C$6, "отказ", "одобрение")</f>
        <v>отказ</v>
      </c>
      <c r="N706" s="7">
        <f>IF(Данные6[[#This Row],[proba]]&lt;$D$2,$C$2,IF(Данные6[[#This Row],[proba]]&lt;$D$3,$C$3,IF(Данные6[[#This Row],[proba]]&gt;$C$6,0,$C$4)))</f>
        <v>0</v>
      </c>
      <c r="O706" s="2">
        <f>IF(Данные6[[#This Row],[weighted_ext_score]]&gt;$O$1,MIN(Данные6[[#This Row],[Базовая сумма]]*$O$2,$C$2),IF(Данные6[[#This Row],[weighted_ext_score]]&lt;$O$3,Данные6[[#This Row],[Базовая сумма]]*$O$4,N706))</f>
        <v>0</v>
      </c>
      <c r="P7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06" s="2">
        <f>ABS(Данные6[[#This Row],[days_birth]])/365.2425</f>
        <v>23.849907937876889</v>
      </c>
      <c r="S7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06" s="2">
        <f>IF(Данные6[[#This Row],[ interest_rate]]&gt;$T$1,Данные6[[#This Row],[days_birth4]]*$T$2,Данные6[[#This Row],[days_birth4]])</f>
        <v>0</v>
      </c>
      <c r="U706" s="2">
        <f>IF(Данные6[[#This Row],[Проверка отказа]]="отказ",0,MAX(Данные6[[#This Row],[interest_rate]],$C$1))</f>
        <v>0</v>
      </c>
      <c r="V706" s="2">
        <f>MROUND(Данные6[[#This Row],[Минимум 20000]], 100)</f>
        <v>0</v>
      </c>
    </row>
    <row r="707" spans="1:22" x14ac:dyDescent="0.25">
      <c r="A707" s="2">
        <f>'1000_заявлений'!A701</f>
        <v>699</v>
      </c>
      <c r="B707" s="4">
        <f>VALUE(SUBSTITUTE('1000_заявлений'!B701, ".", ","))</f>
        <v>0.32144178952354902</v>
      </c>
      <c r="C707" s="4">
        <f>VALUE(SUBSTITUTE('1000_заявлений'!C701, ".", ","))</f>
        <v>0.398793379559087</v>
      </c>
      <c r="D707" s="4">
        <f>VALUE(SUBSTITUTE('1000_заявлений'!D701, ".", ","))</f>
        <v>0.58674000000000004</v>
      </c>
      <c r="E707" s="4">
        <f>VALUE(SUBSTITUTE('1000_заявлений'!E701, ".", ","))</f>
        <v>0.57522499999999999</v>
      </c>
      <c r="F707" s="5">
        <f>VALUE(SUBSTITUTE('1000_заявлений'!F701, ".", ","))</f>
        <v>-1786</v>
      </c>
      <c r="G707" s="5">
        <f>VALUE(SUBSTITUTE('1000_заявлений'!G701, ".", ","))</f>
        <v>-22590</v>
      </c>
      <c r="H707" s="5">
        <f>VALUE(SUBSTITUTE('1000_заявлений'!H701, ".", ","))</f>
        <v>-1866</v>
      </c>
      <c r="I707" s="4">
        <f>VALUE(SUBSTITUTE('1000_заявлений'!I701, ".", ","))</f>
        <v>0.18895555555555499</v>
      </c>
      <c r="J707" s="4">
        <f>VALUE(SUBSTITUTE('1000_заявлений'!J701, ".", ","))</f>
        <v>1.9599044997106601</v>
      </c>
      <c r="K707" s="5">
        <f>VALUE(SUBSTITUTE('1000_заявлений'!K701, ".", ","))</f>
        <v>365243</v>
      </c>
      <c r="L707" s="6">
        <f>VALUE(SUBSTITUTE('1000_заявлений'!L701, ".", ","))</f>
        <v>38263.5</v>
      </c>
      <c r="M707" s="2" t="str">
        <f>IF(Данные6[[#This Row],[proba]]&gt;$C$6, "отказ", "одобрение")</f>
        <v>отказ</v>
      </c>
      <c r="N707" s="7">
        <f>IF(Данные6[[#This Row],[proba]]&lt;$D$2,$C$2,IF(Данные6[[#This Row],[proba]]&lt;$D$3,$C$3,IF(Данные6[[#This Row],[proba]]&gt;$C$6,0,$C$4)))</f>
        <v>0</v>
      </c>
      <c r="O707" s="2">
        <f>IF(Данные6[[#This Row],[weighted_ext_score]]&gt;$O$1,MIN(Данные6[[#This Row],[Базовая сумма]]*$O$2,$C$2),IF(Данные6[[#This Row],[weighted_ext_score]]&lt;$O$3,Данные6[[#This Row],[Базовая сумма]]*$O$4,N707))</f>
        <v>0</v>
      </c>
      <c r="P7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07" s="2">
        <f>ABS(Данные6[[#This Row],[days_birth]])/365.2425</f>
        <v>61.849319287870387</v>
      </c>
      <c r="S7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07" s="2">
        <f>IF(Данные6[[#This Row],[ interest_rate]]&gt;$T$1,Данные6[[#This Row],[days_birth4]]*$T$2,Данные6[[#This Row],[days_birth4]])</f>
        <v>0</v>
      </c>
      <c r="U707" s="2">
        <f>IF(Данные6[[#This Row],[Проверка отказа]]="отказ",0,MAX(Данные6[[#This Row],[interest_rate]],$C$1))</f>
        <v>0</v>
      </c>
      <c r="V707" s="2">
        <f>MROUND(Данные6[[#This Row],[Минимум 20000]], 100)</f>
        <v>0</v>
      </c>
    </row>
    <row r="708" spans="1:22" x14ac:dyDescent="0.25">
      <c r="A708" s="2">
        <f>'1000_заявлений'!A702</f>
        <v>700</v>
      </c>
      <c r="B708" s="4">
        <f>VALUE(SUBSTITUTE('1000_заявлений'!B702, ".", ","))</f>
        <v>0.256207351344935</v>
      </c>
      <c r="C708" s="4">
        <f>VALUE(SUBSTITUTE('1000_заявлений'!C702, ".", ","))</f>
        <v>0.66006457353221604</v>
      </c>
      <c r="D708" s="4">
        <f>VALUE(SUBSTITUTE('1000_заявлений'!D702, ".", ","))</f>
        <v>0.71803284000000001</v>
      </c>
      <c r="E708" s="4">
        <f>VALUE(SUBSTITUTE('1000_заявлений'!E702, ".", ","))</f>
        <v>0.51499309999999998</v>
      </c>
      <c r="F708" s="5">
        <f>VALUE(SUBSTITUTE('1000_заявлений'!F702, ".", ","))</f>
        <v>-1291</v>
      </c>
      <c r="G708" s="5">
        <f>VALUE(SUBSTITUTE('1000_заявлений'!G702, ".", ","))</f>
        <v>-14677</v>
      </c>
      <c r="H708" s="5">
        <f>VALUE(SUBSTITUTE('1000_заявлений'!H702, ".", ","))</f>
        <v>-2929</v>
      </c>
      <c r="I708" s="4">
        <f>VALUE(SUBSTITUTE('1000_заявлений'!I702, ".", ","))</f>
        <v>0.194085714285714</v>
      </c>
      <c r="J708" s="4">
        <f>VALUE(SUBSTITUTE('1000_заявлений'!J702, ".", ","))</f>
        <v>1.85123560947084</v>
      </c>
      <c r="K708" s="5">
        <f>VALUE(SUBSTITUTE('1000_заявлений'!K702, ".", ","))</f>
        <v>-2659</v>
      </c>
      <c r="L708" s="6">
        <f>VALUE(SUBSTITUTE('1000_заявлений'!L702, ".", ","))</f>
        <v>30568.5</v>
      </c>
      <c r="M708" s="2" t="str">
        <f>IF(Данные6[[#This Row],[proba]]&gt;$C$6, "отказ", "одобрение")</f>
        <v>одобрение</v>
      </c>
      <c r="N708" s="7">
        <f>IF(Данные6[[#This Row],[proba]]&lt;$D$2,$C$2,IF(Данные6[[#This Row],[proba]]&lt;$D$3,$C$3,IF(Данные6[[#This Row],[proba]]&gt;$C$6,0,$C$4)))</f>
        <v>50000</v>
      </c>
      <c r="O708" s="2">
        <f>IF(Данные6[[#This Row],[weighted_ext_score]]&gt;$O$1,MIN(Данные6[[#This Row],[Базовая сумма]]*$O$2,$C$2),IF(Данные6[[#This Row],[weighted_ext_score]]&lt;$O$3,Данные6[[#This Row],[Базовая сумма]]*$O$4,N708))</f>
        <v>50000</v>
      </c>
      <c r="P7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708" s="2">
        <f>ABS(Данные6[[#This Row],[days_birth]])/365.2425</f>
        <v>40.184261141570325</v>
      </c>
      <c r="S7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708" s="2">
        <f>IF(Данные6[[#This Row],[ interest_rate]]&gt;$T$1,Данные6[[#This Row],[days_birth4]]*$T$2,Данные6[[#This Row],[days_birth4]])</f>
        <v>35000</v>
      </c>
      <c r="U708" s="2">
        <f>IF(Данные6[[#This Row],[Проверка отказа]]="отказ",0,MAX(Данные6[[#This Row],[interest_rate]],$C$1))</f>
        <v>35000</v>
      </c>
      <c r="V708" s="2">
        <f>MROUND(Данные6[[#This Row],[Минимум 20000]], 100)</f>
        <v>35000</v>
      </c>
    </row>
    <row r="709" spans="1:22" x14ac:dyDescent="0.25">
      <c r="A709" s="2">
        <f>'1000_заявлений'!A703</f>
        <v>701</v>
      </c>
      <c r="B709" s="4">
        <f>VALUE(SUBSTITUTE('1000_заявлений'!B703, ".", ","))</f>
        <v>0.14668786273357701</v>
      </c>
      <c r="C709" s="4">
        <f>VALUE(SUBSTITUTE('1000_заявлений'!C703, ".", ","))</f>
        <v>0.49707599747203701</v>
      </c>
      <c r="D709" s="4">
        <f>VALUE(SUBSTITUTE('1000_заявлений'!D703, ".", ","))</f>
        <v>0.72956670000000001</v>
      </c>
      <c r="E709" s="4">
        <f>VALUE(SUBSTITUTE('1000_заявлений'!E703, ".", ","))</f>
        <v>0.71896863</v>
      </c>
      <c r="F709" s="5">
        <f>VALUE(SUBSTITUTE('1000_заявлений'!F703, ".", ","))</f>
        <v>-4548</v>
      </c>
      <c r="G709" s="5">
        <f>VALUE(SUBSTITUTE('1000_заявлений'!G703, ".", ","))</f>
        <v>-23570</v>
      </c>
      <c r="H709" s="5">
        <f>VALUE(SUBSTITUTE('1000_заявлений'!H703, ".", ","))</f>
        <v>-4047</v>
      </c>
      <c r="I709" s="4">
        <f>VALUE(SUBSTITUTE('1000_заявлений'!I703, ".", ","))</f>
        <v>0.13855000000000001</v>
      </c>
      <c r="J709" s="4">
        <f>VALUE(SUBSTITUTE('1000_заявлений'!J703, ".", ","))</f>
        <v>16.188849297297001</v>
      </c>
      <c r="K709" s="5">
        <f>VALUE(SUBSTITUTE('1000_заявлений'!K703, ".", ","))</f>
        <v>-9793</v>
      </c>
      <c r="L709" s="6">
        <f>VALUE(SUBSTITUTE('1000_заявлений'!L703, ".", ","))</f>
        <v>24939</v>
      </c>
      <c r="M709" s="2" t="str">
        <f>IF(Данные6[[#This Row],[proba]]&gt;$C$6, "отказ", "одобрение")</f>
        <v>одобрение</v>
      </c>
      <c r="N709" s="7">
        <f>IF(Данные6[[#This Row],[proba]]&lt;$D$2,$C$2,IF(Данные6[[#This Row],[proba]]&lt;$D$3,$C$3,IF(Данные6[[#This Row],[proba]]&gt;$C$6,0,$C$4)))</f>
        <v>200000</v>
      </c>
      <c r="O709" s="2">
        <f>IF(Данные6[[#This Row],[weighted_ext_score]]&gt;$O$1,MIN(Данные6[[#This Row],[Базовая сумма]]*$O$2,$C$2),IF(Данные6[[#This Row],[weighted_ext_score]]&lt;$O$3,Данные6[[#This Row],[Базовая сумма]]*$O$4,N709))</f>
        <v>160000</v>
      </c>
      <c r="P7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7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192000</v>
      </c>
      <c r="R709" s="2">
        <f>ABS(Данные6[[#This Row],[days_birth]])/365.2425</f>
        <v>64.532468154719126</v>
      </c>
      <c r="S7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201600</v>
      </c>
      <c r="T709" s="2">
        <f>IF(Данные6[[#This Row],[ interest_rate]]&gt;$T$1,Данные6[[#This Row],[days_birth4]]*$T$2,Данные6[[#This Row],[days_birth4]])</f>
        <v>201600</v>
      </c>
      <c r="U709" s="2">
        <f>IF(Данные6[[#This Row],[Проверка отказа]]="отказ",0,MAX(Данные6[[#This Row],[interest_rate]],$C$1))</f>
        <v>201600</v>
      </c>
      <c r="V709" s="2">
        <f>MROUND(Данные6[[#This Row],[Минимум 20000]], 100)</f>
        <v>201600</v>
      </c>
    </row>
    <row r="710" spans="1:22" x14ac:dyDescent="0.25">
      <c r="A710" s="2">
        <f>'1000_заявлений'!A704</f>
        <v>702</v>
      </c>
      <c r="B710" s="4">
        <f>VALUE(SUBSTITUTE('1000_заявлений'!B704, ".", ","))</f>
        <v>0.57036667083403303</v>
      </c>
      <c r="C710" s="4">
        <f>VALUE(SUBSTITUTE('1000_заявлений'!C704, ".", ","))</f>
        <v>0.30121039473831102</v>
      </c>
      <c r="D710" s="4">
        <f>VALUE(SUBSTITUTE('1000_заявлений'!D704, ".", ","))</f>
        <v>0.74079907</v>
      </c>
      <c r="E710" s="4">
        <f>VALUE(SUBSTITUTE('1000_заявлений'!E704, ".", ","))</f>
        <v>0.10262394</v>
      </c>
      <c r="F710" s="5">
        <f>VALUE(SUBSTITUTE('1000_заявлений'!F704, ".", ","))</f>
        <v>-7204</v>
      </c>
      <c r="G710" s="5">
        <f>VALUE(SUBSTITUTE('1000_заявлений'!G704, ".", ","))</f>
        <v>-13155</v>
      </c>
      <c r="H710" s="5">
        <f>VALUE(SUBSTITUTE('1000_заявлений'!H704, ".", ","))</f>
        <v>-3962</v>
      </c>
      <c r="I710" s="4">
        <f>VALUE(SUBSTITUTE('1000_заявлений'!I704, ".", ","))</f>
        <v>0.24294285714285699</v>
      </c>
      <c r="J710" s="4">
        <f>VALUE(SUBSTITUTE('1000_заявлений'!J704, ".", ","))</f>
        <v>1.9599044997106601</v>
      </c>
      <c r="K710" s="5">
        <f>VALUE(SUBSTITUTE('1000_заявлений'!K704, ".", ","))</f>
        <v>-4863</v>
      </c>
      <c r="L710" s="6">
        <f>VALUE(SUBSTITUTE('1000_заявлений'!L704, ".", ","))</f>
        <v>38263.5</v>
      </c>
      <c r="M710" s="2" t="str">
        <f>IF(Данные6[[#This Row],[proba]]&gt;$C$6, "отказ", "одобрение")</f>
        <v>отказ</v>
      </c>
      <c r="N710" s="7">
        <f>IF(Данные6[[#This Row],[proba]]&lt;$D$2,$C$2,IF(Данные6[[#This Row],[proba]]&lt;$D$3,$C$3,IF(Данные6[[#This Row],[proba]]&gt;$C$6,0,$C$4)))</f>
        <v>0</v>
      </c>
      <c r="O710" s="2">
        <f>IF(Данные6[[#This Row],[weighted_ext_score]]&gt;$O$1,MIN(Данные6[[#This Row],[Базовая сумма]]*$O$2,$C$2),IF(Данные6[[#This Row],[weighted_ext_score]]&lt;$O$3,Данные6[[#This Row],[Базовая сумма]]*$O$4,N710))</f>
        <v>0</v>
      </c>
      <c r="P7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0" s="2">
        <f>ABS(Данные6[[#This Row],[days_birth]])/365.2425</f>
        <v>36.017166676933819</v>
      </c>
      <c r="S7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0" s="2">
        <f>IF(Данные6[[#This Row],[ interest_rate]]&gt;$T$1,Данные6[[#This Row],[days_birth4]]*$T$2,Данные6[[#This Row],[days_birth4]])</f>
        <v>0</v>
      </c>
      <c r="U710" s="2">
        <f>IF(Данные6[[#This Row],[Проверка отказа]]="отказ",0,MAX(Данные6[[#This Row],[interest_rate]],$C$1))</f>
        <v>0</v>
      </c>
      <c r="V710" s="2">
        <f>MROUND(Данные6[[#This Row],[Минимум 20000]], 100)</f>
        <v>0</v>
      </c>
    </row>
    <row r="711" spans="1:22" x14ac:dyDescent="0.25">
      <c r="A711" s="2">
        <f>'1000_заявлений'!A705</f>
        <v>703</v>
      </c>
      <c r="B711" s="4">
        <f>VALUE(SUBSTITUTE('1000_заявлений'!B705, ".", ","))</f>
        <v>0.41331612020952602</v>
      </c>
      <c r="C711" s="4">
        <f>VALUE(SUBSTITUTE('1000_заявлений'!C705, ".", ","))</f>
        <v>0.38198159162287498</v>
      </c>
      <c r="D711" s="4">
        <f>VALUE(SUBSTITUTE('1000_заявлений'!D705, ".", ","))</f>
        <v>0.53527623000000002</v>
      </c>
      <c r="E711" s="4">
        <f>VALUE(SUBSTITUTE('1000_заявлений'!E705, ".", ","))</f>
        <v>0.66874750000000005</v>
      </c>
      <c r="F711" s="5">
        <f>VALUE(SUBSTITUTE('1000_заявлений'!F705, ".", ","))</f>
        <v>-103</v>
      </c>
      <c r="G711" s="5">
        <f>VALUE(SUBSTITUTE('1000_заявлений'!G705, ".", ","))</f>
        <v>-11946</v>
      </c>
      <c r="H711" s="5">
        <f>VALUE(SUBSTITUTE('1000_заявлений'!H705, ".", ","))</f>
        <v>-98</v>
      </c>
      <c r="I711" s="4">
        <f>VALUE(SUBSTITUTE('1000_заявлений'!I705, ".", ","))</f>
        <v>0.11498999999999999</v>
      </c>
      <c r="J711" s="4">
        <f>VALUE(SUBSTITUTE('1000_заявлений'!J705, ".", ","))</f>
        <v>2.3098223213537699</v>
      </c>
      <c r="K711" s="5">
        <f>VALUE(SUBSTITUTE('1000_заявлений'!K705, ".", ","))</f>
        <v>-2598</v>
      </c>
      <c r="L711" s="6">
        <f>VALUE(SUBSTITUTE('1000_заявлений'!L705, ".", ","))</f>
        <v>51745.5</v>
      </c>
      <c r="M711" s="2" t="str">
        <f>IF(Данные6[[#This Row],[proba]]&gt;$C$6, "отказ", "одобрение")</f>
        <v>отказ</v>
      </c>
      <c r="N711" s="7">
        <f>IF(Данные6[[#This Row],[proba]]&lt;$D$2,$C$2,IF(Данные6[[#This Row],[proba]]&lt;$D$3,$C$3,IF(Данные6[[#This Row],[proba]]&gt;$C$6,0,$C$4)))</f>
        <v>0</v>
      </c>
      <c r="O711" s="2">
        <f>IF(Данные6[[#This Row],[weighted_ext_score]]&gt;$O$1,MIN(Данные6[[#This Row],[Базовая сумма]]*$O$2,$C$2),IF(Данные6[[#This Row],[weighted_ext_score]]&lt;$O$3,Данные6[[#This Row],[Базовая сумма]]*$O$4,N711))</f>
        <v>0</v>
      </c>
      <c r="P7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1" s="2">
        <f>ABS(Данные6[[#This Row],[days_birth]])/365.2425</f>
        <v>32.707037105484709</v>
      </c>
      <c r="S7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1" s="2">
        <f>IF(Данные6[[#This Row],[ interest_rate]]&gt;$T$1,Данные6[[#This Row],[days_birth4]]*$T$2,Данные6[[#This Row],[days_birth4]])</f>
        <v>0</v>
      </c>
      <c r="U711" s="2">
        <f>IF(Данные6[[#This Row],[Проверка отказа]]="отказ",0,MAX(Данные6[[#This Row],[interest_rate]],$C$1))</f>
        <v>0</v>
      </c>
      <c r="V711" s="2">
        <f>MROUND(Данные6[[#This Row],[Минимум 20000]], 100)</f>
        <v>0</v>
      </c>
    </row>
    <row r="712" spans="1:22" x14ac:dyDescent="0.25">
      <c r="A712" s="2">
        <f>'1000_заявлений'!A706</f>
        <v>704</v>
      </c>
      <c r="B712" s="4">
        <f>VALUE(SUBSTITUTE('1000_заявлений'!B706, ".", ","))</f>
        <v>0.77264989382499005</v>
      </c>
      <c r="C712" s="4">
        <f>VALUE(SUBSTITUTE('1000_заявлений'!C706, ".", ","))</f>
        <v>9.3662611415067404E-2</v>
      </c>
      <c r="D712" s="4">
        <f>VALUE(SUBSTITUTE('1000_заявлений'!D706, ".", ","))</f>
        <v>0.53527623000000002</v>
      </c>
      <c r="E712" s="4">
        <f>VALUE(SUBSTITUTE('1000_заявлений'!E706, ".", ","))</f>
        <v>5.1009733000000002E-2</v>
      </c>
      <c r="F712" s="5">
        <f>VALUE(SUBSTITUTE('1000_заявлений'!F706, ".", ","))</f>
        <v>-3035</v>
      </c>
      <c r="G712" s="5">
        <f>VALUE(SUBSTITUTE('1000_заявлений'!G706, ".", ","))</f>
        <v>-8152</v>
      </c>
      <c r="H712" s="5">
        <f>VALUE(SUBSTITUTE('1000_заявлений'!H706, ".", ","))</f>
        <v>-817</v>
      </c>
      <c r="I712" s="4">
        <f>VALUE(SUBSTITUTE('1000_заявлений'!I706, ".", ","))</f>
        <v>0.08</v>
      </c>
      <c r="J712" s="4">
        <f>VALUE(SUBSTITUTE('1000_заявлений'!J706, ".", ","))</f>
        <v>10.6209759779781</v>
      </c>
      <c r="K712" s="5">
        <f>VALUE(SUBSTITUTE('1000_заявлений'!K706, ".", ","))</f>
        <v>-655</v>
      </c>
      <c r="L712" s="6">
        <f>VALUE(SUBSTITUTE('1000_заявлений'!L706, ".", ","))</f>
        <v>9000</v>
      </c>
      <c r="M712" s="2" t="str">
        <f>IF(Данные6[[#This Row],[proba]]&gt;$C$6, "отказ", "одобрение")</f>
        <v>отказ</v>
      </c>
      <c r="N712" s="7">
        <f>IF(Данные6[[#This Row],[proba]]&lt;$D$2,$C$2,IF(Данные6[[#This Row],[proba]]&lt;$D$3,$C$3,IF(Данные6[[#This Row],[proba]]&gt;$C$6,0,$C$4)))</f>
        <v>0</v>
      </c>
      <c r="O712" s="2">
        <f>IF(Данные6[[#This Row],[weighted_ext_score]]&gt;$O$1,MIN(Данные6[[#This Row],[Базовая сумма]]*$O$2,$C$2),IF(Данные6[[#This Row],[weighted_ext_score]]&lt;$O$3,Данные6[[#This Row],[Базовая сумма]]*$O$4,N712))</f>
        <v>0</v>
      </c>
      <c r="P7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2" s="2">
        <f>ABS(Данные6[[#This Row],[days_birth]])/365.2425</f>
        <v>22.319417920970313</v>
      </c>
      <c r="S7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2" s="2">
        <f>IF(Данные6[[#This Row],[ interest_rate]]&gt;$T$1,Данные6[[#This Row],[days_birth4]]*$T$2,Данные6[[#This Row],[days_birth4]])</f>
        <v>0</v>
      </c>
      <c r="U712" s="2">
        <f>IF(Данные6[[#This Row],[Проверка отказа]]="отказ",0,MAX(Данные6[[#This Row],[interest_rate]],$C$1))</f>
        <v>0</v>
      </c>
      <c r="V712" s="2">
        <f>MROUND(Данные6[[#This Row],[Минимум 20000]], 100)</f>
        <v>0</v>
      </c>
    </row>
    <row r="713" spans="1:22" x14ac:dyDescent="0.25">
      <c r="A713" s="2">
        <f>'1000_заявлений'!A707</f>
        <v>705</v>
      </c>
      <c r="B713" s="4">
        <f>VALUE(SUBSTITUTE('1000_заявлений'!B707, ".", ","))</f>
        <v>0.654966792388331</v>
      </c>
      <c r="C713" s="4">
        <f>VALUE(SUBSTITUTE('1000_заявлений'!C707, ".", ","))</f>
        <v>0.242487078789903</v>
      </c>
      <c r="D713" s="4">
        <f>VALUE(SUBSTITUTE('1000_заявлений'!D707, ".", ","))</f>
        <v>0.45789953999999999</v>
      </c>
      <c r="E713" s="4">
        <f>VALUE(SUBSTITUTE('1000_заявлений'!E707, ".", ","))</f>
        <v>0.23700996999999999</v>
      </c>
      <c r="F713" s="5">
        <f>VALUE(SUBSTITUTE('1000_заявлений'!F707, ".", ","))</f>
        <v>-9592</v>
      </c>
      <c r="G713" s="5">
        <f>VALUE(SUBSTITUTE('1000_заявлений'!G707, ".", ","))</f>
        <v>-12757</v>
      </c>
      <c r="H713" s="5">
        <f>VALUE(SUBSTITUTE('1000_заявлений'!H707, ".", ","))</f>
        <v>-4745</v>
      </c>
      <c r="I713" s="4">
        <f>VALUE(SUBSTITUTE('1000_заявлений'!I707, ".", ","))</f>
        <v>9.6346938775510205E-2</v>
      </c>
      <c r="J713" s="4">
        <f>VALUE(SUBSTITUTE('1000_заявлений'!J707, ".", ","))</f>
        <v>2.1938214425792899</v>
      </c>
      <c r="K713" s="5">
        <f>VALUE(SUBSTITUTE('1000_заявлений'!K707, ".", ","))</f>
        <v>-862</v>
      </c>
      <c r="L713" s="6">
        <f>VALUE(SUBSTITUTE('1000_заявлений'!L707, ".", ","))</f>
        <v>21244.5</v>
      </c>
      <c r="M713" s="2" t="str">
        <f>IF(Данные6[[#This Row],[proba]]&gt;$C$6, "отказ", "одобрение")</f>
        <v>отказ</v>
      </c>
      <c r="N713" s="7">
        <f>IF(Данные6[[#This Row],[proba]]&lt;$D$2,$C$2,IF(Данные6[[#This Row],[proba]]&lt;$D$3,$C$3,IF(Данные6[[#This Row],[proba]]&gt;$C$6,0,$C$4)))</f>
        <v>0</v>
      </c>
      <c r="O713" s="2">
        <f>IF(Данные6[[#This Row],[weighted_ext_score]]&gt;$O$1,MIN(Данные6[[#This Row],[Базовая сумма]]*$O$2,$C$2),IF(Данные6[[#This Row],[weighted_ext_score]]&lt;$O$3,Данные6[[#This Row],[Базовая сумма]]*$O$4,N713))</f>
        <v>0</v>
      </c>
      <c r="P7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3" s="2">
        <f>ABS(Данные6[[#This Row],[days_birth]])/365.2425</f>
        <v>34.927479688152388</v>
      </c>
      <c r="S7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3" s="2">
        <f>IF(Данные6[[#This Row],[ interest_rate]]&gt;$T$1,Данные6[[#This Row],[days_birth4]]*$T$2,Данные6[[#This Row],[days_birth4]])</f>
        <v>0</v>
      </c>
      <c r="U713" s="2">
        <f>IF(Данные6[[#This Row],[Проверка отказа]]="отказ",0,MAX(Данные6[[#This Row],[interest_rate]],$C$1))</f>
        <v>0</v>
      </c>
      <c r="V713" s="2">
        <f>MROUND(Данные6[[#This Row],[Минимум 20000]], 100)</f>
        <v>0</v>
      </c>
    </row>
    <row r="714" spans="1:22" x14ac:dyDescent="0.25">
      <c r="A714" s="2">
        <f>'1000_заявлений'!A708</f>
        <v>706</v>
      </c>
      <c r="B714" s="4">
        <f>VALUE(SUBSTITUTE('1000_заявлений'!B708, ".", ","))</f>
        <v>0.49140702448456097</v>
      </c>
      <c r="C714" s="4">
        <f>VALUE(SUBSTITUTE('1000_заявлений'!C708, ".", ","))</f>
        <v>0.32963897774164802</v>
      </c>
      <c r="D714" s="4">
        <f>VALUE(SUBSTITUTE('1000_заявлений'!D708, ".", ","))</f>
        <v>0.78505199999999997</v>
      </c>
      <c r="E714" s="4">
        <f>VALUE(SUBSTITUTE('1000_заявлений'!E708, ".", ","))</f>
        <v>0.14092451</v>
      </c>
      <c r="F714" s="5">
        <f>VALUE(SUBSTITUTE('1000_заявлений'!F708, ".", ","))</f>
        <v>-8226</v>
      </c>
      <c r="G714" s="5">
        <f>VALUE(SUBSTITUTE('1000_заявлений'!G708, ".", ","))</f>
        <v>-19670</v>
      </c>
      <c r="H714" s="5">
        <f>VALUE(SUBSTITUTE('1000_заявлений'!H708, ".", ","))</f>
        <v>-3174</v>
      </c>
      <c r="I714" s="4">
        <f>VALUE(SUBSTITUTE('1000_заявлений'!I708, ".", ","))</f>
        <v>0.28000000000000003</v>
      </c>
      <c r="J714" s="4">
        <f>VALUE(SUBSTITUTE('1000_заявлений'!J708, ".", ","))</f>
        <v>1.7926354583625901</v>
      </c>
      <c r="K714" s="5">
        <f>VALUE(SUBSTITUTE('1000_заявлений'!K708, ".", ","))</f>
        <v>-1523</v>
      </c>
      <c r="L714" s="6">
        <f>VALUE(SUBSTITUTE('1000_заявлений'!L708, ".", ","))</f>
        <v>37800</v>
      </c>
      <c r="M714" s="2" t="str">
        <f>IF(Данные6[[#This Row],[proba]]&gt;$C$6, "отказ", "одобрение")</f>
        <v>отказ</v>
      </c>
      <c r="N714" s="7">
        <f>IF(Данные6[[#This Row],[proba]]&lt;$D$2,$C$2,IF(Данные6[[#This Row],[proba]]&lt;$D$3,$C$3,IF(Данные6[[#This Row],[proba]]&gt;$C$6,0,$C$4)))</f>
        <v>0</v>
      </c>
      <c r="O714" s="2">
        <f>IF(Данные6[[#This Row],[weighted_ext_score]]&gt;$O$1,MIN(Данные6[[#This Row],[Базовая сумма]]*$O$2,$C$2),IF(Данные6[[#This Row],[weighted_ext_score]]&lt;$O$3,Данные6[[#This Row],[Базовая сумма]]*$O$4,N714))</f>
        <v>0</v>
      </c>
      <c r="P7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4" s="2">
        <f>ABS(Данные6[[#This Row],[days_birth]])/365.2425</f>
        <v>53.854630827463943</v>
      </c>
      <c r="S7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4" s="2">
        <f>IF(Данные6[[#This Row],[ interest_rate]]&gt;$T$1,Данные6[[#This Row],[days_birth4]]*$T$2,Данные6[[#This Row],[days_birth4]])</f>
        <v>0</v>
      </c>
      <c r="U714" s="2">
        <f>IF(Данные6[[#This Row],[Проверка отказа]]="отказ",0,MAX(Данные6[[#This Row],[interest_rate]],$C$1))</f>
        <v>0</v>
      </c>
      <c r="V714" s="2">
        <f>MROUND(Данные6[[#This Row],[Минимум 20000]], 100)</f>
        <v>0</v>
      </c>
    </row>
    <row r="715" spans="1:22" x14ac:dyDescent="0.25">
      <c r="A715" s="2">
        <f>'1000_заявлений'!A709</f>
        <v>707</v>
      </c>
      <c r="B715" s="4">
        <f>VALUE(SUBSTITUTE('1000_заявлений'!B709, ".", ","))</f>
        <v>0.53490460930946004</v>
      </c>
      <c r="C715" s="4">
        <f>VALUE(SUBSTITUTE('1000_заявлений'!C709, ".", ","))</f>
        <v>0.41141062537974199</v>
      </c>
      <c r="D715" s="4">
        <f>VALUE(SUBSTITUTE('1000_заявлений'!D709, ".", ","))</f>
        <v>0.28078957999999998</v>
      </c>
      <c r="E715" s="4">
        <f>VALUE(SUBSTITUTE('1000_заявлений'!E709, ".", ","))</f>
        <v>0.56394060000000001</v>
      </c>
      <c r="F715" s="5">
        <f>VALUE(SUBSTITUTE('1000_заявлений'!F709, ".", ","))</f>
        <v>-9020</v>
      </c>
      <c r="G715" s="5">
        <f>VALUE(SUBSTITUTE('1000_заявлений'!G709, ".", ","))</f>
        <v>-19967</v>
      </c>
      <c r="H715" s="5">
        <f>VALUE(SUBSTITUTE('1000_заявлений'!H709, ".", ","))</f>
        <v>-3434</v>
      </c>
      <c r="I715" s="4">
        <f>VALUE(SUBSTITUTE('1000_заявлений'!I709, ".", ","))</f>
        <v>0.23917142857142801</v>
      </c>
      <c r="J715" s="4">
        <f>VALUE(SUBSTITUTE('1000_заявлений'!J709, ".", ","))</f>
        <v>1.55636528603708</v>
      </c>
      <c r="K715" s="5">
        <f>VALUE(SUBSTITUTE('1000_заявлений'!K709, ".", ","))</f>
        <v>-2964</v>
      </c>
      <c r="L715" s="6">
        <f>VALUE(SUBSTITUTE('1000_заявлений'!L709, ".", ","))</f>
        <v>37669.5</v>
      </c>
      <c r="M715" s="2" t="str">
        <f>IF(Данные6[[#This Row],[proba]]&gt;$C$6, "отказ", "одобрение")</f>
        <v>отказ</v>
      </c>
      <c r="N715" s="7">
        <f>IF(Данные6[[#This Row],[proba]]&lt;$D$2,$C$2,IF(Данные6[[#This Row],[proba]]&lt;$D$3,$C$3,IF(Данные6[[#This Row],[proba]]&gt;$C$6,0,$C$4)))</f>
        <v>0</v>
      </c>
      <c r="O715" s="2">
        <f>IF(Данные6[[#This Row],[weighted_ext_score]]&gt;$O$1,MIN(Данные6[[#This Row],[Базовая сумма]]*$O$2,$C$2),IF(Данные6[[#This Row],[weighted_ext_score]]&lt;$O$3,Данные6[[#This Row],[Базовая сумма]]*$O$4,N715))</f>
        <v>0</v>
      </c>
      <c r="P7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5" s="2">
        <f>ABS(Данные6[[#This Row],[days_birth]])/365.2425</f>
        <v>54.667789208539531</v>
      </c>
      <c r="S7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5" s="2">
        <f>IF(Данные6[[#This Row],[ interest_rate]]&gt;$T$1,Данные6[[#This Row],[days_birth4]]*$T$2,Данные6[[#This Row],[days_birth4]])</f>
        <v>0</v>
      </c>
      <c r="U715" s="2">
        <f>IF(Данные6[[#This Row],[Проверка отказа]]="отказ",0,MAX(Данные6[[#This Row],[interest_rate]],$C$1))</f>
        <v>0</v>
      </c>
      <c r="V715" s="2">
        <f>MROUND(Данные6[[#This Row],[Минимум 20000]], 100)</f>
        <v>0</v>
      </c>
    </row>
    <row r="716" spans="1:22" x14ac:dyDescent="0.25">
      <c r="A716" s="2">
        <f>'1000_заявлений'!A710</f>
        <v>708</v>
      </c>
      <c r="B716" s="4">
        <f>VALUE(SUBSTITUTE('1000_заявлений'!B710, ".", ","))</f>
        <v>0.31077824546791</v>
      </c>
      <c r="C716" s="4">
        <f>VALUE(SUBSTITUTE('1000_заявлений'!C710, ".", ","))</f>
        <v>0.453271599468486</v>
      </c>
      <c r="D716" s="4">
        <f>VALUE(SUBSTITUTE('1000_заявлений'!D710, ".", ","))</f>
        <v>0.76102639999999999</v>
      </c>
      <c r="E716" s="4">
        <f>VALUE(SUBSTITUTE('1000_заявлений'!E710, ".", ","))</f>
        <v>0.54885079999999997</v>
      </c>
      <c r="F716" s="5">
        <f>VALUE(SUBSTITUTE('1000_заявлений'!F710, ".", ","))</f>
        <v>-4802</v>
      </c>
      <c r="G716" s="5">
        <f>VALUE(SUBSTITUTE('1000_заявлений'!G710, ".", ","))</f>
        <v>-16645</v>
      </c>
      <c r="H716" s="5">
        <f>VALUE(SUBSTITUTE('1000_заявлений'!H710, ".", ","))</f>
        <v>-182</v>
      </c>
      <c r="I716" s="4">
        <f>VALUE(SUBSTITUTE('1000_заявлений'!I710, ".", ","))</f>
        <v>0.20275000000000001</v>
      </c>
      <c r="J716" s="4">
        <f>VALUE(SUBSTITUTE('1000_заявлений'!J710, ".", ","))</f>
        <v>0.54915441240441698</v>
      </c>
      <c r="K716" s="5">
        <f>VALUE(SUBSTITUTE('1000_заявлений'!K710, ".", ","))</f>
        <v>-1721</v>
      </c>
      <c r="L716" s="6">
        <f>VALUE(SUBSTITUTE('1000_заявлений'!L710, ".", ","))</f>
        <v>47443.5</v>
      </c>
      <c r="M716" s="2" t="str">
        <f>IF(Данные6[[#This Row],[proba]]&gt;$C$6, "отказ", "одобрение")</f>
        <v>отказ</v>
      </c>
      <c r="N716" s="7">
        <f>IF(Данные6[[#This Row],[proba]]&lt;$D$2,$C$2,IF(Данные6[[#This Row],[proba]]&lt;$D$3,$C$3,IF(Данные6[[#This Row],[proba]]&gt;$C$6,0,$C$4)))</f>
        <v>0</v>
      </c>
      <c r="O716" s="2">
        <f>IF(Данные6[[#This Row],[weighted_ext_score]]&gt;$O$1,MIN(Данные6[[#This Row],[Базовая сумма]]*$O$2,$C$2),IF(Данные6[[#This Row],[weighted_ext_score]]&lt;$O$3,Данные6[[#This Row],[Базовая сумма]]*$O$4,N716))</f>
        <v>0</v>
      </c>
      <c r="P7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6" s="2">
        <f>ABS(Данные6[[#This Row],[days_birth]])/365.2425</f>
        <v>45.572462131323711</v>
      </c>
      <c r="S7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6" s="2">
        <f>IF(Данные6[[#This Row],[ interest_rate]]&gt;$T$1,Данные6[[#This Row],[days_birth4]]*$T$2,Данные6[[#This Row],[days_birth4]])</f>
        <v>0</v>
      </c>
      <c r="U716" s="2">
        <f>IF(Данные6[[#This Row],[Проверка отказа]]="отказ",0,MAX(Данные6[[#This Row],[interest_rate]],$C$1))</f>
        <v>0</v>
      </c>
      <c r="V716" s="2">
        <f>MROUND(Данные6[[#This Row],[Минимум 20000]], 100)</f>
        <v>0</v>
      </c>
    </row>
    <row r="717" spans="1:22" x14ac:dyDescent="0.25">
      <c r="A717" s="2">
        <f>'1000_заявлений'!A711</f>
        <v>709</v>
      </c>
      <c r="B717" s="4">
        <f>VALUE(SUBSTITUTE('1000_заявлений'!B711, ".", ","))</f>
        <v>0.69946397916805303</v>
      </c>
      <c r="C717" s="4">
        <f>VALUE(SUBSTITUTE('1000_заявлений'!C711, ".", ","))</f>
        <v>0.17986046100905401</v>
      </c>
      <c r="D717" s="4">
        <f>VALUE(SUBSTITUTE('1000_заявлений'!D711, ".", ","))</f>
        <v>0.35895124</v>
      </c>
      <c r="E717" s="4">
        <f>VALUE(SUBSTITUTE('1000_заявлений'!E711, ".", ","))</f>
        <v>0.15426541999999999</v>
      </c>
      <c r="F717" s="5">
        <f>VALUE(SUBSTITUTE('1000_заявлений'!F711, ".", ","))</f>
        <v>-9569</v>
      </c>
      <c r="G717" s="5">
        <f>VALUE(SUBSTITUTE('1000_заявлений'!G711, ".", ","))</f>
        <v>-23193</v>
      </c>
      <c r="H717" s="5">
        <f>VALUE(SUBSTITUTE('1000_заявлений'!H711, ".", ","))</f>
        <v>-4723</v>
      </c>
      <c r="I717" s="4">
        <f>VALUE(SUBSTITUTE('1000_заявлений'!I711, ".", ","))</f>
        <v>0.26719999999999999</v>
      </c>
      <c r="J717" s="4">
        <f>VALUE(SUBSTITUTE('1000_заявлений'!J711, ".", ","))</f>
        <v>1.7530391856589</v>
      </c>
      <c r="K717" s="5">
        <f>VALUE(SUBSTITUTE('1000_заявлений'!K711, ".", ","))</f>
        <v>365243</v>
      </c>
      <c r="L717" s="6">
        <f>VALUE(SUBSTITUTE('1000_заявлений'!L711, ".", ","))</f>
        <v>30060</v>
      </c>
      <c r="M717" s="2" t="str">
        <f>IF(Данные6[[#This Row],[proba]]&gt;$C$6, "отказ", "одобрение")</f>
        <v>отказ</v>
      </c>
      <c r="N717" s="7">
        <f>IF(Данные6[[#This Row],[proba]]&lt;$D$2,$C$2,IF(Данные6[[#This Row],[proba]]&lt;$D$3,$C$3,IF(Данные6[[#This Row],[proba]]&gt;$C$6,0,$C$4)))</f>
        <v>0</v>
      </c>
      <c r="O717" s="2">
        <f>IF(Данные6[[#This Row],[weighted_ext_score]]&gt;$O$1,MIN(Данные6[[#This Row],[Базовая сумма]]*$O$2,$C$2),IF(Данные6[[#This Row],[weighted_ext_score]]&lt;$O$3,Данные6[[#This Row],[Базовая сумма]]*$O$4,N717))</f>
        <v>0</v>
      </c>
      <c r="P7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7" s="2">
        <f>ABS(Данные6[[#This Row],[days_birth]])/365.2425</f>
        <v>63.500277213084459</v>
      </c>
      <c r="S7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7" s="2">
        <f>IF(Данные6[[#This Row],[ interest_rate]]&gt;$T$1,Данные6[[#This Row],[days_birth4]]*$T$2,Данные6[[#This Row],[days_birth4]])</f>
        <v>0</v>
      </c>
      <c r="U717" s="2">
        <f>IF(Данные6[[#This Row],[Проверка отказа]]="отказ",0,MAX(Данные6[[#This Row],[interest_rate]],$C$1))</f>
        <v>0</v>
      </c>
      <c r="V717" s="2">
        <f>MROUND(Данные6[[#This Row],[Минимум 20000]], 100)</f>
        <v>0</v>
      </c>
    </row>
    <row r="718" spans="1:22" x14ac:dyDescent="0.25">
      <c r="A718" s="2">
        <f>'1000_заявлений'!A712</f>
        <v>710</v>
      </c>
      <c r="B718" s="4">
        <f>VALUE(SUBSTITUTE('1000_заявлений'!B712, ".", ","))</f>
        <v>0.200705332769814</v>
      </c>
      <c r="C718" s="4">
        <f>VALUE(SUBSTITUTE('1000_заявлений'!C712, ".", ","))</f>
        <v>0.51092161944028003</v>
      </c>
      <c r="D718" s="4">
        <f>VALUE(SUBSTITUTE('1000_заявлений'!D712, ".", ","))</f>
        <v>0.6986675</v>
      </c>
      <c r="E718" s="4">
        <f>VALUE(SUBSTITUTE('1000_заявлений'!E712, ".", ","))</f>
        <v>0.79610360000000002</v>
      </c>
      <c r="F718" s="5">
        <f>VALUE(SUBSTITUTE('1000_заявлений'!F712, ".", ","))</f>
        <v>-5209</v>
      </c>
      <c r="G718" s="5">
        <f>VALUE(SUBSTITUTE('1000_заявлений'!G712, ".", ","))</f>
        <v>-11245</v>
      </c>
      <c r="H718" s="5">
        <f>VALUE(SUBSTITUTE('1000_заявлений'!H712, ".", ","))</f>
        <v>-3659</v>
      </c>
      <c r="I718" s="4">
        <f>VALUE(SUBSTITUTE('1000_заявлений'!I712, ".", ","))</f>
        <v>0.15</v>
      </c>
      <c r="J718" s="4">
        <f>VALUE(SUBSTITUTE('1000_заявлений'!J712, ".", ","))</f>
        <v>10.6209759779781</v>
      </c>
      <c r="K718" s="5">
        <f>VALUE(SUBSTITUTE('1000_заявлений'!K712, ".", ","))</f>
        <v>-1853</v>
      </c>
      <c r="L718" s="6">
        <f>VALUE(SUBSTITUTE('1000_заявлений'!L712, ".", ","))</f>
        <v>20250</v>
      </c>
      <c r="M718" s="2" t="str">
        <f>IF(Данные6[[#This Row],[proba]]&gt;$C$6, "отказ", "одобрение")</f>
        <v>одобрение</v>
      </c>
      <c r="N718" s="7">
        <f>IF(Данные6[[#This Row],[proba]]&lt;$D$2,$C$2,IF(Данные6[[#This Row],[proba]]&lt;$D$3,$C$3,IF(Данные6[[#This Row],[proba]]&gt;$C$6,0,$C$4)))</f>
        <v>50000</v>
      </c>
      <c r="O718" s="2">
        <f>IF(Данные6[[#This Row],[weighted_ext_score]]&gt;$O$1,MIN(Данные6[[#This Row],[Базовая сумма]]*$O$2,$C$2),IF(Данные6[[#This Row],[weighted_ext_score]]&lt;$O$3,Данные6[[#This Row],[Базовая сумма]]*$O$4,N718))</f>
        <v>50000</v>
      </c>
      <c r="P7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718" s="2">
        <f>ABS(Данные6[[#This Row],[days_birth]])/365.2425</f>
        <v>30.787764293585766</v>
      </c>
      <c r="S7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718" s="2">
        <f>IF(Данные6[[#This Row],[ interest_rate]]&gt;$T$1,Данные6[[#This Row],[days_birth4]]*$T$2,Данные6[[#This Row],[days_birth4]])</f>
        <v>35000</v>
      </c>
      <c r="U718" s="2">
        <f>IF(Данные6[[#This Row],[Проверка отказа]]="отказ",0,MAX(Данные6[[#This Row],[interest_rate]],$C$1))</f>
        <v>35000</v>
      </c>
      <c r="V718" s="2">
        <f>MROUND(Данные6[[#This Row],[Минимум 20000]], 100)</f>
        <v>35000</v>
      </c>
    </row>
    <row r="719" spans="1:22" x14ac:dyDescent="0.25">
      <c r="A719" s="2">
        <f>'1000_заявлений'!A713</f>
        <v>711</v>
      </c>
      <c r="B719" s="4">
        <f>VALUE(SUBSTITUTE('1000_заявлений'!B713, ".", ","))</f>
        <v>0.63631064465785103</v>
      </c>
      <c r="C719" s="4">
        <f>VALUE(SUBSTITUTE('1000_заявлений'!C713, ".", ","))</f>
        <v>0.35548437168816999</v>
      </c>
      <c r="D719" s="4">
        <f>VALUE(SUBSTITUTE('1000_заявлений'!D713, ".", ","))</f>
        <v>0.42765736999999998</v>
      </c>
      <c r="E719" s="4">
        <f>VALUE(SUBSTITUTE('1000_заявлений'!E713, ".", ","))</f>
        <v>0.45182445999999998</v>
      </c>
      <c r="F719" s="5">
        <f>VALUE(SUBSTITUTE('1000_заявлений'!F713, ".", ","))</f>
        <v>-4000</v>
      </c>
      <c r="G719" s="5">
        <f>VALUE(SUBSTITUTE('1000_заявлений'!G713, ".", ","))</f>
        <v>-9282</v>
      </c>
      <c r="H719" s="5">
        <f>VALUE(SUBSTITUTE('1000_заявлений'!H713, ".", ","))</f>
        <v>-1958</v>
      </c>
      <c r="I719" s="4">
        <f>VALUE(SUBSTITUTE('1000_заявлений'!I713, ".", ","))</f>
        <v>0.27847619047618999</v>
      </c>
      <c r="J719" s="4">
        <f>VALUE(SUBSTITUTE('1000_заявлений'!J713, ".", ","))</f>
        <v>1.55972200073934</v>
      </c>
      <c r="K719" s="5">
        <f>VALUE(SUBSTITUTE('1000_заявлений'!K713, ".", ","))</f>
        <v>-205</v>
      </c>
      <c r="L719" s="6">
        <f>VALUE(SUBSTITUTE('1000_заявлений'!L713, ".", ","))</f>
        <v>26316</v>
      </c>
      <c r="M719" s="2" t="str">
        <f>IF(Данные6[[#This Row],[proba]]&gt;$C$6, "отказ", "одобрение")</f>
        <v>отказ</v>
      </c>
      <c r="N719" s="7">
        <f>IF(Данные6[[#This Row],[proba]]&lt;$D$2,$C$2,IF(Данные6[[#This Row],[proba]]&lt;$D$3,$C$3,IF(Данные6[[#This Row],[proba]]&gt;$C$6,0,$C$4)))</f>
        <v>0</v>
      </c>
      <c r="O719" s="2">
        <f>IF(Данные6[[#This Row],[weighted_ext_score]]&gt;$O$1,MIN(Данные6[[#This Row],[Базовая сумма]]*$O$2,$C$2),IF(Данные6[[#This Row],[weighted_ext_score]]&lt;$O$3,Данные6[[#This Row],[Базовая сумма]]*$O$4,N719))</f>
        <v>0</v>
      </c>
      <c r="P7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19" s="2">
        <f>ABS(Данные6[[#This Row],[days_birth]])/365.2425</f>
        <v>25.413252838867326</v>
      </c>
      <c r="S7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19" s="2">
        <f>IF(Данные6[[#This Row],[ interest_rate]]&gt;$T$1,Данные6[[#This Row],[days_birth4]]*$T$2,Данные6[[#This Row],[days_birth4]])</f>
        <v>0</v>
      </c>
      <c r="U719" s="2">
        <f>IF(Данные6[[#This Row],[Проверка отказа]]="отказ",0,MAX(Данные6[[#This Row],[interest_rate]],$C$1))</f>
        <v>0</v>
      </c>
      <c r="V719" s="2">
        <f>MROUND(Данные6[[#This Row],[Минимум 20000]], 100)</f>
        <v>0</v>
      </c>
    </row>
    <row r="720" spans="1:22" x14ac:dyDescent="0.25">
      <c r="A720" s="2">
        <f>'1000_заявлений'!A714</f>
        <v>712</v>
      </c>
      <c r="B720" s="4">
        <f>VALUE(SUBSTITUTE('1000_заявлений'!B714, ".", ","))</f>
        <v>0.41539352805027702</v>
      </c>
      <c r="C720" s="4">
        <f>VALUE(SUBSTITUTE('1000_заявлений'!C714, ".", ","))</f>
        <v>0.34975730492477503</v>
      </c>
      <c r="D720" s="4">
        <f>VALUE(SUBSTITUTE('1000_заявлений'!D714, ".", ","))</f>
        <v>0.30010775000000001</v>
      </c>
      <c r="E720" s="4">
        <f>VALUE(SUBSTITUTE('1000_заявлений'!E714, ".", ","))</f>
        <v>0.74363699999999999</v>
      </c>
      <c r="F720" s="5">
        <f>VALUE(SUBSTITUTE('1000_заявлений'!F714, ".", ","))</f>
        <v>-5472</v>
      </c>
      <c r="G720" s="5">
        <f>VALUE(SUBSTITUTE('1000_заявлений'!G714, ".", ","))</f>
        <v>-21517</v>
      </c>
      <c r="H720" s="5">
        <f>VALUE(SUBSTITUTE('1000_заявлений'!H714, ".", ","))</f>
        <v>-2395</v>
      </c>
      <c r="I720" s="4">
        <f>VALUE(SUBSTITUTE('1000_заявлений'!I714, ".", ","))</f>
        <v>0.1125</v>
      </c>
      <c r="J720" s="4">
        <f>VALUE(SUBSTITUTE('1000_заявлений'!J714, ".", ","))</f>
        <v>2.1181403334651701</v>
      </c>
      <c r="K720" s="5">
        <f>VALUE(SUBSTITUTE('1000_заявлений'!K714, ".", ","))</f>
        <v>365243</v>
      </c>
      <c r="L720" s="6">
        <f>VALUE(SUBSTITUTE('1000_заявлений'!L714, ".", ","))</f>
        <v>16200</v>
      </c>
      <c r="M720" s="2" t="str">
        <f>IF(Данные6[[#This Row],[proba]]&gt;$C$6, "отказ", "одобрение")</f>
        <v>отказ</v>
      </c>
      <c r="N720" s="7">
        <f>IF(Данные6[[#This Row],[proba]]&lt;$D$2,$C$2,IF(Данные6[[#This Row],[proba]]&lt;$D$3,$C$3,IF(Данные6[[#This Row],[proba]]&gt;$C$6,0,$C$4)))</f>
        <v>0</v>
      </c>
      <c r="O720" s="2">
        <f>IF(Данные6[[#This Row],[weighted_ext_score]]&gt;$O$1,MIN(Данные6[[#This Row],[Базовая сумма]]*$O$2,$C$2),IF(Данные6[[#This Row],[weighted_ext_score]]&lt;$O$3,Данные6[[#This Row],[Базовая сумма]]*$O$4,N720))</f>
        <v>0</v>
      </c>
      <c r="P7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0" s="2">
        <f>ABS(Данные6[[#This Row],[days_birth]])/365.2425</f>
        <v>58.911545069371719</v>
      </c>
      <c r="S7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0" s="2">
        <f>IF(Данные6[[#This Row],[ interest_rate]]&gt;$T$1,Данные6[[#This Row],[days_birth4]]*$T$2,Данные6[[#This Row],[days_birth4]])</f>
        <v>0</v>
      </c>
      <c r="U720" s="2">
        <f>IF(Данные6[[#This Row],[Проверка отказа]]="отказ",0,MAX(Данные6[[#This Row],[interest_rate]],$C$1))</f>
        <v>0</v>
      </c>
      <c r="V720" s="2">
        <f>MROUND(Данные6[[#This Row],[Минимум 20000]], 100)</f>
        <v>0</v>
      </c>
    </row>
    <row r="721" spans="1:22" x14ac:dyDescent="0.25">
      <c r="A721" s="2">
        <f>'1000_заявлений'!A715</f>
        <v>713</v>
      </c>
      <c r="B721" s="4">
        <f>VALUE(SUBSTITUTE('1000_заявлений'!B715, ".", ","))</f>
        <v>0.65738109166667003</v>
      </c>
      <c r="C721" s="4">
        <f>VALUE(SUBSTITUTE('1000_заявлений'!C715, ".", ","))</f>
        <v>0.26083240192784801</v>
      </c>
      <c r="D721" s="4">
        <f>VALUE(SUBSTITUTE('1000_заявлений'!D715, ".", ","))</f>
        <v>0.43650650000000002</v>
      </c>
      <c r="E721" s="4">
        <f>VALUE(SUBSTITUTE('1000_заявлений'!E715, ".", ","))</f>
        <v>0.31741783000000001</v>
      </c>
      <c r="F721" s="5">
        <f>VALUE(SUBSTITUTE('1000_заявлений'!F715, ".", ","))</f>
        <v>-6416</v>
      </c>
      <c r="G721" s="5">
        <f>VALUE(SUBSTITUTE('1000_заявлений'!G715, ".", ","))</f>
        <v>-16420</v>
      </c>
      <c r="H721" s="5">
        <f>VALUE(SUBSTITUTE('1000_заявлений'!H715, ".", ","))</f>
        <v>-4278</v>
      </c>
      <c r="I721" s="4">
        <f>VALUE(SUBSTITUTE('1000_заявлений'!I715, ".", ","))</f>
        <v>0.25655</v>
      </c>
      <c r="J721" s="4">
        <f>VALUE(SUBSTITUTE('1000_заявлений'!J715, ".", ","))</f>
        <v>1.88126997763014</v>
      </c>
      <c r="K721" s="5">
        <f>VALUE(SUBSTITUTE('1000_заявлений'!K715, ".", ","))</f>
        <v>-1066</v>
      </c>
      <c r="L721" s="6">
        <f>VALUE(SUBSTITUTE('1000_заявлений'!L715, ".", ","))</f>
        <v>23089.5</v>
      </c>
      <c r="M721" s="2" t="str">
        <f>IF(Данные6[[#This Row],[proba]]&gt;$C$6, "отказ", "одобрение")</f>
        <v>отказ</v>
      </c>
      <c r="N721" s="7">
        <f>IF(Данные6[[#This Row],[proba]]&lt;$D$2,$C$2,IF(Данные6[[#This Row],[proba]]&lt;$D$3,$C$3,IF(Данные6[[#This Row],[proba]]&gt;$C$6,0,$C$4)))</f>
        <v>0</v>
      </c>
      <c r="O721" s="2">
        <f>IF(Данные6[[#This Row],[weighted_ext_score]]&gt;$O$1,MIN(Данные6[[#This Row],[Базовая сумма]]*$O$2,$C$2),IF(Данные6[[#This Row],[weighted_ext_score]]&lt;$O$3,Данные6[[#This Row],[Базовая сумма]]*$O$4,N721))</f>
        <v>0</v>
      </c>
      <c r="P7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1" s="2">
        <f>ABS(Данные6[[#This Row],[days_birth]])/365.2425</f>
        <v>44.956433054751294</v>
      </c>
      <c r="S7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1" s="2">
        <f>IF(Данные6[[#This Row],[ interest_rate]]&gt;$T$1,Данные6[[#This Row],[days_birth4]]*$T$2,Данные6[[#This Row],[days_birth4]])</f>
        <v>0</v>
      </c>
      <c r="U721" s="2">
        <f>IF(Данные6[[#This Row],[Проверка отказа]]="отказ",0,MAX(Данные6[[#This Row],[interest_rate]],$C$1))</f>
        <v>0</v>
      </c>
      <c r="V721" s="2">
        <f>MROUND(Данные6[[#This Row],[Минимум 20000]], 100)</f>
        <v>0</v>
      </c>
    </row>
    <row r="722" spans="1:22" x14ac:dyDescent="0.25">
      <c r="A722" s="2">
        <f>'1000_заявлений'!A716</f>
        <v>714</v>
      </c>
      <c r="B722" s="4">
        <f>VALUE(SUBSTITUTE('1000_заявлений'!B716, ".", ","))</f>
        <v>0.50432955925390199</v>
      </c>
      <c r="C722" s="4">
        <f>VALUE(SUBSTITUTE('1000_заявлений'!C716, ".", ","))</f>
        <v>0.426850898028315</v>
      </c>
      <c r="D722" s="4">
        <f>VALUE(SUBSTITUTE('1000_заявлений'!D716, ".", ","))</f>
        <v>0.67065173</v>
      </c>
      <c r="E722" s="4">
        <f>VALUE(SUBSTITUTE('1000_заявлений'!E716, ".", ","))</f>
        <v>0.14798786</v>
      </c>
      <c r="F722" s="5">
        <f>VALUE(SUBSTITUTE('1000_заявлений'!F716, ".", ","))</f>
        <v>-653</v>
      </c>
      <c r="G722" s="5">
        <f>VALUE(SUBSTITUTE('1000_заявлений'!G716, ".", ","))</f>
        <v>-12288</v>
      </c>
      <c r="H722" s="5">
        <f>VALUE(SUBSTITUTE('1000_заявлений'!H716, ".", ","))</f>
        <v>-4019</v>
      </c>
      <c r="I722" s="4">
        <f>VALUE(SUBSTITUTE('1000_заявлений'!I716, ".", ","))</f>
        <v>0.185</v>
      </c>
      <c r="J722" s="4">
        <f>VALUE(SUBSTITUTE('1000_заявлений'!J716, ".", ","))</f>
        <v>7.9620143797618903</v>
      </c>
      <c r="K722" s="5">
        <f>VALUE(SUBSTITUTE('1000_заявлений'!K716, ".", ","))</f>
        <v>-3775</v>
      </c>
      <c r="L722" s="6">
        <f>VALUE(SUBSTITUTE('1000_заявлений'!L716, ".", ","))</f>
        <v>26640</v>
      </c>
      <c r="M722" s="2" t="str">
        <f>IF(Данные6[[#This Row],[proba]]&gt;$C$6, "отказ", "одобрение")</f>
        <v>отказ</v>
      </c>
      <c r="N722" s="7">
        <f>IF(Данные6[[#This Row],[proba]]&lt;$D$2,$C$2,IF(Данные6[[#This Row],[proba]]&lt;$D$3,$C$3,IF(Данные6[[#This Row],[proba]]&gt;$C$6,0,$C$4)))</f>
        <v>0</v>
      </c>
      <c r="O722" s="2">
        <f>IF(Данные6[[#This Row],[weighted_ext_score]]&gt;$O$1,MIN(Данные6[[#This Row],[Базовая сумма]]*$O$2,$C$2),IF(Данные6[[#This Row],[weighted_ext_score]]&lt;$O$3,Данные6[[#This Row],[Базовая сумма]]*$O$4,N722))</f>
        <v>0</v>
      </c>
      <c r="P7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2" s="2">
        <f>ABS(Данные6[[#This Row],[days_birth]])/365.2425</f>
        <v>33.643401301874782</v>
      </c>
      <c r="S7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2" s="2">
        <f>IF(Данные6[[#This Row],[ interest_rate]]&gt;$T$1,Данные6[[#This Row],[days_birth4]]*$T$2,Данные6[[#This Row],[days_birth4]])</f>
        <v>0</v>
      </c>
      <c r="U722" s="2">
        <f>IF(Данные6[[#This Row],[Проверка отказа]]="отказ",0,MAX(Данные6[[#This Row],[interest_rate]],$C$1))</f>
        <v>0</v>
      </c>
      <c r="V722" s="2">
        <f>MROUND(Данные6[[#This Row],[Минимум 20000]], 100)</f>
        <v>0</v>
      </c>
    </row>
    <row r="723" spans="1:22" x14ac:dyDescent="0.25">
      <c r="A723" s="2">
        <f>'1000_заявлений'!A717</f>
        <v>715</v>
      </c>
      <c r="B723" s="4">
        <f>VALUE(SUBSTITUTE('1000_заявлений'!B717, ".", ","))</f>
        <v>0.41497232401795697</v>
      </c>
      <c r="C723" s="4">
        <f>VALUE(SUBSTITUTE('1000_заявлений'!C717, ".", ","))</f>
        <v>0.44404385434433902</v>
      </c>
      <c r="D723" s="4">
        <f>VALUE(SUBSTITUTE('1000_заявлений'!D717, ".", ","))</f>
        <v>0.35563869999999997</v>
      </c>
      <c r="E723" s="4">
        <f>VALUE(SUBSTITUTE('1000_заявлений'!E717, ".", ","))</f>
        <v>0.60908839999999997</v>
      </c>
      <c r="F723" s="5">
        <f>VALUE(SUBSTITUTE('1000_заявлений'!F717, ".", ","))</f>
        <v>-6184</v>
      </c>
      <c r="G723" s="5">
        <f>VALUE(SUBSTITUTE('1000_заявлений'!G717, ".", ","))</f>
        <v>-13607</v>
      </c>
      <c r="H723" s="5">
        <f>VALUE(SUBSTITUTE('1000_заявлений'!H717, ".", ","))</f>
        <v>-3296</v>
      </c>
      <c r="I723" s="4">
        <f>VALUE(SUBSTITUTE('1000_заявлений'!I717, ".", ","))</f>
        <v>2.5000000000000001E-2</v>
      </c>
      <c r="J723" s="4">
        <f>VALUE(SUBSTITUTE('1000_заявлений'!J717, ".", ","))</f>
        <v>10.6209759779781</v>
      </c>
      <c r="K723" s="5">
        <f>VALUE(SUBSTITUTE('1000_заявлений'!K717, ".", ","))</f>
        <v>-4518</v>
      </c>
      <c r="L723" s="6">
        <f>VALUE(SUBSTITUTE('1000_заявлений'!L717, ".", ","))</f>
        <v>11250</v>
      </c>
      <c r="M723" s="2" t="str">
        <f>IF(Данные6[[#This Row],[proba]]&gt;$C$6, "отказ", "одобрение")</f>
        <v>отказ</v>
      </c>
      <c r="N723" s="7">
        <f>IF(Данные6[[#This Row],[proba]]&lt;$D$2,$C$2,IF(Данные6[[#This Row],[proba]]&lt;$D$3,$C$3,IF(Данные6[[#This Row],[proba]]&gt;$C$6,0,$C$4)))</f>
        <v>0</v>
      </c>
      <c r="O723" s="2">
        <f>IF(Данные6[[#This Row],[weighted_ext_score]]&gt;$O$1,MIN(Данные6[[#This Row],[Базовая сумма]]*$O$2,$C$2),IF(Данные6[[#This Row],[weighted_ext_score]]&lt;$O$3,Данные6[[#This Row],[Базовая сумма]]*$O$4,N723))</f>
        <v>0</v>
      </c>
      <c r="P7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3" s="2">
        <f>ABS(Данные6[[#This Row],[days_birth]])/365.2425</f>
        <v>37.254700644092622</v>
      </c>
      <c r="S7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3" s="2">
        <f>IF(Данные6[[#This Row],[ interest_rate]]&gt;$T$1,Данные6[[#This Row],[days_birth4]]*$T$2,Данные6[[#This Row],[days_birth4]])</f>
        <v>0</v>
      </c>
      <c r="U723" s="2">
        <f>IF(Данные6[[#This Row],[Проверка отказа]]="отказ",0,MAX(Данные6[[#This Row],[interest_rate]],$C$1))</f>
        <v>0</v>
      </c>
      <c r="V723" s="2">
        <f>MROUND(Данные6[[#This Row],[Минимум 20000]], 100)</f>
        <v>0</v>
      </c>
    </row>
    <row r="724" spans="1:22" x14ac:dyDescent="0.25">
      <c r="A724" s="2">
        <f>'1000_заявлений'!A718</f>
        <v>716</v>
      </c>
      <c r="B724" s="4">
        <f>VALUE(SUBSTITUTE('1000_заявлений'!B718, ".", ","))</f>
        <v>0.42468791291234398</v>
      </c>
      <c r="C724" s="4">
        <f>VALUE(SUBSTITUTE('1000_заявлений'!C718, ".", ","))</f>
        <v>0.52798213480692102</v>
      </c>
      <c r="D724" s="4">
        <f>VALUE(SUBSTITUTE('1000_заявлений'!D718, ".", ","))</f>
        <v>0.3217353</v>
      </c>
      <c r="E724" s="4">
        <f>VALUE(SUBSTITUTE('1000_заявлений'!E718, ".", ","))</f>
        <v>0.56590235</v>
      </c>
      <c r="F724" s="5">
        <f>VALUE(SUBSTITUTE('1000_заявлений'!F718, ".", ","))</f>
        <v>-1710</v>
      </c>
      <c r="G724" s="5">
        <f>VALUE(SUBSTITUTE('1000_заявлений'!G718, ".", ","))</f>
        <v>-20803</v>
      </c>
      <c r="H724" s="5">
        <f>VALUE(SUBSTITUTE('1000_заявлений'!H718, ".", ","))</f>
        <v>-156</v>
      </c>
      <c r="I724" s="4">
        <f>VALUE(SUBSTITUTE('1000_заявлений'!I718, ".", ","))</f>
        <v>0.166457142857142</v>
      </c>
      <c r="J724" s="4">
        <f>VALUE(SUBSTITUTE('1000_заявлений'!J718, ".", ","))</f>
        <v>2.7268436150310298</v>
      </c>
      <c r="K724" s="5">
        <f>VALUE(SUBSTITUTE('1000_заявлений'!K718, ".", ","))</f>
        <v>365243</v>
      </c>
      <c r="L724" s="6">
        <f>VALUE(SUBSTITUTE('1000_заявлений'!L718, ".", ","))</f>
        <v>26217</v>
      </c>
      <c r="M724" s="2" t="str">
        <f>IF(Данные6[[#This Row],[proba]]&gt;$C$6, "отказ", "одобрение")</f>
        <v>отказ</v>
      </c>
      <c r="N724" s="7">
        <f>IF(Данные6[[#This Row],[proba]]&lt;$D$2,$C$2,IF(Данные6[[#This Row],[proba]]&lt;$D$3,$C$3,IF(Данные6[[#This Row],[proba]]&gt;$C$6,0,$C$4)))</f>
        <v>0</v>
      </c>
      <c r="O724" s="2">
        <f>IF(Данные6[[#This Row],[weighted_ext_score]]&gt;$O$1,MIN(Данные6[[#This Row],[Базовая сумма]]*$O$2,$C$2),IF(Данные6[[#This Row],[weighted_ext_score]]&lt;$O$3,Данные6[[#This Row],[Базовая сумма]]*$O$4,N724))</f>
        <v>0</v>
      </c>
      <c r="P7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4" s="2">
        <f>ABS(Данные6[[#This Row],[days_birth]])/365.2425</f>
        <v>56.956679466381921</v>
      </c>
      <c r="S7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4" s="2">
        <f>IF(Данные6[[#This Row],[ interest_rate]]&gt;$T$1,Данные6[[#This Row],[days_birth4]]*$T$2,Данные6[[#This Row],[days_birth4]])</f>
        <v>0</v>
      </c>
      <c r="U724" s="2">
        <f>IF(Данные6[[#This Row],[Проверка отказа]]="отказ",0,MAX(Данные6[[#This Row],[interest_rate]],$C$1))</f>
        <v>0</v>
      </c>
      <c r="V724" s="2">
        <f>MROUND(Данные6[[#This Row],[Минимум 20000]], 100)</f>
        <v>0</v>
      </c>
    </row>
    <row r="725" spans="1:22" x14ac:dyDescent="0.25">
      <c r="A725" s="2">
        <f>'1000_заявлений'!A719</f>
        <v>717</v>
      </c>
      <c r="B725" s="4">
        <f>VALUE(SUBSTITUTE('1000_заявлений'!B719, ".", ","))</f>
        <v>0.22964863099278601</v>
      </c>
      <c r="C725" s="4">
        <f>VALUE(SUBSTITUTE('1000_заявлений'!C719, ".", ","))</f>
        <v>0.55088225908191502</v>
      </c>
      <c r="D725" s="4">
        <f>VALUE(SUBSTITUTE('1000_заявлений'!D719, ".", ","))</f>
        <v>0.80614929999999996</v>
      </c>
      <c r="E725" s="4">
        <f>VALUE(SUBSTITUTE('1000_заявлений'!E719, ".", ","))</f>
        <v>0.57994663999999996</v>
      </c>
      <c r="F725" s="5">
        <f>VALUE(SUBSTITUTE('1000_заявлений'!F719, ".", ","))</f>
        <v>-797</v>
      </c>
      <c r="G725" s="5">
        <f>VALUE(SUBSTITUTE('1000_заявлений'!G719, ".", ","))</f>
        <v>-13441</v>
      </c>
      <c r="H725" s="5">
        <f>VALUE(SUBSTITUTE('1000_заявлений'!H719, ".", ","))</f>
        <v>-4181</v>
      </c>
      <c r="I725" s="4">
        <f>VALUE(SUBSTITUTE('1000_заявлений'!I719, ".", ","))</f>
        <v>0.18648000000000001</v>
      </c>
      <c r="J725" s="4">
        <f>VALUE(SUBSTITUTE('1000_заявлений'!J719, ".", ","))</f>
        <v>5.0755928561322596</v>
      </c>
      <c r="K725" s="5">
        <f>VALUE(SUBSTITUTE('1000_заявлений'!K719, ".", ","))</f>
        <v>-2748</v>
      </c>
      <c r="L725" s="6">
        <f>VALUE(SUBSTITUTE('1000_заявлений'!L719, ".", ","))</f>
        <v>20979</v>
      </c>
      <c r="M725" s="2" t="str">
        <f>IF(Данные6[[#This Row],[proba]]&gt;$C$6, "отказ", "одобрение")</f>
        <v>одобрение</v>
      </c>
      <c r="N725" s="7">
        <f>IF(Данные6[[#This Row],[proba]]&lt;$D$2,$C$2,IF(Данные6[[#This Row],[proba]]&lt;$D$3,$C$3,IF(Данные6[[#This Row],[proba]]&gt;$C$6,0,$C$4)))</f>
        <v>50000</v>
      </c>
      <c r="O725" s="2">
        <f>IF(Данные6[[#This Row],[weighted_ext_score]]&gt;$O$1,MIN(Данные6[[#This Row],[Базовая сумма]]*$O$2,$C$2),IF(Данные6[[#This Row],[weighted_ext_score]]&lt;$O$3,Данные6[[#This Row],[Базовая сумма]]*$O$4,N725))</f>
        <v>50000</v>
      </c>
      <c r="P7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725" s="2">
        <f>ABS(Данные6[[#This Row],[days_birth]])/365.2425</f>
        <v>36.800208080932528</v>
      </c>
      <c r="S7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725" s="2">
        <f>IF(Данные6[[#This Row],[ interest_rate]]&gt;$T$1,Данные6[[#This Row],[days_birth4]]*$T$2,Данные6[[#This Row],[days_birth4]])</f>
        <v>35000</v>
      </c>
      <c r="U725" s="2">
        <f>IF(Данные6[[#This Row],[Проверка отказа]]="отказ",0,MAX(Данные6[[#This Row],[interest_rate]],$C$1))</f>
        <v>35000</v>
      </c>
      <c r="V725" s="2">
        <f>MROUND(Данные6[[#This Row],[Минимум 20000]], 100)</f>
        <v>35000</v>
      </c>
    </row>
    <row r="726" spans="1:22" x14ac:dyDescent="0.25">
      <c r="A726" s="2">
        <f>'1000_заявлений'!A720</f>
        <v>718</v>
      </c>
      <c r="B726" s="4">
        <f>VALUE(SUBSTITUTE('1000_заявлений'!B720, ".", ","))</f>
        <v>0.59501306107434204</v>
      </c>
      <c r="C726" s="4">
        <f>VALUE(SUBSTITUTE('1000_заявлений'!C720, ".", ","))</f>
        <v>0.42142941704849801</v>
      </c>
      <c r="D726" s="4">
        <f>VALUE(SUBSTITUTE('1000_заявлений'!D720, ".", ","))</f>
        <v>0.14644207000000001</v>
      </c>
      <c r="E726" s="4">
        <f>VALUE(SUBSTITUTE('1000_заявлений'!E720, ".", ","))</f>
        <v>0.55571769999999998</v>
      </c>
      <c r="F726" s="5">
        <f>VALUE(SUBSTITUTE('1000_заявлений'!F720, ".", ","))</f>
        <v>-6896</v>
      </c>
      <c r="G726" s="5">
        <f>VALUE(SUBSTITUTE('1000_заявлений'!G720, ".", ","))</f>
        <v>-17196</v>
      </c>
      <c r="H726" s="5">
        <f>VALUE(SUBSTITUTE('1000_заявлений'!H720, ".", ","))</f>
        <v>-733</v>
      </c>
      <c r="I726" s="4">
        <f>VALUE(SUBSTITUTE('1000_заявлений'!I720, ".", ","))</f>
        <v>0.122325</v>
      </c>
      <c r="J726" s="4">
        <f>VALUE(SUBSTITUTE('1000_заявлений'!J720, ".", ","))</f>
        <v>8.0866443678889492</v>
      </c>
      <c r="K726" s="5">
        <f>VALUE(SUBSTITUTE('1000_заявлений'!K720, ".", ","))</f>
        <v>-5815</v>
      </c>
      <c r="L726" s="6">
        <f>VALUE(SUBSTITUTE('1000_заявлений'!L720, ".", ","))</f>
        <v>22018.5</v>
      </c>
      <c r="M726" s="2" t="str">
        <f>IF(Данные6[[#This Row],[proba]]&gt;$C$6, "отказ", "одобрение")</f>
        <v>отказ</v>
      </c>
      <c r="N726" s="7">
        <f>IF(Данные6[[#This Row],[proba]]&lt;$D$2,$C$2,IF(Данные6[[#This Row],[proba]]&lt;$D$3,$C$3,IF(Данные6[[#This Row],[proba]]&gt;$C$6,0,$C$4)))</f>
        <v>0</v>
      </c>
      <c r="O726" s="2">
        <f>IF(Данные6[[#This Row],[weighted_ext_score]]&gt;$O$1,MIN(Данные6[[#This Row],[Базовая сумма]]*$O$2,$C$2),IF(Данные6[[#This Row],[weighted_ext_score]]&lt;$O$3,Данные6[[#This Row],[Базовая сумма]]*$O$4,N726))</f>
        <v>0</v>
      </c>
      <c r="P7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6" s="2">
        <f>ABS(Данные6[[#This Row],[days_birth]])/365.2425</f>
        <v>47.08104889217438</v>
      </c>
      <c r="S7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6" s="2">
        <f>IF(Данные6[[#This Row],[ interest_rate]]&gt;$T$1,Данные6[[#This Row],[days_birth4]]*$T$2,Данные6[[#This Row],[days_birth4]])</f>
        <v>0</v>
      </c>
      <c r="U726" s="2">
        <f>IF(Данные6[[#This Row],[Проверка отказа]]="отказ",0,MAX(Данные6[[#This Row],[interest_rate]],$C$1))</f>
        <v>0</v>
      </c>
      <c r="V726" s="2">
        <f>MROUND(Данные6[[#This Row],[Минимум 20000]], 100)</f>
        <v>0</v>
      </c>
    </row>
    <row r="727" spans="1:22" x14ac:dyDescent="0.25">
      <c r="A727" s="2">
        <f>'1000_заявлений'!A721</f>
        <v>719</v>
      </c>
      <c r="B727" s="4">
        <f>VALUE(SUBSTITUTE('1000_заявлений'!B721, ".", ","))</f>
        <v>0.49509187564707002</v>
      </c>
      <c r="C727" s="4">
        <f>VALUE(SUBSTITUTE('1000_заявлений'!C721, ".", ","))</f>
        <v>0.31478270769887601</v>
      </c>
      <c r="D727" s="4">
        <f>VALUE(SUBSTITUTE('1000_заявлений'!D721, ".", ","))</f>
        <v>0.51549535999999996</v>
      </c>
      <c r="E727" s="4">
        <f>VALUE(SUBSTITUTE('1000_заявлений'!E721, ".", ","))</f>
        <v>0.39566863000000002</v>
      </c>
      <c r="F727" s="5">
        <f>VALUE(SUBSTITUTE('1000_заявлений'!F721, ".", ","))</f>
        <v>-4869</v>
      </c>
      <c r="G727" s="5">
        <f>VALUE(SUBSTITUTE('1000_заявлений'!G721, ".", ","))</f>
        <v>-17593</v>
      </c>
      <c r="H727" s="5">
        <f>VALUE(SUBSTITUTE('1000_заявлений'!H721, ".", ","))</f>
        <v>-1076</v>
      </c>
      <c r="I727" s="4">
        <f>VALUE(SUBSTITUTE('1000_заявлений'!I721, ".", ","))</f>
        <v>0.115266666666666</v>
      </c>
      <c r="J727" s="4">
        <f>VALUE(SUBSTITUTE('1000_заявлений'!J721, ".", ","))</f>
        <v>8.2262930470872799</v>
      </c>
      <c r="K727" s="5">
        <f>VALUE(SUBSTITUTE('1000_заявлений'!K721, ".", ","))</f>
        <v>-2370</v>
      </c>
      <c r="L727" s="6">
        <f>VALUE(SUBSTITUTE('1000_заявлений'!L721, ".", ","))</f>
        <v>38902.5</v>
      </c>
      <c r="M727" s="2" t="str">
        <f>IF(Данные6[[#This Row],[proba]]&gt;$C$6, "отказ", "одобрение")</f>
        <v>отказ</v>
      </c>
      <c r="N727" s="7">
        <f>IF(Данные6[[#This Row],[proba]]&lt;$D$2,$C$2,IF(Данные6[[#This Row],[proba]]&lt;$D$3,$C$3,IF(Данные6[[#This Row],[proba]]&gt;$C$6,0,$C$4)))</f>
        <v>0</v>
      </c>
      <c r="O727" s="2">
        <f>IF(Данные6[[#This Row],[weighted_ext_score]]&gt;$O$1,MIN(Данные6[[#This Row],[Базовая сумма]]*$O$2,$C$2),IF(Данные6[[#This Row],[weighted_ext_score]]&lt;$O$3,Данные6[[#This Row],[Базовая сумма]]*$O$4,N727))</f>
        <v>0</v>
      </c>
      <c r="P7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7" s="2">
        <f>ABS(Данные6[[#This Row],[days_birth]])/365.2425</f>
        <v>48.167997973948815</v>
      </c>
      <c r="S7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7" s="2">
        <f>IF(Данные6[[#This Row],[ interest_rate]]&gt;$T$1,Данные6[[#This Row],[days_birth4]]*$T$2,Данные6[[#This Row],[days_birth4]])</f>
        <v>0</v>
      </c>
      <c r="U727" s="2">
        <f>IF(Данные6[[#This Row],[Проверка отказа]]="отказ",0,MAX(Данные6[[#This Row],[interest_rate]],$C$1))</f>
        <v>0</v>
      </c>
      <c r="V727" s="2">
        <f>MROUND(Данные6[[#This Row],[Минимум 20000]], 100)</f>
        <v>0</v>
      </c>
    </row>
    <row r="728" spans="1:22" x14ac:dyDescent="0.25">
      <c r="A728" s="2">
        <f>'1000_заявлений'!A722</f>
        <v>720</v>
      </c>
      <c r="B728" s="4">
        <f>VALUE(SUBSTITUTE('1000_заявлений'!B722, ".", ","))</f>
        <v>0.25737949366302798</v>
      </c>
      <c r="C728" s="4">
        <f>VALUE(SUBSTITUTE('1000_заявлений'!C722, ".", ","))</f>
        <v>0.53076106326441397</v>
      </c>
      <c r="D728" s="4">
        <f>VALUE(SUBSTITUTE('1000_заявлений'!D722, ".", ","))</f>
        <v>0.65778380000000003</v>
      </c>
      <c r="E728" s="4">
        <f>VALUE(SUBSTITUTE('1000_заявлений'!E722, ".", ","))</f>
        <v>0.58815413999999999</v>
      </c>
      <c r="F728" s="5">
        <f>VALUE(SUBSTITUTE('1000_заявлений'!F722, ".", ","))</f>
        <v>-6031</v>
      </c>
      <c r="G728" s="5">
        <f>VALUE(SUBSTITUTE('1000_заявлений'!G722, ".", ","))</f>
        <v>-11225</v>
      </c>
      <c r="H728" s="5">
        <f>VALUE(SUBSTITUTE('1000_заявлений'!H722, ".", ","))</f>
        <v>-3862</v>
      </c>
      <c r="I728" s="4">
        <f>VALUE(SUBSTITUTE('1000_заявлений'!I722, ".", ","))</f>
        <v>7.4999999999999997E-2</v>
      </c>
      <c r="J728" s="4">
        <f>VALUE(SUBSTITUTE('1000_заявлений'!J722, ".", ","))</f>
        <v>10.6209759779781</v>
      </c>
      <c r="K728" s="5">
        <f>VALUE(SUBSTITUTE('1000_заявлений'!K722, ".", ","))</f>
        <v>-2476</v>
      </c>
      <c r="L728" s="6">
        <f>VALUE(SUBSTITUTE('1000_заявлений'!L722, ".", ","))</f>
        <v>13500</v>
      </c>
      <c r="M728" s="2" t="str">
        <f>IF(Данные6[[#This Row],[proba]]&gt;$C$6, "отказ", "одобрение")</f>
        <v>одобрение</v>
      </c>
      <c r="N728" s="7">
        <f>IF(Данные6[[#This Row],[proba]]&lt;$D$2,$C$2,IF(Данные6[[#This Row],[proba]]&lt;$D$3,$C$3,IF(Данные6[[#This Row],[proba]]&gt;$C$6,0,$C$4)))</f>
        <v>50000</v>
      </c>
      <c r="O728" s="2">
        <f>IF(Данные6[[#This Row],[weighted_ext_score]]&gt;$O$1,MIN(Данные6[[#This Row],[Базовая сумма]]*$O$2,$C$2),IF(Данные6[[#This Row],[weighted_ext_score]]&lt;$O$3,Данные6[[#This Row],[Базовая сумма]]*$O$4,N728))</f>
        <v>50000</v>
      </c>
      <c r="P7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60000</v>
      </c>
      <c r="Q7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42000</v>
      </c>
      <c r="R728" s="2">
        <f>ABS(Данные6[[#This Row],[days_birth]])/365.2425</f>
        <v>30.733006153445999</v>
      </c>
      <c r="S7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728" s="2">
        <f>IF(Данные6[[#This Row],[ interest_rate]]&gt;$T$1,Данные6[[#This Row],[days_birth4]]*$T$2,Данные6[[#This Row],[days_birth4]])</f>
        <v>42000</v>
      </c>
      <c r="U728" s="2">
        <f>IF(Данные6[[#This Row],[Проверка отказа]]="отказ",0,MAX(Данные6[[#This Row],[interest_rate]],$C$1))</f>
        <v>42000</v>
      </c>
      <c r="V728" s="2">
        <f>MROUND(Данные6[[#This Row],[Минимум 20000]], 100)</f>
        <v>42000</v>
      </c>
    </row>
    <row r="729" spans="1:22" x14ac:dyDescent="0.25">
      <c r="A729" s="2">
        <f>'1000_заявлений'!A723</f>
        <v>721</v>
      </c>
      <c r="B729" s="4">
        <f>VALUE(SUBSTITUTE('1000_заявлений'!B723, ".", ","))</f>
        <v>0.56502943007214301</v>
      </c>
      <c r="C729" s="4">
        <f>VALUE(SUBSTITUTE('1000_заявлений'!C723, ".", ","))</f>
        <v>0.29342742402292499</v>
      </c>
      <c r="D729" s="4">
        <f>VALUE(SUBSTITUTE('1000_заявлений'!D723, ".", ","))</f>
        <v>0.21155076</v>
      </c>
      <c r="E729" s="4">
        <f>VALUE(SUBSTITUTE('1000_заявлений'!E723, ".", ","))</f>
        <v>0.66871840000000005</v>
      </c>
      <c r="F729" s="5">
        <f>VALUE(SUBSTITUTE('1000_заявлений'!F723, ".", ","))</f>
        <v>-5564</v>
      </c>
      <c r="G729" s="5">
        <f>VALUE(SUBSTITUTE('1000_заявлений'!G723, ".", ","))</f>
        <v>-19800</v>
      </c>
      <c r="H729" s="5">
        <f>VALUE(SUBSTITUTE('1000_заявлений'!H723, ".", ","))</f>
        <v>-3351</v>
      </c>
      <c r="I729" s="4">
        <f>VALUE(SUBSTITUTE('1000_заявлений'!I723, ".", ","))</f>
        <v>0.1095</v>
      </c>
      <c r="J729" s="4">
        <f>VALUE(SUBSTITUTE('1000_заявлений'!J723, ".", ","))</f>
        <v>3.6354244931648001</v>
      </c>
      <c r="K729" s="5">
        <f>VALUE(SUBSTITUTE('1000_заявлений'!K723, ".", ","))</f>
        <v>-1155</v>
      </c>
      <c r="L729" s="6">
        <f>VALUE(SUBSTITUTE('1000_заявлений'!L723, ".", ","))</f>
        <v>15768</v>
      </c>
      <c r="M729" s="2" t="str">
        <f>IF(Данные6[[#This Row],[proba]]&gt;$C$6, "отказ", "одобрение")</f>
        <v>отказ</v>
      </c>
      <c r="N729" s="7">
        <f>IF(Данные6[[#This Row],[proba]]&lt;$D$2,$C$2,IF(Данные6[[#This Row],[proba]]&lt;$D$3,$C$3,IF(Данные6[[#This Row],[proba]]&gt;$C$6,0,$C$4)))</f>
        <v>0</v>
      </c>
      <c r="O729" s="2">
        <f>IF(Данные6[[#This Row],[weighted_ext_score]]&gt;$O$1,MIN(Данные6[[#This Row],[Базовая сумма]]*$O$2,$C$2),IF(Данные6[[#This Row],[weighted_ext_score]]&lt;$O$3,Данные6[[#This Row],[Базовая сумма]]*$O$4,N729))</f>
        <v>0</v>
      </c>
      <c r="P7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29" s="2">
        <f>ABS(Данные6[[#This Row],[days_birth]])/365.2425</f>
        <v>54.210558738372448</v>
      </c>
      <c r="S7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29" s="2">
        <f>IF(Данные6[[#This Row],[ interest_rate]]&gt;$T$1,Данные6[[#This Row],[days_birth4]]*$T$2,Данные6[[#This Row],[days_birth4]])</f>
        <v>0</v>
      </c>
      <c r="U729" s="2">
        <f>IF(Данные6[[#This Row],[Проверка отказа]]="отказ",0,MAX(Данные6[[#This Row],[interest_rate]],$C$1))</f>
        <v>0</v>
      </c>
      <c r="V729" s="2">
        <f>MROUND(Данные6[[#This Row],[Минимум 20000]], 100)</f>
        <v>0</v>
      </c>
    </row>
    <row r="730" spans="1:22" x14ac:dyDescent="0.25">
      <c r="A730" s="2">
        <f>'1000_заявлений'!A724</f>
        <v>722</v>
      </c>
      <c r="B730" s="4">
        <f>VALUE(SUBSTITUTE('1000_заявлений'!B724, ".", ","))</f>
        <v>0.164765022653941</v>
      </c>
      <c r="C730" s="4">
        <f>VALUE(SUBSTITUTE('1000_заявлений'!C724, ".", ","))</f>
        <v>0.47804398187820102</v>
      </c>
      <c r="D730" s="4">
        <f>VALUE(SUBSTITUTE('1000_заявлений'!D724, ".", ","))</f>
        <v>0.76880760000000004</v>
      </c>
      <c r="E730" s="4">
        <f>VALUE(SUBSTITUTE('1000_заявлений'!E724, ".", ","))</f>
        <v>0.61654425000000002</v>
      </c>
      <c r="F730" s="5">
        <f>VALUE(SUBSTITUTE('1000_заявлений'!F724, ".", ","))</f>
        <v>-5140</v>
      </c>
      <c r="G730" s="5">
        <f>VALUE(SUBSTITUTE('1000_заявлений'!G724, ".", ","))</f>
        <v>-23698</v>
      </c>
      <c r="H730" s="5">
        <f>VALUE(SUBSTITUTE('1000_заявлений'!H724, ".", ","))</f>
        <v>-4459</v>
      </c>
      <c r="I730" s="4">
        <f>VALUE(SUBSTITUTE('1000_заявлений'!I724, ".", ","))</f>
        <v>0.19911111111111099</v>
      </c>
      <c r="J730" s="4">
        <f>VALUE(SUBSTITUTE('1000_заявлений'!J724, ".", ","))</f>
        <v>6.52340447126877</v>
      </c>
      <c r="K730" s="5">
        <f>VALUE(SUBSTITUTE('1000_заявлений'!K724, ".", ","))</f>
        <v>365243</v>
      </c>
      <c r="L730" s="6">
        <f>VALUE(SUBSTITUTE('1000_заявлений'!L724, ".", ","))</f>
        <v>40320</v>
      </c>
      <c r="M730" s="2" t="str">
        <f>IF(Данные6[[#This Row],[proba]]&gt;$C$6, "отказ", "одобрение")</f>
        <v>одобрение</v>
      </c>
      <c r="N730" s="7">
        <f>IF(Данные6[[#This Row],[proba]]&lt;$D$2,$C$2,IF(Данные6[[#This Row],[proba]]&lt;$D$3,$C$3,IF(Данные6[[#This Row],[proba]]&gt;$C$6,0,$C$4)))</f>
        <v>200000</v>
      </c>
      <c r="O730" s="2">
        <f>IF(Данные6[[#This Row],[weighted_ext_score]]&gt;$O$1,MIN(Данные6[[#This Row],[Базовая сумма]]*$O$2,$C$2),IF(Данные6[[#This Row],[weighted_ext_score]]&lt;$O$3,Данные6[[#This Row],[Базовая сумма]]*$O$4,N730))</f>
        <v>160000</v>
      </c>
      <c r="P7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7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730" s="2">
        <f>ABS(Данные6[[#This Row],[days_birth]])/365.2425</f>
        <v>64.882920251613655</v>
      </c>
      <c r="S7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730" s="2">
        <f>IF(Данные6[[#This Row],[ interest_rate]]&gt;$T$1,Данные6[[#This Row],[days_birth4]]*$T$2,Данные6[[#This Row],[days_birth4]])</f>
        <v>168000</v>
      </c>
      <c r="U730" s="2">
        <f>IF(Данные6[[#This Row],[Проверка отказа]]="отказ",0,MAX(Данные6[[#This Row],[interest_rate]],$C$1))</f>
        <v>168000</v>
      </c>
      <c r="V730" s="2">
        <f>MROUND(Данные6[[#This Row],[Минимум 20000]], 100)</f>
        <v>168000</v>
      </c>
    </row>
    <row r="731" spans="1:22" x14ac:dyDescent="0.25">
      <c r="A731" s="2">
        <f>'1000_заявлений'!A725</f>
        <v>723</v>
      </c>
      <c r="B731" s="4">
        <f>VALUE(SUBSTITUTE('1000_заявлений'!B725, ".", ","))</f>
        <v>0.44094729697304502</v>
      </c>
      <c r="C731" s="4">
        <f>VALUE(SUBSTITUTE('1000_заявлений'!C725, ".", ","))</f>
        <v>0.38827883596881901</v>
      </c>
      <c r="D731" s="4">
        <f>VALUE(SUBSTITUTE('1000_заявлений'!D725, ".", ","))</f>
        <v>0.52269730000000003</v>
      </c>
      <c r="E731" s="4">
        <f>VALUE(SUBSTITUTE('1000_заявлений'!E725, ".", ","))</f>
        <v>0.61421513999999999</v>
      </c>
      <c r="F731" s="5">
        <f>VALUE(SUBSTITUTE('1000_заявлений'!F725, ".", ","))</f>
        <v>-8630</v>
      </c>
      <c r="G731" s="5">
        <f>VALUE(SUBSTITUTE('1000_заявлений'!G725, ".", ","))</f>
        <v>-10922</v>
      </c>
      <c r="H731" s="5">
        <f>VALUE(SUBSTITUTE('1000_заявлений'!H725, ".", ","))</f>
        <v>-3598</v>
      </c>
      <c r="I731" s="4">
        <f>VALUE(SUBSTITUTE('1000_заявлений'!I725, ".", ","))</f>
        <v>0.21429999999999999</v>
      </c>
      <c r="J731" s="4">
        <f>VALUE(SUBSTITUTE('1000_заявлений'!J725, ".", ","))</f>
        <v>4.1971081343415699</v>
      </c>
      <c r="K731" s="5">
        <f>VALUE(SUBSTITUTE('1000_заявлений'!K725, ".", ","))</f>
        <v>-1114</v>
      </c>
      <c r="L731" s="6">
        <f>VALUE(SUBSTITUTE('1000_заявлений'!L725, ".", ","))</f>
        <v>19287</v>
      </c>
      <c r="M731" s="2" t="str">
        <f>IF(Данные6[[#This Row],[proba]]&gt;$C$6, "отказ", "одобрение")</f>
        <v>отказ</v>
      </c>
      <c r="N731" s="7">
        <f>IF(Данные6[[#This Row],[proba]]&lt;$D$2,$C$2,IF(Данные6[[#This Row],[proba]]&lt;$D$3,$C$3,IF(Данные6[[#This Row],[proba]]&gt;$C$6,0,$C$4)))</f>
        <v>0</v>
      </c>
      <c r="O731" s="2">
        <f>IF(Данные6[[#This Row],[weighted_ext_score]]&gt;$O$1,MIN(Данные6[[#This Row],[Базовая сумма]]*$O$2,$C$2),IF(Данные6[[#This Row],[weighted_ext_score]]&lt;$O$3,Данные6[[#This Row],[Базовая сумма]]*$O$4,N731))</f>
        <v>0</v>
      </c>
      <c r="P7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1" s="2">
        <f>ABS(Данные6[[#This Row],[days_birth]])/365.2425</f>
        <v>29.90342033032848</v>
      </c>
      <c r="S7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1" s="2">
        <f>IF(Данные6[[#This Row],[ interest_rate]]&gt;$T$1,Данные6[[#This Row],[days_birth4]]*$T$2,Данные6[[#This Row],[days_birth4]])</f>
        <v>0</v>
      </c>
      <c r="U731" s="2">
        <f>IF(Данные6[[#This Row],[Проверка отказа]]="отказ",0,MAX(Данные6[[#This Row],[interest_rate]],$C$1))</f>
        <v>0</v>
      </c>
      <c r="V731" s="2">
        <f>MROUND(Данные6[[#This Row],[Минимум 20000]], 100)</f>
        <v>0</v>
      </c>
    </row>
    <row r="732" spans="1:22" x14ac:dyDescent="0.25">
      <c r="A732" s="2">
        <f>'1000_заявлений'!A726</f>
        <v>724</v>
      </c>
      <c r="B732" s="4">
        <f>VALUE(SUBSTITUTE('1000_заявлений'!B726, ".", ","))</f>
        <v>0.27053356642157</v>
      </c>
      <c r="C732" s="4">
        <f>VALUE(SUBSTITUTE('1000_заявлений'!C726, ".", ","))</f>
        <v>0.37456806483877803</v>
      </c>
      <c r="D732" s="4">
        <f>VALUE(SUBSTITUTE('1000_заявлений'!D726, ".", ","))</f>
        <v>0.78868079999999996</v>
      </c>
      <c r="E732" s="4">
        <f>VALUE(SUBSTITUTE('1000_заявлений'!E726, ".", ","))</f>
        <v>0.27538747000000002</v>
      </c>
      <c r="F732" s="5">
        <f>VALUE(SUBSTITUTE('1000_заявлений'!F726, ".", ","))</f>
        <v>-10318</v>
      </c>
      <c r="G732" s="5">
        <f>VALUE(SUBSTITUTE('1000_заявлений'!G726, ".", ","))</f>
        <v>-20654</v>
      </c>
      <c r="H732" s="5">
        <f>VALUE(SUBSTITUTE('1000_заявлений'!H726, ".", ","))</f>
        <v>-4097</v>
      </c>
      <c r="I732" s="4">
        <f>VALUE(SUBSTITUTE('1000_заявлений'!I726, ".", ","))</f>
        <v>6.4102564102564097E-2</v>
      </c>
      <c r="J732" s="4">
        <f>VALUE(SUBSTITUTE('1000_заявлений'!J726, ".", ","))</f>
        <v>10.6209759779781</v>
      </c>
      <c r="K732" s="5">
        <f>VALUE(SUBSTITUTE('1000_заявлений'!K726, ".", ","))</f>
        <v>365243</v>
      </c>
      <c r="L732" s="6">
        <f>VALUE(SUBSTITUTE('1000_заявлений'!L726, ".", ","))</f>
        <v>11250</v>
      </c>
      <c r="M732" s="2" t="str">
        <f>IF(Данные6[[#This Row],[proba]]&gt;$C$6, "отказ", "одобрение")</f>
        <v>одобрение</v>
      </c>
      <c r="N732" s="7">
        <f>IF(Данные6[[#This Row],[proba]]&lt;$D$2,$C$2,IF(Данные6[[#This Row],[proba]]&lt;$D$3,$C$3,IF(Данные6[[#This Row],[proba]]&gt;$C$6,0,$C$4)))</f>
        <v>50000</v>
      </c>
      <c r="O732" s="2">
        <f>IF(Данные6[[#This Row],[weighted_ext_score]]&gt;$O$1,MIN(Данные6[[#This Row],[Базовая сумма]]*$O$2,$C$2),IF(Данные6[[#This Row],[weighted_ext_score]]&lt;$O$3,Данные6[[#This Row],[Базовая сумма]]*$O$4,N732))</f>
        <v>40000</v>
      </c>
      <c r="P7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7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732" s="2">
        <f>ABS(Данные6[[#This Row],[days_birth]])/365.2425</f>
        <v>56.548731322340636</v>
      </c>
      <c r="S7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732" s="2">
        <f>IF(Данные6[[#This Row],[ interest_rate]]&gt;$T$1,Данные6[[#This Row],[days_birth4]]*$T$2,Данные6[[#This Row],[days_birth4]])</f>
        <v>50400</v>
      </c>
      <c r="U732" s="2">
        <f>IF(Данные6[[#This Row],[Проверка отказа]]="отказ",0,MAX(Данные6[[#This Row],[interest_rate]],$C$1))</f>
        <v>50400</v>
      </c>
      <c r="V732" s="2">
        <f>MROUND(Данные6[[#This Row],[Минимум 20000]], 100)</f>
        <v>50400</v>
      </c>
    </row>
    <row r="733" spans="1:22" x14ac:dyDescent="0.25">
      <c r="A733" s="2">
        <f>'1000_заявлений'!A727</f>
        <v>725</v>
      </c>
      <c r="B733" s="4">
        <f>VALUE(SUBSTITUTE('1000_заявлений'!B727, ".", ","))</f>
        <v>0.60377399100433304</v>
      </c>
      <c r="C733" s="4">
        <f>VALUE(SUBSTITUTE('1000_заявлений'!C727, ".", ","))</f>
        <v>0.274230194255972</v>
      </c>
      <c r="D733" s="4">
        <f>VALUE(SUBSTITUTE('1000_заявлений'!D727, ".", ","))</f>
        <v>0.22383131000000001</v>
      </c>
      <c r="E733" s="4">
        <f>VALUE(SUBSTITUTE('1000_заявлений'!E727, ".", ","))</f>
        <v>0.59584426999999995</v>
      </c>
      <c r="F733" s="5">
        <f>VALUE(SUBSTITUTE('1000_заявлений'!F727, ".", ","))</f>
        <v>-485</v>
      </c>
      <c r="G733" s="5">
        <f>VALUE(SUBSTITUTE('1000_заявлений'!G727, ".", ","))</f>
        <v>-19865</v>
      </c>
      <c r="H733" s="5">
        <f>VALUE(SUBSTITUTE('1000_заявлений'!H727, ".", ","))</f>
        <v>-3395</v>
      </c>
      <c r="I733" s="4">
        <f>VALUE(SUBSTITUTE('1000_заявлений'!I727, ".", ","))</f>
        <v>0.10444000000000001</v>
      </c>
      <c r="J733" s="4">
        <f>VALUE(SUBSTITUTE('1000_заявлений'!J727, ".", ","))</f>
        <v>2.84740809799204</v>
      </c>
      <c r="K733" s="5">
        <f>VALUE(SUBSTITUTE('1000_заявлений'!K727, ".", ","))</f>
        <v>-2228</v>
      </c>
      <c r="L733" s="6">
        <f>VALUE(SUBSTITUTE('1000_заявлений'!L727, ".", ","))</f>
        <v>23499</v>
      </c>
      <c r="M733" s="2" t="str">
        <f>IF(Данные6[[#This Row],[proba]]&gt;$C$6, "отказ", "одобрение")</f>
        <v>отказ</v>
      </c>
      <c r="N733" s="7">
        <f>IF(Данные6[[#This Row],[proba]]&lt;$D$2,$C$2,IF(Данные6[[#This Row],[proba]]&lt;$D$3,$C$3,IF(Данные6[[#This Row],[proba]]&gt;$C$6,0,$C$4)))</f>
        <v>0</v>
      </c>
      <c r="O733" s="2">
        <f>IF(Данные6[[#This Row],[weighted_ext_score]]&gt;$O$1,MIN(Данные6[[#This Row],[Базовая сумма]]*$O$2,$C$2),IF(Данные6[[#This Row],[weighted_ext_score]]&lt;$O$3,Данные6[[#This Row],[Базовая сумма]]*$O$4,N733))</f>
        <v>0</v>
      </c>
      <c r="P7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3" s="2">
        <f>ABS(Данные6[[#This Row],[days_birth]])/365.2425</f>
        <v>54.388522693826701</v>
      </c>
      <c r="S7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3" s="2">
        <f>IF(Данные6[[#This Row],[ interest_rate]]&gt;$T$1,Данные6[[#This Row],[days_birth4]]*$T$2,Данные6[[#This Row],[days_birth4]])</f>
        <v>0</v>
      </c>
      <c r="U733" s="2">
        <f>IF(Данные6[[#This Row],[Проверка отказа]]="отказ",0,MAX(Данные6[[#This Row],[interest_rate]],$C$1))</f>
        <v>0</v>
      </c>
      <c r="V733" s="2">
        <f>MROUND(Данные6[[#This Row],[Минимум 20000]], 100)</f>
        <v>0</v>
      </c>
    </row>
    <row r="734" spans="1:22" x14ac:dyDescent="0.25">
      <c r="A734" s="2">
        <f>'1000_заявлений'!A728</f>
        <v>726</v>
      </c>
      <c r="B734" s="4">
        <f>VALUE(SUBSTITUTE('1000_заявлений'!B728, ".", ","))</f>
        <v>0.76514554455072104</v>
      </c>
      <c r="C734" s="4">
        <f>VALUE(SUBSTITUTE('1000_заявлений'!C728, ".", ","))</f>
        <v>0.19854852122029201</v>
      </c>
      <c r="D734" s="4">
        <f>VALUE(SUBSTITUTE('1000_заявлений'!D728, ".", ","))</f>
        <v>0.28665247999999999</v>
      </c>
      <c r="E734" s="4">
        <f>VALUE(SUBSTITUTE('1000_заявлений'!E728, ".", ","))</f>
        <v>0.29248747000000003</v>
      </c>
      <c r="F734" s="5">
        <f>VALUE(SUBSTITUTE('1000_заявлений'!F728, ".", ","))</f>
        <v>-10186</v>
      </c>
      <c r="G734" s="5">
        <f>VALUE(SUBSTITUTE('1000_заявлений'!G728, ".", ","))</f>
        <v>-11100</v>
      </c>
      <c r="H734" s="5">
        <f>VALUE(SUBSTITUTE('1000_заявлений'!H728, ".", ","))</f>
        <v>-3574</v>
      </c>
      <c r="I734" s="4">
        <f>VALUE(SUBSTITUTE('1000_заявлений'!I728, ".", ","))</f>
        <v>0.2898</v>
      </c>
      <c r="J734" s="4">
        <f>VALUE(SUBSTITUTE('1000_заявлений'!J728, ".", ","))</f>
        <v>6.6044539963728299</v>
      </c>
      <c r="K734" s="5">
        <f>VALUE(SUBSTITUTE('1000_заявлений'!K728, ".", ","))</f>
        <v>-728</v>
      </c>
      <c r="L734" s="6">
        <f>VALUE(SUBSTITUTE('1000_заявлений'!L728, ".", ","))</f>
        <v>32602.5</v>
      </c>
      <c r="M734" s="2" t="str">
        <f>IF(Данные6[[#This Row],[proba]]&gt;$C$6, "отказ", "одобрение")</f>
        <v>отказ</v>
      </c>
      <c r="N734" s="7">
        <f>IF(Данные6[[#This Row],[proba]]&lt;$D$2,$C$2,IF(Данные6[[#This Row],[proba]]&lt;$D$3,$C$3,IF(Данные6[[#This Row],[proba]]&gt;$C$6,0,$C$4)))</f>
        <v>0</v>
      </c>
      <c r="O734" s="2">
        <f>IF(Данные6[[#This Row],[weighted_ext_score]]&gt;$O$1,MIN(Данные6[[#This Row],[Базовая сумма]]*$O$2,$C$2),IF(Данные6[[#This Row],[weighted_ext_score]]&lt;$O$3,Данные6[[#This Row],[Базовая сумма]]*$O$4,N734))</f>
        <v>0</v>
      </c>
      <c r="P7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4" s="2">
        <f>ABS(Данные6[[#This Row],[days_birth]])/365.2425</f>
        <v>30.390767777572435</v>
      </c>
      <c r="S7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4" s="2">
        <f>IF(Данные6[[#This Row],[ interest_rate]]&gt;$T$1,Данные6[[#This Row],[days_birth4]]*$T$2,Данные6[[#This Row],[days_birth4]])</f>
        <v>0</v>
      </c>
      <c r="U734" s="2">
        <f>IF(Данные6[[#This Row],[Проверка отказа]]="отказ",0,MAX(Данные6[[#This Row],[interest_rate]],$C$1))</f>
        <v>0</v>
      </c>
      <c r="V734" s="2">
        <f>MROUND(Данные6[[#This Row],[Минимум 20000]], 100)</f>
        <v>0</v>
      </c>
    </row>
    <row r="735" spans="1:22" x14ac:dyDescent="0.25">
      <c r="A735" s="2">
        <f>'1000_заявлений'!A729</f>
        <v>727</v>
      </c>
      <c r="B735" s="4">
        <f>VALUE(SUBSTITUTE('1000_заявлений'!B729, ".", ","))</f>
        <v>0.59245704002718302</v>
      </c>
      <c r="C735" s="4">
        <f>VALUE(SUBSTITUTE('1000_заявлений'!C729, ".", ","))</f>
        <v>0.269292775980494</v>
      </c>
      <c r="D735" s="4">
        <f>VALUE(SUBSTITUTE('1000_заявлений'!D729, ".", ","))</f>
        <v>0.22383131000000001</v>
      </c>
      <c r="E735" s="4">
        <f>VALUE(SUBSTITUTE('1000_заявлений'!E729, ".", ","))</f>
        <v>0.58062303000000004</v>
      </c>
      <c r="F735" s="5">
        <f>VALUE(SUBSTITUTE('1000_заявлений'!F729, ".", ","))</f>
        <v>-2093</v>
      </c>
      <c r="G735" s="5">
        <f>VALUE(SUBSTITUTE('1000_заявлений'!G729, ".", ","))</f>
        <v>-20404</v>
      </c>
      <c r="H735" s="5">
        <f>VALUE(SUBSTITUTE('1000_заявлений'!H729, ".", ","))</f>
        <v>-3866</v>
      </c>
      <c r="I735" s="4">
        <f>VALUE(SUBSTITUTE('1000_заявлений'!I729, ".", ","))</f>
        <v>0.30339285714285702</v>
      </c>
      <c r="J735" s="4">
        <f>VALUE(SUBSTITUTE('1000_заявлений'!J729, ".", ","))</f>
        <v>3.9520465250563999</v>
      </c>
      <c r="K735" s="5">
        <f>VALUE(SUBSTITUTE('1000_заявлений'!K729, ".", ","))</f>
        <v>365243</v>
      </c>
      <c r="L735" s="6">
        <f>VALUE(SUBSTITUTE('1000_заявлений'!L729, ".", ","))</f>
        <v>38227.5</v>
      </c>
      <c r="M735" s="2" t="str">
        <f>IF(Данные6[[#This Row],[proba]]&gt;$C$6, "отказ", "одобрение")</f>
        <v>отказ</v>
      </c>
      <c r="N735" s="7">
        <f>IF(Данные6[[#This Row],[proba]]&lt;$D$2,$C$2,IF(Данные6[[#This Row],[proba]]&lt;$D$3,$C$3,IF(Данные6[[#This Row],[proba]]&gt;$C$6,0,$C$4)))</f>
        <v>0</v>
      </c>
      <c r="O735" s="2">
        <f>IF(Данные6[[#This Row],[weighted_ext_score]]&gt;$O$1,MIN(Данные6[[#This Row],[Базовая сумма]]*$O$2,$C$2),IF(Данные6[[#This Row],[weighted_ext_score]]&lt;$O$3,Данные6[[#This Row],[Базовая сумма]]*$O$4,N735))</f>
        <v>0</v>
      </c>
      <c r="P7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5" s="2">
        <f>ABS(Данные6[[#This Row],[days_birth]])/365.2425</f>
        <v>55.864254570593509</v>
      </c>
      <c r="S7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5" s="2">
        <f>IF(Данные6[[#This Row],[ interest_rate]]&gt;$T$1,Данные6[[#This Row],[days_birth4]]*$T$2,Данные6[[#This Row],[days_birth4]])</f>
        <v>0</v>
      </c>
      <c r="U735" s="2">
        <f>IF(Данные6[[#This Row],[Проверка отказа]]="отказ",0,MAX(Данные6[[#This Row],[interest_rate]],$C$1))</f>
        <v>0</v>
      </c>
      <c r="V735" s="2">
        <f>MROUND(Данные6[[#This Row],[Минимум 20000]], 100)</f>
        <v>0</v>
      </c>
    </row>
    <row r="736" spans="1:22" x14ac:dyDescent="0.25">
      <c r="A736" s="2">
        <f>'1000_заявлений'!A730</f>
        <v>728</v>
      </c>
      <c r="B736" s="4">
        <f>VALUE(SUBSTITUTE('1000_заявлений'!B730, ".", ","))</f>
        <v>0.20384533489741399</v>
      </c>
      <c r="C736" s="4">
        <f>VALUE(SUBSTITUTE('1000_заявлений'!C730, ".", ","))</f>
        <v>0.62517191740354205</v>
      </c>
      <c r="D736" s="4">
        <f>VALUE(SUBSTITUTE('1000_заявлений'!D730, ".", ","))</f>
        <v>0.39621958000000002</v>
      </c>
      <c r="E736" s="4">
        <f>VALUE(SUBSTITUTE('1000_заявлений'!E730, ".", ","))</f>
        <v>0.68641540000000001</v>
      </c>
      <c r="F736" s="5">
        <f>VALUE(SUBSTITUTE('1000_заявлений'!F730, ".", ","))</f>
        <v>-3304</v>
      </c>
      <c r="G736" s="5">
        <f>VALUE(SUBSTITUTE('1000_заявлений'!G730, ".", ","))</f>
        <v>-22845</v>
      </c>
      <c r="H736" s="5">
        <f>VALUE(SUBSTITUTE('1000_заявлений'!H730, ".", ","))</f>
        <v>-3533</v>
      </c>
      <c r="I736" s="4">
        <f>VALUE(SUBSTITUTE('1000_заявлений'!I730, ".", ","))</f>
        <v>0.23244444444444401</v>
      </c>
      <c r="J736" s="4">
        <f>VALUE(SUBSTITUTE('1000_заявлений'!J730, ".", ","))</f>
        <v>19.7106874140466</v>
      </c>
      <c r="K736" s="5">
        <f>VALUE(SUBSTITUTE('1000_заявлений'!K730, ".", ","))</f>
        <v>365243</v>
      </c>
      <c r="L736" s="6">
        <f>VALUE(SUBSTITUTE('1000_заявлений'!L730, ".", ","))</f>
        <v>28242</v>
      </c>
      <c r="M736" s="2" t="str">
        <f>IF(Данные6[[#This Row],[proba]]&gt;$C$6, "отказ", "одобрение")</f>
        <v>одобрение</v>
      </c>
      <c r="N736" s="7">
        <f>IF(Данные6[[#This Row],[proba]]&lt;$D$2,$C$2,IF(Данные6[[#This Row],[proba]]&lt;$D$3,$C$3,IF(Данные6[[#This Row],[proba]]&gt;$C$6,0,$C$4)))</f>
        <v>50000</v>
      </c>
      <c r="O736" s="2">
        <f>IF(Данные6[[#This Row],[weighted_ext_score]]&gt;$O$1,MIN(Данные6[[#This Row],[Базовая сумма]]*$O$2,$C$2),IF(Данные6[[#This Row],[weighted_ext_score]]&lt;$O$3,Данные6[[#This Row],[Базовая сумма]]*$O$4,N736))</f>
        <v>50000</v>
      </c>
      <c r="P7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736" s="2">
        <f>ABS(Данные6[[#This Row],[days_birth]])/365.2425</f>
        <v>62.547485574652455</v>
      </c>
      <c r="S7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736" s="2">
        <f>IF(Данные6[[#This Row],[ interest_rate]]&gt;$T$1,Данные6[[#This Row],[days_birth4]]*$T$2,Данные6[[#This Row],[days_birth4]])</f>
        <v>52500</v>
      </c>
      <c r="U736" s="2">
        <f>IF(Данные6[[#This Row],[Проверка отказа]]="отказ",0,MAX(Данные6[[#This Row],[interest_rate]],$C$1))</f>
        <v>52500</v>
      </c>
      <c r="V736" s="2">
        <f>MROUND(Данные6[[#This Row],[Минимум 20000]], 100)</f>
        <v>52500</v>
      </c>
    </row>
    <row r="737" spans="1:22" x14ac:dyDescent="0.25">
      <c r="A737" s="2">
        <f>'1000_заявлений'!A731</f>
        <v>729</v>
      </c>
      <c r="B737" s="4">
        <f>VALUE(SUBSTITUTE('1000_заявлений'!B731, ".", ","))</f>
        <v>0.39939260091114398</v>
      </c>
      <c r="C737" s="4">
        <f>VALUE(SUBSTITUTE('1000_заявлений'!C731, ".", ","))</f>
        <v>0.39647205854911699</v>
      </c>
      <c r="D737" s="4">
        <f>VALUE(SUBSTITUTE('1000_заявлений'!D731, ".", ","))</f>
        <v>0.47045611999999998</v>
      </c>
      <c r="E737" s="4">
        <f>VALUE(SUBSTITUTE('1000_заявлений'!E731, ".", ","))</f>
        <v>0.69772005000000004</v>
      </c>
      <c r="F737" s="5">
        <f>VALUE(SUBSTITUTE('1000_заявлений'!F731, ".", ","))</f>
        <v>-8350</v>
      </c>
      <c r="G737" s="5">
        <f>VALUE(SUBSTITUTE('1000_заявлений'!G731, ".", ","))</f>
        <v>-18381</v>
      </c>
      <c r="H737" s="5">
        <f>VALUE(SUBSTITUTE('1000_заявлений'!H731, ".", ","))</f>
        <v>-1914</v>
      </c>
      <c r="I737" s="4">
        <f>VALUE(SUBSTITUTE('1000_заявлений'!I731, ".", ","))</f>
        <v>0.17749999999999999</v>
      </c>
      <c r="J737" s="4">
        <f>VALUE(SUBSTITUTE('1000_заявлений'!J731, ".", ","))</f>
        <v>3.1874551089236598</v>
      </c>
      <c r="K737" s="5">
        <f>VALUE(SUBSTITUTE('1000_заявлений'!K731, ".", ","))</f>
        <v>-2451</v>
      </c>
      <c r="L737" s="6">
        <f>VALUE(SUBSTITUTE('1000_заявлений'!L731, ".", ","))</f>
        <v>14377.5</v>
      </c>
      <c r="M737" s="2" t="str">
        <f>IF(Данные6[[#This Row],[proba]]&gt;$C$6, "отказ", "одобрение")</f>
        <v>отказ</v>
      </c>
      <c r="N737" s="7">
        <f>IF(Данные6[[#This Row],[proba]]&lt;$D$2,$C$2,IF(Данные6[[#This Row],[proba]]&lt;$D$3,$C$3,IF(Данные6[[#This Row],[proba]]&gt;$C$6,0,$C$4)))</f>
        <v>0</v>
      </c>
      <c r="O737" s="2">
        <f>IF(Данные6[[#This Row],[weighted_ext_score]]&gt;$O$1,MIN(Данные6[[#This Row],[Базовая сумма]]*$O$2,$C$2),IF(Данные6[[#This Row],[weighted_ext_score]]&lt;$O$3,Данные6[[#This Row],[Базовая сумма]]*$O$4,N737))</f>
        <v>0</v>
      </c>
      <c r="P7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7" s="2">
        <f>ABS(Данные6[[#This Row],[days_birth]])/365.2425</f>
        <v>50.325468695455761</v>
      </c>
      <c r="S7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7" s="2">
        <f>IF(Данные6[[#This Row],[ interest_rate]]&gt;$T$1,Данные6[[#This Row],[days_birth4]]*$T$2,Данные6[[#This Row],[days_birth4]])</f>
        <v>0</v>
      </c>
      <c r="U737" s="2">
        <f>IF(Данные6[[#This Row],[Проверка отказа]]="отказ",0,MAX(Данные6[[#This Row],[interest_rate]],$C$1))</f>
        <v>0</v>
      </c>
      <c r="V737" s="2">
        <f>MROUND(Данные6[[#This Row],[Минимум 20000]], 100)</f>
        <v>0</v>
      </c>
    </row>
    <row r="738" spans="1:22" x14ac:dyDescent="0.25">
      <c r="A738" s="2">
        <f>'1000_заявлений'!A732</f>
        <v>730</v>
      </c>
      <c r="B738" s="4">
        <f>VALUE(SUBSTITUTE('1000_заявлений'!B732, ".", ","))</f>
        <v>0.65355634443979704</v>
      </c>
      <c r="C738" s="4">
        <f>VALUE(SUBSTITUTE('1000_заявлений'!C732, ".", ","))</f>
        <v>0.285159967618212</v>
      </c>
      <c r="D738" s="4">
        <f>VALUE(SUBSTITUTE('1000_заявлений'!D732, ".", ","))</f>
        <v>0.37064964</v>
      </c>
      <c r="E738" s="4">
        <f>VALUE(SUBSTITUTE('1000_заявлений'!E732, ".", ","))</f>
        <v>0.17801584000000001</v>
      </c>
      <c r="F738" s="5">
        <f>VALUE(SUBSTITUTE('1000_заявлений'!F732, ".", ","))</f>
        <v>-1301</v>
      </c>
      <c r="G738" s="5">
        <f>VALUE(SUBSTITUTE('1000_заявлений'!G732, ".", ","))</f>
        <v>-22104</v>
      </c>
      <c r="H738" s="5">
        <f>VALUE(SUBSTITUTE('1000_заявлений'!H732, ".", ","))</f>
        <v>-4908</v>
      </c>
      <c r="I738" s="4">
        <f>VALUE(SUBSTITUTE('1000_заявлений'!I732, ".", ","))</f>
        <v>0.320815384615384</v>
      </c>
      <c r="J738" s="4">
        <f>VALUE(SUBSTITUTE('1000_заявлений'!J732, ".", ","))</f>
        <v>5.17302065389873</v>
      </c>
      <c r="K738" s="5">
        <f>VALUE(SUBSTITUTE('1000_заявлений'!K732, ".", ","))</f>
        <v>-3702</v>
      </c>
      <c r="L738" s="6">
        <f>VALUE(SUBSTITUTE('1000_заявлений'!L732, ".", ","))</f>
        <v>93838.5</v>
      </c>
      <c r="M738" s="2" t="str">
        <f>IF(Данные6[[#This Row],[proba]]&gt;$C$6, "отказ", "одобрение")</f>
        <v>отказ</v>
      </c>
      <c r="N738" s="7">
        <f>IF(Данные6[[#This Row],[proba]]&lt;$D$2,$C$2,IF(Данные6[[#This Row],[proba]]&lt;$D$3,$C$3,IF(Данные6[[#This Row],[proba]]&gt;$C$6,0,$C$4)))</f>
        <v>0</v>
      </c>
      <c r="O738" s="2">
        <f>IF(Данные6[[#This Row],[weighted_ext_score]]&gt;$O$1,MIN(Данные6[[#This Row],[Базовая сумма]]*$O$2,$C$2),IF(Данные6[[#This Row],[weighted_ext_score]]&lt;$O$3,Данные6[[#This Row],[Базовая сумма]]*$O$4,N738))</f>
        <v>0</v>
      </c>
      <c r="P7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38" s="2">
        <f>ABS(Данные6[[#This Row],[days_birth]])/365.2425</f>
        <v>60.51869648247397</v>
      </c>
      <c r="S7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38" s="2">
        <f>IF(Данные6[[#This Row],[ interest_rate]]&gt;$T$1,Данные6[[#This Row],[days_birth4]]*$T$2,Данные6[[#This Row],[days_birth4]])</f>
        <v>0</v>
      </c>
      <c r="U738" s="2">
        <f>IF(Данные6[[#This Row],[Проверка отказа]]="отказ",0,MAX(Данные6[[#This Row],[interest_rate]],$C$1))</f>
        <v>0</v>
      </c>
      <c r="V738" s="2">
        <f>MROUND(Данные6[[#This Row],[Минимум 20000]], 100)</f>
        <v>0</v>
      </c>
    </row>
    <row r="739" spans="1:22" x14ac:dyDescent="0.25">
      <c r="A739" s="2">
        <f>'1000_заявлений'!A733</f>
        <v>731</v>
      </c>
      <c r="B739" s="4">
        <f>VALUE(SUBSTITUTE('1000_заявлений'!B733, ".", ","))</f>
        <v>0.23738377613779499</v>
      </c>
      <c r="C739" s="4">
        <f>VALUE(SUBSTITUTE('1000_заявлений'!C733, ".", ","))</f>
        <v>0.45639161820069701</v>
      </c>
      <c r="D739" s="4">
        <f>VALUE(SUBSTITUTE('1000_заявлений'!D733, ".", ","))</f>
        <v>0.74630019999999997</v>
      </c>
      <c r="E739" s="4">
        <f>VALUE(SUBSTITUTE('1000_заявлений'!E733, ".", ","))</f>
        <v>0.57488835000000005</v>
      </c>
      <c r="F739" s="5">
        <f>VALUE(SUBSTITUTE('1000_заявлений'!F733, ".", ","))</f>
        <v>-8822</v>
      </c>
      <c r="G739" s="5">
        <f>VALUE(SUBSTITUTE('1000_заявлений'!G733, ".", ","))</f>
        <v>-16229</v>
      </c>
      <c r="H739" s="5">
        <f>VALUE(SUBSTITUTE('1000_заявлений'!H733, ".", ","))</f>
        <v>-4426</v>
      </c>
      <c r="I739" s="4">
        <f>VALUE(SUBSTITUTE('1000_заявлений'!I733, ".", ","))</f>
        <v>0.15</v>
      </c>
      <c r="J739" s="4">
        <f>VALUE(SUBSTITUTE('1000_заявлений'!J733, ".", ","))</f>
        <v>10.6209759779781</v>
      </c>
      <c r="K739" s="5">
        <f>VALUE(SUBSTITUTE('1000_заявлений'!K733, ".", ","))</f>
        <v>-534</v>
      </c>
      <c r="L739" s="6">
        <f>VALUE(SUBSTITUTE('1000_заявлений'!L733, ".", ","))</f>
        <v>13500</v>
      </c>
      <c r="M739" s="2" t="str">
        <f>IF(Данные6[[#This Row],[proba]]&gt;$C$6, "отказ", "одобрение")</f>
        <v>одобрение</v>
      </c>
      <c r="N739" s="7">
        <f>IF(Данные6[[#This Row],[proba]]&lt;$D$2,$C$2,IF(Данные6[[#This Row],[proba]]&lt;$D$3,$C$3,IF(Данные6[[#This Row],[proba]]&gt;$C$6,0,$C$4)))</f>
        <v>50000</v>
      </c>
      <c r="O739" s="2">
        <f>IF(Данные6[[#This Row],[weighted_ext_score]]&gt;$O$1,MIN(Данные6[[#This Row],[Базовая сумма]]*$O$2,$C$2),IF(Данные6[[#This Row],[weighted_ext_score]]&lt;$O$3,Данные6[[#This Row],[Базовая сумма]]*$O$4,N739))</f>
        <v>40000</v>
      </c>
      <c r="P7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739" s="2">
        <f>ABS(Данные6[[#This Row],[days_birth]])/365.2425</f>
        <v>44.433492816416489</v>
      </c>
      <c r="S7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739" s="2">
        <f>IF(Данные6[[#This Row],[ interest_rate]]&gt;$T$1,Данные6[[#This Row],[days_birth4]]*$T$2,Данные6[[#This Row],[days_birth4]])</f>
        <v>28000</v>
      </c>
      <c r="U739" s="2">
        <f>IF(Данные6[[#This Row],[Проверка отказа]]="отказ",0,MAX(Данные6[[#This Row],[interest_rate]],$C$1))</f>
        <v>28000</v>
      </c>
      <c r="V739" s="2">
        <f>MROUND(Данные6[[#This Row],[Минимум 20000]], 100)</f>
        <v>28000</v>
      </c>
    </row>
    <row r="740" spans="1:22" x14ac:dyDescent="0.25">
      <c r="A740" s="2">
        <f>'1000_заявлений'!A734</f>
        <v>732</v>
      </c>
      <c r="B740" s="4">
        <f>VALUE(SUBSTITUTE('1000_заявлений'!B734, ".", ","))</f>
        <v>0.45739482358425498</v>
      </c>
      <c r="C740" s="4">
        <f>VALUE(SUBSTITUTE('1000_заявлений'!C734, ".", ","))</f>
        <v>0.21525730565659101</v>
      </c>
      <c r="D740" s="4">
        <f>VALUE(SUBSTITUTE('1000_заявлений'!D734, ".", ","))</f>
        <v>0.53527623000000002</v>
      </c>
      <c r="E740" s="4">
        <f>VALUE(SUBSTITUTE('1000_заявлений'!E734, ".", ","))</f>
        <v>0.66360249999999998</v>
      </c>
      <c r="F740" s="5">
        <f>VALUE(SUBSTITUTE('1000_заявлений'!F734, ".", ","))</f>
        <v>-8661</v>
      </c>
      <c r="G740" s="5">
        <f>VALUE(SUBSTITUTE('1000_заявлений'!G734, ".", ","))</f>
        <v>-16007</v>
      </c>
      <c r="H740" s="5">
        <f>VALUE(SUBSTITUTE('1000_заявлений'!H734, ".", ","))</f>
        <v>-4426</v>
      </c>
      <c r="I740" s="4">
        <f>VALUE(SUBSTITUTE('1000_заявлений'!I734, ".", ","))</f>
        <v>0.19420000000000001</v>
      </c>
      <c r="J740" s="4">
        <f>VALUE(SUBSTITUTE('1000_заявлений'!J734, ".", ","))</f>
        <v>2.7268436150310298</v>
      </c>
      <c r="K740" s="5">
        <f>VALUE(SUBSTITUTE('1000_заявлений'!K734, ".", ","))</f>
        <v>-1192</v>
      </c>
      <c r="L740" s="6">
        <f>VALUE(SUBSTITUTE('1000_заявлений'!L734, ".", ","))</f>
        <v>26217</v>
      </c>
      <c r="M740" s="2" t="str">
        <f>IF(Данные6[[#This Row],[proba]]&gt;$C$6, "отказ", "одобрение")</f>
        <v>отказ</v>
      </c>
      <c r="N740" s="7">
        <f>IF(Данные6[[#This Row],[proba]]&lt;$D$2,$C$2,IF(Данные6[[#This Row],[proba]]&lt;$D$3,$C$3,IF(Данные6[[#This Row],[proba]]&gt;$C$6,0,$C$4)))</f>
        <v>0</v>
      </c>
      <c r="O740" s="2">
        <f>IF(Данные6[[#This Row],[weighted_ext_score]]&gt;$O$1,MIN(Данные6[[#This Row],[Базовая сумма]]*$O$2,$C$2),IF(Данные6[[#This Row],[weighted_ext_score]]&lt;$O$3,Данные6[[#This Row],[Базовая сумма]]*$O$4,N740))</f>
        <v>0</v>
      </c>
      <c r="P7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0" s="2">
        <f>ABS(Данные6[[#This Row],[days_birth]])/365.2425</f>
        <v>43.825677460865037</v>
      </c>
      <c r="S7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0" s="2">
        <f>IF(Данные6[[#This Row],[ interest_rate]]&gt;$T$1,Данные6[[#This Row],[days_birth4]]*$T$2,Данные6[[#This Row],[days_birth4]])</f>
        <v>0</v>
      </c>
      <c r="U740" s="2">
        <f>IF(Данные6[[#This Row],[Проверка отказа]]="отказ",0,MAX(Данные6[[#This Row],[interest_rate]],$C$1))</f>
        <v>0</v>
      </c>
      <c r="V740" s="2">
        <f>MROUND(Данные6[[#This Row],[Минимум 20000]], 100)</f>
        <v>0</v>
      </c>
    </row>
    <row r="741" spans="1:22" x14ac:dyDescent="0.25">
      <c r="A741" s="2">
        <f>'1000_заявлений'!A735</f>
        <v>733</v>
      </c>
      <c r="B741" s="4">
        <f>VALUE(SUBSTITUTE('1000_заявлений'!B735, ".", ","))</f>
        <v>0.43144124170225001</v>
      </c>
      <c r="C741" s="4">
        <f>VALUE(SUBSTITUTE('1000_заявлений'!C735, ".", ","))</f>
        <v>0.38880885998043402</v>
      </c>
      <c r="D741" s="4">
        <f>VALUE(SUBSTITUTE('1000_заявлений'!D735, ".", ","))</f>
        <v>0.35729327999999999</v>
      </c>
      <c r="E741" s="4">
        <f>VALUE(SUBSTITUTE('1000_заявлений'!E735, ".", ","))</f>
        <v>0.80026715999999998</v>
      </c>
      <c r="F741" s="5">
        <f>VALUE(SUBSTITUTE('1000_заявлений'!F735, ".", ","))</f>
        <v>-9223</v>
      </c>
      <c r="G741" s="5">
        <f>VALUE(SUBSTITUTE('1000_заявлений'!G735, ".", ","))</f>
        <v>-16767</v>
      </c>
      <c r="H741" s="5">
        <f>VALUE(SUBSTITUTE('1000_заявлений'!H735, ".", ","))</f>
        <v>-314</v>
      </c>
      <c r="I741" s="4">
        <f>VALUE(SUBSTITUTE('1000_заявлений'!I735, ".", ","))</f>
        <v>0.16500000000000001</v>
      </c>
      <c r="J741" s="4">
        <f>VALUE(SUBSTITUTE('1000_заявлений'!J735, ".", ","))</f>
        <v>2.3444577000926299</v>
      </c>
      <c r="K741" s="5">
        <f>VALUE(SUBSTITUTE('1000_заявлений'!K735, ".", ","))</f>
        <v>-10090</v>
      </c>
      <c r="L741" s="6">
        <f>VALUE(SUBSTITUTE('1000_заявлений'!L735, ".", ","))</f>
        <v>33412.5</v>
      </c>
      <c r="M741" s="2" t="str">
        <f>IF(Данные6[[#This Row],[proba]]&gt;$C$6, "отказ", "одобрение")</f>
        <v>отказ</v>
      </c>
      <c r="N741" s="7">
        <f>IF(Данные6[[#This Row],[proba]]&lt;$D$2,$C$2,IF(Данные6[[#This Row],[proba]]&lt;$D$3,$C$3,IF(Данные6[[#This Row],[proba]]&gt;$C$6,0,$C$4)))</f>
        <v>0</v>
      </c>
      <c r="O741" s="2">
        <f>IF(Данные6[[#This Row],[weighted_ext_score]]&gt;$O$1,MIN(Данные6[[#This Row],[Базовая сумма]]*$O$2,$C$2),IF(Данные6[[#This Row],[weighted_ext_score]]&lt;$O$3,Данные6[[#This Row],[Базовая сумма]]*$O$4,N741))</f>
        <v>0</v>
      </c>
      <c r="P7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1" s="2">
        <f>ABS(Данные6[[#This Row],[days_birth]])/365.2425</f>
        <v>45.906486786176309</v>
      </c>
      <c r="S7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1" s="2">
        <f>IF(Данные6[[#This Row],[ interest_rate]]&gt;$T$1,Данные6[[#This Row],[days_birth4]]*$T$2,Данные6[[#This Row],[days_birth4]])</f>
        <v>0</v>
      </c>
      <c r="U741" s="2">
        <f>IF(Данные6[[#This Row],[Проверка отказа]]="отказ",0,MAX(Данные6[[#This Row],[interest_rate]],$C$1))</f>
        <v>0</v>
      </c>
      <c r="V741" s="2">
        <f>MROUND(Данные6[[#This Row],[Минимум 20000]], 100)</f>
        <v>0</v>
      </c>
    </row>
    <row r="742" spans="1:22" x14ac:dyDescent="0.25">
      <c r="A742" s="2">
        <f>'1000_заявлений'!A736</f>
        <v>734</v>
      </c>
      <c r="B742" s="4">
        <f>VALUE(SUBSTITUTE('1000_заявлений'!B736, ".", ","))</f>
        <v>0.625232110388242</v>
      </c>
      <c r="C742" s="4">
        <f>VALUE(SUBSTITUTE('1000_заявлений'!C736, ".", ","))</f>
        <v>0.28123210008335497</v>
      </c>
      <c r="D742" s="4">
        <f>VALUE(SUBSTITUTE('1000_заявлений'!D736, ".", ","))</f>
        <v>0.13937578</v>
      </c>
      <c r="E742" s="4">
        <f>VALUE(SUBSTITUTE('1000_заявлений'!E736, ".", ","))</f>
        <v>0.71159410000000001</v>
      </c>
      <c r="F742" s="5">
        <f>VALUE(SUBSTITUTE('1000_заявлений'!F736, ".", ","))</f>
        <v>-772</v>
      </c>
      <c r="G742" s="5">
        <f>VALUE(SUBSTITUTE('1000_заявлений'!G736, ".", ","))</f>
        <v>-13234</v>
      </c>
      <c r="H742" s="5">
        <f>VALUE(SUBSTITUTE('1000_заявлений'!H736, ".", ","))</f>
        <v>-2460</v>
      </c>
      <c r="I742" s="4">
        <f>VALUE(SUBSTITUTE('1000_заявлений'!I736, ".", ","))</f>
        <v>5.9276923076922998E-2</v>
      </c>
      <c r="J742" s="4">
        <f>VALUE(SUBSTITUTE('1000_заявлений'!J736, ".", ","))</f>
        <v>5.25208506702592</v>
      </c>
      <c r="K742" s="5">
        <f>VALUE(SUBSTITUTE('1000_заявлений'!K736, ".", ","))</f>
        <v>-3111</v>
      </c>
      <c r="L742" s="6">
        <f>VALUE(SUBSTITUTE('1000_заявлений'!L736, ".", ","))</f>
        <v>17338.5</v>
      </c>
      <c r="M742" s="2" t="str">
        <f>IF(Данные6[[#This Row],[proba]]&gt;$C$6, "отказ", "одобрение")</f>
        <v>отказ</v>
      </c>
      <c r="N742" s="7">
        <f>IF(Данные6[[#This Row],[proba]]&lt;$D$2,$C$2,IF(Данные6[[#This Row],[proba]]&lt;$D$3,$C$3,IF(Данные6[[#This Row],[proba]]&gt;$C$6,0,$C$4)))</f>
        <v>0</v>
      </c>
      <c r="O742" s="2">
        <f>IF(Данные6[[#This Row],[weighted_ext_score]]&gt;$O$1,MIN(Данные6[[#This Row],[Базовая сумма]]*$O$2,$C$2),IF(Данные6[[#This Row],[weighted_ext_score]]&lt;$O$3,Данные6[[#This Row],[Базовая сумма]]*$O$4,N742))</f>
        <v>0</v>
      </c>
      <c r="P7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2" s="2">
        <f>ABS(Данные6[[#This Row],[days_birth]])/365.2425</f>
        <v>36.233461330485909</v>
      </c>
      <c r="S7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2" s="2">
        <f>IF(Данные6[[#This Row],[ interest_rate]]&gt;$T$1,Данные6[[#This Row],[days_birth4]]*$T$2,Данные6[[#This Row],[days_birth4]])</f>
        <v>0</v>
      </c>
      <c r="U742" s="2">
        <f>IF(Данные6[[#This Row],[Проверка отказа]]="отказ",0,MAX(Данные6[[#This Row],[interest_rate]],$C$1))</f>
        <v>0</v>
      </c>
      <c r="V742" s="2">
        <f>MROUND(Данные6[[#This Row],[Минимум 20000]], 100)</f>
        <v>0</v>
      </c>
    </row>
    <row r="743" spans="1:22" x14ac:dyDescent="0.25">
      <c r="A743" s="2">
        <f>'1000_заявлений'!A737</f>
        <v>735</v>
      </c>
      <c r="B743" s="4">
        <f>VALUE(SUBSTITUTE('1000_заявлений'!B737, ".", ","))</f>
        <v>0.56239088869165199</v>
      </c>
      <c r="C743" s="4">
        <f>VALUE(SUBSTITUTE('1000_заявлений'!C737, ".", ","))</f>
        <v>0.28933124094962698</v>
      </c>
      <c r="D743" s="4">
        <f>VALUE(SUBSTITUTE('1000_заявлений'!D737, ".", ","))</f>
        <v>0.13851288</v>
      </c>
      <c r="E743" s="4">
        <f>VALUE(SUBSTITUTE('1000_заявлений'!E737, ".", ","))</f>
        <v>0.73752450000000003</v>
      </c>
      <c r="F743" s="5">
        <f>VALUE(SUBSTITUTE('1000_заявлений'!F737, ".", ","))</f>
        <v>-6659</v>
      </c>
      <c r="G743" s="5">
        <f>VALUE(SUBSTITUTE('1000_заявлений'!G737, ".", ","))</f>
        <v>-16856</v>
      </c>
      <c r="H743" s="5">
        <f>VALUE(SUBSTITUTE('1000_заявлений'!H737, ".", ","))</f>
        <v>-399</v>
      </c>
      <c r="I743" s="4">
        <f>VALUE(SUBSTITUTE('1000_заявлений'!I737, ".", ","))</f>
        <v>0.23830000000000001</v>
      </c>
      <c r="J743" s="4">
        <f>VALUE(SUBSTITUTE('1000_заявлений'!J737, ".", ","))</f>
        <v>18.459392406573102</v>
      </c>
      <c r="K743" s="5">
        <f>VALUE(SUBSTITUTE('1000_заявлений'!K737, ".", ","))</f>
        <v>-934</v>
      </c>
      <c r="L743" s="6">
        <f>VALUE(SUBSTITUTE('1000_заявлений'!L737, ".", ","))</f>
        <v>32170.5</v>
      </c>
      <c r="M743" s="2" t="str">
        <f>IF(Данные6[[#This Row],[proba]]&gt;$C$6, "отказ", "одобрение")</f>
        <v>отказ</v>
      </c>
      <c r="N743" s="7">
        <f>IF(Данные6[[#This Row],[proba]]&lt;$D$2,$C$2,IF(Данные6[[#This Row],[proba]]&lt;$D$3,$C$3,IF(Данные6[[#This Row],[proba]]&gt;$C$6,0,$C$4)))</f>
        <v>0</v>
      </c>
      <c r="O743" s="2">
        <f>IF(Данные6[[#This Row],[weighted_ext_score]]&gt;$O$1,MIN(Данные6[[#This Row],[Базовая сумма]]*$O$2,$C$2),IF(Данные6[[#This Row],[weighted_ext_score]]&lt;$O$3,Данные6[[#This Row],[Базовая сумма]]*$O$4,N743))</f>
        <v>0</v>
      </c>
      <c r="P7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3" s="2">
        <f>ABS(Данные6[[#This Row],[days_birth]])/365.2425</f>
        <v>46.150160509798283</v>
      </c>
      <c r="S7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3" s="2">
        <f>IF(Данные6[[#This Row],[ interest_rate]]&gt;$T$1,Данные6[[#This Row],[days_birth4]]*$T$2,Данные6[[#This Row],[days_birth4]])</f>
        <v>0</v>
      </c>
      <c r="U743" s="2">
        <f>IF(Данные6[[#This Row],[Проверка отказа]]="отказ",0,MAX(Данные6[[#This Row],[interest_rate]],$C$1))</f>
        <v>0</v>
      </c>
      <c r="V743" s="2">
        <f>MROUND(Данные6[[#This Row],[Минимум 20000]], 100)</f>
        <v>0</v>
      </c>
    </row>
    <row r="744" spans="1:22" x14ac:dyDescent="0.25">
      <c r="A744" s="2">
        <f>'1000_заявлений'!A738</f>
        <v>736</v>
      </c>
      <c r="B744" s="4">
        <f>VALUE(SUBSTITUTE('1000_заявлений'!B738, ".", ","))</f>
        <v>0.46791173617031601</v>
      </c>
      <c r="C744" s="4">
        <f>VALUE(SUBSTITUTE('1000_заявлений'!C738, ".", ","))</f>
        <v>0.34992685369878601</v>
      </c>
      <c r="D744" s="4">
        <f>VALUE(SUBSTITUTE('1000_заявлений'!D738, ".", ","))</f>
        <v>0.62630427</v>
      </c>
      <c r="E744" s="4">
        <f>VALUE(SUBSTITUTE('1000_заявлений'!E738, ".", ","))</f>
        <v>0.38046523999999998</v>
      </c>
      <c r="F744" s="5">
        <f>VALUE(SUBSTITUTE('1000_заявлений'!F738, ".", ","))</f>
        <v>-8434</v>
      </c>
      <c r="G744" s="5">
        <f>VALUE(SUBSTITUTE('1000_заявлений'!G738, ".", ","))</f>
        <v>-16182</v>
      </c>
      <c r="H744" s="5">
        <f>VALUE(SUBSTITUTE('1000_заявлений'!H738, ".", ","))</f>
        <v>-4705</v>
      </c>
      <c r="I744" s="4">
        <f>VALUE(SUBSTITUTE('1000_заявлений'!I738, ".", ","))</f>
        <v>0.28860000000000002</v>
      </c>
      <c r="J744" s="4">
        <f>VALUE(SUBSTITUTE('1000_заявлений'!J738, ".", ","))</f>
        <v>1.8684821377263201</v>
      </c>
      <c r="K744" s="5">
        <f>VALUE(SUBSTITUTE('1000_заявлений'!K738, ".", ","))</f>
        <v>-9275</v>
      </c>
      <c r="L744" s="6">
        <f>VALUE(SUBSTITUTE('1000_заявлений'!L738, ".", ","))</f>
        <v>51948</v>
      </c>
      <c r="M744" s="2" t="str">
        <f>IF(Данные6[[#This Row],[proba]]&gt;$C$6, "отказ", "одобрение")</f>
        <v>отказ</v>
      </c>
      <c r="N744" s="7">
        <f>IF(Данные6[[#This Row],[proba]]&lt;$D$2,$C$2,IF(Данные6[[#This Row],[proba]]&lt;$D$3,$C$3,IF(Данные6[[#This Row],[proba]]&gt;$C$6,0,$C$4)))</f>
        <v>0</v>
      </c>
      <c r="O744" s="2">
        <f>IF(Данные6[[#This Row],[weighted_ext_score]]&gt;$O$1,MIN(Данные6[[#This Row],[Базовая сумма]]*$O$2,$C$2),IF(Данные6[[#This Row],[weighted_ext_score]]&lt;$O$3,Данные6[[#This Row],[Базовая сумма]]*$O$4,N744))</f>
        <v>0</v>
      </c>
      <c r="P7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4" s="2">
        <f>ABS(Данные6[[#This Row],[days_birth]])/365.2425</f>
        <v>44.304811187088028</v>
      </c>
      <c r="S7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4" s="2">
        <f>IF(Данные6[[#This Row],[ interest_rate]]&gt;$T$1,Данные6[[#This Row],[days_birth4]]*$T$2,Данные6[[#This Row],[days_birth4]])</f>
        <v>0</v>
      </c>
      <c r="U744" s="2">
        <f>IF(Данные6[[#This Row],[Проверка отказа]]="отказ",0,MAX(Данные6[[#This Row],[interest_rate]],$C$1))</f>
        <v>0</v>
      </c>
      <c r="V744" s="2">
        <f>MROUND(Данные6[[#This Row],[Минимум 20000]], 100)</f>
        <v>0</v>
      </c>
    </row>
    <row r="745" spans="1:22" x14ac:dyDescent="0.25">
      <c r="A745" s="2">
        <f>'1000_заявлений'!A739</f>
        <v>737</v>
      </c>
      <c r="B745" s="4">
        <f>VALUE(SUBSTITUTE('1000_заявлений'!B739, ".", ","))</f>
        <v>0.67135282818277797</v>
      </c>
      <c r="C745" s="4">
        <f>VALUE(SUBSTITUTE('1000_заявлений'!C739, ".", ","))</f>
        <v>0.36316122833888398</v>
      </c>
      <c r="D745" s="4">
        <f>VALUE(SUBSTITUTE('1000_заявлений'!D739, ".", ","))</f>
        <v>0.15100753</v>
      </c>
      <c r="E745" s="4">
        <f>VALUE(SUBSTITUTE('1000_заявлений'!E739, ".", ","))</f>
        <v>0.42468785999999997</v>
      </c>
      <c r="F745" s="5">
        <f>VALUE(SUBSTITUTE('1000_заявлений'!F739, ".", ","))</f>
        <v>-6002</v>
      </c>
      <c r="G745" s="5">
        <f>VALUE(SUBSTITUTE('1000_заявлений'!G739, ".", ","))</f>
        <v>-18431</v>
      </c>
      <c r="H745" s="5">
        <f>VALUE(SUBSTITUTE('1000_заявлений'!H739, ".", ","))</f>
        <v>-1774</v>
      </c>
      <c r="I745" s="4">
        <f>VALUE(SUBSTITUTE('1000_заявлений'!I739, ".", ","))</f>
        <v>0.12144000000000001</v>
      </c>
      <c r="J745" s="4">
        <f>VALUE(SUBSTITUTE('1000_заявлений'!J739, ".", ","))</f>
        <v>4.3425486746510904</v>
      </c>
      <c r="K745" s="5">
        <f>VALUE(SUBSTITUTE('1000_заявлений'!K739, ".", ","))</f>
        <v>-1022</v>
      </c>
      <c r="L745" s="6">
        <f>VALUE(SUBSTITUTE('1000_заявлений'!L739, ".", ","))</f>
        <v>27324</v>
      </c>
      <c r="M745" s="2" t="str">
        <f>IF(Данные6[[#This Row],[proba]]&gt;$C$6, "отказ", "одобрение")</f>
        <v>отказ</v>
      </c>
      <c r="N745" s="7">
        <f>IF(Данные6[[#This Row],[proba]]&lt;$D$2,$C$2,IF(Данные6[[#This Row],[proba]]&lt;$D$3,$C$3,IF(Данные6[[#This Row],[proba]]&gt;$C$6,0,$C$4)))</f>
        <v>0</v>
      </c>
      <c r="O745" s="2">
        <f>IF(Данные6[[#This Row],[weighted_ext_score]]&gt;$O$1,MIN(Данные6[[#This Row],[Базовая сумма]]*$O$2,$C$2),IF(Данные6[[#This Row],[weighted_ext_score]]&lt;$O$3,Данные6[[#This Row],[Базовая сумма]]*$O$4,N745))</f>
        <v>0</v>
      </c>
      <c r="P7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5" s="2">
        <f>ABS(Данные6[[#This Row],[days_birth]])/365.2425</f>
        <v>50.462364045805181</v>
      </c>
      <c r="S7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5" s="2">
        <f>IF(Данные6[[#This Row],[ interest_rate]]&gt;$T$1,Данные6[[#This Row],[days_birth4]]*$T$2,Данные6[[#This Row],[days_birth4]])</f>
        <v>0</v>
      </c>
      <c r="U745" s="2">
        <f>IF(Данные6[[#This Row],[Проверка отказа]]="отказ",0,MAX(Данные6[[#This Row],[interest_rate]],$C$1))</f>
        <v>0</v>
      </c>
      <c r="V745" s="2">
        <f>MROUND(Данные6[[#This Row],[Минимум 20000]], 100)</f>
        <v>0</v>
      </c>
    </row>
    <row r="746" spans="1:22" x14ac:dyDescent="0.25">
      <c r="A746" s="2">
        <f>'1000_заявлений'!A740</f>
        <v>738</v>
      </c>
      <c r="B746" s="4">
        <f>VALUE(SUBSTITUTE('1000_заявлений'!B740, ".", ","))</f>
        <v>0.27354832032085802</v>
      </c>
      <c r="C746" s="4">
        <f>VALUE(SUBSTITUTE('1000_заявлений'!C740, ".", ","))</f>
        <v>0.42797220189900897</v>
      </c>
      <c r="D746" s="4">
        <f>VALUE(SUBSTITUTE('1000_заявлений'!D740, ".", ","))</f>
        <v>0.63470554000000001</v>
      </c>
      <c r="E746" s="4">
        <f>VALUE(SUBSTITUTE('1000_заявлений'!E740, ".", ","))</f>
        <v>0.61169903999999997</v>
      </c>
      <c r="F746" s="5">
        <f>VALUE(SUBSTITUTE('1000_заявлений'!F740, ".", ","))</f>
        <v>-9305</v>
      </c>
      <c r="G746" s="5">
        <f>VALUE(SUBSTITUTE('1000_заявлений'!G740, ".", ","))</f>
        <v>-23284</v>
      </c>
      <c r="H746" s="5">
        <f>VALUE(SUBSTITUTE('1000_заявлений'!H740, ".", ","))</f>
        <v>-4651</v>
      </c>
      <c r="I746" s="4">
        <f>VALUE(SUBSTITUTE('1000_заявлений'!I740, ".", ","))</f>
        <v>0.31972727272727203</v>
      </c>
      <c r="J746" s="4">
        <f>VALUE(SUBSTITUTE('1000_заявлений'!J740, ".", ","))</f>
        <v>1.83324182632016</v>
      </c>
      <c r="K746" s="5">
        <f>VALUE(SUBSTITUTE('1000_заявлений'!K740, ".", ","))</f>
        <v>365243</v>
      </c>
      <c r="L746" s="6">
        <f>VALUE(SUBSTITUTE('1000_заявлений'!L740, ".", ","))</f>
        <v>31653</v>
      </c>
      <c r="M746" s="2" t="str">
        <f>IF(Данные6[[#This Row],[proba]]&gt;$C$6, "отказ", "одобрение")</f>
        <v>одобрение</v>
      </c>
      <c r="N746" s="7">
        <f>IF(Данные6[[#This Row],[proba]]&lt;$D$2,$C$2,IF(Данные6[[#This Row],[proba]]&lt;$D$3,$C$3,IF(Данные6[[#This Row],[proba]]&gt;$C$6,0,$C$4)))</f>
        <v>50000</v>
      </c>
      <c r="O746" s="2">
        <f>IF(Данные6[[#This Row],[weighted_ext_score]]&gt;$O$1,MIN(Данные6[[#This Row],[Базовая сумма]]*$O$2,$C$2),IF(Данные6[[#This Row],[weighted_ext_score]]&lt;$O$3,Данные6[[#This Row],[Базовая сумма]]*$O$4,N746))</f>
        <v>40000</v>
      </c>
      <c r="P7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746" s="2">
        <f>ABS(Данные6[[#This Row],[days_birth]])/365.2425</f>
        <v>63.74942675072041</v>
      </c>
      <c r="S7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746" s="2">
        <f>IF(Данные6[[#This Row],[ interest_rate]]&gt;$T$1,Данные6[[#This Row],[days_birth4]]*$T$2,Данные6[[#This Row],[days_birth4]])</f>
        <v>42000</v>
      </c>
      <c r="U746" s="2">
        <f>IF(Данные6[[#This Row],[Проверка отказа]]="отказ",0,MAX(Данные6[[#This Row],[interest_rate]],$C$1))</f>
        <v>42000</v>
      </c>
      <c r="V746" s="2">
        <f>MROUND(Данные6[[#This Row],[Минимум 20000]], 100)</f>
        <v>42000</v>
      </c>
    </row>
    <row r="747" spans="1:22" x14ac:dyDescent="0.25">
      <c r="A747" s="2">
        <f>'1000_заявлений'!A741</f>
        <v>739</v>
      </c>
      <c r="B747" s="4">
        <f>VALUE(SUBSTITUTE('1000_заявлений'!B741, ".", ","))</f>
        <v>0.52994253062838603</v>
      </c>
      <c r="C747" s="4">
        <f>VALUE(SUBSTITUTE('1000_заявлений'!C741, ".", ","))</f>
        <v>0.332062563068932</v>
      </c>
      <c r="D747" s="4">
        <f>VALUE(SUBSTITUTE('1000_заявлений'!D741, ".", ","))</f>
        <v>0.62461465999999999</v>
      </c>
      <c r="E747" s="4">
        <f>VALUE(SUBSTITUTE('1000_заявлений'!E741, ".", ","))</f>
        <v>0.32727644</v>
      </c>
      <c r="F747" s="5">
        <f>VALUE(SUBSTITUTE('1000_заявлений'!F741, ".", ","))</f>
        <v>-4999</v>
      </c>
      <c r="G747" s="5">
        <f>VALUE(SUBSTITUTE('1000_заявлений'!G741, ".", ","))</f>
        <v>-18986</v>
      </c>
      <c r="H747" s="5">
        <f>VALUE(SUBSTITUTE('1000_заявлений'!H741, ".", ","))</f>
        <v>-2495</v>
      </c>
      <c r="I747" s="4">
        <f>VALUE(SUBSTITUTE('1000_заявлений'!I741, ".", ","))</f>
        <v>0.33023449950671602</v>
      </c>
      <c r="J747" s="4">
        <f>VALUE(SUBSTITUTE('1000_заявлений'!J741, ".", ","))</f>
        <v>1.94269357945608</v>
      </c>
      <c r="K747" s="5">
        <f>VALUE(SUBSTITUTE('1000_заявлений'!K741, ".", ","))</f>
        <v>-2331</v>
      </c>
      <c r="L747" s="6">
        <f>VALUE(SUBSTITUTE('1000_заявлений'!L741, ".", ","))</f>
        <v>39163.5</v>
      </c>
      <c r="M747" s="2" t="str">
        <f>IF(Данные6[[#This Row],[proba]]&gt;$C$6, "отказ", "одобрение")</f>
        <v>отказ</v>
      </c>
      <c r="N747" s="7">
        <f>IF(Данные6[[#This Row],[proba]]&lt;$D$2,$C$2,IF(Данные6[[#This Row],[proba]]&lt;$D$3,$C$3,IF(Данные6[[#This Row],[proba]]&gt;$C$6,0,$C$4)))</f>
        <v>0</v>
      </c>
      <c r="O747" s="2">
        <f>IF(Данные6[[#This Row],[weighted_ext_score]]&gt;$O$1,MIN(Данные6[[#This Row],[Базовая сумма]]*$O$2,$C$2),IF(Данные6[[#This Row],[weighted_ext_score]]&lt;$O$3,Данные6[[#This Row],[Базовая сумма]]*$O$4,N747))</f>
        <v>0</v>
      </c>
      <c r="P7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7" s="2">
        <f>ABS(Данные6[[#This Row],[days_birth]])/365.2425</f>
        <v>51.981902434683803</v>
      </c>
      <c r="S7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7" s="2">
        <f>IF(Данные6[[#This Row],[ interest_rate]]&gt;$T$1,Данные6[[#This Row],[days_birth4]]*$T$2,Данные6[[#This Row],[days_birth4]])</f>
        <v>0</v>
      </c>
      <c r="U747" s="2">
        <f>IF(Данные6[[#This Row],[Проверка отказа]]="отказ",0,MAX(Данные6[[#This Row],[interest_rate]],$C$1))</f>
        <v>0</v>
      </c>
      <c r="V747" s="2">
        <f>MROUND(Данные6[[#This Row],[Минимум 20000]], 100)</f>
        <v>0</v>
      </c>
    </row>
    <row r="748" spans="1:22" x14ac:dyDescent="0.25">
      <c r="A748" s="2">
        <f>'1000_заявлений'!A742</f>
        <v>740</v>
      </c>
      <c r="B748" s="4">
        <f>VALUE(SUBSTITUTE('1000_заявлений'!B742, ".", ","))</f>
        <v>0.52398763558959205</v>
      </c>
      <c r="C748" s="4">
        <f>VALUE(SUBSTITUTE('1000_заявлений'!C742, ".", ","))</f>
        <v>0.31117259288411198</v>
      </c>
      <c r="D748" s="4">
        <f>VALUE(SUBSTITUTE('1000_заявлений'!D742, ".", ","))</f>
        <v>0.3944954</v>
      </c>
      <c r="E748" s="4">
        <f>VALUE(SUBSTITUTE('1000_заявлений'!E742, ".", ","))</f>
        <v>0.51944875999999995</v>
      </c>
      <c r="F748" s="5">
        <f>VALUE(SUBSTITUTE('1000_заявлений'!F742, ".", ","))</f>
        <v>-6531</v>
      </c>
      <c r="G748" s="5">
        <f>VALUE(SUBSTITUTE('1000_заявлений'!G742, ".", ","))</f>
        <v>-19907</v>
      </c>
      <c r="H748" s="5">
        <f>VALUE(SUBSTITUTE('1000_заявлений'!H742, ".", ","))</f>
        <v>-3444</v>
      </c>
      <c r="I748" s="4">
        <f>VALUE(SUBSTITUTE('1000_заявлений'!I742, ".", ","))</f>
        <v>0.114489795918367</v>
      </c>
      <c r="J748" s="4">
        <f>VALUE(SUBSTITUTE('1000_заявлений'!J742, ".", ","))</f>
        <v>0.905065991676124</v>
      </c>
      <c r="K748" s="5">
        <f>VALUE(SUBSTITUTE('1000_заявлений'!K742, ".", ","))</f>
        <v>-1569</v>
      </c>
      <c r="L748" s="6">
        <f>VALUE(SUBSTITUTE('1000_заявлений'!L742, ".", ","))</f>
        <v>25245</v>
      </c>
      <c r="M748" s="2" t="str">
        <f>IF(Данные6[[#This Row],[proba]]&gt;$C$6, "отказ", "одобрение")</f>
        <v>отказ</v>
      </c>
      <c r="N748" s="7">
        <f>IF(Данные6[[#This Row],[proba]]&lt;$D$2,$C$2,IF(Данные6[[#This Row],[proba]]&lt;$D$3,$C$3,IF(Данные6[[#This Row],[proba]]&gt;$C$6,0,$C$4)))</f>
        <v>0</v>
      </c>
      <c r="O748" s="2">
        <f>IF(Данные6[[#This Row],[weighted_ext_score]]&gt;$O$1,MIN(Данные6[[#This Row],[Базовая сумма]]*$O$2,$C$2),IF(Данные6[[#This Row],[weighted_ext_score]]&lt;$O$3,Данные6[[#This Row],[Базовая сумма]]*$O$4,N748))</f>
        <v>0</v>
      </c>
      <c r="P7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48" s="2">
        <f>ABS(Данные6[[#This Row],[days_birth]])/365.2425</f>
        <v>54.503514788120221</v>
      </c>
      <c r="S7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48" s="2">
        <f>IF(Данные6[[#This Row],[ interest_rate]]&gt;$T$1,Данные6[[#This Row],[days_birth4]]*$T$2,Данные6[[#This Row],[days_birth4]])</f>
        <v>0</v>
      </c>
      <c r="U748" s="2">
        <f>IF(Данные6[[#This Row],[Проверка отказа]]="отказ",0,MAX(Данные6[[#This Row],[interest_rate]],$C$1))</f>
        <v>0</v>
      </c>
      <c r="V748" s="2">
        <f>MROUND(Данные6[[#This Row],[Минимум 20000]], 100)</f>
        <v>0</v>
      </c>
    </row>
    <row r="749" spans="1:22" x14ac:dyDescent="0.25">
      <c r="A749" s="2">
        <f>'1000_заявлений'!A743</f>
        <v>741</v>
      </c>
      <c r="B749" s="4">
        <f>VALUE(SUBSTITUTE('1000_заявлений'!B743, ".", ","))</f>
        <v>0.103519943951089</v>
      </c>
      <c r="C749" s="4">
        <f>VALUE(SUBSTITUTE('1000_заявлений'!C743, ".", ","))</f>
        <v>0.66970204496074404</v>
      </c>
      <c r="D749" s="4">
        <f>VALUE(SUBSTITUTE('1000_заявлений'!D743, ".", ","))</f>
        <v>0.72814129999999999</v>
      </c>
      <c r="E749" s="4">
        <f>VALUE(SUBSTITUTE('1000_заявлений'!E743, ".", ","))</f>
        <v>0.58326710000000004</v>
      </c>
      <c r="F749" s="5">
        <f>VALUE(SUBSTITUTE('1000_заявлений'!F743, ".", ","))</f>
        <v>-3678</v>
      </c>
      <c r="G749" s="5">
        <f>VALUE(SUBSTITUTE('1000_заявлений'!G743, ".", ","))</f>
        <v>-24822</v>
      </c>
      <c r="H749" s="5">
        <f>VALUE(SUBSTITUTE('1000_заявлений'!H743, ".", ","))</f>
        <v>-4342</v>
      </c>
      <c r="I749" s="4">
        <f>VALUE(SUBSTITUTE('1000_заявлений'!I743, ".", ","))</f>
        <v>0.1658</v>
      </c>
      <c r="J749" s="4">
        <f>VALUE(SUBSTITUTE('1000_заявлений'!J743, ".", ","))</f>
        <v>20.022106645230298</v>
      </c>
      <c r="K749" s="5">
        <f>VALUE(SUBSTITUTE('1000_заявлений'!K743, ".", ","))</f>
        <v>365243</v>
      </c>
      <c r="L749" s="6">
        <f>VALUE(SUBSTITUTE('1000_заявлений'!L743, ".", ","))</f>
        <v>22383</v>
      </c>
      <c r="M749" s="2" t="str">
        <f>IF(Данные6[[#This Row],[proba]]&gt;$C$6, "отказ", "одобрение")</f>
        <v>одобрение</v>
      </c>
      <c r="N749" s="7">
        <f>IF(Данные6[[#This Row],[proba]]&lt;$D$2,$C$2,IF(Данные6[[#This Row],[proba]]&lt;$D$3,$C$3,IF(Данные6[[#This Row],[proba]]&gt;$C$6,0,$C$4)))</f>
        <v>200000</v>
      </c>
      <c r="O749" s="2">
        <f>IF(Данные6[[#This Row],[weighted_ext_score]]&gt;$O$1,MIN(Данные6[[#This Row],[Базовая сумма]]*$O$2,$C$2),IF(Данные6[[#This Row],[weighted_ext_score]]&lt;$O$3,Данные6[[#This Row],[Базовая сумма]]*$O$4,N749))</f>
        <v>200000</v>
      </c>
      <c r="P7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749" s="2">
        <f>ABS(Данные6[[#This Row],[days_birth]])/365.2425</f>
        <v>67.960327727468737</v>
      </c>
      <c r="S7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749" s="2">
        <f>IF(Данные6[[#This Row],[ interest_rate]]&gt;$T$1,Данные6[[#This Row],[days_birth4]]*$T$2,Данные6[[#This Row],[days_birth4]])</f>
        <v>168000</v>
      </c>
      <c r="U749" s="2">
        <f>IF(Данные6[[#This Row],[Проверка отказа]]="отказ",0,MAX(Данные6[[#This Row],[interest_rate]],$C$1))</f>
        <v>168000</v>
      </c>
      <c r="V749" s="2">
        <f>MROUND(Данные6[[#This Row],[Минимум 20000]], 100)</f>
        <v>168000</v>
      </c>
    </row>
    <row r="750" spans="1:22" x14ac:dyDescent="0.25">
      <c r="A750" s="2">
        <f>'1000_заявлений'!A744</f>
        <v>742</v>
      </c>
      <c r="B750" s="4">
        <f>VALUE(SUBSTITUTE('1000_заявлений'!B744, ".", ","))</f>
        <v>0.36389218554542402</v>
      </c>
      <c r="C750" s="4">
        <f>VALUE(SUBSTITUTE('1000_заявлений'!C744, ".", ","))</f>
        <v>0.22372147583165899</v>
      </c>
      <c r="D750" s="4">
        <f>VALUE(SUBSTITUTE('1000_заявлений'!D744, ".", ","))</f>
        <v>0.53527623000000002</v>
      </c>
      <c r="E750" s="4">
        <f>VALUE(SUBSTITUTE('1000_заявлений'!E744, ".", ","))</f>
        <v>0.68969612999999996</v>
      </c>
      <c r="F750" s="5">
        <f>VALUE(SUBSTITUTE('1000_заявлений'!F744, ".", ","))</f>
        <v>-1519</v>
      </c>
      <c r="G750" s="5">
        <f>VALUE(SUBSTITUTE('1000_заявлений'!G744, ".", ","))</f>
        <v>-21795</v>
      </c>
      <c r="H750" s="5">
        <f>VALUE(SUBSTITUTE('1000_заявлений'!H744, ".", ","))</f>
        <v>-4985</v>
      </c>
      <c r="I750" s="4">
        <f>VALUE(SUBSTITUTE('1000_заявлений'!I744, ".", ","))</f>
        <v>0.111657142857142</v>
      </c>
      <c r="J750" s="4">
        <f>VALUE(SUBSTITUTE('1000_заявлений'!J744, ".", ","))</f>
        <v>0.69234147334795704</v>
      </c>
      <c r="K750" s="5">
        <f>VALUE(SUBSTITUTE('1000_заявлений'!K744, ".", ","))</f>
        <v>365243</v>
      </c>
      <c r="L750" s="6">
        <f>VALUE(SUBSTITUTE('1000_заявлений'!L744, ".", ","))</f>
        <v>17586</v>
      </c>
      <c r="M750" s="2" t="str">
        <f>IF(Данные6[[#This Row],[proba]]&gt;$C$6, "отказ", "одобрение")</f>
        <v>отказ</v>
      </c>
      <c r="N750" s="7">
        <f>IF(Данные6[[#This Row],[proba]]&lt;$D$2,$C$2,IF(Данные6[[#This Row],[proba]]&lt;$D$3,$C$3,IF(Данные6[[#This Row],[proba]]&gt;$C$6,0,$C$4)))</f>
        <v>0</v>
      </c>
      <c r="O750" s="2">
        <f>IF(Данные6[[#This Row],[weighted_ext_score]]&gt;$O$1,MIN(Данные6[[#This Row],[Базовая сумма]]*$O$2,$C$2),IF(Данные6[[#This Row],[weighted_ext_score]]&lt;$O$3,Данные6[[#This Row],[Базовая сумма]]*$O$4,N750))</f>
        <v>0</v>
      </c>
      <c r="P7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0" s="2">
        <f>ABS(Данные6[[#This Row],[days_birth]])/365.2425</f>
        <v>59.672683217314521</v>
      </c>
      <c r="S7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0" s="2">
        <f>IF(Данные6[[#This Row],[ interest_rate]]&gt;$T$1,Данные6[[#This Row],[days_birth4]]*$T$2,Данные6[[#This Row],[days_birth4]])</f>
        <v>0</v>
      </c>
      <c r="U750" s="2">
        <f>IF(Данные6[[#This Row],[Проверка отказа]]="отказ",0,MAX(Данные6[[#This Row],[interest_rate]],$C$1))</f>
        <v>0</v>
      </c>
      <c r="V750" s="2">
        <f>MROUND(Данные6[[#This Row],[Минимум 20000]], 100)</f>
        <v>0</v>
      </c>
    </row>
    <row r="751" spans="1:22" x14ac:dyDescent="0.25">
      <c r="A751" s="2">
        <f>'1000_заявлений'!A745</f>
        <v>743</v>
      </c>
      <c r="B751" s="4">
        <f>VALUE(SUBSTITUTE('1000_заявлений'!B745, ".", ","))</f>
        <v>0.76822076884070001</v>
      </c>
      <c r="C751" s="4">
        <f>VALUE(SUBSTITUTE('1000_заявлений'!C745, ".", ","))</f>
        <v>0.1869448451472</v>
      </c>
      <c r="D751" s="4">
        <f>VALUE(SUBSTITUTE('1000_заявлений'!D745, ".", ","))</f>
        <v>0.42061095999999998</v>
      </c>
      <c r="E751" s="4">
        <f>VALUE(SUBSTITUTE('1000_заявлений'!E745, ".", ","))</f>
        <v>0.10735758400000001</v>
      </c>
      <c r="F751" s="5">
        <f>VALUE(SUBSTITUTE('1000_заявлений'!F745, ".", ","))</f>
        <v>-389</v>
      </c>
      <c r="G751" s="5">
        <f>VALUE(SUBSTITUTE('1000_заявлений'!G745, ".", ","))</f>
        <v>-10882</v>
      </c>
      <c r="H751" s="5">
        <f>VALUE(SUBSTITUTE('1000_заявлений'!H745, ".", ","))</f>
        <v>-1910</v>
      </c>
      <c r="I751" s="4">
        <f>VALUE(SUBSTITUTE('1000_заявлений'!I745, ".", ","))</f>
        <v>0.15578947368421001</v>
      </c>
      <c r="J751" s="4">
        <f>VALUE(SUBSTITUTE('1000_заявлений'!J745, ".", ","))</f>
        <v>7.9620143797618903</v>
      </c>
      <c r="K751" s="5">
        <f>VALUE(SUBSTITUTE('1000_заявлений'!K745, ".", ","))</f>
        <v>-669</v>
      </c>
      <c r="L751" s="6">
        <f>VALUE(SUBSTITUTE('1000_заявлений'!L745, ".", ","))</f>
        <v>26640</v>
      </c>
      <c r="M751" s="2" t="str">
        <f>IF(Данные6[[#This Row],[proba]]&gt;$C$6, "отказ", "одобрение")</f>
        <v>отказ</v>
      </c>
      <c r="N751" s="7">
        <f>IF(Данные6[[#This Row],[proba]]&lt;$D$2,$C$2,IF(Данные6[[#This Row],[proba]]&lt;$D$3,$C$3,IF(Данные6[[#This Row],[proba]]&gt;$C$6,0,$C$4)))</f>
        <v>0</v>
      </c>
      <c r="O751" s="2">
        <f>IF(Данные6[[#This Row],[weighted_ext_score]]&gt;$O$1,MIN(Данные6[[#This Row],[Базовая сумма]]*$O$2,$C$2),IF(Данные6[[#This Row],[weighted_ext_score]]&lt;$O$3,Данные6[[#This Row],[Базовая сумма]]*$O$4,N751))</f>
        <v>0</v>
      </c>
      <c r="P7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1" s="2">
        <f>ABS(Данные6[[#This Row],[days_birth]])/365.2425</f>
        <v>29.79390405004894</v>
      </c>
      <c r="S7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1" s="2">
        <f>IF(Данные6[[#This Row],[ interest_rate]]&gt;$T$1,Данные6[[#This Row],[days_birth4]]*$T$2,Данные6[[#This Row],[days_birth4]])</f>
        <v>0</v>
      </c>
      <c r="U751" s="2">
        <f>IF(Данные6[[#This Row],[Проверка отказа]]="отказ",0,MAX(Данные6[[#This Row],[interest_rate]],$C$1))</f>
        <v>0</v>
      </c>
      <c r="V751" s="2">
        <f>MROUND(Данные6[[#This Row],[Минимум 20000]], 100)</f>
        <v>0</v>
      </c>
    </row>
    <row r="752" spans="1:22" x14ac:dyDescent="0.25">
      <c r="A752" s="2">
        <f>'1000_заявлений'!A746</f>
        <v>744</v>
      </c>
      <c r="B752" s="4">
        <f>VALUE(SUBSTITUTE('1000_заявлений'!B746, ".", ","))</f>
        <v>0.49837313276795298</v>
      </c>
      <c r="C752" s="4">
        <f>VALUE(SUBSTITUTE('1000_заявлений'!C746, ".", ","))</f>
        <v>0.35394914615842599</v>
      </c>
      <c r="D752" s="4">
        <f>VALUE(SUBSTITUTE('1000_заявлений'!D746, ".", ","))</f>
        <v>0.61952770000000001</v>
      </c>
      <c r="E752" s="4">
        <f>VALUE(SUBSTITUTE('1000_заявлений'!E746, ".", ","))</f>
        <v>0.40042086999999998</v>
      </c>
      <c r="F752" s="5">
        <f>VALUE(SUBSTITUTE('1000_заявлений'!F746, ".", ","))</f>
        <v>-3361</v>
      </c>
      <c r="G752" s="5">
        <f>VALUE(SUBSTITUTE('1000_заявлений'!G746, ".", ","))</f>
        <v>-13835</v>
      </c>
      <c r="H752" s="5">
        <f>VALUE(SUBSTITUTE('1000_заявлений'!H746, ".", ","))</f>
        <v>-3921</v>
      </c>
      <c r="I752" s="4">
        <f>VALUE(SUBSTITUTE('1000_заявлений'!I746, ".", ","))</f>
        <v>0.233625</v>
      </c>
      <c r="J752" s="4">
        <f>VALUE(SUBSTITUTE('1000_заявлений'!J746, ".", ","))</f>
        <v>2.9218723618718201</v>
      </c>
      <c r="K752" s="5">
        <f>VALUE(SUBSTITUTE('1000_заявлений'!K746, ".", ","))</f>
        <v>-1202</v>
      </c>
      <c r="L752" s="6">
        <f>VALUE(SUBSTITUTE('1000_заявлений'!L746, ".", ","))</f>
        <v>16821</v>
      </c>
      <c r="M752" s="2" t="str">
        <f>IF(Данные6[[#This Row],[proba]]&gt;$C$6, "отказ", "одобрение")</f>
        <v>отказ</v>
      </c>
      <c r="N752" s="7">
        <f>IF(Данные6[[#This Row],[proba]]&lt;$D$2,$C$2,IF(Данные6[[#This Row],[proba]]&lt;$D$3,$C$3,IF(Данные6[[#This Row],[proba]]&gt;$C$6,0,$C$4)))</f>
        <v>0</v>
      </c>
      <c r="O752" s="2">
        <f>IF(Данные6[[#This Row],[weighted_ext_score]]&gt;$O$1,MIN(Данные6[[#This Row],[Базовая сумма]]*$O$2,$C$2),IF(Данные6[[#This Row],[weighted_ext_score]]&lt;$O$3,Данные6[[#This Row],[Базовая сумма]]*$O$4,N752))</f>
        <v>0</v>
      </c>
      <c r="P7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2" s="2">
        <f>ABS(Данные6[[#This Row],[days_birth]])/365.2425</f>
        <v>37.878943441686005</v>
      </c>
      <c r="S7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2" s="2">
        <f>IF(Данные6[[#This Row],[ interest_rate]]&gt;$T$1,Данные6[[#This Row],[days_birth4]]*$T$2,Данные6[[#This Row],[days_birth4]])</f>
        <v>0</v>
      </c>
      <c r="U752" s="2">
        <f>IF(Данные6[[#This Row],[Проверка отказа]]="отказ",0,MAX(Данные6[[#This Row],[interest_rate]],$C$1))</f>
        <v>0</v>
      </c>
      <c r="V752" s="2">
        <f>MROUND(Данные6[[#This Row],[Минимум 20000]], 100)</f>
        <v>0</v>
      </c>
    </row>
    <row r="753" spans="1:22" x14ac:dyDescent="0.25">
      <c r="A753" s="2">
        <f>'1000_заявлений'!A747</f>
        <v>745</v>
      </c>
      <c r="B753" s="4">
        <f>VALUE(SUBSTITUTE('1000_заявлений'!B747, ".", ","))</f>
        <v>0.45733335073095799</v>
      </c>
      <c r="C753" s="4">
        <f>VALUE(SUBSTITUTE('1000_заявлений'!C747, ".", ","))</f>
        <v>0.40674491347588099</v>
      </c>
      <c r="D753" s="4">
        <f>VALUE(SUBSTITUTE('1000_заявлений'!D747, ".", ","))</f>
        <v>0.32965505000000001</v>
      </c>
      <c r="E753" s="4">
        <f>VALUE(SUBSTITUTE('1000_заявлений'!E747, ".", ","))</f>
        <v>0.58984809999999999</v>
      </c>
      <c r="F753" s="5">
        <f>VALUE(SUBSTITUTE('1000_заявлений'!F747, ".", ","))</f>
        <v>-4248</v>
      </c>
      <c r="G753" s="5">
        <f>VALUE(SUBSTITUTE('1000_заявлений'!G747, ".", ","))</f>
        <v>-21535</v>
      </c>
      <c r="H753" s="5">
        <f>VALUE(SUBSTITUTE('1000_заявлений'!H747, ".", ","))</f>
        <v>-5070</v>
      </c>
      <c r="I753" s="4">
        <f>VALUE(SUBSTITUTE('1000_заявлений'!I747, ".", ","))</f>
        <v>0.17808333333333301</v>
      </c>
      <c r="J753" s="4">
        <f>VALUE(SUBSTITUTE('1000_заявлений'!J747, ".", ","))</f>
        <v>1.8158375382876399</v>
      </c>
      <c r="K753" s="5">
        <f>VALUE(SUBSTITUTE('1000_заявлений'!K747, ".", ","))</f>
        <v>-3359</v>
      </c>
      <c r="L753" s="6">
        <f>VALUE(SUBSTITUTE('1000_заявлений'!L747, ".", ","))</f>
        <v>48082.5</v>
      </c>
      <c r="M753" s="2" t="str">
        <f>IF(Данные6[[#This Row],[proba]]&gt;$C$6, "отказ", "одобрение")</f>
        <v>отказ</v>
      </c>
      <c r="N753" s="7">
        <f>IF(Данные6[[#This Row],[proba]]&lt;$D$2,$C$2,IF(Данные6[[#This Row],[proba]]&lt;$D$3,$C$3,IF(Данные6[[#This Row],[proba]]&gt;$C$6,0,$C$4)))</f>
        <v>0</v>
      </c>
      <c r="O753" s="2">
        <f>IF(Данные6[[#This Row],[weighted_ext_score]]&gt;$O$1,MIN(Данные6[[#This Row],[Базовая сумма]]*$O$2,$C$2),IF(Данные6[[#This Row],[weighted_ext_score]]&lt;$O$3,Данные6[[#This Row],[Базовая сумма]]*$O$4,N753))</f>
        <v>0</v>
      </c>
      <c r="P7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3" s="2">
        <f>ABS(Данные6[[#This Row],[days_birth]])/365.2425</f>
        <v>58.96082739549751</v>
      </c>
      <c r="S7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3" s="2">
        <f>IF(Данные6[[#This Row],[ interest_rate]]&gt;$T$1,Данные6[[#This Row],[days_birth4]]*$T$2,Данные6[[#This Row],[days_birth4]])</f>
        <v>0</v>
      </c>
      <c r="U753" s="2">
        <f>IF(Данные6[[#This Row],[Проверка отказа]]="отказ",0,MAX(Данные6[[#This Row],[interest_rate]],$C$1))</f>
        <v>0</v>
      </c>
      <c r="V753" s="2">
        <f>MROUND(Данные6[[#This Row],[Минимум 20000]], 100)</f>
        <v>0</v>
      </c>
    </row>
    <row r="754" spans="1:22" x14ac:dyDescent="0.25">
      <c r="A754" s="2">
        <f>'1000_заявлений'!A748</f>
        <v>746</v>
      </c>
      <c r="B754" s="4">
        <f>VALUE(SUBSTITUTE('1000_заявлений'!B748, ".", ","))</f>
        <v>0.68950455268863398</v>
      </c>
      <c r="C754" s="4">
        <f>VALUE(SUBSTITUTE('1000_заявлений'!C748, ".", ","))</f>
        <v>0.24105890244580599</v>
      </c>
      <c r="D754" s="4">
        <f>VALUE(SUBSTITUTE('1000_заявлений'!D748, ".", ","))</f>
        <v>0.24054141000000001</v>
      </c>
      <c r="E754" s="4">
        <f>VALUE(SUBSTITUTE('1000_заявлений'!E748, ".", ","))</f>
        <v>0.47495167999999999</v>
      </c>
      <c r="F754" s="5">
        <f>VALUE(SUBSTITUTE('1000_заявлений'!F748, ".", ","))</f>
        <v>-9152</v>
      </c>
      <c r="G754" s="5">
        <f>VALUE(SUBSTITUTE('1000_заявлений'!G748, ".", ","))</f>
        <v>-15869</v>
      </c>
      <c r="H754" s="5">
        <f>VALUE(SUBSTITUTE('1000_заявлений'!H748, ".", ","))</f>
        <v>-3260</v>
      </c>
      <c r="I754" s="4">
        <f>VALUE(SUBSTITUTE('1000_заявлений'!I748, ".", ","))</f>
        <v>0.20776666666666599</v>
      </c>
      <c r="J754" s="4">
        <f>VALUE(SUBSTITUTE('1000_заявлений'!J748, ".", ","))</f>
        <v>2.6810148158052902</v>
      </c>
      <c r="K754" s="5">
        <f>VALUE(SUBSTITUTE('1000_заявлений'!K748, ".", ","))</f>
        <v>-1068</v>
      </c>
      <c r="L754" s="6">
        <f>VALUE(SUBSTITUTE('1000_заявлений'!L748, ".", ","))</f>
        <v>28048.5</v>
      </c>
      <c r="M754" s="2" t="str">
        <f>IF(Данные6[[#This Row],[proba]]&gt;$C$6, "отказ", "одобрение")</f>
        <v>отказ</v>
      </c>
      <c r="N754" s="7">
        <f>IF(Данные6[[#This Row],[proba]]&lt;$D$2,$C$2,IF(Данные6[[#This Row],[proba]]&lt;$D$3,$C$3,IF(Данные6[[#This Row],[proba]]&gt;$C$6,0,$C$4)))</f>
        <v>0</v>
      </c>
      <c r="O754" s="2">
        <f>IF(Данные6[[#This Row],[weighted_ext_score]]&gt;$O$1,MIN(Данные6[[#This Row],[Базовая сумма]]*$O$2,$C$2),IF(Данные6[[#This Row],[weighted_ext_score]]&lt;$O$3,Данные6[[#This Row],[Базовая сумма]]*$O$4,N754))</f>
        <v>0</v>
      </c>
      <c r="P7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4" s="2">
        <f>ABS(Данные6[[#This Row],[days_birth]])/365.2425</f>
        <v>43.447846293900625</v>
      </c>
      <c r="S7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4" s="2">
        <f>IF(Данные6[[#This Row],[ interest_rate]]&gt;$T$1,Данные6[[#This Row],[days_birth4]]*$T$2,Данные6[[#This Row],[days_birth4]])</f>
        <v>0</v>
      </c>
      <c r="U754" s="2">
        <f>IF(Данные6[[#This Row],[Проверка отказа]]="отказ",0,MAX(Данные6[[#This Row],[interest_rate]],$C$1))</f>
        <v>0</v>
      </c>
      <c r="V754" s="2">
        <f>MROUND(Данные6[[#This Row],[Минимум 20000]], 100)</f>
        <v>0</v>
      </c>
    </row>
    <row r="755" spans="1:22" x14ac:dyDescent="0.25">
      <c r="A755" s="2">
        <f>'1000_заявлений'!A749</f>
        <v>747</v>
      </c>
      <c r="B755" s="4">
        <f>VALUE(SUBSTITUTE('1000_заявлений'!B749, ".", ","))</f>
        <v>0.136230275033666</v>
      </c>
      <c r="C755" s="4">
        <f>VALUE(SUBSTITUTE('1000_заявлений'!C749, ".", ","))</f>
        <v>0.68333905277108997</v>
      </c>
      <c r="D755" s="4">
        <f>VALUE(SUBSTITUTE('1000_заявлений'!D749, ".", ","))</f>
        <v>0.76102639999999999</v>
      </c>
      <c r="E755" s="4">
        <f>VALUE(SUBSTITUTE('1000_заявлений'!E749, ".", ","))</f>
        <v>0.70044799999999996</v>
      </c>
      <c r="F755" s="5">
        <f>VALUE(SUBSTITUTE('1000_заявлений'!F749, ".", ","))</f>
        <v>-3790</v>
      </c>
      <c r="G755" s="5">
        <f>VALUE(SUBSTITUTE('1000_заявлений'!G749, ".", ","))</f>
        <v>-15993</v>
      </c>
      <c r="H755" s="5">
        <f>VALUE(SUBSTITUTE('1000_заявлений'!H749, ".", ","))</f>
        <v>-4145</v>
      </c>
      <c r="I755" s="4">
        <f>VALUE(SUBSTITUTE('1000_заявлений'!I749, ".", ","))</f>
        <v>0.125</v>
      </c>
      <c r="J755" s="4">
        <f>VALUE(SUBSTITUTE('1000_заявлений'!J749, ".", ","))</f>
        <v>10.6209759779781</v>
      </c>
      <c r="K755" s="5">
        <f>VALUE(SUBSTITUTE('1000_заявлений'!K749, ".", ","))</f>
        <v>-6227</v>
      </c>
      <c r="L755" s="6">
        <f>VALUE(SUBSTITUTE('1000_заявлений'!L749, ".", ","))</f>
        <v>16875</v>
      </c>
      <c r="M755" s="2" t="str">
        <f>IF(Данные6[[#This Row],[proba]]&gt;$C$6, "отказ", "одобрение")</f>
        <v>одобрение</v>
      </c>
      <c r="N755" s="7">
        <f>IF(Данные6[[#This Row],[proba]]&lt;$D$2,$C$2,IF(Данные6[[#This Row],[proba]]&lt;$D$3,$C$3,IF(Данные6[[#This Row],[proba]]&gt;$C$6,0,$C$4)))</f>
        <v>200000</v>
      </c>
      <c r="O755" s="2">
        <f>IF(Данные6[[#This Row],[weighted_ext_score]]&gt;$O$1,MIN(Данные6[[#This Row],[Базовая сумма]]*$O$2,$C$2),IF(Данные6[[#This Row],[weighted_ext_score]]&lt;$O$3,Данные6[[#This Row],[Базовая сумма]]*$O$4,N755))</f>
        <v>200000</v>
      </c>
      <c r="P7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755" s="2">
        <f>ABS(Данные6[[#This Row],[days_birth]])/365.2425</f>
        <v>43.7873467627672</v>
      </c>
      <c r="S7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755" s="2">
        <f>IF(Данные6[[#This Row],[ interest_rate]]&gt;$T$1,Данные6[[#This Row],[days_birth4]]*$T$2,Данные6[[#This Row],[days_birth4]])</f>
        <v>240000</v>
      </c>
      <c r="U755" s="2">
        <f>IF(Данные6[[#This Row],[Проверка отказа]]="отказ",0,MAX(Данные6[[#This Row],[interest_rate]],$C$1))</f>
        <v>240000</v>
      </c>
      <c r="V755" s="2">
        <f>MROUND(Данные6[[#This Row],[Минимум 20000]], 100)</f>
        <v>240000</v>
      </c>
    </row>
    <row r="756" spans="1:22" x14ac:dyDescent="0.25">
      <c r="A756" s="2">
        <f>'1000_заявлений'!A750</f>
        <v>748</v>
      </c>
      <c r="B756" s="4">
        <f>VALUE(SUBSTITUTE('1000_заявлений'!B750, ".", ","))</f>
        <v>0.49297389737527803</v>
      </c>
      <c r="C756" s="4">
        <f>VALUE(SUBSTITUTE('1000_заявлений'!C750, ".", ","))</f>
        <v>0.40410679415052397</v>
      </c>
      <c r="D756" s="4">
        <f>VALUE(SUBSTITUTE('1000_заявлений'!D750, ".", ","))</f>
        <v>0.44717857</v>
      </c>
      <c r="E756" s="4">
        <f>VALUE(SUBSTITUTE('1000_заявлений'!E750, ".", ","))</f>
        <v>0.54813060000000002</v>
      </c>
      <c r="F756" s="5">
        <f>VALUE(SUBSTITUTE('1000_заявлений'!F750, ".", ","))</f>
        <v>-542</v>
      </c>
      <c r="G756" s="5">
        <f>VALUE(SUBSTITUTE('1000_заявлений'!G750, ".", ","))</f>
        <v>-10791</v>
      </c>
      <c r="H756" s="5">
        <f>VALUE(SUBSTITUTE('1000_заявлений'!H750, ".", ","))</f>
        <v>-3447</v>
      </c>
      <c r="I756" s="4">
        <f>VALUE(SUBSTITUTE('1000_заявлений'!I750, ".", ","))</f>
        <v>0.140086956521739</v>
      </c>
      <c r="J756" s="4">
        <f>VALUE(SUBSTITUTE('1000_заявлений'!J750, ".", ","))</f>
        <v>6.0422431545830602</v>
      </c>
      <c r="K756" s="5">
        <f>VALUE(SUBSTITUTE('1000_заявлений'!K750, ".", ","))</f>
        <v>-2323</v>
      </c>
      <c r="L756" s="6">
        <f>VALUE(SUBSTITUTE('1000_заявлений'!L750, ".", ","))</f>
        <v>14499</v>
      </c>
      <c r="M756" s="2" t="str">
        <f>IF(Данные6[[#This Row],[proba]]&gt;$C$6, "отказ", "одобрение")</f>
        <v>отказ</v>
      </c>
      <c r="N756" s="7">
        <f>IF(Данные6[[#This Row],[proba]]&lt;$D$2,$C$2,IF(Данные6[[#This Row],[proba]]&lt;$D$3,$C$3,IF(Данные6[[#This Row],[proba]]&gt;$C$6,0,$C$4)))</f>
        <v>0</v>
      </c>
      <c r="O756" s="2">
        <f>IF(Данные6[[#This Row],[weighted_ext_score]]&gt;$O$1,MIN(Данные6[[#This Row],[Базовая сумма]]*$O$2,$C$2),IF(Данные6[[#This Row],[weighted_ext_score]]&lt;$O$3,Данные6[[#This Row],[Базовая сумма]]*$O$4,N756))</f>
        <v>0</v>
      </c>
      <c r="P7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6" s="2">
        <f>ABS(Данные6[[#This Row],[days_birth]])/365.2425</f>
        <v>29.544754512412986</v>
      </c>
      <c r="S7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6" s="2">
        <f>IF(Данные6[[#This Row],[ interest_rate]]&gt;$T$1,Данные6[[#This Row],[days_birth4]]*$T$2,Данные6[[#This Row],[days_birth4]])</f>
        <v>0</v>
      </c>
      <c r="U756" s="2">
        <f>IF(Данные6[[#This Row],[Проверка отказа]]="отказ",0,MAX(Данные6[[#This Row],[interest_rate]],$C$1))</f>
        <v>0</v>
      </c>
      <c r="V756" s="2">
        <f>MROUND(Данные6[[#This Row],[Минимум 20000]], 100)</f>
        <v>0</v>
      </c>
    </row>
    <row r="757" spans="1:22" x14ac:dyDescent="0.25">
      <c r="A757" s="2">
        <f>'1000_заявлений'!A751</f>
        <v>749</v>
      </c>
      <c r="B757" s="4">
        <f>VALUE(SUBSTITUTE('1000_заявлений'!B751, ".", ","))</f>
        <v>0.192479484132735</v>
      </c>
      <c r="C757" s="4">
        <f>VALUE(SUBSTITUTE('1000_заявлений'!C751, ".", ","))</f>
        <v>0.67128943324262103</v>
      </c>
      <c r="D757" s="4">
        <f>VALUE(SUBSTITUTE('1000_заявлений'!D751, ".", ","))</f>
        <v>0.44005783999999998</v>
      </c>
      <c r="E757" s="4">
        <f>VALUE(SUBSTITUTE('1000_заявлений'!E751, ".", ","))</f>
        <v>0.75385880000000005</v>
      </c>
      <c r="F757" s="5">
        <f>VALUE(SUBSTITUTE('1000_заявлений'!F751, ".", ","))</f>
        <v>-5832</v>
      </c>
      <c r="G757" s="5">
        <f>VALUE(SUBSTITUTE('1000_заявлений'!G751, ".", ","))</f>
        <v>-22131</v>
      </c>
      <c r="H757" s="5">
        <f>VALUE(SUBSTITUTE('1000_заявлений'!H751, ".", ","))</f>
        <v>-4267</v>
      </c>
      <c r="I757" s="4">
        <f>VALUE(SUBSTITUTE('1000_заявлений'!I751, ".", ","))</f>
        <v>0.14405454545454499</v>
      </c>
      <c r="J757" s="4">
        <f>VALUE(SUBSTITUTE('1000_заявлений'!J751, ".", ","))</f>
        <v>2.4956952408497299</v>
      </c>
      <c r="K757" s="5">
        <f>VALUE(SUBSTITUTE('1000_заявлений'!K751, ".", ","))</f>
        <v>365243</v>
      </c>
      <c r="L757" s="6">
        <f>VALUE(SUBSTITUTE('1000_заявлений'!L751, ".", ","))</f>
        <v>35653.5</v>
      </c>
      <c r="M757" s="2" t="str">
        <f>IF(Данные6[[#This Row],[proba]]&gt;$C$6, "отказ", "одобрение")</f>
        <v>одобрение</v>
      </c>
      <c r="N757" s="7">
        <f>IF(Данные6[[#This Row],[proba]]&lt;$D$2,$C$2,IF(Данные6[[#This Row],[proba]]&lt;$D$3,$C$3,IF(Данные6[[#This Row],[proba]]&gt;$C$6,0,$C$4)))</f>
        <v>200000</v>
      </c>
      <c r="O757" s="2">
        <f>IF(Данные6[[#This Row],[weighted_ext_score]]&gt;$O$1,MIN(Данные6[[#This Row],[Базовая сумма]]*$O$2,$C$2),IF(Данные6[[#This Row],[weighted_ext_score]]&lt;$O$3,Данные6[[#This Row],[Базовая сумма]]*$O$4,N757))</f>
        <v>200000</v>
      </c>
      <c r="P7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757" s="2">
        <f>ABS(Данные6[[#This Row],[days_birth]])/365.2425</f>
        <v>60.592619971662664</v>
      </c>
      <c r="S7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757" s="2">
        <f>IF(Данные6[[#This Row],[ interest_rate]]&gt;$T$1,Данные6[[#This Row],[days_birth4]]*$T$2,Данные6[[#This Row],[days_birth4]])</f>
        <v>210000</v>
      </c>
      <c r="U757" s="2">
        <f>IF(Данные6[[#This Row],[Проверка отказа]]="отказ",0,MAX(Данные6[[#This Row],[interest_rate]],$C$1))</f>
        <v>210000</v>
      </c>
      <c r="V757" s="2">
        <f>MROUND(Данные6[[#This Row],[Минимум 20000]], 100)</f>
        <v>210000</v>
      </c>
    </row>
    <row r="758" spans="1:22" x14ac:dyDescent="0.25">
      <c r="A758" s="2">
        <f>'1000_заявлений'!A752</f>
        <v>750</v>
      </c>
      <c r="B758" s="4">
        <f>VALUE(SUBSTITUTE('1000_заявлений'!B752, ".", ","))</f>
        <v>0.32122494436405102</v>
      </c>
      <c r="C758" s="4">
        <f>VALUE(SUBSTITUTE('1000_заявлений'!C752, ".", ","))</f>
        <v>0.43744932652292601</v>
      </c>
      <c r="D758" s="4">
        <f>VALUE(SUBSTITUTE('1000_заявлений'!D752, ".", ","))</f>
        <v>0.63303167000000005</v>
      </c>
      <c r="E758" s="4">
        <f>VALUE(SUBSTITUTE('1000_заявлений'!E752, ".", ","))</f>
        <v>0.64278173000000005</v>
      </c>
      <c r="F758" s="5">
        <f>VALUE(SUBSTITUTE('1000_заявлений'!F752, ".", ","))</f>
        <v>-4689</v>
      </c>
      <c r="G758" s="5">
        <f>VALUE(SUBSTITUTE('1000_заявлений'!G752, ".", ","))</f>
        <v>-9981</v>
      </c>
      <c r="H758" s="5">
        <f>VALUE(SUBSTITUTE('1000_заявлений'!H752, ".", ","))</f>
        <v>-2574</v>
      </c>
      <c r="I758" s="4">
        <f>VALUE(SUBSTITUTE('1000_заявлений'!I752, ".", ","))</f>
        <v>0.141473684210526</v>
      </c>
      <c r="J758" s="4">
        <f>VALUE(SUBSTITUTE('1000_заявлений'!J752, ".", ","))</f>
        <v>9.2208727512573105</v>
      </c>
      <c r="K758" s="5">
        <f>VALUE(SUBSTITUTE('1000_заявлений'!K752, ".", ","))</f>
        <v>-206</v>
      </c>
      <c r="L758" s="6">
        <f>VALUE(SUBSTITUTE('1000_заявлений'!L752, ".", ","))</f>
        <v>24192</v>
      </c>
      <c r="M758" s="2" t="str">
        <f>IF(Данные6[[#This Row],[proba]]&gt;$C$6, "отказ", "одобрение")</f>
        <v>отказ</v>
      </c>
      <c r="N758" s="7">
        <f>IF(Данные6[[#This Row],[proba]]&lt;$D$2,$C$2,IF(Данные6[[#This Row],[proba]]&lt;$D$3,$C$3,IF(Данные6[[#This Row],[proba]]&gt;$C$6,0,$C$4)))</f>
        <v>0</v>
      </c>
      <c r="O758" s="2">
        <f>IF(Данные6[[#This Row],[weighted_ext_score]]&gt;$O$1,MIN(Данные6[[#This Row],[Базовая сумма]]*$O$2,$C$2),IF(Данные6[[#This Row],[weighted_ext_score]]&lt;$O$3,Данные6[[#This Row],[Базовая сумма]]*$O$4,N758))</f>
        <v>0</v>
      </c>
      <c r="P7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8" s="2">
        <f>ABS(Данные6[[#This Row],[days_birth]])/365.2425</f>
        <v>27.327049836752295</v>
      </c>
      <c r="S7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8" s="2">
        <f>IF(Данные6[[#This Row],[ interest_rate]]&gt;$T$1,Данные6[[#This Row],[days_birth4]]*$T$2,Данные6[[#This Row],[days_birth4]])</f>
        <v>0</v>
      </c>
      <c r="U758" s="2">
        <f>IF(Данные6[[#This Row],[Проверка отказа]]="отказ",0,MAX(Данные6[[#This Row],[interest_rate]],$C$1))</f>
        <v>0</v>
      </c>
      <c r="V758" s="2">
        <f>MROUND(Данные6[[#This Row],[Минимум 20000]], 100)</f>
        <v>0</v>
      </c>
    </row>
    <row r="759" spans="1:22" x14ac:dyDescent="0.25">
      <c r="A759" s="2">
        <f>'1000_заявлений'!A753</f>
        <v>751</v>
      </c>
      <c r="B759" s="4">
        <f>VALUE(SUBSTITUTE('1000_заявлений'!B753, ".", ","))</f>
        <v>0.62502866277041202</v>
      </c>
      <c r="C759" s="4">
        <f>VALUE(SUBSTITUTE('1000_заявлений'!C753, ".", ","))</f>
        <v>0.242789242791667</v>
      </c>
      <c r="D759" s="4">
        <f>VALUE(SUBSTITUTE('1000_заявлений'!D753, ".", ","))</f>
        <v>0.52809273999999995</v>
      </c>
      <c r="E759" s="4">
        <f>VALUE(SUBSTITUTE('1000_заявлений'!E753, ".", ","))</f>
        <v>0.15967923000000001</v>
      </c>
      <c r="F759" s="5">
        <f>VALUE(SUBSTITUTE('1000_заявлений'!F753, ".", ","))</f>
        <v>-10975</v>
      </c>
      <c r="G759" s="5">
        <f>VALUE(SUBSTITUTE('1000_заявлений'!G753, ".", ","))</f>
        <v>-21317</v>
      </c>
      <c r="H759" s="5">
        <f>VALUE(SUBSTITUTE('1000_заявлений'!H753, ".", ","))</f>
        <v>-3917</v>
      </c>
      <c r="I759" s="4">
        <f>VALUE(SUBSTITUTE('1000_заявлений'!I753, ".", ","))</f>
        <v>0.23852000000000001</v>
      </c>
      <c r="J759" s="4">
        <f>VALUE(SUBSTITUTE('1000_заявлений'!J753, ".", ","))</f>
        <v>4.56936519568431</v>
      </c>
      <c r="K759" s="5">
        <f>VALUE(SUBSTITUTE('1000_заявлений'!K753, ".", ","))</f>
        <v>-1666</v>
      </c>
      <c r="L759" s="6">
        <f>VALUE(SUBSTITUTE('1000_заявлений'!L753, ".", ","))</f>
        <v>26833.5</v>
      </c>
      <c r="M759" s="2" t="str">
        <f>IF(Данные6[[#This Row],[proba]]&gt;$C$6, "отказ", "одобрение")</f>
        <v>отказ</v>
      </c>
      <c r="N759" s="7">
        <f>IF(Данные6[[#This Row],[proba]]&lt;$D$2,$C$2,IF(Данные6[[#This Row],[proba]]&lt;$D$3,$C$3,IF(Данные6[[#This Row],[proba]]&gt;$C$6,0,$C$4)))</f>
        <v>0</v>
      </c>
      <c r="O759" s="2">
        <f>IF(Данные6[[#This Row],[weighted_ext_score]]&gt;$O$1,MIN(Данные6[[#This Row],[Базовая сумма]]*$O$2,$C$2),IF(Данные6[[#This Row],[weighted_ext_score]]&lt;$O$3,Данные6[[#This Row],[Базовая сумма]]*$O$4,N759))</f>
        <v>0</v>
      </c>
      <c r="P7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59" s="2">
        <f>ABS(Данные6[[#This Row],[days_birth]])/365.2425</f>
        <v>58.363963667974019</v>
      </c>
      <c r="S7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59" s="2">
        <f>IF(Данные6[[#This Row],[ interest_rate]]&gt;$T$1,Данные6[[#This Row],[days_birth4]]*$T$2,Данные6[[#This Row],[days_birth4]])</f>
        <v>0</v>
      </c>
      <c r="U759" s="2">
        <f>IF(Данные6[[#This Row],[Проверка отказа]]="отказ",0,MAX(Данные6[[#This Row],[interest_rate]],$C$1))</f>
        <v>0</v>
      </c>
      <c r="V759" s="2">
        <f>MROUND(Данные6[[#This Row],[Минимум 20000]], 100)</f>
        <v>0</v>
      </c>
    </row>
    <row r="760" spans="1:22" x14ac:dyDescent="0.25">
      <c r="A760" s="2">
        <f>'1000_заявлений'!A754</f>
        <v>752</v>
      </c>
      <c r="B760" s="4">
        <f>VALUE(SUBSTITUTE('1000_заявлений'!B754, ".", ","))</f>
        <v>0.46925589189585698</v>
      </c>
      <c r="C760" s="4">
        <f>VALUE(SUBSTITUTE('1000_заявлений'!C754, ".", ","))</f>
        <v>0.358366231645808</v>
      </c>
      <c r="D760" s="4">
        <f>VALUE(SUBSTITUTE('1000_заявлений'!D754, ".", ","))</f>
        <v>0.42765736999999998</v>
      </c>
      <c r="E760" s="4">
        <f>VALUE(SUBSTITUTE('1000_заявлений'!E754, ".", ","))</f>
        <v>0.62796479999999999</v>
      </c>
      <c r="F760" s="5">
        <f>VALUE(SUBSTITUTE('1000_заявлений'!F754, ".", ","))</f>
        <v>-11861</v>
      </c>
      <c r="G760" s="5">
        <f>VALUE(SUBSTITUTE('1000_заявлений'!G754, ".", ","))</f>
        <v>-11990</v>
      </c>
      <c r="H760" s="5">
        <f>VALUE(SUBSTITUTE('1000_заявлений'!H754, ".", ","))</f>
        <v>-2797</v>
      </c>
      <c r="I760" s="4">
        <f>VALUE(SUBSTITUTE('1000_заявлений'!I754, ".", ","))</f>
        <v>9.7600000000000006E-2</v>
      </c>
      <c r="J760" s="4">
        <f>VALUE(SUBSTITUTE('1000_заявлений'!J754, ".", ","))</f>
        <v>3.5822909386149702</v>
      </c>
      <c r="K760" s="5">
        <f>VALUE(SUBSTITUTE('1000_заявлений'!K754, ".", ","))</f>
        <v>-550</v>
      </c>
      <c r="L760" s="6">
        <f>VALUE(SUBSTITUTE('1000_заявлений'!L754, ".", ","))</f>
        <v>15372</v>
      </c>
      <c r="M760" s="2" t="str">
        <f>IF(Данные6[[#This Row],[proba]]&gt;$C$6, "отказ", "одобрение")</f>
        <v>отказ</v>
      </c>
      <c r="N760" s="7">
        <f>IF(Данные6[[#This Row],[proba]]&lt;$D$2,$C$2,IF(Данные6[[#This Row],[proba]]&lt;$D$3,$C$3,IF(Данные6[[#This Row],[proba]]&gt;$C$6,0,$C$4)))</f>
        <v>0</v>
      </c>
      <c r="O760" s="2">
        <f>IF(Данные6[[#This Row],[weighted_ext_score]]&gt;$O$1,MIN(Данные6[[#This Row],[Базовая сумма]]*$O$2,$C$2),IF(Данные6[[#This Row],[weighted_ext_score]]&lt;$O$3,Данные6[[#This Row],[Базовая сумма]]*$O$4,N760))</f>
        <v>0</v>
      </c>
      <c r="P7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0" s="2">
        <f>ABS(Данные6[[#This Row],[days_birth]])/365.2425</f>
        <v>32.827505013792205</v>
      </c>
      <c r="S7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0" s="2">
        <f>IF(Данные6[[#This Row],[ interest_rate]]&gt;$T$1,Данные6[[#This Row],[days_birth4]]*$T$2,Данные6[[#This Row],[days_birth4]])</f>
        <v>0</v>
      </c>
      <c r="U760" s="2">
        <f>IF(Данные6[[#This Row],[Проверка отказа]]="отказ",0,MAX(Данные6[[#This Row],[interest_rate]],$C$1))</f>
        <v>0</v>
      </c>
      <c r="V760" s="2">
        <f>MROUND(Данные6[[#This Row],[Минимум 20000]], 100)</f>
        <v>0</v>
      </c>
    </row>
    <row r="761" spans="1:22" x14ac:dyDescent="0.25">
      <c r="A761" s="2">
        <f>'1000_заявлений'!A755</f>
        <v>753</v>
      </c>
      <c r="B761" s="4">
        <f>VALUE(SUBSTITUTE('1000_заявлений'!B755, ".", ","))</f>
        <v>0.43221391062980502</v>
      </c>
      <c r="C761" s="4">
        <f>VALUE(SUBSTITUTE('1000_заявлений'!C755, ".", ","))</f>
        <v>0.37186387766201301</v>
      </c>
      <c r="D761" s="4">
        <f>VALUE(SUBSTITUTE('1000_заявлений'!D755, ".", ","))</f>
        <v>0.59545619999999999</v>
      </c>
      <c r="E761" s="4">
        <f>VALUE(SUBSTITUTE('1000_заявлений'!E755, ".", ","))</f>
        <v>0.48248764999999999</v>
      </c>
      <c r="F761" s="5">
        <f>VALUE(SUBSTITUTE('1000_заявлений'!F755, ".", ","))</f>
        <v>-3624</v>
      </c>
      <c r="G761" s="5">
        <f>VALUE(SUBSTITUTE('1000_заявлений'!G755, ".", ","))</f>
        <v>-12002</v>
      </c>
      <c r="H761" s="5">
        <f>VALUE(SUBSTITUTE('1000_заявлений'!H755, ".", ","))</f>
        <v>-3168</v>
      </c>
      <c r="I761" s="4">
        <f>VALUE(SUBSTITUTE('1000_заявлений'!I755, ".", ","))</f>
        <v>0.14505000000000001</v>
      </c>
      <c r="J761" s="4">
        <f>VALUE(SUBSTITUTE('1000_заявлений'!J755, ".", ","))</f>
        <v>6.7218200832274801</v>
      </c>
      <c r="K761" s="5">
        <f>VALUE(SUBSTITUTE('1000_заявлений'!K755, ".", ","))</f>
        <v>-1251</v>
      </c>
      <c r="L761" s="6">
        <f>VALUE(SUBSTITUTE('1000_заявлений'!L755, ".", ","))</f>
        <v>26109</v>
      </c>
      <c r="M761" s="2" t="str">
        <f>IF(Данные6[[#This Row],[proba]]&gt;$C$6, "отказ", "одобрение")</f>
        <v>отказ</v>
      </c>
      <c r="N761" s="7">
        <f>IF(Данные6[[#This Row],[proba]]&lt;$D$2,$C$2,IF(Данные6[[#This Row],[proba]]&lt;$D$3,$C$3,IF(Данные6[[#This Row],[proba]]&gt;$C$6,0,$C$4)))</f>
        <v>0</v>
      </c>
      <c r="O761" s="2">
        <f>IF(Данные6[[#This Row],[weighted_ext_score]]&gt;$O$1,MIN(Данные6[[#This Row],[Базовая сумма]]*$O$2,$C$2),IF(Данные6[[#This Row],[weighted_ext_score]]&lt;$O$3,Данные6[[#This Row],[Базовая сумма]]*$O$4,N761))</f>
        <v>0</v>
      </c>
      <c r="P7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1" s="2">
        <f>ABS(Данные6[[#This Row],[days_birth]])/365.2425</f>
        <v>32.860359897876066</v>
      </c>
      <c r="S7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1" s="2">
        <f>IF(Данные6[[#This Row],[ interest_rate]]&gt;$T$1,Данные6[[#This Row],[days_birth4]]*$T$2,Данные6[[#This Row],[days_birth4]])</f>
        <v>0</v>
      </c>
      <c r="U761" s="2">
        <f>IF(Данные6[[#This Row],[Проверка отказа]]="отказ",0,MAX(Данные6[[#This Row],[interest_rate]],$C$1))</f>
        <v>0</v>
      </c>
      <c r="V761" s="2">
        <f>MROUND(Данные6[[#This Row],[Минимум 20000]], 100)</f>
        <v>0</v>
      </c>
    </row>
    <row r="762" spans="1:22" x14ac:dyDescent="0.25">
      <c r="A762" s="2">
        <f>'1000_заявлений'!A756</f>
        <v>754</v>
      </c>
      <c r="B762" s="4">
        <f>VALUE(SUBSTITUTE('1000_заявлений'!B756, ".", ","))</f>
        <v>0.64584113785789998</v>
      </c>
      <c r="C762" s="4">
        <f>VALUE(SUBSTITUTE('1000_заявлений'!C756, ".", ","))</f>
        <v>0.24455287128529399</v>
      </c>
      <c r="D762" s="4">
        <f>VALUE(SUBSTITUTE('1000_заявлений'!D756, ".", ","))</f>
        <v>0.67065173</v>
      </c>
      <c r="E762" s="4">
        <f>VALUE(SUBSTITUTE('1000_заявлений'!E756, ".", ","))</f>
        <v>6.1693405999999999E-3</v>
      </c>
      <c r="F762" s="5">
        <f>VALUE(SUBSTITUTE('1000_заявлений'!F756, ".", ","))</f>
        <v>-1335</v>
      </c>
      <c r="G762" s="5">
        <f>VALUE(SUBSTITUTE('1000_заявлений'!G756, ".", ","))</f>
        <v>-19100</v>
      </c>
      <c r="H762" s="5">
        <f>VALUE(SUBSTITUTE('1000_заявлений'!H756, ".", ","))</f>
        <v>-2564</v>
      </c>
      <c r="I762" s="4">
        <f>VALUE(SUBSTITUTE('1000_заявлений'!I756, ".", ","))</f>
        <v>0.10892</v>
      </c>
      <c r="J762" s="4">
        <f>VALUE(SUBSTITUTE('1000_заявлений'!J756, ".", ","))</f>
        <v>1.37428054275117</v>
      </c>
      <c r="K762" s="5">
        <f>VALUE(SUBSTITUTE('1000_заявлений'!K756, ".", ","))</f>
        <v>-239</v>
      </c>
      <c r="L762" s="6">
        <f>VALUE(SUBSTITUTE('1000_заявлений'!L756, ".", ","))</f>
        <v>12253.5</v>
      </c>
      <c r="M762" s="2" t="str">
        <f>IF(Данные6[[#This Row],[proba]]&gt;$C$6, "отказ", "одобрение")</f>
        <v>отказ</v>
      </c>
      <c r="N762" s="7">
        <f>IF(Данные6[[#This Row],[proba]]&lt;$D$2,$C$2,IF(Данные6[[#This Row],[proba]]&lt;$D$3,$C$3,IF(Данные6[[#This Row],[proba]]&gt;$C$6,0,$C$4)))</f>
        <v>0</v>
      </c>
      <c r="O762" s="2">
        <f>IF(Данные6[[#This Row],[weighted_ext_score]]&gt;$O$1,MIN(Данные6[[#This Row],[Базовая сумма]]*$O$2,$C$2),IF(Данные6[[#This Row],[weighted_ext_score]]&lt;$O$3,Данные6[[#This Row],[Базовая сумма]]*$O$4,N762))</f>
        <v>0</v>
      </c>
      <c r="P7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2" s="2">
        <f>ABS(Данные6[[#This Row],[days_birth]])/365.2425</f>
        <v>52.294023833480495</v>
      </c>
      <c r="S7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2" s="2">
        <f>IF(Данные6[[#This Row],[ interest_rate]]&gt;$T$1,Данные6[[#This Row],[days_birth4]]*$T$2,Данные6[[#This Row],[days_birth4]])</f>
        <v>0</v>
      </c>
      <c r="U762" s="2">
        <f>IF(Данные6[[#This Row],[Проверка отказа]]="отказ",0,MAX(Данные6[[#This Row],[interest_rate]],$C$1))</f>
        <v>0</v>
      </c>
      <c r="V762" s="2">
        <f>MROUND(Данные6[[#This Row],[Минимум 20000]], 100)</f>
        <v>0</v>
      </c>
    </row>
    <row r="763" spans="1:22" x14ac:dyDescent="0.25">
      <c r="A763" s="2">
        <f>'1000_заявлений'!A757</f>
        <v>755</v>
      </c>
      <c r="B763" s="4">
        <f>VALUE(SUBSTITUTE('1000_заявлений'!B757, ".", ","))</f>
        <v>9.6826010357133396E-2</v>
      </c>
      <c r="C763" s="4">
        <f>VALUE(SUBSTITUTE('1000_заявлений'!C757, ".", ","))</f>
        <v>0.55377146451886705</v>
      </c>
      <c r="D763" s="4">
        <f>VALUE(SUBSTITUTE('1000_заявлений'!D757, ".", ","))</f>
        <v>0.832785</v>
      </c>
      <c r="E763" s="4">
        <f>VALUE(SUBSTITUTE('1000_заявлений'!E757, ".", ","))</f>
        <v>0.77866756999999998</v>
      </c>
      <c r="F763" s="5">
        <f>VALUE(SUBSTITUTE('1000_заявлений'!F757, ".", ","))</f>
        <v>-10551</v>
      </c>
      <c r="G763" s="5">
        <f>VALUE(SUBSTITUTE('1000_заявлений'!G757, ".", ","))</f>
        <v>-21988</v>
      </c>
      <c r="H763" s="5">
        <f>VALUE(SUBSTITUTE('1000_заявлений'!H757, ".", ","))</f>
        <v>-4806</v>
      </c>
      <c r="I763" s="4">
        <f>VALUE(SUBSTITUTE('1000_заявлений'!I757, ".", ","))</f>
        <v>0.1875</v>
      </c>
      <c r="J763" s="4">
        <f>VALUE(SUBSTITUTE('1000_заявлений'!J757, ".", ","))</f>
        <v>10.6209759779781</v>
      </c>
      <c r="K763" s="5">
        <f>VALUE(SUBSTITUTE('1000_заявлений'!K757, ".", ","))</f>
        <v>365243</v>
      </c>
      <c r="L763" s="6">
        <f>VALUE(SUBSTITUTE('1000_заявлений'!L757, ".", ","))</f>
        <v>16875</v>
      </c>
      <c r="M763" s="2" t="str">
        <f>IF(Данные6[[#This Row],[proba]]&gt;$C$6, "отказ", "одобрение")</f>
        <v>одобрение</v>
      </c>
      <c r="N763" s="7">
        <f>IF(Данные6[[#This Row],[proba]]&lt;$D$2,$C$2,IF(Данные6[[#This Row],[proba]]&lt;$D$3,$C$3,IF(Данные6[[#This Row],[proba]]&gt;$C$6,0,$C$4)))</f>
        <v>300000</v>
      </c>
      <c r="O763" s="2">
        <f>IF(Данные6[[#This Row],[weighted_ext_score]]&gt;$O$1,MIN(Данные6[[#This Row],[Базовая сумма]]*$O$2,$C$2),IF(Данные6[[#This Row],[weighted_ext_score]]&lt;$O$3,Данные6[[#This Row],[Базовая сумма]]*$O$4,N763))</f>
        <v>300000</v>
      </c>
      <c r="P7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7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763" s="2">
        <f>ABS(Данные6[[#This Row],[days_birth]])/365.2425</f>
        <v>60.201099269663302</v>
      </c>
      <c r="S7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763" s="2">
        <f>IF(Данные6[[#This Row],[ interest_rate]]&gt;$T$1,Данные6[[#This Row],[days_birth4]]*$T$2,Данные6[[#This Row],[days_birth4]])</f>
        <v>300000</v>
      </c>
      <c r="U763" s="2">
        <f>IF(Данные6[[#This Row],[Проверка отказа]]="отказ",0,MAX(Данные6[[#This Row],[interest_rate]],$C$1))</f>
        <v>300000</v>
      </c>
      <c r="V763" s="2">
        <f>MROUND(Данные6[[#This Row],[Минимум 20000]], 100)</f>
        <v>300000</v>
      </c>
    </row>
    <row r="764" spans="1:22" x14ac:dyDescent="0.25">
      <c r="A764" s="2">
        <f>'1000_заявлений'!A758</f>
        <v>756</v>
      </c>
      <c r="B764" s="4">
        <f>VALUE(SUBSTITUTE('1000_заявлений'!B758, ".", ","))</f>
        <v>0.75780248214596901</v>
      </c>
      <c r="C764" s="4">
        <f>VALUE(SUBSTITUTE('1000_заявлений'!C758, ".", ","))</f>
        <v>0.23753022079404301</v>
      </c>
      <c r="D764" s="4">
        <f>VALUE(SUBSTITUTE('1000_заявлений'!D758, ".", ","))</f>
        <v>0.13595104</v>
      </c>
      <c r="E764" s="4">
        <f>VALUE(SUBSTITUTE('1000_заявлений'!E758, ".", ","))</f>
        <v>0.58068690000000001</v>
      </c>
      <c r="F764" s="5">
        <f>VALUE(SUBSTITUTE('1000_заявлений'!F758, ".", ","))</f>
        <v>-2280</v>
      </c>
      <c r="G764" s="5">
        <f>VALUE(SUBSTITUTE('1000_заявлений'!G758, ".", ","))</f>
        <v>-11802</v>
      </c>
      <c r="H764" s="5">
        <f>VALUE(SUBSTITUTE('1000_заявлений'!H758, ".", ","))</f>
        <v>-4045</v>
      </c>
      <c r="I764" s="4">
        <f>VALUE(SUBSTITUTE('1000_заявлений'!I758, ".", ","))</f>
        <v>0.38937777777777699</v>
      </c>
      <c r="J764" s="4">
        <f>VALUE(SUBSTITUTE('1000_заявлений'!J758, ".", ","))</f>
        <v>3.5736040808111298</v>
      </c>
      <c r="K764" s="5">
        <f>VALUE(SUBSTITUTE('1000_заявлений'!K758, ".", ","))</f>
        <v>-411</v>
      </c>
      <c r="L764" s="6">
        <f>VALUE(SUBSTITUTE('1000_заявлений'!L758, ".", ","))</f>
        <v>39424.5</v>
      </c>
      <c r="M764" s="2" t="str">
        <f>IF(Данные6[[#This Row],[proba]]&gt;$C$6, "отказ", "одобрение")</f>
        <v>отказ</v>
      </c>
      <c r="N764" s="7">
        <f>IF(Данные6[[#This Row],[proba]]&lt;$D$2,$C$2,IF(Данные6[[#This Row],[proba]]&lt;$D$3,$C$3,IF(Данные6[[#This Row],[proba]]&gt;$C$6,0,$C$4)))</f>
        <v>0</v>
      </c>
      <c r="O764" s="2">
        <f>IF(Данные6[[#This Row],[weighted_ext_score]]&gt;$O$1,MIN(Данные6[[#This Row],[Базовая сумма]]*$O$2,$C$2),IF(Данные6[[#This Row],[weighted_ext_score]]&lt;$O$3,Данные6[[#This Row],[Базовая сумма]]*$O$4,N764))</f>
        <v>0</v>
      </c>
      <c r="P7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4" s="2">
        <f>ABS(Данные6[[#This Row],[days_birth]])/365.2425</f>
        <v>32.312778496478366</v>
      </c>
      <c r="S7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4" s="2">
        <f>IF(Данные6[[#This Row],[ interest_rate]]&gt;$T$1,Данные6[[#This Row],[days_birth4]]*$T$2,Данные6[[#This Row],[days_birth4]])</f>
        <v>0</v>
      </c>
      <c r="U764" s="2">
        <f>IF(Данные6[[#This Row],[Проверка отказа]]="отказ",0,MAX(Данные6[[#This Row],[interest_rate]],$C$1))</f>
        <v>0</v>
      </c>
      <c r="V764" s="2">
        <f>MROUND(Данные6[[#This Row],[Минимум 20000]], 100)</f>
        <v>0</v>
      </c>
    </row>
    <row r="765" spans="1:22" x14ac:dyDescent="0.25">
      <c r="A765" s="2">
        <f>'1000_заявлений'!A759</f>
        <v>757</v>
      </c>
      <c r="B765" s="4">
        <f>VALUE(SUBSTITUTE('1000_заявлений'!B759, ".", ","))</f>
        <v>0.56594001674894401</v>
      </c>
      <c r="C765" s="4">
        <f>VALUE(SUBSTITUTE('1000_заявлений'!C759, ".", ","))</f>
        <v>0.35719337869369899</v>
      </c>
      <c r="D765" s="4">
        <f>VALUE(SUBSTITUTE('1000_заявлений'!D759, ".", ","))</f>
        <v>0.53527623000000002</v>
      </c>
      <c r="E765" s="4">
        <f>VALUE(SUBSTITUTE('1000_заявлений'!E759, ".", ","))</f>
        <v>0.50435890000000005</v>
      </c>
      <c r="F765" s="5">
        <f>VALUE(SUBSTITUTE('1000_заявлений'!F759, ".", ","))</f>
        <v>-3633</v>
      </c>
      <c r="G765" s="5">
        <f>VALUE(SUBSTITUTE('1000_заявлений'!G759, ".", ","))</f>
        <v>-18959</v>
      </c>
      <c r="H765" s="5">
        <f>VALUE(SUBSTITUTE('1000_заявлений'!H759, ".", ","))</f>
        <v>-2511</v>
      </c>
      <c r="I765" s="4">
        <f>VALUE(SUBSTITUTE('1000_заявлений'!I759, ".", ","))</f>
        <v>0.55400000000000005</v>
      </c>
      <c r="J765" s="4">
        <f>VALUE(SUBSTITUTE('1000_заявлений'!J759, ".", ","))</f>
        <v>1.61189629649765</v>
      </c>
      <c r="K765" s="5">
        <f>VALUE(SUBSTITUTE('1000_заявлений'!K759, ".", ","))</f>
        <v>-58</v>
      </c>
      <c r="L765" s="6">
        <f>VALUE(SUBSTITUTE('1000_заявлений'!L759, ".", ","))</f>
        <v>32409</v>
      </c>
      <c r="M765" s="2" t="str">
        <f>IF(Данные6[[#This Row],[proba]]&gt;$C$6, "отказ", "одобрение")</f>
        <v>отказ</v>
      </c>
      <c r="N765" s="7">
        <f>IF(Данные6[[#This Row],[proba]]&lt;$D$2,$C$2,IF(Данные6[[#This Row],[proba]]&lt;$D$3,$C$3,IF(Данные6[[#This Row],[proba]]&gt;$C$6,0,$C$4)))</f>
        <v>0</v>
      </c>
      <c r="O765" s="2">
        <f>IF(Данные6[[#This Row],[weighted_ext_score]]&gt;$O$1,MIN(Данные6[[#This Row],[Базовая сумма]]*$O$2,$C$2),IF(Данные6[[#This Row],[weighted_ext_score]]&lt;$O$3,Данные6[[#This Row],[Базовая сумма]]*$O$4,N765))</f>
        <v>0</v>
      </c>
      <c r="P7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5" s="2">
        <f>ABS(Данные6[[#This Row],[days_birth]])/365.2425</f>
        <v>51.907978945495117</v>
      </c>
      <c r="S7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5" s="2">
        <f>IF(Данные6[[#This Row],[ interest_rate]]&gt;$T$1,Данные6[[#This Row],[days_birth4]]*$T$2,Данные6[[#This Row],[days_birth4]])</f>
        <v>0</v>
      </c>
      <c r="U765" s="2">
        <f>IF(Данные6[[#This Row],[Проверка отказа]]="отказ",0,MAX(Данные6[[#This Row],[interest_rate]],$C$1))</f>
        <v>0</v>
      </c>
      <c r="V765" s="2">
        <f>MROUND(Данные6[[#This Row],[Минимум 20000]], 100)</f>
        <v>0</v>
      </c>
    </row>
    <row r="766" spans="1:22" x14ac:dyDescent="0.25">
      <c r="A766" s="2">
        <f>'1000_заявлений'!A760</f>
        <v>758</v>
      </c>
      <c r="B766" s="4">
        <f>VALUE(SUBSTITUTE('1000_заявлений'!B760, ".", ","))</f>
        <v>0.44974305771885498</v>
      </c>
      <c r="C766" s="4">
        <f>VALUE(SUBSTITUTE('1000_заявлений'!C760, ".", ","))</f>
        <v>0.52031812790545495</v>
      </c>
      <c r="D766" s="4">
        <f>VALUE(SUBSTITUTE('1000_заявлений'!D760, ".", ","))</f>
        <v>0.15008518000000001</v>
      </c>
      <c r="E766" s="4">
        <f>VALUE(SUBSTITUTE('1000_заявлений'!E760, ".", ","))</f>
        <v>0.72033190000000002</v>
      </c>
      <c r="F766" s="5">
        <f>VALUE(SUBSTITUTE('1000_заявлений'!F760, ".", ","))</f>
        <v>-5409</v>
      </c>
      <c r="G766" s="5">
        <f>VALUE(SUBSTITUTE('1000_заявлений'!G760, ".", ","))</f>
        <v>-20246</v>
      </c>
      <c r="H766" s="5">
        <f>VALUE(SUBSTITUTE('1000_заявлений'!H760, ".", ","))</f>
        <v>-3804</v>
      </c>
      <c r="I766" s="4">
        <f>VALUE(SUBSTITUTE('1000_заявлений'!I760, ".", ","))</f>
        <v>7.1840000000000001E-2</v>
      </c>
      <c r="J766" s="4">
        <f>VALUE(SUBSTITUTE('1000_заявлений'!J760, ".", ","))</f>
        <v>1.9221929010054299</v>
      </c>
      <c r="K766" s="5">
        <f>VALUE(SUBSTITUTE('1000_заявлений'!K760, ".", ","))</f>
        <v>-5076</v>
      </c>
      <c r="L766" s="6">
        <f>VALUE(SUBSTITUTE('1000_заявлений'!L760, ".", ","))</f>
        <v>24246</v>
      </c>
      <c r="M766" s="2" t="str">
        <f>IF(Данные6[[#This Row],[proba]]&gt;$C$6, "отказ", "одобрение")</f>
        <v>отказ</v>
      </c>
      <c r="N766" s="7">
        <f>IF(Данные6[[#This Row],[proba]]&lt;$D$2,$C$2,IF(Данные6[[#This Row],[proba]]&lt;$D$3,$C$3,IF(Данные6[[#This Row],[proba]]&gt;$C$6,0,$C$4)))</f>
        <v>0</v>
      </c>
      <c r="O766" s="2">
        <f>IF(Данные6[[#This Row],[weighted_ext_score]]&gt;$O$1,MIN(Данные6[[#This Row],[Базовая сумма]]*$O$2,$C$2),IF(Данные6[[#This Row],[weighted_ext_score]]&lt;$O$3,Данные6[[#This Row],[Базовая сумма]]*$O$4,N766))</f>
        <v>0</v>
      </c>
      <c r="P7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6" s="2">
        <f>ABS(Данные6[[#This Row],[days_birth]])/365.2425</f>
        <v>55.431665263489322</v>
      </c>
      <c r="S7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6" s="2">
        <f>IF(Данные6[[#This Row],[ interest_rate]]&gt;$T$1,Данные6[[#This Row],[days_birth4]]*$T$2,Данные6[[#This Row],[days_birth4]])</f>
        <v>0</v>
      </c>
      <c r="U766" s="2">
        <f>IF(Данные6[[#This Row],[Проверка отказа]]="отказ",0,MAX(Данные6[[#This Row],[interest_rate]],$C$1))</f>
        <v>0</v>
      </c>
      <c r="V766" s="2">
        <f>MROUND(Данные6[[#This Row],[Минимум 20000]], 100)</f>
        <v>0</v>
      </c>
    </row>
    <row r="767" spans="1:22" x14ac:dyDescent="0.25">
      <c r="A767" s="2">
        <f>'1000_заявлений'!A761</f>
        <v>759</v>
      </c>
      <c r="B767" s="4">
        <f>VALUE(SUBSTITUTE('1000_заявлений'!B761, ".", ","))</f>
        <v>0.43539016515843199</v>
      </c>
      <c r="C767" s="4">
        <f>VALUE(SUBSTITUTE('1000_заявлений'!C761, ".", ","))</f>
        <v>0.31826502639864601</v>
      </c>
      <c r="D767" s="4">
        <f>VALUE(SUBSTITUTE('1000_заявлений'!D761, ".", ","))</f>
        <v>0.41010257999999999</v>
      </c>
      <c r="E767" s="4">
        <f>VALUE(SUBSTITUTE('1000_заявлений'!E761, ".", ","))</f>
        <v>0.52391224999999997</v>
      </c>
      <c r="F767" s="5">
        <f>VALUE(SUBSTITUTE('1000_заявлений'!F761, ".", ","))</f>
        <v>-3136</v>
      </c>
      <c r="G767" s="5">
        <f>VALUE(SUBSTITUTE('1000_заявлений'!G761, ".", ","))</f>
        <v>-22505</v>
      </c>
      <c r="H767" s="5">
        <f>VALUE(SUBSTITUTE('1000_заявлений'!H761, ".", ","))</f>
        <v>-1107</v>
      </c>
      <c r="I767" s="4">
        <f>VALUE(SUBSTITUTE('1000_заявлений'!I761, ".", ","))</f>
        <v>0.15591025641025599</v>
      </c>
      <c r="J767" s="4">
        <f>VALUE(SUBSTITUTE('1000_заявлений'!J761, ".", ","))</f>
        <v>5.4996752110272498</v>
      </c>
      <c r="K767" s="5">
        <f>VALUE(SUBSTITUTE('1000_заявлений'!K761, ".", ","))</f>
        <v>365243</v>
      </c>
      <c r="L767" s="6">
        <f>VALUE(SUBSTITUTE('1000_заявлений'!L761, ".", ","))</f>
        <v>54724.5</v>
      </c>
      <c r="M767" s="2" t="str">
        <f>IF(Данные6[[#This Row],[proba]]&gt;$C$6, "отказ", "одобрение")</f>
        <v>отказ</v>
      </c>
      <c r="N767" s="7">
        <f>IF(Данные6[[#This Row],[proba]]&lt;$D$2,$C$2,IF(Данные6[[#This Row],[proba]]&lt;$D$3,$C$3,IF(Данные6[[#This Row],[proba]]&gt;$C$6,0,$C$4)))</f>
        <v>0</v>
      </c>
      <c r="O767" s="2">
        <f>IF(Данные6[[#This Row],[weighted_ext_score]]&gt;$O$1,MIN(Данные6[[#This Row],[Базовая сумма]]*$O$2,$C$2),IF(Данные6[[#This Row],[weighted_ext_score]]&lt;$O$3,Данные6[[#This Row],[Базовая сумма]]*$O$4,N767))</f>
        <v>0</v>
      </c>
      <c r="P7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7" s="2">
        <f>ABS(Данные6[[#This Row],[days_birth]])/365.2425</f>
        <v>61.616597192276366</v>
      </c>
      <c r="S7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7" s="2">
        <f>IF(Данные6[[#This Row],[ interest_rate]]&gt;$T$1,Данные6[[#This Row],[days_birth4]]*$T$2,Данные6[[#This Row],[days_birth4]])</f>
        <v>0</v>
      </c>
      <c r="U767" s="2">
        <f>IF(Данные6[[#This Row],[Проверка отказа]]="отказ",0,MAX(Данные6[[#This Row],[interest_rate]],$C$1))</f>
        <v>0</v>
      </c>
      <c r="V767" s="2">
        <f>MROUND(Данные6[[#This Row],[Минимум 20000]], 100)</f>
        <v>0</v>
      </c>
    </row>
    <row r="768" spans="1:22" x14ac:dyDescent="0.25">
      <c r="A768" s="2">
        <f>'1000_заявлений'!A762</f>
        <v>760</v>
      </c>
      <c r="B768" s="4">
        <f>VALUE(SUBSTITUTE('1000_заявлений'!B762, ".", ","))</f>
        <v>0.81117143459181495</v>
      </c>
      <c r="C768" s="4">
        <f>VALUE(SUBSTITUTE('1000_заявлений'!C762, ".", ","))</f>
        <v>0.14774607082616001</v>
      </c>
      <c r="D768" s="4">
        <f>VALUE(SUBSTITUTE('1000_заявлений'!D762, ".", ","))</f>
        <v>0.34252887999999998</v>
      </c>
      <c r="E768" s="4">
        <f>VALUE(SUBSTITUTE('1000_заявлений'!E762, ".", ","))</f>
        <v>7.3572285000000001E-2</v>
      </c>
      <c r="F768" s="5">
        <f>VALUE(SUBSTITUTE('1000_заявлений'!F762, ".", ","))</f>
        <v>-3342</v>
      </c>
      <c r="G768" s="5">
        <f>VALUE(SUBSTITUTE('1000_заявлений'!G762, ".", ","))</f>
        <v>-14837</v>
      </c>
      <c r="H768" s="5">
        <f>VALUE(SUBSTITUTE('1000_заявлений'!H762, ".", ","))</f>
        <v>-3943</v>
      </c>
      <c r="I768" s="4">
        <f>VALUE(SUBSTITUTE('1000_заявлений'!I762, ".", ","))</f>
        <v>0.12356666666666601</v>
      </c>
      <c r="J768" s="4">
        <f>VALUE(SUBSTITUTE('1000_заявлений'!J762, ".", ","))</f>
        <v>1.1186364039436201</v>
      </c>
      <c r="K768" s="5">
        <f>VALUE(SUBSTITUTE('1000_заявлений'!K762, ".", ","))</f>
        <v>-612</v>
      </c>
      <c r="L768" s="6">
        <f>VALUE(SUBSTITUTE('1000_заявлений'!L762, ".", ","))</f>
        <v>16681.5</v>
      </c>
      <c r="M768" s="2" t="str">
        <f>IF(Данные6[[#This Row],[proba]]&gt;$C$6, "отказ", "одобрение")</f>
        <v>отказ</v>
      </c>
      <c r="N768" s="7">
        <f>IF(Данные6[[#This Row],[proba]]&lt;$D$2,$C$2,IF(Данные6[[#This Row],[proba]]&lt;$D$3,$C$3,IF(Данные6[[#This Row],[proba]]&gt;$C$6,0,$C$4)))</f>
        <v>0</v>
      </c>
      <c r="O768" s="2">
        <f>IF(Данные6[[#This Row],[weighted_ext_score]]&gt;$O$1,MIN(Данные6[[#This Row],[Базовая сумма]]*$O$2,$C$2),IF(Данные6[[#This Row],[weighted_ext_score]]&lt;$O$3,Данные6[[#This Row],[Базовая сумма]]*$O$4,N768))</f>
        <v>0</v>
      </c>
      <c r="P7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68" s="2">
        <f>ABS(Данные6[[#This Row],[days_birth]])/365.2425</f>
        <v>40.622326262688489</v>
      </c>
      <c r="S7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68" s="2">
        <f>IF(Данные6[[#This Row],[ interest_rate]]&gt;$T$1,Данные6[[#This Row],[days_birth4]]*$T$2,Данные6[[#This Row],[days_birth4]])</f>
        <v>0</v>
      </c>
      <c r="U768" s="2">
        <f>IF(Данные6[[#This Row],[Проверка отказа]]="отказ",0,MAX(Данные6[[#This Row],[interest_rate]],$C$1))</f>
        <v>0</v>
      </c>
      <c r="V768" s="2">
        <f>MROUND(Данные6[[#This Row],[Минимум 20000]], 100)</f>
        <v>0</v>
      </c>
    </row>
    <row r="769" spans="1:22" x14ac:dyDescent="0.25">
      <c r="A769" s="2">
        <f>'1000_заявлений'!A763</f>
        <v>761</v>
      </c>
      <c r="B769" s="4">
        <f>VALUE(SUBSTITUTE('1000_заявлений'!B763, ".", ","))</f>
        <v>0.13697022664029501</v>
      </c>
      <c r="C769" s="4">
        <f>VALUE(SUBSTITUTE('1000_заявлений'!C763, ".", ","))</f>
        <v>0.76632174544932397</v>
      </c>
      <c r="D769" s="4">
        <f>VALUE(SUBSTITUTE('1000_заявлений'!D763, ".", ","))</f>
        <v>0.82459499999999997</v>
      </c>
      <c r="E769" s="4">
        <f>VALUE(SUBSTITUTE('1000_заявлений'!E763, ".", ","))</f>
        <v>0.5945587</v>
      </c>
      <c r="F769" s="5">
        <f>VALUE(SUBSTITUTE('1000_заявлений'!F763, ".", ","))</f>
        <v>-10303</v>
      </c>
      <c r="G769" s="5">
        <f>VALUE(SUBSTITUTE('1000_заявлений'!G763, ".", ","))</f>
        <v>-19180</v>
      </c>
      <c r="H769" s="5">
        <f>VALUE(SUBSTITUTE('1000_заявлений'!H763, ".", ","))</f>
        <v>-2687</v>
      </c>
      <c r="I769" s="4">
        <f>VALUE(SUBSTITUTE('1000_заявлений'!I763, ".", ","))</f>
        <v>0.16370000000000001</v>
      </c>
      <c r="J769" s="4">
        <f>VALUE(SUBSTITUTE('1000_заявлений'!J763, ".", ","))</f>
        <v>2.1960270245411802</v>
      </c>
      <c r="K769" s="5">
        <f>VALUE(SUBSTITUTE('1000_заявлений'!K763, ".", ","))</f>
        <v>-5371</v>
      </c>
      <c r="L769" s="6">
        <f>VALUE(SUBSTITUTE('1000_заявлений'!L763, ".", ","))</f>
        <v>22099.5</v>
      </c>
      <c r="M769" s="2" t="str">
        <f>IF(Данные6[[#This Row],[proba]]&gt;$C$6, "отказ", "одобрение")</f>
        <v>одобрение</v>
      </c>
      <c r="N769" s="7">
        <f>IF(Данные6[[#This Row],[proba]]&lt;$D$2,$C$2,IF(Данные6[[#This Row],[proba]]&lt;$D$3,$C$3,IF(Данные6[[#This Row],[proba]]&gt;$C$6,0,$C$4)))</f>
        <v>200000</v>
      </c>
      <c r="O769" s="2">
        <f>IF(Данные6[[#This Row],[weighted_ext_score]]&gt;$O$1,MIN(Данные6[[#This Row],[Базовая сумма]]*$O$2,$C$2),IF(Данные6[[#This Row],[weighted_ext_score]]&lt;$O$3,Данные6[[#This Row],[Базовая сумма]]*$O$4,N769))</f>
        <v>300000</v>
      </c>
      <c r="P7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7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769" s="2">
        <f>ABS(Данные6[[#This Row],[days_birth]])/365.2425</f>
        <v>52.513056394039573</v>
      </c>
      <c r="S7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769" s="2">
        <f>IF(Данные6[[#This Row],[ interest_rate]]&gt;$T$1,Данные6[[#This Row],[days_birth4]]*$T$2,Данные6[[#This Row],[days_birth4]])</f>
        <v>300000</v>
      </c>
      <c r="U769" s="2">
        <f>IF(Данные6[[#This Row],[Проверка отказа]]="отказ",0,MAX(Данные6[[#This Row],[interest_rate]],$C$1))</f>
        <v>300000</v>
      </c>
      <c r="V769" s="2">
        <f>MROUND(Данные6[[#This Row],[Минимум 20000]], 100)</f>
        <v>300000</v>
      </c>
    </row>
    <row r="770" spans="1:22" x14ac:dyDescent="0.25">
      <c r="A770" s="2">
        <f>'1000_заявлений'!A764</f>
        <v>762</v>
      </c>
      <c r="B770" s="4">
        <f>VALUE(SUBSTITUTE('1000_заявлений'!B764, ".", ","))</f>
        <v>0.27220680556853799</v>
      </c>
      <c r="C770" s="4">
        <f>VALUE(SUBSTITUTE('1000_заявлений'!C764, ".", ","))</f>
        <v>0.41475041481115998</v>
      </c>
      <c r="D770" s="4">
        <f>VALUE(SUBSTITUTE('1000_заявлений'!D764, ".", ","))</f>
        <v>0.68947919999999996</v>
      </c>
      <c r="E770" s="4">
        <f>VALUE(SUBSTITUTE('1000_заявлений'!E764, ".", ","))</f>
        <v>0.50986830000000005</v>
      </c>
      <c r="F770" s="5">
        <f>VALUE(SUBSTITUTE('1000_заявлений'!F764, ".", ","))</f>
        <v>-10395</v>
      </c>
      <c r="G770" s="5">
        <f>VALUE(SUBSTITUTE('1000_заявлений'!G764, ".", ","))</f>
        <v>-22813</v>
      </c>
      <c r="H770" s="5">
        <f>VALUE(SUBSTITUTE('1000_заявлений'!H764, ".", ","))</f>
        <v>-4467</v>
      </c>
      <c r="I770" s="4">
        <f>VALUE(SUBSTITUTE('1000_заявлений'!I764, ".", ","))</f>
        <v>0.21156</v>
      </c>
      <c r="J770" s="4">
        <f>VALUE(SUBSTITUTE('1000_заявлений'!J764, ".", ","))</f>
        <v>1.55382250415887</v>
      </c>
      <c r="K770" s="5">
        <f>VALUE(SUBSTITUTE('1000_заявлений'!K764, ".", ","))</f>
        <v>365243</v>
      </c>
      <c r="L770" s="6">
        <f>VALUE(SUBSTITUTE('1000_заявлений'!L764, ".", ","))</f>
        <v>23800.5</v>
      </c>
      <c r="M770" s="2" t="str">
        <f>IF(Данные6[[#This Row],[proba]]&gt;$C$6, "отказ", "одобрение")</f>
        <v>одобрение</v>
      </c>
      <c r="N770" s="7">
        <f>IF(Данные6[[#This Row],[proba]]&lt;$D$2,$C$2,IF(Данные6[[#This Row],[proba]]&lt;$D$3,$C$3,IF(Данные6[[#This Row],[proba]]&gt;$C$6,0,$C$4)))</f>
        <v>50000</v>
      </c>
      <c r="O770" s="2">
        <f>IF(Данные6[[#This Row],[weighted_ext_score]]&gt;$O$1,MIN(Данные6[[#This Row],[Базовая сумма]]*$O$2,$C$2),IF(Данные6[[#This Row],[weighted_ext_score]]&lt;$O$3,Данные6[[#This Row],[Базовая сумма]]*$O$4,N770))</f>
        <v>40000</v>
      </c>
      <c r="P7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770" s="2">
        <f>ABS(Данные6[[#This Row],[days_birth]])/365.2425</f>
        <v>62.459872550428827</v>
      </c>
      <c r="S7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770" s="2">
        <f>IF(Данные6[[#This Row],[ interest_rate]]&gt;$T$1,Данные6[[#This Row],[days_birth4]]*$T$2,Данные6[[#This Row],[days_birth4]])</f>
        <v>42000</v>
      </c>
      <c r="U770" s="2">
        <f>IF(Данные6[[#This Row],[Проверка отказа]]="отказ",0,MAX(Данные6[[#This Row],[interest_rate]],$C$1))</f>
        <v>42000</v>
      </c>
      <c r="V770" s="2">
        <f>MROUND(Данные6[[#This Row],[Минимум 20000]], 100)</f>
        <v>42000</v>
      </c>
    </row>
    <row r="771" spans="1:22" x14ac:dyDescent="0.25">
      <c r="A771" s="2">
        <f>'1000_заявлений'!A765</f>
        <v>763</v>
      </c>
      <c r="B771" s="4">
        <f>VALUE(SUBSTITUTE('1000_заявлений'!B765, ".", ","))</f>
        <v>0.19315309099193601</v>
      </c>
      <c r="C771" s="4">
        <f>VALUE(SUBSTITUTE('1000_заявлений'!C765, ".", ","))</f>
        <v>0.75543279595272095</v>
      </c>
      <c r="D771" s="4">
        <f>VALUE(SUBSTITUTE('1000_заявлений'!D765, ".", ","))</f>
        <v>0.6910212</v>
      </c>
      <c r="E771" s="4">
        <f>VALUE(SUBSTITUTE('1000_заявлений'!E765, ".", ","))</f>
        <v>0.69416164999999996</v>
      </c>
      <c r="F771" s="5">
        <f>VALUE(SUBSTITUTE('1000_заявлений'!F765, ".", ","))</f>
        <v>-4060</v>
      </c>
      <c r="G771" s="5">
        <f>VALUE(SUBSTITUTE('1000_заявлений'!G765, ".", ","))</f>
        <v>-16708</v>
      </c>
      <c r="H771" s="5">
        <f>VALUE(SUBSTITUTE('1000_заявлений'!H765, ".", ","))</f>
        <v>-246</v>
      </c>
      <c r="I771" s="4">
        <f>VALUE(SUBSTITUTE('1000_заявлений'!I765, ".", ","))</f>
        <v>0.263066666666666</v>
      </c>
      <c r="J771" s="4">
        <f>VALUE(SUBSTITUTE('1000_заявлений'!J765, ".", ","))</f>
        <v>2.7613330217712302</v>
      </c>
      <c r="K771" s="5">
        <f>VALUE(SUBSTITUTE('1000_заявлений'!K765, ".", ","))</f>
        <v>-9551</v>
      </c>
      <c r="L771" s="6">
        <f>VALUE(SUBSTITUTE('1000_заявлений'!L765, ".", ","))</f>
        <v>35514</v>
      </c>
      <c r="M771" s="2" t="str">
        <f>IF(Данные6[[#This Row],[proba]]&gt;$C$6, "отказ", "одобрение")</f>
        <v>одобрение</v>
      </c>
      <c r="N771" s="7">
        <f>IF(Данные6[[#This Row],[proba]]&lt;$D$2,$C$2,IF(Данные6[[#This Row],[proba]]&lt;$D$3,$C$3,IF(Данные6[[#This Row],[proba]]&gt;$C$6,0,$C$4)))</f>
        <v>200000</v>
      </c>
      <c r="O771" s="2">
        <f>IF(Данные6[[#This Row],[weighted_ext_score]]&gt;$O$1,MIN(Данные6[[#This Row],[Базовая сумма]]*$O$2,$C$2),IF(Данные6[[#This Row],[weighted_ext_score]]&lt;$O$3,Данные6[[#This Row],[Базовая сумма]]*$O$4,N771))</f>
        <v>300000</v>
      </c>
      <c r="P7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7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771" s="2">
        <f>ABS(Данные6[[#This Row],[days_birth]])/365.2425</f>
        <v>45.744950272763987</v>
      </c>
      <c r="S7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771" s="2">
        <f>IF(Данные6[[#This Row],[ interest_rate]]&gt;$T$1,Данные6[[#This Row],[days_birth4]]*$T$2,Данные6[[#This Row],[days_birth4]])</f>
        <v>300000</v>
      </c>
      <c r="U771" s="2">
        <f>IF(Данные6[[#This Row],[Проверка отказа]]="отказ",0,MAX(Данные6[[#This Row],[interest_rate]],$C$1))</f>
        <v>300000</v>
      </c>
      <c r="V771" s="2">
        <f>MROUND(Данные6[[#This Row],[Минимум 20000]], 100)</f>
        <v>300000</v>
      </c>
    </row>
    <row r="772" spans="1:22" x14ac:dyDescent="0.25">
      <c r="A772" s="2">
        <f>'1000_заявлений'!A766</f>
        <v>764</v>
      </c>
      <c r="B772" s="4">
        <f>VALUE(SUBSTITUTE('1000_заявлений'!B766, ".", ","))</f>
        <v>0.45108819595701299</v>
      </c>
      <c r="C772" s="4">
        <f>VALUE(SUBSTITUTE('1000_заявлений'!C766, ".", ","))</f>
        <v>0.44928763541759498</v>
      </c>
      <c r="D772" s="4">
        <f>VALUE(SUBSTITUTE('1000_заявлений'!D766, ".", ","))</f>
        <v>0.65126019999999996</v>
      </c>
      <c r="E772" s="4">
        <f>VALUE(SUBSTITUTE('1000_заявлений'!E766, ".", ","))</f>
        <v>0.31179259999999998</v>
      </c>
      <c r="F772" s="5">
        <f>VALUE(SUBSTITUTE('1000_заявлений'!F766, ".", ","))</f>
        <v>-5003</v>
      </c>
      <c r="G772" s="5">
        <f>VALUE(SUBSTITUTE('1000_заявлений'!G766, ".", ","))</f>
        <v>-11987</v>
      </c>
      <c r="H772" s="5">
        <f>VALUE(SUBSTITUTE('1000_заявлений'!H766, ".", ","))</f>
        <v>-1357</v>
      </c>
      <c r="I772" s="4">
        <f>VALUE(SUBSTITUTE('1000_заявлений'!I766, ".", ","))</f>
        <v>9.35E-2</v>
      </c>
      <c r="J772" s="4">
        <f>VALUE(SUBSTITUTE('1000_заявлений'!J766, ".", ","))</f>
        <v>5.4514243735080701</v>
      </c>
      <c r="K772" s="5">
        <f>VALUE(SUBSTITUTE('1000_заявлений'!K766, ".", ","))</f>
        <v>-415</v>
      </c>
      <c r="L772" s="6">
        <f>VALUE(SUBSTITUTE('1000_заявлений'!L766, ".", ","))</f>
        <v>11781</v>
      </c>
      <c r="M772" s="2" t="str">
        <f>IF(Данные6[[#This Row],[proba]]&gt;$C$6, "отказ", "одобрение")</f>
        <v>отказ</v>
      </c>
      <c r="N772" s="7">
        <f>IF(Данные6[[#This Row],[proba]]&lt;$D$2,$C$2,IF(Данные6[[#This Row],[proba]]&lt;$D$3,$C$3,IF(Данные6[[#This Row],[proba]]&gt;$C$6,0,$C$4)))</f>
        <v>0</v>
      </c>
      <c r="O772" s="2">
        <f>IF(Данные6[[#This Row],[weighted_ext_score]]&gt;$O$1,MIN(Данные6[[#This Row],[Базовая сумма]]*$O$2,$C$2),IF(Данные6[[#This Row],[weighted_ext_score]]&lt;$O$3,Данные6[[#This Row],[Базовая сумма]]*$O$4,N772))</f>
        <v>0</v>
      </c>
      <c r="P7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2" s="2">
        <f>ABS(Данные6[[#This Row],[days_birth]])/365.2425</f>
        <v>32.81929129277124</v>
      </c>
      <c r="S7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2" s="2">
        <f>IF(Данные6[[#This Row],[ interest_rate]]&gt;$T$1,Данные6[[#This Row],[days_birth4]]*$T$2,Данные6[[#This Row],[days_birth4]])</f>
        <v>0</v>
      </c>
      <c r="U772" s="2">
        <f>IF(Данные6[[#This Row],[Проверка отказа]]="отказ",0,MAX(Данные6[[#This Row],[interest_rate]],$C$1))</f>
        <v>0</v>
      </c>
      <c r="V772" s="2">
        <f>MROUND(Данные6[[#This Row],[Минимум 20000]], 100)</f>
        <v>0</v>
      </c>
    </row>
    <row r="773" spans="1:22" x14ac:dyDescent="0.25">
      <c r="A773" s="2">
        <f>'1000_заявлений'!A767</f>
        <v>765</v>
      </c>
      <c r="B773" s="4">
        <f>VALUE(SUBSTITUTE('1000_заявлений'!B767, ".", ","))</f>
        <v>0.14649360178767701</v>
      </c>
      <c r="C773" s="4">
        <f>VALUE(SUBSTITUTE('1000_заявлений'!C767, ".", ","))</f>
        <v>0.69657903053907599</v>
      </c>
      <c r="D773" s="4">
        <f>VALUE(SUBSTITUTE('1000_заявлений'!D767, ".", ","))</f>
        <v>0.71215516000000001</v>
      </c>
      <c r="E773" s="4">
        <f>VALUE(SUBSTITUTE('1000_заявлений'!E767, ".", ","))</f>
        <v>0.69238540000000004</v>
      </c>
      <c r="F773" s="5">
        <f>VALUE(SUBSTITUTE('1000_заявлений'!F767, ".", ","))</f>
        <v>-7526</v>
      </c>
      <c r="G773" s="5">
        <f>VALUE(SUBSTITUTE('1000_заявлений'!G767, ".", ","))</f>
        <v>-13389</v>
      </c>
      <c r="H773" s="5">
        <f>VALUE(SUBSTITUTE('1000_заявлений'!H767, ".", ","))</f>
        <v>-4281</v>
      </c>
      <c r="I773" s="4">
        <f>VALUE(SUBSTITUTE('1000_заявлений'!I767, ".", ","))</f>
        <v>9.9485714285714205E-2</v>
      </c>
      <c r="J773" s="4">
        <f>VALUE(SUBSTITUTE('1000_заявлений'!J767, ".", ","))</f>
        <v>11.2670102341412</v>
      </c>
      <c r="K773" s="5">
        <f>VALUE(SUBSTITUTE('1000_заявлений'!K767, ".", ","))</f>
        <v>-4278</v>
      </c>
      <c r="L773" s="6">
        <f>VALUE(SUBSTITUTE('1000_заявлений'!L767, ".", ","))</f>
        <v>15669</v>
      </c>
      <c r="M773" s="2" t="str">
        <f>IF(Данные6[[#This Row],[proba]]&gt;$C$6, "отказ", "одобрение")</f>
        <v>одобрение</v>
      </c>
      <c r="N773" s="7">
        <f>IF(Данные6[[#This Row],[proba]]&lt;$D$2,$C$2,IF(Данные6[[#This Row],[proba]]&lt;$D$3,$C$3,IF(Данные6[[#This Row],[proba]]&gt;$C$6,0,$C$4)))</f>
        <v>200000</v>
      </c>
      <c r="O773" s="2">
        <f>IF(Данные6[[#This Row],[weighted_ext_score]]&gt;$O$1,MIN(Данные6[[#This Row],[Базовая сумма]]*$O$2,$C$2),IF(Данные6[[#This Row],[weighted_ext_score]]&lt;$O$3,Данные6[[#This Row],[Базовая сумма]]*$O$4,N773))</f>
        <v>200000</v>
      </c>
      <c r="P7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240000</v>
      </c>
      <c r="Q7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288000</v>
      </c>
      <c r="R773" s="2">
        <f>ABS(Данные6[[#This Row],[days_birth]])/365.2425</f>
        <v>36.657836916569131</v>
      </c>
      <c r="S7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288000</v>
      </c>
      <c r="T773" s="2">
        <f>IF(Данные6[[#This Row],[ interest_rate]]&gt;$T$1,Данные6[[#This Row],[days_birth4]]*$T$2,Данные6[[#This Row],[days_birth4]])</f>
        <v>288000</v>
      </c>
      <c r="U773" s="2">
        <f>IF(Данные6[[#This Row],[Проверка отказа]]="отказ",0,MAX(Данные6[[#This Row],[interest_rate]],$C$1))</f>
        <v>288000</v>
      </c>
      <c r="V773" s="2">
        <f>MROUND(Данные6[[#This Row],[Минимум 20000]], 100)</f>
        <v>288000</v>
      </c>
    </row>
    <row r="774" spans="1:22" x14ac:dyDescent="0.25">
      <c r="A774" s="2">
        <f>'1000_заявлений'!A768</f>
        <v>766</v>
      </c>
      <c r="B774" s="4">
        <f>VALUE(SUBSTITUTE('1000_заявлений'!B768, ".", ","))</f>
        <v>0.76036594647700995</v>
      </c>
      <c r="C774" s="4">
        <f>VALUE(SUBSTITUTE('1000_заявлений'!C768, ".", ","))</f>
        <v>0.19103382907695099</v>
      </c>
      <c r="D774" s="4">
        <f>VALUE(SUBSTITUTE('1000_заявлений'!D768, ".", ","))</f>
        <v>0.35563869999999997</v>
      </c>
      <c r="E774" s="4">
        <f>VALUE(SUBSTITUTE('1000_заявлений'!E768, ".", ","))</f>
        <v>0.19240439000000001</v>
      </c>
      <c r="F774" s="5">
        <f>VALUE(SUBSTITUTE('1000_заявлений'!F768, ".", ","))</f>
        <v>-1556</v>
      </c>
      <c r="G774" s="5">
        <f>VALUE(SUBSTITUTE('1000_заявлений'!G768, ".", ","))</f>
        <v>-14646</v>
      </c>
      <c r="H774" s="5">
        <f>VALUE(SUBSTITUTE('1000_заявлений'!H768, ".", ","))</f>
        <v>-3987</v>
      </c>
      <c r="I774" s="4">
        <f>VALUE(SUBSTITUTE('1000_заявлений'!I768, ".", ","))</f>
        <v>0.15815000000000001</v>
      </c>
      <c r="J774" s="4">
        <f>VALUE(SUBSTITUTE('1000_заявлений'!J768, ".", ","))</f>
        <v>3.4952491230592</v>
      </c>
      <c r="K774" s="5">
        <f>VALUE(SUBSTITUTE('1000_заявлений'!K768, ".", ","))</f>
        <v>-2291</v>
      </c>
      <c r="L774" s="6">
        <f>VALUE(SUBSTITUTE('1000_заявлений'!L768, ".", ","))</f>
        <v>14233.5</v>
      </c>
      <c r="M774" s="2" t="str">
        <f>IF(Данные6[[#This Row],[proba]]&gt;$C$6, "отказ", "одобрение")</f>
        <v>отказ</v>
      </c>
      <c r="N774" s="7">
        <f>IF(Данные6[[#This Row],[proba]]&lt;$D$2,$C$2,IF(Данные6[[#This Row],[proba]]&lt;$D$3,$C$3,IF(Данные6[[#This Row],[proba]]&gt;$C$6,0,$C$4)))</f>
        <v>0</v>
      </c>
      <c r="O774" s="2">
        <f>IF(Данные6[[#This Row],[weighted_ext_score]]&gt;$O$1,MIN(Данные6[[#This Row],[Базовая сумма]]*$O$2,$C$2),IF(Данные6[[#This Row],[weighted_ext_score]]&lt;$O$3,Данные6[[#This Row],[Базовая сумма]]*$O$4,N774))</f>
        <v>0</v>
      </c>
      <c r="P7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4" s="2">
        <f>ABS(Данные6[[#This Row],[days_birth]])/365.2425</f>
        <v>40.099386024353684</v>
      </c>
      <c r="S7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4" s="2">
        <f>IF(Данные6[[#This Row],[ interest_rate]]&gt;$T$1,Данные6[[#This Row],[days_birth4]]*$T$2,Данные6[[#This Row],[days_birth4]])</f>
        <v>0</v>
      </c>
      <c r="U774" s="2">
        <f>IF(Данные6[[#This Row],[Проверка отказа]]="отказ",0,MAX(Данные6[[#This Row],[interest_rate]],$C$1))</f>
        <v>0</v>
      </c>
      <c r="V774" s="2">
        <f>MROUND(Данные6[[#This Row],[Минимум 20000]], 100)</f>
        <v>0</v>
      </c>
    </row>
    <row r="775" spans="1:22" x14ac:dyDescent="0.25">
      <c r="A775" s="2">
        <f>'1000_заявлений'!A769</f>
        <v>767</v>
      </c>
      <c r="B775" s="4">
        <f>VALUE(SUBSTITUTE('1000_заявлений'!B769, ".", ","))</f>
        <v>0.24282598149332299</v>
      </c>
      <c r="C775" s="4">
        <f>VALUE(SUBSTITUTE('1000_заявлений'!C769, ".", ","))</f>
        <v>0.443479778691654</v>
      </c>
      <c r="D775" s="4">
        <f>VALUE(SUBSTITUTE('1000_заявлений'!D769, ".", ","))</f>
        <v>0.65778380000000003</v>
      </c>
      <c r="E775" s="4">
        <f>VALUE(SUBSTITUTE('1000_заявлений'!E769, ".", ","))</f>
        <v>0.63377510000000004</v>
      </c>
      <c r="F775" s="5">
        <f>VALUE(SUBSTITUTE('1000_заявлений'!F769, ".", ","))</f>
        <v>-2391</v>
      </c>
      <c r="G775" s="5">
        <f>VALUE(SUBSTITUTE('1000_заявлений'!G769, ".", ","))</f>
        <v>-22870</v>
      </c>
      <c r="H775" s="5">
        <f>VALUE(SUBSTITUTE('1000_заявлений'!H769, ".", ","))</f>
        <v>-4388</v>
      </c>
      <c r="I775" s="4">
        <f>VALUE(SUBSTITUTE('1000_заявлений'!I769, ".", ","))</f>
        <v>0.1968</v>
      </c>
      <c r="J775" s="4">
        <f>VALUE(SUBSTITUTE('1000_заявлений'!J769, ".", ","))</f>
        <v>2.0827548004397101</v>
      </c>
      <c r="K775" s="5">
        <f>VALUE(SUBSTITUTE('1000_заявлений'!K769, ".", ","))</f>
        <v>365243</v>
      </c>
      <c r="L775" s="6">
        <f>VALUE(SUBSTITUTE('1000_заявлений'!L769, ".", ","))</f>
        <v>22140</v>
      </c>
      <c r="M775" s="2" t="str">
        <f>IF(Данные6[[#This Row],[proba]]&gt;$C$6, "отказ", "одобрение")</f>
        <v>одобрение</v>
      </c>
      <c r="N775" s="7">
        <f>IF(Данные6[[#This Row],[proba]]&lt;$D$2,$C$2,IF(Данные6[[#This Row],[proba]]&lt;$D$3,$C$3,IF(Данные6[[#This Row],[proba]]&gt;$C$6,0,$C$4)))</f>
        <v>50000</v>
      </c>
      <c r="O775" s="2">
        <f>IF(Данные6[[#This Row],[weighted_ext_score]]&gt;$O$1,MIN(Данные6[[#This Row],[Базовая сумма]]*$O$2,$C$2),IF(Данные6[[#This Row],[weighted_ext_score]]&lt;$O$3,Данные6[[#This Row],[Базовая сумма]]*$O$4,N775))</f>
        <v>40000</v>
      </c>
      <c r="P7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775" s="2">
        <f>ABS(Данные6[[#This Row],[days_birth]])/365.2425</f>
        <v>62.615933249827165</v>
      </c>
      <c r="S7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775" s="2">
        <f>IF(Данные6[[#This Row],[ interest_rate]]&gt;$T$1,Данные6[[#This Row],[days_birth4]]*$T$2,Данные6[[#This Row],[days_birth4]])</f>
        <v>42000</v>
      </c>
      <c r="U775" s="2">
        <f>IF(Данные6[[#This Row],[Проверка отказа]]="отказ",0,MAX(Данные6[[#This Row],[interest_rate]],$C$1))</f>
        <v>42000</v>
      </c>
      <c r="V775" s="2">
        <f>MROUND(Данные6[[#This Row],[Минимум 20000]], 100)</f>
        <v>42000</v>
      </c>
    </row>
    <row r="776" spans="1:22" x14ac:dyDescent="0.25">
      <c r="A776" s="2">
        <f>'1000_заявлений'!A770</f>
        <v>768</v>
      </c>
      <c r="B776" s="4">
        <f>VALUE(SUBSTITUTE('1000_заявлений'!B770, ".", ","))</f>
        <v>0.80430601827631998</v>
      </c>
      <c r="C776" s="4">
        <f>VALUE(SUBSTITUTE('1000_заявлений'!C770, ".", ","))</f>
        <v>0.340519765757338</v>
      </c>
      <c r="D776" s="4">
        <f>VALUE(SUBSTITUTE('1000_заявлений'!D770, ".", ","))</f>
        <v>0.20559815000000001</v>
      </c>
      <c r="E776" s="4">
        <f>VALUE(SUBSTITUTE('1000_заявлений'!E770, ".", ","))</f>
        <v>0.17312895</v>
      </c>
      <c r="F776" s="5">
        <f>VALUE(SUBSTITUTE('1000_заявлений'!F770, ".", ","))</f>
        <v>-1863</v>
      </c>
      <c r="G776" s="5">
        <f>VALUE(SUBSTITUTE('1000_заявлений'!G770, ".", ","))</f>
        <v>-12161</v>
      </c>
      <c r="H776" s="5">
        <f>VALUE(SUBSTITUTE('1000_заявлений'!H770, ".", ","))</f>
        <v>-4078</v>
      </c>
      <c r="I776" s="4">
        <f>VALUE(SUBSTITUTE('1000_заявлений'!I770, ".", ","))</f>
        <v>0.29239999999999999</v>
      </c>
      <c r="J776" s="4">
        <f>VALUE(SUBSTITUTE('1000_заявлений'!J770, ".", ","))</f>
        <v>1.55972200073934</v>
      </c>
      <c r="K776" s="5">
        <f>VALUE(SUBSTITUTE('1000_заявлений'!K770, ".", ","))</f>
        <v>-1918</v>
      </c>
      <c r="L776" s="6">
        <f>VALUE(SUBSTITUTE('1000_заявлений'!L770, ".", ","))</f>
        <v>32895</v>
      </c>
      <c r="M776" s="2" t="str">
        <f>IF(Данные6[[#This Row],[proba]]&gt;$C$6, "отказ", "одобрение")</f>
        <v>отказ</v>
      </c>
      <c r="N776" s="7">
        <f>IF(Данные6[[#This Row],[proba]]&lt;$D$2,$C$2,IF(Данные6[[#This Row],[proba]]&lt;$D$3,$C$3,IF(Данные6[[#This Row],[proba]]&gt;$C$6,0,$C$4)))</f>
        <v>0</v>
      </c>
      <c r="O776" s="2">
        <f>IF(Данные6[[#This Row],[weighted_ext_score]]&gt;$O$1,MIN(Данные6[[#This Row],[Базовая сумма]]*$O$2,$C$2),IF(Данные6[[#This Row],[weighted_ext_score]]&lt;$O$3,Данные6[[#This Row],[Базовая сумма]]*$O$4,N776))</f>
        <v>0</v>
      </c>
      <c r="P7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6" s="2">
        <f>ABS(Данные6[[#This Row],[days_birth]])/365.2425</f>
        <v>33.295687111987242</v>
      </c>
      <c r="S7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6" s="2">
        <f>IF(Данные6[[#This Row],[ interest_rate]]&gt;$T$1,Данные6[[#This Row],[days_birth4]]*$T$2,Данные6[[#This Row],[days_birth4]])</f>
        <v>0</v>
      </c>
      <c r="U776" s="2">
        <f>IF(Данные6[[#This Row],[Проверка отказа]]="отказ",0,MAX(Данные6[[#This Row],[interest_rate]],$C$1))</f>
        <v>0</v>
      </c>
      <c r="V776" s="2">
        <f>MROUND(Данные6[[#This Row],[Минимум 20000]], 100)</f>
        <v>0</v>
      </c>
    </row>
    <row r="777" spans="1:22" x14ac:dyDescent="0.25">
      <c r="A777" s="2">
        <f>'1000_заявлений'!A771</f>
        <v>769</v>
      </c>
      <c r="B777" s="4">
        <f>VALUE(SUBSTITUTE('1000_заявлений'!B771, ".", ","))</f>
        <v>0.485217457085728</v>
      </c>
      <c r="C777" s="4">
        <f>VALUE(SUBSTITUTE('1000_заявлений'!C771, ".", ","))</f>
        <v>0.34626215654798898</v>
      </c>
      <c r="D777" s="4">
        <f>VALUE(SUBSTITUTE('1000_заявлений'!D771, ".", ","))</f>
        <v>0.46506920000000002</v>
      </c>
      <c r="E777" s="4">
        <f>VALUE(SUBSTITUTE('1000_заявлений'!E771, ".", ","))</f>
        <v>0.54893744</v>
      </c>
      <c r="F777" s="5">
        <f>VALUE(SUBSTITUTE('1000_заявлений'!F771, ".", ","))</f>
        <v>-958</v>
      </c>
      <c r="G777" s="5">
        <f>VALUE(SUBSTITUTE('1000_заявлений'!G771, ".", ","))</f>
        <v>-15607</v>
      </c>
      <c r="H777" s="5">
        <f>VALUE(SUBSTITUTE('1000_заявлений'!H771, ".", ","))</f>
        <v>-4879</v>
      </c>
      <c r="I777" s="4">
        <f>VALUE(SUBSTITUTE('1000_заявлений'!I771, ".", ","))</f>
        <v>0.101388888888888</v>
      </c>
      <c r="J777" s="4">
        <f>VALUE(SUBSTITUTE('1000_заявлений'!J771, ".", ","))</f>
        <v>1.82350016999419</v>
      </c>
      <c r="K777" s="5">
        <f>VALUE(SUBSTITUTE('1000_заявлений'!K771, ".", ","))</f>
        <v>-2185</v>
      </c>
      <c r="L777" s="6">
        <f>VALUE(SUBSTITUTE('1000_заявлений'!L771, ".", ","))</f>
        <v>8212.5</v>
      </c>
      <c r="M777" s="2" t="str">
        <f>IF(Данные6[[#This Row],[proba]]&gt;$C$6, "отказ", "одобрение")</f>
        <v>отказ</v>
      </c>
      <c r="N777" s="7">
        <f>IF(Данные6[[#This Row],[proba]]&lt;$D$2,$C$2,IF(Данные6[[#This Row],[proba]]&lt;$D$3,$C$3,IF(Данные6[[#This Row],[proba]]&gt;$C$6,0,$C$4)))</f>
        <v>0</v>
      </c>
      <c r="O777" s="2">
        <f>IF(Данные6[[#This Row],[weighted_ext_score]]&gt;$O$1,MIN(Данные6[[#This Row],[Базовая сумма]]*$O$2,$C$2),IF(Данные6[[#This Row],[weighted_ext_score]]&lt;$O$3,Данные6[[#This Row],[Базовая сумма]]*$O$4,N777))</f>
        <v>0</v>
      </c>
      <c r="P7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7" s="2">
        <f>ABS(Данные6[[#This Row],[days_birth]])/365.2425</f>
        <v>42.730514658069637</v>
      </c>
      <c r="S7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7" s="2">
        <f>IF(Данные6[[#This Row],[ interest_rate]]&gt;$T$1,Данные6[[#This Row],[days_birth4]]*$T$2,Данные6[[#This Row],[days_birth4]])</f>
        <v>0</v>
      </c>
      <c r="U777" s="2">
        <f>IF(Данные6[[#This Row],[Проверка отказа]]="отказ",0,MAX(Данные6[[#This Row],[interest_rate]],$C$1))</f>
        <v>0</v>
      </c>
      <c r="V777" s="2">
        <f>MROUND(Данные6[[#This Row],[Минимум 20000]], 100)</f>
        <v>0</v>
      </c>
    </row>
    <row r="778" spans="1:22" x14ac:dyDescent="0.25">
      <c r="A778" s="2">
        <f>'1000_заявлений'!A772</f>
        <v>770</v>
      </c>
      <c r="B778" s="4">
        <f>VALUE(SUBSTITUTE('1000_заявлений'!B772, ".", ","))</f>
        <v>0.344128375809997</v>
      </c>
      <c r="C778" s="4">
        <f>VALUE(SUBSTITUTE('1000_заявлений'!C772, ".", ","))</f>
        <v>0.5761292593117</v>
      </c>
      <c r="D778" s="4">
        <f>VALUE(SUBSTITUTE('1000_заявлений'!D772, ".", ","))</f>
        <v>0.27500036</v>
      </c>
      <c r="E778" s="4">
        <f>VALUE(SUBSTITUTE('1000_заявлений'!E772, ".", ","))</f>
        <v>0.74882979999999999</v>
      </c>
      <c r="F778" s="5">
        <f>VALUE(SUBSTITUTE('1000_заявлений'!F772, ".", ","))</f>
        <v>-3678</v>
      </c>
      <c r="G778" s="5">
        <f>VALUE(SUBSTITUTE('1000_заявлений'!G772, ".", ","))</f>
        <v>-12064</v>
      </c>
      <c r="H778" s="5">
        <f>VALUE(SUBSTITUTE('1000_заявлений'!H772, ".", ","))</f>
        <v>-2241</v>
      </c>
      <c r="I778" s="4">
        <f>VALUE(SUBSTITUTE('1000_заявлений'!I772, ".", ","))</f>
        <v>0.13462499999999999</v>
      </c>
      <c r="J778" s="4">
        <f>VALUE(SUBSTITUTE('1000_заявлений'!J772, ".", ","))</f>
        <v>17.764514855092202</v>
      </c>
      <c r="K778" s="5">
        <f>VALUE(SUBSTITUTE('1000_заявлений'!K772, ".", ","))</f>
        <v>-2645</v>
      </c>
      <c r="L778" s="6">
        <f>VALUE(SUBSTITUTE('1000_заявлений'!L772, ".", ","))</f>
        <v>24232.5</v>
      </c>
      <c r="M778" s="2" t="str">
        <f>IF(Данные6[[#This Row],[proba]]&gt;$C$6, "отказ", "одобрение")</f>
        <v>отказ</v>
      </c>
      <c r="N778" s="7">
        <f>IF(Данные6[[#This Row],[proba]]&lt;$D$2,$C$2,IF(Данные6[[#This Row],[proba]]&lt;$D$3,$C$3,IF(Данные6[[#This Row],[proba]]&gt;$C$6,0,$C$4)))</f>
        <v>0</v>
      </c>
      <c r="O778" s="2">
        <f>IF(Данные6[[#This Row],[weighted_ext_score]]&gt;$O$1,MIN(Данные6[[#This Row],[Базовая сумма]]*$O$2,$C$2),IF(Данные6[[#This Row],[weighted_ext_score]]&lt;$O$3,Данные6[[#This Row],[Базовая сумма]]*$O$4,N778))</f>
        <v>0</v>
      </c>
      <c r="P7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8" s="2">
        <f>ABS(Данные6[[#This Row],[days_birth]])/365.2425</f>
        <v>33.030110132309353</v>
      </c>
      <c r="S7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8" s="2">
        <f>IF(Данные6[[#This Row],[ interest_rate]]&gt;$T$1,Данные6[[#This Row],[days_birth4]]*$T$2,Данные6[[#This Row],[days_birth4]])</f>
        <v>0</v>
      </c>
      <c r="U778" s="2">
        <f>IF(Данные6[[#This Row],[Проверка отказа]]="отказ",0,MAX(Данные6[[#This Row],[interest_rate]],$C$1))</f>
        <v>0</v>
      </c>
      <c r="V778" s="2">
        <f>MROUND(Данные6[[#This Row],[Минимум 20000]], 100)</f>
        <v>0</v>
      </c>
    </row>
    <row r="779" spans="1:22" x14ac:dyDescent="0.25">
      <c r="A779" s="2">
        <f>'1000_заявлений'!A773</f>
        <v>771</v>
      </c>
      <c r="B779" s="4">
        <f>VALUE(SUBSTITUTE('1000_заявлений'!B773, ".", ","))</f>
        <v>0.46291444387470398</v>
      </c>
      <c r="C779" s="4">
        <f>VALUE(SUBSTITUTE('1000_заявлений'!C773, ".", ","))</f>
        <v>0.38147021194743203</v>
      </c>
      <c r="D779" s="4">
        <f>VALUE(SUBSTITUTE('1000_заявлений'!D773, ".", ","))</f>
        <v>0.7223929</v>
      </c>
      <c r="E779" s="4">
        <f>VALUE(SUBSTITUTE('1000_заявлений'!E773, ".", ","))</f>
        <v>0.37057367000000002</v>
      </c>
      <c r="F779" s="5">
        <f>VALUE(SUBSTITUTE('1000_заявлений'!F773, ".", ","))</f>
        <v>-2125</v>
      </c>
      <c r="G779" s="5">
        <f>VALUE(SUBSTITUTE('1000_заявлений'!G773, ".", ","))</f>
        <v>-18289</v>
      </c>
      <c r="H779" s="5">
        <f>VALUE(SUBSTITUTE('1000_заявлений'!H773, ".", ","))</f>
        <v>-1623</v>
      </c>
      <c r="I779" s="4">
        <f>VALUE(SUBSTITUTE('1000_заявлений'!I773, ".", ","))</f>
        <v>0.35888135593220299</v>
      </c>
      <c r="J779" s="4">
        <f>VALUE(SUBSTITUTE('1000_заявлений'!J773, ".", ","))</f>
        <v>0.14964386528943899</v>
      </c>
      <c r="K779" s="5">
        <f>VALUE(SUBSTITUTE('1000_заявлений'!K773, ".", ","))</f>
        <v>-4986</v>
      </c>
      <c r="L779" s="6">
        <f>VALUE(SUBSTITUTE('1000_заявлений'!L773, ".", ","))</f>
        <v>47641.5</v>
      </c>
      <c r="M779" s="2" t="str">
        <f>IF(Данные6[[#This Row],[proba]]&gt;$C$6, "отказ", "одобрение")</f>
        <v>отказ</v>
      </c>
      <c r="N779" s="7">
        <f>IF(Данные6[[#This Row],[proba]]&lt;$D$2,$C$2,IF(Данные6[[#This Row],[proba]]&lt;$D$3,$C$3,IF(Данные6[[#This Row],[proba]]&gt;$C$6,0,$C$4)))</f>
        <v>0</v>
      </c>
      <c r="O779" s="2">
        <f>IF(Данные6[[#This Row],[weighted_ext_score]]&gt;$O$1,MIN(Данные6[[#This Row],[Базовая сумма]]*$O$2,$C$2),IF(Данные6[[#This Row],[weighted_ext_score]]&lt;$O$3,Данные6[[#This Row],[Базовая сумма]]*$O$4,N779))</f>
        <v>0</v>
      </c>
      <c r="P7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79" s="2">
        <f>ABS(Данные6[[#This Row],[days_birth]])/365.2425</f>
        <v>50.073581250812815</v>
      </c>
      <c r="S7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79" s="2">
        <f>IF(Данные6[[#This Row],[ interest_rate]]&gt;$T$1,Данные6[[#This Row],[days_birth4]]*$T$2,Данные6[[#This Row],[days_birth4]])</f>
        <v>0</v>
      </c>
      <c r="U779" s="2">
        <f>IF(Данные6[[#This Row],[Проверка отказа]]="отказ",0,MAX(Данные6[[#This Row],[interest_rate]],$C$1))</f>
        <v>0</v>
      </c>
      <c r="V779" s="2">
        <f>MROUND(Данные6[[#This Row],[Минимум 20000]], 100)</f>
        <v>0</v>
      </c>
    </row>
    <row r="780" spans="1:22" x14ac:dyDescent="0.25">
      <c r="A780" s="2">
        <f>'1000_заявлений'!A774</f>
        <v>772</v>
      </c>
      <c r="B780" s="4">
        <f>VALUE(SUBSTITUTE('1000_заявлений'!B774, ".", ","))</f>
        <v>0.35669832387827299</v>
      </c>
      <c r="C780" s="4">
        <f>VALUE(SUBSTITUTE('1000_заявлений'!C774, ".", ","))</f>
        <v>0.47420347536336099</v>
      </c>
      <c r="D780" s="4">
        <f>VALUE(SUBSTITUTE('1000_заявлений'!D774, ".", ","))</f>
        <v>0.53527623000000002</v>
      </c>
      <c r="E780" s="4">
        <f>VALUE(SUBSTITUTE('1000_заявлений'!E774, ".", ","))</f>
        <v>0.71710914000000003</v>
      </c>
      <c r="F780" s="5">
        <f>VALUE(SUBSTITUTE('1000_заявлений'!F774, ".", ","))</f>
        <v>-6077</v>
      </c>
      <c r="G780" s="5">
        <f>VALUE(SUBSTITUTE('1000_заявлений'!G774, ".", ","))</f>
        <v>-12129</v>
      </c>
      <c r="H780" s="5">
        <f>VALUE(SUBSTITUTE('1000_заявлений'!H774, ".", ","))</f>
        <v>-4317</v>
      </c>
      <c r="I780" s="4">
        <f>VALUE(SUBSTITUTE('1000_заявлений'!I774, ".", ","))</f>
        <v>0.34320000000000001</v>
      </c>
      <c r="J780" s="4">
        <f>VALUE(SUBSTITUTE('1000_заявлений'!J774, ".", ","))</f>
        <v>6.6234424906962097</v>
      </c>
      <c r="K780" s="5">
        <f>VALUE(SUBSTITUTE('1000_заявлений'!K774, ".", ","))</f>
        <v>-472</v>
      </c>
      <c r="L780" s="6">
        <f>VALUE(SUBSTITUTE('1000_заявлений'!L774, ".", ","))</f>
        <v>30888</v>
      </c>
      <c r="M780" s="2" t="str">
        <f>IF(Данные6[[#This Row],[proba]]&gt;$C$6, "отказ", "одобрение")</f>
        <v>отказ</v>
      </c>
      <c r="N780" s="7">
        <f>IF(Данные6[[#This Row],[proba]]&lt;$D$2,$C$2,IF(Данные6[[#This Row],[proba]]&lt;$D$3,$C$3,IF(Данные6[[#This Row],[proba]]&gt;$C$6,0,$C$4)))</f>
        <v>0</v>
      </c>
      <c r="O780" s="2">
        <f>IF(Данные6[[#This Row],[weighted_ext_score]]&gt;$O$1,MIN(Данные6[[#This Row],[Базовая сумма]]*$O$2,$C$2),IF(Данные6[[#This Row],[weighted_ext_score]]&lt;$O$3,Данные6[[#This Row],[Базовая сумма]]*$O$4,N780))</f>
        <v>0</v>
      </c>
      <c r="P7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0" s="2">
        <f>ABS(Данные6[[#This Row],[days_birth]])/365.2425</f>
        <v>33.208074087763606</v>
      </c>
      <c r="S7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0" s="2">
        <f>IF(Данные6[[#This Row],[ interest_rate]]&gt;$T$1,Данные6[[#This Row],[days_birth4]]*$T$2,Данные6[[#This Row],[days_birth4]])</f>
        <v>0</v>
      </c>
      <c r="U780" s="2">
        <f>IF(Данные6[[#This Row],[Проверка отказа]]="отказ",0,MAX(Данные6[[#This Row],[interest_rate]],$C$1))</f>
        <v>0</v>
      </c>
      <c r="V780" s="2">
        <f>MROUND(Данные6[[#This Row],[Минимум 20000]], 100)</f>
        <v>0</v>
      </c>
    </row>
    <row r="781" spans="1:22" x14ac:dyDescent="0.25">
      <c r="A781" s="2">
        <f>'1000_заявлений'!A775</f>
        <v>773</v>
      </c>
      <c r="B781" s="4">
        <f>VALUE(SUBSTITUTE('1000_заявлений'!B775, ".", ","))</f>
        <v>0.384602041763628</v>
      </c>
      <c r="C781" s="4">
        <f>VALUE(SUBSTITUTE('1000_заявлений'!C775, ".", ","))</f>
        <v>0.43952803390901601</v>
      </c>
      <c r="D781" s="4">
        <f>VALUE(SUBSTITUTE('1000_заявлений'!D775, ".", ","))</f>
        <v>0.49566581999999998</v>
      </c>
      <c r="E781" s="4">
        <f>VALUE(SUBSTITUTE('1000_заявлений'!E775, ".", ","))</f>
        <v>0.60272859999999995</v>
      </c>
      <c r="F781" s="5">
        <f>VALUE(SUBSTITUTE('1000_заявлений'!F775, ".", ","))</f>
        <v>-3416</v>
      </c>
      <c r="G781" s="5">
        <f>VALUE(SUBSTITUTE('1000_заявлений'!G775, ".", ","))</f>
        <v>-11639</v>
      </c>
      <c r="H781" s="5">
        <f>VALUE(SUBSTITUTE('1000_заявлений'!H775, ".", ","))</f>
        <v>-3430</v>
      </c>
      <c r="I781" s="4">
        <f>VALUE(SUBSTITUTE('1000_заявлений'!I775, ".", ","))</f>
        <v>0.10425</v>
      </c>
      <c r="J781" s="4">
        <f>VALUE(SUBSTITUTE('1000_заявлений'!J775, ".", ","))</f>
        <v>7.92413870877024</v>
      </c>
      <c r="K781" s="5">
        <f>VALUE(SUBSTITUTE('1000_заявлений'!K775, ".", ","))</f>
        <v>-416</v>
      </c>
      <c r="L781" s="6">
        <f>VALUE(SUBSTITUTE('1000_заявлений'!L775, ".", ","))</f>
        <v>28147.5</v>
      </c>
      <c r="M781" s="2" t="str">
        <f>IF(Данные6[[#This Row],[proba]]&gt;$C$6, "отказ", "одобрение")</f>
        <v>отказ</v>
      </c>
      <c r="N781" s="7">
        <f>IF(Данные6[[#This Row],[proba]]&lt;$D$2,$C$2,IF(Данные6[[#This Row],[proba]]&lt;$D$3,$C$3,IF(Данные6[[#This Row],[proba]]&gt;$C$6,0,$C$4)))</f>
        <v>0</v>
      </c>
      <c r="O781" s="2">
        <f>IF(Данные6[[#This Row],[weighted_ext_score]]&gt;$O$1,MIN(Данные6[[#This Row],[Базовая сумма]]*$O$2,$C$2),IF(Данные6[[#This Row],[weighted_ext_score]]&lt;$O$3,Данные6[[#This Row],[Базовая сумма]]*$O$4,N781))</f>
        <v>0</v>
      </c>
      <c r="P7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1" s="2">
        <f>ABS(Данные6[[#This Row],[days_birth]])/365.2425</f>
        <v>31.86649965433924</v>
      </c>
      <c r="S7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1" s="2">
        <f>IF(Данные6[[#This Row],[ interest_rate]]&gt;$T$1,Данные6[[#This Row],[days_birth4]]*$T$2,Данные6[[#This Row],[days_birth4]])</f>
        <v>0</v>
      </c>
      <c r="U781" s="2">
        <f>IF(Данные6[[#This Row],[Проверка отказа]]="отказ",0,MAX(Данные6[[#This Row],[interest_rate]],$C$1))</f>
        <v>0</v>
      </c>
      <c r="V781" s="2">
        <f>MROUND(Данные6[[#This Row],[Минимум 20000]], 100)</f>
        <v>0</v>
      </c>
    </row>
    <row r="782" spans="1:22" x14ac:dyDescent="0.25">
      <c r="A782" s="2">
        <f>'1000_заявлений'!A776</f>
        <v>774</v>
      </c>
      <c r="B782" s="4">
        <f>VALUE(SUBSTITUTE('1000_заявлений'!B776, ".", ","))</f>
        <v>0.30048556098377299</v>
      </c>
      <c r="C782" s="4">
        <f>VALUE(SUBSTITUTE('1000_заявлений'!C776, ".", ","))</f>
        <v>0.55172454287175299</v>
      </c>
      <c r="D782" s="4">
        <f>VALUE(SUBSTITUTE('1000_заявлений'!D776, ".", ","))</f>
        <v>0.58499000000000001</v>
      </c>
      <c r="E782" s="4">
        <f>VALUE(SUBSTITUTE('1000_заявлений'!E776, ".", ","))</f>
        <v>0.57043593999999997</v>
      </c>
      <c r="F782" s="5">
        <f>VALUE(SUBSTITUTE('1000_заявлений'!F776, ".", ","))</f>
        <v>-3920</v>
      </c>
      <c r="G782" s="5">
        <f>VALUE(SUBSTITUTE('1000_заявлений'!G776, ".", ","))</f>
        <v>-10860</v>
      </c>
      <c r="H782" s="5">
        <f>VALUE(SUBSTITUTE('1000_заявлений'!H776, ".", ","))</f>
        <v>-3528</v>
      </c>
      <c r="I782" s="4">
        <f>VALUE(SUBSTITUTE('1000_заявлений'!I776, ".", ","))</f>
        <v>0.1</v>
      </c>
      <c r="J782" s="4">
        <f>VALUE(SUBSTITUTE('1000_заявлений'!J776, ".", ","))</f>
        <v>10.6209759779781</v>
      </c>
      <c r="K782" s="5">
        <f>VALUE(SUBSTITUTE('1000_заявлений'!K776, ".", ","))</f>
        <v>-951</v>
      </c>
      <c r="L782" s="6">
        <f>VALUE(SUBSTITUTE('1000_заявлений'!L776, ".", ","))</f>
        <v>13500</v>
      </c>
      <c r="M782" s="2" t="str">
        <f>IF(Данные6[[#This Row],[proba]]&gt;$C$6, "отказ", "одобрение")</f>
        <v>отказ</v>
      </c>
      <c r="N782" s="7">
        <f>IF(Данные6[[#This Row],[proba]]&lt;$D$2,$C$2,IF(Данные6[[#This Row],[proba]]&lt;$D$3,$C$3,IF(Данные6[[#This Row],[proba]]&gt;$C$6,0,$C$4)))</f>
        <v>0</v>
      </c>
      <c r="O782" s="2">
        <f>IF(Данные6[[#This Row],[weighted_ext_score]]&gt;$O$1,MIN(Данные6[[#This Row],[Базовая сумма]]*$O$2,$C$2),IF(Данные6[[#This Row],[weighted_ext_score]]&lt;$O$3,Данные6[[#This Row],[Базовая сумма]]*$O$4,N782))</f>
        <v>0</v>
      </c>
      <c r="P7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2" s="2">
        <f>ABS(Данные6[[#This Row],[days_birth]])/365.2425</f>
        <v>29.733670095895192</v>
      </c>
      <c r="S7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2" s="2">
        <f>IF(Данные6[[#This Row],[ interest_rate]]&gt;$T$1,Данные6[[#This Row],[days_birth4]]*$T$2,Данные6[[#This Row],[days_birth4]])</f>
        <v>0</v>
      </c>
      <c r="U782" s="2">
        <f>IF(Данные6[[#This Row],[Проверка отказа]]="отказ",0,MAX(Данные6[[#This Row],[interest_rate]],$C$1))</f>
        <v>0</v>
      </c>
      <c r="V782" s="2">
        <f>MROUND(Данные6[[#This Row],[Минимум 20000]], 100)</f>
        <v>0</v>
      </c>
    </row>
    <row r="783" spans="1:22" x14ac:dyDescent="0.25">
      <c r="A783" s="2">
        <f>'1000_заявлений'!A777</f>
        <v>775</v>
      </c>
      <c r="B783" s="4">
        <f>VALUE(SUBSTITUTE('1000_заявлений'!B777, ".", ","))</f>
        <v>0.46769498457143699</v>
      </c>
      <c r="C783" s="4">
        <f>VALUE(SUBSTITUTE('1000_заявлений'!C777, ".", ","))</f>
        <v>0.44580729560786703</v>
      </c>
      <c r="D783" s="4">
        <f>VALUE(SUBSTITUTE('1000_заявлений'!D777, ".", ","))</f>
        <v>0.33285058000000001</v>
      </c>
      <c r="E783" s="4">
        <f>VALUE(SUBSTITUTE('1000_заявлений'!E777, ".", ","))</f>
        <v>0.68206876999999999</v>
      </c>
      <c r="F783" s="5">
        <f>VALUE(SUBSTITUTE('1000_заявлений'!F777, ".", ","))</f>
        <v>-2603</v>
      </c>
      <c r="G783" s="5">
        <f>VALUE(SUBSTITUTE('1000_заявлений'!G777, ".", ","))</f>
        <v>-12660</v>
      </c>
      <c r="H783" s="5">
        <f>VALUE(SUBSTITUTE('1000_заявлений'!H777, ".", ","))</f>
        <v>-4376</v>
      </c>
      <c r="I783" s="4">
        <f>VALUE(SUBSTITUTE('1000_заявлений'!I777, ".", ","))</f>
        <v>0.119675</v>
      </c>
      <c r="J783" s="4">
        <f>VALUE(SUBSTITUTE('1000_заявлений'!J777, ".", ","))</f>
        <v>1.60842675300341</v>
      </c>
      <c r="K783" s="5">
        <f>VALUE(SUBSTITUTE('1000_заявлений'!K777, ".", ","))</f>
        <v>-463</v>
      </c>
      <c r="L783" s="6">
        <f>VALUE(SUBSTITUTE('1000_заявлений'!L777, ".", ","))</f>
        <v>21541.5</v>
      </c>
      <c r="M783" s="2" t="str">
        <f>IF(Данные6[[#This Row],[proba]]&gt;$C$6, "отказ", "одобрение")</f>
        <v>отказ</v>
      </c>
      <c r="N783" s="7">
        <f>IF(Данные6[[#This Row],[proba]]&lt;$D$2,$C$2,IF(Данные6[[#This Row],[proba]]&lt;$D$3,$C$3,IF(Данные6[[#This Row],[proba]]&gt;$C$6,0,$C$4)))</f>
        <v>0</v>
      </c>
      <c r="O783" s="2">
        <f>IF(Данные6[[#This Row],[weighted_ext_score]]&gt;$O$1,MIN(Данные6[[#This Row],[Базовая сумма]]*$O$2,$C$2),IF(Данные6[[#This Row],[weighted_ext_score]]&lt;$O$3,Данные6[[#This Row],[Базовая сумма]]*$O$4,N783))</f>
        <v>0</v>
      </c>
      <c r="P7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3" s="2">
        <f>ABS(Данные6[[#This Row],[days_birth]])/365.2425</f>
        <v>34.661902708474507</v>
      </c>
      <c r="S7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3" s="2">
        <f>IF(Данные6[[#This Row],[ interest_rate]]&gt;$T$1,Данные6[[#This Row],[days_birth4]]*$T$2,Данные6[[#This Row],[days_birth4]])</f>
        <v>0</v>
      </c>
      <c r="U783" s="2">
        <f>IF(Данные6[[#This Row],[Проверка отказа]]="отказ",0,MAX(Данные6[[#This Row],[interest_rate]],$C$1))</f>
        <v>0</v>
      </c>
      <c r="V783" s="2">
        <f>MROUND(Данные6[[#This Row],[Минимум 20000]], 100)</f>
        <v>0</v>
      </c>
    </row>
    <row r="784" spans="1:22" x14ac:dyDescent="0.25">
      <c r="A784" s="2">
        <f>'1000_заявлений'!A778</f>
        <v>776</v>
      </c>
      <c r="B784" s="4">
        <f>VALUE(SUBSTITUTE('1000_заявлений'!B778, ".", ","))</f>
        <v>0.269703377500978</v>
      </c>
      <c r="C784" s="4">
        <f>VALUE(SUBSTITUTE('1000_заявлений'!C778, ".", ","))</f>
        <v>0.492314780292752</v>
      </c>
      <c r="D784" s="4">
        <f>VALUE(SUBSTITUTE('1000_заявлений'!D778, ".", ","))</f>
        <v>0.78626660000000004</v>
      </c>
      <c r="E784" s="4">
        <f>VALUE(SUBSTITUTE('1000_заявлений'!E778, ".", ","))</f>
        <v>0.64107274999999997</v>
      </c>
      <c r="F784" s="5">
        <f>VALUE(SUBSTITUTE('1000_заявлений'!F778, ".", ","))</f>
        <v>-8140</v>
      </c>
      <c r="G784" s="5">
        <f>VALUE(SUBSTITUTE('1000_заявлений'!G778, ".", ","))</f>
        <v>-13944</v>
      </c>
      <c r="H784" s="5">
        <f>VALUE(SUBSTITUTE('1000_заявлений'!H778, ".", ","))</f>
        <v>-4669</v>
      </c>
      <c r="I784" s="4">
        <f>VALUE(SUBSTITUTE('1000_заявлений'!I778, ".", ","))</f>
        <v>0.36975000000000002</v>
      </c>
      <c r="J784" s="4">
        <f>VALUE(SUBSTITUTE('1000_заявлений'!J778, ".", ","))</f>
        <v>1.82040973632977</v>
      </c>
      <c r="K784" s="5">
        <f>VALUE(SUBSTITUTE('1000_заявлений'!K778, ".", ","))</f>
        <v>-2560</v>
      </c>
      <c r="L784" s="6">
        <f>VALUE(SUBSTITUTE('1000_заявлений'!L778, ".", ","))</f>
        <v>33277.5</v>
      </c>
      <c r="M784" s="2" t="str">
        <f>IF(Данные6[[#This Row],[proba]]&gt;$C$6, "отказ", "одобрение")</f>
        <v>одобрение</v>
      </c>
      <c r="N784" s="7">
        <f>IF(Данные6[[#This Row],[proba]]&lt;$D$2,$C$2,IF(Данные6[[#This Row],[proba]]&lt;$D$3,$C$3,IF(Данные6[[#This Row],[proba]]&gt;$C$6,0,$C$4)))</f>
        <v>50000</v>
      </c>
      <c r="O784" s="2">
        <f>IF(Данные6[[#This Row],[weighted_ext_score]]&gt;$O$1,MIN(Данные6[[#This Row],[Базовая сумма]]*$O$2,$C$2),IF(Данные6[[#This Row],[weighted_ext_score]]&lt;$O$3,Данные6[[#This Row],[Базовая сумма]]*$O$4,N784))</f>
        <v>40000</v>
      </c>
      <c r="P7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784" s="2">
        <f>ABS(Данные6[[#This Row],[days_birth]])/365.2425</f>
        <v>38.177375305447747</v>
      </c>
      <c r="S7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784" s="2">
        <f>IF(Данные6[[#This Row],[ interest_rate]]&gt;$T$1,Данные6[[#This Row],[days_birth4]]*$T$2,Данные6[[#This Row],[days_birth4]])</f>
        <v>28000</v>
      </c>
      <c r="U784" s="2">
        <f>IF(Данные6[[#This Row],[Проверка отказа]]="отказ",0,MAX(Данные6[[#This Row],[interest_rate]],$C$1))</f>
        <v>28000</v>
      </c>
      <c r="V784" s="2">
        <f>MROUND(Данные6[[#This Row],[Минимум 20000]], 100)</f>
        <v>28000</v>
      </c>
    </row>
    <row r="785" spans="1:22" x14ac:dyDescent="0.25">
      <c r="A785" s="2">
        <f>'1000_заявлений'!A779</f>
        <v>777</v>
      </c>
      <c r="B785" s="4">
        <f>VALUE(SUBSTITUTE('1000_заявлений'!B779, ".", ","))</f>
        <v>0.42188451257118098</v>
      </c>
      <c r="C785" s="4">
        <f>VALUE(SUBSTITUTE('1000_заявлений'!C779, ".", ","))</f>
        <v>0.53162081995841803</v>
      </c>
      <c r="D785" s="4">
        <f>VALUE(SUBSTITUTE('1000_заявлений'!D779, ".", ","))</f>
        <v>0.25259870000000001</v>
      </c>
      <c r="E785" s="4">
        <f>VALUE(SUBSTITUTE('1000_заявлений'!E779, ".", ","))</f>
        <v>0.62923090000000004</v>
      </c>
      <c r="F785" s="5">
        <f>VALUE(SUBSTITUTE('1000_заявлений'!F779, ".", ","))</f>
        <v>-12420</v>
      </c>
      <c r="G785" s="5">
        <f>VALUE(SUBSTITUTE('1000_заявлений'!G779, ".", ","))</f>
        <v>-20516</v>
      </c>
      <c r="H785" s="5">
        <f>VALUE(SUBSTITUTE('1000_заявлений'!H779, ".", ","))</f>
        <v>-4080</v>
      </c>
      <c r="I785" s="4">
        <f>VALUE(SUBSTITUTE('1000_заявлений'!I779, ".", ","))</f>
        <v>0.12368</v>
      </c>
      <c r="J785" s="4">
        <f>VALUE(SUBSTITUTE('1000_заявлений'!J779, ".", ","))</f>
        <v>3.5287995537941201</v>
      </c>
      <c r="K785" s="5">
        <f>VALUE(SUBSTITUTE('1000_заявлений'!K779, ".", ","))</f>
        <v>-3770</v>
      </c>
      <c r="L785" s="6">
        <f>VALUE(SUBSTITUTE('1000_заявлений'!L779, ".", ","))</f>
        <v>13914</v>
      </c>
      <c r="M785" s="2" t="str">
        <f>IF(Данные6[[#This Row],[proba]]&gt;$C$6, "отказ", "одобрение")</f>
        <v>отказ</v>
      </c>
      <c r="N785" s="7">
        <f>IF(Данные6[[#This Row],[proba]]&lt;$D$2,$C$2,IF(Данные6[[#This Row],[proba]]&lt;$D$3,$C$3,IF(Данные6[[#This Row],[proba]]&gt;$C$6,0,$C$4)))</f>
        <v>0</v>
      </c>
      <c r="O785" s="2">
        <f>IF(Данные6[[#This Row],[weighted_ext_score]]&gt;$O$1,MIN(Данные6[[#This Row],[Базовая сумма]]*$O$2,$C$2),IF(Данные6[[#This Row],[weighted_ext_score]]&lt;$O$3,Данные6[[#This Row],[Базовая сумма]]*$O$4,N785))</f>
        <v>0</v>
      </c>
      <c r="P7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5" s="2">
        <f>ABS(Данные6[[#This Row],[days_birth]])/365.2425</f>
        <v>56.170900155376223</v>
      </c>
      <c r="S7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5" s="2">
        <f>IF(Данные6[[#This Row],[ interest_rate]]&gt;$T$1,Данные6[[#This Row],[days_birth4]]*$T$2,Данные6[[#This Row],[days_birth4]])</f>
        <v>0</v>
      </c>
      <c r="U785" s="2">
        <f>IF(Данные6[[#This Row],[Проверка отказа]]="отказ",0,MAX(Данные6[[#This Row],[interest_rate]],$C$1))</f>
        <v>0</v>
      </c>
      <c r="V785" s="2">
        <f>MROUND(Данные6[[#This Row],[Минимум 20000]], 100)</f>
        <v>0</v>
      </c>
    </row>
    <row r="786" spans="1:22" x14ac:dyDescent="0.25">
      <c r="A786" s="2">
        <f>'1000_заявлений'!A780</f>
        <v>778</v>
      </c>
      <c r="B786" s="4">
        <f>VALUE(SUBSTITUTE('1000_заявлений'!B780, ".", ","))</f>
        <v>0.67870459395856497</v>
      </c>
      <c r="C786" s="4">
        <f>VALUE(SUBSTITUTE('1000_заявлений'!C780, ".", ","))</f>
        <v>0.20314350805126399</v>
      </c>
      <c r="D786" s="4">
        <f>VALUE(SUBSTITUTE('1000_заявлений'!D780, ".", ","))</f>
        <v>0.48305019999999999</v>
      </c>
      <c r="E786" s="4">
        <f>VALUE(SUBSTITUTE('1000_заявлений'!E780, ".", ","))</f>
        <v>8.7678425000000004E-2</v>
      </c>
      <c r="F786" s="5">
        <f>VALUE(SUBSTITUTE('1000_заявлений'!F780, ".", ","))</f>
        <v>-2153</v>
      </c>
      <c r="G786" s="5">
        <f>VALUE(SUBSTITUTE('1000_заявлений'!G780, ".", ","))</f>
        <v>-22299</v>
      </c>
      <c r="H786" s="5">
        <f>VALUE(SUBSTITUTE('1000_заявлений'!H780, ".", ","))</f>
        <v>-1628</v>
      </c>
      <c r="I786" s="4">
        <f>VALUE(SUBSTITUTE('1000_заявлений'!I780, ".", ","))</f>
        <v>0.18333333333333299</v>
      </c>
      <c r="J786" s="4">
        <f>VALUE(SUBSTITUTE('1000_заявлений'!J780, ".", ","))</f>
        <v>10.6209759779781</v>
      </c>
      <c r="K786" s="5">
        <f>VALUE(SUBSTITUTE('1000_заявлений'!K780, ".", ","))</f>
        <v>-2742</v>
      </c>
      <c r="L786" s="6">
        <f>VALUE(SUBSTITUTE('1000_заявлений'!L780, ".", ","))</f>
        <v>24750</v>
      </c>
      <c r="M786" s="2" t="str">
        <f>IF(Данные6[[#This Row],[proba]]&gt;$C$6, "отказ", "одобрение")</f>
        <v>отказ</v>
      </c>
      <c r="N786" s="7">
        <f>IF(Данные6[[#This Row],[proba]]&lt;$D$2,$C$2,IF(Данные6[[#This Row],[proba]]&lt;$D$3,$C$3,IF(Данные6[[#This Row],[proba]]&gt;$C$6,0,$C$4)))</f>
        <v>0</v>
      </c>
      <c r="O786" s="2">
        <f>IF(Данные6[[#This Row],[weighted_ext_score]]&gt;$O$1,MIN(Данные6[[#This Row],[Базовая сумма]]*$O$2,$C$2),IF(Данные6[[#This Row],[weighted_ext_score]]&lt;$O$3,Данные6[[#This Row],[Базовая сумма]]*$O$4,N786))</f>
        <v>0</v>
      </c>
      <c r="P7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6" s="2">
        <f>ABS(Данные6[[#This Row],[days_birth]])/365.2425</f>
        <v>61.052588348836728</v>
      </c>
      <c r="S7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6" s="2">
        <f>IF(Данные6[[#This Row],[ interest_rate]]&gt;$T$1,Данные6[[#This Row],[days_birth4]]*$T$2,Данные6[[#This Row],[days_birth4]])</f>
        <v>0</v>
      </c>
      <c r="U786" s="2">
        <f>IF(Данные6[[#This Row],[Проверка отказа]]="отказ",0,MAX(Данные6[[#This Row],[interest_rate]],$C$1))</f>
        <v>0</v>
      </c>
      <c r="V786" s="2">
        <f>MROUND(Данные6[[#This Row],[Минимум 20000]], 100)</f>
        <v>0</v>
      </c>
    </row>
    <row r="787" spans="1:22" x14ac:dyDescent="0.25">
      <c r="A787" s="2">
        <f>'1000_заявлений'!A781</f>
        <v>779</v>
      </c>
      <c r="B787" s="4">
        <f>VALUE(SUBSTITUTE('1000_заявлений'!B781, ".", ","))</f>
        <v>0.16095921049565201</v>
      </c>
      <c r="C787" s="4">
        <f>VALUE(SUBSTITUTE('1000_заявлений'!C781, ".", ","))</f>
        <v>0.69447386604163297</v>
      </c>
      <c r="D787" s="4">
        <f>VALUE(SUBSTITUTE('1000_заявлений'!D781, ".", ","))</f>
        <v>0.71363140000000003</v>
      </c>
      <c r="E787" s="4">
        <f>VALUE(SUBSTITUTE('1000_заявлений'!E781, ".", ","))</f>
        <v>0.58603369999999999</v>
      </c>
      <c r="F787" s="5">
        <f>VALUE(SUBSTITUTE('1000_заявлений'!F781, ".", ","))</f>
        <v>-3304</v>
      </c>
      <c r="G787" s="5">
        <f>VALUE(SUBSTITUTE('1000_заявлений'!G781, ".", ","))</f>
        <v>-22029</v>
      </c>
      <c r="H787" s="5">
        <f>VALUE(SUBSTITUTE('1000_заявлений'!H781, ".", ","))</f>
        <v>-4212</v>
      </c>
      <c r="I787" s="4">
        <f>VALUE(SUBSTITUTE('1000_заявлений'!I781, ".", ","))</f>
        <v>0.22750000000000001</v>
      </c>
      <c r="J787" s="4">
        <f>VALUE(SUBSTITUTE('1000_заявлений'!J781, ".", ","))</f>
        <v>1.8346578859793401</v>
      </c>
      <c r="K787" s="5">
        <f>VALUE(SUBSTITUTE('1000_заявлений'!K781, ".", ","))</f>
        <v>365243</v>
      </c>
      <c r="L787" s="6">
        <f>VALUE(SUBSTITUTE('1000_заявлений'!L781, ".", ","))</f>
        <v>30712.5</v>
      </c>
      <c r="M787" s="2" t="str">
        <f>IF(Данные6[[#This Row],[proba]]&gt;$C$6, "отказ", "одобрение")</f>
        <v>одобрение</v>
      </c>
      <c r="N787" s="7">
        <f>IF(Данные6[[#This Row],[proba]]&lt;$D$2,$C$2,IF(Данные6[[#This Row],[proba]]&lt;$D$3,$C$3,IF(Данные6[[#This Row],[proba]]&gt;$C$6,0,$C$4)))</f>
        <v>200000</v>
      </c>
      <c r="O787" s="2">
        <f>IF(Данные6[[#This Row],[weighted_ext_score]]&gt;$O$1,MIN(Данные6[[#This Row],[Базовая сумма]]*$O$2,$C$2),IF(Данные6[[#This Row],[weighted_ext_score]]&lt;$O$3,Данные6[[#This Row],[Базовая сумма]]*$O$4,N787))</f>
        <v>200000</v>
      </c>
      <c r="P7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7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787" s="2">
        <f>ABS(Данные6[[#This Row],[days_birth]])/365.2425</f>
        <v>60.313353456949834</v>
      </c>
      <c r="S7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787" s="2">
        <f>IF(Данные6[[#This Row],[ interest_rate]]&gt;$T$1,Данные6[[#This Row],[days_birth4]]*$T$2,Данные6[[#This Row],[days_birth4]])</f>
        <v>210000</v>
      </c>
      <c r="U787" s="2">
        <f>IF(Данные6[[#This Row],[Проверка отказа]]="отказ",0,MAX(Данные6[[#This Row],[interest_rate]],$C$1))</f>
        <v>210000</v>
      </c>
      <c r="V787" s="2">
        <f>MROUND(Данные6[[#This Row],[Минимум 20000]], 100)</f>
        <v>210000</v>
      </c>
    </row>
    <row r="788" spans="1:22" x14ac:dyDescent="0.25">
      <c r="A788" s="2">
        <f>'1000_заявлений'!A782</f>
        <v>780</v>
      </c>
      <c r="B788" s="4">
        <f>VALUE(SUBSTITUTE('1000_заявлений'!B782, ".", ","))</f>
        <v>0.27643025566713397</v>
      </c>
      <c r="C788" s="4">
        <f>VALUE(SUBSTITUTE('1000_заявлений'!C782, ".", ","))</f>
        <v>0.64535227044134003</v>
      </c>
      <c r="D788" s="4">
        <f>VALUE(SUBSTITUTE('1000_заявлений'!D782, ".", ","))</f>
        <v>0.59023329999999996</v>
      </c>
      <c r="E788" s="4">
        <f>VALUE(SUBSTITUTE('1000_заявлений'!E782, ".", ","))</f>
        <v>0.55645186000000002</v>
      </c>
      <c r="F788" s="5">
        <f>VALUE(SUBSTITUTE('1000_заявлений'!F782, ".", ","))</f>
        <v>-4139</v>
      </c>
      <c r="G788" s="5">
        <f>VALUE(SUBSTITUTE('1000_заявлений'!G782, ".", ","))</f>
        <v>-14376</v>
      </c>
      <c r="H788" s="5">
        <f>VALUE(SUBSTITUTE('1000_заявлений'!H782, ".", ","))</f>
        <v>-4640</v>
      </c>
      <c r="I788" s="4">
        <f>VALUE(SUBSTITUTE('1000_заявлений'!I782, ".", ","))</f>
        <v>0.103433333333333</v>
      </c>
      <c r="J788" s="4">
        <f>VALUE(SUBSTITUTE('1000_заявлений'!J782, ".", ","))</f>
        <v>2.2556233504269199</v>
      </c>
      <c r="K788" s="5">
        <f>VALUE(SUBSTITUTE('1000_заявлений'!K782, ".", ","))</f>
        <v>-295</v>
      </c>
      <c r="L788" s="6">
        <f>VALUE(SUBSTITUTE('1000_заявлений'!L782, ".", ","))</f>
        <v>13963.5</v>
      </c>
      <c r="M788" s="2" t="str">
        <f>IF(Данные6[[#This Row],[proba]]&gt;$C$6, "отказ", "одобрение")</f>
        <v>одобрение</v>
      </c>
      <c r="N788" s="7">
        <f>IF(Данные6[[#This Row],[proba]]&lt;$D$2,$C$2,IF(Данные6[[#This Row],[proba]]&lt;$D$3,$C$3,IF(Данные6[[#This Row],[proba]]&gt;$C$6,0,$C$4)))</f>
        <v>50000</v>
      </c>
      <c r="O788" s="2">
        <f>IF(Данные6[[#This Row],[weighted_ext_score]]&gt;$O$1,MIN(Данные6[[#This Row],[Базовая сумма]]*$O$2,$C$2),IF(Данные6[[#This Row],[weighted_ext_score]]&lt;$O$3,Данные6[[#This Row],[Базовая сумма]]*$O$4,N788))</f>
        <v>50000</v>
      </c>
      <c r="P7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7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788" s="2">
        <f>ABS(Данные6[[#This Row],[days_birth]])/365.2425</f>
        <v>39.360151132466783</v>
      </c>
      <c r="S7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50000</v>
      </c>
      <c r="T788" s="2">
        <f>IF(Данные6[[#This Row],[ interest_rate]]&gt;$T$1,Данные6[[#This Row],[days_birth4]]*$T$2,Данные6[[#This Row],[days_birth4]])</f>
        <v>50000</v>
      </c>
      <c r="U788" s="2">
        <f>IF(Данные6[[#This Row],[Проверка отказа]]="отказ",0,MAX(Данные6[[#This Row],[interest_rate]],$C$1))</f>
        <v>50000</v>
      </c>
      <c r="V788" s="2">
        <f>MROUND(Данные6[[#This Row],[Минимум 20000]], 100)</f>
        <v>50000</v>
      </c>
    </row>
    <row r="789" spans="1:22" x14ac:dyDescent="0.25">
      <c r="A789" s="2">
        <f>'1000_заявлений'!A783</f>
        <v>781</v>
      </c>
      <c r="B789" s="4">
        <f>VALUE(SUBSTITUTE('1000_заявлений'!B783, ".", ","))</f>
        <v>0.51337664496826396</v>
      </c>
      <c r="C789" s="4">
        <f>VALUE(SUBSTITUTE('1000_заявлений'!C783, ".", ","))</f>
        <v>0.36769503246175</v>
      </c>
      <c r="D789" s="4">
        <f>VALUE(SUBSTITUTE('1000_заявлений'!D783, ".", ","))</f>
        <v>0.24054141000000001</v>
      </c>
      <c r="E789" s="4">
        <f>VALUE(SUBSTITUTE('1000_заявлений'!E783, ".", ","))</f>
        <v>0.70491594000000002</v>
      </c>
      <c r="F789" s="5">
        <f>VALUE(SUBSTITUTE('1000_заявлений'!F783, ".", ","))</f>
        <v>-2251</v>
      </c>
      <c r="G789" s="5">
        <f>VALUE(SUBSTITUTE('1000_заявлений'!G783, ".", ","))</f>
        <v>-14095</v>
      </c>
      <c r="H789" s="5">
        <f>VALUE(SUBSTITUTE('1000_заявлений'!H783, ".", ","))</f>
        <v>-4900</v>
      </c>
      <c r="I789" s="4">
        <f>VALUE(SUBSTITUTE('1000_заявлений'!I783, ".", ","))</f>
        <v>6.3825000000000007E-2</v>
      </c>
      <c r="J789" s="4">
        <f>VALUE(SUBSTITUTE('1000_заявлений'!J783, ".", ","))</f>
        <v>2.43432218179806</v>
      </c>
      <c r="K789" s="5">
        <f>VALUE(SUBSTITUTE('1000_заявлений'!K783, ".", ","))</f>
        <v>-320</v>
      </c>
      <c r="L789" s="6">
        <f>VALUE(SUBSTITUTE('1000_заявлений'!L783, ".", ","))</f>
        <v>22977</v>
      </c>
      <c r="M789" s="2" t="str">
        <f>IF(Данные6[[#This Row],[proba]]&gt;$C$6, "отказ", "одобрение")</f>
        <v>отказ</v>
      </c>
      <c r="N789" s="7">
        <f>IF(Данные6[[#This Row],[proba]]&lt;$D$2,$C$2,IF(Данные6[[#This Row],[proba]]&lt;$D$3,$C$3,IF(Данные6[[#This Row],[proba]]&gt;$C$6,0,$C$4)))</f>
        <v>0</v>
      </c>
      <c r="O789" s="2">
        <f>IF(Данные6[[#This Row],[weighted_ext_score]]&gt;$O$1,MIN(Данные6[[#This Row],[Базовая сумма]]*$O$2,$C$2),IF(Данные6[[#This Row],[weighted_ext_score]]&lt;$O$3,Данные6[[#This Row],[Базовая сумма]]*$O$4,N789))</f>
        <v>0</v>
      </c>
      <c r="P7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89" s="2">
        <f>ABS(Данные6[[#This Row],[days_birth]])/365.2425</f>
        <v>38.590799263503015</v>
      </c>
      <c r="S7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89" s="2">
        <f>IF(Данные6[[#This Row],[ interest_rate]]&gt;$T$1,Данные6[[#This Row],[days_birth4]]*$T$2,Данные6[[#This Row],[days_birth4]])</f>
        <v>0</v>
      </c>
      <c r="U789" s="2">
        <f>IF(Данные6[[#This Row],[Проверка отказа]]="отказ",0,MAX(Данные6[[#This Row],[interest_rate]],$C$1))</f>
        <v>0</v>
      </c>
      <c r="V789" s="2">
        <f>MROUND(Данные6[[#This Row],[Минимум 20000]], 100)</f>
        <v>0</v>
      </c>
    </row>
    <row r="790" spans="1:22" x14ac:dyDescent="0.25">
      <c r="A790" s="2">
        <f>'1000_заявлений'!A784</f>
        <v>782</v>
      </c>
      <c r="B790" s="4">
        <f>VALUE(SUBSTITUTE('1000_заявлений'!B784, ".", ","))</f>
        <v>0.20499432438448301</v>
      </c>
      <c r="C790" s="4">
        <f>VALUE(SUBSTITUTE('1000_заявлений'!C784, ".", ","))</f>
        <v>0.45587123894385201</v>
      </c>
      <c r="D790" s="4">
        <f>VALUE(SUBSTITUTE('1000_заявлений'!D784, ".", ","))</f>
        <v>0.69409262999999999</v>
      </c>
      <c r="E790" s="4">
        <f>VALUE(SUBSTITUTE('1000_заявлений'!E784, ".", ","))</f>
        <v>0.63149319999999998</v>
      </c>
      <c r="F790" s="5">
        <f>VALUE(SUBSTITUTE('1000_заявлений'!F784, ".", ","))</f>
        <v>-10587</v>
      </c>
      <c r="G790" s="5">
        <f>VALUE(SUBSTITUTE('1000_заявлений'!G784, ".", ","))</f>
        <v>-24669</v>
      </c>
      <c r="H790" s="5">
        <f>VALUE(SUBSTITUTE('1000_заявлений'!H784, ".", ","))</f>
        <v>-1174</v>
      </c>
      <c r="I790" s="4">
        <f>VALUE(SUBSTITUTE('1000_заявлений'!I784, ".", ","))</f>
        <v>0.34613333333333302</v>
      </c>
      <c r="J790" s="4">
        <f>VALUE(SUBSTITUTE('1000_заявлений'!J784, ".", ","))</f>
        <v>14.970708609582299</v>
      </c>
      <c r="K790" s="5">
        <f>VALUE(SUBSTITUTE('1000_заявлений'!K784, ".", ","))</f>
        <v>365243</v>
      </c>
      <c r="L790" s="6">
        <f>VALUE(SUBSTITUTE('1000_заявлений'!L784, ".", ","))</f>
        <v>23364</v>
      </c>
      <c r="M790" s="2" t="str">
        <f>IF(Данные6[[#This Row],[proba]]&gt;$C$6, "отказ", "одобрение")</f>
        <v>одобрение</v>
      </c>
      <c r="N790" s="7">
        <f>IF(Данные6[[#This Row],[proba]]&lt;$D$2,$C$2,IF(Данные6[[#This Row],[proba]]&lt;$D$3,$C$3,IF(Данные6[[#This Row],[proba]]&gt;$C$6,0,$C$4)))</f>
        <v>50000</v>
      </c>
      <c r="O790" s="2">
        <f>IF(Данные6[[#This Row],[weighted_ext_score]]&gt;$O$1,MIN(Данные6[[#This Row],[Базовая сумма]]*$O$2,$C$2),IF(Данные6[[#This Row],[weighted_ext_score]]&lt;$O$3,Данные6[[#This Row],[Базовая сумма]]*$O$4,N790))</f>
        <v>40000</v>
      </c>
      <c r="P7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7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790" s="2">
        <f>ABS(Данные6[[#This Row],[days_birth]])/365.2425</f>
        <v>67.541427955399499</v>
      </c>
      <c r="S7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790" s="2">
        <f>IF(Данные6[[#This Row],[ interest_rate]]&gt;$T$1,Данные6[[#This Row],[days_birth4]]*$T$2,Данные6[[#This Row],[days_birth4]])</f>
        <v>42000</v>
      </c>
      <c r="U790" s="2">
        <f>IF(Данные6[[#This Row],[Проверка отказа]]="отказ",0,MAX(Данные6[[#This Row],[interest_rate]],$C$1))</f>
        <v>42000</v>
      </c>
      <c r="V790" s="2">
        <f>MROUND(Данные6[[#This Row],[Минимум 20000]], 100)</f>
        <v>42000</v>
      </c>
    </row>
    <row r="791" spans="1:22" x14ac:dyDescent="0.25">
      <c r="A791" s="2">
        <f>'1000_заявлений'!A785</f>
        <v>783</v>
      </c>
      <c r="B791" s="4">
        <f>VALUE(SUBSTITUTE('1000_заявлений'!B785, ".", ","))</f>
        <v>0.71897439995021495</v>
      </c>
      <c r="C791" s="4">
        <f>VALUE(SUBSTITUTE('1000_заявлений'!C785, ".", ","))</f>
        <v>1.970358693291E-4</v>
      </c>
      <c r="D791" s="4">
        <f>VALUE(SUBSTITUTE('1000_заявлений'!D785, ".", ","))</f>
        <v>0.53527623000000002</v>
      </c>
      <c r="E791" s="4">
        <f>VALUE(SUBSTITUTE('1000_заявлений'!E785, ".", ","))</f>
        <v>6.0742884000000003E-4</v>
      </c>
      <c r="F791" s="5">
        <f>VALUE(SUBSTITUTE('1000_заявлений'!F785, ".", ","))</f>
        <v>-5605</v>
      </c>
      <c r="G791" s="5">
        <f>VALUE(SUBSTITUTE('1000_заявлений'!G785, ".", ","))</f>
        <v>-24266</v>
      </c>
      <c r="H791" s="5">
        <f>VALUE(SUBSTITUTE('1000_заявлений'!H785, ".", ","))</f>
        <v>-4383</v>
      </c>
      <c r="I791" s="4">
        <f>VALUE(SUBSTITUTE('1000_заявлений'!I785, ".", ","))</f>
        <v>0.16389999999999999</v>
      </c>
      <c r="J791" s="4">
        <f>VALUE(SUBSTITUTE('1000_заявлений'!J785, ".", ","))</f>
        <v>5.42953660278868</v>
      </c>
      <c r="K791" s="5">
        <f>VALUE(SUBSTITUTE('1000_заявлений'!K785, ".", ","))</f>
        <v>365243</v>
      </c>
      <c r="L791" s="6">
        <f>VALUE(SUBSTITUTE('1000_заявлений'!L785, ".", ","))</f>
        <v>14751</v>
      </c>
      <c r="M791" s="2" t="str">
        <f>IF(Данные6[[#This Row],[proba]]&gt;$C$6, "отказ", "одобрение")</f>
        <v>отказ</v>
      </c>
      <c r="N791" s="7">
        <f>IF(Данные6[[#This Row],[proba]]&lt;$D$2,$C$2,IF(Данные6[[#This Row],[proba]]&lt;$D$3,$C$3,IF(Данные6[[#This Row],[proba]]&gt;$C$6,0,$C$4)))</f>
        <v>0</v>
      </c>
      <c r="O791" s="2">
        <f>IF(Данные6[[#This Row],[weighted_ext_score]]&gt;$O$1,MIN(Данные6[[#This Row],[Базовая сумма]]*$O$2,$C$2),IF(Данные6[[#This Row],[weighted_ext_score]]&lt;$O$3,Данные6[[#This Row],[Базовая сумма]]*$O$4,N791))</f>
        <v>0</v>
      </c>
      <c r="P7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1" s="2">
        <f>ABS(Данные6[[#This Row],[days_birth]])/365.2425</f>
        <v>66.438051431583119</v>
      </c>
      <c r="S7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1" s="2">
        <f>IF(Данные6[[#This Row],[ interest_rate]]&gt;$T$1,Данные6[[#This Row],[days_birth4]]*$T$2,Данные6[[#This Row],[days_birth4]])</f>
        <v>0</v>
      </c>
      <c r="U791" s="2">
        <f>IF(Данные6[[#This Row],[Проверка отказа]]="отказ",0,MAX(Данные6[[#This Row],[interest_rate]],$C$1))</f>
        <v>0</v>
      </c>
      <c r="V791" s="2">
        <f>MROUND(Данные6[[#This Row],[Минимум 20000]], 100)</f>
        <v>0</v>
      </c>
    </row>
    <row r="792" spans="1:22" x14ac:dyDescent="0.25">
      <c r="A792" s="2">
        <f>'1000_заявлений'!A786</f>
        <v>784</v>
      </c>
      <c r="B792" s="4">
        <f>VALUE(SUBSTITUTE('1000_заявлений'!B786, ".", ","))</f>
        <v>0.56805119507625701</v>
      </c>
      <c r="C792" s="4">
        <f>VALUE(SUBSTITUTE('1000_заявлений'!C786, ".", ","))</f>
        <v>0.498968250621387</v>
      </c>
      <c r="D792" s="4">
        <f>VALUE(SUBSTITUTE('1000_заявлений'!D786, ".", ","))</f>
        <v>0.17044613</v>
      </c>
      <c r="E792" s="4">
        <f>VALUE(SUBSTITUTE('1000_заявлений'!E786, ".", ","))</f>
        <v>0.66313370000000005</v>
      </c>
      <c r="F792" s="5">
        <f>VALUE(SUBSTITUTE('1000_заявлений'!F786, ".", ","))</f>
        <v>-1100</v>
      </c>
      <c r="G792" s="5">
        <f>VALUE(SUBSTITUTE('1000_заявлений'!G786, ".", ","))</f>
        <v>-9704</v>
      </c>
      <c r="H792" s="5">
        <f>VALUE(SUBSTITUTE('1000_заявлений'!H786, ".", ","))</f>
        <v>-2317</v>
      </c>
      <c r="I792" s="4">
        <f>VALUE(SUBSTITUTE('1000_заявлений'!I786, ".", ","))</f>
        <v>0.201133333333333</v>
      </c>
      <c r="J792" s="4">
        <f>VALUE(SUBSTITUTE('1000_заявлений'!J786, ".", ","))</f>
        <v>3.0275459574706298</v>
      </c>
      <c r="K792" s="5">
        <f>VALUE(SUBSTITUTE('1000_заявлений'!K786, ".", ","))</f>
        <v>-2583</v>
      </c>
      <c r="L792" s="6">
        <f>VALUE(SUBSTITUTE('1000_заявлений'!L786, ".", ","))</f>
        <v>54306</v>
      </c>
      <c r="M792" s="2" t="str">
        <f>IF(Данные6[[#This Row],[proba]]&gt;$C$6, "отказ", "одобрение")</f>
        <v>отказ</v>
      </c>
      <c r="N792" s="7">
        <f>IF(Данные6[[#This Row],[proba]]&lt;$D$2,$C$2,IF(Данные6[[#This Row],[proba]]&lt;$D$3,$C$3,IF(Данные6[[#This Row],[proba]]&gt;$C$6,0,$C$4)))</f>
        <v>0</v>
      </c>
      <c r="O792" s="2">
        <f>IF(Данные6[[#This Row],[weighted_ext_score]]&gt;$O$1,MIN(Данные6[[#This Row],[Базовая сумма]]*$O$2,$C$2),IF(Данные6[[#This Row],[weighted_ext_score]]&lt;$O$3,Данные6[[#This Row],[Базовая сумма]]*$O$4,N792))</f>
        <v>0</v>
      </c>
      <c r="P7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2" s="2">
        <f>ABS(Данные6[[#This Row],[days_birth]])/365.2425</f>
        <v>26.568649595816478</v>
      </c>
      <c r="S7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2" s="2">
        <f>IF(Данные6[[#This Row],[ interest_rate]]&gt;$T$1,Данные6[[#This Row],[days_birth4]]*$T$2,Данные6[[#This Row],[days_birth4]])</f>
        <v>0</v>
      </c>
      <c r="U792" s="2">
        <f>IF(Данные6[[#This Row],[Проверка отказа]]="отказ",0,MAX(Данные6[[#This Row],[interest_rate]],$C$1))</f>
        <v>0</v>
      </c>
      <c r="V792" s="2">
        <f>MROUND(Данные6[[#This Row],[Минимум 20000]], 100)</f>
        <v>0</v>
      </c>
    </row>
    <row r="793" spans="1:22" x14ac:dyDescent="0.25">
      <c r="A793" s="2">
        <f>'1000_заявлений'!A787</f>
        <v>785</v>
      </c>
      <c r="B793" s="4">
        <f>VALUE(SUBSTITUTE('1000_заявлений'!B787, ".", ","))</f>
        <v>0.48991601131218199</v>
      </c>
      <c r="C793" s="4">
        <f>VALUE(SUBSTITUTE('1000_заявлений'!C787, ".", ","))</f>
        <v>0.52487276950174899</v>
      </c>
      <c r="D793" s="4">
        <f>VALUE(SUBSTITUTE('1000_заявлений'!D787, ".", ","))</f>
        <v>0.44717857</v>
      </c>
      <c r="E793" s="4">
        <f>VALUE(SUBSTITUTE('1000_заявлений'!E787, ".", ","))</f>
        <v>0.48784043999999999</v>
      </c>
      <c r="F793" s="5">
        <f>VALUE(SUBSTITUTE('1000_заявлений'!F787, ".", ","))</f>
        <v>-11749</v>
      </c>
      <c r="G793" s="5">
        <f>VALUE(SUBSTITUTE('1000_заявлений'!G787, ".", ","))</f>
        <v>-11777</v>
      </c>
      <c r="H793" s="5">
        <f>VALUE(SUBSTITUTE('1000_заявлений'!H787, ".", ","))</f>
        <v>-3834</v>
      </c>
      <c r="I793" s="4">
        <f>VALUE(SUBSTITUTE('1000_заявлений'!I787, ".", ","))</f>
        <v>0.39695999999999998</v>
      </c>
      <c r="J793" s="4">
        <f>VALUE(SUBSTITUTE('1000_заявлений'!J787, ".", ","))</f>
        <v>3.5008794567390402</v>
      </c>
      <c r="K793" s="5">
        <f>VALUE(SUBSTITUTE('1000_заявлений'!K787, ".", ","))</f>
        <v>-5071</v>
      </c>
      <c r="L793" s="6">
        <f>VALUE(SUBSTITUTE('1000_заявлений'!L787, ".", ","))</f>
        <v>44658</v>
      </c>
      <c r="M793" s="2" t="str">
        <f>IF(Данные6[[#This Row],[proba]]&gt;$C$6, "отказ", "одобрение")</f>
        <v>отказ</v>
      </c>
      <c r="N793" s="7">
        <f>IF(Данные6[[#This Row],[proba]]&lt;$D$2,$C$2,IF(Данные6[[#This Row],[proba]]&lt;$D$3,$C$3,IF(Данные6[[#This Row],[proba]]&gt;$C$6,0,$C$4)))</f>
        <v>0</v>
      </c>
      <c r="O793" s="2">
        <f>IF(Данные6[[#This Row],[weighted_ext_score]]&gt;$O$1,MIN(Данные6[[#This Row],[Базовая сумма]]*$O$2,$C$2),IF(Данные6[[#This Row],[weighted_ext_score]]&lt;$O$3,Данные6[[#This Row],[Базовая сумма]]*$O$4,N793))</f>
        <v>0</v>
      </c>
      <c r="P7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3" s="2">
        <f>ABS(Данные6[[#This Row],[days_birth]])/365.2425</f>
        <v>32.244330821303656</v>
      </c>
      <c r="S7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3" s="2">
        <f>IF(Данные6[[#This Row],[ interest_rate]]&gt;$T$1,Данные6[[#This Row],[days_birth4]]*$T$2,Данные6[[#This Row],[days_birth4]])</f>
        <v>0</v>
      </c>
      <c r="U793" s="2">
        <f>IF(Данные6[[#This Row],[Проверка отказа]]="отказ",0,MAX(Данные6[[#This Row],[interest_rate]],$C$1))</f>
        <v>0</v>
      </c>
      <c r="V793" s="2">
        <f>MROUND(Данные6[[#This Row],[Минимум 20000]], 100)</f>
        <v>0</v>
      </c>
    </row>
    <row r="794" spans="1:22" x14ac:dyDescent="0.25">
      <c r="A794" s="2">
        <f>'1000_заявлений'!A788</f>
        <v>786</v>
      </c>
      <c r="B794" s="4">
        <f>VALUE(SUBSTITUTE('1000_заявлений'!B788, ".", ","))</f>
        <v>0.22860174012784101</v>
      </c>
      <c r="C794" s="4">
        <f>VALUE(SUBSTITUTE('1000_заявлений'!C788, ".", ","))</f>
        <v>0.42526405868329298</v>
      </c>
      <c r="D794" s="4">
        <f>VALUE(SUBSTITUTE('1000_заявлений'!D788, ".", ","))</f>
        <v>0.50107515000000002</v>
      </c>
      <c r="E794" s="4">
        <f>VALUE(SUBSTITUTE('1000_заявлений'!E788, ".", ","))</f>
        <v>0.75234215999999998</v>
      </c>
      <c r="F794" s="5">
        <f>VALUE(SUBSTITUTE('1000_заявлений'!F788, ".", ","))</f>
        <v>-6058</v>
      </c>
      <c r="G794" s="5">
        <f>VALUE(SUBSTITUTE('1000_заявлений'!G788, ".", ","))</f>
        <v>-21159</v>
      </c>
      <c r="H794" s="5">
        <f>VALUE(SUBSTITUTE('1000_заявлений'!H788, ".", ","))</f>
        <v>-4340</v>
      </c>
      <c r="I794" s="4">
        <f>VALUE(SUBSTITUTE('1000_заявлений'!I788, ".", ","))</f>
        <v>9.0133333333333301E-2</v>
      </c>
      <c r="J794" s="4">
        <f>VALUE(SUBSTITUTE('1000_заявлений'!J788, ".", ","))</f>
        <v>20.143103748934699</v>
      </c>
      <c r="K794" s="5">
        <f>VALUE(SUBSTITUTE('1000_заявлений'!K788, ".", ","))</f>
        <v>-5623</v>
      </c>
      <c r="L794" s="6">
        <f>VALUE(SUBSTITUTE('1000_заявлений'!L788, ".", ","))</f>
        <v>6084</v>
      </c>
      <c r="M794" s="2" t="str">
        <f>IF(Данные6[[#This Row],[proba]]&gt;$C$6, "отказ", "одобрение")</f>
        <v>одобрение</v>
      </c>
      <c r="N794" s="7">
        <f>IF(Данные6[[#This Row],[proba]]&lt;$D$2,$C$2,IF(Данные6[[#This Row],[proba]]&lt;$D$3,$C$3,IF(Данные6[[#This Row],[proba]]&gt;$C$6,0,$C$4)))</f>
        <v>50000</v>
      </c>
      <c r="O794" s="2">
        <f>IF(Данные6[[#This Row],[weighted_ext_score]]&gt;$O$1,MIN(Данные6[[#This Row],[Базовая сумма]]*$O$2,$C$2),IF(Данные6[[#This Row],[weighted_ext_score]]&lt;$O$3,Данные6[[#This Row],[Базовая сумма]]*$O$4,N794))</f>
        <v>40000</v>
      </c>
      <c r="P7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7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794" s="2">
        <f>ABS(Данные6[[#This Row],[days_birth]])/365.2425</f>
        <v>57.931374360869832</v>
      </c>
      <c r="S7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60480</v>
      </c>
      <c r="T794" s="2">
        <f>IF(Данные6[[#This Row],[ interest_rate]]&gt;$T$1,Данные6[[#This Row],[days_birth4]]*$T$2,Данные6[[#This Row],[days_birth4]])</f>
        <v>48384</v>
      </c>
      <c r="U794" s="2">
        <f>IF(Данные6[[#This Row],[Проверка отказа]]="отказ",0,MAX(Данные6[[#This Row],[interest_rate]],$C$1))</f>
        <v>48384</v>
      </c>
      <c r="V794" s="2">
        <f>MROUND(Данные6[[#This Row],[Минимум 20000]], 100)</f>
        <v>48400</v>
      </c>
    </row>
    <row r="795" spans="1:22" x14ac:dyDescent="0.25">
      <c r="A795" s="2">
        <f>'1000_заявлений'!A789</f>
        <v>787</v>
      </c>
      <c r="B795" s="4">
        <f>VALUE(SUBSTITUTE('1000_заявлений'!B789, ".", ","))</f>
        <v>0.85230991778885601</v>
      </c>
      <c r="C795" s="4">
        <f>VALUE(SUBSTITUTE('1000_заявлений'!C789, ".", ","))</f>
        <v>0.13249298790257699</v>
      </c>
      <c r="D795" s="4">
        <f>VALUE(SUBSTITUTE('1000_заявлений'!D789, ".", ","))</f>
        <v>0.10684194399999999</v>
      </c>
      <c r="E795" s="4">
        <f>VALUE(SUBSTITUTE('1000_заявлений'!E789, ".", ","))</f>
        <v>0.28932989999999997</v>
      </c>
      <c r="F795" s="5">
        <f>VALUE(SUBSTITUTE('1000_заявлений'!F789, ".", ","))</f>
        <v>-1270</v>
      </c>
      <c r="G795" s="5">
        <f>VALUE(SUBSTITUTE('1000_заявлений'!G789, ".", ","))</f>
        <v>-12834</v>
      </c>
      <c r="H795" s="5">
        <f>VALUE(SUBSTITUTE('1000_заявлений'!H789, ".", ","))</f>
        <v>-396</v>
      </c>
      <c r="I795" s="4">
        <f>VALUE(SUBSTITUTE('1000_заявлений'!I789, ".", ","))</f>
        <v>0.196366666666666</v>
      </c>
      <c r="J795" s="4">
        <f>VALUE(SUBSTITUTE('1000_заявлений'!J789, ".", ","))</f>
        <v>7.3980757530384098</v>
      </c>
      <c r="K795" s="5">
        <f>VALUE(SUBSTITUTE('1000_заявлений'!K789, ".", ","))</f>
        <v>-1378</v>
      </c>
      <c r="L795" s="6">
        <f>VALUE(SUBSTITUTE('1000_заявлений'!L789, ".", ","))</f>
        <v>26509.5</v>
      </c>
      <c r="M795" s="2" t="str">
        <f>IF(Данные6[[#This Row],[proba]]&gt;$C$6, "отказ", "одобрение")</f>
        <v>отказ</v>
      </c>
      <c r="N795" s="7">
        <f>IF(Данные6[[#This Row],[proba]]&lt;$D$2,$C$2,IF(Данные6[[#This Row],[proba]]&lt;$D$3,$C$3,IF(Данные6[[#This Row],[proba]]&gt;$C$6,0,$C$4)))</f>
        <v>0</v>
      </c>
      <c r="O795" s="2">
        <f>IF(Данные6[[#This Row],[weighted_ext_score]]&gt;$O$1,MIN(Данные6[[#This Row],[Базовая сумма]]*$O$2,$C$2),IF(Данные6[[#This Row],[weighted_ext_score]]&lt;$O$3,Данные6[[#This Row],[Базовая сумма]]*$O$4,N795))</f>
        <v>0</v>
      </c>
      <c r="P7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5" s="2">
        <f>ABS(Данные6[[#This Row],[days_birth]])/365.2425</f>
        <v>35.138298527690509</v>
      </c>
      <c r="S7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5" s="2">
        <f>IF(Данные6[[#This Row],[ interest_rate]]&gt;$T$1,Данные6[[#This Row],[days_birth4]]*$T$2,Данные6[[#This Row],[days_birth4]])</f>
        <v>0</v>
      </c>
      <c r="U795" s="2">
        <f>IF(Данные6[[#This Row],[Проверка отказа]]="отказ",0,MAX(Данные6[[#This Row],[interest_rate]],$C$1))</f>
        <v>0</v>
      </c>
      <c r="V795" s="2">
        <f>MROUND(Данные6[[#This Row],[Минимум 20000]], 100)</f>
        <v>0</v>
      </c>
    </row>
    <row r="796" spans="1:22" x14ac:dyDescent="0.25">
      <c r="A796" s="2">
        <f>'1000_заявлений'!A790</f>
        <v>788</v>
      </c>
      <c r="B796" s="4">
        <f>VALUE(SUBSTITUTE('1000_заявлений'!B790, ".", ","))</f>
        <v>0.48607831067138402</v>
      </c>
      <c r="C796" s="4">
        <f>VALUE(SUBSTITUTE('1000_заявлений'!C790, ".", ","))</f>
        <v>0.379273869595392</v>
      </c>
      <c r="D796" s="4">
        <f>VALUE(SUBSTITUTE('1000_заявлений'!D790, ".", ","))</f>
        <v>0.63135450000000004</v>
      </c>
      <c r="E796" s="4">
        <f>VALUE(SUBSTITUTE('1000_заявлений'!E790, ".", ","))</f>
        <v>0.33976277999999999</v>
      </c>
      <c r="F796" s="5">
        <f>VALUE(SUBSTITUTE('1000_заявлений'!F790, ".", ","))</f>
        <v>-4432</v>
      </c>
      <c r="G796" s="5">
        <f>VALUE(SUBSTITUTE('1000_заявлений'!G790, ".", ","))</f>
        <v>-10960</v>
      </c>
      <c r="H796" s="5">
        <f>VALUE(SUBSTITUTE('1000_заявлений'!H790, ".", ","))</f>
        <v>-3625</v>
      </c>
      <c r="I796" s="4">
        <f>VALUE(SUBSTITUTE('1000_заявлений'!I790, ".", ","))</f>
        <v>0.20933333333333301</v>
      </c>
      <c r="J796" s="4">
        <f>VALUE(SUBSTITUTE('1000_заявлений'!J790, ".", ","))</f>
        <v>6.6678802249720004</v>
      </c>
      <c r="K796" s="5">
        <f>VALUE(SUBSTITUTE('1000_заявлений'!K790, ".", ","))</f>
        <v>-200</v>
      </c>
      <c r="L796" s="6">
        <f>VALUE(SUBSTITUTE('1000_заявлений'!L790, ".", ","))</f>
        <v>28260</v>
      </c>
      <c r="M796" s="2" t="str">
        <f>IF(Данные6[[#This Row],[proba]]&gt;$C$6, "отказ", "одобрение")</f>
        <v>отказ</v>
      </c>
      <c r="N796" s="7">
        <f>IF(Данные6[[#This Row],[proba]]&lt;$D$2,$C$2,IF(Данные6[[#This Row],[proba]]&lt;$D$3,$C$3,IF(Данные6[[#This Row],[proba]]&gt;$C$6,0,$C$4)))</f>
        <v>0</v>
      </c>
      <c r="O796" s="2">
        <f>IF(Данные6[[#This Row],[weighted_ext_score]]&gt;$O$1,MIN(Данные6[[#This Row],[Базовая сумма]]*$O$2,$C$2),IF(Данные6[[#This Row],[weighted_ext_score]]&lt;$O$3,Данные6[[#This Row],[Базовая сумма]]*$O$4,N796))</f>
        <v>0</v>
      </c>
      <c r="P7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6" s="2">
        <f>ABS(Данные6[[#This Row],[days_birth]])/365.2425</f>
        <v>30.007460796594042</v>
      </c>
      <c r="S7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6" s="2">
        <f>IF(Данные6[[#This Row],[ interest_rate]]&gt;$T$1,Данные6[[#This Row],[days_birth4]]*$T$2,Данные6[[#This Row],[days_birth4]])</f>
        <v>0</v>
      </c>
      <c r="U796" s="2">
        <f>IF(Данные6[[#This Row],[Проверка отказа]]="отказ",0,MAX(Данные6[[#This Row],[interest_rate]],$C$1))</f>
        <v>0</v>
      </c>
      <c r="V796" s="2">
        <f>MROUND(Данные6[[#This Row],[Минимум 20000]], 100)</f>
        <v>0</v>
      </c>
    </row>
    <row r="797" spans="1:22" x14ac:dyDescent="0.25">
      <c r="A797" s="2">
        <f>'1000_заявлений'!A791</f>
        <v>789</v>
      </c>
      <c r="B797" s="4">
        <f>VALUE(SUBSTITUTE('1000_заявлений'!B791, ".", ","))</f>
        <v>0.67935582131554595</v>
      </c>
      <c r="C797" s="4">
        <f>VALUE(SUBSTITUTE('1000_заявлений'!C791, ".", ","))</f>
        <v>0.23169318046308199</v>
      </c>
      <c r="D797" s="4">
        <f>VALUE(SUBSTITUTE('1000_заявлений'!D791, ".", ","))</f>
        <v>0.5797274</v>
      </c>
      <c r="E797" s="4">
        <f>VALUE(SUBSTITUTE('1000_заявлений'!E791, ".", ","))</f>
        <v>6.7901589999999998E-2</v>
      </c>
      <c r="F797" s="5">
        <f>VALUE(SUBSTITUTE('1000_заявлений'!F791, ".", ","))</f>
        <v>-4223</v>
      </c>
      <c r="G797" s="5">
        <f>VALUE(SUBSTITUTE('1000_заявлений'!G791, ".", ","))</f>
        <v>-12235</v>
      </c>
      <c r="H797" s="5">
        <f>VALUE(SUBSTITUTE('1000_заявлений'!H791, ".", ","))</f>
        <v>-4344</v>
      </c>
      <c r="I797" s="4">
        <f>VALUE(SUBSTITUTE('1000_заявлений'!I791, ".", ","))</f>
        <v>0.31108695652173901</v>
      </c>
      <c r="J797" s="4">
        <f>VALUE(SUBSTITUTE('1000_заявлений'!J791, ".", ","))</f>
        <v>2.84182928379879</v>
      </c>
      <c r="K797" s="5">
        <f>VALUE(SUBSTITUTE('1000_заявлений'!K791, ".", ","))</f>
        <v>365243</v>
      </c>
      <c r="L797" s="6">
        <f>VALUE(SUBSTITUTE('1000_заявлений'!L791, ".", ","))</f>
        <v>32197.5</v>
      </c>
      <c r="M797" s="2" t="str">
        <f>IF(Данные6[[#This Row],[proba]]&gt;$C$6, "отказ", "одобрение")</f>
        <v>отказ</v>
      </c>
      <c r="N797" s="7">
        <f>IF(Данные6[[#This Row],[proba]]&lt;$D$2,$C$2,IF(Данные6[[#This Row],[proba]]&lt;$D$3,$C$3,IF(Данные6[[#This Row],[proba]]&gt;$C$6,0,$C$4)))</f>
        <v>0</v>
      </c>
      <c r="O797" s="2">
        <f>IF(Данные6[[#This Row],[weighted_ext_score]]&gt;$O$1,MIN(Данные6[[#This Row],[Базовая сумма]]*$O$2,$C$2),IF(Данные6[[#This Row],[weighted_ext_score]]&lt;$O$3,Данные6[[#This Row],[Базовая сумма]]*$O$4,N797))</f>
        <v>0</v>
      </c>
      <c r="P7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7" s="2">
        <f>ABS(Данные6[[#This Row],[days_birth]])/365.2425</f>
        <v>33.49829223050439</v>
      </c>
      <c r="S7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7" s="2">
        <f>IF(Данные6[[#This Row],[ interest_rate]]&gt;$T$1,Данные6[[#This Row],[days_birth4]]*$T$2,Данные6[[#This Row],[days_birth4]])</f>
        <v>0</v>
      </c>
      <c r="U797" s="2">
        <f>IF(Данные6[[#This Row],[Проверка отказа]]="отказ",0,MAX(Данные6[[#This Row],[interest_rate]],$C$1))</f>
        <v>0</v>
      </c>
      <c r="V797" s="2">
        <f>MROUND(Данные6[[#This Row],[Минимум 20000]], 100)</f>
        <v>0</v>
      </c>
    </row>
    <row r="798" spans="1:22" x14ac:dyDescent="0.25">
      <c r="A798" s="2">
        <f>'1000_заявлений'!A792</f>
        <v>790</v>
      </c>
      <c r="B798" s="4">
        <f>VALUE(SUBSTITUTE('1000_заявлений'!B792, ".", ","))</f>
        <v>0.73461841476474798</v>
      </c>
      <c r="C798" s="4">
        <f>VALUE(SUBSTITUTE('1000_заявлений'!C792, ".", ","))</f>
        <v>0.23554177015646099</v>
      </c>
      <c r="D798" s="4">
        <f>VALUE(SUBSTITUTE('1000_заявлений'!D792, ".", ","))</f>
        <v>9.3225089999999997E-2</v>
      </c>
      <c r="E798" s="4">
        <f>VALUE(SUBSTITUTE('1000_заявлений'!E792, ".", ","))</f>
        <v>0.62219435000000001</v>
      </c>
      <c r="F798" s="5">
        <f>VALUE(SUBSTITUTE('1000_заявлений'!F792, ".", ","))</f>
        <v>-9781</v>
      </c>
      <c r="G798" s="5">
        <f>VALUE(SUBSTITUTE('1000_заявлений'!G792, ".", ","))</f>
        <v>-18354</v>
      </c>
      <c r="H798" s="5">
        <f>VALUE(SUBSTITUTE('1000_заявлений'!H792, ".", ","))</f>
        <v>-1905</v>
      </c>
      <c r="I798" s="4">
        <f>VALUE(SUBSTITUTE('1000_заявлений'!I792, ".", ","))</f>
        <v>0.34110526315789402</v>
      </c>
      <c r="J798" s="4">
        <f>VALUE(SUBSTITUTE('1000_заявлений'!J792, ".", ","))</f>
        <v>2.6902382765873201</v>
      </c>
      <c r="K798" s="5">
        <f>VALUE(SUBSTITUTE('1000_заявлений'!K792, ".", ","))</f>
        <v>-2931</v>
      </c>
      <c r="L798" s="6">
        <f>VALUE(SUBSTITUTE('1000_заявлений'!L792, ".", ","))</f>
        <v>29164.5</v>
      </c>
      <c r="M798" s="2" t="str">
        <f>IF(Данные6[[#This Row],[proba]]&gt;$C$6, "отказ", "одобрение")</f>
        <v>отказ</v>
      </c>
      <c r="N798" s="7">
        <f>IF(Данные6[[#This Row],[proba]]&lt;$D$2,$C$2,IF(Данные6[[#This Row],[proba]]&lt;$D$3,$C$3,IF(Данные6[[#This Row],[proba]]&gt;$C$6,0,$C$4)))</f>
        <v>0</v>
      </c>
      <c r="O798" s="2">
        <f>IF(Данные6[[#This Row],[weighted_ext_score]]&gt;$O$1,MIN(Данные6[[#This Row],[Базовая сумма]]*$O$2,$C$2),IF(Данные6[[#This Row],[weighted_ext_score]]&lt;$O$3,Данные6[[#This Row],[Базовая сумма]]*$O$4,N798))</f>
        <v>0</v>
      </c>
      <c r="P7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8" s="2">
        <f>ABS(Данные6[[#This Row],[days_birth]])/365.2425</f>
        <v>50.251545206267068</v>
      </c>
      <c r="S7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8" s="2">
        <f>IF(Данные6[[#This Row],[ interest_rate]]&gt;$T$1,Данные6[[#This Row],[days_birth4]]*$T$2,Данные6[[#This Row],[days_birth4]])</f>
        <v>0</v>
      </c>
      <c r="U798" s="2">
        <f>IF(Данные6[[#This Row],[Проверка отказа]]="отказ",0,MAX(Данные6[[#This Row],[interest_rate]],$C$1))</f>
        <v>0</v>
      </c>
      <c r="V798" s="2">
        <f>MROUND(Данные6[[#This Row],[Минимум 20000]], 100)</f>
        <v>0</v>
      </c>
    </row>
    <row r="799" spans="1:22" x14ac:dyDescent="0.25">
      <c r="A799" s="2">
        <f>'1000_заявлений'!A793</f>
        <v>791</v>
      </c>
      <c r="B799" s="4">
        <f>VALUE(SUBSTITUTE('1000_заявлений'!B793, ".", ","))</f>
        <v>0.65670303323802204</v>
      </c>
      <c r="C799" s="4">
        <f>VALUE(SUBSTITUTE('1000_заявлений'!C793, ".", ","))</f>
        <v>0.27058719192380298</v>
      </c>
      <c r="D799" s="4">
        <f>VALUE(SUBSTITUTE('1000_заявлений'!D793, ".", ","))</f>
        <v>0.23922628000000001</v>
      </c>
      <c r="E799" s="4">
        <f>VALUE(SUBSTITUTE('1000_заявлений'!E793, ".", ","))</f>
        <v>0.56744879999999998</v>
      </c>
      <c r="F799" s="5">
        <f>VALUE(SUBSTITUTE('1000_заявлений'!F793, ".", ","))</f>
        <v>-1542</v>
      </c>
      <c r="G799" s="5">
        <f>VALUE(SUBSTITUTE('1000_заявлений'!G793, ".", ","))</f>
        <v>-12250</v>
      </c>
      <c r="H799" s="5">
        <f>VALUE(SUBSTITUTE('1000_заявлений'!H793, ".", ","))</f>
        <v>-4098</v>
      </c>
      <c r="I799" s="4">
        <f>VALUE(SUBSTITUTE('1000_заявлений'!I793, ".", ","))</f>
        <v>0.20088</v>
      </c>
      <c r="J799" s="4">
        <f>VALUE(SUBSTITUTE('1000_заявлений'!J793, ".", ","))</f>
        <v>5.7522817474071397</v>
      </c>
      <c r="K799" s="5">
        <f>VALUE(SUBSTITUTE('1000_заявлений'!K793, ".", ","))</f>
        <v>-256</v>
      </c>
      <c r="L799" s="6">
        <f>VALUE(SUBSTITUTE('1000_заявлений'!L793, ".", ","))</f>
        <v>22599</v>
      </c>
      <c r="M799" s="2" t="str">
        <f>IF(Данные6[[#This Row],[proba]]&gt;$C$6, "отказ", "одобрение")</f>
        <v>отказ</v>
      </c>
      <c r="N799" s="7">
        <f>IF(Данные6[[#This Row],[proba]]&lt;$D$2,$C$2,IF(Данные6[[#This Row],[proba]]&lt;$D$3,$C$3,IF(Данные6[[#This Row],[proba]]&gt;$C$6,0,$C$4)))</f>
        <v>0</v>
      </c>
      <c r="O799" s="2">
        <f>IF(Данные6[[#This Row],[weighted_ext_score]]&gt;$O$1,MIN(Данные6[[#This Row],[Базовая сумма]]*$O$2,$C$2),IF(Данные6[[#This Row],[weighted_ext_score]]&lt;$O$3,Данные6[[#This Row],[Базовая сумма]]*$O$4,N799))</f>
        <v>0</v>
      </c>
      <c r="P7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7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799" s="2">
        <f>ABS(Данные6[[#This Row],[days_birth]])/365.2425</f>
        <v>33.539360835609216</v>
      </c>
      <c r="S7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799" s="2">
        <f>IF(Данные6[[#This Row],[ interest_rate]]&gt;$T$1,Данные6[[#This Row],[days_birth4]]*$T$2,Данные6[[#This Row],[days_birth4]])</f>
        <v>0</v>
      </c>
      <c r="U799" s="2">
        <f>IF(Данные6[[#This Row],[Проверка отказа]]="отказ",0,MAX(Данные6[[#This Row],[interest_rate]],$C$1))</f>
        <v>0</v>
      </c>
      <c r="V799" s="2">
        <f>MROUND(Данные6[[#This Row],[Минимум 20000]], 100)</f>
        <v>0</v>
      </c>
    </row>
    <row r="800" spans="1:22" x14ac:dyDescent="0.25">
      <c r="A800" s="2">
        <f>'1000_заявлений'!A794</f>
        <v>792</v>
      </c>
      <c r="B800" s="4">
        <f>VALUE(SUBSTITUTE('1000_заявлений'!B794, ".", ","))</f>
        <v>0.467863141345568</v>
      </c>
      <c r="C800" s="4">
        <f>VALUE(SUBSTITUTE('1000_заявлений'!C794, ".", ","))</f>
        <v>0.46542107168534802</v>
      </c>
      <c r="D800" s="4">
        <f>VALUE(SUBSTITUTE('1000_заявлений'!D794, ".", ","))</f>
        <v>0.33125088000000003</v>
      </c>
      <c r="E800" s="4">
        <f>VALUE(SUBSTITUTE('1000_заявлений'!E794, ".", ","))</f>
        <v>0.66282094000000003</v>
      </c>
      <c r="F800" s="5">
        <f>VALUE(SUBSTITUTE('1000_заявлений'!F794, ".", ","))</f>
        <v>-3117</v>
      </c>
      <c r="G800" s="5">
        <f>VALUE(SUBSTITUTE('1000_заявлений'!G794, ".", ","))</f>
        <v>-13609</v>
      </c>
      <c r="H800" s="5">
        <f>VALUE(SUBSTITUTE('1000_заявлений'!H794, ".", ","))</f>
        <v>-3754</v>
      </c>
      <c r="I800" s="4">
        <f>VALUE(SUBSTITUTE('1000_заявлений'!I794, ".", ","))</f>
        <v>0.16980000000000001</v>
      </c>
      <c r="J800" s="4">
        <f>VALUE(SUBSTITUTE('1000_заявлений'!J794, ".", ","))</f>
        <v>2.9968347320520499</v>
      </c>
      <c r="K800" s="5">
        <f>VALUE(SUBSTITUTE('1000_заявлений'!K794, ".", ","))</f>
        <v>-301</v>
      </c>
      <c r="L800" s="6">
        <f>VALUE(SUBSTITUTE('1000_заявлений'!L794, ".", ","))</f>
        <v>26743.5</v>
      </c>
      <c r="M800" s="2" t="str">
        <f>IF(Данные6[[#This Row],[proba]]&gt;$C$6, "отказ", "одобрение")</f>
        <v>отказ</v>
      </c>
      <c r="N800" s="7">
        <f>IF(Данные6[[#This Row],[proba]]&lt;$D$2,$C$2,IF(Данные6[[#This Row],[proba]]&lt;$D$3,$C$3,IF(Данные6[[#This Row],[proba]]&gt;$C$6,0,$C$4)))</f>
        <v>0</v>
      </c>
      <c r="O800" s="2">
        <f>IF(Данные6[[#This Row],[weighted_ext_score]]&gt;$O$1,MIN(Данные6[[#This Row],[Базовая сумма]]*$O$2,$C$2),IF(Данные6[[#This Row],[weighted_ext_score]]&lt;$O$3,Данные6[[#This Row],[Базовая сумма]]*$O$4,N800))</f>
        <v>0</v>
      </c>
      <c r="P8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0" s="2">
        <f>ABS(Данные6[[#This Row],[days_birth]])/365.2425</f>
        <v>37.260176458106599</v>
      </c>
      <c r="S8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0" s="2">
        <f>IF(Данные6[[#This Row],[ interest_rate]]&gt;$T$1,Данные6[[#This Row],[days_birth4]]*$T$2,Данные6[[#This Row],[days_birth4]])</f>
        <v>0</v>
      </c>
      <c r="U800" s="2">
        <f>IF(Данные6[[#This Row],[Проверка отказа]]="отказ",0,MAX(Данные6[[#This Row],[interest_rate]],$C$1))</f>
        <v>0</v>
      </c>
      <c r="V800" s="2">
        <f>MROUND(Данные6[[#This Row],[Минимум 20000]], 100)</f>
        <v>0</v>
      </c>
    </row>
    <row r="801" spans="1:22" x14ac:dyDescent="0.25">
      <c r="A801" s="2">
        <f>'1000_заявлений'!A795</f>
        <v>793</v>
      </c>
      <c r="B801" s="4">
        <f>VALUE(SUBSTITUTE('1000_заявлений'!B795, ".", ","))</f>
        <v>0.389037747299119</v>
      </c>
      <c r="C801" s="4">
        <f>VALUE(SUBSTITUTE('1000_заявлений'!C795, ".", ","))</f>
        <v>0.37689022844390402</v>
      </c>
      <c r="D801" s="4">
        <f>VALUE(SUBSTITUTE('1000_заявлений'!D795, ".", ","))</f>
        <v>0.60927564000000001</v>
      </c>
      <c r="E801" s="4">
        <f>VALUE(SUBSTITUTE('1000_заявлений'!E795, ".", ","))</f>
        <v>0.48257499999999998</v>
      </c>
      <c r="F801" s="5">
        <f>VALUE(SUBSTITUTE('1000_заявлений'!F795, ".", ","))</f>
        <v>-451</v>
      </c>
      <c r="G801" s="5">
        <f>VALUE(SUBSTITUTE('1000_заявлений'!G795, ".", ","))</f>
        <v>-15089</v>
      </c>
      <c r="H801" s="5">
        <f>VALUE(SUBSTITUTE('1000_заявлений'!H795, ".", ","))</f>
        <v>-4471</v>
      </c>
      <c r="I801" s="4">
        <f>VALUE(SUBSTITUTE('1000_заявлений'!I795, ".", ","))</f>
        <v>0.13836000000000001</v>
      </c>
      <c r="J801" s="4">
        <f>VALUE(SUBSTITUTE('1000_заявлений'!J795, ".", ","))</f>
        <v>7.3942951079285004</v>
      </c>
      <c r="K801" s="5">
        <f>VALUE(SUBSTITUTE('1000_заявлений'!K795, ".", ","))</f>
        <v>-1294</v>
      </c>
      <c r="L801" s="6">
        <f>VALUE(SUBSTITUTE('1000_заявлений'!L795, ".", ","))</f>
        <v>31131</v>
      </c>
      <c r="M801" s="2" t="str">
        <f>IF(Данные6[[#This Row],[proba]]&gt;$C$6, "отказ", "одобрение")</f>
        <v>отказ</v>
      </c>
      <c r="N801" s="7">
        <f>IF(Данные6[[#This Row],[proba]]&lt;$D$2,$C$2,IF(Данные6[[#This Row],[proba]]&lt;$D$3,$C$3,IF(Данные6[[#This Row],[proba]]&gt;$C$6,0,$C$4)))</f>
        <v>0</v>
      </c>
      <c r="O801" s="2">
        <f>IF(Данные6[[#This Row],[weighted_ext_score]]&gt;$O$1,MIN(Данные6[[#This Row],[Базовая сумма]]*$O$2,$C$2),IF(Данные6[[#This Row],[weighted_ext_score]]&lt;$O$3,Данные6[[#This Row],[Базовая сумма]]*$O$4,N801))</f>
        <v>0</v>
      </c>
      <c r="P8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1" s="2">
        <f>ABS(Данные6[[#This Row],[days_birth]])/365.2425</f>
        <v>41.312278828449593</v>
      </c>
      <c r="S8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1" s="2">
        <f>IF(Данные6[[#This Row],[ interest_rate]]&gt;$T$1,Данные6[[#This Row],[days_birth4]]*$T$2,Данные6[[#This Row],[days_birth4]])</f>
        <v>0</v>
      </c>
      <c r="U801" s="2">
        <f>IF(Данные6[[#This Row],[Проверка отказа]]="отказ",0,MAX(Данные6[[#This Row],[interest_rate]],$C$1))</f>
        <v>0</v>
      </c>
      <c r="V801" s="2">
        <f>MROUND(Данные6[[#This Row],[Минимум 20000]], 100)</f>
        <v>0</v>
      </c>
    </row>
    <row r="802" spans="1:22" x14ac:dyDescent="0.25">
      <c r="A802" s="2">
        <f>'1000_заявлений'!A796</f>
        <v>794</v>
      </c>
      <c r="B802" s="4">
        <f>VALUE(SUBSTITUTE('1000_заявлений'!B796, ".", ","))</f>
        <v>0.42724356664848001</v>
      </c>
      <c r="C802" s="4">
        <f>VALUE(SUBSTITUTE('1000_заявлений'!C796, ".", ","))</f>
        <v>0.34039930243834798</v>
      </c>
      <c r="D802" s="4">
        <f>VALUE(SUBSTITUTE('1000_заявлений'!D796, ".", ","))</f>
        <v>0.71363140000000003</v>
      </c>
      <c r="E802" s="4">
        <f>VALUE(SUBSTITUTE('1000_заявлений'!E796, ".", ","))</f>
        <v>0.25372756000000002</v>
      </c>
      <c r="F802" s="5">
        <f>VALUE(SUBSTITUTE('1000_заявлений'!F796, ".", ","))</f>
        <v>-5593</v>
      </c>
      <c r="G802" s="5">
        <f>VALUE(SUBSTITUTE('1000_заявлений'!G796, ".", ","))</f>
        <v>-18050</v>
      </c>
      <c r="H802" s="5">
        <f>VALUE(SUBSTITUTE('1000_заявлений'!H796, ".", ","))</f>
        <v>-15</v>
      </c>
      <c r="I802" s="4">
        <f>VALUE(SUBSTITUTE('1000_заявлений'!I796, ".", ","))</f>
        <v>0.2596</v>
      </c>
      <c r="J802" s="4">
        <f>VALUE(SUBSTITUTE('1000_заявлений'!J796, ".", ","))</f>
        <v>18.922475419418699</v>
      </c>
      <c r="K802" s="5">
        <f>VALUE(SUBSTITUTE('1000_заявлений'!K796, ".", ","))</f>
        <v>-123</v>
      </c>
      <c r="L802" s="6">
        <f>VALUE(SUBSTITUTE('1000_заявлений'!L796, ".", ","))</f>
        <v>29205</v>
      </c>
      <c r="M802" s="2" t="str">
        <f>IF(Данные6[[#This Row],[proba]]&gt;$C$6, "отказ", "одобрение")</f>
        <v>отказ</v>
      </c>
      <c r="N802" s="7">
        <f>IF(Данные6[[#This Row],[proba]]&lt;$D$2,$C$2,IF(Данные6[[#This Row],[proba]]&lt;$D$3,$C$3,IF(Данные6[[#This Row],[proba]]&gt;$C$6,0,$C$4)))</f>
        <v>0</v>
      </c>
      <c r="O802" s="2">
        <f>IF(Данные6[[#This Row],[weighted_ext_score]]&gt;$O$1,MIN(Данные6[[#This Row],[Базовая сумма]]*$O$2,$C$2),IF(Данные6[[#This Row],[weighted_ext_score]]&lt;$O$3,Данные6[[#This Row],[Базовая сумма]]*$O$4,N802))</f>
        <v>0</v>
      </c>
      <c r="P8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2" s="2">
        <f>ABS(Данные6[[#This Row],[days_birth]])/365.2425</f>
        <v>49.41922147614256</v>
      </c>
      <c r="S8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2" s="2">
        <f>IF(Данные6[[#This Row],[ interest_rate]]&gt;$T$1,Данные6[[#This Row],[days_birth4]]*$T$2,Данные6[[#This Row],[days_birth4]])</f>
        <v>0</v>
      </c>
      <c r="U802" s="2">
        <f>IF(Данные6[[#This Row],[Проверка отказа]]="отказ",0,MAX(Данные6[[#This Row],[interest_rate]],$C$1))</f>
        <v>0</v>
      </c>
      <c r="V802" s="2">
        <f>MROUND(Данные6[[#This Row],[Минимум 20000]], 100)</f>
        <v>0</v>
      </c>
    </row>
    <row r="803" spans="1:22" x14ac:dyDescent="0.25">
      <c r="A803" s="2">
        <f>'1000_заявлений'!A797</f>
        <v>795</v>
      </c>
      <c r="B803" s="4">
        <f>VALUE(SUBSTITUTE('1000_заявлений'!B797, ".", ","))</f>
        <v>0.33259025166149903</v>
      </c>
      <c r="C803" s="4">
        <f>VALUE(SUBSTITUTE('1000_заявлений'!C797, ".", ","))</f>
        <v>0.53387747127813101</v>
      </c>
      <c r="D803" s="4">
        <f>VALUE(SUBSTITUTE('1000_заявлений'!D797, ".", ","))</f>
        <v>0.52449643999999995</v>
      </c>
      <c r="E803" s="4">
        <f>VALUE(SUBSTITUTE('1000_заявлений'!E797, ".", ","))</f>
        <v>0.67817724000000001</v>
      </c>
      <c r="F803" s="5">
        <f>VALUE(SUBSTITUTE('1000_заявлений'!F797, ".", ","))</f>
        <v>-2457</v>
      </c>
      <c r="G803" s="5">
        <f>VALUE(SUBSTITUTE('1000_заявлений'!G797, ".", ","))</f>
        <v>-11581</v>
      </c>
      <c r="H803" s="5">
        <f>VALUE(SUBSTITUTE('1000_заявлений'!H797, ".", ","))</f>
        <v>-3984</v>
      </c>
      <c r="I803" s="4">
        <f>VALUE(SUBSTITUTE('1000_заявлений'!I797, ".", ","))</f>
        <v>0.13367999999999999</v>
      </c>
      <c r="J803" s="4">
        <f>VALUE(SUBSTITUTE('1000_заявлений'!J797, ".", ","))</f>
        <v>1.85066239734372</v>
      </c>
      <c r="K803" s="5">
        <f>VALUE(SUBSTITUTE('1000_заявлений'!K797, ".", ","))</f>
        <v>-1870</v>
      </c>
      <c r="L803" s="6">
        <f>VALUE(SUBSTITUTE('1000_заявлений'!L797, ".", ","))</f>
        <v>30078</v>
      </c>
      <c r="M803" s="2" t="str">
        <f>IF(Данные6[[#This Row],[proba]]&gt;$C$6, "отказ", "одобрение")</f>
        <v>отказ</v>
      </c>
      <c r="N803" s="7">
        <f>IF(Данные6[[#This Row],[proba]]&lt;$D$2,$C$2,IF(Данные6[[#This Row],[proba]]&lt;$D$3,$C$3,IF(Данные6[[#This Row],[proba]]&gt;$C$6,0,$C$4)))</f>
        <v>0</v>
      </c>
      <c r="O803" s="2">
        <f>IF(Данные6[[#This Row],[weighted_ext_score]]&gt;$O$1,MIN(Данные6[[#This Row],[Базовая сумма]]*$O$2,$C$2),IF(Данные6[[#This Row],[weighted_ext_score]]&lt;$O$3,Данные6[[#This Row],[Базовая сумма]]*$O$4,N803))</f>
        <v>0</v>
      </c>
      <c r="P8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3" s="2">
        <f>ABS(Данные6[[#This Row],[days_birth]])/365.2425</f>
        <v>31.707701047933906</v>
      </c>
      <c r="S8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3" s="2">
        <f>IF(Данные6[[#This Row],[ interest_rate]]&gt;$T$1,Данные6[[#This Row],[days_birth4]]*$T$2,Данные6[[#This Row],[days_birth4]])</f>
        <v>0</v>
      </c>
      <c r="U803" s="2">
        <f>IF(Данные6[[#This Row],[Проверка отказа]]="отказ",0,MAX(Данные6[[#This Row],[interest_rate]],$C$1))</f>
        <v>0</v>
      </c>
      <c r="V803" s="2">
        <f>MROUND(Данные6[[#This Row],[Минимум 20000]], 100)</f>
        <v>0</v>
      </c>
    </row>
    <row r="804" spans="1:22" x14ac:dyDescent="0.25">
      <c r="A804" s="2">
        <f>'1000_заявлений'!A798</f>
        <v>796</v>
      </c>
      <c r="B804" s="4">
        <f>VALUE(SUBSTITUTE('1000_заявлений'!B798, ".", ","))</f>
        <v>0.32748762703689099</v>
      </c>
      <c r="C804" s="4">
        <f>VALUE(SUBSTITUTE('1000_заявлений'!C798, ".", ","))</f>
        <v>0.42199131517952199</v>
      </c>
      <c r="D804" s="4">
        <f>VALUE(SUBSTITUTE('1000_заявлений'!D798, ".", ","))</f>
        <v>0.51549535999999996</v>
      </c>
      <c r="E804" s="4">
        <f>VALUE(SUBSTITUTE('1000_заявлений'!E798, ".", ","))</f>
        <v>0.72617494999999999</v>
      </c>
      <c r="F804" s="5">
        <f>VALUE(SUBSTITUTE('1000_заявлений'!F798, ".", ","))</f>
        <v>-4099</v>
      </c>
      <c r="G804" s="5">
        <f>VALUE(SUBSTITUTE('1000_заявлений'!G798, ".", ","))</f>
        <v>-19851</v>
      </c>
      <c r="H804" s="5">
        <f>VALUE(SUBSTITUTE('1000_заявлений'!H798, ".", ","))</f>
        <v>-3328</v>
      </c>
      <c r="I804" s="4">
        <f>VALUE(SUBSTITUTE('1000_заявлений'!I798, ".", ","))</f>
        <v>0.15204000000000001</v>
      </c>
      <c r="J804" s="4">
        <f>VALUE(SUBSTITUTE('1000_заявлений'!J798, ".", ","))</f>
        <v>1.70105108569402</v>
      </c>
      <c r="K804" s="5">
        <f>VALUE(SUBSTITUTE('1000_заявлений'!K798, ".", ","))</f>
        <v>-1845</v>
      </c>
      <c r="L804" s="6">
        <f>VALUE(SUBSTITUTE('1000_заявлений'!L798, ".", ","))</f>
        <v>34209</v>
      </c>
      <c r="M804" s="2" t="str">
        <f>IF(Данные6[[#This Row],[proba]]&gt;$C$6, "отказ", "одобрение")</f>
        <v>отказ</v>
      </c>
      <c r="N804" s="7">
        <f>IF(Данные6[[#This Row],[proba]]&lt;$D$2,$C$2,IF(Данные6[[#This Row],[proba]]&lt;$D$3,$C$3,IF(Данные6[[#This Row],[proba]]&gt;$C$6,0,$C$4)))</f>
        <v>0</v>
      </c>
      <c r="O804" s="2">
        <f>IF(Данные6[[#This Row],[weighted_ext_score]]&gt;$O$1,MIN(Данные6[[#This Row],[Базовая сумма]]*$O$2,$C$2),IF(Данные6[[#This Row],[weighted_ext_score]]&lt;$O$3,Данные6[[#This Row],[Базовая сумма]]*$O$4,N804))</f>
        <v>0</v>
      </c>
      <c r="P8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4" s="2">
        <f>ABS(Данные6[[#This Row],[days_birth]])/365.2425</f>
        <v>54.350191995728864</v>
      </c>
      <c r="S8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4" s="2">
        <f>IF(Данные6[[#This Row],[ interest_rate]]&gt;$T$1,Данные6[[#This Row],[days_birth4]]*$T$2,Данные6[[#This Row],[days_birth4]])</f>
        <v>0</v>
      </c>
      <c r="U804" s="2">
        <f>IF(Данные6[[#This Row],[Проверка отказа]]="отказ",0,MAX(Данные6[[#This Row],[interest_rate]],$C$1))</f>
        <v>0</v>
      </c>
      <c r="V804" s="2">
        <f>MROUND(Данные6[[#This Row],[Минимум 20000]], 100)</f>
        <v>0</v>
      </c>
    </row>
    <row r="805" spans="1:22" x14ac:dyDescent="0.25">
      <c r="A805" s="2">
        <f>'1000_заявлений'!A799</f>
        <v>797</v>
      </c>
      <c r="B805" s="4">
        <f>VALUE(SUBSTITUTE('1000_заявлений'!B799, ".", ","))</f>
        <v>0.41178702495703801</v>
      </c>
      <c r="C805" s="4">
        <f>VALUE(SUBSTITUTE('1000_заявлений'!C799, ".", ","))</f>
        <v>0.51047460215677898</v>
      </c>
      <c r="D805" s="4">
        <f>VALUE(SUBSTITUTE('1000_заявлений'!D799, ".", ","))</f>
        <v>0.47584989999999999</v>
      </c>
      <c r="E805" s="4">
        <f>VALUE(SUBSTITUTE('1000_заявлений'!E799, ".", ","))</f>
        <v>0.52340496000000003</v>
      </c>
      <c r="F805" s="5">
        <f>VALUE(SUBSTITUTE('1000_заявлений'!F799, ".", ","))</f>
        <v>-8687</v>
      </c>
      <c r="G805" s="5">
        <f>VALUE(SUBSTITUTE('1000_заявлений'!G799, ".", ","))</f>
        <v>-15944</v>
      </c>
      <c r="H805" s="5">
        <f>VALUE(SUBSTITUTE('1000_заявлений'!H799, ".", ","))</f>
        <v>-5104</v>
      </c>
      <c r="I805" s="4">
        <f>VALUE(SUBSTITUTE('1000_заявлений'!I799, ".", ","))</f>
        <v>0.27992592592592502</v>
      </c>
      <c r="J805" s="4">
        <f>VALUE(SUBSTITUTE('1000_заявлений'!J799, ".", ","))</f>
        <v>3.19759587096764</v>
      </c>
      <c r="K805" s="5">
        <f>VALUE(SUBSTITUTE('1000_заявлений'!K799, ".", ","))</f>
        <v>-1585</v>
      </c>
      <c r="L805" s="6">
        <f>VALUE(SUBSTITUTE('1000_заявлений'!L799, ".", ","))</f>
        <v>34011</v>
      </c>
      <c r="M805" s="2" t="str">
        <f>IF(Данные6[[#This Row],[proba]]&gt;$C$6, "отказ", "одобрение")</f>
        <v>отказ</v>
      </c>
      <c r="N805" s="7">
        <f>IF(Данные6[[#This Row],[proba]]&lt;$D$2,$C$2,IF(Данные6[[#This Row],[proba]]&lt;$D$3,$C$3,IF(Данные6[[#This Row],[proba]]&gt;$C$6,0,$C$4)))</f>
        <v>0</v>
      </c>
      <c r="O805" s="2">
        <f>IF(Данные6[[#This Row],[weighted_ext_score]]&gt;$O$1,MIN(Данные6[[#This Row],[Базовая сумма]]*$O$2,$C$2),IF(Данные6[[#This Row],[weighted_ext_score]]&lt;$O$3,Данные6[[#This Row],[Базовая сумма]]*$O$4,N805))</f>
        <v>0</v>
      </c>
      <c r="P8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5" s="2">
        <f>ABS(Данные6[[#This Row],[days_birth]])/365.2425</f>
        <v>43.653189319424762</v>
      </c>
      <c r="S8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5" s="2">
        <f>IF(Данные6[[#This Row],[ interest_rate]]&gt;$T$1,Данные6[[#This Row],[days_birth4]]*$T$2,Данные6[[#This Row],[days_birth4]])</f>
        <v>0</v>
      </c>
      <c r="U805" s="2">
        <f>IF(Данные6[[#This Row],[Проверка отказа]]="отказ",0,MAX(Данные6[[#This Row],[interest_rate]],$C$1))</f>
        <v>0</v>
      </c>
      <c r="V805" s="2">
        <f>MROUND(Данные6[[#This Row],[Минимум 20000]], 100)</f>
        <v>0</v>
      </c>
    </row>
    <row r="806" spans="1:22" x14ac:dyDescent="0.25">
      <c r="A806" s="2">
        <f>'1000_заявлений'!A800</f>
        <v>798</v>
      </c>
      <c r="B806" s="4">
        <f>VALUE(SUBSTITUTE('1000_заявлений'!B800, ".", ","))</f>
        <v>0.175226021806799</v>
      </c>
      <c r="C806" s="4">
        <f>VALUE(SUBSTITUTE('1000_заявлений'!C800, ".", ","))</f>
        <v>0.47676812571141403</v>
      </c>
      <c r="D806" s="4">
        <f>VALUE(SUBSTITUTE('1000_заявлений'!D800, ".", ","))</f>
        <v>0.79344904000000005</v>
      </c>
      <c r="E806" s="4">
        <f>VALUE(SUBSTITUTE('1000_заявлений'!E800, ".", ","))</f>
        <v>0.58513689999999996</v>
      </c>
      <c r="F806" s="5">
        <f>VALUE(SUBSTITUTE('1000_заявлений'!F800, ".", ","))</f>
        <v>-13119</v>
      </c>
      <c r="G806" s="5">
        <f>VALUE(SUBSTITUTE('1000_заявлений'!G800, ".", ","))</f>
        <v>-23531</v>
      </c>
      <c r="H806" s="5">
        <f>VALUE(SUBSTITUTE('1000_заявлений'!H800, ".", ","))</f>
        <v>-4329</v>
      </c>
      <c r="I806" s="4">
        <f>VALUE(SUBSTITUTE('1000_заявлений'!I800, ".", ","))</f>
        <v>0.20590909090908999</v>
      </c>
      <c r="J806" s="4">
        <f>VALUE(SUBSTITUTE('1000_заявлений'!J800, ".", ","))</f>
        <v>5.4031861003399104</v>
      </c>
      <c r="K806" s="5">
        <f>VALUE(SUBSTITUTE('1000_заявлений'!K800, ".", ","))</f>
        <v>365243</v>
      </c>
      <c r="L806" s="6">
        <f>VALUE(SUBSTITUTE('1000_заявлений'!L800, ".", ","))</f>
        <v>10192.5</v>
      </c>
      <c r="M806" s="2" t="str">
        <f>IF(Данные6[[#This Row],[proba]]&gt;$C$6, "отказ", "одобрение")</f>
        <v>одобрение</v>
      </c>
      <c r="N806" s="7">
        <f>IF(Данные6[[#This Row],[proba]]&lt;$D$2,$C$2,IF(Данные6[[#This Row],[proba]]&lt;$D$3,$C$3,IF(Данные6[[#This Row],[proba]]&gt;$C$6,0,$C$4)))</f>
        <v>200000</v>
      </c>
      <c r="O806" s="2">
        <f>IF(Данные6[[#This Row],[weighted_ext_score]]&gt;$O$1,MIN(Данные6[[#This Row],[Базовая сумма]]*$O$2,$C$2),IF(Данные6[[#This Row],[weighted_ext_score]]&lt;$O$3,Данные6[[#This Row],[Базовая сумма]]*$O$4,N806))</f>
        <v>160000</v>
      </c>
      <c r="P8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8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806" s="2">
        <f>ABS(Данные6[[#This Row],[days_birth]])/365.2425</f>
        <v>64.425689781446579</v>
      </c>
      <c r="S8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806" s="2">
        <f>IF(Данные6[[#This Row],[ interest_rate]]&gt;$T$1,Данные6[[#This Row],[days_birth4]]*$T$2,Данные6[[#This Row],[days_birth4]])</f>
        <v>168000</v>
      </c>
      <c r="U806" s="2">
        <f>IF(Данные6[[#This Row],[Проверка отказа]]="отказ",0,MAX(Данные6[[#This Row],[interest_rate]],$C$1))</f>
        <v>168000</v>
      </c>
      <c r="V806" s="2">
        <f>MROUND(Данные6[[#This Row],[Минимум 20000]], 100)</f>
        <v>168000</v>
      </c>
    </row>
    <row r="807" spans="1:22" x14ac:dyDescent="0.25">
      <c r="A807" s="2">
        <f>'1000_заявлений'!A801</f>
        <v>799</v>
      </c>
      <c r="B807" s="4">
        <f>VALUE(SUBSTITUTE('1000_заявлений'!B801, ".", ","))</f>
        <v>0.45958891127600998</v>
      </c>
      <c r="C807" s="4">
        <f>VALUE(SUBSTITUTE('1000_заявлений'!C801, ".", ","))</f>
        <v>0.49847088950139901</v>
      </c>
      <c r="D807" s="4">
        <f>VALUE(SUBSTITUTE('1000_заявлений'!D801, ".", ","))</f>
        <v>0.13680053</v>
      </c>
      <c r="E807" s="4">
        <f>VALUE(SUBSTITUTE('1000_заявлений'!E801, ".", ","))</f>
        <v>0.61052454</v>
      </c>
      <c r="F807" s="5">
        <f>VALUE(SUBSTITUTE('1000_заявлений'!F801, ".", ","))</f>
        <v>-9144</v>
      </c>
      <c r="G807" s="5">
        <f>VALUE(SUBSTITUTE('1000_заявлений'!G801, ".", ","))</f>
        <v>-22271</v>
      </c>
      <c r="H807" s="5">
        <f>VALUE(SUBSTITUTE('1000_заявлений'!H801, ".", ","))</f>
        <v>-4001</v>
      </c>
      <c r="I807" s="4">
        <f>VALUE(SUBSTITUTE('1000_заявлений'!I801, ".", ","))</f>
        <v>0.113</v>
      </c>
      <c r="J807" s="4">
        <f>VALUE(SUBSTITUTE('1000_заявлений'!J801, ".", ","))</f>
        <v>2.6277948857579698</v>
      </c>
      <c r="K807" s="5">
        <f>VALUE(SUBSTITUTE('1000_заявлений'!K801, ".", ","))</f>
        <v>365243</v>
      </c>
      <c r="L807" s="6">
        <f>VALUE(SUBSTITUTE('1000_заявлений'!L801, ".", ","))</f>
        <v>12712.5</v>
      </c>
      <c r="M807" s="2" t="str">
        <f>IF(Данные6[[#This Row],[proba]]&gt;$C$6, "отказ", "одобрение")</f>
        <v>отказ</v>
      </c>
      <c r="N807" s="7">
        <f>IF(Данные6[[#This Row],[proba]]&lt;$D$2,$C$2,IF(Данные6[[#This Row],[proba]]&lt;$D$3,$C$3,IF(Данные6[[#This Row],[proba]]&gt;$C$6,0,$C$4)))</f>
        <v>0</v>
      </c>
      <c r="O807" s="2">
        <f>IF(Данные6[[#This Row],[weighted_ext_score]]&gt;$O$1,MIN(Данные6[[#This Row],[Базовая сумма]]*$O$2,$C$2),IF(Данные6[[#This Row],[weighted_ext_score]]&lt;$O$3,Данные6[[#This Row],[Базовая сумма]]*$O$4,N807))</f>
        <v>0</v>
      </c>
      <c r="P8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7" s="2">
        <f>ABS(Данные6[[#This Row],[days_birth]])/365.2425</f>
        <v>60.975926952641053</v>
      </c>
      <c r="S8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7" s="2">
        <f>IF(Данные6[[#This Row],[ interest_rate]]&gt;$T$1,Данные6[[#This Row],[days_birth4]]*$T$2,Данные6[[#This Row],[days_birth4]])</f>
        <v>0</v>
      </c>
      <c r="U807" s="2">
        <f>IF(Данные6[[#This Row],[Проверка отказа]]="отказ",0,MAX(Данные6[[#This Row],[interest_rate]],$C$1))</f>
        <v>0</v>
      </c>
      <c r="V807" s="2">
        <f>MROUND(Данные6[[#This Row],[Минимум 20000]], 100)</f>
        <v>0</v>
      </c>
    </row>
    <row r="808" spans="1:22" x14ac:dyDescent="0.25">
      <c r="A808" s="2">
        <f>'1000_заявлений'!A802</f>
        <v>800</v>
      </c>
      <c r="B808" s="4">
        <f>VALUE(SUBSTITUTE('1000_заявлений'!B802, ".", ","))</f>
        <v>0.218422129535986</v>
      </c>
      <c r="C808" s="4">
        <f>VALUE(SUBSTITUTE('1000_заявлений'!C802, ".", ","))</f>
        <v>0.46945606591912398</v>
      </c>
      <c r="D808" s="4">
        <f>VALUE(SUBSTITUTE('1000_заявлений'!D802, ".", ","))</f>
        <v>0.66905669999999995</v>
      </c>
      <c r="E808" s="4">
        <f>VALUE(SUBSTITUTE('1000_заявлений'!E802, ".", ","))</f>
        <v>0.70128690000000005</v>
      </c>
      <c r="F808" s="5">
        <f>VALUE(SUBSTITUTE('1000_заявлений'!F802, ".", ","))</f>
        <v>-8986</v>
      </c>
      <c r="G808" s="5">
        <f>VALUE(SUBSTITUTE('1000_заявлений'!G802, ".", ","))</f>
        <v>-20457</v>
      </c>
      <c r="H808" s="5">
        <f>VALUE(SUBSTITUTE('1000_заявлений'!H802, ".", ","))</f>
        <v>-3901</v>
      </c>
      <c r="I808" s="4">
        <f>VALUE(SUBSTITUTE('1000_заявлений'!I802, ".", ","))</f>
        <v>0.22468571428571399</v>
      </c>
      <c r="J808" s="4">
        <f>VALUE(SUBSTITUTE('1000_заявлений'!J802, ".", ","))</f>
        <v>2.9033515753932502</v>
      </c>
      <c r="K808" s="5">
        <f>VALUE(SUBSTITUTE('1000_заявлений'!K802, ".", ","))</f>
        <v>365243</v>
      </c>
      <c r="L808" s="6">
        <f>VALUE(SUBSTITUTE('1000_заявлений'!L802, ".", ","))</f>
        <v>17694</v>
      </c>
      <c r="M808" s="2" t="str">
        <f>IF(Данные6[[#This Row],[proba]]&gt;$C$6, "отказ", "одобрение")</f>
        <v>одобрение</v>
      </c>
      <c r="N808" s="7">
        <f>IF(Данные6[[#This Row],[proba]]&lt;$D$2,$C$2,IF(Данные6[[#This Row],[proba]]&lt;$D$3,$C$3,IF(Данные6[[#This Row],[proba]]&gt;$C$6,0,$C$4)))</f>
        <v>50000</v>
      </c>
      <c r="O808" s="2">
        <f>IF(Данные6[[#This Row],[weighted_ext_score]]&gt;$O$1,MIN(Данные6[[#This Row],[Базовая сумма]]*$O$2,$C$2),IF(Данные6[[#This Row],[weighted_ext_score]]&lt;$O$3,Данные6[[#This Row],[Базовая сумма]]*$O$4,N808))</f>
        <v>40000</v>
      </c>
      <c r="P8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08" s="2">
        <f>ABS(Данные6[[#This Row],[days_birth]])/365.2425</f>
        <v>56.009363641963901</v>
      </c>
      <c r="S8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08" s="2">
        <f>IF(Данные6[[#This Row],[ interest_rate]]&gt;$T$1,Данные6[[#This Row],[days_birth4]]*$T$2,Данные6[[#This Row],[days_birth4]])</f>
        <v>42000</v>
      </c>
      <c r="U808" s="2">
        <f>IF(Данные6[[#This Row],[Проверка отказа]]="отказ",0,MAX(Данные6[[#This Row],[interest_rate]],$C$1))</f>
        <v>42000</v>
      </c>
      <c r="V808" s="2">
        <f>MROUND(Данные6[[#This Row],[Минимум 20000]], 100)</f>
        <v>42000</v>
      </c>
    </row>
    <row r="809" spans="1:22" x14ac:dyDescent="0.25">
      <c r="A809" s="2">
        <f>'1000_заявлений'!A803</f>
        <v>801</v>
      </c>
      <c r="B809" s="4">
        <f>VALUE(SUBSTITUTE('1000_заявлений'!B803, ".", ","))</f>
        <v>0.72292131966032702</v>
      </c>
      <c r="C809" s="4">
        <f>VALUE(SUBSTITUTE('1000_заявлений'!C803, ".", ","))</f>
        <v>0.217952999338826</v>
      </c>
      <c r="D809" s="4">
        <f>VALUE(SUBSTITUTE('1000_заявлений'!D803, ".", ","))</f>
        <v>0.21396684999999999</v>
      </c>
      <c r="E809" s="4">
        <f>VALUE(SUBSTITUTE('1000_заявлений'!E803, ".", ","))</f>
        <v>0.43334946000000002</v>
      </c>
      <c r="F809" s="5">
        <f>VALUE(SUBSTITUTE('1000_заявлений'!F803, ".", ","))</f>
        <v>-4606</v>
      </c>
      <c r="G809" s="5">
        <f>VALUE(SUBSTITUTE('1000_заявлений'!G803, ".", ","))</f>
        <v>-21253</v>
      </c>
      <c r="H809" s="5">
        <f>VALUE(SUBSTITUTE('1000_заявлений'!H803, ".", ","))</f>
        <v>-1346</v>
      </c>
      <c r="I809" s="4">
        <f>VALUE(SUBSTITUTE('1000_заявлений'!I803, ".", ","))</f>
        <v>0.38840000000000002</v>
      </c>
      <c r="J809" s="4">
        <f>VALUE(SUBSTITUTE('1000_заявлений'!J803, ".", ","))</f>
        <v>2.7268436150310298</v>
      </c>
      <c r="K809" s="5">
        <f>VALUE(SUBSTITUTE('1000_заявлений'!K803, ".", ","))</f>
        <v>365243</v>
      </c>
      <c r="L809" s="6">
        <f>VALUE(SUBSTITUTE('1000_заявлений'!L803, ".", ","))</f>
        <v>26217</v>
      </c>
      <c r="M809" s="2" t="str">
        <f>IF(Данные6[[#This Row],[proba]]&gt;$C$6, "отказ", "одобрение")</f>
        <v>отказ</v>
      </c>
      <c r="N809" s="7">
        <f>IF(Данные6[[#This Row],[proba]]&lt;$D$2,$C$2,IF(Данные6[[#This Row],[proba]]&lt;$D$3,$C$3,IF(Данные6[[#This Row],[proba]]&gt;$C$6,0,$C$4)))</f>
        <v>0</v>
      </c>
      <c r="O809" s="2">
        <f>IF(Данные6[[#This Row],[weighted_ext_score]]&gt;$O$1,MIN(Данные6[[#This Row],[Базовая сумма]]*$O$2,$C$2),IF(Данные6[[#This Row],[weighted_ext_score]]&lt;$O$3,Данные6[[#This Row],[Базовая сумма]]*$O$4,N809))</f>
        <v>0</v>
      </c>
      <c r="P8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09" s="2">
        <f>ABS(Данные6[[#This Row],[days_birth]])/365.2425</f>
        <v>58.188737619526755</v>
      </c>
      <c r="S8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09" s="2">
        <f>IF(Данные6[[#This Row],[ interest_rate]]&gt;$T$1,Данные6[[#This Row],[days_birth4]]*$T$2,Данные6[[#This Row],[days_birth4]])</f>
        <v>0</v>
      </c>
      <c r="U809" s="2">
        <f>IF(Данные6[[#This Row],[Проверка отказа]]="отказ",0,MAX(Данные6[[#This Row],[interest_rate]],$C$1))</f>
        <v>0</v>
      </c>
      <c r="V809" s="2">
        <f>MROUND(Данные6[[#This Row],[Минимум 20000]], 100)</f>
        <v>0</v>
      </c>
    </row>
    <row r="810" spans="1:22" x14ac:dyDescent="0.25">
      <c r="A810" s="2">
        <f>'1000_заявлений'!A804</f>
        <v>802</v>
      </c>
      <c r="B810" s="4">
        <f>VALUE(SUBSTITUTE('1000_заявлений'!B804, ".", ","))</f>
        <v>0.71772358026452499</v>
      </c>
      <c r="C810" s="4">
        <f>VALUE(SUBSTITUTE('1000_заявлений'!C804, ".", ","))</f>
        <v>0.24654801208982199</v>
      </c>
      <c r="D810" s="4">
        <f>VALUE(SUBSTITUTE('1000_заявлений'!D804, ".", ","))</f>
        <v>0.26085589999999997</v>
      </c>
      <c r="E810" s="4">
        <f>VALUE(SUBSTITUTE('1000_заявлений'!E804, ".", ","))</f>
        <v>0.46922395</v>
      </c>
      <c r="F810" s="5">
        <f>VALUE(SUBSTITUTE('1000_заявлений'!F804, ".", ","))</f>
        <v>-1967</v>
      </c>
      <c r="G810" s="5">
        <f>VALUE(SUBSTITUTE('1000_заявлений'!G804, ".", ","))</f>
        <v>-10468</v>
      </c>
      <c r="H810" s="5">
        <f>VALUE(SUBSTITUTE('1000_заявлений'!H804, ".", ","))</f>
        <v>-175</v>
      </c>
      <c r="I810" s="4">
        <f>VALUE(SUBSTITUTE('1000_заявлений'!I804, ".", ","))</f>
        <v>7.8666666666666593E-2</v>
      </c>
      <c r="J810" s="4">
        <f>VALUE(SUBSTITUTE('1000_заявлений'!J804, ".", ","))</f>
        <v>4.0339859383813703</v>
      </c>
      <c r="K810" s="5">
        <f>VALUE(SUBSTITUTE('1000_заявлений'!K804, ".", ","))</f>
        <v>-1707</v>
      </c>
      <c r="L810" s="6">
        <f>VALUE(SUBSTITUTE('1000_заявлений'!L804, ".", ","))</f>
        <v>10620</v>
      </c>
      <c r="M810" s="2" t="str">
        <f>IF(Данные6[[#This Row],[proba]]&gt;$C$6, "отказ", "одобрение")</f>
        <v>отказ</v>
      </c>
      <c r="N810" s="7">
        <f>IF(Данные6[[#This Row],[proba]]&lt;$D$2,$C$2,IF(Данные6[[#This Row],[proba]]&lt;$D$3,$C$3,IF(Данные6[[#This Row],[proba]]&gt;$C$6,0,$C$4)))</f>
        <v>0</v>
      </c>
      <c r="O810" s="2">
        <f>IF(Данные6[[#This Row],[weighted_ext_score]]&gt;$O$1,MIN(Данные6[[#This Row],[Базовая сумма]]*$O$2,$C$2),IF(Данные6[[#This Row],[weighted_ext_score]]&lt;$O$3,Данные6[[#This Row],[Базовая сумма]]*$O$4,N810))</f>
        <v>0</v>
      </c>
      <c r="P8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0" s="2">
        <f>ABS(Данные6[[#This Row],[days_birth]])/365.2425</f>
        <v>28.660410549155696</v>
      </c>
      <c r="S8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0" s="2">
        <f>IF(Данные6[[#This Row],[ interest_rate]]&gt;$T$1,Данные6[[#This Row],[days_birth4]]*$T$2,Данные6[[#This Row],[days_birth4]])</f>
        <v>0</v>
      </c>
      <c r="U810" s="2">
        <f>IF(Данные6[[#This Row],[Проверка отказа]]="отказ",0,MAX(Данные6[[#This Row],[interest_rate]],$C$1))</f>
        <v>0</v>
      </c>
      <c r="V810" s="2">
        <f>MROUND(Данные6[[#This Row],[Минимум 20000]], 100)</f>
        <v>0</v>
      </c>
    </row>
    <row r="811" spans="1:22" x14ac:dyDescent="0.25">
      <c r="A811" s="2">
        <f>'1000_заявлений'!A805</f>
        <v>803</v>
      </c>
      <c r="B811" s="4">
        <f>VALUE(SUBSTITUTE('1000_заявлений'!B805, ".", ","))</f>
        <v>0.60939322963735498</v>
      </c>
      <c r="C811" s="4">
        <f>VALUE(SUBSTITUTE('1000_заявлений'!C805, ".", ","))</f>
        <v>0.377849621345275</v>
      </c>
      <c r="D811" s="4">
        <f>VALUE(SUBSTITUTE('1000_заявлений'!D805, ".", ","))</f>
        <v>0.41709964999999999</v>
      </c>
      <c r="E811" s="4">
        <f>VALUE(SUBSTITUTE('1000_заявлений'!E805, ".", ","))</f>
        <v>0.35424974999999997</v>
      </c>
      <c r="F811" s="5">
        <f>VALUE(SUBSTITUTE('1000_заявлений'!F805, ".", ","))</f>
        <v>-2610</v>
      </c>
      <c r="G811" s="5">
        <f>VALUE(SUBSTITUTE('1000_заявлений'!G805, ".", ","))</f>
        <v>-11560</v>
      </c>
      <c r="H811" s="5">
        <f>VALUE(SUBSTITUTE('1000_заявлений'!H805, ".", ","))</f>
        <v>-1867</v>
      </c>
      <c r="I811" s="4">
        <f>VALUE(SUBSTITUTE('1000_заявлений'!I805, ".", ","))</f>
        <v>8.616E-2</v>
      </c>
      <c r="J811" s="4">
        <f>VALUE(SUBSTITUTE('1000_заявлений'!J805, ".", ","))</f>
        <v>2.2808241542254302</v>
      </c>
      <c r="K811" s="5">
        <f>VALUE(SUBSTITUTE('1000_заявлений'!K805, ".", ","))</f>
        <v>-2987</v>
      </c>
      <c r="L811" s="6">
        <f>VALUE(SUBSTITUTE('1000_заявлений'!L805, ".", ","))</f>
        <v>19386</v>
      </c>
      <c r="M811" s="2" t="str">
        <f>IF(Данные6[[#This Row],[proba]]&gt;$C$6, "отказ", "одобрение")</f>
        <v>отказ</v>
      </c>
      <c r="N811" s="7">
        <f>IF(Данные6[[#This Row],[proba]]&lt;$D$2,$C$2,IF(Данные6[[#This Row],[proba]]&lt;$D$3,$C$3,IF(Данные6[[#This Row],[proba]]&gt;$C$6,0,$C$4)))</f>
        <v>0</v>
      </c>
      <c r="O811" s="2">
        <f>IF(Данные6[[#This Row],[weighted_ext_score]]&gt;$O$1,MIN(Данные6[[#This Row],[Базовая сумма]]*$O$2,$C$2),IF(Данные6[[#This Row],[weighted_ext_score]]&lt;$O$3,Данные6[[#This Row],[Базовая сумма]]*$O$4,N811))</f>
        <v>0</v>
      </c>
      <c r="P8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1" s="2">
        <f>ABS(Данные6[[#This Row],[days_birth]])/365.2425</f>
        <v>31.650205000787146</v>
      </c>
      <c r="S8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1" s="2">
        <f>IF(Данные6[[#This Row],[ interest_rate]]&gt;$T$1,Данные6[[#This Row],[days_birth4]]*$T$2,Данные6[[#This Row],[days_birth4]])</f>
        <v>0</v>
      </c>
      <c r="U811" s="2">
        <f>IF(Данные6[[#This Row],[Проверка отказа]]="отказ",0,MAX(Данные6[[#This Row],[interest_rate]],$C$1))</f>
        <v>0</v>
      </c>
      <c r="V811" s="2">
        <f>MROUND(Данные6[[#This Row],[Минимум 20000]], 100)</f>
        <v>0</v>
      </c>
    </row>
    <row r="812" spans="1:22" x14ac:dyDescent="0.25">
      <c r="A812" s="2">
        <f>'1000_заявлений'!A806</f>
        <v>804</v>
      </c>
      <c r="B812" s="4">
        <f>VALUE(SUBSTITUTE('1000_заявлений'!B806, ".", ","))</f>
        <v>0.22371370836426699</v>
      </c>
      <c r="C812" s="4">
        <f>VALUE(SUBSTITUTE('1000_заявлений'!C806, ".", ","))</f>
        <v>0.44141768655410701</v>
      </c>
      <c r="D812" s="4">
        <f>VALUE(SUBSTITUTE('1000_заявлений'!D806, ".", ","))</f>
        <v>0.69409262999999999</v>
      </c>
      <c r="E812" s="4">
        <f>VALUE(SUBSTITUTE('1000_заявлений'!E806, ".", ","))</f>
        <v>0.58693530000000005</v>
      </c>
      <c r="F812" s="5">
        <f>VALUE(SUBSTITUTE('1000_заявлений'!F806, ".", ","))</f>
        <v>-20452</v>
      </c>
      <c r="G812" s="5">
        <f>VALUE(SUBSTITUTE('1000_заявлений'!G806, ".", ","))</f>
        <v>-20453</v>
      </c>
      <c r="H812" s="5">
        <f>VALUE(SUBSTITUTE('1000_заявлений'!H806, ".", ","))</f>
        <v>-3590</v>
      </c>
      <c r="I812" s="4">
        <f>VALUE(SUBSTITUTE('1000_заявлений'!I806, ".", ","))</f>
        <v>0.126533333333333</v>
      </c>
      <c r="J812" s="4">
        <f>VALUE(SUBSTITUTE('1000_заявлений'!J806, ".", ","))</f>
        <v>5.5245413448300003</v>
      </c>
      <c r="K812" s="5">
        <f>VALUE(SUBSTITUTE('1000_заявлений'!K806, ".", ","))</f>
        <v>-2582</v>
      </c>
      <c r="L812" s="6">
        <f>VALUE(SUBSTITUTE('1000_заявлений'!L806, ".", ","))</f>
        <v>51246</v>
      </c>
      <c r="M812" s="2" t="str">
        <f>IF(Данные6[[#This Row],[proba]]&gt;$C$6, "отказ", "одобрение")</f>
        <v>одобрение</v>
      </c>
      <c r="N812" s="7">
        <f>IF(Данные6[[#This Row],[proba]]&lt;$D$2,$C$2,IF(Данные6[[#This Row],[proba]]&lt;$D$3,$C$3,IF(Данные6[[#This Row],[proba]]&gt;$C$6,0,$C$4)))</f>
        <v>50000</v>
      </c>
      <c r="O812" s="2">
        <f>IF(Данные6[[#This Row],[weighted_ext_score]]&gt;$O$1,MIN(Данные6[[#This Row],[Базовая сумма]]*$O$2,$C$2),IF(Данные6[[#This Row],[weighted_ext_score]]&lt;$O$3,Данные6[[#This Row],[Базовая сумма]]*$O$4,N812))</f>
        <v>40000</v>
      </c>
      <c r="P8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812" s="2">
        <f>ABS(Данные6[[#This Row],[days_birth]])/365.2425</f>
        <v>55.998412013935948</v>
      </c>
      <c r="S8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812" s="2">
        <f>IF(Данные6[[#This Row],[ interest_rate]]&gt;$T$1,Данные6[[#This Row],[days_birth4]]*$T$2,Данные6[[#This Row],[days_birth4]])</f>
        <v>29400</v>
      </c>
      <c r="U812" s="2">
        <f>IF(Данные6[[#This Row],[Проверка отказа]]="отказ",0,MAX(Данные6[[#This Row],[interest_rate]],$C$1))</f>
        <v>29400</v>
      </c>
      <c r="V812" s="2">
        <f>MROUND(Данные6[[#This Row],[Минимум 20000]], 100)</f>
        <v>29400</v>
      </c>
    </row>
    <row r="813" spans="1:22" x14ac:dyDescent="0.25">
      <c r="A813" s="2">
        <f>'1000_заявлений'!A807</f>
        <v>805</v>
      </c>
      <c r="B813" s="4">
        <f>VALUE(SUBSTITUTE('1000_заявлений'!B807, ".", ","))</f>
        <v>0.56224563909744996</v>
      </c>
      <c r="C813" s="4">
        <f>VALUE(SUBSTITUTE('1000_заявлений'!C807, ".", ","))</f>
        <v>0.35443837833699998</v>
      </c>
      <c r="D813" s="4">
        <f>VALUE(SUBSTITUTE('1000_заявлений'!D807, ".", ","))</f>
        <v>0.57091652999999998</v>
      </c>
      <c r="E813" s="4">
        <f>VALUE(SUBSTITUTE('1000_заявлений'!E807, ".", ","))</f>
        <v>0.45612836000000001</v>
      </c>
      <c r="F813" s="5">
        <f>VALUE(SUBSTITUTE('1000_заявлений'!F807, ".", ","))</f>
        <v>-8669</v>
      </c>
      <c r="G813" s="5">
        <f>VALUE(SUBSTITUTE('1000_заявлений'!G807, ".", ","))</f>
        <v>-17619</v>
      </c>
      <c r="H813" s="5">
        <f>VALUE(SUBSTITUTE('1000_заявлений'!H807, ".", ","))</f>
        <v>-729</v>
      </c>
      <c r="I813" s="4">
        <f>VALUE(SUBSTITUTE('1000_заявлений'!I807, ".", ","))</f>
        <v>0.55374999999999996</v>
      </c>
      <c r="J813" s="4">
        <f>VALUE(SUBSTITUTE('1000_заявлений'!J807, ".", ","))</f>
        <v>2.74366808572772</v>
      </c>
      <c r="K813" s="5">
        <f>VALUE(SUBSTITUTE('1000_заявлений'!K807, ".", ","))</f>
        <v>-1873</v>
      </c>
      <c r="L813" s="6">
        <f>VALUE(SUBSTITUTE('1000_заявлений'!L807, ".", ","))</f>
        <v>49837.5</v>
      </c>
      <c r="M813" s="2" t="str">
        <f>IF(Данные6[[#This Row],[proba]]&gt;$C$6, "отказ", "одобрение")</f>
        <v>отказ</v>
      </c>
      <c r="N813" s="7">
        <f>IF(Данные6[[#This Row],[proba]]&lt;$D$2,$C$2,IF(Данные6[[#This Row],[proba]]&lt;$D$3,$C$3,IF(Данные6[[#This Row],[proba]]&gt;$C$6,0,$C$4)))</f>
        <v>0</v>
      </c>
      <c r="O813" s="2">
        <f>IF(Данные6[[#This Row],[weighted_ext_score]]&gt;$O$1,MIN(Данные6[[#This Row],[Базовая сумма]]*$O$2,$C$2),IF(Данные6[[#This Row],[weighted_ext_score]]&lt;$O$3,Данные6[[#This Row],[Базовая сумма]]*$O$4,N813))</f>
        <v>0</v>
      </c>
      <c r="P8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3" s="2">
        <f>ABS(Данные6[[#This Row],[days_birth]])/365.2425</f>
        <v>48.239183556130513</v>
      </c>
      <c r="S8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3" s="2">
        <f>IF(Данные6[[#This Row],[ interest_rate]]&gt;$T$1,Данные6[[#This Row],[days_birth4]]*$T$2,Данные6[[#This Row],[days_birth4]])</f>
        <v>0</v>
      </c>
      <c r="U813" s="2">
        <f>IF(Данные6[[#This Row],[Проверка отказа]]="отказ",0,MAX(Данные6[[#This Row],[interest_rate]],$C$1))</f>
        <v>0</v>
      </c>
      <c r="V813" s="2">
        <f>MROUND(Данные6[[#This Row],[Минимум 20000]], 100)</f>
        <v>0</v>
      </c>
    </row>
    <row r="814" spans="1:22" x14ac:dyDescent="0.25">
      <c r="A814" s="2">
        <f>'1000_заявлений'!A808</f>
        <v>806</v>
      </c>
      <c r="B814" s="4">
        <f>VALUE(SUBSTITUTE('1000_заявлений'!B808, ".", ","))</f>
        <v>0.41202975505338801</v>
      </c>
      <c r="C814" s="4">
        <f>VALUE(SUBSTITUTE('1000_заявлений'!C808, ".", ","))</f>
        <v>0.38957230940111098</v>
      </c>
      <c r="D814" s="4">
        <f>VALUE(SUBSTITUTE('1000_заявлений'!D808, ".", ","))</f>
        <v>0.46686401999999999</v>
      </c>
      <c r="E814" s="4">
        <f>VALUE(SUBSTITUTE('1000_заявлений'!E808, ".", ","))</f>
        <v>0.68045429999999996</v>
      </c>
      <c r="F814" s="5">
        <f>VALUE(SUBSTITUTE('1000_заявлений'!F808, ".", ","))</f>
        <v>-4049</v>
      </c>
      <c r="G814" s="5">
        <f>VALUE(SUBSTITUTE('1000_заявлений'!G808, ".", ","))</f>
        <v>-12973</v>
      </c>
      <c r="H814" s="5">
        <f>VALUE(SUBSTITUTE('1000_заявлений'!H808, ".", ","))</f>
        <v>-94</v>
      </c>
      <c r="I814" s="4">
        <f>VALUE(SUBSTITUTE('1000_заявлений'!I808, ".", ","))</f>
        <v>5.7033333333333297E-2</v>
      </c>
      <c r="J814" s="4">
        <f>VALUE(SUBSTITUTE('1000_заявлений'!J808, ".", ","))</f>
        <v>7.3022363406432804</v>
      </c>
      <c r="K814" s="5">
        <f>VALUE(SUBSTITUTE('1000_заявлений'!K808, ".", ","))</f>
        <v>-962</v>
      </c>
      <c r="L814" s="6">
        <f>VALUE(SUBSTITUTE('1000_заявлений'!L808, ".", ","))</f>
        <v>15399</v>
      </c>
      <c r="M814" s="2" t="str">
        <f>IF(Данные6[[#This Row],[proba]]&gt;$C$6, "отказ", "одобрение")</f>
        <v>отказ</v>
      </c>
      <c r="N814" s="7">
        <f>IF(Данные6[[#This Row],[proba]]&lt;$D$2,$C$2,IF(Данные6[[#This Row],[proba]]&lt;$D$3,$C$3,IF(Данные6[[#This Row],[proba]]&gt;$C$6,0,$C$4)))</f>
        <v>0</v>
      </c>
      <c r="O814" s="2">
        <f>IF(Данные6[[#This Row],[weighted_ext_score]]&gt;$O$1,MIN(Данные6[[#This Row],[Базовая сумма]]*$O$2,$C$2),IF(Данные6[[#This Row],[weighted_ext_score]]&lt;$O$3,Данные6[[#This Row],[Базовая сумма]]*$O$4,N814))</f>
        <v>0</v>
      </c>
      <c r="P8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4" s="2">
        <f>ABS(Данные6[[#This Row],[days_birth]])/365.2425</f>
        <v>35.51886760166191</v>
      </c>
      <c r="S8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4" s="2">
        <f>IF(Данные6[[#This Row],[ interest_rate]]&gt;$T$1,Данные6[[#This Row],[days_birth4]]*$T$2,Данные6[[#This Row],[days_birth4]])</f>
        <v>0</v>
      </c>
      <c r="U814" s="2">
        <f>IF(Данные6[[#This Row],[Проверка отказа]]="отказ",0,MAX(Данные6[[#This Row],[interest_rate]],$C$1))</f>
        <v>0</v>
      </c>
      <c r="V814" s="2">
        <f>MROUND(Данные6[[#This Row],[Минимум 20000]], 100)</f>
        <v>0</v>
      </c>
    </row>
    <row r="815" spans="1:22" x14ac:dyDescent="0.25">
      <c r="A815" s="2">
        <f>'1000_заявлений'!A809</f>
        <v>807</v>
      </c>
      <c r="B815" s="4">
        <f>VALUE(SUBSTITUTE('1000_заявлений'!B809, ".", ","))</f>
        <v>0.237557543608376</v>
      </c>
      <c r="C815" s="4">
        <f>VALUE(SUBSTITUTE('1000_заявлений'!C809, ".", ","))</f>
        <v>0.42077400003638399</v>
      </c>
      <c r="D815" s="4">
        <f>VALUE(SUBSTITUTE('1000_заявлений'!D809, ".", ","))</f>
        <v>0.58674000000000004</v>
      </c>
      <c r="E815" s="4">
        <f>VALUE(SUBSTITUTE('1000_заявлений'!E809, ".", ","))</f>
        <v>0.64298759999999999</v>
      </c>
      <c r="F815" s="5">
        <f>VALUE(SUBSTITUTE('1000_заявлений'!F809, ".", ","))</f>
        <v>-10124</v>
      </c>
      <c r="G815" s="5">
        <f>VALUE(SUBSTITUTE('1000_заявлений'!G809, ".", ","))</f>
        <v>-23325</v>
      </c>
      <c r="H815" s="5">
        <f>VALUE(SUBSTITUTE('1000_заявлений'!H809, ".", ","))</f>
        <v>-4910</v>
      </c>
      <c r="I815" s="4">
        <f>VALUE(SUBSTITUTE('1000_заявлений'!I809, ".", ","))</f>
        <v>0.18933333333333299</v>
      </c>
      <c r="J815" s="4">
        <f>VALUE(SUBSTITUTE('1000_заявлений'!J809, ".", ","))</f>
        <v>6.7244601860445696</v>
      </c>
      <c r="K815" s="5">
        <f>VALUE(SUBSTITUTE('1000_заявлений'!K809, ".", ","))</f>
        <v>365243</v>
      </c>
      <c r="L815" s="6">
        <f>VALUE(SUBSTITUTE('1000_заявлений'!L809, ".", ","))</f>
        <v>25560</v>
      </c>
      <c r="M815" s="2" t="str">
        <f>IF(Данные6[[#This Row],[proba]]&gt;$C$6, "отказ", "одобрение")</f>
        <v>одобрение</v>
      </c>
      <c r="N815" s="7">
        <f>IF(Данные6[[#This Row],[proba]]&lt;$D$2,$C$2,IF(Данные6[[#This Row],[proba]]&lt;$D$3,$C$3,IF(Данные6[[#This Row],[proba]]&gt;$C$6,0,$C$4)))</f>
        <v>50000</v>
      </c>
      <c r="O815" s="2">
        <f>IF(Данные6[[#This Row],[weighted_ext_score]]&gt;$O$1,MIN(Данные6[[#This Row],[Базовая сумма]]*$O$2,$C$2),IF(Данные6[[#This Row],[weighted_ext_score]]&lt;$O$3,Данные6[[#This Row],[Базовая сумма]]*$O$4,N815))</f>
        <v>40000</v>
      </c>
      <c r="P8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15" s="2">
        <f>ABS(Данные6[[#This Row],[days_birth]])/365.2425</f>
        <v>63.861680938006941</v>
      </c>
      <c r="S8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15" s="2">
        <f>IF(Данные6[[#This Row],[ interest_rate]]&gt;$T$1,Данные6[[#This Row],[days_birth4]]*$T$2,Данные6[[#This Row],[days_birth4]])</f>
        <v>42000</v>
      </c>
      <c r="U815" s="2">
        <f>IF(Данные6[[#This Row],[Проверка отказа]]="отказ",0,MAX(Данные6[[#This Row],[interest_rate]],$C$1))</f>
        <v>42000</v>
      </c>
      <c r="V815" s="2">
        <f>MROUND(Данные6[[#This Row],[Минимум 20000]], 100)</f>
        <v>42000</v>
      </c>
    </row>
    <row r="816" spans="1:22" x14ac:dyDescent="0.25">
      <c r="A816" s="2">
        <f>'1000_заявлений'!A810</f>
        <v>808</v>
      </c>
      <c r="B816" s="4">
        <f>VALUE(SUBSTITUTE('1000_заявлений'!B810, ".", ","))</f>
        <v>0.31500202903068703</v>
      </c>
      <c r="C816" s="4">
        <f>VALUE(SUBSTITUTE('1000_заявлений'!C810, ".", ","))</f>
        <v>0.59285334012305102</v>
      </c>
      <c r="D816" s="4">
        <f>VALUE(SUBSTITUTE('1000_заявлений'!D810, ".", ","))</f>
        <v>0.60755729999999997</v>
      </c>
      <c r="E816" s="4">
        <f>VALUE(SUBSTITUTE('1000_заявлений'!E810, ".", ","))</f>
        <v>0.51662059999999999</v>
      </c>
      <c r="F816" s="5">
        <f>VALUE(SUBSTITUTE('1000_заявлений'!F810, ".", ","))</f>
        <v>-2534</v>
      </c>
      <c r="G816" s="5">
        <f>VALUE(SUBSTITUTE('1000_заявлений'!G810, ".", ","))</f>
        <v>-15484</v>
      </c>
      <c r="H816" s="5">
        <f>VALUE(SUBSTITUTE('1000_заявлений'!H810, ".", ","))</f>
        <v>-4333</v>
      </c>
      <c r="I816" s="4">
        <f>VALUE(SUBSTITUTE('1000_заявлений'!I810, ".", ","))</f>
        <v>0.25574000000000002</v>
      </c>
      <c r="J816" s="4">
        <f>VALUE(SUBSTITUTE('1000_заявлений'!J810, ".", ","))</f>
        <v>1.4810525792484199</v>
      </c>
      <c r="K816" s="5">
        <f>VALUE(SUBSTITUTE('1000_заявлений'!K810, ".", ","))</f>
        <v>-2042</v>
      </c>
      <c r="L816" s="6">
        <f>VALUE(SUBSTITUTE('1000_заявлений'!L810, ".", ","))</f>
        <v>57541.5</v>
      </c>
      <c r="M816" s="2" t="str">
        <f>IF(Данные6[[#This Row],[proba]]&gt;$C$6, "отказ", "одобрение")</f>
        <v>отказ</v>
      </c>
      <c r="N816" s="7">
        <f>IF(Данные6[[#This Row],[proba]]&lt;$D$2,$C$2,IF(Данные6[[#This Row],[proba]]&lt;$D$3,$C$3,IF(Данные6[[#This Row],[proba]]&gt;$C$6,0,$C$4)))</f>
        <v>0</v>
      </c>
      <c r="O816" s="2">
        <f>IF(Данные6[[#This Row],[weighted_ext_score]]&gt;$O$1,MIN(Данные6[[#This Row],[Базовая сумма]]*$O$2,$C$2),IF(Данные6[[#This Row],[weighted_ext_score]]&lt;$O$3,Данные6[[#This Row],[Базовая сумма]]*$O$4,N816))</f>
        <v>0</v>
      </c>
      <c r="P8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6" s="2">
        <f>ABS(Данные6[[#This Row],[days_birth]])/365.2425</f>
        <v>42.393752096210051</v>
      </c>
      <c r="S8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6" s="2">
        <f>IF(Данные6[[#This Row],[ interest_rate]]&gt;$T$1,Данные6[[#This Row],[days_birth4]]*$T$2,Данные6[[#This Row],[days_birth4]])</f>
        <v>0</v>
      </c>
      <c r="U816" s="2">
        <f>IF(Данные6[[#This Row],[Проверка отказа]]="отказ",0,MAX(Данные6[[#This Row],[interest_rate]],$C$1))</f>
        <v>0</v>
      </c>
      <c r="V816" s="2">
        <f>MROUND(Данные6[[#This Row],[Минимум 20000]], 100)</f>
        <v>0</v>
      </c>
    </row>
    <row r="817" spans="1:22" x14ac:dyDescent="0.25">
      <c r="A817" s="2">
        <f>'1000_заявлений'!A811</f>
        <v>809</v>
      </c>
      <c r="B817" s="4">
        <f>VALUE(SUBSTITUTE('1000_заявлений'!B811, ".", ","))</f>
        <v>0.18752450346109301</v>
      </c>
      <c r="C817" s="4">
        <f>VALUE(SUBSTITUTE('1000_заявлений'!C811, ".", ","))</f>
        <v>0.71360598951004295</v>
      </c>
      <c r="D817" s="4">
        <f>VALUE(SUBSTITUTE('1000_заявлений'!D811, ".", ","))</f>
        <v>0.51729654999999997</v>
      </c>
      <c r="E817" s="4">
        <f>VALUE(SUBSTITUTE('1000_заявлений'!E811, ".", ","))</f>
        <v>0.74823289999999998</v>
      </c>
      <c r="F817" s="5">
        <f>VALUE(SUBSTITUTE('1000_заявлений'!F811, ".", ","))</f>
        <v>-8775</v>
      </c>
      <c r="G817" s="5">
        <f>VALUE(SUBSTITUTE('1000_заявлений'!G811, ".", ","))</f>
        <v>-17980</v>
      </c>
      <c r="H817" s="5">
        <f>VALUE(SUBSTITUTE('1000_заявлений'!H811, ".", ","))</f>
        <v>-1312</v>
      </c>
      <c r="I817" s="4">
        <f>VALUE(SUBSTITUTE('1000_заявлений'!I811, ".", ","))</f>
        <v>0.15</v>
      </c>
      <c r="J817" s="4">
        <f>VALUE(SUBSTITUTE('1000_заявлений'!J811, ".", ","))</f>
        <v>10.6209759779781</v>
      </c>
      <c r="K817" s="5">
        <f>VALUE(SUBSTITUTE('1000_заявлений'!K811, ".", ","))</f>
        <v>-1121</v>
      </c>
      <c r="L817" s="6">
        <f>VALUE(SUBSTITUTE('1000_заявлений'!L811, ".", ","))</f>
        <v>33750</v>
      </c>
      <c r="M817" s="2" t="str">
        <f>IF(Данные6[[#This Row],[proba]]&gt;$C$6, "отказ", "одобрение")</f>
        <v>одобрение</v>
      </c>
      <c r="N817" s="7">
        <f>IF(Данные6[[#This Row],[proba]]&lt;$D$2,$C$2,IF(Данные6[[#This Row],[proba]]&lt;$D$3,$C$3,IF(Данные6[[#This Row],[proba]]&gt;$C$6,0,$C$4)))</f>
        <v>200000</v>
      </c>
      <c r="O817" s="2">
        <f>IF(Данные6[[#This Row],[weighted_ext_score]]&gt;$O$1,MIN(Данные6[[#This Row],[Базовая сумма]]*$O$2,$C$2),IF(Данные6[[#This Row],[weighted_ext_score]]&lt;$O$3,Данные6[[#This Row],[Базовая сумма]]*$O$4,N817))</f>
        <v>300000</v>
      </c>
      <c r="P8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8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210000</v>
      </c>
      <c r="R817" s="2">
        <f>ABS(Данные6[[#This Row],[days_birth]])/365.2425</f>
        <v>49.227567985653366</v>
      </c>
      <c r="S8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817" s="2">
        <f>IF(Данные6[[#This Row],[ interest_rate]]&gt;$T$1,Данные6[[#This Row],[days_birth4]]*$T$2,Данные6[[#This Row],[days_birth4]])</f>
        <v>210000</v>
      </c>
      <c r="U817" s="2">
        <f>IF(Данные6[[#This Row],[Проверка отказа]]="отказ",0,MAX(Данные6[[#This Row],[interest_rate]],$C$1))</f>
        <v>210000</v>
      </c>
      <c r="V817" s="2">
        <f>MROUND(Данные6[[#This Row],[Минимум 20000]], 100)</f>
        <v>210000</v>
      </c>
    </row>
    <row r="818" spans="1:22" x14ac:dyDescent="0.25">
      <c r="A818" s="2">
        <f>'1000_заявлений'!A812</f>
        <v>810</v>
      </c>
      <c r="B818" s="4">
        <f>VALUE(SUBSTITUTE('1000_заявлений'!B812, ".", ","))</f>
        <v>0.35194295256795299</v>
      </c>
      <c r="C818" s="4">
        <f>VALUE(SUBSTITUTE('1000_заявлений'!C812, ".", ","))</f>
        <v>0.41614406135093002</v>
      </c>
      <c r="D818" s="4">
        <f>VALUE(SUBSTITUTE('1000_заявлений'!D812, ".", ","))</f>
        <v>0.54065439999999998</v>
      </c>
      <c r="E818" s="4">
        <f>VALUE(SUBSTITUTE('1000_заявлений'!E812, ".", ","))</f>
        <v>0.68009763999999995</v>
      </c>
      <c r="F818" s="5">
        <f>VALUE(SUBSTITUTE('1000_заявлений'!F812, ".", ","))</f>
        <v>-2552</v>
      </c>
      <c r="G818" s="5">
        <f>VALUE(SUBSTITUTE('1000_заявлений'!G812, ".", ","))</f>
        <v>-12347</v>
      </c>
      <c r="H818" s="5">
        <f>VALUE(SUBSTITUTE('1000_заявлений'!H812, ".", ","))</f>
        <v>-966</v>
      </c>
      <c r="I818" s="4">
        <f>VALUE(SUBSTITUTE('1000_заявлений'!I812, ".", ","))</f>
        <v>8.5714285714285701E-2</v>
      </c>
      <c r="J818" s="4">
        <f>VALUE(SUBSTITUTE('1000_заявлений'!J812, ".", ","))</f>
        <v>10.6209759779781</v>
      </c>
      <c r="K818" s="5">
        <f>VALUE(SUBSTITUTE('1000_заявлений'!K812, ".", ","))</f>
        <v>-92</v>
      </c>
      <c r="L818" s="6">
        <f>VALUE(SUBSTITUTE('1000_заявлений'!L812, ".", ","))</f>
        <v>13500</v>
      </c>
      <c r="M818" s="2" t="str">
        <f>IF(Данные6[[#This Row],[proba]]&gt;$C$6, "отказ", "одобрение")</f>
        <v>отказ</v>
      </c>
      <c r="N818" s="7">
        <f>IF(Данные6[[#This Row],[proba]]&lt;$D$2,$C$2,IF(Данные6[[#This Row],[proba]]&lt;$D$3,$C$3,IF(Данные6[[#This Row],[proba]]&gt;$C$6,0,$C$4)))</f>
        <v>0</v>
      </c>
      <c r="O818" s="2">
        <f>IF(Данные6[[#This Row],[weighted_ext_score]]&gt;$O$1,MIN(Данные6[[#This Row],[Базовая сумма]]*$O$2,$C$2),IF(Данные6[[#This Row],[weighted_ext_score]]&lt;$O$3,Данные6[[#This Row],[Базовая сумма]]*$O$4,N818))</f>
        <v>0</v>
      </c>
      <c r="P8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8" s="2">
        <f>ABS(Данные6[[#This Row],[days_birth]])/365.2425</f>
        <v>33.804937815287104</v>
      </c>
      <c r="S8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8" s="2">
        <f>IF(Данные6[[#This Row],[ interest_rate]]&gt;$T$1,Данные6[[#This Row],[days_birth4]]*$T$2,Данные6[[#This Row],[days_birth4]])</f>
        <v>0</v>
      </c>
      <c r="U818" s="2">
        <f>IF(Данные6[[#This Row],[Проверка отказа]]="отказ",0,MAX(Данные6[[#This Row],[interest_rate]],$C$1))</f>
        <v>0</v>
      </c>
      <c r="V818" s="2">
        <f>MROUND(Данные6[[#This Row],[Минимум 20000]], 100)</f>
        <v>0</v>
      </c>
    </row>
    <row r="819" spans="1:22" x14ac:dyDescent="0.25">
      <c r="A819" s="2">
        <f>'1000_заявлений'!A813</f>
        <v>811</v>
      </c>
      <c r="B819" s="4">
        <f>VALUE(SUBSTITUTE('1000_заявлений'!B813, ".", ","))</f>
        <v>0.46731525282814002</v>
      </c>
      <c r="C819" s="4">
        <f>VALUE(SUBSTITUTE('1000_заявлений'!C813, ".", ","))</f>
        <v>0.44394187501653298</v>
      </c>
      <c r="D819" s="4">
        <f>VALUE(SUBSTITUTE('1000_заявлений'!D813, ".", ","))</f>
        <v>0.30927536</v>
      </c>
      <c r="E819" s="4">
        <f>VALUE(SUBSTITUTE('1000_заявлений'!E813, ".", ","))</f>
        <v>0.76873320000000001</v>
      </c>
      <c r="F819" s="5">
        <f>VALUE(SUBSTITUTE('1000_заявлений'!F813, ".", ","))</f>
        <v>-2354</v>
      </c>
      <c r="G819" s="5">
        <f>VALUE(SUBSTITUTE('1000_заявлений'!G813, ".", ","))</f>
        <v>-17325</v>
      </c>
      <c r="H819" s="5">
        <f>VALUE(SUBSTITUTE('1000_заявлений'!H813, ".", ","))</f>
        <v>-862</v>
      </c>
      <c r="I819" s="4">
        <f>VALUE(SUBSTITUTE('1000_заявлений'!I813, ".", ","))</f>
        <v>0.17671428571428499</v>
      </c>
      <c r="J819" s="4">
        <f>VALUE(SUBSTITUTE('1000_заявлений'!J813, ".", ","))</f>
        <v>0.96586851051461098</v>
      </c>
      <c r="K819" s="5">
        <f>VALUE(SUBSTITUTE('1000_заявлений'!K813, ".", ","))</f>
        <v>-1351</v>
      </c>
      <c r="L819" s="6">
        <f>VALUE(SUBSTITUTE('1000_заявлений'!L813, ".", ","))</f>
        <v>22266</v>
      </c>
      <c r="M819" s="2" t="str">
        <f>IF(Данные6[[#This Row],[proba]]&gt;$C$6, "отказ", "одобрение")</f>
        <v>отказ</v>
      </c>
      <c r="N819" s="7">
        <f>IF(Данные6[[#This Row],[proba]]&lt;$D$2,$C$2,IF(Данные6[[#This Row],[proba]]&lt;$D$3,$C$3,IF(Данные6[[#This Row],[proba]]&gt;$C$6,0,$C$4)))</f>
        <v>0</v>
      </c>
      <c r="O819" s="2">
        <f>IF(Данные6[[#This Row],[weighted_ext_score]]&gt;$O$1,MIN(Данные6[[#This Row],[Базовая сумма]]*$O$2,$C$2),IF(Данные6[[#This Row],[weighted_ext_score]]&lt;$O$3,Данные6[[#This Row],[Базовая сумма]]*$O$4,N819))</f>
        <v>0</v>
      </c>
      <c r="P8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19" s="2">
        <f>ABS(Данные6[[#This Row],[days_birth]])/365.2425</f>
        <v>47.434238896075897</v>
      </c>
      <c r="S8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19" s="2">
        <f>IF(Данные6[[#This Row],[ interest_rate]]&gt;$T$1,Данные6[[#This Row],[days_birth4]]*$T$2,Данные6[[#This Row],[days_birth4]])</f>
        <v>0</v>
      </c>
      <c r="U819" s="2">
        <f>IF(Данные6[[#This Row],[Проверка отказа]]="отказ",0,MAX(Данные6[[#This Row],[interest_rate]],$C$1))</f>
        <v>0</v>
      </c>
      <c r="V819" s="2">
        <f>MROUND(Данные6[[#This Row],[Минимум 20000]], 100)</f>
        <v>0</v>
      </c>
    </row>
    <row r="820" spans="1:22" x14ac:dyDescent="0.25">
      <c r="A820" s="2">
        <f>'1000_заявлений'!A814</f>
        <v>812</v>
      </c>
      <c r="B820" s="4">
        <f>VALUE(SUBSTITUTE('1000_заявлений'!B814, ".", ","))</f>
        <v>0.26690576457348503</v>
      </c>
      <c r="C820" s="4">
        <f>VALUE(SUBSTITUTE('1000_заявлений'!C814, ".", ","))</f>
        <v>0.37602622042810302</v>
      </c>
      <c r="D820" s="4">
        <f>VALUE(SUBSTITUTE('1000_заявлений'!D814, ".", ","))</f>
        <v>0.40487837999999998</v>
      </c>
      <c r="E820" s="4">
        <f>VALUE(SUBSTITUTE('1000_заявлений'!E814, ".", ","))</f>
        <v>0.70780516000000004</v>
      </c>
      <c r="F820" s="5">
        <f>VALUE(SUBSTITUTE('1000_заявлений'!F814, ".", ","))</f>
        <v>-12468</v>
      </c>
      <c r="G820" s="5">
        <f>VALUE(SUBSTITUTE('1000_заявлений'!G814, ".", ","))</f>
        <v>-24767</v>
      </c>
      <c r="H820" s="5">
        <f>VALUE(SUBSTITUTE('1000_заявлений'!H814, ".", ","))</f>
        <v>-4040</v>
      </c>
      <c r="I820" s="4">
        <f>VALUE(SUBSTITUTE('1000_заявлений'!I814, ".", ","))</f>
        <v>0.26500000000000001</v>
      </c>
      <c r="J820" s="4">
        <f>VALUE(SUBSTITUTE('1000_заявлений'!J814, ".", ","))</f>
        <v>19.916048564726399</v>
      </c>
      <c r="K820" s="5">
        <f>VALUE(SUBSTITUTE('1000_заявлений'!K814, ".", ","))</f>
        <v>365243</v>
      </c>
      <c r="L820" s="6">
        <f>VALUE(SUBSTITUTE('1000_заявлений'!L814, ".", ","))</f>
        <v>23850</v>
      </c>
      <c r="M820" s="2" t="str">
        <f>IF(Данные6[[#This Row],[proba]]&gt;$C$6, "отказ", "одобрение")</f>
        <v>одобрение</v>
      </c>
      <c r="N820" s="7">
        <f>IF(Данные6[[#This Row],[proba]]&lt;$D$2,$C$2,IF(Данные6[[#This Row],[proba]]&lt;$D$3,$C$3,IF(Данные6[[#This Row],[proba]]&gt;$C$6,0,$C$4)))</f>
        <v>50000</v>
      </c>
      <c r="O820" s="2">
        <f>IF(Данные6[[#This Row],[weighted_ext_score]]&gt;$O$1,MIN(Данные6[[#This Row],[Базовая сумма]]*$O$2,$C$2),IF(Данные6[[#This Row],[weighted_ext_score]]&lt;$O$3,Данные6[[#This Row],[Базовая сумма]]*$O$4,N820))</f>
        <v>40000</v>
      </c>
      <c r="P8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20" s="2">
        <f>ABS(Данные6[[#This Row],[days_birth]])/365.2425</f>
        <v>67.809742842084361</v>
      </c>
      <c r="S8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20" s="2">
        <f>IF(Данные6[[#This Row],[ interest_rate]]&gt;$T$1,Данные6[[#This Row],[days_birth4]]*$T$2,Данные6[[#This Row],[days_birth4]])</f>
        <v>42000</v>
      </c>
      <c r="U820" s="2">
        <f>IF(Данные6[[#This Row],[Проверка отказа]]="отказ",0,MAX(Данные6[[#This Row],[interest_rate]],$C$1))</f>
        <v>42000</v>
      </c>
      <c r="V820" s="2">
        <f>MROUND(Данные6[[#This Row],[Минимум 20000]], 100)</f>
        <v>42000</v>
      </c>
    </row>
    <row r="821" spans="1:22" x14ac:dyDescent="0.25">
      <c r="A821" s="2">
        <f>'1000_заявлений'!A815</f>
        <v>813</v>
      </c>
      <c r="B821" s="4">
        <f>VALUE(SUBSTITUTE('1000_заявлений'!B815, ".", ","))</f>
        <v>0.55618180228284397</v>
      </c>
      <c r="C821" s="4">
        <f>VALUE(SUBSTITUTE('1000_заявлений'!C815, ".", ","))</f>
        <v>0.30810154235089099</v>
      </c>
      <c r="D821" s="4">
        <f>VALUE(SUBSTITUTE('1000_заявлений'!D815, ".", ","))</f>
        <v>0.54959650000000004</v>
      </c>
      <c r="E821" s="4">
        <f>VALUE(SUBSTITUTE('1000_заявлений'!E815, ".", ","))</f>
        <v>0.33705046999999999</v>
      </c>
      <c r="F821" s="5">
        <f>VALUE(SUBSTITUTE('1000_заявлений'!F815, ".", ","))</f>
        <v>-6350</v>
      </c>
      <c r="G821" s="5">
        <f>VALUE(SUBSTITUTE('1000_заявлений'!G815, ".", ","))</f>
        <v>-14145</v>
      </c>
      <c r="H821" s="5">
        <f>VALUE(SUBSTITUTE('1000_заявлений'!H815, ".", ","))</f>
        <v>-278</v>
      </c>
      <c r="I821" s="4">
        <f>VALUE(SUBSTITUTE('1000_заявлений'!I815, ".", ","))</f>
        <v>6.7636363636363606E-2</v>
      </c>
      <c r="J821" s="4">
        <f>VALUE(SUBSTITUTE('1000_заявлений'!J815, ".", ","))</f>
        <v>5.1544191333250797</v>
      </c>
      <c r="K821" s="5">
        <f>VALUE(SUBSTITUTE('1000_заявлений'!K815, ".", ","))</f>
        <v>-935</v>
      </c>
      <c r="L821" s="6">
        <f>VALUE(SUBSTITUTE('1000_заявлений'!L815, ".", ","))</f>
        <v>10044</v>
      </c>
      <c r="M821" s="2" t="str">
        <f>IF(Данные6[[#This Row],[proba]]&gt;$C$6, "отказ", "одобрение")</f>
        <v>отказ</v>
      </c>
      <c r="N821" s="7">
        <f>IF(Данные6[[#This Row],[proba]]&lt;$D$2,$C$2,IF(Данные6[[#This Row],[proba]]&lt;$D$3,$C$3,IF(Данные6[[#This Row],[proba]]&gt;$C$6,0,$C$4)))</f>
        <v>0</v>
      </c>
      <c r="O821" s="2">
        <f>IF(Данные6[[#This Row],[weighted_ext_score]]&gt;$O$1,MIN(Данные6[[#This Row],[Базовая сумма]]*$O$2,$C$2),IF(Данные6[[#This Row],[weighted_ext_score]]&lt;$O$3,Данные6[[#This Row],[Базовая сумма]]*$O$4,N821))</f>
        <v>0</v>
      </c>
      <c r="P8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1" s="2">
        <f>ABS(Данные6[[#This Row],[days_birth]])/365.2425</f>
        <v>38.727694613852442</v>
      </c>
      <c r="S8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1" s="2">
        <f>IF(Данные6[[#This Row],[ interest_rate]]&gt;$T$1,Данные6[[#This Row],[days_birth4]]*$T$2,Данные6[[#This Row],[days_birth4]])</f>
        <v>0</v>
      </c>
      <c r="U821" s="2">
        <f>IF(Данные6[[#This Row],[Проверка отказа]]="отказ",0,MAX(Данные6[[#This Row],[interest_rate]],$C$1))</f>
        <v>0</v>
      </c>
      <c r="V821" s="2">
        <f>MROUND(Данные6[[#This Row],[Минимум 20000]], 100)</f>
        <v>0</v>
      </c>
    </row>
    <row r="822" spans="1:22" x14ac:dyDescent="0.25">
      <c r="A822" s="2">
        <f>'1000_заявлений'!A816</f>
        <v>814</v>
      </c>
      <c r="B822" s="4">
        <f>VALUE(SUBSTITUTE('1000_заявлений'!B816, ".", ","))</f>
        <v>0.31487693082247598</v>
      </c>
      <c r="C822" s="4">
        <f>VALUE(SUBSTITUTE('1000_заявлений'!C816, ".", ","))</f>
        <v>0.45410094145740998</v>
      </c>
      <c r="D822" s="4">
        <f>VALUE(SUBSTITUTE('1000_заявлений'!D816, ".", ","))</f>
        <v>0.62630427</v>
      </c>
      <c r="E822" s="4">
        <f>VALUE(SUBSTITUTE('1000_заявлений'!E816, ".", ","))</f>
        <v>0.70161664000000001</v>
      </c>
      <c r="F822" s="5">
        <f>VALUE(SUBSTITUTE('1000_заявлений'!F816, ".", ","))</f>
        <v>-6560</v>
      </c>
      <c r="G822" s="5">
        <f>VALUE(SUBSTITUTE('1000_заявлений'!G816, ".", ","))</f>
        <v>-14216</v>
      </c>
      <c r="H822" s="5">
        <f>VALUE(SUBSTITUTE('1000_заявлений'!H816, ".", ","))</f>
        <v>-4277</v>
      </c>
      <c r="I822" s="4">
        <f>VALUE(SUBSTITUTE('1000_заявлений'!I816, ".", ","))</f>
        <v>0.23391999999999999</v>
      </c>
      <c r="J822" s="4">
        <f>VALUE(SUBSTITUTE('1000_заявлений'!J816, ".", ","))</f>
        <v>1.55972200073934</v>
      </c>
      <c r="K822" s="5">
        <f>VALUE(SUBSTITUTE('1000_заявлений'!K816, ".", ","))</f>
        <v>-444</v>
      </c>
      <c r="L822" s="6">
        <f>VALUE(SUBSTITUTE('1000_заявлений'!L816, ".", ","))</f>
        <v>26316</v>
      </c>
      <c r="M822" s="2" t="str">
        <f>IF(Данные6[[#This Row],[proba]]&gt;$C$6, "отказ", "одобрение")</f>
        <v>отказ</v>
      </c>
      <c r="N822" s="7">
        <f>IF(Данные6[[#This Row],[proba]]&lt;$D$2,$C$2,IF(Данные6[[#This Row],[proba]]&lt;$D$3,$C$3,IF(Данные6[[#This Row],[proba]]&gt;$C$6,0,$C$4)))</f>
        <v>0</v>
      </c>
      <c r="O822" s="2">
        <f>IF(Данные6[[#This Row],[weighted_ext_score]]&gt;$O$1,MIN(Данные6[[#This Row],[Базовая сумма]]*$O$2,$C$2),IF(Данные6[[#This Row],[weighted_ext_score]]&lt;$O$3,Данные6[[#This Row],[Базовая сумма]]*$O$4,N822))</f>
        <v>0</v>
      </c>
      <c r="P8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2" s="2">
        <f>ABS(Данные6[[#This Row],[days_birth]])/365.2425</f>
        <v>38.922086011348625</v>
      </c>
      <c r="S8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2" s="2">
        <f>IF(Данные6[[#This Row],[ interest_rate]]&gt;$T$1,Данные6[[#This Row],[days_birth4]]*$T$2,Данные6[[#This Row],[days_birth4]])</f>
        <v>0</v>
      </c>
      <c r="U822" s="2">
        <f>IF(Данные6[[#This Row],[Проверка отказа]]="отказ",0,MAX(Данные6[[#This Row],[interest_rate]],$C$1))</f>
        <v>0</v>
      </c>
      <c r="V822" s="2">
        <f>MROUND(Данные6[[#This Row],[Минимум 20000]], 100)</f>
        <v>0</v>
      </c>
    </row>
    <row r="823" spans="1:22" x14ac:dyDescent="0.25">
      <c r="A823" s="2">
        <f>'1000_заявлений'!A817</f>
        <v>815</v>
      </c>
      <c r="B823" s="4">
        <f>VALUE(SUBSTITUTE('1000_заявлений'!B817, ".", ","))</f>
        <v>0.42199577318444698</v>
      </c>
      <c r="C823" s="4">
        <f>VALUE(SUBSTITUTE('1000_заявлений'!C817, ".", ","))</f>
        <v>0.33521168319028599</v>
      </c>
      <c r="D823" s="4">
        <f>VALUE(SUBSTITUTE('1000_заявлений'!D817, ".", ","))</f>
        <v>0.76752310000000001</v>
      </c>
      <c r="E823" s="4">
        <f>VALUE(SUBSTITUTE('1000_заявлений'!E817, ".", ","))</f>
        <v>0.17764816999999999</v>
      </c>
      <c r="F823" s="5">
        <f>VALUE(SUBSTITUTE('1000_заявлений'!F817, ".", ","))</f>
        <v>-6005</v>
      </c>
      <c r="G823" s="5">
        <f>VALUE(SUBSTITUTE('1000_заявлений'!G817, ".", ","))</f>
        <v>-16323</v>
      </c>
      <c r="H823" s="5">
        <f>VALUE(SUBSTITUTE('1000_заявлений'!H817, ".", ","))</f>
        <v>-4202</v>
      </c>
      <c r="I823" s="4">
        <f>VALUE(SUBSTITUTE('1000_заявлений'!I817, ".", ","))</f>
        <v>0.204038461538461</v>
      </c>
      <c r="J823" s="4">
        <f>VALUE(SUBSTITUTE('1000_заявлений'!J817, ".", ","))</f>
        <v>13.911280549916301</v>
      </c>
      <c r="K823" s="5">
        <f>VALUE(SUBSTITUTE('1000_заявлений'!K817, ".", ","))</f>
        <v>-7195</v>
      </c>
      <c r="L823" s="6">
        <f>VALUE(SUBSTITUTE('1000_заявлений'!L817, ".", ","))</f>
        <v>23872.5</v>
      </c>
      <c r="M823" s="2" t="str">
        <f>IF(Данные6[[#This Row],[proba]]&gt;$C$6, "отказ", "одобрение")</f>
        <v>отказ</v>
      </c>
      <c r="N823" s="7">
        <f>IF(Данные6[[#This Row],[proba]]&lt;$D$2,$C$2,IF(Данные6[[#This Row],[proba]]&lt;$D$3,$C$3,IF(Данные6[[#This Row],[proba]]&gt;$C$6,0,$C$4)))</f>
        <v>0</v>
      </c>
      <c r="O823" s="2">
        <f>IF(Данные6[[#This Row],[weighted_ext_score]]&gt;$O$1,MIN(Данные6[[#This Row],[Базовая сумма]]*$O$2,$C$2),IF(Данные6[[#This Row],[weighted_ext_score]]&lt;$O$3,Данные6[[#This Row],[Базовая сумма]]*$O$4,N823))</f>
        <v>0</v>
      </c>
      <c r="P8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3" s="2">
        <f>ABS(Данные6[[#This Row],[days_birth]])/365.2425</f>
        <v>44.690856075073413</v>
      </c>
      <c r="S8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3" s="2">
        <f>IF(Данные6[[#This Row],[ interest_rate]]&gt;$T$1,Данные6[[#This Row],[days_birth4]]*$T$2,Данные6[[#This Row],[days_birth4]])</f>
        <v>0</v>
      </c>
      <c r="U823" s="2">
        <f>IF(Данные6[[#This Row],[Проверка отказа]]="отказ",0,MAX(Данные6[[#This Row],[interest_rate]],$C$1))</f>
        <v>0</v>
      </c>
      <c r="V823" s="2">
        <f>MROUND(Данные6[[#This Row],[Минимум 20000]], 100)</f>
        <v>0</v>
      </c>
    </row>
    <row r="824" spans="1:22" x14ac:dyDescent="0.25">
      <c r="A824" s="2">
        <f>'1000_заявлений'!A818</f>
        <v>816</v>
      </c>
      <c r="B824" s="4">
        <f>VALUE(SUBSTITUTE('1000_заявлений'!B818, ".", ","))</f>
        <v>0.49509369142975901</v>
      </c>
      <c r="C824" s="4">
        <f>VALUE(SUBSTITUTE('1000_заявлений'!C818, ".", ","))</f>
        <v>0.333738557524209</v>
      </c>
      <c r="D824" s="4">
        <f>VALUE(SUBSTITUTE('1000_заявлений'!D818, ".", ","))</f>
        <v>0.67383009999999999</v>
      </c>
      <c r="E824" s="4">
        <f>VALUE(SUBSTITUTE('1000_заявлений'!E818, ".", ","))</f>
        <v>0.27757025000000002</v>
      </c>
      <c r="F824" s="5">
        <f>VALUE(SUBSTITUTE('1000_заявлений'!F818, ".", ","))</f>
        <v>-5610</v>
      </c>
      <c r="G824" s="5">
        <f>VALUE(SUBSTITUTE('1000_заявлений'!G818, ".", ","))</f>
        <v>-18293</v>
      </c>
      <c r="H824" s="5">
        <f>VALUE(SUBSTITUTE('1000_заявлений'!H818, ".", ","))</f>
        <v>-1825</v>
      </c>
      <c r="I824" s="4">
        <f>VALUE(SUBSTITUTE('1000_заявлений'!I818, ".", ","))</f>
        <v>0.13330434782608599</v>
      </c>
      <c r="J824" s="4">
        <f>VALUE(SUBSTITUTE('1000_заявлений'!J818, ".", ","))</f>
        <v>0.142931503684118</v>
      </c>
      <c r="K824" s="5">
        <f>VALUE(SUBSTITUTE('1000_заявлений'!K818, ".", ","))</f>
        <v>-6140</v>
      </c>
      <c r="L824" s="6">
        <f>VALUE(SUBSTITUTE('1000_заявлений'!L818, ".", ","))</f>
        <v>27594</v>
      </c>
      <c r="M824" s="2" t="str">
        <f>IF(Данные6[[#This Row],[proba]]&gt;$C$6, "отказ", "одобрение")</f>
        <v>отказ</v>
      </c>
      <c r="N824" s="7">
        <f>IF(Данные6[[#This Row],[proba]]&lt;$D$2,$C$2,IF(Данные6[[#This Row],[proba]]&lt;$D$3,$C$3,IF(Данные6[[#This Row],[proba]]&gt;$C$6,0,$C$4)))</f>
        <v>0</v>
      </c>
      <c r="O824" s="2">
        <f>IF(Данные6[[#This Row],[weighted_ext_score]]&gt;$O$1,MIN(Данные6[[#This Row],[Базовая сумма]]*$O$2,$C$2),IF(Данные6[[#This Row],[weighted_ext_score]]&lt;$O$3,Данные6[[#This Row],[Базовая сумма]]*$O$4,N824))</f>
        <v>0</v>
      </c>
      <c r="P8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4" s="2">
        <f>ABS(Данные6[[#This Row],[days_birth]])/365.2425</f>
        <v>50.084532878840768</v>
      </c>
      <c r="S8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4" s="2">
        <f>IF(Данные6[[#This Row],[ interest_rate]]&gt;$T$1,Данные6[[#This Row],[days_birth4]]*$T$2,Данные6[[#This Row],[days_birth4]])</f>
        <v>0</v>
      </c>
      <c r="U824" s="2">
        <f>IF(Данные6[[#This Row],[Проверка отказа]]="отказ",0,MAX(Данные6[[#This Row],[interest_rate]],$C$1))</f>
        <v>0</v>
      </c>
      <c r="V824" s="2">
        <f>MROUND(Данные6[[#This Row],[Минимум 20000]], 100)</f>
        <v>0</v>
      </c>
    </row>
    <row r="825" spans="1:22" x14ac:dyDescent="0.25">
      <c r="A825" s="2">
        <f>'1000_заявлений'!A819</f>
        <v>817</v>
      </c>
      <c r="B825" s="4">
        <f>VALUE(SUBSTITUTE('1000_заявлений'!B819, ".", ","))</f>
        <v>0.19676094810592401</v>
      </c>
      <c r="C825" s="4">
        <f>VALUE(SUBSTITUTE('1000_заявлений'!C819, ".", ","))</f>
        <v>0.58358237363687304</v>
      </c>
      <c r="D825" s="4">
        <f>VALUE(SUBSTITUTE('1000_заявлений'!D819, ".", ","))</f>
        <v>0.59197664000000005</v>
      </c>
      <c r="E825" s="4">
        <f>VALUE(SUBSTITUTE('1000_заявлений'!E819, ".", ","))</f>
        <v>0.65303259999999996</v>
      </c>
      <c r="F825" s="5">
        <f>VALUE(SUBSTITUTE('1000_заявлений'!F819, ".", ","))</f>
        <v>-4021</v>
      </c>
      <c r="G825" s="5">
        <f>VALUE(SUBSTITUTE('1000_заявлений'!G819, ".", ","))</f>
        <v>-18053</v>
      </c>
      <c r="H825" s="5">
        <f>VALUE(SUBSTITUTE('1000_заявлений'!H819, ".", ","))</f>
        <v>-1615</v>
      </c>
      <c r="I825" s="4">
        <f>VALUE(SUBSTITUTE('1000_заявлений'!I819, ".", ","))</f>
        <v>0.10938000000000001</v>
      </c>
      <c r="J825" s="4">
        <f>VALUE(SUBSTITUTE('1000_заявлений'!J819, ".", ","))</f>
        <v>19.914107299959898</v>
      </c>
      <c r="K825" s="5">
        <f>VALUE(SUBSTITUTE('1000_заявлений'!K819, ".", ","))</f>
        <v>-6924</v>
      </c>
      <c r="L825" s="6">
        <f>VALUE(SUBSTITUTE('1000_заявлений'!L819, ".", ","))</f>
        <v>24610.5</v>
      </c>
      <c r="M825" s="2" t="str">
        <f>IF(Данные6[[#This Row],[proba]]&gt;$C$6, "отказ", "одобрение")</f>
        <v>одобрение</v>
      </c>
      <c r="N825" s="7">
        <f>IF(Данные6[[#This Row],[proba]]&lt;$D$2,$C$2,IF(Данные6[[#This Row],[proba]]&lt;$D$3,$C$3,IF(Данные6[[#This Row],[proba]]&gt;$C$6,0,$C$4)))</f>
        <v>200000</v>
      </c>
      <c r="O825" s="2">
        <f>IF(Данные6[[#This Row],[weighted_ext_score]]&gt;$O$1,MIN(Данные6[[#This Row],[Базовая сумма]]*$O$2,$C$2),IF(Данные6[[#This Row],[weighted_ext_score]]&lt;$O$3,Данные6[[#This Row],[Базовая сумма]]*$O$4,N825))</f>
        <v>200000</v>
      </c>
      <c r="P8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8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825" s="2">
        <f>ABS(Данные6[[#This Row],[days_birth]])/365.2425</f>
        <v>49.427435197163526</v>
      </c>
      <c r="S8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240000</v>
      </c>
      <c r="T825" s="2">
        <f>IF(Данные6[[#This Row],[ interest_rate]]&gt;$T$1,Данные6[[#This Row],[days_birth4]]*$T$2,Данные6[[#This Row],[days_birth4]])</f>
        <v>240000</v>
      </c>
      <c r="U825" s="2">
        <f>IF(Данные6[[#This Row],[Проверка отказа]]="отказ",0,MAX(Данные6[[#This Row],[interest_rate]],$C$1))</f>
        <v>240000</v>
      </c>
      <c r="V825" s="2">
        <f>MROUND(Данные6[[#This Row],[Минимум 20000]], 100)</f>
        <v>240000</v>
      </c>
    </row>
    <row r="826" spans="1:22" x14ac:dyDescent="0.25">
      <c r="A826" s="2">
        <f>'1000_заявлений'!A820</f>
        <v>818</v>
      </c>
      <c r="B826" s="4">
        <f>VALUE(SUBSTITUTE('1000_заявлений'!B820, ".", ","))</f>
        <v>0.72616718402436797</v>
      </c>
      <c r="C826" s="4">
        <f>VALUE(SUBSTITUTE('1000_заявлений'!C820, ".", ","))</f>
        <v>0.23395615739092501</v>
      </c>
      <c r="D826" s="4">
        <f>VALUE(SUBSTITUTE('1000_заявлений'!D820, ".", ","))</f>
        <v>0.41184854999999998</v>
      </c>
      <c r="E826" s="4">
        <f>VALUE(SUBSTITUTE('1000_заявлений'!E820, ".", ","))</f>
        <v>0.26205534000000003</v>
      </c>
      <c r="F826" s="5">
        <f>VALUE(SUBSTITUTE('1000_заявлений'!F820, ".", ","))</f>
        <v>-4490</v>
      </c>
      <c r="G826" s="5">
        <f>VALUE(SUBSTITUTE('1000_заявлений'!G820, ".", ","))</f>
        <v>-10358</v>
      </c>
      <c r="H826" s="5">
        <f>VALUE(SUBSTITUTE('1000_заявлений'!H820, ".", ","))</f>
        <v>-3028</v>
      </c>
      <c r="I826" s="4">
        <f>VALUE(SUBSTITUTE('1000_заявлений'!I820, ".", ","))</f>
        <v>0.13871428571428501</v>
      </c>
      <c r="J826" s="4">
        <f>VALUE(SUBSTITUTE('1000_заявлений'!J820, ".", ","))</f>
        <v>0.120066022004938</v>
      </c>
      <c r="K826" s="5">
        <f>VALUE(SUBSTITUTE('1000_заявлений'!K820, ".", ","))</f>
        <v>-2741</v>
      </c>
      <c r="L826" s="6">
        <f>VALUE(SUBSTITUTE('1000_заявлений'!L820, ".", ","))</f>
        <v>21847.5</v>
      </c>
      <c r="M826" s="2" t="str">
        <f>IF(Данные6[[#This Row],[proba]]&gt;$C$6, "отказ", "одобрение")</f>
        <v>отказ</v>
      </c>
      <c r="N826" s="7">
        <f>IF(Данные6[[#This Row],[proba]]&lt;$D$2,$C$2,IF(Данные6[[#This Row],[proba]]&lt;$D$3,$C$3,IF(Данные6[[#This Row],[proba]]&gt;$C$6,0,$C$4)))</f>
        <v>0</v>
      </c>
      <c r="O826" s="2">
        <f>IF(Данные6[[#This Row],[weighted_ext_score]]&gt;$O$1,MIN(Данные6[[#This Row],[Базовая сумма]]*$O$2,$C$2),IF(Данные6[[#This Row],[weighted_ext_score]]&lt;$O$3,Данные6[[#This Row],[Базовая сумма]]*$O$4,N826))</f>
        <v>0</v>
      </c>
      <c r="P8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6" s="2">
        <f>ABS(Данные6[[#This Row],[days_birth]])/365.2425</f>
        <v>28.359240778386962</v>
      </c>
      <c r="S8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6" s="2">
        <f>IF(Данные6[[#This Row],[ interest_rate]]&gt;$T$1,Данные6[[#This Row],[days_birth4]]*$T$2,Данные6[[#This Row],[days_birth4]])</f>
        <v>0</v>
      </c>
      <c r="U826" s="2">
        <f>IF(Данные6[[#This Row],[Проверка отказа]]="отказ",0,MAX(Данные6[[#This Row],[interest_rate]],$C$1))</f>
        <v>0</v>
      </c>
      <c r="V826" s="2">
        <f>MROUND(Данные6[[#This Row],[Минимум 20000]], 100)</f>
        <v>0</v>
      </c>
    </row>
    <row r="827" spans="1:22" x14ac:dyDescent="0.25">
      <c r="A827" s="2">
        <f>'1000_заявлений'!A821</f>
        <v>819</v>
      </c>
      <c r="B827" s="4">
        <f>VALUE(SUBSTITUTE('1000_заявлений'!B821, ".", ","))</f>
        <v>0.53524461349698405</v>
      </c>
      <c r="C827" s="4">
        <f>VALUE(SUBSTITUTE('1000_заявлений'!C821, ".", ","))</f>
        <v>0.48219451395512403</v>
      </c>
      <c r="D827" s="4">
        <f>VALUE(SUBSTITUTE('1000_заявлений'!D821, ".", ","))</f>
        <v>0.29859498000000001</v>
      </c>
      <c r="E827" s="4">
        <f>VALUE(SUBSTITUTE('1000_заявлений'!E821, ".", ","))</f>
        <v>0.6309129</v>
      </c>
      <c r="F827" s="5">
        <f>VALUE(SUBSTITUTE('1000_заявлений'!F821, ".", ","))</f>
        <v>-1028</v>
      </c>
      <c r="G827" s="5">
        <f>VALUE(SUBSTITUTE('1000_заявлений'!G821, ".", ","))</f>
        <v>-10556</v>
      </c>
      <c r="H827" s="5">
        <f>VALUE(SUBSTITUTE('1000_заявлений'!H821, ".", ","))</f>
        <v>-2421</v>
      </c>
      <c r="I827" s="4">
        <f>VALUE(SUBSTITUTE('1000_заявлений'!I821, ".", ","))</f>
        <v>0.22313953488371999</v>
      </c>
      <c r="J827" s="4">
        <f>VALUE(SUBSTITUTE('1000_заявлений'!J821, ".", ","))</f>
        <v>1.8469862410156199</v>
      </c>
      <c r="K827" s="5">
        <f>VALUE(SUBSTITUTE('1000_заявлений'!K821, ".", ","))</f>
        <v>-2561</v>
      </c>
      <c r="L827" s="6">
        <f>VALUE(SUBSTITUTE('1000_заявлений'!L821, ".", ","))</f>
        <v>43177.5</v>
      </c>
      <c r="M827" s="2" t="str">
        <f>IF(Данные6[[#This Row],[proba]]&gt;$C$6, "отказ", "одобрение")</f>
        <v>отказ</v>
      </c>
      <c r="N827" s="7">
        <f>IF(Данные6[[#This Row],[proba]]&lt;$D$2,$C$2,IF(Данные6[[#This Row],[proba]]&lt;$D$3,$C$3,IF(Данные6[[#This Row],[proba]]&gt;$C$6,0,$C$4)))</f>
        <v>0</v>
      </c>
      <c r="O827" s="2">
        <f>IF(Данные6[[#This Row],[weighted_ext_score]]&gt;$O$1,MIN(Данные6[[#This Row],[Базовая сумма]]*$O$2,$C$2),IF(Данные6[[#This Row],[weighted_ext_score]]&lt;$O$3,Данные6[[#This Row],[Базовая сумма]]*$O$4,N827))</f>
        <v>0</v>
      </c>
      <c r="P8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7" s="2">
        <f>ABS(Данные6[[#This Row],[days_birth]])/365.2425</f>
        <v>28.901346365770685</v>
      </c>
      <c r="S8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7" s="2">
        <f>IF(Данные6[[#This Row],[ interest_rate]]&gt;$T$1,Данные6[[#This Row],[days_birth4]]*$T$2,Данные6[[#This Row],[days_birth4]])</f>
        <v>0</v>
      </c>
      <c r="U827" s="2">
        <f>IF(Данные6[[#This Row],[Проверка отказа]]="отказ",0,MAX(Данные6[[#This Row],[interest_rate]],$C$1))</f>
        <v>0</v>
      </c>
      <c r="V827" s="2">
        <f>MROUND(Данные6[[#This Row],[Минимум 20000]], 100)</f>
        <v>0</v>
      </c>
    </row>
    <row r="828" spans="1:22" x14ac:dyDescent="0.25">
      <c r="A828" s="2">
        <f>'1000_заявлений'!A822</f>
        <v>820</v>
      </c>
      <c r="B828" s="4">
        <f>VALUE(SUBSTITUTE('1000_заявлений'!B822, ".", ","))</f>
        <v>0.60550876257530495</v>
      </c>
      <c r="C828" s="4">
        <f>VALUE(SUBSTITUTE('1000_заявлений'!C822, ".", ","))</f>
        <v>0.24337079773255699</v>
      </c>
      <c r="D828" s="4">
        <f>VALUE(SUBSTITUTE('1000_заявлений'!D822, ".", ","))</f>
        <v>0.56560796000000002</v>
      </c>
      <c r="E828" s="4">
        <f>VALUE(SUBSTITUTE('1000_заявлений'!E822, ".", ","))</f>
        <v>0.119644284</v>
      </c>
      <c r="F828" s="5">
        <f>VALUE(SUBSTITUTE('1000_заявлений'!F822, ".", ","))</f>
        <v>-7881</v>
      </c>
      <c r="G828" s="5">
        <f>VALUE(SUBSTITUTE('1000_заявлений'!G822, ".", ","))</f>
        <v>-20643</v>
      </c>
      <c r="H828" s="5">
        <f>VALUE(SUBSTITUTE('1000_заявлений'!H822, ".", ","))</f>
        <v>-3394</v>
      </c>
      <c r="I828" s="4">
        <f>VALUE(SUBSTITUTE('1000_заявлений'!I822, ".", ","))</f>
        <v>0.22105</v>
      </c>
      <c r="J828" s="4">
        <f>VALUE(SUBSTITUTE('1000_заявлений'!J822, ".", ","))</f>
        <v>1.5342064087895599</v>
      </c>
      <c r="K828" s="5">
        <f>VALUE(SUBSTITUTE('1000_заявлений'!K822, ".", ","))</f>
        <v>365243</v>
      </c>
      <c r="L828" s="6">
        <f>VALUE(SUBSTITUTE('1000_заявлений'!L822, ".", ","))</f>
        <v>19894.5</v>
      </c>
      <c r="M828" s="2" t="str">
        <f>IF(Данные6[[#This Row],[proba]]&gt;$C$6, "отказ", "одобрение")</f>
        <v>отказ</v>
      </c>
      <c r="N828" s="7">
        <f>IF(Данные6[[#This Row],[proba]]&lt;$D$2,$C$2,IF(Данные6[[#This Row],[proba]]&lt;$D$3,$C$3,IF(Данные6[[#This Row],[proba]]&gt;$C$6,0,$C$4)))</f>
        <v>0</v>
      </c>
      <c r="O828" s="2">
        <f>IF(Данные6[[#This Row],[weighted_ext_score]]&gt;$O$1,MIN(Данные6[[#This Row],[Базовая сумма]]*$O$2,$C$2),IF(Данные6[[#This Row],[weighted_ext_score]]&lt;$O$3,Данные6[[#This Row],[Базовая сумма]]*$O$4,N828))</f>
        <v>0</v>
      </c>
      <c r="P8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28" s="2">
        <f>ABS(Данные6[[#This Row],[days_birth]])/365.2425</f>
        <v>56.518614345263764</v>
      </c>
      <c r="S8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28" s="2">
        <f>IF(Данные6[[#This Row],[ interest_rate]]&gt;$T$1,Данные6[[#This Row],[days_birth4]]*$T$2,Данные6[[#This Row],[days_birth4]])</f>
        <v>0</v>
      </c>
      <c r="U828" s="2">
        <f>IF(Данные6[[#This Row],[Проверка отказа]]="отказ",0,MAX(Данные6[[#This Row],[interest_rate]],$C$1))</f>
        <v>0</v>
      </c>
      <c r="V828" s="2">
        <f>MROUND(Данные6[[#This Row],[Минимум 20000]], 100)</f>
        <v>0</v>
      </c>
    </row>
    <row r="829" spans="1:22" x14ac:dyDescent="0.25">
      <c r="A829" s="2">
        <f>'1000_заявлений'!A823</f>
        <v>821</v>
      </c>
      <c r="B829" s="4">
        <f>VALUE(SUBSTITUTE('1000_заявлений'!B823, ".", ","))</f>
        <v>0.27445128813706499</v>
      </c>
      <c r="C829" s="4">
        <f>VALUE(SUBSTITUTE('1000_заявлений'!C823, ".", ","))</f>
        <v>0.45612969886434401</v>
      </c>
      <c r="D829" s="4">
        <f>VALUE(SUBSTITUTE('1000_заявлений'!D823, ".", ","))</f>
        <v>0.7421816</v>
      </c>
      <c r="E829" s="4">
        <f>VALUE(SUBSTITUTE('1000_заявлений'!E823, ".", ","))</f>
        <v>0.57867294999999996</v>
      </c>
      <c r="F829" s="5">
        <f>VALUE(SUBSTITUTE('1000_заявлений'!F823, ".", ","))</f>
        <v>-6525</v>
      </c>
      <c r="G829" s="5">
        <f>VALUE(SUBSTITUTE('1000_заявлений'!G823, ".", ","))</f>
        <v>-19799</v>
      </c>
      <c r="H829" s="5">
        <f>VALUE(SUBSTITUTE('1000_заявлений'!H823, ".", ","))</f>
        <v>-3186</v>
      </c>
      <c r="I829" s="4">
        <f>VALUE(SUBSTITUTE('1000_заявлений'!I823, ".", ","))</f>
        <v>0.21653125000000001</v>
      </c>
      <c r="J829" s="4">
        <f>VALUE(SUBSTITUTE('1000_заявлений'!J823, ".", ","))</f>
        <v>1.8382822994224799</v>
      </c>
      <c r="K829" s="5">
        <f>VALUE(SUBSTITUTE('1000_заявлений'!K823, ".", ","))</f>
        <v>-3809</v>
      </c>
      <c r="L829" s="6">
        <f>VALUE(SUBSTITUTE('1000_заявлений'!L823, ".", ","))</f>
        <v>31180.5</v>
      </c>
      <c r="M829" s="2" t="str">
        <f>IF(Данные6[[#This Row],[proba]]&gt;$C$6, "отказ", "одобрение")</f>
        <v>одобрение</v>
      </c>
      <c r="N829" s="7">
        <f>IF(Данные6[[#This Row],[proba]]&lt;$D$2,$C$2,IF(Данные6[[#This Row],[proba]]&lt;$D$3,$C$3,IF(Данные6[[#This Row],[proba]]&gt;$C$6,0,$C$4)))</f>
        <v>50000</v>
      </c>
      <c r="O829" s="2">
        <f>IF(Данные6[[#This Row],[weighted_ext_score]]&gt;$O$1,MIN(Данные6[[#This Row],[Базовая сумма]]*$O$2,$C$2),IF(Данные6[[#This Row],[weighted_ext_score]]&lt;$O$3,Данные6[[#This Row],[Базовая сумма]]*$O$4,N829))</f>
        <v>40000</v>
      </c>
      <c r="P8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29" s="2">
        <f>ABS(Данные6[[#This Row],[days_birth]])/365.2425</f>
        <v>54.20782083136546</v>
      </c>
      <c r="S8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829" s="2">
        <f>IF(Данные6[[#This Row],[ interest_rate]]&gt;$T$1,Данные6[[#This Row],[days_birth4]]*$T$2,Данные6[[#This Row],[days_birth4]])</f>
        <v>50400</v>
      </c>
      <c r="U829" s="2">
        <f>IF(Данные6[[#This Row],[Проверка отказа]]="отказ",0,MAX(Данные6[[#This Row],[interest_rate]],$C$1))</f>
        <v>50400</v>
      </c>
      <c r="V829" s="2">
        <f>MROUND(Данные6[[#This Row],[Минимум 20000]], 100)</f>
        <v>50400</v>
      </c>
    </row>
    <row r="830" spans="1:22" x14ac:dyDescent="0.25">
      <c r="A830" s="2">
        <f>'1000_заявлений'!A824</f>
        <v>822</v>
      </c>
      <c r="B830" s="4">
        <f>VALUE(SUBSTITUTE('1000_заявлений'!B824, ".", ","))</f>
        <v>0.35712080959390702</v>
      </c>
      <c r="C830" s="4">
        <f>VALUE(SUBSTITUTE('1000_заявлений'!C824, ".", ","))</f>
        <v>0.60023412407898002</v>
      </c>
      <c r="D830" s="4">
        <f>VALUE(SUBSTITUTE('1000_заявлений'!D824, ".", ","))</f>
        <v>0.46506920000000002</v>
      </c>
      <c r="E830" s="4">
        <f>VALUE(SUBSTITUTE('1000_заявлений'!E824, ".", ","))</f>
        <v>0.57121812999999999</v>
      </c>
      <c r="F830" s="5">
        <f>VALUE(SUBSTITUTE('1000_заявлений'!F824, ".", ","))</f>
        <v>-7961</v>
      </c>
      <c r="G830" s="5">
        <f>VALUE(SUBSTITUTE('1000_заявлений'!G824, ".", ","))</f>
        <v>-14295</v>
      </c>
      <c r="H830" s="5">
        <f>VALUE(SUBSTITUTE('1000_заявлений'!H824, ".", ","))</f>
        <v>-1488</v>
      </c>
      <c r="I830" s="4">
        <f>VALUE(SUBSTITUTE('1000_заявлений'!I824, ".", ","))</f>
        <v>9.6920000000000006E-2</v>
      </c>
      <c r="J830" s="4">
        <f>VALUE(SUBSTITUTE('1000_заявлений'!J824, ".", ","))</f>
        <v>3.1821297950472598</v>
      </c>
      <c r="K830" s="5">
        <f>VALUE(SUBSTITUTE('1000_заявлений'!K824, ".", ","))</f>
        <v>-2083</v>
      </c>
      <c r="L830" s="6">
        <f>VALUE(SUBSTITUTE('1000_заявлений'!L824, ".", ","))</f>
        <v>21807</v>
      </c>
      <c r="M830" s="2" t="str">
        <f>IF(Данные6[[#This Row],[proba]]&gt;$C$6, "отказ", "одобрение")</f>
        <v>отказ</v>
      </c>
      <c r="N830" s="7">
        <f>IF(Данные6[[#This Row],[proba]]&lt;$D$2,$C$2,IF(Данные6[[#This Row],[proba]]&lt;$D$3,$C$3,IF(Данные6[[#This Row],[proba]]&gt;$C$6,0,$C$4)))</f>
        <v>0</v>
      </c>
      <c r="O830" s="2">
        <f>IF(Данные6[[#This Row],[weighted_ext_score]]&gt;$O$1,MIN(Данные6[[#This Row],[Базовая сумма]]*$O$2,$C$2),IF(Данные6[[#This Row],[weighted_ext_score]]&lt;$O$3,Данные6[[#This Row],[Базовая сумма]]*$O$4,N830))</f>
        <v>0</v>
      </c>
      <c r="P8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0" s="2">
        <f>ABS(Данные6[[#This Row],[days_birth]])/365.2425</f>
        <v>39.138380664900716</v>
      </c>
      <c r="S8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0" s="2">
        <f>IF(Данные6[[#This Row],[ interest_rate]]&gt;$T$1,Данные6[[#This Row],[days_birth4]]*$T$2,Данные6[[#This Row],[days_birth4]])</f>
        <v>0</v>
      </c>
      <c r="U830" s="2">
        <f>IF(Данные6[[#This Row],[Проверка отказа]]="отказ",0,MAX(Данные6[[#This Row],[interest_rate]],$C$1))</f>
        <v>0</v>
      </c>
      <c r="V830" s="2">
        <f>MROUND(Данные6[[#This Row],[Минимум 20000]], 100)</f>
        <v>0</v>
      </c>
    </row>
    <row r="831" spans="1:22" x14ac:dyDescent="0.25">
      <c r="A831" s="2">
        <f>'1000_заявлений'!A825</f>
        <v>823</v>
      </c>
      <c r="B831" s="4">
        <f>VALUE(SUBSTITUTE('1000_заявлений'!B825, ".", ","))</f>
        <v>0.52079634815174702</v>
      </c>
      <c r="C831" s="4">
        <f>VALUE(SUBSTITUTE('1000_заявлений'!C825, ".", ","))</f>
        <v>0.33507325353412798</v>
      </c>
      <c r="D831" s="4">
        <f>VALUE(SUBSTITUTE('1000_заявлений'!D825, ".", ","))</f>
        <v>0.61952770000000001</v>
      </c>
      <c r="E831" s="4">
        <f>VALUE(SUBSTITUTE('1000_заявлений'!E825, ".", ","))</f>
        <v>0.34222963000000001</v>
      </c>
      <c r="F831" s="5">
        <f>VALUE(SUBSTITUTE('1000_заявлений'!F825, ".", ","))</f>
        <v>-1829</v>
      </c>
      <c r="G831" s="5">
        <f>VALUE(SUBSTITUTE('1000_заявлений'!G825, ".", ","))</f>
        <v>-13891</v>
      </c>
      <c r="H831" s="5">
        <f>VALUE(SUBSTITUTE('1000_заявлений'!H825, ".", ","))</f>
        <v>-2967</v>
      </c>
      <c r="I831" s="4">
        <f>VALUE(SUBSTITUTE('1000_заявлений'!I825, ".", ","))</f>
        <v>0.169825</v>
      </c>
      <c r="J831" s="4">
        <f>VALUE(SUBSTITUTE('1000_заявлений'!J825, ".", ","))</f>
        <v>1.85123560947084</v>
      </c>
      <c r="K831" s="5">
        <f>VALUE(SUBSTITUTE('1000_заявлений'!K825, ".", ","))</f>
        <v>-4850</v>
      </c>
      <c r="L831" s="6">
        <f>VALUE(SUBSTITUTE('1000_заявлений'!L825, ".", ","))</f>
        <v>30568.5</v>
      </c>
      <c r="M831" s="2" t="str">
        <f>IF(Данные6[[#This Row],[proba]]&gt;$C$6, "отказ", "одобрение")</f>
        <v>отказ</v>
      </c>
      <c r="N831" s="7">
        <f>IF(Данные6[[#This Row],[proba]]&lt;$D$2,$C$2,IF(Данные6[[#This Row],[proba]]&lt;$D$3,$C$3,IF(Данные6[[#This Row],[proba]]&gt;$C$6,0,$C$4)))</f>
        <v>0</v>
      </c>
      <c r="O831" s="2">
        <f>IF(Данные6[[#This Row],[weighted_ext_score]]&gt;$O$1,MIN(Данные6[[#This Row],[Базовая сумма]]*$O$2,$C$2),IF(Данные6[[#This Row],[weighted_ext_score]]&lt;$O$3,Данные6[[#This Row],[Базовая сумма]]*$O$4,N831))</f>
        <v>0</v>
      </c>
      <c r="P8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1" s="2">
        <f>ABS(Данные6[[#This Row],[days_birth]])/365.2425</f>
        <v>38.032266234077362</v>
      </c>
      <c r="S8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1" s="2">
        <f>IF(Данные6[[#This Row],[ interest_rate]]&gt;$T$1,Данные6[[#This Row],[days_birth4]]*$T$2,Данные6[[#This Row],[days_birth4]])</f>
        <v>0</v>
      </c>
      <c r="U831" s="2">
        <f>IF(Данные6[[#This Row],[Проверка отказа]]="отказ",0,MAX(Данные6[[#This Row],[interest_rate]],$C$1))</f>
        <v>0</v>
      </c>
      <c r="V831" s="2">
        <f>MROUND(Данные6[[#This Row],[Минимум 20000]], 100)</f>
        <v>0</v>
      </c>
    </row>
    <row r="832" spans="1:22" x14ac:dyDescent="0.25">
      <c r="A832" s="2">
        <f>'1000_заявлений'!A826</f>
        <v>824</v>
      </c>
      <c r="B832" s="4">
        <f>VALUE(SUBSTITUTE('1000_заявлений'!B826, ".", ","))</f>
        <v>0.37964255863348401</v>
      </c>
      <c r="C832" s="4">
        <f>VALUE(SUBSTITUTE('1000_заявлений'!C826, ".", ","))</f>
        <v>0.400545672802185</v>
      </c>
      <c r="D832" s="4">
        <f>VALUE(SUBSTITUTE('1000_заявлений'!D826, ".", ","))</f>
        <v>0.66102355999999995</v>
      </c>
      <c r="E832" s="4">
        <f>VALUE(SUBSTITUTE('1000_заявлений'!E826, ".", ","))</f>
        <v>0.49780419999999997</v>
      </c>
      <c r="F832" s="5">
        <f>VALUE(SUBSTITUTE('1000_заявлений'!F826, ".", ","))</f>
        <v>-6876</v>
      </c>
      <c r="G832" s="5">
        <f>VALUE(SUBSTITUTE('1000_заявлений'!G826, ".", ","))</f>
        <v>-13998</v>
      </c>
      <c r="H832" s="5">
        <f>VALUE(SUBSTITUTE('1000_заявлений'!H826, ".", ","))</f>
        <v>-4559</v>
      </c>
      <c r="I832" s="4">
        <f>VALUE(SUBSTITUTE('1000_заявлений'!I826, ".", ","))</f>
        <v>0.24399999999999999</v>
      </c>
      <c r="J832" s="4">
        <f>VALUE(SUBSTITUTE('1000_заявлений'!J826, ".", ","))</f>
        <v>3.9497532929523498</v>
      </c>
      <c r="K832" s="5">
        <f>VALUE(SUBSTITUTE('1000_заявлений'!K826, ".", ","))</f>
        <v>-625</v>
      </c>
      <c r="L832" s="6">
        <f>VALUE(SUBSTITUTE('1000_заявлений'!L826, ".", ","))</f>
        <v>38430</v>
      </c>
      <c r="M832" s="2" t="str">
        <f>IF(Данные6[[#This Row],[proba]]&gt;$C$6, "отказ", "одобрение")</f>
        <v>отказ</v>
      </c>
      <c r="N832" s="7">
        <f>IF(Данные6[[#This Row],[proba]]&lt;$D$2,$C$2,IF(Данные6[[#This Row],[proba]]&lt;$D$3,$C$3,IF(Данные6[[#This Row],[proba]]&gt;$C$6,0,$C$4)))</f>
        <v>0</v>
      </c>
      <c r="O832" s="2">
        <f>IF(Данные6[[#This Row],[weighted_ext_score]]&gt;$O$1,MIN(Данные6[[#This Row],[Базовая сумма]]*$O$2,$C$2),IF(Данные6[[#This Row],[weighted_ext_score]]&lt;$O$3,Данные6[[#This Row],[Базовая сумма]]*$O$4,N832))</f>
        <v>0</v>
      </c>
      <c r="P8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2" s="2">
        <f>ABS(Данные6[[#This Row],[days_birth]])/365.2425</f>
        <v>38.325222283825127</v>
      </c>
      <c r="S8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2" s="2">
        <f>IF(Данные6[[#This Row],[ interest_rate]]&gt;$T$1,Данные6[[#This Row],[days_birth4]]*$T$2,Данные6[[#This Row],[days_birth4]])</f>
        <v>0</v>
      </c>
      <c r="U832" s="2">
        <f>IF(Данные6[[#This Row],[Проверка отказа]]="отказ",0,MAX(Данные6[[#This Row],[interest_rate]],$C$1))</f>
        <v>0</v>
      </c>
      <c r="V832" s="2">
        <f>MROUND(Данные6[[#This Row],[Минимум 20000]], 100)</f>
        <v>0</v>
      </c>
    </row>
    <row r="833" spans="1:22" x14ac:dyDescent="0.25">
      <c r="A833" s="2">
        <f>'1000_заявлений'!A827</f>
        <v>825</v>
      </c>
      <c r="B833" s="4">
        <f>VALUE(SUBSTITUTE('1000_заявлений'!B827, ".", ","))</f>
        <v>0.265708123487846</v>
      </c>
      <c r="C833" s="4">
        <f>VALUE(SUBSTITUTE('1000_заявлений'!C827, ".", ","))</f>
        <v>0.57236613965031402</v>
      </c>
      <c r="D833" s="4">
        <f>VALUE(SUBSTITUTE('1000_заявлений'!D827, ".", ","))</f>
        <v>0.61952770000000001</v>
      </c>
      <c r="E833" s="4">
        <f>VALUE(SUBSTITUTE('1000_заявлений'!E827, ".", ","))</f>
        <v>0.7298597</v>
      </c>
      <c r="F833" s="5">
        <f>VALUE(SUBSTITUTE('1000_заявлений'!F827, ".", ","))</f>
        <v>-631</v>
      </c>
      <c r="G833" s="5">
        <f>VALUE(SUBSTITUTE('1000_заявлений'!G827, ".", ","))</f>
        <v>-13625</v>
      </c>
      <c r="H833" s="5">
        <f>VALUE(SUBSTITUTE('1000_заявлений'!H827, ".", ","))</f>
        <v>-4333</v>
      </c>
      <c r="I833" s="4">
        <f>VALUE(SUBSTITUTE('1000_заявлений'!I827, ".", ","))</f>
        <v>0.24579999999999999</v>
      </c>
      <c r="J833" s="4">
        <f>VALUE(SUBSTITUTE('1000_заявлений'!J827, ".", ","))</f>
        <v>0.14939418728954201</v>
      </c>
      <c r="K833" s="5">
        <f>VALUE(SUBSTITUTE('1000_заявлений'!K827, ".", ","))</f>
        <v>-66</v>
      </c>
      <c r="L833" s="6">
        <f>VALUE(SUBSTITUTE('1000_заявлений'!L827, ".", ","))</f>
        <v>49774.5</v>
      </c>
      <c r="M833" s="2" t="str">
        <f>IF(Данные6[[#This Row],[proba]]&gt;$C$6, "отказ", "одобрение")</f>
        <v>одобрение</v>
      </c>
      <c r="N833" s="7">
        <f>IF(Данные6[[#This Row],[proba]]&lt;$D$2,$C$2,IF(Данные6[[#This Row],[proba]]&lt;$D$3,$C$3,IF(Данные6[[#This Row],[proba]]&gt;$C$6,0,$C$4)))</f>
        <v>50000</v>
      </c>
      <c r="O833" s="2">
        <f>IF(Данные6[[#This Row],[weighted_ext_score]]&gt;$O$1,MIN(Данные6[[#This Row],[Базовая сумма]]*$O$2,$C$2),IF(Данные6[[#This Row],[weighted_ext_score]]&lt;$O$3,Данные6[[#This Row],[Базовая сумма]]*$O$4,N833))</f>
        <v>50000</v>
      </c>
      <c r="P8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833" s="2">
        <f>ABS(Данные6[[#This Row],[days_birth]])/365.2425</f>
        <v>37.303982970218414</v>
      </c>
      <c r="S8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50000</v>
      </c>
      <c r="T833" s="2">
        <f>IF(Данные6[[#This Row],[ interest_rate]]&gt;$T$1,Данные6[[#This Row],[days_birth4]]*$T$2,Данные6[[#This Row],[days_birth4]])</f>
        <v>50000</v>
      </c>
      <c r="U833" s="2">
        <f>IF(Данные6[[#This Row],[Проверка отказа]]="отказ",0,MAX(Данные6[[#This Row],[interest_rate]],$C$1))</f>
        <v>50000</v>
      </c>
      <c r="V833" s="2">
        <f>MROUND(Данные6[[#This Row],[Минимум 20000]], 100)</f>
        <v>50000</v>
      </c>
    </row>
    <row r="834" spans="1:22" x14ac:dyDescent="0.25">
      <c r="A834" s="2">
        <f>'1000_заявлений'!A828</f>
        <v>826</v>
      </c>
      <c r="B834" s="4">
        <f>VALUE(SUBSTITUTE('1000_заявлений'!B828, ".", ","))</f>
        <v>0.28732717543105302</v>
      </c>
      <c r="C834" s="4">
        <f>VALUE(SUBSTITUTE('1000_заявлений'!C828, ".", ","))</f>
        <v>0.441431794602204</v>
      </c>
      <c r="D834" s="4">
        <f>VALUE(SUBSTITUTE('1000_заявлений'!D828, ".", ","))</f>
        <v>0.74630019999999997</v>
      </c>
      <c r="E834" s="4">
        <f>VALUE(SUBSTITUTE('1000_заявлений'!E828, ".", ","))</f>
        <v>0.52876970000000001</v>
      </c>
      <c r="F834" s="5">
        <f>VALUE(SUBSTITUTE('1000_заявлений'!F828, ".", ","))</f>
        <v>-6443</v>
      </c>
      <c r="G834" s="5">
        <f>VALUE(SUBSTITUTE('1000_заявлений'!G828, ".", ","))</f>
        <v>-14831</v>
      </c>
      <c r="H834" s="5">
        <f>VALUE(SUBSTITUTE('1000_заявлений'!H828, ".", ","))</f>
        <v>-5047</v>
      </c>
      <c r="I834" s="4">
        <f>VALUE(SUBSTITUTE('1000_заявлений'!I828, ".", ","))</f>
        <v>0.18850909090908999</v>
      </c>
      <c r="J834" s="4">
        <f>VALUE(SUBSTITUTE('1000_заявлений'!J828, ".", ","))</f>
        <v>2.7623651991585301</v>
      </c>
      <c r="K834" s="5">
        <f>VALUE(SUBSTITUTE('1000_заявлений'!K828, ".", ","))</f>
        <v>-7771</v>
      </c>
      <c r="L834" s="6">
        <f>VALUE(SUBSTITUTE('1000_заявлений'!L828, ".", ","))</f>
        <v>46656</v>
      </c>
      <c r="M834" s="2" t="str">
        <f>IF(Данные6[[#This Row],[proba]]&gt;$C$6, "отказ", "одобрение")</f>
        <v>одобрение</v>
      </c>
      <c r="N834" s="7">
        <f>IF(Данные6[[#This Row],[proba]]&lt;$D$2,$C$2,IF(Данные6[[#This Row],[proba]]&lt;$D$3,$C$3,IF(Данные6[[#This Row],[proba]]&gt;$C$6,0,$C$4)))</f>
        <v>50000</v>
      </c>
      <c r="O834" s="2">
        <f>IF(Данные6[[#This Row],[weighted_ext_score]]&gt;$O$1,MIN(Данные6[[#This Row],[Базовая сумма]]*$O$2,$C$2),IF(Данные6[[#This Row],[weighted_ext_score]]&lt;$O$3,Данные6[[#This Row],[Базовая сумма]]*$O$4,N834))</f>
        <v>40000</v>
      </c>
      <c r="P8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34" s="2">
        <f>ABS(Данные6[[#This Row],[days_birth]])/365.2425</f>
        <v>40.605898820646559</v>
      </c>
      <c r="S8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834" s="2">
        <f>IF(Данные6[[#This Row],[ interest_rate]]&gt;$T$1,Данные6[[#This Row],[days_birth4]]*$T$2,Данные6[[#This Row],[days_birth4]])</f>
        <v>48000</v>
      </c>
      <c r="U834" s="2">
        <f>IF(Данные6[[#This Row],[Проверка отказа]]="отказ",0,MAX(Данные6[[#This Row],[interest_rate]],$C$1))</f>
        <v>48000</v>
      </c>
      <c r="V834" s="2">
        <f>MROUND(Данные6[[#This Row],[Минимум 20000]], 100)</f>
        <v>48000</v>
      </c>
    </row>
    <row r="835" spans="1:22" x14ac:dyDescent="0.25">
      <c r="A835" s="2">
        <f>'1000_заявлений'!A829</f>
        <v>827</v>
      </c>
      <c r="B835" s="4">
        <f>VALUE(SUBSTITUTE('1000_заявлений'!B829, ".", ","))</f>
        <v>0.52736310423718602</v>
      </c>
      <c r="C835" s="4">
        <f>VALUE(SUBSTITUTE('1000_заявлений'!C829, ".", ","))</f>
        <v>0.34187725768634802</v>
      </c>
      <c r="D835" s="4">
        <f>VALUE(SUBSTITUTE('1000_заявлений'!D829, ".", ","))</f>
        <v>0.37233368</v>
      </c>
      <c r="E835" s="4">
        <f>VALUE(SUBSTITUTE('1000_заявлений'!E829, ".", ","))</f>
        <v>0.63881546</v>
      </c>
      <c r="F835" s="5">
        <f>VALUE(SUBSTITUTE('1000_заявлений'!F829, ".", ","))</f>
        <v>-823</v>
      </c>
      <c r="G835" s="5">
        <f>VALUE(SUBSTITUTE('1000_заявлений'!G829, ".", ","))</f>
        <v>-12065</v>
      </c>
      <c r="H835" s="5">
        <f>VALUE(SUBSTITUTE('1000_заявлений'!H829, ".", ","))</f>
        <v>-2384</v>
      </c>
      <c r="I835" s="4">
        <f>VALUE(SUBSTITUTE('1000_заявлений'!I829, ".", ","))</f>
        <v>0.11577999999999999</v>
      </c>
      <c r="J835" s="4">
        <f>VALUE(SUBSTITUTE('1000_заявлений'!J829, ".", ","))</f>
        <v>3.2915090857940701</v>
      </c>
      <c r="K835" s="5">
        <f>VALUE(SUBSTITUTE('1000_заявлений'!K829, ".", ","))</f>
        <v>-827</v>
      </c>
      <c r="L835" s="6">
        <f>VALUE(SUBSTITUTE('1000_заявлений'!L829, ".", ","))</f>
        <v>26050.5</v>
      </c>
      <c r="M835" s="2" t="str">
        <f>IF(Данные6[[#This Row],[proba]]&gt;$C$6, "отказ", "одобрение")</f>
        <v>отказ</v>
      </c>
      <c r="N835" s="7">
        <f>IF(Данные6[[#This Row],[proba]]&lt;$D$2,$C$2,IF(Данные6[[#This Row],[proba]]&lt;$D$3,$C$3,IF(Данные6[[#This Row],[proba]]&gt;$C$6,0,$C$4)))</f>
        <v>0</v>
      </c>
      <c r="O835" s="2">
        <f>IF(Данные6[[#This Row],[weighted_ext_score]]&gt;$O$1,MIN(Данные6[[#This Row],[Базовая сумма]]*$O$2,$C$2),IF(Данные6[[#This Row],[weighted_ext_score]]&lt;$O$3,Данные6[[#This Row],[Базовая сумма]]*$O$4,N835))</f>
        <v>0</v>
      </c>
      <c r="P8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5" s="2">
        <f>ABS(Данные6[[#This Row],[days_birth]])/365.2425</f>
        <v>33.032848039316342</v>
      </c>
      <c r="S8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5" s="2">
        <f>IF(Данные6[[#This Row],[ interest_rate]]&gt;$T$1,Данные6[[#This Row],[days_birth4]]*$T$2,Данные6[[#This Row],[days_birth4]])</f>
        <v>0</v>
      </c>
      <c r="U835" s="2">
        <f>IF(Данные6[[#This Row],[Проверка отказа]]="отказ",0,MAX(Данные6[[#This Row],[interest_rate]],$C$1))</f>
        <v>0</v>
      </c>
      <c r="V835" s="2">
        <f>MROUND(Данные6[[#This Row],[Минимум 20000]], 100)</f>
        <v>0</v>
      </c>
    </row>
    <row r="836" spans="1:22" x14ac:dyDescent="0.25">
      <c r="A836" s="2">
        <f>'1000_заявлений'!A830</f>
        <v>828</v>
      </c>
      <c r="B836" s="4">
        <f>VALUE(SUBSTITUTE('1000_заявлений'!B830, ".", ","))</f>
        <v>0.84608693659737899</v>
      </c>
      <c r="C836" s="4">
        <f>VALUE(SUBSTITUTE('1000_заявлений'!C830, ".", ","))</f>
        <v>0.16652881703264399</v>
      </c>
      <c r="D836" s="4">
        <f>VALUE(SUBSTITUTE('1000_заявлений'!D830, ".", ","))</f>
        <v>0.43296167000000002</v>
      </c>
      <c r="E836" s="4">
        <f>VALUE(SUBSTITUTE('1000_заявлений'!E830, ".", ","))</f>
        <v>3.0647876000000001E-2</v>
      </c>
      <c r="F836" s="5">
        <f>VALUE(SUBSTITUTE('1000_заявлений'!F830, ".", ","))</f>
        <v>-7223</v>
      </c>
      <c r="G836" s="5">
        <f>VALUE(SUBSTITUTE('1000_заявлений'!G830, ".", ","))</f>
        <v>-10073</v>
      </c>
      <c r="H836" s="5">
        <f>VALUE(SUBSTITUTE('1000_заявлений'!H830, ".", ","))</f>
        <v>-2735</v>
      </c>
      <c r="I836" s="4">
        <f>VALUE(SUBSTITUTE('1000_заявлений'!I830, ".", ","))</f>
        <v>0.50700000000000001</v>
      </c>
      <c r="J836" s="4">
        <f>VALUE(SUBSTITUTE('1000_заявлений'!J830, ".", ","))</f>
        <v>4.2554005282094298</v>
      </c>
      <c r="K836" s="5">
        <f>VALUE(SUBSTITUTE('1000_заявлений'!K830, ".", ","))</f>
        <v>-1337</v>
      </c>
      <c r="L836" s="6">
        <f>VALUE(SUBSTITUTE('1000_заявлений'!L830, ".", ","))</f>
        <v>45630</v>
      </c>
      <c r="M836" s="2" t="str">
        <f>IF(Данные6[[#This Row],[proba]]&gt;$C$6, "отказ", "одобрение")</f>
        <v>отказ</v>
      </c>
      <c r="N836" s="7">
        <f>IF(Данные6[[#This Row],[proba]]&lt;$D$2,$C$2,IF(Данные6[[#This Row],[proba]]&lt;$D$3,$C$3,IF(Данные6[[#This Row],[proba]]&gt;$C$6,0,$C$4)))</f>
        <v>0</v>
      </c>
      <c r="O836" s="2">
        <f>IF(Данные6[[#This Row],[weighted_ext_score]]&gt;$O$1,MIN(Данные6[[#This Row],[Базовая сумма]]*$O$2,$C$2),IF(Данные6[[#This Row],[weighted_ext_score]]&lt;$O$3,Данные6[[#This Row],[Базовая сумма]]*$O$4,N836))</f>
        <v>0</v>
      </c>
      <c r="P8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6" s="2">
        <f>ABS(Данные6[[#This Row],[days_birth]])/365.2425</f>
        <v>27.578937281395238</v>
      </c>
      <c r="S8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6" s="2">
        <f>IF(Данные6[[#This Row],[ interest_rate]]&gt;$T$1,Данные6[[#This Row],[days_birth4]]*$T$2,Данные6[[#This Row],[days_birth4]])</f>
        <v>0</v>
      </c>
      <c r="U836" s="2">
        <f>IF(Данные6[[#This Row],[Проверка отказа]]="отказ",0,MAX(Данные6[[#This Row],[interest_rate]],$C$1))</f>
        <v>0</v>
      </c>
      <c r="V836" s="2">
        <f>MROUND(Данные6[[#This Row],[Минимум 20000]], 100)</f>
        <v>0</v>
      </c>
    </row>
    <row r="837" spans="1:22" x14ac:dyDescent="0.25">
      <c r="A837" s="2">
        <f>'1000_заявлений'!A831</f>
        <v>829</v>
      </c>
      <c r="B837" s="4">
        <f>VALUE(SUBSTITUTE('1000_заявлений'!B831, ".", ","))</f>
        <v>0.29743470701295399</v>
      </c>
      <c r="C837" s="4">
        <f>VALUE(SUBSTITUTE('1000_заявлений'!C831, ".", ","))</f>
        <v>0.46578655132538199</v>
      </c>
      <c r="D837" s="4">
        <f>VALUE(SUBSTITUTE('1000_заявлений'!D831, ".", ","))</f>
        <v>0.67383009999999999</v>
      </c>
      <c r="E837" s="4">
        <f>VALUE(SUBSTITUTE('1000_заявлений'!E831, ".", ","))</f>
        <v>0.68465226999999995</v>
      </c>
      <c r="F837" s="5">
        <f>VALUE(SUBSTITUTE('1000_заявлений'!F831, ".", ","))</f>
        <v>-212</v>
      </c>
      <c r="G837" s="5">
        <f>VALUE(SUBSTITUTE('1000_заявлений'!G831, ".", ","))</f>
        <v>-10203</v>
      </c>
      <c r="H837" s="5">
        <f>VALUE(SUBSTITUTE('1000_заявлений'!H831, ".", ","))</f>
        <v>-2551</v>
      </c>
      <c r="I837" s="4">
        <f>VALUE(SUBSTITUTE('1000_заявлений'!I831, ".", ","))</f>
        <v>0.15235000000000001</v>
      </c>
      <c r="J837" s="4">
        <f>VALUE(SUBSTITUTE('1000_заявлений'!J831, ".", ","))</f>
        <v>6.0287566229870304</v>
      </c>
      <c r="K837" s="5">
        <f>VALUE(SUBSTITUTE('1000_заявлений'!K831, ".", ","))</f>
        <v>-2227</v>
      </c>
      <c r="L837" s="6">
        <f>VALUE(SUBSTITUTE('1000_заявлений'!L831, ".", ","))</f>
        <v>27423</v>
      </c>
      <c r="M837" s="2" t="str">
        <f>IF(Данные6[[#This Row],[proba]]&gt;$C$6, "отказ", "одобрение")</f>
        <v>одобрение</v>
      </c>
      <c r="N837" s="7">
        <f>IF(Данные6[[#This Row],[proba]]&lt;$D$2,$C$2,IF(Данные6[[#This Row],[proba]]&lt;$D$3,$C$3,IF(Данные6[[#This Row],[proba]]&gt;$C$6,0,$C$4)))</f>
        <v>50000</v>
      </c>
      <c r="O837" s="2">
        <f>IF(Данные6[[#This Row],[weighted_ext_score]]&gt;$O$1,MIN(Данные6[[#This Row],[Базовая сумма]]*$O$2,$C$2),IF(Данные6[[#This Row],[weighted_ext_score]]&lt;$O$3,Данные6[[#This Row],[Базовая сумма]]*$O$4,N837))</f>
        <v>40000</v>
      </c>
      <c r="P8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837" s="2">
        <f>ABS(Данные6[[#This Row],[days_birth]])/365.2425</f>
        <v>27.934865192303743</v>
      </c>
      <c r="S8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837" s="2">
        <f>IF(Данные6[[#This Row],[ interest_rate]]&gt;$T$1,Данные6[[#This Row],[days_birth4]]*$T$2,Данные6[[#This Row],[days_birth4]])</f>
        <v>28000</v>
      </c>
      <c r="U837" s="2">
        <f>IF(Данные6[[#This Row],[Проверка отказа]]="отказ",0,MAX(Данные6[[#This Row],[interest_rate]],$C$1))</f>
        <v>28000</v>
      </c>
      <c r="V837" s="2">
        <f>MROUND(Данные6[[#This Row],[Минимум 20000]], 100)</f>
        <v>28000</v>
      </c>
    </row>
    <row r="838" spans="1:22" x14ac:dyDescent="0.25">
      <c r="A838" s="2">
        <f>'1000_заявлений'!A832</f>
        <v>830</v>
      </c>
      <c r="B838" s="4">
        <f>VALUE(SUBSTITUTE('1000_заявлений'!B832, ".", ","))</f>
        <v>0.62906763777299302</v>
      </c>
      <c r="C838" s="4">
        <f>VALUE(SUBSTITUTE('1000_заявлений'!C832, ".", ","))</f>
        <v>0.42506562767391998</v>
      </c>
      <c r="D838" s="4">
        <f>VALUE(SUBSTITUTE('1000_заявлений'!D832, ".", ","))</f>
        <v>0.36227724</v>
      </c>
      <c r="E838" s="4">
        <f>VALUE(SUBSTITUTE('1000_заявлений'!E832, ".", ","))</f>
        <v>0.29672733000000001</v>
      </c>
      <c r="F838" s="5">
        <f>VALUE(SUBSTITUTE('1000_заявлений'!F832, ".", ","))</f>
        <v>-252</v>
      </c>
      <c r="G838" s="5">
        <f>VALUE(SUBSTITUTE('1000_заявлений'!G832, ".", ","))</f>
        <v>-11770</v>
      </c>
      <c r="H838" s="5">
        <f>VALUE(SUBSTITUTE('1000_заявлений'!H832, ".", ","))</f>
        <v>-3696</v>
      </c>
      <c r="I838" s="4">
        <f>VALUE(SUBSTITUTE('1000_заявлений'!I832, ".", ","))</f>
        <v>0.128581395348837</v>
      </c>
      <c r="J838" s="4">
        <f>VALUE(SUBSTITUTE('1000_заявлений'!J832, ".", ","))</f>
        <v>3.1035405933708802</v>
      </c>
      <c r="K838" s="5">
        <f>VALUE(SUBSTITUTE('1000_заявлений'!K832, ".", ","))</f>
        <v>-1868</v>
      </c>
      <c r="L838" s="6">
        <f>VALUE(SUBSTITUTE('1000_заявлений'!L832, ".", ","))</f>
        <v>24880.5</v>
      </c>
      <c r="M838" s="2" t="str">
        <f>IF(Данные6[[#This Row],[proba]]&gt;$C$6, "отказ", "одобрение")</f>
        <v>отказ</v>
      </c>
      <c r="N838" s="7">
        <f>IF(Данные6[[#This Row],[proba]]&lt;$D$2,$C$2,IF(Данные6[[#This Row],[proba]]&lt;$D$3,$C$3,IF(Данные6[[#This Row],[proba]]&gt;$C$6,0,$C$4)))</f>
        <v>0</v>
      </c>
      <c r="O838" s="2">
        <f>IF(Данные6[[#This Row],[weighted_ext_score]]&gt;$O$1,MIN(Данные6[[#This Row],[Базовая сумма]]*$O$2,$C$2),IF(Данные6[[#This Row],[weighted_ext_score]]&lt;$O$3,Данные6[[#This Row],[Базовая сумма]]*$O$4,N838))</f>
        <v>0</v>
      </c>
      <c r="P8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8" s="2">
        <f>ABS(Данные6[[#This Row],[days_birth]])/365.2425</f>
        <v>32.225165472254737</v>
      </c>
      <c r="S8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8" s="2">
        <f>IF(Данные6[[#This Row],[ interest_rate]]&gt;$T$1,Данные6[[#This Row],[days_birth4]]*$T$2,Данные6[[#This Row],[days_birth4]])</f>
        <v>0</v>
      </c>
      <c r="U838" s="2">
        <f>IF(Данные6[[#This Row],[Проверка отказа]]="отказ",0,MAX(Данные6[[#This Row],[interest_rate]],$C$1))</f>
        <v>0</v>
      </c>
      <c r="V838" s="2">
        <f>MROUND(Данные6[[#This Row],[Минимум 20000]], 100)</f>
        <v>0</v>
      </c>
    </row>
    <row r="839" spans="1:22" x14ac:dyDescent="0.25">
      <c r="A839" s="2">
        <f>'1000_заявлений'!A833</f>
        <v>831</v>
      </c>
      <c r="B839" s="4">
        <f>VALUE(SUBSTITUTE('1000_заявлений'!B833, ".", ","))</f>
        <v>0.435783189167047</v>
      </c>
      <c r="C839" s="4">
        <f>VALUE(SUBSTITUTE('1000_заявлений'!C833, ".", ","))</f>
        <v>0.38825604486237703</v>
      </c>
      <c r="D839" s="4">
        <f>VALUE(SUBSTITUTE('1000_заявлений'!D833, ".", ","))</f>
        <v>0.38762533999999998</v>
      </c>
      <c r="E839" s="4">
        <f>VALUE(SUBSTITUTE('1000_заявлений'!E833, ".", ","))</f>
        <v>0.76474403999999996</v>
      </c>
      <c r="F839" s="5">
        <f>VALUE(SUBSTITUTE('1000_заявлений'!F833, ".", ","))</f>
        <v>-19</v>
      </c>
      <c r="G839" s="5">
        <f>VALUE(SUBSTITUTE('1000_заявлений'!G833, ".", ","))</f>
        <v>-16519</v>
      </c>
      <c r="H839" s="5">
        <f>VALUE(SUBSTITUTE('1000_заявлений'!H833, ".", ","))</f>
        <v>-17</v>
      </c>
      <c r="I839" s="4">
        <f>VALUE(SUBSTITUTE('1000_заявлений'!I833, ".", ","))</f>
        <v>0.112</v>
      </c>
      <c r="J839" s="4">
        <f>VALUE(SUBSTITUTE('1000_заявлений'!J833, ".", ","))</f>
        <v>1.7926354583625901</v>
      </c>
      <c r="K839" s="5">
        <f>VALUE(SUBSTITUTE('1000_заявлений'!K833, ".", ","))</f>
        <v>-1313</v>
      </c>
      <c r="L839" s="6">
        <f>VALUE(SUBSTITUTE('1000_заявлений'!L833, ".", ","))</f>
        <v>37800</v>
      </c>
      <c r="M839" s="2" t="str">
        <f>IF(Данные6[[#This Row],[proba]]&gt;$C$6, "отказ", "одобрение")</f>
        <v>отказ</v>
      </c>
      <c r="N839" s="7">
        <f>IF(Данные6[[#This Row],[proba]]&lt;$D$2,$C$2,IF(Данные6[[#This Row],[proba]]&lt;$D$3,$C$3,IF(Данные6[[#This Row],[proba]]&gt;$C$6,0,$C$4)))</f>
        <v>0</v>
      </c>
      <c r="O839" s="2">
        <f>IF(Данные6[[#This Row],[weighted_ext_score]]&gt;$O$1,MIN(Данные6[[#This Row],[Базовая сумма]]*$O$2,$C$2),IF(Данные6[[#This Row],[weighted_ext_score]]&lt;$O$3,Данные6[[#This Row],[Базовая сумма]]*$O$4,N839))</f>
        <v>0</v>
      </c>
      <c r="P8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39" s="2">
        <f>ABS(Данные6[[#This Row],[days_birth]])/365.2425</f>
        <v>45.227485848443159</v>
      </c>
      <c r="S8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39" s="2">
        <f>IF(Данные6[[#This Row],[ interest_rate]]&gt;$T$1,Данные6[[#This Row],[days_birth4]]*$T$2,Данные6[[#This Row],[days_birth4]])</f>
        <v>0</v>
      </c>
      <c r="U839" s="2">
        <f>IF(Данные6[[#This Row],[Проверка отказа]]="отказ",0,MAX(Данные6[[#This Row],[interest_rate]],$C$1))</f>
        <v>0</v>
      </c>
      <c r="V839" s="2">
        <f>MROUND(Данные6[[#This Row],[Минимум 20000]], 100)</f>
        <v>0</v>
      </c>
    </row>
    <row r="840" spans="1:22" x14ac:dyDescent="0.25">
      <c r="A840" s="2">
        <f>'1000_заявлений'!A834</f>
        <v>832</v>
      </c>
      <c r="B840" s="4">
        <f>VALUE(SUBSTITUTE('1000_заявлений'!B834, ".", ","))</f>
        <v>0.34964807764969402</v>
      </c>
      <c r="C840" s="4">
        <f>VALUE(SUBSTITUTE('1000_заявлений'!C834, ".", ","))</f>
        <v>0.55716366915526205</v>
      </c>
      <c r="D840" s="4">
        <f>VALUE(SUBSTITUTE('1000_заявлений'!D834, ".", ","))</f>
        <v>0.41885430000000001</v>
      </c>
      <c r="E840" s="4">
        <f>VALUE(SUBSTITUTE('1000_заявлений'!E834, ".", ","))</f>
        <v>0.67430889999999999</v>
      </c>
      <c r="F840" s="5">
        <f>VALUE(SUBSTITUTE('1000_заявлений'!F834, ".", ","))</f>
        <v>-6285</v>
      </c>
      <c r="G840" s="5">
        <f>VALUE(SUBSTITUTE('1000_заявлений'!G834, ".", ","))</f>
        <v>-15002</v>
      </c>
      <c r="H840" s="5">
        <f>VALUE(SUBSTITUTE('1000_заявлений'!H834, ".", ","))</f>
        <v>-4696</v>
      </c>
      <c r="I840" s="4">
        <f>VALUE(SUBSTITUTE('1000_заявлений'!I834, ".", ","))</f>
        <v>0.12864999999999999</v>
      </c>
      <c r="J840" s="4">
        <f>VALUE(SUBSTITUTE('1000_заявлений'!J834, ".", ","))</f>
        <v>1.5565411951107899</v>
      </c>
      <c r="K840" s="5">
        <f>VALUE(SUBSTITUTE('1000_заявлений'!K834, ".", ","))</f>
        <v>-7128</v>
      </c>
      <c r="L840" s="6">
        <f>VALUE(SUBSTITUTE('1000_заявлений'!L834, ".", ","))</f>
        <v>23157</v>
      </c>
      <c r="M840" s="2" t="str">
        <f>IF(Данные6[[#This Row],[proba]]&gt;$C$6, "отказ", "одобрение")</f>
        <v>отказ</v>
      </c>
      <c r="N840" s="7">
        <f>IF(Данные6[[#This Row],[proba]]&lt;$D$2,$C$2,IF(Данные6[[#This Row],[proba]]&lt;$D$3,$C$3,IF(Данные6[[#This Row],[proba]]&gt;$C$6,0,$C$4)))</f>
        <v>0</v>
      </c>
      <c r="O840" s="2">
        <f>IF(Данные6[[#This Row],[weighted_ext_score]]&gt;$O$1,MIN(Данные6[[#This Row],[Базовая сумма]]*$O$2,$C$2),IF(Данные6[[#This Row],[weighted_ext_score]]&lt;$O$3,Данные6[[#This Row],[Базовая сумма]]*$O$4,N840))</f>
        <v>0</v>
      </c>
      <c r="P8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0" s="2">
        <f>ABS(Данные6[[#This Row],[days_birth]])/365.2425</f>
        <v>41.074080918841588</v>
      </c>
      <c r="S8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0" s="2">
        <f>IF(Данные6[[#This Row],[ interest_rate]]&gt;$T$1,Данные6[[#This Row],[days_birth4]]*$T$2,Данные6[[#This Row],[days_birth4]])</f>
        <v>0</v>
      </c>
      <c r="U840" s="2">
        <f>IF(Данные6[[#This Row],[Проверка отказа]]="отказ",0,MAX(Данные6[[#This Row],[interest_rate]],$C$1))</f>
        <v>0</v>
      </c>
      <c r="V840" s="2">
        <f>MROUND(Данные6[[#This Row],[Минимум 20000]], 100)</f>
        <v>0</v>
      </c>
    </row>
    <row r="841" spans="1:22" x14ac:dyDescent="0.25">
      <c r="A841" s="2">
        <f>'1000_заявлений'!A835</f>
        <v>833</v>
      </c>
      <c r="B841" s="4">
        <f>VALUE(SUBSTITUTE('1000_заявлений'!B835, ".", ","))</f>
        <v>0.39915279861267</v>
      </c>
      <c r="C841" s="4">
        <f>VALUE(SUBSTITUTE('1000_заявлений'!C835, ".", ","))</f>
        <v>0.40860938505873301</v>
      </c>
      <c r="D841" s="4">
        <f>VALUE(SUBSTITUTE('1000_заявлений'!D835, ".", ","))</f>
        <v>0.62122630000000001</v>
      </c>
      <c r="E841" s="4">
        <f>VALUE(SUBSTITUTE('1000_заявлений'!E835, ".", ","))</f>
        <v>0.56703543999999995</v>
      </c>
      <c r="F841" s="5">
        <f>VALUE(SUBSTITUTE('1000_заявлений'!F835, ".", ","))</f>
        <v>-9409</v>
      </c>
      <c r="G841" s="5">
        <f>VALUE(SUBSTITUTE('1000_заявлений'!G835, ".", ","))</f>
        <v>-19311</v>
      </c>
      <c r="H841" s="5">
        <f>VALUE(SUBSTITUTE('1000_заявлений'!H835, ".", ","))</f>
        <v>-2838</v>
      </c>
      <c r="I841" s="4">
        <f>VALUE(SUBSTITUTE('1000_заявлений'!I835, ".", ","))</f>
        <v>0.369764705882352</v>
      </c>
      <c r="J841" s="4">
        <f>VALUE(SUBSTITUTE('1000_заявлений'!J835, ".", ","))</f>
        <v>2.0744323074349098</v>
      </c>
      <c r="K841" s="5">
        <f>VALUE(SUBSTITUTE('1000_заявлений'!K835, ".", ","))</f>
        <v>-1851</v>
      </c>
      <c r="L841" s="6">
        <f>VALUE(SUBSTITUTE('1000_заявлений'!L835, ".", ","))</f>
        <v>28287</v>
      </c>
      <c r="M841" s="2" t="str">
        <f>IF(Данные6[[#This Row],[proba]]&gt;$C$6, "отказ", "одобрение")</f>
        <v>отказ</v>
      </c>
      <c r="N841" s="7">
        <f>IF(Данные6[[#This Row],[proba]]&lt;$D$2,$C$2,IF(Данные6[[#This Row],[proba]]&lt;$D$3,$C$3,IF(Данные6[[#This Row],[proba]]&gt;$C$6,0,$C$4)))</f>
        <v>0</v>
      </c>
      <c r="O841" s="2">
        <f>IF(Данные6[[#This Row],[weighted_ext_score]]&gt;$O$1,MIN(Данные6[[#This Row],[Базовая сумма]]*$O$2,$C$2),IF(Данные6[[#This Row],[weighted_ext_score]]&lt;$O$3,Данные6[[#This Row],[Базовая сумма]]*$O$4,N841))</f>
        <v>0</v>
      </c>
      <c r="P8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1" s="2">
        <f>ABS(Данные6[[#This Row],[days_birth]])/365.2425</f>
        <v>52.871722211955067</v>
      </c>
      <c r="S8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1" s="2">
        <f>IF(Данные6[[#This Row],[ interest_rate]]&gt;$T$1,Данные6[[#This Row],[days_birth4]]*$T$2,Данные6[[#This Row],[days_birth4]])</f>
        <v>0</v>
      </c>
      <c r="U841" s="2">
        <f>IF(Данные6[[#This Row],[Проверка отказа]]="отказ",0,MAX(Данные6[[#This Row],[interest_rate]],$C$1))</f>
        <v>0</v>
      </c>
      <c r="V841" s="2">
        <f>MROUND(Данные6[[#This Row],[Минимум 20000]], 100)</f>
        <v>0</v>
      </c>
    </row>
    <row r="842" spans="1:22" x14ac:dyDescent="0.25">
      <c r="A842" s="2">
        <f>'1000_заявлений'!A836</f>
        <v>834</v>
      </c>
      <c r="B842" s="4">
        <f>VALUE(SUBSTITUTE('1000_заявлений'!B836, ".", ","))</f>
        <v>0.35908196290389499</v>
      </c>
      <c r="C842" s="4">
        <f>VALUE(SUBSTITUTE('1000_заявлений'!C836, ".", ","))</f>
        <v>0.56388342424117299</v>
      </c>
      <c r="D842" s="4">
        <f>VALUE(SUBSTITUTE('1000_заявлений'!D836, ".", ","))</f>
        <v>0.53527623000000002</v>
      </c>
      <c r="E842" s="4">
        <f>VALUE(SUBSTITUTE('1000_заявлений'!E836, ".", ","))</f>
        <v>0.57681112999999995</v>
      </c>
      <c r="F842" s="5">
        <f>VALUE(SUBSTITUTE('1000_заявлений'!F836, ".", ","))</f>
        <v>-755</v>
      </c>
      <c r="G842" s="5">
        <f>VALUE(SUBSTITUTE('1000_заявлений'!G836, ".", ","))</f>
        <v>-16813</v>
      </c>
      <c r="H842" s="5">
        <f>VALUE(SUBSTITUTE('1000_заявлений'!H836, ".", ","))</f>
        <v>-361</v>
      </c>
      <c r="I842" s="4">
        <f>VALUE(SUBSTITUTE('1000_заявлений'!I836, ".", ","))</f>
        <v>4.7079999999999997E-2</v>
      </c>
      <c r="J842" s="4">
        <f>VALUE(SUBSTITUTE('1000_заявлений'!J836, ".", ","))</f>
        <v>0.120066022004938</v>
      </c>
      <c r="K842" s="5">
        <f>VALUE(SUBSTITUTE('1000_заявлений'!K836, ".", ","))</f>
        <v>-4619</v>
      </c>
      <c r="L842" s="6">
        <f>VALUE(SUBSTITUTE('1000_заявлений'!L836, ".", ","))</f>
        <v>5296.5</v>
      </c>
      <c r="M842" s="2" t="str">
        <f>IF(Данные6[[#This Row],[proba]]&gt;$C$6, "отказ", "одобрение")</f>
        <v>отказ</v>
      </c>
      <c r="N842" s="7">
        <f>IF(Данные6[[#This Row],[proba]]&lt;$D$2,$C$2,IF(Данные6[[#This Row],[proba]]&lt;$D$3,$C$3,IF(Данные6[[#This Row],[proba]]&gt;$C$6,0,$C$4)))</f>
        <v>0</v>
      </c>
      <c r="O842" s="2">
        <f>IF(Данные6[[#This Row],[weighted_ext_score]]&gt;$O$1,MIN(Данные6[[#This Row],[Базовая сумма]]*$O$2,$C$2),IF(Данные6[[#This Row],[weighted_ext_score]]&lt;$O$3,Данные6[[#This Row],[Базовая сумма]]*$O$4,N842))</f>
        <v>0</v>
      </c>
      <c r="P8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2" s="2">
        <f>ABS(Данные6[[#This Row],[days_birth]])/365.2425</f>
        <v>46.032430508497775</v>
      </c>
      <c r="S8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2" s="2">
        <f>IF(Данные6[[#This Row],[ interest_rate]]&gt;$T$1,Данные6[[#This Row],[days_birth4]]*$T$2,Данные6[[#This Row],[days_birth4]])</f>
        <v>0</v>
      </c>
      <c r="U842" s="2">
        <f>IF(Данные6[[#This Row],[Проверка отказа]]="отказ",0,MAX(Данные6[[#This Row],[interest_rate]],$C$1))</f>
        <v>0</v>
      </c>
      <c r="V842" s="2">
        <f>MROUND(Данные6[[#This Row],[Минимум 20000]], 100)</f>
        <v>0</v>
      </c>
    </row>
    <row r="843" spans="1:22" x14ac:dyDescent="0.25">
      <c r="A843" s="2">
        <f>'1000_заявлений'!A837</f>
        <v>835</v>
      </c>
      <c r="B843" s="4">
        <f>VALUE(SUBSTITUTE('1000_заявлений'!B837, ".", ","))</f>
        <v>0.66955502066044403</v>
      </c>
      <c r="C843" s="4">
        <f>VALUE(SUBSTITUTE('1000_заявлений'!C837, ".", ","))</f>
        <v>0.25549583742118598</v>
      </c>
      <c r="D843" s="4">
        <f>VALUE(SUBSTITUTE('1000_заявлений'!D837, ".", ","))</f>
        <v>0.43119180000000001</v>
      </c>
      <c r="E843" s="4">
        <f>VALUE(SUBSTITUTE('1000_заявлений'!E837, ".", ","))</f>
        <v>0.30689174000000002</v>
      </c>
      <c r="F843" s="5">
        <f>VALUE(SUBSTITUTE('1000_заявлений'!F837, ".", ","))</f>
        <v>-606</v>
      </c>
      <c r="G843" s="5">
        <f>VALUE(SUBSTITUTE('1000_заявлений'!G837, ".", ","))</f>
        <v>-12944</v>
      </c>
      <c r="H843" s="5">
        <f>VALUE(SUBSTITUTE('1000_заявлений'!H837, ".", ","))</f>
        <v>-4439</v>
      </c>
      <c r="I843" s="4">
        <f>VALUE(SUBSTITUTE('1000_заявлений'!I837, ".", ","))</f>
        <v>0.249355555555555</v>
      </c>
      <c r="J843" s="4">
        <f>VALUE(SUBSTITUTE('1000_заявлений'!J837, ".", ","))</f>
        <v>2.73390147863612</v>
      </c>
      <c r="K843" s="5">
        <f>VALUE(SUBSTITUTE('1000_заявлений'!K837, ".", ","))</f>
        <v>-1047</v>
      </c>
      <c r="L843" s="6">
        <f>VALUE(SUBSTITUTE('1000_заявлений'!L837, ".", ","))</f>
        <v>50494.5</v>
      </c>
      <c r="M843" s="2" t="str">
        <f>IF(Данные6[[#This Row],[proba]]&gt;$C$6, "отказ", "одобрение")</f>
        <v>отказ</v>
      </c>
      <c r="N843" s="7">
        <f>IF(Данные6[[#This Row],[proba]]&lt;$D$2,$C$2,IF(Данные6[[#This Row],[proba]]&lt;$D$3,$C$3,IF(Данные6[[#This Row],[proba]]&gt;$C$6,0,$C$4)))</f>
        <v>0</v>
      </c>
      <c r="O843" s="2">
        <f>IF(Данные6[[#This Row],[weighted_ext_score]]&gt;$O$1,MIN(Данные6[[#This Row],[Базовая сумма]]*$O$2,$C$2),IF(Данные6[[#This Row],[weighted_ext_score]]&lt;$O$3,Данные6[[#This Row],[Базовая сумма]]*$O$4,N843))</f>
        <v>0</v>
      </c>
      <c r="P8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3" s="2">
        <f>ABS(Данные6[[#This Row],[days_birth]])/365.2425</f>
        <v>35.439468298459239</v>
      </c>
      <c r="S8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3" s="2">
        <f>IF(Данные6[[#This Row],[ interest_rate]]&gt;$T$1,Данные6[[#This Row],[days_birth4]]*$T$2,Данные6[[#This Row],[days_birth4]])</f>
        <v>0</v>
      </c>
      <c r="U843" s="2">
        <f>IF(Данные6[[#This Row],[Проверка отказа]]="отказ",0,MAX(Данные6[[#This Row],[interest_rate]],$C$1))</f>
        <v>0</v>
      </c>
      <c r="V843" s="2">
        <f>MROUND(Данные6[[#This Row],[Минимум 20000]], 100)</f>
        <v>0</v>
      </c>
    </row>
    <row r="844" spans="1:22" x14ac:dyDescent="0.25">
      <c r="A844" s="2">
        <f>'1000_заявлений'!A838</f>
        <v>836</v>
      </c>
      <c r="B844" s="4">
        <f>VALUE(SUBSTITUTE('1000_заявлений'!B838, ".", ","))</f>
        <v>0.670681654291997</v>
      </c>
      <c r="C844" s="4">
        <f>VALUE(SUBSTITUTE('1000_заявлений'!C838, ".", ","))</f>
        <v>0.35132661790978698</v>
      </c>
      <c r="D844" s="4">
        <f>VALUE(SUBSTITUTE('1000_заявлений'!D838, ".", ","))</f>
        <v>0.15380258999999999</v>
      </c>
      <c r="E844" s="4">
        <f>VALUE(SUBSTITUTE('1000_заявлений'!E838, ".", ","))</f>
        <v>0.58146940000000003</v>
      </c>
      <c r="F844" s="5">
        <f>VALUE(SUBSTITUTE('1000_заявлений'!F838, ".", ","))</f>
        <v>-381</v>
      </c>
      <c r="G844" s="5">
        <f>VALUE(SUBSTITUTE('1000_заявлений'!G838, ".", ","))</f>
        <v>-10808</v>
      </c>
      <c r="H844" s="5">
        <f>VALUE(SUBSTITUTE('1000_заявлений'!H838, ".", ","))</f>
        <v>-2544</v>
      </c>
      <c r="I844" s="4">
        <f>VALUE(SUBSTITUTE('1000_заявлений'!I838, ".", ","))</f>
        <v>0.11382222222222201</v>
      </c>
      <c r="J844" s="4">
        <f>VALUE(SUBSTITUTE('1000_заявлений'!J838, ".", ","))</f>
        <v>3.0806770969613102</v>
      </c>
      <c r="K844" s="5">
        <f>VALUE(SUBSTITUTE('1000_заявлений'!K838, ".", ","))</f>
        <v>-668</v>
      </c>
      <c r="L844" s="6">
        <f>VALUE(SUBSTITUTE('1000_заявлений'!L838, ".", ","))</f>
        <v>23049</v>
      </c>
      <c r="M844" s="2" t="str">
        <f>IF(Данные6[[#This Row],[proba]]&gt;$C$6, "отказ", "одобрение")</f>
        <v>отказ</v>
      </c>
      <c r="N844" s="7">
        <f>IF(Данные6[[#This Row],[proba]]&lt;$D$2,$C$2,IF(Данные6[[#This Row],[proba]]&lt;$D$3,$C$3,IF(Данные6[[#This Row],[proba]]&gt;$C$6,0,$C$4)))</f>
        <v>0</v>
      </c>
      <c r="O844" s="2">
        <f>IF(Данные6[[#This Row],[weighted_ext_score]]&gt;$O$1,MIN(Данные6[[#This Row],[Базовая сумма]]*$O$2,$C$2),IF(Данные6[[#This Row],[weighted_ext_score]]&lt;$O$3,Данные6[[#This Row],[Базовая сумма]]*$O$4,N844))</f>
        <v>0</v>
      </c>
      <c r="P8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4" s="2">
        <f>ABS(Данные6[[#This Row],[days_birth]])/365.2425</f>
        <v>29.591298931531789</v>
      </c>
      <c r="S8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4" s="2">
        <f>IF(Данные6[[#This Row],[ interest_rate]]&gt;$T$1,Данные6[[#This Row],[days_birth4]]*$T$2,Данные6[[#This Row],[days_birth4]])</f>
        <v>0</v>
      </c>
      <c r="U844" s="2">
        <f>IF(Данные6[[#This Row],[Проверка отказа]]="отказ",0,MAX(Данные6[[#This Row],[interest_rate]],$C$1))</f>
        <v>0</v>
      </c>
      <c r="V844" s="2">
        <f>MROUND(Данные6[[#This Row],[Минимум 20000]], 100)</f>
        <v>0</v>
      </c>
    </row>
    <row r="845" spans="1:22" x14ac:dyDescent="0.25">
      <c r="A845" s="2">
        <f>'1000_заявлений'!A839</f>
        <v>837</v>
      </c>
      <c r="B845" s="4">
        <f>VALUE(SUBSTITUTE('1000_заявлений'!B839, ".", ","))</f>
        <v>0.869130619441705</v>
      </c>
      <c r="C845" s="4">
        <f>VALUE(SUBSTITUTE('1000_заявлений'!C839, ".", ","))</f>
        <v>0.13145825143560699</v>
      </c>
      <c r="D845" s="4">
        <f>VALUE(SUBSTITUTE('1000_заявлений'!D839, ".", ","))</f>
        <v>6.0035379999999999E-2</v>
      </c>
      <c r="E845" s="4">
        <f>VALUE(SUBSTITUTE('1000_заявлений'!E839, ".", ","))</f>
        <v>0.26233030000000002</v>
      </c>
      <c r="F845" s="5">
        <f>VALUE(SUBSTITUTE('1000_заявлений'!F839, ".", ","))</f>
        <v>-2411</v>
      </c>
      <c r="G845" s="5">
        <f>VALUE(SUBSTITUTE('1000_заявлений'!G839, ".", ","))</f>
        <v>-7885</v>
      </c>
      <c r="H845" s="5">
        <f>VALUE(SUBSTITUTE('1000_заявлений'!H839, ".", ","))</f>
        <v>-551</v>
      </c>
      <c r="I845" s="4">
        <f>VALUE(SUBSTITUTE('1000_заявлений'!I839, ".", ","))</f>
        <v>0.1</v>
      </c>
      <c r="J845" s="4">
        <f>VALUE(SUBSTITUTE('1000_заявлений'!J839, ".", ","))</f>
        <v>10.6209759779781</v>
      </c>
      <c r="K845" s="5">
        <f>VALUE(SUBSTITUTE('1000_заявлений'!K839, ".", ","))</f>
        <v>-811</v>
      </c>
      <c r="L845" s="6">
        <f>VALUE(SUBSTITUTE('1000_заявлений'!L839, ".", ","))</f>
        <v>6750</v>
      </c>
      <c r="M845" s="2" t="str">
        <f>IF(Данные6[[#This Row],[proba]]&gt;$C$6, "отказ", "одобрение")</f>
        <v>отказ</v>
      </c>
      <c r="N845" s="7">
        <f>IF(Данные6[[#This Row],[proba]]&lt;$D$2,$C$2,IF(Данные6[[#This Row],[proba]]&lt;$D$3,$C$3,IF(Данные6[[#This Row],[proba]]&gt;$C$6,0,$C$4)))</f>
        <v>0</v>
      </c>
      <c r="O845" s="2">
        <f>IF(Данные6[[#This Row],[weighted_ext_score]]&gt;$O$1,MIN(Данные6[[#This Row],[Базовая сумма]]*$O$2,$C$2),IF(Данные6[[#This Row],[weighted_ext_score]]&lt;$O$3,Данные6[[#This Row],[Базовая сумма]]*$O$4,N845))</f>
        <v>0</v>
      </c>
      <c r="P8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5" s="2">
        <f>ABS(Данные6[[#This Row],[days_birth]])/365.2425</f>
        <v>21.588396750104383</v>
      </c>
      <c r="S8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5" s="2">
        <f>IF(Данные6[[#This Row],[ interest_rate]]&gt;$T$1,Данные6[[#This Row],[days_birth4]]*$T$2,Данные6[[#This Row],[days_birth4]])</f>
        <v>0</v>
      </c>
      <c r="U845" s="2">
        <f>IF(Данные6[[#This Row],[Проверка отказа]]="отказ",0,MAX(Данные6[[#This Row],[interest_rate]],$C$1))</f>
        <v>0</v>
      </c>
      <c r="V845" s="2">
        <f>MROUND(Данные6[[#This Row],[Минимум 20000]], 100)</f>
        <v>0</v>
      </c>
    </row>
    <row r="846" spans="1:22" x14ac:dyDescent="0.25">
      <c r="A846" s="2">
        <f>'1000_заявлений'!A840</f>
        <v>838</v>
      </c>
      <c r="B846" s="4">
        <f>VALUE(SUBSTITUTE('1000_заявлений'!B840, ".", ","))</f>
        <v>0.40648084756071601</v>
      </c>
      <c r="C846" s="4">
        <f>VALUE(SUBSTITUTE('1000_заявлений'!C840, ".", ","))</f>
        <v>0.49953993707042199</v>
      </c>
      <c r="D846" s="4">
        <f>VALUE(SUBSTITUTE('1000_заявлений'!D840, ".", ","))</f>
        <v>0.51189180000000001</v>
      </c>
      <c r="E846" s="4">
        <f>VALUE(SUBSTITUTE('1000_заявлений'!E840, ".", ","))</f>
        <v>0.55842630000000004</v>
      </c>
      <c r="F846" s="5">
        <f>VALUE(SUBSTITUTE('1000_заявлений'!F840, ".", ","))</f>
        <v>-4814</v>
      </c>
      <c r="G846" s="5">
        <f>VALUE(SUBSTITUTE('1000_заявлений'!G840, ".", ","))</f>
        <v>-11051</v>
      </c>
      <c r="H846" s="5">
        <f>VALUE(SUBSTITUTE('1000_заявлений'!H840, ".", ","))</f>
        <v>-3624</v>
      </c>
      <c r="I846" s="4">
        <f>VALUE(SUBSTITUTE('1000_заявлений'!I840, ".", ","))</f>
        <v>0.154233333333333</v>
      </c>
      <c r="J846" s="4">
        <f>VALUE(SUBSTITUTE('1000_заявлений'!J840, ".", ","))</f>
        <v>3.6293301537581399</v>
      </c>
      <c r="K846" s="5">
        <f>VALUE(SUBSTITUTE('1000_заявлений'!K840, ".", ","))</f>
        <v>-193</v>
      </c>
      <c r="L846" s="6">
        <f>VALUE(SUBSTITUTE('1000_заявлений'!L840, ".", ","))</f>
        <v>20821.5</v>
      </c>
      <c r="M846" s="2" t="str">
        <f>IF(Данные6[[#This Row],[proba]]&gt;$C$6, "отказ", "одобрение")</f>
        <v>отказ</v>
      </c>
      <c r="N846" s="7">
        <f>IF(Данные6[[#This Row],[proba]]&lt;$D$2,$C$2,IF(Данные6[[#This Row],[proba]]&lt;$D$3,$C$3,IF(Данные6[[#This Row],[proba]]&gt;$C$6,0,$C$4)))</f>
        <v>0</v>
      </c>
      <c r="O846" s="2">
        <f>IF(Данные6[[#This Row],[weighted_ext_score]]&gt;$O$1,MIN(Данные6[[#This Row],[Базовая сумма]]*$O$2,$C$2),IF(Данные6[[#This Row],[weighted_ext_score]]&lt;$O$3,Данные6[[#This Row],[Базовая сумма]]*$O$4,N846))</f>
        <v>0</v>
      </c>
      <c r="P8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46" s="2">
        <f>ABS(Данные6[[#This Row],[days_birth]])/365.2425</f>
        <v>30.256610334229997</v>
      </c>
      <c r="S8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46" s="2">
        <f>IF(Данные6[[#This Row],[ interest_rate]]&gt;$T$1,Данные6[[#This Row],[days_birth4]]*$T$2,Данные6[[#This Row],[days_birth4]])</f>
        <v>0</v>
      </c>
      <c r="U846" s="2">
        <f>IF(Данные6[[#This Row],[Проверка отказа]]="отказ",0,MAX(Данные6[[#This Row],[interest_rate]],$C$1))</f>
        <v>0</v>
      </c>
      <c r="V846" s="2">
        <f>MROUND(Данные6[[#This Row],[Минимум 20000]], 100)</f>
        <v>0</v>
      </c>
    </row>
    <row r="847" spans="1:22" x14ac:dyDescent="0.25">
      <c r="A847" s="2">
        <f>'1000_заявлений'!A841</f>
        <v>839</v>
      </c>
      <c r="B847" s="4">
        <f>VALUE(SUBSTITUTE('1000_заявлений'!B841, ".", ","))</f>
        <v>0.29057777464325202</v>
      </c>
      <c r="C847" s="4">
        <f>VALUE(SUBSTITUTE('1000_заявлений'!C841, ".", ","))</f>
        <v>0.43062116662596001</v>
      </c>
      <c r="D847" s="4">
        <f>VALUE(SUBSTITUTE('1000_заявлений'!D841, ".", ","))</f>
        <v>0.59197664000000005</v>
      </c>
      <c r="E847" s="4">
        <f>VALUE(SUBSTITUTE('1000_заявлений'!E841, ".", ","))</f>
        <v>0.66750615999999996</v>
      </c>
      <c r="F847" s="5">
        <f>VALUE(SUBSTITUTE('1000_заявлений'!F841, ".", ","))</f>
        <v>-1119</v>
      </c>
      <c r="G847" s="5">
        <f>VALUE(SUBSTITUTE('1000_заявлений'!G841, ".", ","))</f>
        <v>-20361</v>
      </c>
      <c r="H847" s="5">
        <f>VALUE(SUBSTITUTE('1000_заявлений'!H841, ".", ","))</f>
        <v>-1986</v>
      </c>
      <c r="I847" s="4">
        <f>VALUE(SUBSTITUTE('1000_заявлений'!I841, ".", ","))</f>
        <v>0.13894000000000001</v>
      </c>
      <c r="J847" s="4">
        <f>VALUE(SUBSTITUTE('1000_заявлений'!J841, ".", ","))</f>
        <v>7.8744259631260096</v>
      </c>
      <c r="K847" s="5">
        <f>VALUE(SUBSTITUTE('1000_заявлений'!K841, ".", ","))</f>
        <v>-525</v>
      </c>
      <c r="L847" s="6">
        <f>VALUE(SUBSTITUTE('1000_заявлений'!L841, ".", ","))</f>
        <v>31261.5</v>
      </c>
      <c r="M847" s="2" t="str">
        <f>IF(Данные6[[#This Row],[proba]]&gt;$C$6, "отказ", "одобрение")</f>
        <v>одобрение</v>
      </c>
      <c r="N847" s="7">
        <f>IF(Данные6[[#This Row],[proba]]&lt;$D$2,$C$2,IF(Данные6[[#This Row],[proba]]&lt;$D$3,$C$3,IF(Данные6[[#This Row],[proba]]&gt;$C$6,0,$C$4)))</f>
        <v>50000</v>
      </c>
      <c r="O847" s="2">
        <f>IF(Данные6[[#This Row],[weighted_ext_score]]&gt;$O$1,MIN(Данные6[[#This Row],[Базовая сумма]]*$O$2,$C$2),IF(Данные6[[#This Row],[weighted_ext_score]]&lt;$O$3,Данные6[[#This Row],[Базовая сумма]]*$O$4,N847))</f>
        <v>40000</v>
      </c>
      <c r="P8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847" s="2">
        <f>ABS(Данные6[[#This Row],[days_birth]])/365.2425</f>
        <v>55.746524569293001</v>
      </c>
      <c r="S8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847" s="2">
        <f>IF(Данные6[[#This Row],[ interest_rate]]&gt;$T$1,Данные6[[#This Row],[days_birth4]]*$T$2,Данные6[[#This Row],[days_birth4]])</f>
        <v>29400</v>
      </c>
      <c r="U847" s="2">
        <f>IF(Данные6[[#This Row],[Проверка отказа]]="отказ",0,MAX(Данные6[[#This Row],[interest_rate]],$C$1))</f>
        <v>29400</v>
      </c>
      <c r="V847" s="2">
        <f>MROUND(Данные6[[#This Row],[Минимум 20000]], 100)</f>
        <v>29400</v>
      </c>
    </row>
    <row r="848" spans="1:22" x14ac:dyDescent="0.25">
      <c r="A848" s="2">
        <f>'1000_заявлений'!A842</f>
        <v>840</v>
      </c>
      <c r="B848" s="4">
        <f>VALUE(SUBSTITUTE('1000_заявлений'!B842, ".", ","))</f>
        <v>0.18411695311309201</v>
      </c>
      <c r="C848" s="4">
        <f>VALUE(SUBSTITUTE('1000_заявлений'!C842, ".", ","))</f>
        <v>0.47587311945486699</v>
      </c>
      <c r="D848" s="4">
        <f>VALUE(SUBSTITUTE('1000_заявлений'!D842, ".", ","))</f>
        <v>0.76102639999999999</v>
      </c>
      <c r="E848" s="4">
        <f>VALUE(SUBSTITUTE('1000_заявлений'!E842, ".", ","))</f>
        <v>0.61852753000000005</v>
      </c>
      <c r="F848" s="5">
        <f>VALUE(SUBSTITUTE('1000_заявлений'!F842, ".", ","))</f>
        <v>-5489</v>
      </c>
      <c r="G848" s="5">
        <f>VALUE(SUBSTITUTE('1000_заявлений'!G842, ".", ","))</f>
        <v>-22476</v>
      </c>
      <c r="H848" s="5">
        <f>VALUE(SUBSTITUTE('1000_заявлений'!H842, ".", ","))</f>
        <v>-4555</v>
      </c>
      <c r="I848" s="4">
        <f>VALUE(SUBSTITUTE('1000_заявлений'!I842, ".", ","))</f>
        <v>0.15519642857142801</v>
      </c>
      <c r="J848" s="4">
        <f>VALUE(SUBSTITUTE('1000_заявлений'!J842, ".", ","))</f>
        <v>0.34264011090443502</v>
      </c>
      <c r="K848" s="5">
        <f>VALUE(SUBSTITUTE('1000_заявлений'!K842, ".", ","))</f>
        <v>365243</v>
      </c>
      <c r="L848" s="6">
        <f>VALUE(SUBSTITUTE('1000_заявлений'!L842, ".", ","))</f>
        <v>39109.5</v>
      </c>
      <c r="M848" s="2" t="str">
        <f>IF(Данные6[[#This Row],[proba]]&gt;$C$6, "отказ", "одобрение")</f>
        <v>одобрение</v>
      </c>
      <c r="N848" s="7">
        <f>IF(Данные6[[#This Row],[proba]]&lt;$D$2,$C$2,IF(Данные6[[#This Row],[proba]]&lt;$D$3,$C$3,IF(Данные6[[#This Row],[proba]]&gt;$C$6,0,$C$4)))</f>
        <v>200000</v>
      </c>
      <c r="O848" s="2">
        <f>IF(Данные6[[#This Row],[weighted_ext_score]]&gt;$O$1,MIN(Данные6[[#This Row],[Базовая сумма]]*$O$2,$C$2),IF(Данные6[[#This Row],[weighted_ext_score]]&lt;$O$3,Данные6[[#This Row],[Базовая сумма]]*$O$4,N848))</f>
        <v>160000</v>
      </c>
      <c r="P8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8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848" s="2">
        <f>ABS(Данные6[[#This Row],[days_birth]])/365.2425</f>
        <v>61.537197889073695</v>
      </c>
      <c r="S8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848" s="2">
        <f>IF(Данные6[[#This Row],[ interest_rate]]&gt;$T$1,Данные6[[#This Row],[days_birth4]]*$T$2,Данные6[[#This Row],[days_birth4]])</f>
        <v>168000</v>
      </c>
      <c r="U848" s="2">
        <f>IF(Данные6[[#This Row],[Проверка отказа]]="отказ",0,MAX(Данные6[[#This Row],[interest_rate]],$C$1))</f>
        <v>168000</v>
      </c>
      <c r="V848" s="2">
        <f>MROUND(Данные6[[#This Row],[Минимум 20000]], 100)</f>
        <v>168000</v>
      </c>
    </row>
    <row r="849" spans="1:22" x14ac:dyDescent="0.25">
      <c r="A849" s="2">
        <f>'1000_заявлений'!A843</f>
        <v>841</v>
      </c>
      <c r="B849" s="4">
        <f>VALUE(SUBSTITUTE('1000_заявлений'!B843, ".", ","))</f>
        <v>0.22601265773496201</v>
      </c>
      <c r="C849" s="4">
        <f>VALUE(SUBSTITUTE('1000_заявлений'!C843, ".", ","))</f>
        <v>0.56532698547712701</v>
      </c>
      <c r="D849" s="4">
        <f>VALUE(SUBSTITUTE('1000_заявлений'!D843, ".", ","))</f>
        <v>0.5797274</v>
      </c>
      <c r="E849" s="4">
        <f>VALUE(SUBSTITUTE('1000_заявлений'!E843, ".", ","))</f>
        <v>0.71786269999999996</v>
      </c>
      <c r="F849" s="5">
        <f>VALUE(SUBSTITUTE('1000_заявлений'!F843, ".", ","))</f>
        <v>-2345</v>
      </c>
      <c r="G849" s="5">
        <f>VALUE(SUBSTITUTE('1000_заявлений'!G843, ".", ","))</f>
        <v>-11522</v>
      </c>
      <c r="H849" s="5">
        <f>VALUE(SUBSTITUTE('1000_заявлений'!H843, ".", ","))</f>
        <v>-3554</v>
      </c>
      <c r="I849" s="4">
        <f>VALUE(SUBSTITUTE('1000_заявлений'!I843, ".", ","))</f>
        <v>0.189033333333333</v>
      </c>
      <c r="J849" s="4">
        <f>VALUE(SUBSTITUTE('1000_заявлений'!J843, ".", ","))</f>
        <v>18.753981063816401</v>
      </c>
      <c r="K849" s="5">
        <f>VALUE(SUBSTITUTE('1000_заявлений'!K843, ".", ","))</f>
        <v>-1846</v>
      </c>
      <c r="L849" s="6">
        <f>VALUE(SUBSTITUTE('1000_заявлений'!L843, ".", ","))</f>
        <v>25519.5</v>
      </c>
      <c r="M849" s="2" t="str">
        <f>IF(Данные6[[#This Row],[proba]]&gt;$C$6, "отказ", "одобрение")</f>
        <v>одобрение</v>
      </c>
      <c r="N849" s="7">
        <f>IF(Данные6[[#This Row],[proba]]&lt;$D$2,$C$2,IF(Данные6[[#This Row],[proba]]&lt;$D$3,$C$3,IF(Данные6[[#This Row],[proba]]&gt;$C$6,0,$C$4)))</f>
        <v>50000</v>
      </c>
      <c r="O849" s="2">
        <f>IF(Данные6[[#This Row],[weighted_ext_score]]&gt;$O$1,MIN(Данные6[[#This Row],[Базовая сумма]]*$O$2,$C$2),IF(Данные6[[#This Row],[weighted_ext_score]]&lt;$O$3,Данные6[[#This Row],[Базовая сумма]]*$O$4,N849))</f>
        <v>50000</v>
      </c>
      <c r="P8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849" s="2">
        <f>ABS(Данные6[[#This Row],[days_birth]])/365.2425</f>
        <v>31.546164534521584</v>
      </c>
      <c r="S8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849" s="2">
        <f>IF(Данные6[[#This Row],[ interest_rate]]&gt;$T$1,Данные6[[#This Row],[days_birth4]]*$T$2,Данные6[[#This Row],[days_birth4]])</f>
        <v>35000</v>
      </c>
      <c r="U849" s="2">
        <f>IF(Данные6[[#This Row],[Проверка отказа]]="отказ",0,MAX(Данные6[[#This Row],[interest_rate]],$C$1))</f>
        <v>35000</v>
      </c>
      <c r="V849" s="2">
        <f>MROUND(Данные6[[#This Row],[Минимум 20000]], 100)</f>
        <v>35000</v>
      </c>
    </row>
    <row r="850" spans="1:22" x14ac:dyDescent="0.25">
      <c r="A850" s="2">
        <f>'1000_заявлений'!A844</f>
        <v>842</v>
      </c>
      <c r="B850" s="4">
        <f>VALUE(SUBSTITUTE('1000_заявлений'!B844, ".", ","))</f>
        <v>0.62538866330373799</v>
      </c>
      <c r="C850" s="4">
        <f>VALUE(SUBSTITUTE('1000_заявлений'!C844, ".", ","))</f>
        <v>0.32571939411807599</v>
      </c>
      <c r="D850" s="4">
        <f>VALUE(SUBSTITUTE('1000_заявлений'!D844, ".", ","))</f>
        <v>0.19633396</v>
      </c>
      <c r="E850" s="4">
        <f>VALUE(SUBSTITUTE('1000_заявлений'!E844, ".", ","))</f>
        <v>0.46307473999999998</v>
      </c>
      <c r="F850" s="5">
        <f>VALUE(SUBSTITUTE('1000_заявлений'!F844, ".", ","))</f>
        <v>-933</v>
      </c>
      <c r="G850" s="5">
        <f>VALUE(SUBSTITUTE('1000_заявлений'!G844, ".", ","))</f>
        <v>-9107</v>
      </c>
      <c r="H850" s="5">
        <f>VALUE(SUBSTITUTE('1000_заявлений'!H844, ".", ","))</f>
        <v>-1670</v>
      </c>
      <c r="I850" s="4">
        <f>VALUE(SUBSTITUTE('1000_заявлений'!I844, ".", ","))</f>
        <v>0.13282828282828199</v>
      </c>
      <c r="J850" s="4">
        <f>VALUE(SUBSTITUTE('1000_заявлений'!J844, ".", ","))</f>
        <v>17.930115078858201</v>
      </c>
      <c r="K850" s="5">
        <f>VALUE(SUBSTITUTE('1000_заявлений'!K844, ".", ","))</f>
        <v>-948</v>
      </c>
      <c r="L850" s="6">
        <f>VALUE(SUBSTITUTE('1000_заявлений'!L844, ".", ","))</f>
        <v>59175</v>
      </c>
      <c r="M850" s="2" t="str">
        <f>IF(Данные6[[#This Row],[proba]]&gt;$C$6, "отказ", "одобрение")</f>
        <v>отказ</v>
      </c>
      <c r="N850" s="7">
        <f>IF(Данные6[[#This Row],[proba]]&lt;$D$2,$C$2,IF(Данные6[[#This Row],[proba]]&lt;$D$3,$C$3,IF(Данные6[[#This Row],[proba]]&gt;$C$6,0,$C$4)))</f>
        <v>0</v>
      </c>
      <c r="O850" s="2">
        <f>IF(Данные6[[#This Row],[weighted_ext_score]]&gt;$O$1,MIN(Данные6[[#This Row],[Базовая сумма]]*$O$2,$C$2),IF(Данные6[[#This Row],[weighted_ext_score]]&lt;$O$3,Данные6[[#This Row],[Базовая сумма]]*$O$4,N850))</f>
        <v>0</v>
      </c>
      <c r="P8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50" s="2">
        <f>ABS(Данные6[[#This Row],[days_birth]])/365.2425</f>
        <v>24.934119112644339</v>
      </c>
      <c r="S8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50" s="2">
        <f>IF(Данные6[[#This Row],[ interest_rate]]&gt;$T$1,Данные6[[#This Row],[days_birth4]]*$T$2,Данные6[[#This Row],[days_birth4]])</f>
        <v>0</v>
      </c>
      <c r="U850" s="2">
        <f>IF(Данные6[[#This Row],[Проверка отказа]]="отказ",0,MAX(Данные6[[#This Row],[interest_rate]],$C$1))</f>
        <v>0</v>
      </c>
      <c r="V850" s="2">
        <f>MROUND(Данные6[[#This Row],[Минимум 20000]], 100)</f>
        <v>0</v>
      </c>
    </row>
    <row r="851" spans="1:22" x14ac:dyDescent="0.25">
      <c r="A851" s="2">
        <f>'1000_заявлений'!A845</f>
        <v>843</v>
      </c>
      <c r="B851" s="4">
        <f>VALUE(SUBSTITUTE('1000_заявлений'!B845, ".", ","))</f>
        <v>0.14404717810398901</v>
      </c>
      <c r="C851" s="4">
        <f>VALUE(SUBSTITUTE('1000_заявлений'!C845, ".", ","))</f>
        <v>0.73060218879657801</v>
      </c>
      <c r="D851" s="4">
        <f>VALUE(SUBSTITUTE('1000_заявлений'!D845, ".", ","))</f>
        <v>0.7623356</v>
      </c>
      <c r="E851" s="4">
        <f>VALUE(SUBSTITUTE('1000_заявлений'!E845, ".", ","))</f>
        <v>0.72280529999999998</v>
      </c>
      <c r="F851" s="5">
        <f>VALUE(SUBSTITUTE('1000_заявлений'!F845, ".", ","))</f>
        <v>-6614</v>
      </c>
      <c r="G851" s="5">
        <f>VALUE(SUBSTITUTE('1000_заявлений'!G845, ".", ","))</f>
        <v>-12499</v>
      </c>
      <c r="H851" s="5">
        <f>VALUE(SUBSTITUTE('1000_заявлений'!H845, ".", ","))</f>
        <v>-4406</v>
      </c>
      <c r="I851" s="4">
        <f>VALUE(SUBSTITUTE('1000_заявлений'!I845, ".", ","))</f>
        <v>0.12556</v>
      </c>
      <c r="J851" s="4">
        <f>VALUE(SUBSTITUTE('1000_заявлений'!J845, ".", ","))</f>
        <v>4.5403941943462804</v>
      </c>
      <c r="K851" s="5">
        <f>VALUE(SUBSTITUTE('1000_заявлений'!K845, ".", ","))</f>
        <v>-3964</v>
      </c>
      <c r="L851" s="6">
        <f>VALUE(SUBSTITUTE('1000_заявлений'!L845, ".", ","))</f>
        <v>14125.5</v>
      </c>
      <c r="M851" s="2" t="str">
        <f>IF(Данные6[[#This Row],[proba]]&gt;$C$6, "отказ", "одобрение")</f>
        <v>одобрение</v>
      </c>
      <c r="N851" s="7">
        <f>IF(Данные6[[#This Row],[proba]]&lt;$D$2,$C$2,IF(Данные6[[#This Row],[proba]]&lt;$D$3,$C$3,IF(Данные6[[#This Row],[proba]]&gt;$C$6,0,$C$4)))</f>
        <v>200000</v>
      </c>
      <c r="O851" s="2">
        <f>IF(Данные6[[#This Row],[weighted_ext_score]]&gt;$O$1,MIN(Данные6[[#This Row],[Базовая сумма]]*$O$2,$C$2),IF(Данные6[[#This Row],[weighted_ext_score]]&lt;$O$3,Данные6[[#This Row],[Базовая сумма]]*$O$4,N851))</f>
        <v>300000</v>
      </c>
      <c r="P8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8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851" s="2">
        <f>ABS(Данные6[[#This Row],[days_birth]])/365.2425</f>
        <v>34.221099680349354</v>
      </c>
      <c r="S8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851" s="2">
        <f>IF(Данные6[[#This Row],[ interest_rate]]&gt;$T$1,Данные6[[#This Row],[days_birth4]]*$T$2,Данные6[[#This Row],[days_birth4]])</f>
        <v>300000</v>
      </c>
      <c r="U851" s="2">
        <f>IF(Данные6[[#This Row],[Проверка отказа]]="отказ",0,MAX(Данные6[[#This Row],[interest_rate]],$C$1))</f>
        <v>300000</v>
      </c>
      <c r="V851" s="2">
        <f>MROUND(Данные6[[#This Row],[Минимум 20000]], 100)</f>
        <v>300000</v>
      </c>
    </row>
    <row r="852" spans="1:22" x14ac:dyDescent="0.25">
      <c r="A852" s="2">
        <f>'1000_заявлений'!A846</f>
        <v>844</v>
      </c>
      <c r="B852" s="4">
        <f>VALUE(SUBSTITUTE('1000_заявлений'!B846, ".", ","))</f>
        <v>0.26293420575219001</v>
      </c>
      <c r="C852" s="4">
        <f>VALUE(SUBSTITUTE('1000_заявлений'!C846, ".", ","))</f>
        <v>0.62679587278563798</v>
      </c>
      <c r="D852" s="4">
        <f>VALUE(SUBSTITUTE('1000_заявлений'!D846, ".", ","))</f>
        <v>0.42765736999999998</v>
      </c>
      <c r="E852" s="4">
        <f>VALUE(SUBSTITUTE('1000_заявлений'!E846, ".", ","))</f>
        <v>0.74250567000000001</v>
      </c>
      <c r="F852" s="5">
        <f>VALUE(SUBSTITUTE('1000_заявлений'!F846, ".", ","))</f>
        <v>-1698</v>
      </c>
      <c r="G852" s="5">
        <f>VALUE(SUBSTITUTE('1000_заявлений'!G846, ".", ","))</f>
        <v>-12958</v>
      </c>
      <c r="H852" s="5">
        <f>VALUE(SUBSTITUTE('1000_заявлений'!H846, ".", ","))</f>
        <v>-4666</v>
      </c>
      <c r="I852" s="4">
        <f>VALUE(SUBSTITUTE('1000_заявлений'!I846, ".", ","))</f>
        <v>0.194422222222222</v>
      </c>
      <c r="J852" s="4">
        <f>VALUE(SUBSTITUTE('1000_заявлений'!J846, ".", ","))</f>
        <v>6.9796349142831904</v>
      </c>
      <c r="K852" s="5">
        <f>VALUE(SUBSTITUTE('1000_заявлений'!K846, ".", ","))</f>
        <v>-909</v>
      </c>
      <c r="L852" s="6">
        <f>VALUE(SUBSTITUTE('1000_заявлений'!L846, ".", ","))</f>
        <v>78741</v>
      </c>
      <c r="M852" s="2" t="str">
        <f>IF(Данные6[[#This Row],[proba]]&gt;$C$6, "отказ", "одобрение")</f>
        <v>одобрение</v>
      </c>
      <c r="N852" s="7">
        <f>IF(Данные6[[#This Row],[proba]]&lt;$D$2,$C$2,IF(Данные6[[#This Row],[proba]]&lt;$D$3,$C$3,IF(Данные6[[#This Row],[proba]]&gt;$C$6,0,$C$4)))</f>
        <v>50000</v>
      </c>
      <c r="O852" s="2">
        <f>IF(Данные6[[#This Row],[weighted_ext_score]]&gt;$O$1,MIN(Данные6[[#This Row],[Базовая сумма]]*$O$2,$C$2),IF(Данные6[[#This Row],[weighted_ext_score]]&lt;$O$3,Данные6[[#This Row],[Базовая сумма]]*$O$4,N852))</f>
        <v>50000</v>
      </c>
      <c r="P8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852" s="2">
        <f>ABS(Данные6[[#This Row],[days_birth]])/365.2425</f>
        <v>35.477798996557084</v>
      </c>
      <c r="S8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852" s="2">
        <f>IF(Данные6[[#This Row],[ interest_rate]]&gt;$T$1,Данные6[[#This Row],[days_birth4]]*$T$2,Данные6[[#This Row],[days_birth4]])</f>
        <v>35000</v>
      </c>
      <c r="U852" s="2">
        <f>IF(Данные6[[#This Row],[Проверка отказа]]="отказ",0,MAX(Данные6[[#This Row],[interest_rate]],$C$1))</f>
        <v>35000</v>
      </c>
      <c r="V852" s="2">
        <f>MROUND(Данные6[[#This Row],[Минимум 20000]], 100)</f>
        <v>35000</v>
      </c>
    </row>
    <row r="853" spans="1:22" x14ac:dyDescent="0.25">
      <c r="A853" s="2">
        <f>'1000_заявлений'!A847</f>
        <v>845</v>
      </c>
      <c r="B853" s="4">
        <f>VALUE(SUBSTITUTE('1000_заявлений'!B847, ".", ","))</f>
        <v>0.45946458871010498</v>
      </c>
      <c r="C853" s="4">
        <f>VALUE(SUBSTITUTE('1000_заявлений'!C847, ".", ","))</f>
        <v>0.49312502174505601</v>
      </c>
      <c r="D853" s="4">
        <f>VALUE(SUBSTITUTE('1000_заявлений'!D847, ".", ","))</f>
        <v>0.51189180000000001</v>
      </c>
      <c r="E853" s="4">
        <f>VALUE(SUBSTITUTE('1000_заявлений'!E847, ".", ","))</f>
        <v>0.44684657</v>
      </c>
      <c r="F853" s="5">
        <f>VALUE(SUBSTITUTE('1000_заявлений'!F847, ".", ","))</f>
        <v>-593</v>
      </c>
      <c r="G853" s="5">
        <f>VALUE(SUBSTITUTE('1000_заявлений'!G847, ".", ","))</f>
        <v>-9360</v>
      </c>
      <c r="H853" s="5">
        <f>VALUE(SUBSTITUTE('1000_заявлений'!H847, ".", ","))</f>
        <v>-1154</v>
      </c>
      <c r="I853" s="4">
        <f>VALUE(SUBSTITUTE('1000_заявлений'!I847, ".", ","))</f>
        <v>0.130711111111111</v>
      </c>
      <c r="J853" s="4">
        <f>VALUE(SUBSTITUTE('1000_заявлений'!J847, ".", ","))</f>
        <v>8.3345757603807602</v>
      </c>
      <c r="K853" s="5">
        <f>VALUE(SUBSTITUTE('1000_заявлений'!K847, ".", ","))</f>
        <v>-1253</v>
      </c>
      <c r="L853" s="6">
        <f>VALUE(SUBSTITUTE('1000_заявлений'!L847, ".", ","))</f>
        <v>26469</v>
      </c>
      <c r="M853" s="2" t="str">
        <f>IF(Данные6[[#This Row],[proba]]&gt;$C$6, "отказ", "одобрение")</f>
        <v>отказ</v>
      </c>
      <c r="N853" s="7">
        <f>IF(Данные6[[#This Row],[proba]]&lt;$D$2,$C$2,IF(Данные6[[#This Row],[proba]]&lt;$D$3,$C$3,IF(Данные6[[#This Row],[proba]]&gt;$C$6,0,$C$4)))</f>
        <v>0</v>
      </c>
      <c r="O853" s="2">
        <f>IF(Данные6[[#This Row],[weighted_ext_score]]&gt;$O$1,MIN(Данные6[[#This Row],[Базовая сумма]]*$O$2,$C$2),IF(Данные6[[#This Row],[weighted_ext_score]]&lt;$O$3,Данные6[[#This Row],[Базовая сумма]]*$O$4,N853))</f>
        <v>0</v>
      </c>
      <c r="P8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53" s="2">
        <f>ABS(Данные6[[#This Row],[days_birth]])/365.2425</f>
        <v>25.626809585412431</v>
      </c>
      <c r="S8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53" s="2">
        <f>IF(Данные6[[#This Row],[ interest_rate]]&gt;$T$1,Данные6[[#This Row],[days_birth4]]*$T$2,Данные6[[#This Row],[days_birth4]])</f>
        <v>0</v>
      </c>
      <c r="U853" s="2">
        <f>IF(Данные6[[#This Row],[Проверка отказа]]="отказ",0,MAX(Данные6[[#This Row],[interest_rate]],$C$1))</f>
        <v>0</v>
      </c>
      <c r="V853" s="2">
        <f>MROUND(Данные6[[#This Row],[Минимум 20000]], 100)</f>
        <v>0</v>
      </c>
    </row>
    <row r="854" spans="1:22" x14ac:dyDescent="0.25">
      <c r="A854" s="2">
        <f>'1000_заявлений'!A848</f>
        <v>846</v>
      </c>
      <c r="B854" s="4">
        <f>VALUE(SUBSTITUTE('1000_заявлений'!B848, ".", ","))</f>
        <v>0.26789814677527302</v>
      </c>
      <c r="C854" s="4">
        <f>VALUE(SUBSTITUTE('1000_заявлений'!C848, ".", ","))</f>
        <v>0.47432066606389101</v>
      </c>
      <c r="D854" s="4">
        <f>VALUE(SUBSTITUTE('1000_заявлений'!D848, ".", ","))</f>
        <v>0.66745776000000001</v>
      </c>
      <c r="E854" s="4">
        <f>VALUE(SUBSTITUTE('1000_заявлений'!E848, ".", ","))</f>
        <v>0.71806639999999999</v>
      </c>
      <c r="F854" s="5">
        <f>VALUE(SUBSTITUTE('1000_заявлений'!F848, ".", ","))</f>
        <v>-4735</v>
      </c>
      <c r="G854" s="5">
        <f>VALUE(SUBSTITUTE('1000_заявлений'!G848, ".", ","))</f>
        <v>-15095</v>
      </c>
      <c r="H854" s="5">
        <f>VALUE(SUBSTITUTE('1000_заявлений'!H848, ".", ","))</f>
        <v>-1177</v>
      </c>
      <c r="I854" s="4">
        <f>VALUE(SUBSTITUTE('1000_заявлений'!I848, ".", ","))</f>
        <v>5.7166666666666602E-2</v>
      </c>
      <c r="J854" s="4">
        <f>VALUE(SUBSTITUTE('1000_заявлений'!J848, ".", ","))</f>
        <v>2.7597457011603899</v>
      </c>
      <c r="K854" s="5">
        <f>VALUE(SUBSTITUTE('1000_заявлений'!K848, ".", ","))</f>
        <v>-7698</v>
      </c>
      <c r="L854" s="6">
        <f>VALUE(SUBSTITUTE('1000_заявлений'!L848, ".", ","))</f>
        <v>9261</v>
      </c>
      <c r="M854" s="2" t="str">
        <f>IF(Данные6[[#This Row],[proba]]&gt;$C$6, "отказ", "одобрение")</f>
        <v>одобрение</v>
      </c>
      <c r="N854" s="7">
        <f>IF(Данные6[[#This Row],[proba]]&lt;$D$2,$C$2,IF(Данные6[[#This Row],[proba]]&lt;$D$3,$C$3,IF(Данные6[[#This Row],[proba]]&gt;$C$6,0,$C$4)))</f>
        <v>50000</v>
      </c>
      <c r="O854" s="2">
        <f>IF(Данные6[[#This Row],[weighted_ext_score]]&gt;$O$1,MIN(Данные6[[#This Row],[Базовая сумма]]*$O$2,$C$2),IF(Данные6[[#This Row],[weighted_ext_score]]&lt;$O$3,Данные6[[#This Row],[Базовая сумма]]*$O$4,N854))</f>
        <v>40000</v>
      </c>
      <c r="P8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8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854" s="2">
        <f>ABS(Данные6[[#This Row],[days_birth]])/365.2425</f>
        <v>41.328706270491523</v>
      </c>
      <c r="S8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57600</v>
      </c>
      <c r="T854" s="2">
        <f>IF(Данные6[[#This Row],[ interest_rate]]&gt;$T$1,Данные6[[#This Row],[days_birth4]]*$T$2,Данные6[[#This Row],[days_birth4]])</f>
        <v>57600</v>
      </c>
      <c r="U854" s="2">
        <f>IF(Данные6[[#This Row],[Проверка отказа]]="отказ",0,MAX(Данные6[[#This Row],[interest_rate]],$C$1))</f>
        <v>57600</v>
      </c>
      <c r="V854" s="2">
        <f>MROUND(Данные6[[#This Row],[Минимум 20000]], 100)</f>
        <v>57600</v>
      </c>
    </row>
    <row r="855" spans="1:22" x14ac:dyDescent="0.25">
      <c r="A855" s="2">
        <f>'1000_заявлений'!A849</f>
        <v>847</v>
      </c>
      <c r="B855" s="4">
        <f>VALUE(SUBSTITUTE('1000_заявлений'!B849, ".", ","))</f>
        <v>0.33773142916089299</v>
      </c>
      <c r="C855" s="4">
        <f>VALUE(SUBSTITUTE('1000_заявлений'!C849, ".", ","))</f>
        <v>0.423347872754675</v>
      </c>
      <c r="D855" s="4">
        <f>VALUE(SUBSTITUTE('1000_заявлений'!D849, ".", ","))</f>
        <v>0.68013880000000004</v>
      </c>
      <c r="E855" s="4">
        <f>VALUE(SUBSTITUTE('1000_заявлений'!E849, ".", ","))</f>
        <v>0.54678696000000004</v>
      </c>
      <c r="F855" s="5">
        <f>VALUE(SUBSTITUTE('1000_заявлений'!F849, ".", ","))</f>
        <v>-2467</v>
      </c>
      <c r="G855" s="5">
        <f>VALUE(SUBSTITUTE('1000_заявлений'!G849, ".", ","))</f>
        <v>-19381</v>
      </c>
      <c r="H855" s="5">
        <f>VALUE(SUBSTITUTE('1000_заявлений'!H849, ".", ","))</f>
        <v>-2801</v>
      </c>
      <c r="I855" s="4">
        <f>VALUE(SUBSTITUTE('1000_заявлений'!I849, ".", ","))</f>
        <v>0.18809999999999999</v>
      </c>
      <c r="J855" s="4">
        <f>VALUE(SUBSTITUTE('1000_заявлений'!J849, ".", ","))</f>
        <v>1.9110609376741201</v>
      </c>
      <c r="K855" s="5">
        <f>VALUE(SUBSTITUTE('1000_заявлений'!K849, ".", ","))</f>
        <v>-5722</v>
      </c>
      <c r="L855" s="6">
        <f>VALUE(SUBSTITUTE('1000_заявлений'!L849, ".", ","))</f>
        <v>25393.5</v>
      </c>
      <c r="M855" s="2" t="str">
        <f>IF(Данные6[[#This Row],[proba]]&gt;$C$6, "отказ", "одобрение")</f>
        <v>отказ</v>
      </c>
      <c r="N855" s="7">
        <f>IF(Данные6[[#This Row],[proba]]&lt;$D$2,$C$2,IF(Данные6[[#This Row],[proba]]&lt;$D$3,$C$3,IF(Данные6[[#This Row],[proba]]&gt;$C$6,0,$C$4)))</f>
        <v>0</v>
      </c>
      <c r="O855" s="2">
        <f>IF(Данные6[[#This Row],[weighted_ext_score]]&gt;$O$1,MIN(Данные6[[#This Row],[Базовая сумма]]*$O$2,$C$2),IF(Данные6[[#This Row],[weighted_ext_score]]&lt;$O$3,Данные6[[#This Row],[Базовая сумма]]*$O$4,N855))</f>
        <v>0</v>
      </c>
      <c r="P8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55" s="2">
        <f>ABS(Данные6[[#This Row],[days_birth]])/365.2425</f>
        <v>53.063375702444269</v>
      </c>
      <c r="S8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55" s="2">
        <f>IF(Данные6[[#This Row],[ interest_rate]]&gt;$T$1,Данные6[[#This Row],[days_birth4]]*$T$2,Данные6[[#This Row],[days_birth4]])</f>
        <v>0</v>
      </c>
      <c r="U855" s="2">
        <f>IF(Данные6[[#This Row],[Проверка отказа]]="отказ",0,MAX(Данные6[[#This Row],[interest_rate]],$C$1))</f>
        <v>0</v>
      </c>
      <c r="V855" s="2">
        <f>MROUND(Данные6[[#This Row],[Минимум 20000]], 100)</f>
        <v>0</v>
      </c>
    </row>
    <row r="856" spans="1:22" x14ac:dyDescent="0.25">
      <c r="A856" s="2">
        <f>'1000_заявлений'!A850</f>
        <v>848</v>
      </c>
      <c r="B856" s="4">
        <f>VALUE(SUBSTITUTE('1000_заявлений'!B850, ".", ","))</f>
        <v>0.19931232894898501</v>
      </c>
      <c r="C856" s="4">
        <f>VALUE(SUBSTITUTE('1000_заявлений'!C850, ".", ","))</f>
        <v>0.420845149663505</v>
      </c>
      <c r="D856" s="4">
        <f>VALUE(SUBSTITUTE('1000_заявлений'!D850, ".", ","))</f>
        <v>0.52809273999999995</v>
      </c>
      <c r="E856" s="4">
        <f>VALUE(SUBSTITUTE('1000_заявлений'!E850, ".", ","))</f>
        <v>0.708596</v>
      </c>
      <c r="F856" s="5">
        <f>VALUE(SUBSTITUTE('1000_заявлений'!F850, ".", ","))</f>
        <v>-4281</v>
      </c>
      <c r="G856" s="5">
        <f>VALUE(SUBSTITUTE('1000_заявлений'!G850, ".", ","))</f>
        <v>-24804</v>
      </c>
      <c r="H856" s="5">
        <f>VALUE(SUBSTITUTE('1000_заявлений'!H850, ".", ","))</f>
        <v>-4274</v>
      </c>
      <c r="I856" s="4">
        <f>VALUE(SUBSTITUTE('1000_заявлений'!I850, ".", ","))</f>
        <v>0.10384</v>
      </c>
      <c r="J856" s="4">
        <f>VALUE(SUBSTITUTE('1000_заявлений'!J850, ".", ","))</f>
        <v>14.970708609582299</v>
      </c>
      <c r="K856" s="5">
        <f>VALUE(SUBSTITUTE('1000_заявлений'!K850, ".", ","))</f>
        <v>365243</v>
      </c>
      <c r="L856" s="6">
        <f>VALUE(SUBSTITUTE('1000_заявлений'!L850, ".", ","))</f>
        <v>23364</v>
      </c>
      <c r="M856" s="2" t="str">
        <f>IF(Данные6[[#This Row],[proba]]&gt;$C$6, "отказ", "одобрение")</f>
        <v>одобрение</v>
      </c>
      <c r="N856" s="7">
        <f>IF(Данные6[[#This Row],[proba]]&lt;$D$2,$C$2,IF(Данные6[[#This Row],[proba]]&lt;$D$3,$C$3,IF(Данные6[[#This Row],[proba]]&gt;$C$6,0,$C$4)))</f>
        <v>200000</v>
      </c>
      <c r="O856" s="2">
        <f>IF(Данные6[[#This Row],[weighted_ext_score]]&gt;$O$1,MIN(Данные6[[#This Row],[Базовая сумма]]*$O$2,$C$2),IF(Данные6[[#This Row],[weighted_ext_score]]&lt;$O$3,Данные6[[#This Row],[Базовая сумма]]*$O$4,N856))</f>
        <v>160000</v>
      </c>
      <c r="P8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8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856" s="2">
        <f>ABS(Данные6[[#This Row],[days_birth]])/365.2425</f>
        <v>67.911045401342946</v>
      </c>
      <c r="S8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856" s="2">
        <f>IF(Данные6[[#This Row],[ interest_rate]]&gt;$T$1,Данные6[[#This Row],[days_birth4]]*$T$2,Данные6[[#This Row],[days_birth4]])</f>
        <v>168000</v>
      </c>
      <c r="U856" s="2">
        <f>IF(Данные6[[#This Row],[Проверка отказа]]="отказ",0,MAX(Данные6[[#This Row],[interest_rate]],$C$1))</f>
        <v>168000</v>
      </c>
      <c r="V856" s="2">
        <f>MROUND(Данные6[[#This Row],[Минимум 20000]], 100)</f>
        <v>168000</v>
      </c>
    </row>
    <row r="857" spans="1:22" x14ac:dyDescent="0.25">
      <c r="A857" s="2">
        <f>'1000_заявлений'!A851</f>
        <v>849</v>
      </c>
      <c r="B857" s="4">
        <f>VALUE(SUBSTITUTE('1000_заявлений'!B851, ".", ","))</f>
        <v>0.328859889756276</v>
      </c>
      <c r="C857" s="4">
        <f>VALUE(SUBSTITUTE('1000_заявлений'!C851, ".", ","))</f>
        <v>0.50314255149063203</v>
      </c>
      <c r="D857" s="4">
        <f>VALUE(SUBSTITUTE('1000_заявлений'!D851, ".", ","))</f>
        <v>0.64136826999999996</v>
      </c>
      <c r="E857" s="4">
        <f>VALUE(SUBSTITUTE('1000_заявлений'!E851, ".", ","))</f>
        <v>0.51372032999999995</v>
      </c>
      <c r="F857" s="5">
        <f>VALUE(SUBSTITUTE('1000_заявлений'!F851, ".", ","))</f>
        <v>-8998</v>
      </c>
      <c r="G857" s="5">
        <f>VALUE(SUBSTITUTE('1000_заявлений'!G851, ".", ","))</f>
        <v>-15035</v>
      </c>
      <c r="H857" s="5">
        <f>VALUE(SUBSTITUTE('1000_заявлений'!H851, ".", ","))</f>
        <v>-2674</v>
      </c>
      <c r="I857" s="4">
        <f>VALUE(SUBSTITUTE('1000_заявлений'!I851, ".", ","))</f>
        <v>0.1202</v>
      </c>
      <c r="J857" s="4">
        <f>VALUE(SUBSTITUTE('1000_заявлений'!J851, ".", ","))</f>
        <v>2.1373047284700002</v>
      </c>
      <c r="K857" s="5">
        <f>VALUE(SUBSTITUTE('1000_заявлений'!K851, ".", ","))</f>
        <v>-1110</v>
      </c>
      <c r="L857" s="6">
        <f>VALUE(SUBSTITUTE('1000_заявлений'!L851, ".", ","))</f>
        <v>24340.5</v>
      </c>
      <c r="M857" s="2" t="str">
        <f>IF(Данные6[[#This Row],[proba]]&gt;$C$6, "отказ", "одобрение")</f>
        <v>отказ</v>
      </c>
      <c r="N857" s="7">
        <f>IF(Данные6[[#This Row],[proba]]&lt;$D$2,$C$2,IF(Данные6[[#This Row],[proba]]&lt;$D$3,$C$3,IF(Данные6[[#This Row],[proba]]&gt;$C$6,0,$C$4)))</f>
        <v>0</v>
      </c>
      <c r="O857" s="2">
        <f>IF(Данные6[[#This Row],[weighted_ext_score]]&gt;$O$1,MIN(Данные6[[#This Row],[Базовая сумма]]*$O$2,$C$2),IF(Данные6[[#This Row],[weighted_ext_score]]&lt;$O$3,Данные6[[#This Row],[Базовая сумма]]*$O$4,N857))</f>
        <v>0</v>
      </c>
      <c r="P8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57" s="2">
        <f>ABS(Данные6[[#This Row],[days_birth]])/365.2425</f>
        <v>41.164431850072212</v>
      </c>
      <c r="S8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57" s="2">
        <f>IF(Данные6[[#This Row],[ interest_rate]]&gt;$T$1,Данные6[[#This Row],[days_birth4]]*$T$2,Данные6[[#This Row],[days_birth4]])</f>
        <v>0</v>
      </c>
      <c r="U857" s="2">
        <f>IF(Данные6[[#This Row],[Проверка отказа]]="отказ",0,MAX(Данные6[[#This Row],[interest_rate]],$C$1))</f>
        <v>0</v>
      </c>
      <c r="V857" s="2">
        <f>MROUND(Данные6[[#This Row],[Минимум 20000]], 100)</f>
        <v>0</v>
      </c>
    </row>
    <row r="858" spans="1:22" x14ac:dyDescent="0.25">
      <c r="A858" s="2">
        <f>'1000_заявлений'!A852</f>
        <v>850</v>
      </c>
      <c r="B858" s="4">
        <f>VALUE(SUBSTITUTE('1000_заявлений'!B852, ".", ","))</f>
        <v>0.37110959157844697</v>
      </c>
      <c r="C858" s="4">
        <f>VALUE(SUBSTITUTE('1000_заявлений'!C852, ".", ","))</f>
        <v>0.401596746202593</v>
      </c>
      <c r="D858" s="4">
        <f>VALUE(SUBSTITUTE('1000_заявлений'!D852, ".", ","))</f>
        <v>0.7267112</v>
      </c>
      <c r="E858" s="4">
        <f>VALUE(SUBSTITUTE('1000_заявлений'!E852, ".", ","))</f>
        <v>0.42780572</v>
      </c>
      <c r="F858" s="5">
        <f>VALUE(SUBSTITUTE('1000_заявлений'!F852, ".", ","))</f>
        <v>-5185</v>
      </c>
      <c r="G858" s="5">
        <f>VALUE(SUBSTITUTE('1000_заявлений'!G852, ".", ","))</f>
        <v>-15957</v>
      </c>
      <c r="H858" s="5">
        <f>VALUE(SUBSTITUTE('1000_заявлений'!H852, ".", ","))</f>
        <v>-4069</v>
      </c>
      <c r="I858" s="4">
        <f>VALUE(SUBSTITUTE('1000_заявлений'!I852, ".", ","))</f>
        <v>0.21</v>
      </c>
      <c r="J858" s="4">
        <f>VALUE(SUBSTITUTE('1000_заявлений'!J852, ".", ","))</f>
        <v>1.7926354583625901</v>
      </c>
      <c r="K858" s="5">
        <f>VALUE(SUBSTITUTE('1000_заявлений'!K852, ".", ","))</f>
        <v>-970</v>
      </c>
      <c r="L858" s="6">
        <f>VALUE(SUBSTITUTE('1000_заявлений'!L852, ".", ","))</f>
        <v>37800</v>
      </c>
      <c r="M858" s="2" t="str">
        <f>IF(Данные6[[#This Row],[proba]]&gt;$C$6, "отказ", "одобрение")</f>
        <v>отказ</v>
      </c>
      <c r="N858" s="7">
        <f>IF(Данные6[[#This Row],[proba]]&lt;$D$2,$C$2,IF(Данные6[[#This Row],[proba]]&lt;$D$3,$C$3,IF(Данные6[[#This Row],[proba]]&gt;$C$6,0,$C$4)))</f>
        <v>0</v>
      </c>
      <c r="O858" s="2">
        <f>IF(Данные6[[#This Row],[weighted_ext_score]]&gt;$O$1,MIN(Данные6[[#This Row],[Базовая сумма]]*$O$2,$C$2),IF(Данные6[[#This Row],[weighted_ext_score]]&lt;$O$3,Данные6[[#This Row],[Базовая сумма]]*$O$4,N858))</f>
        <v>0</v>
      </c>
      <c r="P8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58" s="2">
        <f>ABS(Данные6[[#This Row],[days_birth]])/365.2425</f>
        <v>43.688782110515618</v>
      </c>
      <c r="S8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58" s="2">
        <f>IF(Данные6[[#This Row],[ interest_rate]]&gt;$T$1,Данные6[[#This Row],[days_birth4]]*$T$2,Данные6[[#This Row],[days_birth4]])</f>
        <v>0</v>
      </c>
      <c r="U858" s="2">
        <f>IF(Данные6[[#This Row],[Проверка отказа]]="отказ",0,MAX(Данные6[[#This Row],[interest_rate]],$C$1))</f>
        <v>0</v>
      </c>
      <c r="V858" s="2">
        <f>MROUND(Данные6[[#This Row],[Минимум 20000]], 100)</f>
        <v>0</v>
      </c>
    </row>
    <row r="859" spans="1:22" x14ac:dyDescent="0.25">
      <c r="A859" s="2">
        <f>'1000_заявлений'!A853</f>
        <v>851</v>
      </c>
      <c r="B859" s="4">
        <f>VALUE(SUBSTITUTE('1000_заявлений'!B853, ".", ","))</f>
        <v>0.28555584348560198</v>
      </c>
      <c r="C859" s="4">
        <f>VALUE(SUBSTITUTE('1000_заявлений'!C853, ".", ","))</f>
        <v>0.412351617373445</v>
      </c>
      <c r="D859" s="4">
        <f>VALUE(SUBSTITUTE('1000_заявлений'!D853, ".", ","))</f>
        <v>0.63637613999999998</v>
      </c>
      <c r="E859" s="4">
        <f>VALUE(SUBSTITUTE('1000_заявлений'!E853, ".", ","))</f>
        <v>0.56168072999999996</v>
      </c>
      <c r="F859" s="5">
        <f>VALUE(SUBSTITUTE('1000_заявлений'!F853, ".", ","))</f>
        <v>-13391</v>
      </c>
      <c r="G859" s="5">
        <f>VALUE(SUBSTITUTE('1000_заявлений'!G853, ".", ","))</f>
        <v>-22314</v>
      </c>
      <c r="H859" s="5">
        <f>VALUE(SUBSTITUTE('1000_заявлений'!H853, ".", ","))</f>
        <v>-4746</v>
      </c>
      <c r="I859" s="4">
        <f>VALUE(SUBSTITUTE('1000_заявлений'!I853, ".", ","))</f>
        <v>0.23508333333333301</v>
      </c>
      <c r="J859" s="4">
        <f>VALUE(SUBSTITUTE('1000_заявлений'!J853, ".", ","))</f>
        <v>1.9740828021630901</v>
      </c>
      <c r="K859" s="5">
        <f>VALUE(SUBSTITUTE('1000_заявлений'!K853, ".", ","))</f>
        <v>365243</v>
      </c>
      <c r="L859" s="6">
        <f>VALUE(SUBSTITUTE('1000_заявлений'!L853, ".", ","))</f>
        <v>12694.5</v>
      </c>
      <c r="M859" s="2" t="str">
        <f>IF(Данные6[[#This Row],[proba]]&gt;$C$6, "отказ", "одобрение")</f>
        <v>одобрение</v>
      </c>
      <c r="N859" s="7">
        <f>IF(Данные6[[#This Row],[proba]]&lt;$D$2,$C$2,IF(Данные6[[#This Row],[proba]]&lt;$D$3,$C$3,IF(Данные6[[#This Row],[proba]]&gt;$C$6,0,$C$4)))</f>
        <v>50000</v>
      </c>
      <c r="O859" s="2">
        <f>IF(Данные6[[#This Row],[weighted_ext_score]]&gt;$O$1,MIN(Данные6[[#This Row],[Базовая сумма]]*$O$2,$C$2),IF(Данные6[[#This Row],[weighted_ext_score]]&lt;$O$3,Данные6[[#This Row],[Базовая сумма]]*$O$4,N859))</f>
        <v>40000</v>
      </c>
      <c r="P8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59" s="2">
        <f>ABS(Данные6[[#This Row],[days_birth]])/365.2425</f>
        <v>61.093656953941561</v>
      </c>
      <c r="S8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59" s="2">
        <f>IF(Данные6[[#This Row],[ interest_rate]]&gt;$T$1,Данные6[[#This Row],[days_birth4]]*$T$2,Данные6[[#This Row],[days_birth4]])</f>
        <v>42000</v>
      </c>
      <c r="U859" s="2">
        <f>IF(Данные6[[#This Row],[Проверка отказа]]="отказ",0,MAX(Данные6[[#This Row],[interest_rate]],$C$1))</f>
        <v>42000</v>
      </c>
      <c r="V859" s="2">
        <f>MROUND(Данные6[[#This Row],[Минимум 20000]], 100)</f>
        <v>42000</v>
      </c>
    </row>
    <row r="860" spans="1:22" x14ac:dyDescent="0.25">
      <c r="A860" s="2">
        <f>'1000_заявлений'!A854</f>
        <v>852</v>
      </c>
      <c r="B860" s="4">
        <f>VALUE(SUBSTITUTE('1000_заявлений'!B854, ".", ","))</f>
        <v>0.108994537601822</v>
      </c>
      <c r="C860" s="4">
        <f>VALUE(SUBSTITUTE('1000_заявлений'!C854, ".", ","))</f>
        <v>0.74055353819407499</v>
      </c>
      <c r="D860" s="4">
        <f>VALUE(SUBSTITUTE('1000_заявлений'!D854, ".", ","))</f>
        <v>0.78747619999999996</v>
      </c>
      <c r="E860" s="4">
        <f>VALUE(SUBSTITUTE('1000_заявлений'!E854, ".", ","))</f>
        <v>0.71323380000000003</v>
      </c>
      <c r="F860" s="5">
        <f>VALUE(SUBSTITUTE('1000_заявлений'!F854, ".", ","))</f>
        <v>-4709</v>
      </c>
      <c r="G860" s="5">
        <f>VALUE(SUBSTITUTE('1000_заявлений'!G854, ".", ","))</f>
        <v>-22129</v>
      </c>
      <c r="H860" s="5">
        <f>VALUE(SUBSTITUTE('1000_заявлений'!H854, ".", ","))</f>
        <v>-5070</v>
      </c>
      <c r="I860" s="4">
        <f>VALUE(SUBSTITUTE('1000_заявлений'!I854, ".", ","))</f>
        <v>0.26883333333333298</v>
      </c>
      <c r="J860" s="4">
        <f>VALUE(SUBSTITUTE('1000_заявлений'!J854, ".", ","))</f>
        <v>2.3522351798308501</v>
      </c>
      <c r="K860" s="5">
        <f>VALUE(SUBSTITUTE('1000_заявлений'!K854, ".", ","))</f>
        <v>365243</v>
      </c>
      <c r="L860" s="6">
        <f>VALUE(SUBSTITUTE('1000_заявлений'!L854, ".", ","))</f>
        <v>21775.5</v>
      </c>
      <c r="M860" s="2" t="str">
        <f>IF(Данные6[[#This Row],[proba]]&gt;$C$6, "отказ", "одобрение")</f>
        <v>одобрение</v>
      </c>
      <c r="N860" s="7">
        <f>IF(Данные6[[#This Row],[proba]]&lt;$D$2,$C$2,IF(Данные6[[#This Row],[proba]]&lt;$D$3,$C$3,IF(Данные6[[#This Row],[proba]]&gt;$C$6,0,$C$4)))</f>
        <v>200000</v>
      </c>
      <c r="O860" s="2">
        <f>IF(Данные6[[#This Row],[weighted_ext_score]]&gt;$O$1,MIN(Данные6[[#This Row],[Базовая сумма]]*$O$2,$C$2),IF(Данные6[[#This Row],[weighted_ext_score]]&lt;$O$3,Данные6[[#This Row],[Базовая сумма]]*$O$4,N860))</f>
        <v>300000</v>
      </c>
      <c r="P8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8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860" s="2">
        <f>ABS(Данные6[[#This Row],[days_birth]])/365.2425</f>
        <v>60.587144157648687</v>
      </c>
      <c r="S8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860" s="2">
        <f>IF(Данные6[[#This Row],[ interest_rate]]&gt;$T$1,Данные6[[#This Row],[days_birth4]]*$T$2,Данные6[[#This Row],[days_birth4]])</f>
        <v>300000</v>
      </c>
      <c r="U860" s="2">
        <f>IF(Данные6[[#This Row],[Проверка отказа]]="отказ",0,MAX(Данные6[[#This Row],[interest_rate]],$C$1))</f>
        <v>300000</v>
      </c>
      <c r="V860" s="2">
        <f>MROUND(Данные6[[#This Row],[Минимум 20000]], 100)</f>
        <v>300000</v>
      </c>
    </row>
    <row r="861" spans="1:22" x14ac:dyDescent="0.25">
      <c r="A861" s="2">
        <f>'1000_заявлений'!A855</f>
        <v>853</v>
      </c>
      <c r="B861" s="4">
        <f>VALUE(SUBSTITUTE('1000_заявлений'!B855, ".", ","))</f>
        <v>0.40178114488601202</v>
      </c>
      <c r="C861" s="4">
        <f>VALUE(SUBSTITUTE('1000_заявлений'!C855, ".", ","))</f>
        <v>0.38564653664236898</v>
      </c>
      <c r="D861" s="4">
        <f>VALUE(SUBSTITUTE('1000_заявлений'!D855, ".", ","))</f>
        <v>0.41184854999999998</v>
      </c>
      <c r="E861" s="4">
        <f>VALUE(SUBSTITUTE('1000_заявлений'!E855, ".", ","))</f>
        <v>0.72969156999999996</v>
      </c>
      <c r="F861" s="5">
        <f>VALUE(SUBSTITUTE('1000_заявлений'!F855, ".", ","))</f>
        <v>-5488</v>
      </c>
      <c r="G861" s="5">
        <f>VALUE(SUBSTITUTE('1000_заявлений'!G855, ".", ","))</f>
        <v>-19281</v>
      </c>
      <c r="H861" s="5">
        <f>VALUE(SUBSTITUTE('1000_заявлений'!H855, ".", ","))</f>
        <v>-2704</v>
      </c>
      <c r="I861" s="4">
        <f>VALUE(SUBSTITUTE('1000_заявлений'!I855, ".", ","))</f>
        <v>0.10834000000000001</v>
      </c>
      <c r="J861" s="4">
        <f>VALUE(SUBSTITUTE('1000_заявлений'!J855, ".", ","))</f>
        <v>0.92540852682836405</v>
      </c>
      <c r="K861" s="5">
        <f>VALUE(SUBSTITUTE('1000_заявлений'!K855, ".", ","))</f>
        <v>-4726</v>
      </c>
      <c r="L861" s="6">
        <f>VALUE(SUBSTITUTE('1000_заявлений'!L855, ".", ","))</f>
        <v>24376.5</v>
      </c>
      <c r="M861" s="2" t="str">
        <f>IF(Данные6[[#This Row],[proba]]&gt;$C$6, "отказ", "одобрение")</f>
        <v>отказ</v>
      </c>
      <c r="N861" s="7">
        <f>IF(Данные6[[#This Row],[proba]]&lt;$D$2,$C$2,IF(Данные6[[#This Row],[proba]]&lt;$D$3,$C$3,IF(Данные6[[#This Row],[proba]]&gt;$C$6,0,$C$4)))</f>
        <v>0</v>
      </c>
      <c r="O861" s="2">
        <f>IF(Данные6[[#This Row],[weighted_ext_score]]&gt;$O$1,MIN(Данные6[[#This Row],[Базовая сумма]]*$O$2,$C$2),IF(Данные6[[#This Row],[weighted_ext_score]]&lt;$O$3,Данные6[[#This Row],[Базовая сумма]]*$O$4,N861))</f>
        <v>0</v>
      </c>
      <c r="P8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1" s="2">
        <f>ABS(Данные6[[#This Row],[days_birth]])/365.2425</f>
        <v>52.789585001745415</v>
      </c>
      <c r="S8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1" s="2">
        <f>IF(Данные6[[#This Row],[ interest_rate]]&gt;$T$1,Данные6[[#This Row],[days_birth4]]*$T$2,Данные6[[#This Row],[days_birth4]])</f>
        <v>0</v>
      </c>
      <c r="U861" s="2">
        <f>IF(Данные6[[#This Row],[Проверка отказа]]="отказ",0,MAX(Данные6[[#This Row],[interest_rate]],$C$1))</f>
        <v>0</v>
      </c>
      <c r="V861" s="2">
        <f>MROUND(Данные6[[#This Row],[Минимум 20000]], 100)</f>
        <v>0</v>
      </c>
    </row>
    <row r="862" spans="1:22" x14ac:dyDescent="0.25">
      <c r="A862" s="2">
        <f>'1000_заявлений'!A856</f>
        <v>854</v>
      </c>
      <c r="B862" s="4">
        <f>VALUE(SUBSTITUTE('1000_заявлений'!B856, ".", ","))</f>
        <v>0.63195895274514102</v>
      </c>
      <c r="C862" s="4">
        <f>VALUE(SUBSTITUTE('1000_заявлений'!C856, ".", ","))</f>
        <v>0.35467724996983402</v>
      </c>
      <c r="D862" s="4">
        <f>VALUE(SUBSTITUTE('1000_заявлений'!D856, ".", ","))</f>
        <v>0.32331124</v>
      </c>
      <c r="E862" s="4">
        <f>VALUE(SUBSTITUTE('1000_заявлений'!E856, ".", ","))</f>
        <v>0.38625488000000002</v>
      </c>
      <c r="F862" s="5">
        <f>VALUE(SUBSTITUTE('1000_заявлений'!F856, ".", ","))</f>
        <v>-337</v>
      </c>
      <c r="G862" s="5">
        <f>VALUE(SUBSTITUTE('1000_заявлений'!G856, ".", ","))</f>
        <v>-12306</v>
      </c>
      <c r="H862" s="5">
        <f>VALUE(SUBSTITUTE('1000_заявлений'!H856, ".", ","))</f>
        <v>-4090</v>
      </c>
      <c r="I862" s="4">
        <f>VALUE(SUBSTITUTE('1000_заявлений'!I856, ".", ","))</f>
        <v>0.2</v>
      </c>
      <c r="J862" s="4">
        <f>VALUE(SUBSTITUTE('1000_заявлений'!J856, ".", ","))</f>
        <v>10.6209759779781</v>
      </c>
      <c r="K862" s="5">
        <f>VALUE(SUBSTITUTE('1000_заявлений'!K856, ".", ","))</f>
        <v>-690</v>
      </c>
      <c r="L862" s="6">
        <f>VALUE(SUBSTITUTE('1000_заявлений'!L856, ".", ","))</f>
        <v>9000</v>
      </c>
      <c r="M862" s="2" t="str">
        <f>IF(Данные6[[#This Row],[proba]]&gt;$C$6, "отказ", "одобрение")</f>
        <v>отказ</v>
      </c>
      <c r="N862" s="7">
        <f>IF(Данные6[[#This Row],[proba]]&lt;$D$2,$C$2,IF(Данные6[[#This Row],[proba]]&lt;$D$3,$C$3,IF(Данные6[[#This Row],[proba]]&gt;$C$6,0,$C$4)))</f>
        <v>0</v>
      </c>
      <c r="O862" s="2">
        <f>IF(Данные6[[#This Row],[weighted_ext_score]]&gt;$O$1,MIN(Данные6[[#This Row],[Базовая сумма]]*$O$2,$C$2),IF(Данные6[[#This Row],[weighted_ext_score]]&lt;$O$3,Данные6[[#This Row],[Базовая сумма]]*$O$4,N862))</f>
        <v>0</v>
      </c>
      <c r="P8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2" s="2">
        <f>ABS(Данные6[[#This Row],[days_birth]])/365.2425</f>
        <v>33.692683628000573</v>
      </c>
      <c r="S8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2" s="2">
        <f>IF(Данные6[[#This Row],[ interest_rate]]&gt;$T$1,Данные6[[#This Row],[days_birth4]]*$T$2,Данные6[[#This Row],[days_birth4]])</f>
        <v>0</v>
      </c>
      <c r="U862" s="2">
        <f>IF(Данные6[[#This Row],[Проверка отказа]]="отказ",0,MAX(Данные6[[#This Row],[interest_rate]],$C$1))</f>
        <v>0</v>
      </c>
      <c r="V862" s="2">
        <f>MROUND(Данные6[[#This Row],[Минимум 20000]], 100)</f>
        <v>0</v>
      </c>
    </row>
    <row r="863" spans="1:22" x14ac:dyDescent="0.25">
      <c r="A863" s="2">
        <f>'1000_заявлений'!A857</f>
        <v>855</v>
      </c>
      <c r="B863" s="4">
        <f>VALUE(SUBSTITUTE('1000_заявлений'!B857, ".", ","))</f>
        <v>0.20559819442674099</v>
      </c>
      <c r="C863" s="4">
        <f>VALUE(SUBSTITUTE('1000_заявлений'!C857, ".", ","))</f>
        <v>0.51143413681346805</v>
      </c>
      <c r="D863" s="4">
        <f>VALUE(SUBSTITUTE('1000_заявлений'!D857, ".", ","))</f>
        <v>0.74079907</v>
      </c>
      <c r="E863" s="4">
        <f>VALUE(SUBSTITUTE('1000_заявлений'!E857, ".", ","))</f>
        <v>0.75070879999999995</v>
      </c>
      <c r="F863" s="5">
        <f>VALUE(SUBSTITUTE('1000_заявлений'!F857, ".", ","))</f>
        <v>-8314</v>
      </c>
      <c r="G863" s="5">
        <f>VALUE(SUBSTITUTE('1000_заявлений'!G857, ".", ","))</f>
        <v>-19870</v>
      </c>
      <c r="H863" s="5">
        <f>VALUE(SUBSTITUTE('1000_заявлений'!H857, ".", ","))</f>
        <v>-3358</v>
      </c>
      <c r="I863" s="4">
        <f>VALUE(SUBSTITUTE('1000_заявлений'!I857, ".", ","))</f>
        <v>0.26326666666666598</v>
      </c>
      <c r="J863" s="4">
        <f>VALUE(SUBSTITUTE('1000_заявлений'!J857, ".", ","))</f>
        <v>1.80996976939682</v>
      </c>
      <c r="K863" s="5">
        <f>VALUE(SUBSTITUTE('1000_заявлений'!K857, ".", ","))</f>
        <v>-3461</v>
      </c>
      <c r="L863" s="6">
        <f>VALUE(SUBSTITUTE('1000_заявлений'!L857, ".", ","))</f>
        <v>35541</v>
      </c>
      <c r="M863" s="2" t="str">
        <f>IF(Данные6[[#This Row],[proba]]&gt;$C$6, "отказ", "одобрение")</f>
        <v>одобрение</v>
      </c>
      <c r="N863" s="7">
        <f>IF(Данные6[[#This Row],[proba]]&lt;$D$2,$C$2,IF(Данные6[[#This Row],[proba]]&lt;$D$3,$C$3,IF(Данные6[[#This Row],[proba]]&gt;$C$6,0,$C$4)))</f>
        <v>50000</v>
      </c>
      <c r="O863" s="2">
        <f>IF(Данные6[[#This Row],[weighted_ext_score]]&gt;$O$1,MIN(Данные6[[#This Row],[Базовая сумма]]*$O$2,$C$2),IF(Данные6[[#This Row],[weighted_ext_score]]&lt;$O$3,Данные6[[#This Row],[Базовая сумма]]*$O$4,N863))</f>
        <v>50000</v>
      </c>
      <c r="P8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863" s="2">
        <f>ABS(Данные6[[#This Row],[days_birth]])/365.2425</f>
        <v>54.402212228861643</v>
      </c>
      <c r="S8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63000</v>
      </c>
      <c r="T863" s="2">
        <f>IF(Данные6[[#This Row],[ interest_rate]]&gt;$T$1,Данные6[[#This Row],[days_birth4]]*$T$2,Данные6[[#This Row],[days_birth4]])</f>
        <v>63000</v>
      </c>
      <c r="U863" s="2">
        <f>IF(Данные6[[#This Row],[Проверка отказа]]="отказ",0,MAX(Данные6[[#This Row],[interest_rate]],$C$1))</f>
        <v>63000</v>
      </c>
      <c r="V863" s="2">
        <f>MROUND(Данные6[[#This Row],[Минимум 20000]], 100)</f>
        <v>63000</v>
      </c>
    </row>
    <row r="864" spans="1:22" x14ac:dyDescent="0.25">
      <c r="A864" s="2">
        <f>'1000_заявлений'!A858</f>
        <v>856</v>
      </c>
      <c r="B864" s="4">
        <f>VALUE(SUBSTITUTE('1000_заявлений'!B858, ".", ","))</f>
        <v>0.260935312746432</v>
      </c>
      <c r="C864" s="4">
        <f>VALUE(SUBSTITUTE('1000_заявлений'!C858, ".", ","))</f>
        <v>0.478385098951988</v>
      </c>
      <c r="D864" s="4">
        <f>VALUE(SUBSTITUTE('1000_заявлений'!D858, ".", ","))</f>
        <v>0.76623370000000002</v>
      </c>
      <c r="E864" s="4">
        <f>VALUE(SUBSTITUTE('1000_заявлений'!E858, ".", ","))</f>
        <v>0.62046564000000004</v>
      </c>
      <c r="F864" s="5">
        <f>VALUE(SUBSTITUTE('1000_заявлений'!F858, ".", ","))</f>
        <v>-10300</v>
      </c>
      <c r="G864" s="5">
        <f>VALUE(SUBSTITUTE('1000_заявлений'!G858, ".", ","))</f>
        <v>-17869</v>
      </c>
      <c r="H864" s="5">
        <f>VALUE(SUBSTITUTE('1000_заявлений'!H858, ".", ","))</f>
        <v>-1406</v>
      </c>
      <c r="I864" s="4">
        <f>VALUE(SUBSTITUTE('1000_заявлений'!I858, ".", ","))</f>
        <v>0.21132000000000001</v>
      </c>
      <c r="J864" s="4">
        <f>VALUE(SUBSTITUTE('1000_заявлений'!J858, ".", ","))</f>
        <v>1.9305916734964901</v>
      </c>
      <c r="K864" s="5">
        <f>VALUE(SUBSTITUTE('1000_заявлений'!K858, ".", ","))</f>
        <v>-6912</v>
      </c>
      <c r="L864" s="6">
        <f>VALUE(SUBSTITUTE('1000_заявлений'!L858, ".", ","))</f>
        <v>23773.5</v>
      </c>
      <c r="M864" s="2" t="str">
        <f>IF(Данные6[[#This Row],[proba]]&gt;$C$6, "отказ", "одобрение")</f>
        <v>одобрение</v>
      </c>
      <c r="N864" s="7">
        <f>IF(Данные6[[#This Row],[proba]]&lt;$D$2,$C$2,IF(Данные6[[#This Row],[proba]]&lt;$D$3,$C$3,IF(Данные6[[#This Row],[proba]]&gt;$C$6,0,$C$4)))</f>
        <v>50000</v>
      </c>
      <c r="O864" s="2">
        <f>IF(Данные6[[#This Row],[weighted_ext_score]]&gt;$O$1,MIN(Данные6[[#This Row],[Базовая сумма]]*$O$2,$C$2),IF(Данные6[[#This Row],[weighted_ext_score]]&lt;$O$3,Данные6[[#This Row],[Базовая сумма]]*$O$4,N864))</f>
        <v>40000</v>
      </c>
      <c r="P8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64" s="2">
        <f>ABS(Данные6[[#This Row],[days_birth]])/365.2425</f>
        <v>48.92366030787764</v>
      </c>
      <c r="S8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864" s="2">
        <f>IF(Данные6[[#This Row],[ interest_rate]]&gt;$T$1,Данные6[[#This Row],[days_birth4]]*$T$2,Данные6[[#This Row],[days_birth4]])</f>
        <v>48000</v>
      </c>
      <c r="U864" s="2">
        <f>IF(Данные6[[#This Row],[Проверка отказа]]="отказ",0,MAX(Данные6[[#This Row],[interest_rate]],$C$1))</f>
        <v>48000</v>
      </c>
      <c r="V864" s="2">
        <f>MROUND(Данные6[[#This Row],[Минимум 20000]], 100)</f>
        <v>48000</v>
      </c>
    </row>
    <row r="865" spans="1:22" x14ac:dyDescent="0.25">
      <c r="A865" s="2">
        <f>'1000_заявлений'!A859</f>
        <v>857</v>
      </c>
      <c r="B865" s="4">
        <f>VALUE(SUBSTITUTE('1000_заявлений'!B859, ".", ","))</f>
        <v>0.21390666568840699</v>
      </c>
      <c r="C865" s="4">
        <f>VALUE(SUBSTITUTE('1000_заявлений'!C859, ".", ","))</f>
        <v>0.44138684411464801</v>
      </c>
      <c r="D865" s="4">
        <f>VALUE(SUBSTITUTE('1000_заявлений'!D859, ".", ","))</f>
        <v>0.62461465999999999</v>
      </c>
      <c r="E865" s="4">
        <f>VALUE(SUBSTITUTE('1000_заявлений'!E859, ".", ","))</f>
        <v>0.66430502999999996</v>
      </c>
      <c r="F865" s="5">
        <f>VALUE(SUBSTITUTE('1000_заявлений'!F859, ".", ","))</f>
        <v>-9103</v>
      </c>
      <c r="G865" s="5">
        <f>VALUE(SUBSTITUTE('1000_заявлений'!G859, ".", ","))</f>
        <v>-20552</v>
      </c>
      <c r="H865" s="5">
        <f>VALUE(SUBSTITUTE('1000_заявлений'!H859, ".", ","))</f>
        <v>-4046</v>
      </c>
      <c r="I865" s="4">
        <f>VALUE(SUBSTITUTE('1000_заявлений'!I859, ".", ","))</f>
        <v>4.66714490674318E-2</v>
      </c>
      <c r="J865" s="4">
        <f>VALUE(SUBSTITUTE('1000_заявлений'!J859, ".", ","))</f>
        <v>4.6748055163675799</v>
      </c>
      <c r="K865" s="5">
        <f>VALUE(SUBSTITUTE('1000_заявлений'!K859, ".", ","))</f>
        <v>365243</v>
      </c>
      <c r="L865" s="6">
        <f>VALUE(SUBSTITUTE('1000_заявлений'!L859, ".", ","))</f>
        <v>14638.5</v>
      </c>
      <c r="M865" s="2" t="str">
        <f>IF(Данные6[[#This Row],[proba]]&gt;$C$6, "отказ", "одобрение")</f>
        <v>одобрение</v>
      </c>
      <c r="N865" s="7">
        <f>IF(Данные6[[#This Row],[proba]]&lt;$D$2,$C$2,IF(Данные6[[#This Row],[proba]]&lt;$D$3,$C$3,IF(Данные6[[#This Row],[proba]]&gt;$C$6,0,$C$4)))</f>
        <v>50000</v>
      </c>
      <c r="O865" s="2">
        <f>IF(Данные6[[#This Row],[weighted_ext_score]]&gt;$O$1,MIN(Данные6[[#This Row],[Базовая сумма]]*$O$2,$C$2),IF(Данные6[[#This Row],[weighted_ext_score]]&lt;$O$3,Данные6[[#This Row],[Базовая сумма]]*$O$4,N865))</f>
        <v>40000</v>
      </c>
      <c r="P8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8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65" s="2">
        <f>ABS(Данные6[[#This Row],[days_birth]])/365.2425</f>
        <v>56.269464807627806</v>
      </c>
      <c r="S8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865" s="2">
        <f>IF(Данные6[[#This Row],[ interest_rate]]&gt;$T$1,Данные6[[#This Row],[days_birth4]]*$T$2,Данные6[[#This Row],[days_birth4]])</f>
        <v>50400</v>
      </c>
      <c r="U865" s="2">
        <f>IF(Данные6[[#This Row],[Проверка отказа]]="отказ",0,MAX(Данные6[[#This Row],[interest_rate]],$C$1))</f>
        <v>50400</v>
      </c>
      <c r="V865" s="2">
        <f>MROUND(Данные6[[#This Row],[Минимум 20000]], 100)</f>
        <v>50400</v>
      </c>
    </row>
    <row r="866" spans="1:22" x14ac:dyDescent="0.25">
      <c r="A866" s="2">
        <f>'1000_заявлений'!A860</f>
        <v>858</v>
      </c>
      <c r="B866" s="4">
        <f>VALUE(SUBSTITUTE('1000_заявлений'!B860, ".", ","))</f>
        <v>0.63138004203912301</v>
      </c>
      <c r="C866" s="4">
        <f>VALUE(SUBSTITUTE('1000_заявлений'!C860, ".", ","))</f>
        <v>0.330493913480645</v>
      </c>
      <c r="D866" s="4">
        <f>VALUE(SUBSTITUTE('1000_заявлений'!D860, ".", ","))</f>
        <v>0.46865966999999997</v>
      </c>
      <c r="E866" s="4">
        <f>VALUE(SUBSTITUTE('1000_заявлений'!E860, ".", ","))</f>
        <v>0.26611388000000002</v>
      </c>
      <c r="F866" s="5">
        <f>VALUE(SUBSTITUTE('1000_заявлений'!F860, ".", ","))</f>
        <v>-4648</v>
      </c>
      <c r="G866" s="5">
        <f>VALUE(SUBSTITUTE('1000_заявлений'!G860, ".", ","))</f>
        <v>-10915</v>
      </c>
      <c r="H866" s="5">
        <f>VALUE(SUBSTITUTE('1000_заявлений'!H860, ".", ","))</f>
        <v>-3444</v>
      </c>
      <c r="I866" s="4">
        <f>VALUE(SUBSTITUTE('1000_заявлений'!I860, ".", ","))</f>
        <v>0.13404444444444399</v>
      </c>
      <c r="J866" s="4">
        <f>VALUE(SUBSTITUTE('1000_заявлений'!J860, ".", ","))</f>
        <v>4.6197886003463697</v>
      </c>
      <c r="K866" s="5">
        <f>VALUE(SUBSTITUTE('1000_заявлений'!K860, ".", ","))</f>
        <v>-1579</v>
      </c>
      <c r="L866" s="6">
        <f>VALUE(SUBSTITUTE('1000_заявлений'!L860, ".", ","))</f>
        <v>13572</v>
      </c>
      <c r="M866" s="2" t="str">
        <f>IF(Данные6[[#This Row],[proba]]&gt;$C$6, "отказ", "одобрение")</f>
        <v>отказ</v>
      </c>
      <c r="N866" s="7">
        <f>IF(Данные6[[#This Row],[proba]]&lt;$D$2,$C$2,IF(Данные6[[#This Row],[proba]]&lt;$D$3,$C$3,IF(Данные6[[#This Row],[proba]]&gt;$C$6,0,$C$4)))</f>
        <v>0</v>
      </c>
      <c r="O866" s="2">
        <f>IF(Данные6[[#This Row],[weighted_ext_score]]&gt;$O$1,MIN(Данные6[[#This Row],[Базовая сумма]]*$O$2,$C$2),IF(Данные6[[#This Row],[weighted_ext_score]]&lt;$O$3,Данные6[[#This Row],[Базовая сумма]]*$O$4,N866))</f>
        <v>0</v>
      </c>
      <c r="P8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6" s="2">
        <f>ABS(Данные6[[#This Row],[days_birth]])/365.2425</f>
        <v>29.884254981279561</v>
      </c>
      <c r="S8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6" s="2">
        <f>IF(Данные6[[#This Row],[ interest_rate]]&gt;$T$1,Данные6[[#This Row],[days_birth4]]*$T$2,Данные6[[#This Row],[days_birth4]])</f>
        <v>0</v>
      </c>
      <c r="U866" s="2">
        <f>IF(Данные6[[#This Row],[Проверка отказа]]="отказ",0,MAX(Данные6[[#This Row],[interest_rate]],$C$1))</f>
        <v>0</v>
      </c>
      <c r="V866" s="2">
        <f>MROUND(Данные6[[#This Row],[Минимум 20000]], 100)</f>
        <v>0</v>
      </c>
    </row>
    <row r="867" spans="1:22" x14ac:dyDescent="0.25">
      <c r="A867" s="2">
        <f>'1000_заявлений'!A861</f>
        <v>859</v>
      </c>
      <c r="B867" s="4">
        <f>VALUE(SUBSTITUTE('1000_заявлений'!B861, ".", ","))</f>
        <v>0.32938044574695002</v>
      </c>
      <c r="C867" s="4">
        <f>VALUE(SUBSTITUTE('1000_заявлений'!C861, ".", ","))</f>
        <v>0.23819510715000999</v>
      </c>
      <c r="D867" s="4">
        <f>VALUE(SUBSTITUTE('1000_заявлений'!D861, ".", ","))</f>
        <v>0.53527623000000002</v>
      </c>
      <c r="E867" s="4">
        <f>VALUE(SUBSTITUTE('1000_заявлений'!E861, ".", ","))</f>
        <v>0.73431592999999995</v>
      </c>
      <c r="F867" s="5">
        <f>VALUE(SUBSTITUTE('1000_заявлений'!F861, ".", ","))</f>
        <v>-11027</v>
      </c>
      <c r="G867" s="5">
        <f>VALUE(SUBSTITUTE('1000_заявлений'!G861, ".", ","))</f>
        <v>-22069</v>
      </c>
      <c r="H867" s="5">
        <f>VALUE(SUBSTITUTE('1000_заявлений'!H861, ".", ","))</f>
        <v>-4904</v>
      </c>
      <c r="I867" s="4">
        <f>VALUE(SUBSTITUTE('1000_заявлений'!I861, ".", ","))</f>
        <v>0.22095000000000001</v>
      </c>
      <c r="J867" s="4">
        <f>VALUE(SUBSTITUTE('1000_заявлений'!J861, ".", ","))</f>
        <v>4.5404773809129804</v>
      </c>
      <c r="K867" s="5">
        <f>VALUE(SUBSTITUTE('1000_заявлений'!K861, ".", ","))</f>
        <v>365243</v>
      </c>
      <c r="L867" s="6">
        <f>VALUE(SUBSTITUTE('1000_заявлений'!L861, ".", ","))</f>
        <v>19885.5</v>
      </c>
      <c r="M867" s="2" t="str">
        <f>IF(Данные6[[#This Row],[proba]]&gt;$C$6, "отказ", "одобрение")</f>
        <v>отказ</v>
      </c>
      <c r="N867" s="7">
        <f>IF(Данные6[[#This Row],[proba]]&lt;$D$2,$C$2,IF(Данные6[[#This Row],[proba]]&lt;$D$3,$C$3,IF(Данные6[[#This Row],[proba]]&gt;$C$6,0,$C$4)))</f>
        <v>0</v>
      </c>
      <c r="O867" s="2">
        <f>IF(Данные6[[#This Row],[weighted_ext_score]]&gt;$O$1,MIN(Данные6[[#This Row],[Базовая сумма]]*$O$2,$C$2),IF(Данные6[[#This Row],[weighted_ext_score]]&lt;$O$3,Данные6[[#This Row],[Базовая сумма]]*$O$4,N867))</f>
        <v>0</v>
      </c>
      <c r="P8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7" s="2">
        <f>ABS(Данные6[[#This Row],[days_birth]])/365.2425</f>
        <v>60.422869737229377</v>
      </c>
      <c r="S8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7" s="2">
        <f>IF(Данные6[[#This Row],[ interest_rate]]&gt;$T$1,Данные6[[#This Row],[days_birth4]]*$T$2,Данные6[[#This Row],[days_birth4]])</f>
        <v>0</v>
      </c>
      <c r="U867" s="2">
        <f>IF(Данные6[[#This Row],[Проверка отказа]]="отказ",0,MAX(Данные6[[#This Row],[interest_rate]],$C$1))</f>
        <v>0</v>
      </c>
      <c r="V867" s="2">
        <f>MROUND(Данные6[[#This Row],[Минимум 20000]], 100)</f>
        <v>0</v>
      </c>
    </row>
    <row r="868" spans="1:22" x14ac:dyDescent="0.25">
      <c r="A868" s="2">
        <f>'1000_заявлений'!A862</f>
        <v>860</v>
      </c>
      <c r="B868" s="4">
        <f>VALUE(SUBSTITUTE('1000_заявлений'!B862, ".", ","))</f>
        <v>0.43000761544250798</v>
      </c>
      <c r="C868" s="4">
        <f>VALUE(SUBSTITUTE('1000_заявлений'!C862, ".", ","))</f>
        <v>0.21886257622271299</v>
      </c>
      <c r="D868" s="4">
        <f>VALUE(SUBSTITUTE('1000_заявлений'!D862, ".", ","))</f>
        <v>0.53527623000000002</v>
      </c>
      <c r="E868" s="4">
        <f>VALUE(SUBSTITUTE('1000_заявлений'!E862, ".", ","))</f>
        <v>0.67471694999999998</v>
      </c>
      <c r="F868" s="5">
        <f>VALUE(SUBSTITUTE('1000_заявлений'!F862, ".", ","))</f>
        <v>-9181</v>
      </c>
      <c r="G868" s="5">
        <f>VALUE(SUBSTITUTE('1000_заявлений'!G862, ".", ","))</f>
        <v>-19920</v>
      </c>
      <c r="H868" s="5">
        <f>VALUE(SUBSTITUTE('1000_заявлений'!H862, ".", ","))</f>
        <v>-3080</v>
      </c>
      <c r="I868" s="4">
        <f>VALUE(SUBSTITUTE('1000_заявлений'!I862, ".", ","))</f>
        <v>0.16286</v>
      </c>
      <c r="J868" s="4">
        <f>VALUE(SUBSTITUTE('1000_заявлений'!J862, ".", ","))</f>
        <v>0.98505729674087605</v>
      </c>
      <c r="K868" s="5">
        <f>VALUE(SUBSTITUTE('1000_заявлений'!K862, ".", ","))</f>
        <v>-1049</v>
      </c>
      <c r="L868" s="6">
        <f>VALUE(SUBSTITUTE('1000_заявлений'!L862, ".", ","))</f>
        <v>36643.5</v>
      </c>
      <c r="M868" s="2" t="str">
        <f>IF(Данные6[[#This Row],[proba]]&gt;$C$6, "отказ", "одобрение")</f>
        <v>отказ</v>
      </c>
      <c r="N868" s="7">
        <f>IF(Данные6[[#This Row],[proba]]&lt;$D$2,$C$2,IF(Данные6[[#This Row],[proba]]&lt;$D$3,$C$3,IF(Данные6[[#This Row],[proba]]&gt;$C$6,0,$C$4)))</f>
        <v>0</v>
      </c>
      <c r="O868" s="2">
        <f>IF(Данные6[[#This Row],[weighted_ext_score]]&gt;$O$1,MIN(Данные6[[#This Row],[Базовая сумма]]*$O$2,$C$2),IF(Данные6[[#This Row],[weighted_ext_score]]&lt;$O$3,Данные6[[#This Row],[Базовая сумма]]*$O$4,N868))</f>
        <v>0</v>
      </c>
      <c r="P8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8" s="2">
        <f>ABS(Данные6[[#This Row],[days_birth]])/365.2425</f>
        <v>54.53910757921107</v>
      </c>
      <c r="S8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8" s="2">
        <f>IF(Данные6[[#This Row],[ interest_rate]]&gt;$T$1,Данные6[[#This Row],[days_birth4]]*$T$2,Данные6[[#This Row],[days_birth4]])</f>
        <v>0</v>
      </c>
      <c r="U868" s="2">
        <f>IF(Данные6[[#This Row],[Проверка отказа]]="отказ",0,MAX(Данные6[[#This Row],[interest_rate]],$C$1))</f>
        <v>0</v>
      </c>
      <c r="V868" s="2">
        <f>MROUND(Данные6[[#This Row],[Минимум 20000]], 100)</f>
        <v>0</v>
      </c>
    </row>
    <row r="869" spans="1:22" x14ac:dyDescent="0.25">
      <c r="A869" s="2">
        <f>'1000_заявлений'!A863</f>
        <v>861</v>
      </c>
      <c r="B869" s="4">
        <f>VALUE(SUBSTITUTE('1000_заявлений'!B863, ".", ","))</f>
        <v>0.36434149709422298</v>
      </c>
      <c r="C869" s="4">
        <f>VALUE(SUBSTITUTE('1000_заявлений'!C863, ".", ","))</f>
        <v>0.383898914523013</v>
      </c>
      <c r="D869" s="4">
        <f>VALUE(SUBSTITUTE('1000_заявлений'!D863, ".", ","))</f>
        <v>0.55138129999999996</v>
      </c>
      <c r="E869" s="4">
        <f>VALUE(SUBSTITUTE('1000_заявлений'!E863, ".", ","))</f>
        <v>0.56873119999999999</v>
      </c>
      <c r="F869" s="5">
        <f>VALUE(SUBSTITUTE('1000_заявлений'!F863, ".", ","))</f>
        <v>-4688</v>
      </c>
      <c r="G869" s="5">
        <f>VALUE(SUBSTITUTE('1000_заявлений'!G863, ".", ","))</f>
        <v>-9935</v>
      </c>
      <c r="H869" s="5">
        <f>VALUE(SUBSTITUTE('1000_заявлений'!H863, ".", ","))</f>
        <v>-2213</v>
      </c>
      <c r="I869" s="4">
        <f>VALUE(SUBSTITUTE('1000_заявлений'!I863, ".", ","))</f>
        <v>0.12620000000000001</v>
      </c>
      <c r="J869" s="4">
        <f>VALUE(SUBSTITUTE('1000_заявлений'!J863, ".", ","))</f>
        <v>20.8192311151806</v>
      </c>
      <c r="K869" s="5">
        <f>VALUE(SUBSTITUTE('1000_заявлений'!K863, ".", ","))</f>
        <v>-2762</v>
      </c>
      <c r="L869" s="6">
        <f>VALUE(SUBSTITUTE('1000_заявлений'!L863, ".", ","))</f>
        <v>11358</v>
      </c>
      <c r="M869" s="2" t="str">
        <f>IF(Данные6[[#This Row],[proba]]&gt;$C$6, "отказ", "одобрение")</f>
        <v>отказ</v>
      </c>
      <c r="N869" s="7">
        <f>IF(Данные6[[#This Row],[proba]]&lt;$D$2,$C$2,IF(Данные6[[#This Row],[proba]]&lt;$D$3,$C$3,IF(Данные6[[#This Row],[proba]]&gt;$C$6,0,$C$4)))</f>
        <v>0</v>
      </c>
      <c r="O869" s="2">
        <f>IF(Данные6[[#This Row],[weighted_ext_score]]&gt;$O$1,MIN(Данные6[[#This Row],[Базовая сумма]]*$O$2,$C$2),IF(Данные6[[#This Row],[weighted_ext_score]]&lt;$O$3,Данные6[[#This Row],[Базовая сумма]]*$O$4,N869))</f>
        <v>0</v>
      </c>
      <c r="P8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69" s="2">
        <f>ABS(Данные6[[#This Row],[days_birth]])/365.2425</f>
        <v>27.201106114430821</v>
      </c>
      <c r="S8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69" s="2">
        <f>IF(Данные6[[#This Row],[ interest_rate]]&gt;$T$1,Данные6[[#This Row],[days_birth4]]*$T$2,Данные6[[#This Row],[days_birth4]])</f>
        <v>0</v>
      </c>
      <c r="U869" s="2">
        <f>IF(Данные6[[#This Row],[Проверка отказа]]="отказ",0,MAX(Данные6[[#This Row],[interest_rate]],$C$1))</f>
        <v>0</v>
      </c>
      <c r="V869" s="2">
        <f>MROUND(Данные6[[#This Row],[Минимум 20000]], 100)</f>
        <v>0</v>
      </c>
    </row>
    <row r="870" spans="1:22" x14ac:dyDescent="0.25">
      <c r="A870" s="2">
        <f>'1000_заявлений'!A864</f>
        <v>862</v>
      </c>
      <c r="B870" s="4">
        <f>VALUE(SUBSTITUTE('1000_заявлений'!B864, ".", ","))</f>
        <v>0.29866565035999298</v>
      </c>
      <c r="C870" s="4">
        <f>VALUE(SUBSTITUTE('1000_заявлений'!C864, ".", ","))</f>
        <v>0.44505039901892202</v>
      </c>
      <c r="D870" s="4">
        <f>VALUE(SUBSTITUTE('1000_заявлений'!D864, ".", ","))</f>
        <v>0.53527623000000002</v>
      </c>
      <c r="E870" s="4">
        <f>VALUE(SUBSTITUTE('1000_заявлений'!E864, ".", ","))</f>
        <v>0.74486494000000003</v>
      </c>
      <c r="F870" s="5">
        <f>VALUE(SUBSTITUTE('1000_заявлений'!F864, ".", ","))</f>
        <v>-1923</v>
      </c>
      <c r="G870" s="5">
        <f>VALUE(SUBSTITUTE('1000_заявлений'!G864, ".", ","))</f>
        <v>-13277</v>
      </c>
      <c r="H870" s="5">
        <f>VALUE(SUBSTITUTE('1000_заявлений'!H864, ".", ","))</f>
        <v>-4019</v>
      </c>
      <c r="I870" s="4">
        <f>VALUE(SUBSTITUTE('1000_заявлений'!I864, ".", ","))</f>
        <v>0.12</v>
      </c>
      <c r="J870" s="4">
        <f>VALUE(SUBSTITUTE('1000_заявлений'!J864, ".", ","))</f>
        <v>10.6209759779781</v>
      </c>
      <c r="K870" s="5">
        <f>VALUE(SUBSTITUTE('1000_заявлений'!K864, ".", ","))</f>
        <v>-831</v>
      </c>
      <c r="L870" s="6">
        <f>VALUE(SUBSTITUTE('1000_заявлений'!L864, ".", ","))</f>
        <v>13500</v>
      </c>
      <c r="M870" s="2" t="str">
        <f>IF(Данные6[[#This Row],[proba]]&gt;$C$6, "отказ", "одобрение")</f>
        <v>одобрение</v>
      </c>
      <c r="N870" s="7">
        <f>IF(Данные6[[#This Row],[proba]]&lt;$D$2,$C$2,IF(Данные6[[#This Row],[proba]]&lt;$D$3,$C$3,IF(Данные6[[#This Row],[proba]]&gt;$C$6,0,$C$4)))</f>
        <v>50000</v>
      </c>
      <c r="O870" s="2">
        <f>IF(Данные6[[#This Row],[weighted_ext_score]]&gt;$O$1,MIN(Данные6[[#This Row],[Базовая сумма]]*$O$2,$C$2),IF(Данные6[[#This Row],[weighted_ext_score]]&lt;$O$3,Данные6[[#This Row],[Базовая сумма]]*$O$4,N870))</f>
        <v>40000</v>
      </c>
      <c r="P8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870" s="2">
        <f>ABS(Данные6[[#This Row],[days_birth]])/365.2425</f>
        <v>36.351191331786417</v>
      </c>
      <c r="S8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28000</v>
      </c>
      <c r="T870" s="2">
        <f>IF(Данные6[[#This Row],[ interest_rate]]&gt;$T$1,Данные6[[#This Row],[days_birth4]]*$T$2,Данные6[[#This Row],[days_birth4]])</f>
        <v>28000</v>
      </c>
      <c r="U870" s="2">
        <f>IF(Данные6[[#This Row],[Проверка отказа]]="отказ",0,MAX(Данные6[[#This Row],[interest_rate]],$C$1))</f>
        <v>28000</v>
      </c>
      <c r="V870" s="2">
        <f>MROUND(Данные6[[#This Row],[Минимум 20000]], 100)</f>
        <v>28000</v>
      </c>
    </row>
    <row r="871" spans="1:22" x14ac:dyDescent="0.25">
      <c r="A871" s="2">
        <f>'1000_заявлений'!A865</f>
        <v>863</v>
      </c>
      <c r="B871" s="4">
        <f>VALUE(SUBSTITUTE('1000_заявлений'!B865, ".", ","))</f>
        <v>0.375224317181369</v>
      </c>
      <c r="C871" s="4">
        <f>VALUE(SUBSTITUTE('1000_заявлений'!C865, ".", ","))</f>
        <v>0.42032341906021697</v>
      </c>
      <c r="D871" s="4">
        <f>VALUE(SUBSTITUTE('1000_заявлений'!D865, ".", ","))</f>
        <v>0.47225335000000002</v>
      </c>
      <c r="E871" s="4">
        <f>VALUE(SUBSTITUTE('1000_заявлений'!E865, ".", ","))</f>
        <v>0.76924599999999999</v>
      </c>
      <c r="F871" s="5">
        <f>VALUE(SUBSTITUTE('1000_заявлений'!F865, ".", ","))</f>
        <v>-6206</v>
      </c>
      <c r="G871" s="5">
        <f>VALUE(SUBSTITUTE('1000_заявлений'!G865, ".", ","))</f>
        <v>-17048</v>
      </c>
      <c r="H871" s="5">
        <f>VALUE(SUBSTITUTE('1000_заявлений'!H865, ".", ","))</f>
        <v>-608</v>
      </c>
      <c r="I871" s="4">
        <f>VALUE(SUBSTITUTE('1000_заявлений'!I865, ".", ","))</f>
        <v>0.23951111111111101</v>
      </c>
      <c r="J871" s="4">
        <f>VALUE(SUBSTITUTE('1000_заявлений'!J865, ".", ","))</f>
        <v>2.7716363984807</v>
      </c>
      <c r="K871" s="5">
        <f>VALUE(SUBSTITUTE('1000_заявлений'!K865, ".", ","))</f>
        <v>-3119</v>
      </c>
      <c r="L871" s="6">
        <f>VALUE(SUBSTITUTE('1000_заявлений'!L865, ".", ","))</f>
        <v>48501</v>
      </c>
      <c r="M871" s="2" t="str">
        <f>IF(Данные6[[#This Row],[proba]]&gt;$C$6, "отказ", "одобрение")</f>
        <v>отказ</v>
      </c>
      <c r="N871" s="7">
        <f>IF(Данные6[[#This Row],[proba]]&lt;$D$2,$C$2,IF(Данные6[[#This Row],[proba]]&lt;$D$3,$C$3,IF(Данные6[[#This Row],[proba]]&gt;$C$6,0,$C$4)))</f>
        <v>0</v>
      </c>
      <c r="O871" s="2">
        <f>IF(Данные6[[#This Row],[weighted_ext_score]]&gt;$O$1,MIN(Данные6[[#This Row],[Базовая сумма]]*$O$2,$C$2),IF(Данные6[[#This Row],[weighted_ext_score]]&lt;$O$3,Данные6[[#This Row],[Базовая сумма]]*$O$4,N871))</f>
        <v>0</v>
      </c>
      <c r="P8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1" s="2">
        <f>ABS(Данные6[[#This Row],[days_birth]])/365.2425</f>
        <v>46.675838655140076</v>
      </c>
      <c r="S8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1" s="2">
        <f>IF(Данные6[[#This Row],[ interest_rate]]&gt;$T$1,Данные6[[#This Row],[days_birth4]]*$T$2,Данные6[[#This Row],[days_birth4]])</f>
        <v>0</v>
      </c>
      <c r="U871" s="2">
        <f>IF(Данные6[[#This Row],[Проверка отказа]]="отказ",0,MAX(Данные6[[#This Row],[interest_rate]],$C$1))</f>
        <v>0</v>
      </c>
      <c r="V871" s="2">
        <f>MROUND(Данные6[[#This Row],[Минимум 20000]], 100)</f>
        <v>0</v>
      </c>
    </row>
    <row r="872" spans="1:22" x14ac:dyDescent="0.25">
      <c r="A872" s="2">
        <f>'1000_заявлений'!A866</f>
        <v>864</v>
      </c>
      <c r="B872" s="4">
        <f>VALUE(SUBSTITUTE('1000_заявлений'!B866, ".", ","))</f>
        <v>0.34751458605013502</v>
      </c>
      <c r="C872" s="4">
        <f>VALUE(SUBSTITUTE('1000_заявлений'!C866, ".", ","))</f>
        <v>0.42330705754249398</v>
      </c>
      <c r="D872" s="4">
        <f>VALUE(SUBSTITUTE('1000_заявлений'!D866, ".", ","))</f>
        <v>0.7776594</v>
      </c>
      <c r="E872" s="4">
        <f>VALUE(SUBSTITUTE('1000_заявлений'!E866, ".", ","))</f>
        <v>0.43793005000000002</v>
      </c>
      <c r="F872" s="5">
        <f>VALUE(SUBSTITUTE('1000_заявлений'!F866, ".", ","))</f>
        <v>-2880</v>
      </c>
      <c r="G872" s="5">
        <f>VALUE(SUBSTITUTE('1000_заявлений'!G866, ".", ","))</f>
        <v>-18810</v>
      </c>
      <c r="H872" s="5">
        <f>VALUE(SUBSTITUTE('1000_заявлений'!H866, ".", ","))</f>
        <v>-2364</v>
      </c>
      <c r="I872" s="4">
        <f>VALUE(SUBSTITUTE('1000_заявлений'!I866, ".", ","))</f>
        <v>0.248823529411764</v>
      </c>
      <c r="J872" s="4">
        <f>VALUE(SUBSTITUTE('1000_заявлений'!J866, ".", ","))</f>
        <v>3.66949904978972</v>
      </c>
      <c r="K872" s="5">
        <f>VALUE(SUBSTITUTE('1000_заявлений'!K866, ".", ","))</f>
        <v>-2299</v>
      </c>
      <c r="L872" s="6">
        <f>VALUE(SUBSTITUTE('1000_заявлений'!L866, ".", ","))</f>
        <v>19035</v>
      </c>
      <c r="M872" s="2" t="str">
        <f>IF(Данные6[[#This Row],[proba]]&gt;$C$6, "отказ", "одобрение")</f>
        <v>отказ</v>
      </c>
      <c r="N872" s="7">
        <f>IF(Данные6[[#This Row],[proba]]&lt;$D$2,$C$2,IF(Данные6[[#This Row],[proba]]&lt;$D$3,$C$3,IF(Данные6[[#This Row],[proba]]&gt;$C$6,0,$C$4)))</f>
        <v>0</v>
      </c>
      <c r="O872" s="2">
        <f>IF(Данные6[[#This Row],[weighted_ext_score]]&gt;$O$1,MIN(Данные6[[#This Row],[Базовая сумма]]*$O$2,$C$2),IF(Данные6[[#This Row],[weighted_ext_score]]&lt;$O$3,Данные6[[#This Row],[Базовая сумма]]*$O$4,N872))</f>
        <v>0</v>
      </c>
      <c r="P8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2" s="2">
        <f>ABS(Данные6[[#This Row],[days_birth]])/365.2425</f>
        <v>51.500030801453825</v>
      </c>
      <c r="S8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2" s="2">
        <f>IF(Данные6[[#This Row],[ interest_rate]]&gt;$T$1,Данные6[[#This Row],[days_birth4]]*$T$2,Данные6[[#This Row],[days_birth4]])</f>
        <v>0</v>
      </c>
      <c r="U872" s="2">
        <f>IF(Данные6[[#This Row],[Проверка отказа]]="отказ",0,MAX(Данные6[[#This Row],[interest_rate]],$C$1))</f>
        <v>0</v>
      </c>
      <c r="V872" s="2">
        <f>MROUND(Данные6[[#This Row],[Минимум 20000]], 100)</f>
        <v>0</v>
      </c>
    </row>
    <row r="873" spans="1:22" x14ac:dyDescent="0.25">
      <c r="A873" s="2">
        <f>'1000_заявлений'!A867</f>
        <v>865</v>
      </c>
      <c r="B873" s="4">
        <f>VALUE(SUBSTITUTE('1000_заявлений'!B867, ".", ","))</f>
        <v>0.46365463403234602</v>
      </c>
      <c r="C873" s="4">
        <f>VALUE(SUBSTITUTE('1000_заявлений'!C867, ".", ","))</f>
        <v>0.303630863737538</v>
      </c>
      <c r="D873" s="4">
        <f>VALUE(SUBSTITUTE('1000_заявлений'!D867, ".", ","))</f>
        <v>0.55850659999999996</v>
      </c>
      <c r="E873" s="4">
        <f>VALUE(SUBSTITUTE('1000_заявлений'!E867, ".", ","))</f>
        <v>0.31333375000000002</v>
      </c>
      <c r="F873" s="5">
        <f>VALUE(SUBSTITUTE('1000_заявлений'!F867, ".", ","))</f>
        <v>-8645</v>
      </c>
      <c r="G873" s="5">
        <f>VALUE(SUBSTITUTE('1000_заявлений'!G867, ".", ","))</f>
        <v>-20483</v>
      </c>
      <c r="H873" s="5">
        <f>VALUE(SUBSTITUTE('1000_заявлений'!H867, ".", ","))</f>
        <v>-4036</v>
      </c>
      <c r="I873" s="4">
        <f>VALUE(SUBSTITUTE('1000_заявлений'!I867, ".", ","))</f>
        <v>0.231833333333333</v>
      </c>
      <c r="J873" s="4">
        <f>VALUE(SUBSTITUTE('1000_заявлений'!J867, ".", ","))</f>
        <v>8.3918028141144596</v>
      </c>
      <c r="K873" s="5">
        <f>VALUE(SUBSTITUTE('1000_заявлений'!K867, ".", ","))</f>
        <v>365243</v>
      </c>
      <c r="L873" s="6">
        <f>VALUE(SUBSTITUTE('1000_заявлений'!L867, ".", ","))</f>
        <v>12519</v>
      </c>
      <c r="M873" s="2" t="str">
        <f>IF(Данные6[[#This Row],[proba]]&gt;$C$6, "отказ", "одобрение")</f>
        <v>отказ</v>
      </c>
      <c r="N873" s="7">
        <f>IF(Данные6[[#This Row],[proba]]&lt;$D$2,$C$2,IF(Данные6[[#This Row],[proba]]&lt;$D$3,$C$3,IF(Данные6[[#This Row],[proba]]&gt;$C$6,0,$C$4)))</f>
        <v>0</v>
      </c>
      <c r="O873" s="2">
        <f>IF(Данные6[[#This Row],[weighted_ext_score]]&gt;$O$1,MIN(Данные6[[#This Row],[Базовая сумма]]*$O$2,$C$2),IF(Данные6[[#This Row],[weighted_ext_score]]&lt;$O$3,Данные6[[#This Row],[Базовая сумма]]*$O$4,N873))</f>
        <v>0</v>
      </c>
      <c r="P8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3" s="2">
        <f>ABS(Данные6[[#This Row],[days_birth]])/365.2425</f>
        <v>56.080549224145599</v>
      </c>
      <c r="S8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3" s="2">
        <f>IF(Данные6[[#This Row],[ interest_rate]]&gt;$T$1,Данные6[[#This Row],[days_birth4]]*$T$2,Данные6[[#This Row],[days_birth4]])</f>
        <v>0</v>
      </c>
      <c r="U873" s="2">
        <f>IF(Данные6[[#This Row],[Проверка отказа]]="отказ",0,MAX(Данные6[[#This Row],[interest_rate]],$C$1))</f>
        <v>0</v>
      </c>
      <c r="V873" s="2">
        <f>MROUND(Данные6[[#This Row],[Минимум 20000]], 100)</f>
        <v>0</v>
      </c>
    </row>
    <row r="874" spans="1:22" x14ac:dyDescent="0.25">
      <c r="A874" s="2">
        <f>'1000_заявлений'!A868</f>
        <v>866</v>
      </c>
      <c r="B874" s="4">
        <f>VALUE(SUBSTITUTE('1000_заявлений'!B868, ".", ","))</f>
        <v>0.234075091380364</v>
      </c>
      <c r="C874" s="4">
        <f>VALUE(SUBSTITUTE('1000_заявлений'!C868, ".", ","))</f>
        <v>0.46719042422262502</v>
      </c>
      <c r="D874" s="4">
        <f>VALUE(SUBSTITUTE('1000_заявлений'!D868, ".", ","))</f>
        <v>0.78505199999999997</v>
      </c>
      <c r="E874" s="4">
        <f>VALUE(SUBSTITUTE('1000_заявлений'!E868, ".", ","))</f>
        <v>0.56497275999999996</v>
      </c>
      <c r="F874" s="5">
        <f>VALUE(SUBSTITUTE('1000_заявлений'!F868, ".", ","))</f>
        <v>-1024</v>
      </c>
      <c r="G874" s="5">
        <f>VALUE(SUBSTITUTE('1000_заявлений'!G868, ".", ","))</f>
        <v>-19976</v>
      </c>
      <c r="H874" s="5">
        <f>VALUE(SUBSTITUTE('1000_заявлений'!H868, ".", ","))</f>
        <v>-3115</v>
      </c>
      <c r="I874" s="4">
        <f>VALUE(SUBSTITUTE('1000_заявлений'!I868, ".", ","))</f>
        <v>0.21422222222222201</v>
      </c>
      <c r="J874" s="4">
        <f>VALUE(SUBSTITUTE('1000_заявлений'!J868, ".", ","))</f>
        <v>2.0876895055376998</v>
      </c>
      <c r="K874" s="5">
        <f>VALUE(SUBSTITUTE('1000_заявлений'!K868, ".", ","))</f>
        <v>365243</v>
      </c>
      <c r="L874" s="6">
        <f>VALUE(SUBSTITUTE('1000_заявлений'!L868, ".", ","))</f>
        <v>17352</v>
      </c>
      <c r="M874" s="2" t="str">
        <f>IF(Данные6[[#This Row],[proba]]&gt;$C$6, "отказ", "одобрение")</f>
        <v>одобрение</v>
      </c>
      <c r="N874" s="7">
        <f>IF(Данные6[[#This Row],[proba]]&lt;$D$2,$C$2,IF(Данные6[[#This Row],[proba]]&lt;$D$3,$C$3,IF(Данные6[[#This Row],[proba]]&gt;$C$6,0,$C$4)))</f>
        <v>50000</v>
      </c>
      <c r="O874" s="2">
        <f>IF(Данные6[[#This Row],[weighted_ext_score]]&gt;$O$1,MIN(Данные6[[#This Row],[Базовая сумма]]*$O$2,$C$2),IF(Данные6[[#This Row],[weighted_ext_score]]&lt;$O$3,Данные6[[#This Row],[Базовая сумма]]*$O$4,N874))</f>
        <v>40000</v>
      </c>
      <c r="P8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74" s="2">
        <f>ABS(Данные6[[#This Row],[days_birth]])/365.2425</f>
        <v>54.692430371602427</v>
      </c>
      <c r="S8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74" s="2">
        <f>IF(Данные6[[#This Row],[ interest_rate]]&gt;$T$1,Данные6[[#This Row],[days_birth4]]*$T$2,Данные6[[#This Row],[days_birth4]])</f>
        <v>42000</v>
      </c>
      <c r="U874" s="2">
        <f>IF(Данные6[[#This Row],[Проверка отказа]]="отказ",0,MAX(Данные6[[#This Row],[interest_rate]],$C$1))</f>
        <v>42000</v>
      </c>
      <c r="V874" s="2">
        <f>MROUND(Данные6[[#This Row],[Минимум 20000]], 100)</f>
        <v>42000</v>
      </c>
    </row>
    <row r="875" spans="1:22" x14ac:dyDescent="0.25">
      <c r="A875" s="2">
        <f>'1000_заявлений'!A869</f>
        <v>867</v>
      </c>
      <c r="B875" s="4">
        <f>VALUE(SUBSTITUTE('1000_заявлений'!B869, ".", ","))</f>
        <v>0.74505560856790898</v>
      </c>
      <c r="C875" s="4">
        <f>VALUE(SUBSTITUTE('1000_заявлений'!C869, ".", ","))</f>
        <v>8.3043234138829008E-3</v>
      </c>
      <c r="D875" s="4">
        <f>VALUE(SUBSTITUTE('1000_заявлений'!D869, ".", ","))</f>
        <v>0.53527623000000002</v>
      </c>
      <c r="E875" s="4">
        <f>VALUE(SUBSTITUTE('1000_заявлений'!E869, ".", ","))</f>
        <v>2.5600848999999998E-2</v>
      </c>
      <c r="F875" s="5">
        <f>VALUE(SUBSTITUTE('1000_заявлений'!F869, ".", ","))</f>
        <v>-4169</v>
      </c>
      <c r="G875" s="5">
        <f>VALUE(SUBSTITUTE('1000_заявлений'!G869, ".", ","))</f>
        <v>-15925</v>
      </c>
      <c r="H875" s="5">
        <f>VALUE(SUBSTITUTE('1000_заявлений'!H869, ".", ","))</f>
        <v>-4473</v>
      </c>
      <c r="I875" s="4">
        <f>VALUE(SUBSTITUTE('1000_заявлений'!I869, ".", ","))</f>
        <v>6.6666666666666596E-2</v>
      </c>
      <c r="J875" s="4">
        <f>VALUE(SUBSTITUTE('1000_заявлений'!J869, ".", ","))</f>
        <v>10.6209759779781</v>
      </c>
      <c r="K875" s="5">
        <f>VALUE(SUBSTITUTE('1000_заявлений'!K869, ".", ","))</f>
        <v>-2175</v>
      </c>
      <c r="L875" s="6">
        <f>VALUE(SUBSTITUTE('1000_заявлений'!L869, ".", ","))</f>
        <v>13500</v>
      </c>
      <c r="M875" s="2" t="str">
        <f>IF(Данные6[[#This Row],[proba]]&gt;$C$6, "отказ", "одобрение")</f>
        <v>отказ</v>
      </c>
      <c r="N875" s="7">
        <f>IF(Данные6[[#This Row],[proba]]&lt;$D$2,$C$2,IF(Данные6[[#This Row],[proba]]&lt;$D$3,$C$3,IF(Данные6[[#This Row],[proba]]&gt;$C$6,0,$C$4)))</f>
        <v>0</v>
      </c>
      <c r="O875" s="2">
        <f>IF(Данные6[[#This Row],[weighted_ext_score]]&gt;$O$1,MIN(Данные6[[#This Row],[Базовая сумма]]*$O$2,$C$2),IF(Данные6[[#This Row],[weighted_ext_score]]&lt;$O$3,Данные6[[#This Row],[Базовая сумма]]*$O$4,N875))</f>
        <v>0</v>
      </c>
      <c r="P8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5" s="2">
        <f>ABS(Данные6[[#This Row],[days_birth]])/365.2425</f>
        <v>43.601169086291982</v>
      </c>
      <c r="S8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5" s="2">
        <f>IF(Данные6[[#This Row],[ interest_rate]]&gt;$T$1,Данные6[[#This Row],[days_birth4]]*$T$2,Данные6[[#This Row],[days_birth4]])</f>
        <v>0</v>
      </c>
      <c r="U875" s="2">
        <f>IF(Данные6[[#This Row],[Проверка отказа]]="отказ",0,MAX(Данные6[[#This Row],[interest_rate]],$C$1))</f>
        <v>0</v>
      </c>
      <c r="V875" s="2">
        <f>MROUND(Данные6[[#This Row],[Минимум 20000]], 100)</f>
        <v>0</v>
      </c>
    </row>
    <row r="876" spans="1:22" x14ac:dyDescent="0.25">
      <c r="A876" s="2">
        <f>'1000_заявлений'!A870</f>
        <v>868</v>
      </c>
      <c r="B876" s="4">
        <f>VALUE(SUBSTITUTE('1000_заявлений'!B870, ".", ","))</f>
        <v>0.27306122682171602</v>
      </c>
      <c r="C876" s="4">
        <f>VALUE(SUBSTITUTE('1000_заявлений'!C870, ".", ","))</f>
        <v>0.57138317562504304</v>
      </c>
      <c r="D876" s="4">
        <f>VALUE(SUBSTITUTE('1000_заявлений'!D870, ".", ","))</f>
        <v>0.60927564000000001</v>
      </c>
      <c r="E876" s="4">
        <f>VALUE(SUBSTITUTE('1000_заявлений'!E870, ".", ","))</f>
        <v>0.63533187000000002</v>
      </c>
      <c r="F876" s="5">
        <f>VALUE(SUBSTITUTE('1000_заявлений'!F870, ".", ","))</f>
        <v>-2699</v>
      </c>
      <c r="G876" s="5">
        <f>VALUE(SUBSTITUTE('1000_заявлений'!G870, ".", ","))</f>
        <v>-10688</v>
      </c>
      <c r="H876" s="5">
        <f>VALUE(SUBSTITUTE('1000_заявлений'!H870, ".", ","))</f>
        <v>-2706</v>
      </c>
      <c r="I876" s="4">
        <f>VALUE(SUBSTITUTE('1000_заявлений'!I870, ".", ","))</f>
        <v>0.133333333333333</v>
      </c>
      <c r="J876" s="4">
        <f>VALUE(SUBSTITUTE('1000_заявлений'!J870, ".", ","))</f>
        <v>10.6209759779781</v>
      </c>
      <c r="K876" s="5">
        <f>VALUE(SUBSTITUTE('1000_заявлений'!K870, ".", ","))</f>
        <v>-1785</v>
      </c>
      <c r="L876" s="6">
        <f>VALUE(SUBSTITUTE('1000_заявлений'!L870, ".", ","))</f>
        <v>18000</v>
      </c>
      <c r="M876" s="2" t="str">
        <f>IF(Данные6[[#This Row],[proba]]&gt;$C$6, "отказ", "одобрение")</f>
        <v>одобрение</v>
      </c>
      <c r="N876" s="7">
        <f>IF(Данные6[[#This Row],[proba]]&lt;$D$2,$C$2,IF(Данные6[[#This Row],[proba]]&lt;$D$3,$C$3,IF(Данные6[[#This Row],[proba]]&gt;$C$6,0,$C$4)))</f>
        <v>50000</v>
      </c>
      <c r="O876" s="2">
        <f>IF(Данные6[[#This Row],[weighted_ext_score]]&gt;$O$1,MIN(Данные6[[#This Row],[Базовая сумма]]*$O$2,$C$2),IF(Данные6[[#This Row],[weighted_ext_score]]&lt;$O$3,Данные6[[#This Row],[Базовая сумма]]*$O$4,N876))</f>
        <v>50000</v>
      </c>
      <c r="P8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876" s="2">
        <f>ABS(Данные6[[#This Row],[days_birth]])/365.2425</f>
        <v>29.262750090693171</v>
      </c>
      <c r="S8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876" s="2">
        <f>IF(Данные6[[#This Row],[ interest_rate]]&gt;$T$1,Данные6[[#This Row],[days_birth4]]*$T$2,Данные6[[#This Row],[days_birth4]])</f>
        <v>35000</v>
      </c>
      <c r="U876" s="2">
        <f>IF(Данные6[[#This Row],[Проверка отказа]]="отказ",0,MAX(Данные6[[#This Row],[interest_rate]],$C$1))</f>
        <v>35000</v>
      </c>
      <c r="V876" s="2">
        <f>MROUND(Данные6[[#This Row],[Минимум 20000]], 100)</f>
        <v>35000</v>
      </c>
    </row>
    <row r="877" spans="1:22" x14ac:dyDescent="0.25">
      <c r="A877" s="2">
        <f>'1000_заявлений'!A871</f>
        <v>869</v>
      </c>
      <c r="B877" s="4">
        <f>VALUE(SUBSTITUTE('1000_заявлений'!B871, ".", ","))</f>
        <v>0.344398062297878</v>
      </c>
      <c r="C877" s="4">
        <f>VALUE(SUBSTITUTE('1000_заявлений'!C871, ".", ","))</f>
        <v>0.59071068939576099</v>
      </c>
      <c r="D877" s="4">
        <f>VALUE(SUBSTITUTE('1000_заявлений'!D871, ".", ","))</f>
        <v>0.81931770000000004</v>
      </c>
      <c r="E877" s="4">
        <f>VALUE(SUBSTITUTE('1000_заявлений'!E871, ".", ","))</f>
        <v>0.22693627</v>
      </c>
      <c r="F877" s="5">
        <f>VALUE(SUBSTITUTE('1000_заявлений'!F871, ".", ","))</f>
        <v>-6814</v>
      </c>
      <c r="G877" s="5">
        <f>VALUE(SUBSTITUTE('1000_заявлений'!G871, ".", ","))</f>
        <v>-17090</v>
      </c>
      <c r="H877" s="5">
        <f>VALUE(SUBSTITUTE('1000_заявлений'!H871, ".", ","))</f>
        <v>-643</v>
      </c>
      <c r="I877" s="4">
        <f>VALUE(SUBSTITUTE('1000_заявлений'!I871, ".", ","))</f>
        <v>0.21551999999999999</v>
      </c>
      <c r="J877" s="4">
        <f>VALUE(SUBSTITUTE('1000_заявлений'!J871, ".", ","))</f>
        <v>1.9221929010054299</v>
      </c>
      <c r="K877" s="5">
        <f>VALUE(SUBSTITUTE('1000_заявлений'!K871, ".", ","))</f>
        <v>-6595</v>
      </c>
      <c r="L877" s="6">
        <f>VALUE(SUBSTITUTE('1000_заявлений'!L871, ".", ","))</f>
        <v>24246</v>
      </c>
      <c r="M877" s="2" t="str">
        <f>IF(Данные6[[#This Row],[proba]]&gt;$C$6, "отказ", "одобрение")</f>
        <v>отказ</v>
      </c>
      <c r="N877" s="7">
        <f>IF(Данные6[[#This Row],[proba]]&lt;$D$2,$C$2,IF(Данные6[[#This Row],[proba]]&lt;$D$3,$C$3,IF(Данные6[[#This Row],[proba]]&gt;$C$6,0,$C$4)))</f>
        <v>0</v>
      </c>
      <c r="O877" s="2">
        <f>IF(Данные6[[#This Row],[weighted_ext_score]]&gt;$O$1,MIN(Данные6[[#This Row],[Базовая сумма]]*$O$2,$C$2),IF(Данные6[[#This Row],[weighted_ext_score]]&lt;$O$3,Данные6[[#This Row],[Базовая сумма]]*$O$4,N877))</f>
        <v>0</v>
      </c>
      <c r="P8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7" s="2">
        <f>ABS(Данные6[[#This Row],[days_birth]])/365.2425</f>
        <v>46.790830749433596</v>
      </c>
      <c r="S8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7" s="2">
        <f>IF(Данные6[[#This Row],[ interest_rate]]&gt;$T$1,Данные6[[#This Row],[days_birth4]]*$T$2,Данные6[[#This Row],[days_birth4]])</f>
        <v>0</v>
      </c>
      <c r="U877" s="2">
        <f>IF(Данные6[[#This Row],[Проверка отказа]]="отказ",0,MAX(Данные6[[#This Row],[interest_rate]],$C$1))</f>
        <v>0</v>
      </c>
      <c r="V877" s="2">
        <f>MROUND(Данные6[[#This Row],[Минимум 20000]], 100)</f>
        <v>0</v>
      </c>
    </row>
    <row r="878" spans="1:22" x14ac:dyDescent="0.25">
      <c r="A878" s="2">
        <f>'1000_заявлений'!A872</f>
        <v>870</v>
      </c>
      <c r="B878" s="4">
        <f>VALUE(SUBSTITUTE('1000_заявлений'!B872, ".", ","))</f>
        <v>0.57258721666269197</v>
      </c>
      <c r="C878" s="4">
        <f>VALUE(SUBSTITUTE('1000_заявлений'!C872, ".", ","))</f>
        <v>0.37975958350074901</v>
      </c>
      <c r="D878" s="4">
        <f>VALUE(SUBSTITUTE('1000_заявлений'!D872, ".", ","))</f>
        <v>0.37233368</v>
      </c>
      <c r="E878" s="4">
        <f>VALUE(SUBSTITUTE('1000_заявлений'!E872, ".", ","))</f>
        <v>0.56911193999999998</v>
      </c>
      <c r="F878" s="5">
        <f>VALUE(SUBSTITUTE('1000_заявлений'!F872, ".", ","))</f>
        <v>-4157</v>
      </c>
      <c r="G878" s="5">
        <f>VALUE(SUBSTITUTE('1000_заявлений'!G872, ".", ","))</f>
        <v>-9603</v>
      </c>
      <c r="H878" s="5">
        <f>VALUE(SUBSTITUTE('1000_заявлений'!H872, ".", ","))</f>
        <v>-727</v>
      </c>
      <c r="I878" s="4">
        <f>VALUE(SUBSTITUTE('1000_заявлений'!I872, ".", ","))</f>
        <v>7.6488888888888801E-2</v>
      </c>
      <c r="J878" s="4">
        <f>VALUE(SUBSTITUTE('1000_заявлений'!J872, ".", ","))</f>
        <v>0.67134026977841899</v>
      </c>
      <c r="K878" s="5">
        <f>VALUE(SUBSTITUTE('1000_заявлений'!K872, ".", ","))</f>
        <v>-1020</v>
      </c>
      <c r="L878" s="6">
        <f>VALUE(SUBSTITUTE('1000_заявлений'!L872, ".", ","))</f>
        <v>15489</v>
      </c>
      <c r="M878" s="2" t="str">
        <f>IF(Данные6[[#This Row],[proba]]&gt;$C$6, "отказ", "одобрение")</f>
        <v>отказ</v>
      </c>
      <c r="N878" s="7">
        <f>IF(Данные6[[#This Row],[proba]]&lt;$D$2,$C$2,IF(Данные6[[#This Row],[proba]]&lt;$D$3,$C$3,IF(Данные6[[#This Row],[proba]]&gt;$C$6,0,$C$4)))</f>
        <v>0</v>
      </c>
      <c r="O878" s="2">
        <f>IF(Данные6[[#This Row],[weighted_ext_score]]&gt;$O$1,MIN(Данные6[[#This Row],[Базовая сумма]]*$O$2,$C$2),IF(Данные6[[#This Row],[weighted_ext_score]]&lt;$O$3,Данные6[[#This Row],[Базовая сумма]]*$O$4,N878))</f>
        <v>0</v>
      </c>
      <c r="P8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8" s="2">
        <f>ABS(Данные6[[#This Row],[days_birth]])/365.2425</f>
        <v>26.292120988110639</v>
      </c>
      <c r="S8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8" s="2">
        <f>IF(Данные6[[#This Row],[ interest_rate]]&gt;$T$1,Данные6[[#This Row],[days_birth4]]*$T$2,Данные6[[#This Row],[days_birth4]])</f>
        <v>0</v>
      </c>
      <c r="U878" s="2">
        <f>IF(Данные6[[#This Row],[Проверка отказа]]="отказ",0,MAX(Данные6[[#This Row],[interest_rate]],$C$1))</f>
        <v>0</v>
      </c>
      <c r="V878" s="2">
        <f>MROUND(Данные6[[#This Row],[Минимум 20000]], 100)</f>
        <v>0</v>
      </c>
    </row>
    <row r="879" spans="1:22" x14ac:dyDescent="0.25">
      <c r="A879" s="2">
        <f>'1000_заявлений'!A873</f>
        <v>871</v>
      </c>
      <c r="B879" s="4">
        <f>VALUE(SUBSTITUTE('1000_заявлений'!B873, ".", ","))</f>
        <v>0.38760083651233901</v>
      </c>
      <c r="C879" s="4">
        <f>VALUE(SUBSTITUTE('1000_заявлений'!C873, ".", ","))</f>
        <v>0.336451431197893</v>
      </c>
      <c r="D879" s="4">
        <f>VALUE(SUBSTITUTE('1000_заявлений'!D873, ".", ","))</f>
        <v>0.47225335000000002</v>
      </c>
      <c r="E879" s="4">
        <f>VALUE(SUBSTITUTE('1000_заявлений'!E873, ".", ","))</f>
        <v>0.51068259999999999</v>
      </c>
      <c r="F879" s="5">
        <f>VALUE(SUBSTITUTE('1000_заявлений'!F873, ".", ","))</f>
        <v>-4440</v>
      </c>
      <c r="G879" s="5">
        <f>VALUE(SUBSTITUTE('1000_заявлений'!G873, ".", ","))</f>
        <v>-23592</v>
      </c>
      <c r="H879" s="5">
        <f>VALUE(SUBSTITUTE('1000_заявлений'!H873, ".", ","))</f>
        <v>-4495</v>
      </c>
      <c r="I879" s="4">
        <f>VALUE(SUBSTITUTE('1000_заявлений'!I873, ".", ","))</f>
        <v>0.17952000000000001</v>
      </c>
      <c r="J879" s="4">
        <f>VALUE(SUBSTITUTE('1000_заявлений'!J873, ".", ","))</f>
        <v>3.6797817706826601</v>
      </c>
      <c r="K879" s="5">
        <f>VALUE(SUBSTITUTE('1000_заявлений'!K873, ".", ","))</f>
        <v>365243</v>
      </c>
      <c r="L879" s="6">
        <f>VALUE(SUBSTITUTE('1000_заявлений'!L873, ".", ","))</f>
        <v>40392</v>
      </c>
      <c r="M879" s="2" t="str">
        <f>IF(Данные6[[#This Row],[proba]]&gt;$C$6, "отказ", "одобрение")</f>
        <v>отказ</v>
      </c>
      <c r="N879" s="7">
        <f>IF(Данные6[[#This Row],[proba]]&lt;$D$2,$C$2,IF(Данные6[[#This Row],[proba]]&lt;$D$3,$C$3,IF(Данные6[[#This Row],[proba]]&gt;$C$6,0,$C$4)))</f>
        <v>0</v>
      </c>
      <c r="O879" s="2">
        <f>IF(Данные6[[#This Row],[weighted_ext_score]]&gt;$O$1,MIN(Данные6[[#This Row],[Базовая сумма]]*$O$2,$C$2),IF(Данные6[[#This Row],[weighted_ext_score]]&lt;$O$3,Данные6[[#This Row],[Базовая сумма]]*$O$4,N879))</f>
        <v>0</v>
      </c>
      <c r="P8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79" s="2">
        <f>ABS(Данные6[[#This Row],[days_birth]])/365.2425</f>
        <v>64.592702108872871</v>
      </c>
      <c r="S8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79" s="2">
        <f>IF(Данные6[[#This Row],[ interest_rate]]&gt;$T$1,Данные6[[#This Row],[days_birth4]]*$T$2,Данные6[[#This Row],[days_birth4]])</f>
        <v>0</v>
      </c>
      <c r="U879" s="2">
        <f>IF(Данные6[[#This Row],[Проверка отказа]]="отказ",0,MAX(Данные6[[#This Row],[interest_rate]],$C$1))</f>
        <v>0</v>
      </c>
      <c r="V879" s="2">
        <f>MROUND(Данные6[[#This Row],[Минимум 20000]], 100)</f>
        <v>0</v>
      </c>
    </row>
    <row r="880" spans="1:22" x14ac:dyDescent="0.25">
      <c r="A880" s="2">
        <f>'1000_заявлений'!A874</f>
        <v>872</v>
      </c>
      <c r="B880" s="4">
        <f>VALUE(SUBSTITUTE('1000_заявлений'!B874, ".", ","))</f>
        <v>0.362047473141548</v>
      </c>
      <c r="C880" s="4">
        <f>VALUE(SUBSTITUTE('1000_заявлений'!C874, ".", ","))</f>
        <v>0.57733155848236595</v>
      </c>
      <c r="D880" s="4">
        <f>VALUE(SUBSTITUTE('1000_заявлений'!D874, ".", ","))</f>
        <v>0.46148240000000001</v>
      </c>
      <c r="E880" s="4">
        <f>VALUE(SUBSTITUTE('1000_заявлений'!E874, ".", ","))</f>
        <v>0.56269795</v>
      </c>
      <c r="F880" s="5">
        <f>VALUE(SUBSTITUTE('1000_заявлений'!F874, ".", ","))</f>
        <v>-9766</v>
      </c>
      <c r="G880" s="5">
        <f>VALUE(SUBSTITUTE('1000_заявлений'!G874, ".", ","))</f>
        <v>-15638</v>
      </c>
      <c r="H880" s="5">
        <f>VALUE(SUBSTITUTE('1000_заявлений'!H874, ".", ","))</f>
        <v>-1062</v>
      </c>
      <c r="I880" s="4">
        <f>VALUE(SUBSTITUTE('1000_заявлений'!I874, ".", ","))</f>
        <v>0.170625</v>
      </c>
      <c r="J880" s="4">
        <f>VALUE(SUBSTITUTE('1000_заявлений'!J874, ".", ","))</f>
        <v>6.4638474293494204</v>
      </c>
      <c r="K880" s="5">
        <f>VALUE(SUBSTITUTE('1000_заявлений'!K874, ".", ","))</f>
        <v>-8072</v>
      </c>
      <c r="L880" s="6">
        <f>VALUE(SUBSTITUTE('1000_заявлений'!L874, ".", ","))</f>
        <v>30712.5</v>
      </c>
      <c r="M880" s="2" t="str">
        <f>IF(Данные6[[#This Row],[proba]]&gt;$C$6, "отказ", "одобрение")</f>
        <v>отказ</v>
      </c>
      <c r="N880" s="7">
        <f>IF(Данные6[[#This Row],[proba]]&lt;$D$2,$C$2,IF(Данные6[[#This Row],[proba]]&lt;$D$3,$C$3,IF(Данные6[[#This Row],[proba]]&gt;$C$6,0,$C$4)))</f>
        <v>0</v>
      </c>
      <c r="O880" s="2">
        <f>IF(Данные6[[#This Row],[weighted_ext_score]]&gt;$O$1,MIN(Данные6[[#This Row],[Базовая сумма]]*$O$2,$C$2),IF(Данные6[[#This Row],[weighted_ext_score]]&lt;$O$3,Данные6[[#This Row],[Базовая сумма]]*$O$4,N880))</f>
        <v>0</v>
      </c>
      <c r="P8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0" s="2">
        <f>ABS(Данные6[[#This Row],[days_birth]])/365.2425</f>
        <v>42.815389775286285</v>
      </c>
      <c r="S8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0" s="2">
        <f>IF(Данные6[[#This Row],[ interest_rate]]&gt;$T$1,Данные6[[#This Row],[days_birth4]]*$T$2,Данные6[[#This Row],[days_birth4]])</f>
        <v>0</v>
      </c>
      <c r="U880" s="2">
        <f>IF(Данные6[[#This Row],[Проверка отказа]]="отказ",0,MAX(Данные6[[#This Row],[interest_rate]],$C$1))</f>
        <v>0</v>
      </c>
      <c r="V880" s="2">
        <f>MROUND(Данные6[[#This Row],[Минимум 20000]], 100)</f>
        <v>0</v>
      </c>
    </row>
    <row r="881" spans="1:22" x14ac:dyDescent="0.25">
      <c r="A881" s="2">
        <f>'1000_заявлений'!A875</f>
        <v>873</v>
      </c>
      <c r="B881" s="4">
        <f>VALUE(SUBSTITUTE('1000_заявлений'!B875, ".", ","))</f>
        <v>0.25774545392732801</v>
      </c>
      <c r="C881" s="4">
        <f>VALUE(SUBSTITUTE('1000_заявлений'!C875, ".", ","))</f>
        <v>0.46477730580516102</v>
      </c>
      <c r="D881" s="4">
        <f>VALUE(SUBSTITUTE('1000_заявлений'!D875, ".", ","))</f>
        <v>0.6769925</v>
      </c>
      <c r="E881" s="4">
        <f>VALUE(SUBSTITUTE('1000_заявлений'!E875, ".", ","))</f>
        <v>0.67801500000000003</v>
      </c>
      <c r="F881" s="5">
        <f>VALUE(SUBSTITUTE('1000_заявлений'!F875, ".", ","))</f>
        <v>-10521</v>
      </c>
      <c r="G881" s="5">
        <f>VALUE(SUBSTITUTE('1000_заявлений'!G875, ".", ","))</f>
        <v>-18735</v>
      </c>
      <c r="H881" s="5">
        <f>VALUE(SUBSTITUTE('1000_заявлений'!H875, ".", ","))</f>
        <v>-2288</v>
      </c>
      <c r="I881" s="4">
        <f>VALUE(SUBSTITUTE('1000_заявлений'!I875, ".", ","))</f>
        <v>0.128444444444444</v>
      </c>
      <c r="J881" s="4">
        <f>VALUE(SUBSTITUTE('1000_заявлений'!J875, ".", ","))</f>
        <v>1.27904314017051</v>
      </c>
      <c r="K881" s="5">
        <f>VALUE(SUBSTITUTE('1000_заявлений'!K875, ".", ","))</f>
        <v>-4871</v>
      </c>
      <c r="L881" s="6">
        <f>VALUE(SUBSTITUTE('1000_заявлений'!L875, ".", ","))</f>
        <v>26010</v>
      </c>
      <c r="M881" s="2" t="str">
        <f>IF(Данные6[[#This Row],[proba]]&gt;$C$6, "отказ", "одобрение")</f>
        <v>одобрение</v>
      </c>
      <c r="N881" s="7">
        <f>IF(Данные6[[#This Row],[proba]]&lt;$D$2,$C$2,IF(Данные6[[#This Row],[proba]]&lt;$D$3,$C$3,IF(Данные6[[#This Row],[proba]]&gt;$C$6,0,$C$4)))</f>
        <v>50000</v>
      </c>
      <c r="O881" s="2">
        <f>IF(Данные6[[#This Row],[weighted_ext_score]]&gt;$O$1,MIN(Данные6[[#This Row],[Базовая сумма]]*$O$2,$C$2),IF(Данные6[[#This Row],[weighted_ext_score]]&lt;$O$3,Данные6[[#This Row],[Базовая сумма]]*$O$4,N881))</f>
        <v>40000</v>
      </c>
      <c r="P8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81" s="2">
        <f>ABS(Данные6[[#This Row],[days_birth]])/365.2425</f>
        <v>51.294687775929688</v>
      </c>
      <c r="S8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881" s="2">
        <f>IF(Данные6[[#This Row],[ interest_rate]]&gt;$T$1,Данные6[[#This Row],[days_birth4]]*$T$2,Данные6[[#This Row],[days_birth4]])</f>
        <v>50400</v>
      </c>
      <c r="U881" s="2">
        <f>IF(Данные6[[#This Row],[Проверка отказа]]="отказ",0,MAX(Данные6[[#This Row],[interest_rate]],$C$1))</f>
        <v>50400</v>
      </c>
      <c r="V881" s="2">
        <f>MROUND(Данные6[[#This Row],[Минимум 20000]], 100)</f>
        <v>50400</v>
      </c>
    </row>
    <row r="882" spans="1:22" x14ac:dyDescent="0.25">
      <c r="A882" s="2">
        <f>'1000_заявлений'!A876</f>
        <v>874</v>
      </c>
      <c r="B882" s="4">
        <f>VALUE(SUBSTITUTE('1000_заявлений'!B876, ".", ","))</f>
        <v>0.35205717599464198</v>
      </c>
      <c r="C882" s="4">
        <f>VALUE(SUBSTITUTE('1000_заявлений'!C876, ".", ","))</f>
        <v>0.49056973187867597</v>
      </c>
      <c r="D882" s="4">
        <f>VALUE(SUBSTITUTE('1000_заявлений'!D876, ".", ","))</f>
        <v>0.58848780000000001</v>
      </c>
      <c r="E882" s="4">
        <f>VALUE(SUBSTITUTE('1000_заявлений'!E876, ".", ","))</f>
        <v>0.50737620000000005</v>
      </c>
      <c r="F882" s="5">
        <f>VALUE(SUBSTITUTE('1000_заявлений'!F876, ".", ","))</f>
        <v>-3632</v>
      </c>
      <c r="G882" s="5">
        <f>VALUE(SUBSTITUTE('1000_заявлений'!G876, ".", ","))</f>
        <v>-10383</v>
      </c>
      <c r="H882" s="5">
        <f>VALUE(SUBSTITUTE('1000_заявлений'!H876, ".", ","))</f>
        <v>-3010</v>
      </c>
      <c r="I882" s="4">
        <f>VALUE(SUBSTITUTE('1000_заявлений'!I876, ".", ","))</f>
        <v>0.29155999999999999</v>
      </c>
      <c r="J882" s="4">
        <f>VALUE(SUBSTITUTE('1000_заявлений'!J876, ".", ","))</f>
        <v>18.607327631321201</v>
      </c>
      <c r="K882" s="5">
        <f>VALUE(SUBSTITUTE('1000_заявлений'!K876, ".", ","))</f>
        <v>-1588</v>
      </c>
      <c r="L882" s="6">
        <f>VALUE(SUBSTITUTE('1000_заявлений'!L876, ".", ","))</f>
        <v>32800.5</v>
      </c>
      <c r="M882" s="2" t="str">
        <f>IF(Данные6[[#This Row],[proba]]&gt;$C$6, "отказ", "одобрение")</f>
        <v>отказ</v>
      </c>
      <c r="N882" s="7">
        <f>IF(Данные6[[#This Row],[proba]]&lt;$D$2,$C$2,IF(Данные6[[#This Row],[proba]]&lt;$D$3,$C$3,IF(Данные6[[#This Row],[proba]]&gt;$C$6,0,$C$4)))</f>
        <v>0</v>
      </c>
      <c r="O882" s="2">
        <f>IF(Данные6[[#This Row],[weighted_ext_score]]&gt;$O$1,MIN(Данные6[[#This Row],[Базовая сумма]]*$O$2,$C$2),IF(Данные6[[#This Row],[weighted_ext_score]]&lt;$O$3,Данные6[[#This Row],[Базовая сумма]]*$O$4,N882))</f>
        <v>0</v>
      </c>
      <c r="P8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2" s="2">
        <f>ABS(Данные6[[#This Row],[days_birth]])/365.2425</f>
        <v>28.427688453561675</v>
      </c>
      <c r="S8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2" s="2">
        <f>IF(Данные6[[#This Row],[ interest_rate]]&gt;$T$1,Данные6[[#This Row],[days_birth4]]*$T$2,Данные6[[#This Row],[days_birth4]])</f>
        <v>0</v>
      </c>
      <c r="U882" s="2">
        <f>IF(Данные6[[#This Row],[Проверка отказа]]="отказ",0,MAX(Данные6[[#This Row],[interest_rate]],$C$1))</f>
        <v>0</v>
      </c>
      <c r="V882" s="2">
        <f>MROUND(Данные6[[#This Row],[Минимум 20000]], 100)</f>
        <v>0</v>
      </c>
    </row>
    <row r="883" spans="1:22" x14ac:dyDescent="0.25">
      <c r="A883" s="2">
        <f>'1000_заявлений'!A877</f>
        <v>875</v>
      </c>
      <c r="B883" s="4">
        <f>VALUE(SUBSTITUTE('1000_заявлений'!B877, ".", ","))</f>
        <v>0.77996502739648499</v>
      </c>
      <c r="C883" s="4">
        <f>VALUE(SUBSTITUTE('1000_заявлений'!C877, ".", ","))</f>
        <v>0.25183360201918098</v>
      </c>
      <c r="D883" s="4">
        <f>VALUE(SUBSTITUTE('1000_заявлений'!D877, ".", ","))</f>
        <v>9.5070399999999999E-2</v>
      </c>
      <c r="E883" s="4">
        <f>VALUE(SUBSTITUTE('1000_заявлений'!E877, ".", ","))</f>
        <v>0.51775090000000001</v>
      </c>
      <c r="F883" s="5">
        <f>VALUE(SUBSTITUTE('1000_заявлений'!F877, ".", ","))</f>
        <v>-1102</v>
      </c>
      <c r="G883" s="5">
        <f>VALUE(SUBSTITUTE('1000_заявлений'!G877, ".", ","))</f>
        <v>-8791</v>
      </c>
      <c r="H883" s="5">
        <f>VALUE(SUBSTITUTE('1000_заявлений'!H877, ".", ","))</f>
        <v>-1456</v>
      </c>
      <c r="I883" s="4">
        <f>VALUE(SUBSTITUTE('1000_заявлений'!I877, ".", ","))</f>
        <v>0.17084444444444399</v>
      </c>
      <c r="J883" s="4">
        <f>VALUE(SUBSTITUTE('1000_заявлений'!J877, ".", ","))</f>
        <v>2.8808034623690499</v>
      </c>
      <c r="K883" s="5">
        <f>VALUE(SUBSTITUTE('1000_заявлений'!K877, ".", ","))</f>
        <v>-88</v>
      </c>
      <c r="L883" s="6">
        <f>VALUE(SUBSTITUTE('1000_заявлений'!L877, ".", ","))</f>
        <v>34596</v>
      </c>
      <c r="M883" s="2" t="str">
        <f>IF(Данные6[[#This Row],[proba]]&gt;$C$6, "отказ", "одобрение")</f>
        <v>отказ</v>
      </c>
      <c r="N883" s="7">
        <f>IF(Данные6[[#This Row],[proba]]&lt;$D$2,$C$2,IF(Данные6[[#This Row],[proba]]&lt;$D$3,$C$3,IF(Данные6[[#This Row],[proba]]&gt;$C$6,0,$C$4)))</f>
        <v>0</v>
      </c>
      <c r="O883" s="2">
        <f>IF(Данные6[[#This Row],[weighted_ext_score]]&gt;$O$1,MIN(Данные6[[#This Row],[Базовая сумма]]*$O$2,$C$2),IF(Данные6[[#This Row],[weighted_ext_score]]&lt;$O$3,Данные6[[#This Row],[Базовая сумма]]*$O$4,N883))</f>
        <v>0</v>
      </c>
      <c r="P8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3" s="2">
        <f>ABS(Данные6[[#This Row],[days_birth]])/365.2425</f>
        <v>24.068940498435971</v>
      </c>
      <c r="S8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3" s="2">
        <f>IF(Данные6[[#This Row],[ interest_rate]]&gt;$T$1,Данные6[[#This Row],[days_birth4]]*$T$2,Данные6[[#This Row],[days_birth4]])</f>
        <v>0</v>
      </c>
      <c r="U883" s="2">
        <f>IF(Данные6[[#This Row],[Проверка отказа]]="отказ",0,MAX(Данные6[[#This Row],[interest_rate]],$C$1))</f>
        <v>0</v>
      </c>
      <c r="V883" s="2">
        <f>MROUND(Данные6[[#This Row],[Минимум 20000]], 100)</f>
        <v>0</v>
      </c>
    </row>
    <row r="884" spans="1:22" x14ac:dyDescent="0.25">
      <c r="A884" s="2">
        <f>'1000_заявлений'!A878</f>
        <v>876</v>
      </c>
      <c r="B884" s="4">
        <f>VALUE(SUBSTITUTE('1000_заявлений'!B878, ".", ","))</f>
        <v>0.32601085992286</v>
      </c>
      <c r="C884" s="4">
        <f>VALUE(SUBSTITUTE('1000_заявлений'!C878, ".", ","))</f>
        <v>0.44324005522563398</v>
      </c>
      <c r="D884" s="4">
        <f>VALUE(SUBSTITUTE('1000_заявлений'!D878, ".", ","))</f>
        <v>0.78260784999999999</v>
      </c>
      <c r="E884" s="4">
        <f>VALUE(SUBSTITUTE('1000_заявлений'!E878, ".", ","))</f>
        <v>0.49386287000000001</v>
      </c>
      <c r="F884" s="5">
        <f>VALUE(SUBSTITUTE('1000_заявлений'!F878, ".", ","))</f>
        <v>-3626</v>
      </c>
      <c r="G884" s="5">
        <f>VALUE(SUBSTITUTE('1000_заявлений'!G878, ".", ","))</f>
        <v>-14619</v>
      </c>
      <c r="H884" s="5">
        <f>VALUE(SUBSTITUTE('1000_заявлений'!H878, ".", ","))</f>
        <v>-5135</v>
      </c>
      <c r="I884" s="4">
        <f>VALUE(SUBSTITUTE('1000_заявлений'!I878, ".", ","))</f>
        <v>0.33111111111111102</v>
      </c>
      <c r="J884" s="4">
        <f>VALUE(SUBSTITUTE('1000_заявлений'!J878, ".", ","))</f>
        <v>2.8093260661638402</v>
      </c>
      <c r="K884" s="5">
        <f>VALUE(SUBSTITUTE('1000_заявлений'!K878, ".", ","))</f>
        <v>-5438</v>
      </c>
      <c r="L884" s="6">
        <f>VALUE(SUBSTITUTE('1000_заявлений'!L878, ".", ","))</f>
        <v>40230</v>
      </c>
      <c r="M884" s="2" t="str">
        <f>IF(Данные6[[#This Row],[proba]]&gt;$C$6, "отказ", "одобрение")</f>
        <v>отказ</v>
      </c>
      <c r="N884" s="7">
        <f>IF(Данные6[[#This Row],[proba]]&lt;$D$2,$C$2,IF(Данные6[[#This Row],[proba]]&lt;$D$3,$C$3,IF(Данные6[[#This Row],[proba]]&gt;$C$6,0,$C$4)))</f>
        <v>0</v>
      </c>
      <c r="O884" s="2">
        <f>IF(Данные6[[#This Row],[weighted_ext_score]]&gt;$O$1,MIN(Данные6[[#This Row],[Базовая сумма]]*$O$2,$C$2),IF(Данные6[[#This Row],[weighted_ext_score]]&lt;$O$3,Данные6[[#This Row],[Базовая сумма]]*$O$4,N884))</f>
        <v>0</v>
      </c>
      <c r="P8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4" s="2">
        <f>ABS(Данные6[[#This Row],[days_birth]])/365.2425</f>
        <v>40.025462535164991</v>
      </c>
      <c r="S8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4" s="2">
        <f>IF(Данные6[[#This Row],[ interest_rate]]&gt;$T$1,Данные6[[#This Row],[days_birth4]]*$T$2,Данные6[[#This Row],[days_birth4]])</f>
        <v>0</v>
      </c>
      <c r="U884" s="2">
        <f>IF(Данные6[[#This Row],[Проверка отказа]]="отказ",0,MAX(Данные6[[#This Row],[interest_rate]],$C$1))</f>
        <v>0</v>
      </c>
      <c r="V884" s="2">
        <f>MROUND(Данные6[[#This Row],[Минимум 20000]], 100)</f>
        <v>0</v>
      </c>
    </row>
    <row r="885" spans="1:22" x14ac:dyDescent="0.25">
      <c r="A885" s="2">
        <f>'1000_заявлений'!A879</f>
        <v>877</v>
      </c>
      <c r="B885" s="4">
        <f>VALUE(SUBSTITUTE('1000_заявлений'!B879, ".", ","))</f>
        <v>0.44395184268035498</v>
      </c>
      <c r="C885" s="4">
        <f>VALUE(SUBSTITUTE('1000_заявлений'!C879, ".", ","))</f>
        <v>0.40423708749431603</v>
      </c>
      <c r="D885" s="4">
        <f>VALUE(SUBSTITUTE('1000_заявлений'!D879, ".", ","))</f>
        <v>0.48124932999999998</v>
      </c>
      <c r="E885" s="4">
        <f>VALUE(SUBSTITUTE('1000_заявлений'!E879, ".", ","))</f>
        <v>0.70962440000000004</v>
      </c>
      <c r="F885" s="5">
        <f>VALUE(SUBSTITUTE('1000_заявлений'!F879, ".", ","))</f>
        <v>-9824</v>
      </c>
      <c r="G885" s="5">
        <f>VALUE(SUBSTITUTE('1000_заявлений'!G879, ".", ","))</f>
        <v>-10529</v>
      </c>
      <c r="H885" s="5">
        <f>VALUE(SUBSTITUTE('1000_заявлений'!H879, ".", ","))</f>
        <v>-1578</v>
      </c>
      <c r="I885" s="4">
        <f>VALUE(SUBSTITUTE('1000_заявлений'!I879, ".", ","))</f>
        <v>0.25159375</v>
      </c>
      <c r="J885" s="4">
        <f>VALUE(SUBSTITUTE('1000_заявлений'!J879, ".", ","))</f>
        <v>1.96794518538736</v>
      </c>
      <c r="K885" s="5">
        <f>VALUE(SUBSTITUTE('1000_заявлений'!K879, ".", ","))</f>
        <v>-3898</v>
      </c>
      <c r="L885" s="6">
        <f>VALUE(SUBSTITUTE('1000_заявлений'!L879, ".", ","))</f>
        <v>36229.5</v>
      </c>
      <c r="M885" s="2" t="str">
        <f>IF(Данные6[[#This Row],[proba]]&gt;$C$6, "отказ", "одобрение")</f>
        <v>отказ</v>
      </c>
      <c r="N885" s="7">
        <f>IF(Данные6[[#This Row],[proba]]&lt;$D$2,$C$2,IF(Данные6[[#This Row],[proba]]&lt;$D$3,$C$3,IF(Данные6[[#This Row],[proba]]&gt;$C$6,0,$C$4)))</f>
        <v>0</v>
      </c>
      <c r="O885" s="2">
        <f>IF(Данные6[[#This Row],[weighted_ext_score]]&gt;$O$1,MIN(Данные6[[#This Row],[Базовая сумма]]*$O$2,$C$2),IF(Данные6[[#This Row],[weighted_ext_score]]&lt;$O$3,Данные6[[#This Row],[Базовая сумма]]*$O$4,N885))</f>
        <v>0</v>
      </c>
      <c r="P8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5" s="2">
        <f>ABS(Данные6[[#This Row],[days_birth]])/365.2425</f>
        <v>28.827422876581995</v>
      </c>
      <c r="S8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5" s="2">
        <f>IF(Данные6[[#This Row],[ interest_rate]]&gt;$T$1,Данные6[[#This Row],[days_birth4]]*$T$2,Данные6[[#This Row],[days_birth4]])</f>
        <v>0</v>
      </c>
      <c r="U885" s="2">
        <f>IF(Данные6[[#This Row],[Проверка отказа]]="отказ",0,MAX(Данные6[[#This Row],[interest_rate]],$C$1))</f>
        <v>0</v>
      </c>
      <c r="V885" s="2">
        <f>MROUND(Данные6[[#This Row],[Минимум 20000]], 100)</f>
        <v>0</v>
      </c>
    </row>
    <row r="886" spans="1:22" x14ac:dyDescent="0.25">
      <c r="A886" s="2">
        <f>'1000_заявлений'!A880</f>
        <v>878</v>
      </c>
      <c r="B886" s="4">
        <f>VALUE(SUBSTITUTE('1000_заявлений'!B880, ".", ","))</f>
        <v>0.51975190595361898</v>
      </c>
      <c r="C886" s="4">
        <f>VALUE(SUBSTITUTE('1000_заявлений'!C880, ".", ","))</f>
        <v>0.34760058096623703</v>
      </c>
      <c r="D886" s="4">
        <f>VALUE(SUBSTITUTE('1000_заявлений'!D880, ".", ","))</f>
        <v>0.48845517999999999</v>
      </c>
      <c r="E886" s="4">
        <f>VALUE(SUBSTITUTE('1000_заявлений'!E880, ".", ","))</f>
        <v>0.50233620000000001</v>
      </c>
      <c r="F886" s="5">
        <f>VALUE(SUBSTITUTE('1000_заявлений'!F880, ".", ","))</f>
        <v>-4149</v>
      </c>
      <c r="G886" s="5">
        <f>VALUE(SUBSTITUTE('1000_заявлений'!G880, ".", ","))</f>
        <v>-12427</v>
      </c>
      <c r="H886" s="5">
        <f>VALUE(SUBSTITUTE('1000_заявлений'!H880, ".", ","))</f>
        <v>-4487</v>
      </c>
      <c r="I886" s="4">
        <f>VALUE(SUBSTITUTE('1000_заявлений'!I880, ".", ","))</f>
        <v>0.28771428571428498</v>
      </c>
      <c r="J886" s="4">
        <f>VALUE(SUBSTITUTE('1000_заявлений'!J880, ".", ","))</f>
        <v>6.6907684883193097</v>
      </c>
      <c r="K886" s="5">
        <f>VALUE(SUBSTITUTE('1000_заявлений'!K880, ".", ","))</f>
        <v>-2767</v>
      </c>
      <c r="L886" s="6">
        <f>VALUE(SUBSTITUTE('1000_заявлений'!L880, ".", ","))</f>
        <v>27189</v>
      </c>
      <c r="M886" s="2" t="str">
        <f>IF(Данные6[[#This Row],[proba]]&gt;$C$6, "отказ", "одобрение")</f>
        <v>отказ</v>
      </c>
      <c r="N886" s="7">
        <f>IF(Данные6[[#This Row],[proba]]&lt;$D$2,$C$2,IF(Данные6[[#This Row],[proba]]&lt;$D$3,$C$3,IF(Данные6[[#This Row],[proba]]&gt;$C$6,0,$C$4)))</f>
        <v>0</v>
      </c>
      <c r="O886" s="2">
        <f>IF(Данные6[[#This Row],[weighted_ext_score]]&gt;$O$1,MIN(Данные6[[#This Row],[Базовая сумма]]*$O$2,$C$2),IF(Данные6[[#This Row],[weighted_ext_score]]&lt;$O$3,Данные6[[#This Row],[Базовая сумма]]*$O$4,N886))</f>
        <v>0</v>
      </c>
      <c r="P8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6" s="2">
        <f>ABS(Данные6[[#This Row],[days_birth]])/365.2425</f>
        <v>34.023970375846183</v>
      </c>
      <c r="S8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6" s="2">
        <f>IF(Данные6[[#This Row],[ interest_rate]]&gt;$T$1,Данные6[[#This Row],[days_birth4]]*$T$2,Данные6[[#This Row],[days_birth4]])</f>
        <v>0</v>
      </c>
      <c r="U886" s="2">
        <f>IF(Данные6[[#This Row],[Проверка отказа]]="отказ",0,MAX(Данные6[[#This Row],[interest_rate]],$C$1))</f>
        <v>0</v>
      </c>
      <c r="V886" s="2">
        <f>MROUND(Данные6[[#This Row],[Минимум 20000]], 100)</f>
        <v>0</v>
      </c>
    </row>
    <row r="887" spans="1:22" x14ac:dyDescent="0.25">
      <c r="A887" s="2">
        <f>'1000_заявлений'!A881</f>
        <v>879</v>
      </c>
      <c r="B887" s="4">
        <f>VALUE(SUBSTITUTE('1000_заявлений'!B881, ".", ","))</f>
        <v>0.34349747136624897</v>
      </c>
      <c r="C887" s="4">
        <f>VALUE(SUBSTITUTE('1000_заявлений'!C881, ".", ","))</f>
        <v>0.479682076144886</v>
      </c>
      <c r="D887" s="4">
        <f>VALUE(SUBSTITUTE('1000_заявлений'!D881, ".", ","))</f>
        <v>0.65126019999999996</v>
      </c>
      <c r="E887" s="4">
        <f>VALUE(SUBSTITUTE('1000_заявлений'!E881, ".", ","))</f>
        <v>0.43864068000000001</v>
      </c>
      <c r="F887" s="5">
        <f>VALUE(SUBSTITUTE('1000_заявлений'!F881, ".", ","))</f>
        <v>-5184</v>
      </c>
      <c r="G887" s="5">
        <f>VALUE(SUBSTITUTE('1000_заявлений'!G881, ".", ","))</f>
        <v>-11487</v>
      </c>
      <c r="H887" s="5">
        <f>VALUE(SUBSTITUTE('1000_заявлений'!H881, ".", ","))</f>
        <v>-4102</v>
      </c>
      <c r="I887" s="4">
        <f>VALUE(SUBSTITUTE('1000_заявлений'!I881, ".", ","))</f>
        <v>0.12770000000000001</v>
      </c>
      <c r="J887" s="4">
        <f>VALUE(SUBSTITUTE('1000_заявлений'!J881, ".", ","))</f>
        <v>11.320433528897601</v>
      </c>
      <c r="K887" s="5">
        <f>VALUE(SUBSTITUTE('1000_заявлений'!K881, ".", ","))</f>
        <v>-2966</v>
      </c>
      <c r="L887" s="6">
        <f>VALUE(SUBSTITUTE('1000_заявлений'!L881, ".", ","))</f>
        <v>11493</v>
      </c>
      <c r="M887" s="2" t="str">
        <f>IF(Данные6[[#This Row],[proba]]&gt;$C$6, "отказ", "одобрение")</f>
        <v>отказ</v>
      </c>
      <c r="N887" s="7">
        <f>IF(Данные6[[#This Row],[proba]]&lt;$D$2,$C$2,IF(Данные6[[#This Row],[proba]]&lt;$D$3,$C$3,IF(Данные6[[#This Row],[proba]]&gt;$C$6,0,$C$4)))</f>
        <v>0</v>
      </c>
      <c r="O887" s="2">
        <f>IF(Данные6[[#This Row],[weighted_ext_score]]&gt;$O$1,MIN(Данные6[[#This Row],[Базовая сумма]]*$O$2,$C$2),IF(Данные6[[#This Row],[weighted_ext_score]]&lt;$O$3,Данные6[[#This Row],[Базовая сумма]]*$O$4,N887))</f>
        <v>0</v>
      </c>
      <c r="P8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7" s="2">
        <f>ABS(Данные6[[#This Row],[days_birth]])/365.2425</f>
        <v>31.450337789276986</v>
      </c>
      <c r="S8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7" s="2">
        <f>IF(Данные6[[#This Row],[ interest_rate]]&gt;$T$1,Данные6[[#This Row],[days_birth4]]*$T$2,Данные6[[#This Row],[days_birth4]])</f>
        <v>0</v>
      </c>
      <c r="U887" s="2">
        <f>IF(Данные6[[#This Row],[Проверка отказа]]="отказ",0,MAX(Данные6[[#This Row],[interest_rate]],$C$1))</f>
        <v>0</v>
      </c>
      <c r="V887" s="2">
        <f>MROUND(Данные6[[#This Row],[Минимум 20000]], 100)</f>
        <v>0</v>
      </c>
    </row>
    <row r="888" spans="1:22" x14ac:dyDescent="0.25">
      <c r="A888" s="2">
        <f>'1000_заявлений'!A882</f>
        <v>880</v>
      </c>
      <c r="B888" s="4">
        <f>VALUE(SUBSTITUTE('1000_заявлений'!B882, ".", ","))</f>
        <v>0.76264531829740601</v>
      </c>
      <c r="C888" s="4">
        <f>VALUE(SUBSTITUTE('1000_заявлений'!C882, ".", ","))</f>
        <v>0.203937951888537</v>
      </c>
      <c r="D888" s="4">
        <f>VALUE(SUBSTITUTE('1000_заявлений'!D882, ".", ","))</f>
        <v>0.15951953999999999</v>
      </c>
      <c r="E888" s="4">
        <f>VALUE(SUBSTITUTE('1000_заявлений'!E882, ".", ","))</f>
        <v>0.45084970000000002</v>
      </c>
      <c r="F888" s="5">
        <f>VALUE(SUBSTITUTE('1000_заявлений'!F882, ".", ","))</f>
        <v>-3145</v>
      </c>
      <c r="G888" s="5">
        <f>VALUE(SUBSTITUTE('1000_заявлений'!G882, ".", ","))</f>
        <v>-8429</v>
      </c>
      <c r="H888" s="5">
        <f>VALUE(SUBSTITUTE('1000_заявлений'!H882, ".", ","))</f>
        <v>-1102</v>
      </c>
      <c r="I888" s="4">
        <f>VALUE(SUBSTITUTE('1000_заявлений'!I882, ".", ","))</f>
        <v>5.0900000000000001E-2</v>
      </c>
      <c r="J888" s="4">
        <f>VALUE(SUBSTITUTE('1000_заявлений'!J882, ".", ","))</f>
        <v>8.2473038623557198</v>
      </c>
      <c r="K888" s="5">
        <f>VALUE(SUBSTITUTE('1000_заявлений'!K882, ".", ","))</f>
        <v>-309</v>
      </c>
      <c r="L888" s="6">
        <f>VALUE(SUBSTITUTE('1000_заявлений'!L882, ".", ","))</f>
        <v>6871.5</v>
      </c>
      <c r="M888" s="2" t="str">
        <f>IF(Данные6[[#This Row],[proba]]&gt;$C$6, "отказ", "одобрение")</f>
        <v>отказ</v>
      </c>
      <c r="N888" s="7">
        <f>IF(Данные6[[#This Row],[proba]]&lt;$D$2,$C$2,IF(Данные6[[#This Row],[proba]]&lt;$D$3,$C$3,IF(Данные6[[#This Row],[proba]]&gt;$C$6,0,$C$4)))</f>
        <v>0</v>
      </c>
      <c r="O888" s="2">
        <f>IF(Данные6[[#This Row],[weighted_ext_score]]&gt;$O$1,MIN(Данные6[[#This Row],[Базовая сумма]]*$O$2,$C$2),IF(Данные6[[#This Row],[weighted_ext_score]]&lt;$O$3,Данные6[[#This Row],[Базовая сумма]]*$O$4,N888))</f>
        <v>0</v>
      </c>
      <c r="P8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88" s="2">
        <f>ABS(Данные6[[#This Row],[days_birth]])/365.2425</f>
        <v>23.07781816190613</v>
      </c>
      <c r="S8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88" s="2">
        <f>IF(Данные6[[#This Row],[ interest_rate]]&gt;$T$1,Данные6[[#This Row],[days_birth4]]*$T$2,Данные6[[#This Row],[days_birth4]])</f>
        <v>0</v>
      </c>
      <c r="U888" s="2">
        <f>IF(Данные6[[#This Row],[Проверка отказа]]="отказ",0,MAX(Данные6[[#This Row],[interest_rate]],$C$1))</f>
        <v>0</v>
      </c>
      <c r="V888" s="2">
        <f>MROUND(Данные6[[#This Row],[Минимум 20000]], 100)</f>
        <v>0</v>
      </c>
    </row>
    <row r="889" spans="1:22" x14ac:dyDescent="0.25">
      <c r="A889" s="2">
        <f>'1000_заявлений'!A883</f>
        <v>881</v>
      </c>
      <c r="B889" s="4">
        <f>VALUE(SUBSTITUTE('1000_заявлений'!B883, ".", ","))</f>
        <v>0.13338848522459901</v>
      </c>
      <c r="C889" s="4">
        <f>VALUE(SUBSTITUTE('1000_заявлений'!C883, ".", ","))</f>
        <v>0.72581847110810904</v>
      </c>
      <c r="D889" s="4">
        <f>VALUE(SUBSTITUTE('1000_заявлений'!D883, ".", ","))</f>
        <v>0.61612169999999999</v>
      </c>
      <c r="E889" s="4">
        <f>VALUE(SUBSTITUTE('1000_заявлений'!E883, ".", ","))</f>
        <v>0.75204870000000001</v>
      </c>
      <c r="F889" s="5">
        <f>VALUE(SUBSTITUTE('1000_заявлений'!F883, ".", ","))</f>
        <v>-169</v>
      </c>
      <c r="G889" s="5">
        <f>VALUE(SUBSTITUTE('1000_заявлений'!G883, ".", ","))</f>
        <v>-21557</v>
      </c>
      <c r="H889" s="5">
        <f>VALUE(SUBSTITUTE('1000_заявлений'!H883, ".", ","))</f>
        <v>-5001</v>
      </c>
      <c r="I889" s="4">
        <f>VALUE(SUBSTITUTE('1000_заявлений'!I883, ".", ","))</f>
        <v>9.8040000000000002E-2</v>
      </c>
      <c r="J889" s="4">
        <f>VALUE(SUBSTITUTE('1000_заявлений'!J883, ".", ","))</f>
        <v>0.97257351522534996</v>
      </c>
      <c r="K889" s="5">
        <f>VALUE(SUBSTITUTE('1000_заявлений'!K883, ".", ","))</f>
        <v>365243</v>
      </c>
      <c r="L889" s="6">
        <f>VALUE(SUBSTITUTE('1000_заявлений'!L883, ".", ","))</f>
        <v>22059</v>
      </c>
      <c r="M889" s="2" t="str">
        <f>IF(Данные6[[#This Row],[proba]]&gt;$C$6, "отказ", "одобрение")</f>
        <v>одобрение</v>
      </c>
      <c r="N889" s="7">
        <f>IF(Данные6[[#This Row],[proba]]&lt;$D$2,$C$2,IF(Данные6[[#This Row],[proba]]&lt;$D$3,$C$3,IF(Данные6[[#This Row],[proba]]&gt;$C$6,0,$C$4)))</f>
        <v>200000</v>
      </c>
      <c r="O889" s="2">
        <f>IF(Данные6[[#This Row],[weighted_ext_score]]&gt;$O$1,MIN(Данные6[[#This Row],[Базовая сумма]]*$O$2,$C$2),IF(Данные6[[#This Row],[weighted_ext_score]]&lt;$O$3,Данные6[[#This Row],[Базовая сумма]]*$O$4,N889))</f>
        <v>300000</v>
      </c>
      <c r="P8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300000</v>
      </c>
      <c r="Q8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300000</v>
      </c>
      <c r="R889" s="2">
        <f>ABS(Данные6[[#This Row],[days_birth]])/365.2425</f>
        <v>59.021061349651255</v>
      </c>
      <c r="S8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300000</v>
      </c>
      <c r="T889" s="2">
        <f>IF(Данные6[[#This Row],[ interest_rate]]&gt;$T$1,Данные6[[#This Row],[days_birth4]]*$T$2,Данные6[[#This Row],[days_birth4]])</f>
        <v>300000</v>
      </c>
      <c r="U889" s="2">
        <f>IF(Данные6[[#This Row],[Проверка отказа]]="отказ",0,MAX(Данные6[[#This Row],[interest_rate]],$C$1))</f>
        <v>300000</v>
      </c>
      <c r="V889" s="2">
        <f>MROUND(Данные6[[#This Row],[Минимум 20000]], 100)</f>
        <v>300000</v>
      </c>
    </row>
    <row r="890" spans="1:22" x14ac:dyDescent="0.25">
      <c r="A890" s="2">
        <f>'1000_заявлений'!A884</f>
        <v>882</v>
      </c>
      <c r="B890" s="4">
        <f>VALUE(SUBSTITUTE('1000_заявлений'!B884, ".", ","))</f>
        <v>0.29672835742509901</v>
      </c>
      <c r="C890" s="4">
        <f>VALUE(SUBSTITUTE('1000_заявлений'!C884, ".", ","))</f>
        <v>0.59605141858175803</v>
      </c>
      <c r="D890" s="4">
        <f>VALUE(SUBSTITUTE('1000_заявлений'!D884, ".", ","))</f>
        <v>0.52629495000000004</v>
      </c>
      <c r="E890" s="4">
        <f>VALUE(SUBSTITUTE('1000_заявлений'!E884, ".", ","))</f>
        <v>0.61174059999999997</v>
      </c>
      <c r="F890" s="5">
        <f>VALUE(SUBSTITUTE('1000_заявлений'!F884, ".", ","))</f>
        <v>-6905</v>
      </c>
      <c r="G890" s="5">
        <f>VALUE(SUBSTITUTE('1000_заявлений'!G884, ".", ","))</f>
        <v>-16474</v>
      </c>
      <c r="H890" s="5">
        <f>VALUE(SUBSTITUTE('1000_заявлений'!H884, ".", ","))</f>
        <v>-26</v>
      </c>
      <c r="I890" s="4">
        <f>VALUE(SUBSTITUTE('1000_заявлений'!I884, ".", ","))</f>
        <v>0.30271999999999999</v>
      </c>
      <c r="J890" s="4">
        <f>VALUE(SUBSTITUTE('1000_заявлений'!J884, ".", ","))</f>
        <v>15.880550595418001</v>
      </c>
      <c r="K890" s="5">
        <f>VALUE(SUBSTITUTE('1000_заявлений'!K884, ".", ","))</f>
        <v>-2752</v>
      </c>
      <c r="L890" s="6">
        <f>VALUE(SUBSTITUTE('1000_заявлений'!L884, ".", ","))</f>
        <v>34056</v>
      </c>
      <c r="M890" s="2" t="str">
        <f>IF(Данные6[[#This Row],[proba]]&gt;$C$6, "отказ", "одобрение")</f>
        <v>одобрение</v>
      </c>
      <c r="N890" s="7">
        <f>IF(Данные6[[#This Row],[proba]]&lt;$D$2,$C$2,IF(Данные6[[#This Row],[proba]]&lt;$D$3,$C$3,IF(Данные6[[#This Row],[proba]]&gt;$C$6,0,$C$4)))</f>
        <v>50000</v>
      </c>
      <c r="O890" s="2">
        <f>IF(Данные6[[#This Row],[weighted_ext_score]]&gt;$O$1,MIN(Данные6[[#This Row],[Базовая сумма]]*$O$2,$C$2),IF(Данные6[[#This Row],[weighted_ext_score]]&lt;$O$3,Данные6[[#This Row],[Базовая сумма]]*$O$4,N890))</f>
        <v>50000</v>
      </c>
      <c r="P8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890" s="2">
        <f>ABS(Данные6[[#This Row],[days_birth]])/365.2425</f>
        <v>45.104280033128674</v>
      </c>
      <c r="S8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890" s="2">
        <f>IF(Данные6[[#This Row],[ interest_rate]]&gt;$T$1,Данные6[[#This Row],[days_birth4]]*$T$2,Данные6[[#This Row],[days_birth4]])</f>
        <v>35000</v>
      </c>
      <c r="U890" s="2">
        <f>IF(Данные6[[#This Row],[Проверка отказа]]="отказ",0,MAX(Данные6[[#This Row],[interest_rate]],$C$1))</f>
        <v>35000</v>
      </c>
      <c r="V890" s="2">
        <f>MROUND(Данные6[[#This Row],[Минимум 20000]], 100)</f>
        <v>35000</v>
      </c>
    </row>
    <row r="891" spans="1:22" x14ac:dyDescent="0.25">
      <c r="A891" s="2">
        <f>'1000_заявлений'!A885</f>
        <v>883</v>
      </c>
      <c r="B891" s="4">
        <f>VALUE(SUBSTITUTE('1000_заявлений'!B885, ".", ","))</f>
        <v>0.23648418092370699</v>
      </c>
      <c r="C891" s="4">
        <f>VALUE(SUBSTITUTE('1000_заявлений'!C885, ".", ","))</f>
        <v>0.59215374633812801</v>
      </c>
      <c r="D891" s="4">
        <f>VALUE(SUBSTITUTE('1000_заявлений'!D885, ".", ","))</f>
        <v>0.68482770000000004</v>
      </c>
      <c r="E891" s="4">
        <f>VALUE(SUBSTITUTE('1000_заявлений'!E885, ".", ","))</f>
        <v>0.66739939999999998</v>
      </c>
      <c r="F891" s="5">
        <f>VALUE(SUBSTITUTE('1000_заявлений'!F885, ".", ","))</f>
        <v>-1164</v>
      </c>
      <c r="G891" s="5">
        <f>VALUE(SUBSTITUTE('1000_заявлений'!G885, ".", ","))</f>
        <v>-12543</v>
      </c>
      <c r="H891" s="5">
        <f>VALUE(SUBSTITUTE('1000_заявлений'!H885, ".", ","))</f>
        <v>-2259</v>
      </c>
      <c r="I891" s="4">
        <f>VALUE(SUBSTITUTE('1000_заявлений'!I885, ".", ","))</f>
        <v>0.1085</v>
      </c>
      <c r="J891" s="4">
        <f>VALUE(SUBSTITUTE('1000_заявлений'!J885, ".", ","))</f>
        <v>5.9598183161622797</v>
      </c>
      <c r="K891" s="5">
        <f>VALUE(SUBSTITUTE('1000_заявлений'!K885, ".", ","))</f>
        <v>-4955</v>
      </c>
      <c r="L891" s="6">
        <f>VALUE(SUBSTITUTE('1000_заявлений'!L885, ".", ","))</f>
        <v>14647.5</v>
      </c>
      <c r="M891" s="2" t="str">
        <f>IF(Данные6[[#This Row],[proba]]&gt;$C$6, "отказ", "одобрение")</f>
        <v>одобрение</v>
      </c>
      <c r="N891" s="7">
        <f>IF(Данные6[[#This Row],[proba]]&lt;$D$2,$C$2,IF(Данные6[[#This Row],[proba]]&lt;$D$3,$C$3,IF(Данные6[[#This Row],[proba]]&gt;$C$6,0,$C$4)))</f>
        <v>50000</v>
      </c>
      <c r="O891" s="2">
        <f>IF(Данные6[[#This Row],[weighted_ext_score]]&gt;$O$1,MIN(Данные6[[#This Row],[Базовая сумма]]*$O$2,$C$2),IF(Данные6[[#This Row],[weighted_ext_score]]&lt;$O$3,Данные6[[#This Row],[Базовая сумма]]*$O$4,N891))</f>
        <v>50000</v>
      </c>
      <c r="P8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8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891" s="2">
        <f>ABS(Данные6[[#This Row],[days_birth]])/365.2425</f>
        <v>34.341567588656851</v>
      </c>
      <c r="S8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891" s="2">
        <f>IF(Данные6[[#This Row],[ interest_rate]]&gt;$T$1,Данные6[[#This Row],[days_birth4]]*$T$2,Данные6[[#This Row],[days_birth4]])</f>
        <v>60000</v>
      </c>
      <c r="U891" s="2">
        <f>IF(Данные6[[#This Row],[Проверка отказа]]="отказ",0,MAX(Данные6[[#This Row],[interest_rate]],$C$1))</f>
        <v>60000</v>
      </c>
      <c r="V891" s="2">
        <f>MROUND(Данные6[[#This Row],[Минимум 20000]], 100)</f>
        <v>60000</v>
      </c>
    </row>
    <row r="892" spans="1:22" x14ac:dyDescent="0.25">
      <c r="A892" s="2">
        <f>'1000_заявлений'!A886</f>
        <v>884</v>
      </c>
      <c r="B892" s="4">
        <f>VALUE(SUBSTITUTE('1000_заявлений'!B886, ".", ","))</f>
        <v>0.459811861628733</v>
      </c>
      <c r="C892" s="4">
        <f>VALUE(SUBSTITUTE('1000_заявлений'!C886, ".", ","))</f>
        <v>0.40476693511504702</v>
      </c>
      <c r="D892" s="4">
        <f>VALUE(SUBSTITUTE('1000_заявлений'!D886, ".", ","))</f>
        <v>0.45074727999999997</v>
      </c>
      <c r="E892" s="4">
        <f>VALUE(SUBSTITUTE('1000_заявлений'!E886, ".", ","))</f>
        <v>0.58519524000000001</v>
      </c>
      <c r="F892" s="5">
        <f>VALUE(SUBSTITUTE('1000_заявлений'!F886, ".", ","))</f>
        <v>-3287</v>
      </c>
      <c r="G892" s="5">
        <f>VALUE(SUBSTITUTE('1000_заявлений'!G886, ".", ","))</f>
        <v>-10672</v>
      </c>
      <c r="H892" s="5">
        <f>VALUE(SUBSTITUTE('1000_заявлений'!H886, ".", ","))</f>
        <v>-3275</v>
      </c>
      <c r="I892" s="4">
        <f>VALUE(SUBSTITUTE('1000_заявлений'!I886, ".", ","))</f>
        <v>0.1792</v>
      </c>
      <c r="J892" s="4">
        <f>VALUE(SUBSTITUTE('1000_заявлений'!J886, ".", ","))</f>
        <v>6.52340447126877</v>
      </c>
      <c r="K892" s="5">
        <f>VALUE(SUBSTITUTE('1000_заявлений'!K886, ".", ","))</f>
        <v>-1091</v>
      </c>
      <c r="L892" s="6">
        <f>VALUE(SUBSTITUTE('1000_заявлений'!L886, ".", ","))</f>
        <v>40320</v>
      </c>
      <c r="M892" s="2" t="str">
        <f>IF(Данные6[[#This Row],[proba]]&gt;$C$6, "отказ", "одобрение")</f>
        <v>отказ</v>
      </c>
      <c r="N892" s="7">
        <f>IF(Данные6[[#This Row],[proba]]&lt;$D$2,$C$2,IF(Данные6[[#This Row],[proba]]&lt;$D$3,$C$3,IF(Данные6[[#This Row],[proba]]&gt;$C$6,0,$C$4)))</f>
        <v>0</v>
      </c>
      <c r="O892" s="2">
        <f>IF(Данные6[[#This Row],[weighted_ext_score]]&gt;$O$1,MIN(Данные6[[#This Row],[Базовая сумма]]*$O$2,$C$2),IF(Данные6[[#This Row],[weighted_ext_score]]&lt;$O$3,Данные6[[#This Row],[Базовая сумма]]*$O$4,N892))</f>
        <v>0</v>
      </c>
      <c r="P8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2" s="2">
        <f>ABS(Данные6[[#This Row],[days_birth]])/365.2425</f>
        <v>29.218943578581353</v>
      </c>
      <c r="S8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2" s="2">
        <f>IF(Данные6[[#This Row],[ interest_rate]]&gt;$T$1,Данные6[[#This Row],[days_birth4]]*$T$2,Данные6[[#This Row],[days_birth4]])</f>
        <v>0</v>
      </c>
      <c r="U892" s="2">
        <f>IF(Данные6[[#This Row],[Проверка отказа]]="отказ",0,MAX(Данные6[[#This Row],[interest_rate]],$C$1))</f>
        <v>0</v>
      </c>
      <c r="V892" s="2">
        <f>MROUND(Данные6[[#This Row],[Минимум 20000]], 100)</f>
        <v>0</v>
      </c>
    </row>
    <row r="893" spans="1:22" x14ac:dyDescent="0.25">
      <c r="A893" s="2">
        <f>'1000_заявлений'!A887</f>
        <v>885</v>
      </c>
      <c r="B893" s="4">
        <f>VALUE(SUBSTITUTE('1000_заявлений'!B887, ".", ","))</f>
        <v>0.35271005108644699</v>
      </c>
      <c r="C893" s="4">
        <f>VALUE(SUBSTITUTE('1000_заявлений'!C887, ".", ","))</f>
        <v>0.491848916979924</v>
      </c>
      <c r="D893" s="4">
        <f>VALUE(SUBSTITUTE('1000_заявлений'!D887, ".", ","))</f>
        <v>0.41359675000000001</v>
      </c>
      <c r="E893" s="4">
        <f>VALUE(SUBSTITUTE('1000_заявлений'!E887, ".", ","))</f>
        <v>0.75752454999999996</v>
      </c>
      <c r="F893" s="5">
        <f>VALUE(SUBSTITUTE('1000_заявлений'!F887, ".", ","))</f>
        <v>-5272</v>
      </c>
      <c r="G893" s="5">
        <f>VALUE(SUBSTITUTE('1000_заявлений'!G887, ".", ","))</f>
        <v>-13289</v>
      </c>
      <c r="H893" s="5">
        <f>VALUE(SUBSTITUTE('1000_заявлений'!H887, ".", ","))</f>
        <v>-4552</v>
      </c>
      <c r="I893" s="4">
        <f>VALUE(SUBSTITUTE('1000_заявлений'!I887, ".", ","))</f>
        <v>0.16008333333333299</v>
      </c>
      <c r="J893" s="4">
        <f>VALUE(SUBSTITUTE('1000_заявлений'!J887, ".", ","))</f>
        <v>2.3484815554696001</v>
      </c>
      <c r="K893" s="5">
        <f>VALUE(SUBSTITUTE('1000_заявлений'!K887, ".", ","))</f>
        <v>-5679</v>
      </c>
      <c r="L893" s="6">
        <f>VALUE(SUBSTITUTE('1000_заявлений'!L887, ".", ","))</f>
        <v>43222.5</v>
      </c>
      <c r="M893" s="2" t="str">
        <f>IF(Данные6[[#This Row],[proba]]&gt;$C$6, "отказ", "одобрение")</f>
        <v>отказ</v>
      </c>
      <c r="N893" s="7">
        <f>IF(Данные6[[#This Row],[proba]]&lt;$D$2,$C$2,IF(Данные6[[#This Row],[proba]]&lt;$D$3,$C$3,IF(Данные6[[#This Row],[proba]]&gt;$C$6,0,$C$4)))</f>
        <v>0</v>
      </c>
      <c r="O893" s="2">
        <f>IF(Данные6[[#This Row],[weighted_ext_score]]&gt;$O$1,MIN(Данные6[[#This Row],[Базовая сумма]]*$O$2,$C$2),IF(Данные6[[#This Row],[weighted_ext_score]]&lt;$O$3,Данные6[[#This Row],[Базовая сумма]]*$O$4,N893))</f>
        <v>0</v>
      </c>
      <c r="P8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3" s="2">
        <f>ABS(Данные6[[#This Row],[days_birth]])/365.2425</f>
        <v>36.384046215870278</v>
      </c>
      <c r="S8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3" s="2">
        <f>IF(Данные6[[#This Row],[ interest_rate]]&gt;$T$1,Данные6[[#This Row],[days_birth4]]*$T$2,Данные6[[#This Row],[days_birth4]])</f>
        <v>0</v>
      </c>
      <c r="U893" s="2">
        <f>IF(Данные6[[#This Row],[Проверка отказа]]="отказ",0,MAX(Данные6[[#This Row],[interest_rate]],$C$1))</f>
        <v>0</v>
      </c>
      <c r="V893" s="2">
        <f>MROUND(Данные6[[#This Row],[Минимум 20000]], 100)</f>
        <v>0</v>
      </c>
    </row>
    <row r="894" spans="1:22" x14ac:dyDescent="0.25">
      <c r="A894" s="2">
        <f>'1000_заявлений'!A888</f>
        <v>886</v>
      </c>
      <c r="B894" s="4">
        <f>VALUE(SUBSTITUTE('1000_заявлений'!B888, ".", ","))</f>
        <v>0.644620318001765</v>
      </c>
      <c r="C894" s="4">
        <f>VALUE(SUBSTITUTE('1000_заявлений'!C888, ".", ","))</f>
        <v>0.27503245347511601</v>
      </c>
      <c r="D894" s="4">
        <f>VALUE(SUBSTITUTE('1000_заявлений'!D888, ".", ","))</f>
        <v>0.28812959999999999</v>
      </c>
      <c r="E894" s="4">
        <f>VALUE(SUBSTITUTE('1000_заявлений'!E888, ".", ","))</f>
        <v>0.52662779999999998</v>
      </c>
      <c r="F894" s="5">
        <f>VALUE(SUBSTITUTE('1000_заявлений'!F888, ".", ","))</f>
        <v>-1260</v>
      </c>
      <c r="G894" s="5">
        <f>VALUE(SUBSTITUTE('1000_заявлений'!G888, ".", ","))</f>
        <v>-11004</v>
      </c>
      <c r="H894" s="5">
        <f>VALUE(SUBSTITUTE('1000_заявлений'!H888, ".", ","))</f>
        <v>-3365</v>
      </c>
      <c r="I894" s="4">
        <f>VALUE(SUBSTITUTE('1000_заявлений'!I888, ".", ","))</f>
        <v>0.17111111111111099</v>
      </c>
      <c r="J894" s="4">
        <f>VALUE(SUBSTITUTE('1000_заявлений'!J888, ".", ","))</f>
        <v>7.3836381557018198</v>
      </c>
      <c r="K894" s="5">
        <f>VALUE(SUBSTITUTE('1000_заявлений'!K888, ".", ","))</f>
        <v>-614</v>
      </c>
      <c r="L894" s="6">
        <f>VALUE(SUBSTITUTE('1000_заявлений'!L888, ".", ","))</f>
        <v>20790</v>
      </c>
      <c r="M894" s="2" t="str">
        <f>IF(Данные6[[#This Row],[proba]]&gt;$C$6, "отказ", "одобрение")</f>
        <v>отказ</v>
      </c>
      <c r="N894" s="7">
        <f>IF(Данные6[[#This Row],[proba]]&lt;$D$2,$C$2,IF(Данные6[[#This Row],[proba]]&lt;$D$3,$C$3,IF(Данные6[[#This Row],[proba]]&gt;$C$6,0,$C$4)))</f>
        <v>0</v>
      </c>
      <c r="O894" s="2">
        <f>IF(Данные6[[#This Row],[weighted_ext_score]]&gt;$O$1,MIN(Данные6[[#This Row],[Базовая сумма]]*$O$2,$C$2),IF(Данные6[[#This Row],[weighted_ext_score]]&lt;$O$3,Данные6[[#This Row],[Базовая сумма]]*$O$4,N894))</f>
        <v>0</v>
      </c>
      <c r="P8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4" s="2">
        <f>ABS(Данные6[[#This Row],[days_birth]])/365.2425</f>
        <v>30.127928704901539</v>
      </c>
      <c r="S8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4" s="2">
        <f>IF(Данные6[[#This Row],[ interest_rate]]&gt;$T$1,Данные6[[#This Row],[days_birth4]]*$T$2,Данные6[[#This Row],[days_birth4]])</f>
        <v>0</v>
      </c>
      <c r="U894" s="2">
        <f>IF(Данные6[[#This Row],[Проверка отказа]]="отказ",0,MAX(Данные6[[#This Row],[interest_rate]],$C$1))</f>
        <v>0</v>
      </c>
      <c r="V894" s="2">
        <f>MROUND(Данные6[[#This Row],[Минимум 20000]], 100)</f>
        <v>0</v>
      </c>
    </row>
    <row r="895" spans="1:22" x14ac:dyDescent="0.25">
      <c r="A895" s="2">
        <f>'1000_заявлений'!A889</f>
        <v>887</v>
      </c>
      <c r="B895" s="4">
        <f>VALUE(SUBSTITUTE('1000_заявлений'!B889, ".", ","))</f>
        <v>0.63628326971798399</v>
      </c>
      <c r="C895" s="4">
        <f>VALUE(SUBSTITUTE('1000_заявлений'!C889, ".", ","))</f>
        <v>0.22444274876700401</v>
      </c>
      <c r="D895" s="4">
        <f>VALUE(SUBSTITUTE('1000_заявлений'!D889, ".", ","))</f>
        <v>0.27500036</v>
      </c>
      <c r="E895" s="4">
        <f>VALUE(SUBSTITUTE('1000_заявлений'!E889, ".", ","))</f>
        <v>0.38530666000000002</v>
      </c>
      <c r="F895" s="5">
        <f>VALUE(SUBSTITUTE('1000_заявлений'!F889, ".", ","))</f>
        <v>-1307</v>
      </c>
      <c r="G895" s="5">
        <f>VALUE(SUBSTITUTE('1000_заявлений'!G889, ".", ","))</f>
        <v>-20366</v>
      </c>
      <c r="H895" s="5">
        <f>VALUE(SUBSTITUTE('1000_заявлений'!H889, ".", ","))</f>
        <v>-3233</v>
      </c>
      <c r="I895" s="4">
        <f>VALUE(SUBSTITUTE('1000_заявлений'!I889, ".", ","))</f>
        <v>0.114411764705882</v>
      </c>
      <c r="J895" s="4">
        <f>VALUE(SUBSTITUTE('1000_заявлений'!J889, ".", ","))</f>
        <v>5.1408205272921004</v>
      </c>
      <c r="K895" s="5">
        <f>VALUE(SUBSTITUTE('1000_заявлений'!K889, ".", ","))</f>
        <v>365243</v>
      </c>
      <c r="L895" s="6">
        <f>VALUE(SUBSTITUTE('1000_заявлений'!L889, ".", ","))</f>
        <v>8752.5</v>
      </c>
      <c r="M895" s="2" t="str">
        <f>IF(Данные6[[#This Row],[proba]]&gt;$C$6, "отказ", "одобрение")</f>
        <v>отказ</v>
      </c>
      <c r="N895" s="7">
        <f>IF(Данные6[[#This Row],[proba]]&lt;$D$2,$C$2,IF(Данные6[[#This Row],[proba]]&lt;$D$3,$C$3,IF(Данные6[[#This Row],[proba]]&gt;$C$6,0,$C$4)))</f>
        <v>0</v>
      </c>
      <c r="O895" s="2">
        <f>IF(Данные6[[#This Row],[weighted_ext_score]]&gt;$O$1,MIN(Данные6[[#This Row],[Базовая сумма]]*$O$2,$C$2),IF(Данные6[[#This Row],[weighted_ext_score]]&lt;$O$3,Данные6[[#This Row],[Базовая сумма]]*$O$4,N895))</f>
        <v>0</v>
      </c>
      <c r="P8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5" s="2">
        <f>ABS(Данные6[[#This Row],[days_birth]])/365.2425</f>
        <v>55.760214104327943</v>
      </c>
      <c r="S8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5" s="2">
        <f>IF(Данные6[[#This Row],[ interest_rate]]&gt;$T$1,Данные6[[#This Row],[days_birth4]]*$T$2,Данные6[[#This Row],[days_birth4]])</f>
        <v>0</v>
      </c>
      <c r="U895" s="2">
        <f>IF(Данные6[[#This Row],[Проверка отказа]]="отказ",0,MAX(Данные6[[#This Row],[interest_rate]],$C$1))</f>
        <v>0</v>
      </c>
      <c r="V895" s="2">
        <f>MROUND(Данные6[[#This Row],[Минимум 20000]], 100)</f>
        <v>0</v>
      </c>
    </row>
    <row r="896" spans="1:22" x14ac:dyDescent="0.25">
      <c r="A896" s="2">
        <f>'1000_заявлений'!A890</f>
        <v>888</v>
      </c>
      <c r="B896" s="4">
        <f>VALUE(SUBSTITUTE('1000_заявлений'!B890, ".", ","))</f>
        <v>0.373076401211482</v>
      </c>
      <c r="C896" s="4">
        <f>VALUE(SUBSTITUTE('1000_заявлений'!C890, ".", ","))</f>
        <v>0.43166862637318498</v>
      </c>
      <c r="D896" s="4">
        <f>VALUE(SUBSTITUTE('1000_заявлений'!D890, ".", ","))</f>
        <v>0.65289649999999999</v>
      </c>
      <c r="E896" s="4">
        <f>VALUE(SUBSTITUTE('1000_заявлений'!E890, ".", ","))</f>
        <v>0.60281240000000003</v>
      </c>
      <c r="F896" s="5">
        <f>VALUE(SUBSTITUTE('1000_заявлений'!F890, ".", ","))</f>
        <v>-4894</v>
      </c>
      <c r="G896" s="5">
        <f>VALUE(SUBSTITUTE('1000_заявлений'!G890, ".", ","))</f>
        <v>-10151</v>
      </c>
      <c r="H896" s="5">
        <f>VALUE(SUBSTITUTE('1000_заявлений'!H890, ".", ","))</f>
        <v>-2786</v>
      </c>
      <c r="I896" s="4">
        <f>VALUE(SUBSTITUTE('1000_заявлений'!I890, ".", ","))</f>
        <v>0.18542500000000001</v>
      </c>
      <c r="J896" s="4">
        <f>VALUE(SUBSTITUTE('1000_заявлений'!J890, ".", ","))</f>
        <v>0.94527593528077603</v>
      </c>
      <c r="K896" s="5">
        <f>VALUE(SUBSTITUTE('1000_заявлений'!K890, ".", ","))</f>
        <v>-1994</v>
      </c>
      <c r="L896" s="6">
        <f>VALUE(SUBSTITUTE('1000_заявлений'!L890, ".", ","))</f>
        <v>33376.5</v>
      </c>
      <c r="M896" s="2" t="str">
        <f>IF(Данные6[[#This Row],[proba]]&gt;$C$6, "отказ", "одобрение")</f>
        <v>отказ</v>
      </c>
      <c r="N896" s="7">
        <f>IF(Данные6[[#This Row],[proba]]&lt;$D$2,$C$2,IF(Данные6[[#This Row],[proba]]&lt;$D$3,$C$3,IF(Данные6[[#This Row],[proba]]&gt;$C$6,0,$C$4)))</f>
        <v>0</v>
      </c>
      <c r="O896" s="2">
        <f>IF(Данные6[[#This Row],[weighted_ext_score]]&gt;$O$1,MIN(Данные6[[#This Row],[Базовая сумма]]*$O$2,$C$2),IF(Данные6[[#This Row],[weighted_ext_score]]&lt;$O$3,Данные6[[#This Row],[Базовая сумма]]*$O$4,N896))</f>
        <v>0</v>
      </c>
      <c r="P8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6" s="2">
        <f>ABS(Данные6[[#This Row],[days_birth]])/365.2425</f>
        <v>27.792494027940339</v>
      </c>
      <c r="S8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6" s="2">
        <f>IF(Данные6[[#This Row],[ interest_rate]]&gt;$T$1,Данные6[[#This Row],[days_birth4]]*$T$2,Данные6[[#This Row],[days_birth4]])</f>
        <v>0</v>
      </c>
      <c r="U896" s="2">
        <f>IF(Данные6[[#This Row],[Проверка отказа]]="отказ",0,MAX(Данные6[[#This Row],[interest_rate]],$C$1))</f>
        <v>0</v>
      </c>
      <c r="V896" s="2">
        <f>MROUND(Данные6[[#This Row],[Минимум 20000]], 100)</f>
        <v>0</v>
      </c>
    </row>
    <row r="897" spans="1:22" x14ac:dyDescent="0.25">
      <c r="A897" s="2">
        <f>'1000_заявлений'!A891</f>
        <v>889</v>
      </c>
      <c r="B897" s="4">
        <f>VALUE(SUBSTITUTE('1000_заявлений'!B891, ".", ","))</f>
        <v>0.20356336261049601</v>
      </c>
      <c r="C897" s="4">
        <f>VALUE(SUBSTITUTE('1000_заявлений'!C891, ".", ","))</f>
        <v>0.44926696430999902</v>
      </c>
      <c r="D897" s="4">
        <f>VALUE(SUBSTITUTE('1000_заявлений'!D891, ".", ","))</f>
        <v>0.62122630000000001</v>
      </c>
      <c r="E897" s="4">
        <f>VALUE(SUBSTITUTE('1000_заявлений'!E891, ".", ","))</f>
        <v>0.69237599999999999</v>
      </c>
      <c r="F897" s="5">
        <f>VALUE(SUBSTITUTE('1000_заявлений'!F891, ".", ","))</f>
        <v>-4127</v>
      </c>
      <c r="G897" s="5">
        <f>VALUE(SUBSTITUTE('1000_заявлений'!G891, ".", ","))</f>
        <v>-22516</v>
      </c>
      <c r="H897" s="5">
        <f>VALUE(SUBSTITUTE('1000_заявлений'!H891, ".", ","))</f>
        <v>-5165</v>
      </c>
      <c r="I897" s="4">
        <f>VALUE(SUBSTITUTE('1000_заявлений'!I891, ".", ","))</f>
        <v>7.8716666666666602E-2</v>
      </c>
      <c r="J897" s="4">
        <f>VALUE(SUBSTITUTE('1000_заявлений'!J891, ".", ","))</f>
        <v>0.46841480777086703</v>
      </c>
      <c r="K897" s="5">
        <f>VALUE(SUBSTITUTE('1000_заявлений'!K891, ".", ","))</f>
        <v>365243</v>
      </c>
      <c r="L897" s="6">
        <f>VALUE(SUBSTITUTE('1000_заявлений'!L891, ".", ","))</f>
        <v>42507</v>
      </c>
      <c r="M897" s="2" t="str">
        <f>IF(Данные6[[#This Row],[proba]]&gt;$C$6, "отказ", "одобрение")</f>
        <v>одобрение</v>
      </c>
      <c r="N897" s="7">
        <f>IF(Данные6[[#This Row],[proba]]&lt;$D$2,$C$2,IF(Данные6[[#This Row],[proba]]&lt;$D$3,$C$3,IF(Данные6[[#This Row],[proba]]&gt;$C$6,0,$C$4)))</f>
        <v>50000</v>
      </c>
      <c r="O897" s="2">
        <f>IF(Данные6[[#This Row],[weighted_ext_score]]&gt;$O$1,MIN(Данные6[[#This Row],[Базовая сумма]]*$O$2,$C$2),IF(Данные6[[#This Row],[weighted_ext_score]]&lt;$O$3,Данные6[[#This Row],[Базовая сумма]]*$O$4,N897))</f>
        <v>40000</v>
      </c>
      <c r="P8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8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897" s="2">
        <f>ABS(Данные6[[#This Row],[days_birth]])/365.2425</f>
        <v>61.646714169353238</v>
      </c>
      <c r="S8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50400</v>
      </c>
      <c r="T897" s="2">
        <f>IF(Данные6[[#This Row],[ interest_rate]]&gt;$T$1,Данные6[[#This Row],[days_birth4]]*$T$2,Данные6[[#This Row],[days_birth4]])</f>
        <v>50400</v>
      </c>
      <c r="U897" s="2">
        <f>IF(Данные6[[#This Row],[Проверка отказа]]="отказ",0,MAX(Данные6[[#This Row],[interest_rate]],$C$1))</f>
        <v>50400</v>
      </c>
      <c r="V897" s="2">
        <f>MROUND(Данные6[[#This Row],[Минимум 20000]], 100)</f>
        <v>50400</v>
      </c>
    </row>
    <row r="898" spans="1:22" x14ac:dyDescent="0.25">
      <c r="A898" s="2">
        <f>'1000_заявлений'!A892</f>
        <v>890</v>
      </c>
      <c r="B898" s="4">
        <f>VALUE(SUBSTITUTE('1000_заявлений'!B892, ".", ","))</f>
        <v>0.29322499331350899</v>
      </c>
      <c r="C898" s="4">
        <f>VALUE(SUBSTITUTE('1000_заявлений'!C892, ".", ","))</f>
        <v>0.38466992841390601</v>
      </c>
      <c r="D898" s="4">
        <f>VALUE(SUBSTITUTE('1000_заявлений'!D892, ".", ","))</f>
        <v>0.75440615</v>
      </c>
      <c r="E898" s="4">
        <f>VALUE(SUBSTITUTE('1000_заявлений'!E892, ".", ","))</f>
        <v>0.34474452999999999</v>
      </c>
      <c r="F898" s="5">
        <f>VALUE(SUBSTITUTE('1000_заявлений'!F892, ".", ","))</f>
        <v>-4893</v>
      </c>
      <c r="G898" s="5">
        <f>VALUE(SUBSTITUTE('1000_заявлений'!G892, ".", ","))</f>
        <v>-21857</v>
      </c>
      <c r="H898" s="5">
        <f>VALUE(SUBSTITUTE('1000_заявлений'!H892, ".", ","))</f>
        <v>-4893</v>
      </c>
      <c r="I898" s="4">
        <f>VALUE(SUBSTITUTE('1000_заявлений'!I892, ".", ","))</f>
        <v>0.20226666666666601</v>
      </c>
      <c r="J898" s="4">
        <f>VALUE(SUBSTITUTE('1000_заявлений'!J892, ".", ","))</f>
        <v>8.9637010522492808</v>
      </c>
      <c r="K898" s="5">
        <f>VALUE(SUBSTITUTE('1000_заявлений'!K892, ".", ","))</f>
        <v>365243</v>
      </c>
      <c r="L898" s="6">
        <f>VALUE(SUBSTITUTE('1000_заявлений'!L892, ".", ","))</f>
        <v>13653</v>
      </c>
      <c r="M898" s="2" t="str">
        <f>IF(Данные6[[#This Row],[proba]]&gt;$C$6, "отказ", "одобрение")</f>
        <v>одобрение</v>
      </c>
      <c r="N898" s="7">
        <f>IF(Данные6[[#This Row],[proba]]&lt;$D$2,$C$2,IF(Данные6[[#This Row],[proba]]&lt;$D$3,$C$3,IF(Данные6[[#This Row],[proba]]&gt;$C$6,0,$C$4)))</f>
        <v>50000</v>
      </c>
      <c r="O898" s="2">
        <f>IF(Данные6[[#This Row],[weighted_ext_score]]&gt;$O$1,MIN(Данные6[[#This Row],[Базовая сумма]]*$O$2,$C$2),IF(Данные6[[#This Row],[weighted_ext_score]]&lt;$O$3,Данные6[[#This Row],[Базовая сумма]]*$O$4,N898))</f>
        <v>40000</v>
      </c>
      <c r="P8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8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898" s="2">
        <f>ABS(Данные6[[#This Row],[days_birth]])/365.2425</f>
        <v>59.842433451747809</v>
      </c>
      <c r="S8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898" s="2">
        <f>IF(Данные6[[#This Row],[ interest_rate]]&gt;$T$1,Данные6[[#This Row],[days_birth4]]*$T$2,Данные6[[#This Row],[days_birth4]])</f>
        <v>42000</v>
      </c>
      <c r="U898" s="2">
        <f>IF(Данные6[[#This Row],[Проверка отказа]]="отказ",0,MAX(Данные6[[#This Row],[interest_rate]],$C$1))</f>
        <v>42000</v>
      </c>
      <c r="V898" s="2">
        <f>MROUND(Данные6[[#This Row],[Минимум 20000]], 100)</f>
        <v>42000</v>
      </c>
    </row>
    <row r="899" spans="1:22" x14ac:dyDescent="0.25">
      <c r="A899" s="2">
        <f>'1000_заявлений'!A893</f>
        <v>891</v>
      </c>
      <c r="B899" s="4">
        <f>VALUE(SUBSTITUTE('1000_заявлений'!B893, ".", ","))</f>
        <v>0.72064810101222798</v>
      </c>
      <c r="C899" s="4">
        <f>VALUE(SUBSTITUTE('1000_заявлений'!C893, ".", ","))</f>
        <v>0.33278330497435499</v>
      </c>
      <c r="D899" s="4">
        <f>VALUE(SUBSTITUTE('1000_заявлений'!D893, ".", ","))</f>
        <v>0.21396684999999999</v>
      </c>
      <c r="E899" s="4">
        <f>VALUE(SUBSTITUTE('1000_заявлений'!E893, ".", ","))</f>
        <v>0.35458996999999998</v>
      </c>
      <c r="F899" s="5">
        <f>VALUE(SUBSTITUTE('1000_заявлений'!F893, ".", ","))</f>
        <v>-7007</v>
      </c>
      <c r="G899" s="5">
        <f>VALUE(SUBSTITUTE('1000_заявлений'!G893, ".", ","))</f>
        <v>-16536</v>
      </c>
      <c r="H899" s="5">
        <f>VALUE(SUBSTITUTE('1000_заявлений'!H893, ".", ","))</f>
        <v>-85</v>
      </c>
      <c r="I899" s="4">
        <f>VALUE(SUBSTITUTE('1000_заявлений'!I893, ".", ","))</f>
        <v>0.18943333333333301</v>
      </c>
      <c r="J899" s="4">
        <f>VALUE(SUBSTITUTE('1000_заявлений'!J893, ".", ","))</f>
        <v>3.9442993202230401</v>
      </c>
      <c r="K899" s="5">
        <f>VALUE(SUBSTITUTE('1000_заявлений'!K893, ".", ","))</f>
        <v>-1784</v>
      </c>
      <c r="L899" s="6">
        <f>VALUE(SUBSTITUTE('1000_заявлений'!L893, ".", ","))</f>
        <v>25573.5</v>
      </c>
      <c r="M899" s="2" t="str">
        <f>IF(Данные6[[#This Row],[proba]]&gt;$C$6, "отказ", "одобрение")</f>
        <v>отказ</v>
      </c>
      <c r="N899" s="7">
        <f>IF(Данные6[[#This Row],[proba]]&lt;$D$2,$C$2,IF(Данные6[[#This Row],[proba]]&lt;$D$3,$C$3,IF(Данные6[[#This Row],[proba]]&gt;$C$6,0,$C$4)))</f>
        <v>0</v>
      </c>
      <c r="O899" s="2">
        <f>IF(Данные6[[#This Row],[weighted_ext_score]]&gt;$O$1,MIN(Данные6[[#This Row],[Базовая сумма]]*$O$2,$C$2),IF(Данные6[[#This Row],[weighted_ext_score]]&lt;$O$3,Данные6[[#This Row],[Базовая сумма]]*$O$4,N899))</f>
        <v>0</v>
      </c>
      <c r="P8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8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899" s="2">
        <f>ABS(Данные6[[#This Row],[days_birth]])/365.2425</f>
        <v>45.274030267561962</v>
      </c>
      <c r="S8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899" s="2">
        <f>IF(Данные6[[#This Row],[ interest_rate]]&gt;$T$1,Данные6[[#This Row],[days_birth4]]*$T$2,Данные6[[#This Row],[days_birth4]])</f>
        <v>0</v>
      </c>
      <c r="U899" s="2">
        <f>IF(Данные6[[#This Row],[Проверка отказа]]="отказ",0,MAX(Данные6[[#This Row],[interest_rate]],$C$1))</f>
        <v>0</v>
      </c>
      <c r="V899" s="2">
        <f>MROUND(Данные6[[#This Row],[Минимум 20000]], 100)</f>
        <v>0</v>
      </c>
    </row>
    <row r="900" spans="1:22" x14ac:dyDescent="0.25">
      <c r="A900" s="2">
        <f>'1000_заявлений'!A894</f>
        <v>892</v>
      </c>
      <c r="B900" s="4">
        <f>VALUE(SUBSTITUTE('1000_заявлений'!B894, ".", ","))</f>
        <v>0.36093322619823198</v>
      </c>
      <c r="C900" s="4">
        <f>VALUE(SUBSTITUTE('1000_заявлений'!C894, ".", ","))</f>
        <v>0.39663462139481798</v>
      </c>
      <c r="D900" s="4">
        <f>VALUE(SUBSTITUTE('1000_заявлений'!D894, ".", ","))</f>
        <v>0.56206049999999996</v>
      </c>
      <c r="E900" s="4">
        <f>VALUE(SUBSTITUTE('1000_заявлений'!E894, ".", ","))</f>
        <v>0.59608644</v>
      </c>
      <c r="F900" s="5">
        <f>VALUE(SUBSTITUTE('1000_заявлений'!F894, ".", ","))</f>
        <v>-5323</v>
      </c>
      <c r="G900" s="5">
        <f>VALUE(SUBSTITUTE('1000_заявлений'!G894, ".", ","))</f>
        <v>-19974</v>
      </c>
      <c r="H900" s="5">
        <f>VALUE(SUBSTITUTE('1000_заявлений'!H894, ".", ","))</f>
        <v>-3479</v>
      </c>
      <c r="I900" s="4">
        <f>VALUE(SUBSTITUTE('1000_заявлений'!I894, ".", ","))</f>
        <v>0.28536</v>
      </c>
      <c r="J900" s="4">
        <f>VALUE(SUBSTITUTE('1000_заявлений'!J894, ".", ","))</f>
        <v>4.3417827645910201</v>
      </c>
      <c r="K900" s="5">
        <f>VALUE(SUBSTITUTE('1000_заявлений'!K894, ".", ","))</f>
        <v>-3081</v>
      </c>
      <c r="L900" s="6">
        <f>VALUE(SUBSTITUTE('1000_заявлений'!L894, ".", ","))</f>
        <v>64206</v>
      </c>
      <c r="M900" s="2" t="str">
        <f>IF(Данные6[[#This Row],[proba]]&gt;$C$6, "отказ", "одобрение")</f>
        <v>отказ</v>
      </c>
      <c r="N900" s="7">
        <f>IF(Данные6[[#This Row],[proba]]&lt;$D$2,$C$2,IF(Данные6[[#This Row],[proba]]&lt;$D$3,$C$3,IF(Данные6[[#This Row],[proba]]&gt;$C$6,0,$C$4)))</f>
        <v>0</v>
      </c>
      <c r="O900" s="2">
        <f>IF(Данные6[[#This Row],[weighted_ext_score]]&gt;$O$1,MIN(Данные6[[#This Row],[Базовая сумма]]*$O$2,$C$2),IF(Данные6[[#This Row],[weighted_ext_score]]&lt;$O$3,Данные6[[#This Row],[Базовая сумма]]*$O$4,N900))</f>
        <v>0</v>
      </c>
      <c r="P9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0" s="2">
        <f>ABS(Данные6[[#This Row],[days_birth]])/365.2425</f>
        <v>54.68695455758845</v>
      </c>
      <c r="S9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0" s="2">
        <f>IF(Данные6[[#This Row],[ interest_rate]]&gt;$T$1,Данные6[[#This Row],[days_birth4]]*$T$2,Данные6[[#This Row],[days_birth4]])</f>
        <v>0</v>
      </c>
      <c r="U900" s="2">
        <f>IF(Данные6[[#This Row],[Проверка отказа]]="отказ",0,MAX(Данные6[[#This Row],[interest_rate]],$C$1))</f>
        <v>0</v>
      </c>
      <c r="V900" s="2">
        <f>MROUND(Данные6[[#This Row],[Минимум 20000]], 100)</f>
        <v>0</v>
      </c>
    </row>
    <row r="901" spans="1:22" x14ac:dyDescent="0.25">
      <c r="A901" s="2">
        <f>'1000_заявлений'!A895</f>
        <v>893</v>
      </c>
      <c r="B901" s="4">
        <f>VALUE(SUBSTITUTE('1000_заявлений'!B895, ".", ","))</f>
        <v>0.70871027274512899</v>
      </c>
      <c r="C901" s="4">
        <f>VALUE(SUBSTITUTE('1000_заявлений'!C895, ".", ","))</f>
        <v>0.33937798466364499</v>
      </c>
      <c r="D901" s="4">
        <f>VALUE(SUBSTITUTE('1000_заявлений'!D895, ".", ","))</f>
        <v>0.45253357</v>
      </c>
      <c r="E901" s="4">
        <f>VALUE(SUBSTITUTE('1000_заявлений'!E895, ".", ","))</f>
        <v>0.1886642</v>
      </c>
      <c r="F901" s="5">
        <f>VALUE(SUBSTITUTE('1000_заявлений'!F895, ".", ","))</f>
        <v>-4718</v>
      </c>
      <c r="G901" s="5">
        <f>VALUE(SUBSTITUTE('1000_заявлений'!G895, ".", ","))</f>
        <v>-13965</v>
      </c>
      <c r="H901" s="5">
        <f>VALUE(SUBSTITUTE('1000_заявлений'!H895, ".", ","))</f>
        <v>-4718</v>
      </c>
      <c r="I901" s="4">
        <f>VALUE(SUBSTITUTE('1000_заявлений'!I895, ".", ","))</f>
        <v>0.38216666666666599</v>
      </c>
      <c r="J901" s="4">
        <f>VALUE(SUBSTITUTE('1000_заявлений'!J895, ".", ","))</f>
        <v>1.7941920551238499</v>
      </c>
      <c r="K901" s="5">
        <f>VALUE(SUBSTITUTE('1000_заявлений'!K895, ".", ","))</f>
        <v>-940</v>
      </c>
      <c r="L901" s="6">
        <f>VALUE(SUBSTITUTE('1000_заявлений'!L895, ".", ","))</f>
        <v>20637</v>
      </c>
      <c r="M901" s="2" t="str">
        <f>IF(Данные6[[#This Row],[proba]]&gt;$C$6, "отказ", "одобрение")</f>
        <v>отказ</v>
      </c>
      <c r="N901" s="7">
        <f>IF(Данные6[[#This Row],[proba]]&lt;$D$2,$C$2,IF(Данные6[[#This Row],[proba]]&lt;$D$3,$C$3,IF(Данные6[[#This Row],[proba]]&gt;$C$6,0,$C$4)))</f>
        <v>0</v>
      </c>
      <c r="O901" s="2">
        <f>IF(Данные6[[#This Row],[weighted_ext_score]]&gt;$O$1,MIN(Данные6[[#This Row],[Базовая сумма]]*$O$2,$C$2),IF(Данные6[[#This Row],[weighted_ext_score]]&lt;$O$3,Данные6[[#This Row],[Базовая сумма]]*$O$4,N901))</f>
        <v>0</v>
      </c>
      <c r="P9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1" s="2">
        <f>ABS(Данные6[[#This Row],[days_birth]])/365.2425</f>
        <v>38.23487135259451</v>
      </c>
      <c r="S9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1" s="2">
        <f>IF(Данные6[[#This Row],[ interest_rate]]&gt;$T$1,Данные6[[#This Row],[days_birth4]]*$T$2,Данные6[[#This Row],[days_birth4]])</f>
        <v>0</v>
      </c>
      <c r="U901" s="2">
        <f>IF(Данные6[[#This Row],[Проверка отказа]]="отказ",0,MAX(Данные6[[#This Row],[interest_rate]],$C$1))</f>
        <v>0</v>
      </c>
      <c r="V901" s="2">
        <f>MROUND(Данные6[[#This Row],[Минимум 20000]], 100)</f>
        <v>0</v>
      </c>
    </row>
    <row r="902" spans="1:22" x14ac:dyDescent="0.25">
      <c r="A902" s="2">
        <f>'1000_заявлений'!A896</f>
        <v>894</v>
      </c>
      <c r="B902" s="4">
        <f>VALUE(SUBSTITUTE('1000_заявлений'!B896, ".", ","))</f>
        <v>0.59218968485947798</v>
      </c>
      <c r="C902" s="4">
        <f>VALUE(SUBSTITUTE('1000_заявлений'!C896, ".", ","))</f>
        <v>0.17554562883747801</v>
      </c>
      <c r="D902" s="4">
        <f>VALUE(SUBSTITUTE('1000_заявлений'!D896, ".", ","))</f>
        <v>0.53527623000000002</v>
      </c>
      <c r="E902" s="4">
        <f>VALUE(SUBSTITUTE('1000_заявлений'!E896, ".", ","))</f>
        <v>0.54117800000000005</v>
      </c>
      <c r="F902" s="5">
        <f>VALUE(SUBSTITUTE('1000_заявлений'!F896, ".", ","))</f>
        <v>-2921</v>
      </c>
      <c r="G902" s="5">
        <f>VALUE(SUBSTITUTE('1000_заявлений'!G896, ".", ","))</f>
        <v>-15494</v>
      </c>
      <c r="H902" s="5">
        <f>VALUE(SUBSTITUTE('1000_заявлений'!H896, ".", ","))</f>
        <v>-4081</v>
      </c>
      <c r="I902" s="4">
        <f>VALUE(SUBSTITUTE('1000_заявлений'!I896, ".", ","))</f>
        <v>0.36956521739130399</v>
      </c>
      <c r="J902" s="4">
        <f>VALUE(SUBSTITUTE('1000_заявлений'!J896, ".", ","))</f>
        <v>1.78610056239632</v>
      </c>
      <c r="K902" s="5">
        <f>VALUE(SUBSTITUTE('1000_заявлений'!K896, ".", ","))</f>
        <v>-4419</v>
      </c>
      <c r="L902" s="6">
        <f>VALUE(SUBSTITUTE('1000_заявлений'!L896, ".", ","))</f>
        <v>38250</v>
      </c>
      <c r="M902" s="2" t="str">
        <f>IF(Данные6[[#This Row],[proba]]&gt;$C$6, "отказ", "одобрение")</f>
        <v>отказ</v>
      </c>
      <c r="N902" s="7">
        <f>IF(Данные6[[#This Row],[proba]]&lt;$D$2,$C$2,IF(Данные6[[#This Row],[proba]]&lt;$D$3,$C$3,IF(Данные6[[#This Row],[proba]]&gt;$C$6,0,$C$4)))</f>
        <v>0</v>
      </c>
      <c r="O902" s="2">
        <f>IF(Данные6[[#This Row],[weighted_ext_score]]&gt;$O$1,MIN(Данные6[[#This Row],[Базовая сумма]]*$O$2,$C$2),IF(Данные6[[#This Row],[weighted_ext_score]]&lt;$O$3,Данные6[[#This Row],[Базовая сумма]]*$O$4,N902))</f>
        <v>0</v>
      </c>
      <c r="P9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2" s="2">
        <f>ABS(Данные6[[#This Row],[days_birth]])/365.2425</f>
        <v>42.421131166279935</v>
      </c>
      <c r="S9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2" s="2">
        <f>IF(Данные6[[#This Row],[ interest_rate]]&gt;$T$1,Данные6[[#This Row],[days_birth4]]*$T$2,Данные6[[#This Row],[days_birth4]])</f>
        <v>0</v>
      </c>
      <c r="U902" s="2">
        <f>IF(Данные6[[#This Row],[Проверка отказа]]="отказ",0,MAX(Данные6[[#This Row],[interest_rate]],$C$1))</f>
        <v>0</v>
      </c>
      <c r="V902" s="2">
        <f>MROUND(Данные6[[#This Row],[Минимум 20000]], 100)</f>
        <v>0</v>
      </c>
    </row>
    <row r="903" spans="1:22" x14ac:dyDescent="0.25">
      <c r="A903" s="2">
        <f>'1000_заявлений'!A897</f>
        <v>895</v>
      </c>
      <c r="B903" s="4">
        <f>VALUE(SUBSTITUTE('1000_заявлений'!B897, ".", ","))</f>
        <v>0.63799787186816503</v>
      </c>
      <c r="C903" s="4">
        <f>VALUE(SUBSTITUTE('1000_заявлений'!C897, ".", ","))</f>
        <v>0.325387188643807</v>
      </c>
      <c r="D903" s="4">
        <f>VALUE(SUBSTITUTE('1000_заявлений'!D897, ".", ","))</f>
        <v>0.18848952999999999</v>
      </c>
      <c r="E903" s="4">
        <f>VALUE(SUBSTITUTE('1000_заявлений'!E897, ".", ","))</f>
        <v>0.63755315999999995</v>
      </c>
      <c r="F903" s="5">
        <f>VALUE(SUBSTITUTE('1000_заявлений'!F897, ".", ","))</f>
        <v>-2772</v>
      </c>
      <c r="G903" s="5">
        <f>VALUE(SUBSTITUTE('1000_заявлений'!G897, ".", ","))</f>
        <v>-14134</v>
      </c>
      <c r="H903" s="5">
        <f>VALUE(SUBSTITUTE('1000_заявлений'!H897, ".", ","))</f>
        <v>-4514</v>
      </c>
      <c r="I903" s="4">
        <f>VALUE(SUBSTITUTE('1000_заявлений'!I897, ".", ","))</f>
        <v>0.29166666666666602</v>
      </c>
      <c r="J903" s="4">
        <f>VALUE(SUBSTITUTE('1000_заявлений'!J897, ".", ","))</f>
        <v>2.7653963316522399</v>
      </c>
      <c r="K903" s="5">
        <f>VALUE(SUBSTITUTE('1000_заявлений'!K897, ".", ","))</f>
        <v>-1908</v>
      </c>
      <c r="L903" s="6">
        <f>VALUE(SUBSTITUTE('1000_заявлений'!L897, ".", ","))</f>
        <v>43312.5</v>
      </c>
      <c r="M903" s="2" t="str">
        <f>IF(Данные6[[#This Row],[proba]]&gt;$C$6, "отказ", "одобрение")</f>
        <v>отказ</v>
      </c>
      <c r="N903" s="7">
        <f>IF(Данные6[[#This Row],[proba]]&lt;$D$2,$C$2,IF(Данные6[[#This Row],[proba]]&lt;$D$3,$C$3,IF(Данные6[[#This Row],[proba]]&gt;$C$6,0,$C$4)))</f>
        <v>0</v>
      </c>
      <c r="O903" s="2">
        <f>IF(Данные6[[#This Row],[weighted_ext_score]]&gt;$O$1,MIN(Данные6[[#This Row],[Базовая сумма]]*$O$2,$C$2),IF(Данные6[[#This Row],[weighted_ext_score]]&lt;$O$3,Данные6[[#This Row],[Базовая сумма]]*$O$4,N903))</f>
        <v>0</v>
      </c>
      <c r="P9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3" s="2">
        <f>ABS(Данные6[[#This Row],[days_birth]])/365.2425</f>
        <v>38.697577636775563</v>
      </c>
      <c r="S9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3" s="2">
        <f>IF(Данные6[[#This Row],[ interest_rate]]&gt;$T$1,Данные6[[#This Row],[days_birth4]]*$T$2,Данные6[[#This Row],[days_birth4]])</f>
        <v>0</v>
      </c>
      <c r="U903" s="2">
        <f>IF(Данные6[[#This Row],[Проверка отказа]]="отказ",0,MAX(Данные6[[#This Row],[interest_rate]],$C$1))</f>
        <v>0</v>
      </c>
      <c r="V903" s="2">
        <f>MROUND(Данные6[[#This Row],[Минимум 20000]], 100)</f>
        <v>0</v>
      </c>
    </row>
    <row r="904" spans="1:22" x14ac:dyDescent="0.25">
      <c r="A904" s="2">
        <f>'1000_заявлений'!A898</f>
        <v>896</v>
      </c>
      <c r="B904" s="4">
        <f>VALUE(SUBSTITUTE('1000_заявлений'!B898, ".", ","))</f>
        <v>0.327197840770869</v>
      </c>
      <c r="C904" s="4">
        <f>VALUE(SUBSTITUTE('1000_заявлений'!C898, ".", ","))</f>
        <v>0.23686983298664999</v>
      </c>
      <c r="D904" s="4">
        <f>VALUE(SUBSTITUTE('1000_заявлений'!D898, ".", ","))</f>
        <v>0.53527623000000002</v>
      </c>
      <c r="E904" s="4">
        <f>VALUE(SUBSTITUTE('1000_заявлений'!E898, ".", ","))</f>
        <v>0.73023033000000004</v>
      </c>
      <c r="F904" s="5">
        <f>VALUE(SUBSTITUTE('1000_заявлений'!F898, ".", ","))</f>
        <v>-10818</v>
      </c>
      <c r="G904" s="5">
        <f>VALUE(SUBSTITUTE('1000_заявлений'!G898, ".", ","))</f>
        <v>-25051</v>
      </c>
      <c r="H904" s="5">
        <f>VALUE(SUBSTITUTE('1000_заявлений'!H898, ".", ","))</f>
        <v>-4335</v>
      </c>
      <c r="I904" s="4">
        <f>VALUE(SUBSTITUTE('1000_заявлений'!I898, ".", ","))</f>
        <v>0.27443661971830902</v>
      </c>
      <c r="J904" s="4">
        <f>VALUE(SUBSTITUTE('1000_заявлений'!J898, ".", ","))</f>
        <v>3.62695279578984</v>
      </c>
      <c r="K904" s="5">
        <f>VALUE(SUBSTITUTE('1000_заявлений'!K898, ".", ","))</f>
        <v>365243</v>
      </c>
      <c r="L904" s="6">
        <f>VALUE(SUBSTITUTE('1000_заявлений'!L898, ".", ","))</f>
        <v>35073</v>
      </c>
      <c r="M904" s="2" t="str">
        <f>IF(Данные6[[#This Row],[proba]]&gt;$C$6, "отказ", "одобрение")</f>
        <v>отказ</v>
      </c>
      <c r="N904" s="7">
        <f>IF(Данные6[[#This Row],[proba]]&lt;$D$2,$C$2,IF(Данные6[[#This Row],[proba]]&lt;$D$3,$C$3,IF(Данные6[[#This Row],[proba]]&gt;$C$6,0,$C$4)))</f>
        <v>0</v>
      </c>
      <c r="O904" s="2">
        <f>IF(Данные6[[#This Row],[weighted_ext_score]]&gt;$O$1,MIN(Данные6[[#This Row],[Базовая сумма]]*$O$2,$C$2),IF(Данные6[[#This Row],[weighted_ext_score]]&lt;$O$3,Данные6[[#This Row],[Базовая сумма]]*$O$4,N904))</f>
        <v>0</v>
      </c>
      <c r="P9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4" s="2">
        <f>ABS(Данные6[[#This Row],[days_birth]])/365.2425</f>
        <v>68.587308432069108</v>
      </c>
      <c r="S9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4" s="2">
        <f>IF(Данные6[[#This Row],[ interest_rate]]&gt;$T$1,Данные6[[#This Row],[days_birth4]]*$T$2,Данные6[[#This Row],[days_birth4]])</f>
        <v>0</v>
      </c>
      <c r="U904" s="2">
        <f>IF(Данные6[[#This Row],[Проверка отказа]]="отказ",0,MAX(Данные6[[#This Row],[interest_rate]],$C$1))</f>
        <v>0</v>
      </c>
      <c r="V904" s="2">
        <f>MROUND(Данные6[[#This Row],[Минимум 20000]], 100)</f>
        <v>0</v>
      </c>
    </row>
    <row r="905" spans="1:22" x14ac:dyDescent="0.25">
      <c r="A905" s="2">
        <f>'1000_заявлений'!A899</f>
        <v>897</v>
      </c>
      <c r="B905" s="4">
        <f>VALUE(SUBSTITUTE('1000_заявлений'!B899, ".", ","))</f>
        <v>0.68829593813977796</v>
      </c>
      <c r="C905" s="4">
        <f>VALUE(SUBSTITUTE('1000_заявлений'!C899, ".", ","))</f>
        <v>0.38832506474462403</v>
      </c>
      <c r="D905" s="4">
        <f>VALUE(SUBSTITUTE('1000_заявлений'!D899, ".", ","))</f>
        <v>0.14644207000000001</v>
      </c>
      <c r="E905" s="4">
        <f>VALUE(SUBSTITUTE('1000_заявлений'!E899, ".", ","))</f>
        <v>0.23118395999999999</v>
      </c>
      <c r="F905" s="5">
        <f>VALUE(SUBSTITUTE('1000_заявлений'!F899, ".", ","))</f>
        <v>-6856</v>
      </c>
      <c r="G905" s="5">
        <f>VALUE(SUBSTITUTE('1000_заявлений'!G899, ".", ","))</f>
        <v>-22164</v>
      </c>
      <c r="H905" s="5">
        <f>VALUE(SUBSTITUTE('1000_заявлений'!H899, ".", ","))</f>
        <v>-4597</v>
      </c>
      <c r="I905" s="4">
        <f>VALUE(SUBSTITUTE('1000_заявлений'!I899, ".", ","))</f>
        <v>0.11772000000000001</v>
      </c>
      <c r="J905" s="4">
        <f>VALUE(SUBSTITUTE('1000_заявлений'!J899, ".", ","))</f>
        <v>4.5686877659159597</v>
      </c>
      <c r="K905" s="5">
        <f>VALUE(SUBSTITUTE('1000_заявлений'!K899, ".", ","))</f>
        <v>-4512</v>
      </c>
      <c r="L905" s="6">
        <f>VALUE(SUBSTITUTE('1000_заявлений'!L899, ".", ","))</f>
        <v>26487</v>
      </c>
      <c r="M905" s="2" t="str">
        <f>IF(Данные6[[#This Row],[proba]]&gt;$C$6, "отказ", "одобрение")</f>
        <v>отказ</v>
      </c>
      <c r="N905" s="7">
        <f>IF(Данные6[[#This Row],[proba]]&lt;$D$2,$C$2,IF(Данные6[[#This Row],[proba]]&lt;$D$3,$C$3,IF(Данные6[[#This Row],[proba]]&gt;$C$6,0,$C$4)))</f>
        <v>0</v>
      </c>
      <c r="O905" s="2">
        <f>IF(Данные6[[#This Row],[weighted_ext_score]]&gt;$O$1,MIN(Данные6[[#This Row],[Базовая сумма]]*$O$2,$C$2),IF(Данные6[[#This Row],[weighted_ext_score]]&lt;$O$3,Данные6[[#This Row],[Базовая сумма]]*$O$4,N905))</f>
        <v>0</v>
      </c>
      <c r="P9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5" s="2">
        <f>ABS(Данные6[[#This Row],[days_birth]])/365.2425</f>
        <v>60.682970902893281</v>
      </c>
      <c r="S9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5" s="2">
        <f>IF(Данные6[[#This Row],[ interest_rate]]&gt;$T$1,Данные6[[#This Row],[days_birth4]]*$T$2,Данные6[[#This Row],[days_birth4]])</f>
        <v>0</v>
      </c>
      <c r="U905" s="2">
        <f>IF(Данные6[[#This Row],[Проверка отказа]]="отказ",0,MAX(Данные6[[#This Row],[interest_rate]],$C$1))</f>
        <v>0</v>
      </c>
      <c r="V905" s="2">
        <f>MROUND(Данные6[[#This Row],[Минимум 20000]], 100)</f>
        <v>0</v>
      </c>
    </row>
    <row r="906" spans="1:22" x14ac:dyDescent="0.25">
      <c r="A906" s="2">
        <f>'1000_заявлений'!A900</f>
        <v>898</v>
      </c>
      <c r="B906" s="4">
        <f>VALUE(SUBSTITUTE('1000_заявлений'!B900, ".", ","))</f>
        <v>0.473906087210754</v>
      </c>
      <c r="C906" s="4">
        <f>VALUE(SUBSTITUTE('1000_заявлений'!C900, ".", ","))</f>
        <v>0.360468010249404</v>
      </c>
      <c r="D906" s="4">
        <f>VALUE(SUBSTITUTE('1000_заявлений'!D900, ".", ","))</f>
        <v>0.44183581999999999</v>
      </c>
      <c r="E906" s="4">
        <f>VALUE(SUBSTITUTE('1000_заявлений'!E900, ".", ","))</f>
        <v>0.61863590000000002</v>
      </c>
      <c r="F906" s="5">
        <f>VALUE(SUBSTITUTE('1000_заявлений'!F900, ".", ","))</f>
        <v>-1694</v>
      </c>
      <c r="G906" s="5">
        <f>VALUE(SUBSTITUTE('1000_заявлений'!G900, ".", ","))</f>
        <v>-12509</v>
      </c>
      <c r="H906" s="5">
        <f>VALUE(SUBSTITUTE('1000_заявлений'!H900, ".", ","))</f>
        <v>-2458</v>
      </c>
      <c r="I906" s="4">
        <f>VALUE(SUBSTITUTE('1000_заявлений'!I900, ".", ","))</f>
        <v>0.20013</v>
      </c>
      <c r="J906" s="4">
        <f>VALUE(SUBSTITUTE('1000_заявлений'!J900, ".", ","))</f>
        <v>0.141885237189698</v>
      </c>
      <c r="K906" s="5">
        <f>VALUE(SUBSTITUTE('1000_заявлений'!K900, ".", ","))</f>
        <v>-112</v>
      </c>
      <c r="L906" s="6">
        <f>VALUE(SUBSTITUTE('1000_заявлений'!L900, ".", ","))</f>
        <v>90058.5</v>
      </c>
      <c r="M906" s="2" t="str">
        <f>IF(Данные6[[#This Row],[proba]]&gt;$C$6, "отказ", "одобрение")</f>
        <v>отказ</v>
      </c>
      <c r="N906" s="7">
        <f>IF(Данные6[[#This Row],[proba]]&lt;$D$2,$C$2,IF(Данные6[[#This Row],[proba]]&lt;$D$3,$C$3,IF(Данные6[[#This Row],[proba]]&gt;$C$6,0,$C$4)))</f>
        <v>0</v>
      </c>
      <c r="O906" s="2">
        <f>IF(Данные6[[#This Row],[weighted_ext_score]]&gt;$O$1,MIN(Данные6[[#This Row],[Базовая сумма]]*$O$2,$C$2),IF(Данные6[[#This Row],[weighted_ext_score]]&lt;$O$3,Данные6[[#This Row],[Базовая сумма]]*$O$4,N906))</f>
        <v>0</v>
      </c>
      <c r="P9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6" s="2">
        <f>ABS(Данные6[[#This Row],[days_birth]])/365.2425</f>
        <v>34.248478750419238</v>
      </c>
      <c r="S9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6" s="2">
        <f>IF(Данные6[[#This Row],[ interest_rate]]&gt;$T$1,Данные6[[#This Row],[days_birth4]]*$T$2,Данные6[[#This Row],[days_birth4]])</f>
        <v>0</v>
      </c>
      <c r="U906" s="2">
        <f>IF(Данные6[[#This Row],[Проверка отказа]]="отказ",0,MAX(Данные6[[#This Row],[interest_rate]],$C$1))</f>
        <v>0</v>
      </c>
      <c r="V906" s="2">
        <f>MROUND(Данные6[[#This Row],[Минимум 20000]], 100)</f>
        <v>0</v>
      </c>
    </row>
    <row r="907" spans="1:22" x14ac:dyDescent="0.25">
      <c r="A907" s="2">
        <f>'1000_заявлений'!A901</f>
        <v>899</v>
      </c>
      <c r="B907" s="4">
        <f>VALUE(SUBSTITUTE('1000_заявлений'!B901, ".", ","))</f>
        <v>0.52173268476450896</v>
      </c>
      <c r="C907" s="4">
        <f>VALUE(SUBSTITUTE('1000_заявлений'!C901, ".", ","))</f>
        <v>0.34089859620084201</v>
      </c>
      <c r="D907" s="4">
        <f>VALUE(SUBSTITUTE('1000_заявлений'!D901, ".", ","))</f>
        <v>0.38079967999999997</v>
      </c>
      <c r="E907" s="4">
        <f>VALUE(SUBSTITUTE('1000_заявлений'!E901, ".", ","))</f>
        <v>0.6263592</v>
      </c>
      <c r="F907" s="5">
        <f>VALUE(SUBSTITUTE('1000_заявлений'!F901, ".", ","))</f>
        <v>-2716</v>
      </c>
      <c r="G907" s="5">
        <f>VALUE(SUBSTITUTE('1000_заявлений'!G901, ".", ","))</f>
        <v>-14517</v>
      </c>
      <c r="H907" s="5">
        <f>VALUE(SUBSTITUTE('1000_заявлений'!H901, ".", ","))</f>
        <v>-4779</v>
      </c>
      <c r="I907" s="4">
        <f>VALUE(SUBSTITUTE('1000_заявлений'!I901, ".", ","))</f>
        <v>0.15128</v>
      </c>
      <c r="J907" s="4">
        <f>VALUE(SUBSTITUTE('1000_заявлений'!J901, ".", ","))</f>
        <v>0.34483632812558601</v>
      </c>
      <c r="K907" s="5">
        <f>VALUE(SUBSTITUTE('1000_заявлений'!K901, ".", ","))</f>
        <v>-2060</v>
      </c>
      <c r="L907" s="6">
        <f>VALUE(SUBSTITUTE('1000_заявлений'!L901, ".", ","))</f>
        <v>17019</v>
      </c>
      <c r="M907" s="2" t="str">
        <f>IF(Данные6[[#This Row],[proba]]&gt;$C$6, "отказ", "одобрение")</f>
        <v>отказ</v>
      </c>
      <c r="N907" s="7">
        <f>IF(Данные6[[#This Row],[proba]]&lt;$D$2,$C$2,IF(Данные6[[#This Row],[proba]]&lt;$D$3,$C$3,IF(Данные6[[#This Row],[proba]]&gt;$C$6,0,$C$4)))</f>
        <v>0</v>
      </c>
      <c r="O907" s="2">
        <f>IF(Данные6[[#This Row],[weighted_ext_score]]&gt;$O$1,MIN(Данные6[[#This Row],[Базовая сумма]]*$O$2,$C$2),IF(Данные6[[#This Row],[weighted_ext_score]]&lt;$O$3,Данные6[[#This Row],[Базовая сумма]]*$O$4,N907))</f>
        <v>0</v>
      </c>
      <c r="P9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7" s="2">
        <f>ABS(Данные6[[#This Row],[days_birth]])/365.2425</f>
        <v>39.746196020452167</v>
      </c>
      <c r="S9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7" s="2">
        <f>IF(Данные6[[#This Row],[ interest_rate]]&gt;$T$1,Данные6[[#This Row],[days_birth4]]*$T$2,Данные6[[#This Row],[days_birth4]])</f>
        <v>0</v>
      </c>
      <c r="U907" s="2">
        <f>IF(Данные6[[#This Row],[Проверка отказа]]="отказ",0,MAX(Данные6[[#This Row],[interest_rate]],$C$1))</f>
        <v>0</v>
      </c>
      <c r="V907" s="2">
        <f>MROUND(Данные6[[#This Row],[Минимум 20000]], 100)</f>
        <v>0</v>
      </c>
    </row>
    <row r="908" spans="1:22" x14ac:dyDescent="0.25">
      <c r="A908" s="2">
        <f>'1000_заявлений'!A902</f>
        <v>900</v>
      </c>
      <c r="B908" s="4">
        <f>VALUE(SUBSTITUTE('1000_заявлений'!B902, ".", ","))</f>
        <v>0.485473433297827</v>
      </c>
      <c r="C908" s="4">
        <f>VALUE(SUBSTITUTE('1000_заявлений'!C902, ".", ","))</f>
        <v>0.35457798534428597</v>
      </c>
      <c r="D908" s="4">
        <f>VALUE(SUBSTITUTE('1000_заявлений'!D902, ".", ","))</f>
        <v>0.39277387000000002</v>
      </c>
      <c r="E908" s="4">
        <f>VALUE(SUBSTITUTE('1000_заявлений'!E902, ".", ","))</f>
        <v>0.65517979999999998</v>
      </c>
      <c r="F908" s="5">
        <f>VALUE(SUBSTITUTE('1000_заявлений'!F902, ".", ","))</f>
        <v>-7022</v>
      </c>
      <c r="G908" s="5">
        <f>VALUE(SUBSTITUTE('1000_заявлений'!G902, ".", ","))</f>
        <v>-15155</v>
      </c>
      <c r="H908" s="5">
        <f>VALUE(SUBSTITUTE('1000_заявлений'!H902, ".", ","))</f>
        <v>-532</v>
      </c>
      <c r="I908" s="4">
        <f>VALUE(SUBSTITUTE('1000_заявлений'!I902, ".", ","))</f>
        <v>0.11876923076923</v>
      </c>
      <c r="J908" s="4">
        <f>VALUE(SUBSTITUTE('1000_заявлений'!J902, ".", ","))</f>
        <v>2.5485101372655099</v>
      </c>
      <c r="K908" s="5">
        <f>VALUE(SUBSTITUTE('1000_заявлений'!K902, ".", ","))</f>
        <v>-256</v>
      </c>
      <c r="L908" s="6">
        <f>VALUE(SUBSTITUTE('1000_заявлений'!L902, ".", ","))</f>
        <v>34740</v>
      </c>
      <c r="M908" s="2" t="str">
        <f>IF(Данные6[[#This Row],[proba]]&gt;$C$6, "отказ", "одобрение")</f>
        <v>отказ</v>
      </c>
      <c r="N908" s="7">
        <f>IF(Данные6[[#This Row],[proba]]&lt;$D$2,$C$2,IF(Данные6[[#This Row],[proba]]&lt;$D$3,$C$3,IF(Данные6[[#This Row],[proba]]&gt;$C$6,0,$C$4)))</f>
        <v>0</v>
      </c>
      <c r="O908" s="2">
        <f>IF(Данные6[[#This Row],[weighted_ext_score]]&gt;$O$1,MIN(Данные6[[#This Row],[Базовая сумма]]*$O$2,$C$2),IF(Данные6[[#This Row],[weighted_ext_score]]&lt;$O$3,Данные6[[#This Row],[Базовая сумма]]*$O$4,N908))</f>
        <v>0</v>
      </c>
      <c r="P90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0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08" s="2">
        <f>ABS(Данные6[[#This Row],[days_birth]])/365.2425</f>
        <v>41.492980690910834</v>
      </c>
      <c r="S90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08" s="2">
        <f>IF(Данные6[[#This Row],[ interest_rate]]&gt;$T$1,Данные6[[#This Row],[days_birth4]]*$T$2,Данные6[[#This Row],[days_birth4]])</f>
        <v>0</v>
      </c>
      <c r="U908" s="2">
        <f>IF(Данные6[[#This Row],[Проверка отказа]]="отказ",0,MAX(Данные6[[#This Row],[interest_rate]],$C$1))</f>
        <v>0</v>
      </c>
      <c r="V908" s="2">
        <f>MROUND(Данные6[[#This Row],[Минимум 20000]], 100)</f>
        <v>0</v>
      </c>
    </row>
    <row r="909" spans="1:22" x14ac:dyDescent="0.25">
      <c r="A909" s="2">
        <f>'1000_заявлений'!A903</f>
        <v>901</v>
      </c>
      <c r="B909" s="4">
        <f>VALUE(SUBSTITUTE('1000_заявлений'!B903, ".", ","))</f>
        <v>0.213378971257003</v>
      </c>
      <c r="C909" s="4">
        <f>VALUE(SUBSTITUTE('1000_заявлений'!C903, ".", ","))</f>
        <v>0.44990532777763897</v>
      </c>
      <c r="D909" s="4">
        <f>VALUE(SUBSTITUTE('1000_заявлений'!D903, ".", ","))</f>
        <v>0.70320329999999998</v>
      </c>
      <c r="E909" s="4">
        <f>VALUE(SUBSTITUTE('1000_заявлений'!E903, ".", ","))</f>
        <v>0.60294329999999996</v>
      </c>
      <c r="F909" s="5">
        <f>VALUE(SUBSTITUTE('1000_заявлений'!F903, ".", ","))</f>
        <v>-2421</v>
      </c>
      <c r="G909" s="5">
        <f>VALUE(SUBSTITUTE('1000_заявлений'!G903, ".", ","))</f>
        <v>-21363</v>
      </c>
      <c r="H909" s="5">
        <f>VALUE(SUBSTITUTE('1000_заявлений'!H903, ".", ","))</f>
        <v>-4857</v>
      </c>
      <c r="I909" s="4">
        <f>VALUE(SUBSTITUTE('1000_заявлений'!I903, ".", ","))</f>
        <v>0.20549999999999999</v>
      </c>
      <c r="J909" s="4">
        <f>VALUE(SUBSTITUTE('1000_заявлений'!J903, ".", ","))</f>
        <v>10.033395653150199</v>
      </c>
      <c r="K909" s="5">
        <f>VALUE(SUBSTITUTE('1000_заявлений'!K903, ".", ","))</f>
        <v>365243</v>
      </c>
      <c r="L909" s="6">
        <f>VALUE(SUBSTITUTE('1000_заявлений'!L903, ".", ","))</f>
        <v>9247.5</v>
      </c>
      <c r="M909" s="2" t="str">
        <f>IF(Данные6[[#This Row],[proba]]&gt;$C$6, "отказ", "одобрение")</f>
        <v>одобрение</v>
      </c>
      <c r="N909" s="7">
        <f>IF(Данные6[[#This Row],[proba]]&lt;$D$2,$C$2,IF(Данные6[[#This Row],[proba]]&lt;$D$3,$C$3,IF(Данные6[[#This Row],[proba]]&gt;$C$6,0,$C$4)))</f>
        <v>50000</v>
      </c>
      <c r="O909" s="2">
        <f>IF(Данные6[[#This Row],[weighted_ext_score]]&gt;$O$1,MIN(Данные6[[#This Row],[Базовая сумма]]*$O$2,$C$2),IF(Данные6[[#This Row],[weighted_ext_score]]&lt;$O$3,Данные6[[#This Row],[Базовая сумма]]*$O$4,N909))</f>
        <v>40000</v>
      </c>
      <c r="P90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0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909" s="2">
        <f>ABS(Данные6[[#This Row],[days_birth]])/365.2425</f>
        <v>58.489907390295485</v>
      </c>
      <c r="S90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909" s="2">
        <f>IF(Данные6[[#This Row],[ interest_rate]]&gt;$T$1,Данные6[[#This Row],[days_birth4]]*$T$2,Данные6[[#This Row],[days_birth4]])</f>
        <v>42000</v>
      </c>
      <c r="U909" s="2">
        <f>IF(Данные6[[#This Row],[Проверка отказа]]="отказ",0,MAX(Данные6[[#This Row],[interest_rate]],$C$1))</f>
        <v>42000</v>
      </c>
      <c r="V909" s="2">
        <f>MROUND(Данные6[[#This Row],[Минимум 20000]], 100)</f>
        <v>42000</v>
      </c>
    </row>
    <row r="910" spans="1:22" x14ac:dyDescent="0.25">
      <c r="A910" s="2">
        <f>'1000_заявлений'!A904</f>
        <v>902</v>
      </c>
      <c r="B910" s="4">
        <f>VALUE(SUBSTITUTE('1000_заявлений'!B904, ".", ","))</f>
        <v>0.48542409376448797</v>
      </c>
      <c r="C910" s="4">
        <f>VALUE(SUBSTITUTE('1000_заявлений'!C904, ".", ","))</f>
        <v>0.32755774442017699</v>
      </c>
      <c r="D910" s="4">
        <f>VALUE(SUBSTITUTE('1000_заявлений'!D904, ".", ","))</f>
        <v>0.67065173</v>
      </c>
      <c r="E910" s="4">
        <f>VALUE(SUBSTITUTE('1000_заявлений'!E904, ".", ","))</f>
        <v>0.26205957000000002</v>
      </c>
      <c r="F910" s="5">
        <f>VALUE(SUBSTITUTE('1000_заявлений'!F904, ".", ","))</f>
        <v>-3951</v>
      </c>
      <c r="G910" s="5">
        <f>VALUE(SUBSTITUTE('1000_заявлений'!G904, ".", ","))</f>
        <v>-18937</v>
      </c>
      <c r="H910" s="5">
        <f>VALUE(SUBSTITUTE('1000_заявлений'!H904, ".", ","))</f>
        <v>-2472</v>
      </c>
      <c r="I910" s="4">
        <f>VALUE(SUBSTITUTE('1000_заявлений'!I904, ".", ","))</f>
        <v>0.12382</v>
      </c>
      <c r="J910" s="4">
        <f>VALUE(SUBSTITUTE('1000_заявлений'!J904, ".", ","))</f>
        <v>2.0785620935082698</v>
      </c>
      <c r="K910" s="5">
        <f>VALUE(SUBSTITUTE('1000_заявлений'!K904, ".", ","))</f>
        <v>-431</v>
      </c>
      <c r="L910" s="6">
        <f>VALUE(SUBSTITUTE('1000_заявлений'!L904, ".", ","))</f>
        <v>27859.5</v>
      </c>
      <c r="M910" s="2" t="str">
        <f>IF(Данные6[[#This Row],[proba]]&gt;$C$6, "отказ", "одобрение")</f>
        <v>отказ</v>
      </c>
      <c r="N910" s="7">
        <f>IF(Данные6[[#This Row],[proba]]&lt;$D$2,$C$2,IF(Данные6[[#This Row],[proba]]&lt;$D$3,$C$3,IF(Данные6[[#This Row],[proba]]&gt;$C$6,0,$C$4)))</f>
        <v>0</v>
      </c>
      <c r="O910" s="2">
        <f>IF(Данные6[[#This Row],[weighted_ext_score]]&gt;$O$1,MIN(Данные6[[#This Row],[Базовая сумма]]*$O$2,$C$2),IF(Данные6[[#This Row],[weighted_ext_score]]&lt;$O$3,Данные6[[#This Row],[Базовая сумма]]*$O$4,N910))</f>
        <v>0</v>
      </c>
      <c r="P91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0" s="2">
        <f>ABS(Данные6[[#This Row],[days_birth]])/365.2425</f>
        <v>51.847744991341365</v>
      </c>
      <c r="S91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0" s="2">
        <f>IF(Данные6[[#This Row],[ interest_rate]]&gt;$T$1,Данные6[[#This Row],[days_birth4]]*$T$2,Данные6[[#This Row],[days_birth4]])</f>
        <v>0</v>
      </c>
      <c r="U910" s="2">
        <f>IF(Данные6[[#This Row],[Проверка отказа]]="отказ",0,MAX(Данные6[[#This Row],[interest_rate]],$C$1))</f>
        <v>0</v>
      </c>
      <c r="V910" s="2">
        <f>MROUND(Данные6[[#This Row],[Минимум 20000]], 100)</f>
        <v>0</v>
      </c>
    </row>
    <row r="911" spans="1:22" x14ac:dyDescent="0.25">
      <c r="A911" s="2">
        <f>'1000_заявлений'!A905</f>
        <v>903</v>
      </c>
      <c r="B911" s="4">
        <f>VALUE(SUBSTITUTE('1000_заявлений'!B905, ".", ","))</f>
        <v>0.51110991387223204</v>
      </c>
      <c r="C911" s="4">
        <f>VALUE(SUBSTITUTE('1000_заявлений'!C905, ".", ","))</f>
        <v>0.44127046647242901</v>
      </c>
      <c r="D911" s="4">
        <f>VALUE(SUBSTITUTE('1000_заявлений'!D905, ".", ","))</f>
        <v>0.36729099999999998</v>
      </c>
      <c r="E911" s="4">
        <f>VALUE(SUBSTITUTE('1000_заявлений'!E905, ".", ","))</f>
        <v>0.65417130000000001</v>
      </c>
      <c r="F911" s="5">
        <f>VALUE(SUBSTITUTE('1000_заявлений'!F905, ".", ","))</f>
        <v>-4085</v>
      </c>
      <c r="G911" s="5">
        <f>VALUE(SUBSTITUTE('1000_заявлений'!G905, ".", ","))</f>
        <v>-11912</v>
      </c>
      <c r="H911" s="5">
        <f>VALUE(SUBSTITUTE('1000_заявлений'!H905, ".", ","))</f>
        <v>-4566</v>
      </c>
      <c r="I911" s="4">
        <f>VALUE(SUBSTITUTE('1000_заявлений'!I905, ".", ","))</f>
        <v>0.31733333333333302</v>
      </c>
      <c r="J911" s="4">
        <f>VALUE(SUBSTITUTE('1000_заявлений'!J905, ".", ","))</f>
        <v>3.1366074852181498</v>
      </c>
      <c r="K911" s="5">
        <f>VALUE(SUBSTITUTE('1000_заявлений'!K905, ".", ","))</f>
        <v>-451</v>
      </c>
      <c r="L911" s="6">
        <f>VALUE(SUBSTITUTE('1000_заявлений'!L905, ".", ","))</f>
        <v>21420</v>
      </c>
      <c r="M911" s="2" t="str">
        <f>IF(Данные6[[#This Row],[proba]]&gt;$C$6, "отказ", "одобрение")</f>
        <v>отказ</v>
      </c>
      <c r="N911" s="7">
        <f>IF(Данные6[[#This Row],[proba]]&lt;$D$2,$C$2,IF(Данные6[[#This Row],[proba]]&lt;$D$3,$C$3,IF(Данные6[[#This Row],[proba]]&gt;$C$6,0,$C$4)))</f>
        <v>0</v>
      </c>
      <c r="O911" s="2">
        <f>IF(Данные6[[#This Row],[weighted_ext_score]]&gt;$O$1,MIN(Данные6[[#This Row],[Базовая сумма]]*$O$2,$C$2),IF(Данные6[[#This Row],[weighted_ext_score]]&lt;$O$3,Данные6[[#This Row],[Базовая сумма]]*$O$4,N911))</f>
        <v>0</v>
      </c>
      <c r="P91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1" s="2">
        <f>ABS(Данные6[[#This Row],[days_birth]])/365.2425</f>
        <v>32.613948267247103</v>
      </c>
      <c r="S91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1" s="2">
        <f>IF(Данные6[[#This Row],[ interest_rate]]&gt;$T$1,Данные6[[#This Row],[days_birth4]]*$T$2,Данные6[[#This Row],[days_birth4]])</f>
        <v>0</v>
      </c>
      <c r="U911" s="2">
        <f>IF(Данные6[[#This Row],[Проверка отказа]]="отказ",0,MAX(Данные6[[#This Row],[interest_rate]],$C$1))</f>
        <v>0</v>
      </c>
      <c r="V911" s="2">
        <f>MROUND(Данные6[[#This Row],[Минимум 20000]], 100)</f>
        <v>0</v>
      </c>
    </row>
    <row r="912" spans="1:22" x14ac:dyDescent="0.25">
      <c r="A912" s="2">
        <f>'1000_заявлений'!A906</f>
        <v>904</v>
      </c>
      <c r="B912" s="4">
        <f>VALUE(SUBSTITUTE('1000_заявлений'!B906, ".", ","))</f>
        <v>0.63711678173805697</v>
      </c>
      <c r="C912" s="4">
        <f>VALUE(SUBSTITUTE('1000_заявлений'!C906, ".", ","))</f>
        <v>0.40054934220338501</v>
      </c>
      <c r="D912" s="4">
        <f>VALUE(SUBSTITUTE('1000_заявлений'!D906, ".", ","))</f>
        <v>0.10411992</v>
      </c>
      <c r="E912" s="4">
        <f>VALUE(SUBSTITUTE('1000_заявлений'!E906, ".", ","))</f>
        <v>0.46761765999999999</v>
      </c>
      <c r="F912" s="5">
        <f>VALUE(SUBSTITUTE('1000_заявлений'!F906, ".", ","))</f>
        <v>-9014</v>
      </c>
      <c r="G912" s="5">
        <f>VALUE(SUBSTITUTE('1000_заявлений'!G906, ".", ","))</f>
        <v>-20350</v>
      </c>
      <c r="H912" s="5">
        <f>VALUE(SUBSTITUTE('1000_заявлений'!H906, ".", ","))</f>
        <v>-3897</v>
      </c>
      <c r="I912" s="4">
        <f>VALUE(SUBSTITUTE('1000_заявлений'!I906, ".", ","))</f>
        <v>0.17019999999999999</v>
      </c>
      <c r="J912" s="4">
        <f>VALUE(SUBSTITUTE('1000_заявлений'!J906, ".", ","))</f>
        <v>2.43432218179806</v>
      </c>
      <c r="K912" s="5">
        <f>VALUE(SUBSTITUTE('1000_заявлений'!K906, ".", ","))</f>
        <v>-3909</v>
      </c>
      <c r="L912" s="6">
        <f>VALUE(SUBSTITUTE('1000_заявлений'!L906, ".", ","))</f>
        <v>45954</v>
      </c>
      <c r="M912" s="2" t="str">
        <f>IF(Данные6[[#This Row],[proba]]&gt;$C$6, "отказ", "одобрение")</f>
        <v>отказ</v>
      </c>
      <c r="N912" s="7">
        <f>IF(Данные6[[#This Row],[proba]]&lt;$D$2,$C$2,IF(Данные6[[#This Row],[proba]]&lt;$D$3,$C$3,IF(Данные6[[#This Row],[proba]]&gt;$C$6,0,$C$4)))</f>
        <v>0</v>
      </c>
      <c r="O912" s="2">
        <f>IF(Данные6[[#This Row],[weighted_ext_score]]&gt;$O$1,MIN(Данные6[[#This Row],[Базовая сумма]]*$O$2,$C$2),IF(Данные6[[#This Row],[weighted_ext_score]]&lt;$O$3,Данные6[[#This Row],[Базовая сумма]]*$O$4,N912))</f>
        <v>0</v>
      </c>
      <c r="P91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2" s="2">
        <f>ABS(Данные6[[#This Row],[days_birth]])/365.2425</f>
        <v>55.716407592216129</v>
      </c>
      <c r="S91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2" s="2">
        <f>IF(Данные6[[#This Row],[ interest_rate]]&gt;$T$1,Данные6[[#This Row],[days_birth4]]*$T$2,Данные6[[#This Row],[days_birth4]])</f>
        <v>0</v>
      </c>
      <c r="U912" s="2">
        <f>IF(Данные6[[#This Row],[Проверка отказа]]="отказ",0,MAX(Данные6[[#This Row],[interest_rate]],$C$1))</f>
        <v>0</v>
      </c>
      <c r="V912" s="2">
        <f>MROUND(Данные6[[#This Row],[Минимум 20000]], 100)</f>
        <v>0</v>
      </c>
    </row>
    <row r="913" spans="1:22" x14ac:dyDescent="0.25">
      <c r="A913" s="2">
        <f>'1000_заявлений'!A907</f>
        <v>905</v>
      </c>
      <c r="B913" s="4">
        <f>VALUE(SUBSTITUTE('1000_заявлений'!B907, ".", ","))</f>
        <v>0.64369469688604697</v>
      </c>
      <c r="C913" s="4">
        <f>VALUE(SUBSTITUTE('1000_заявлений'!C907, ".", ","))</f>
        <v>0.206686885975257</v>
      </c>
      <c r="D913" s="4">
        <f>VALUE(SUBSTITUTE('1000_заявлений'!D907, ".", ","))</f>
        <v>0.37064964</v>
      </c>
      <c r="E913" s="4">
        <f>VALUE(SUBSTITUTE('1000_заявлений'!E907, ".", ","))</f>
        <v>0.22392364000000001</v>
      </c>
      <c r="F913" s="5">
        <f>VALUE(SUBSTITUTE('1000_заявлений'!F907, ".", ","))</f>
        <v>-13608</v>
      </c>
      <c r="G913" s="5">
        <f>VALUE(SUBSTITUTE('1000_заявлений'!G907, ".", ","))</f>
        <v>-23323</v>
      </c>
      <c r="H913" s="5">
        <f>VALUE(SUBSTITUTE('1000_заявлений'!H907, ".", ","))</f>
        <v>-4031</v>
      </c>
      <c r="I913" s="4">
        <f>VALUE(SUBSTITUTE('1000_заявлений'!I907, ".", ","))</f>
        <v>0.20468</v>
      </c>
      <c r="J913" s="4">
        <f>VALUE(SUBSTITUTE('1000_заявлений'!J907, ".", ","))</f>
        <v>1.55972200073934</v>
      </c>
      <c r="K913" s="5">
        <f>VALUE(SUBSTITUTE('1000_заявлений'!K907, ".", ","))</f>
        <v>365243</v>
      </c>
      <c r="L913" s="6">
        <f>VALUE(SUBSTITUTE('1000_заявлений'!L907, ".", ","))</f>
        <v>23026.5</v>
      </c>
      <c r="M913" s="2" t="str">
        <f>IF(Данные6[[#This Row],[proba]]&gt;$C$6, "отказ", "одобрение")</f>
        <v>отказ</v>
      </c>
      <c r="N913" s="7">
        <f>IF(Данные6[[#This Row],[proba]]&lt;$D$2,$C$2,IF(Данные6[[#This Row],[proba]]&lt;$D$3,$C$3,IF(Данные6[[#This Row],[proba]]&gt;$C$6,0,$C$4)))</f>
        <v>0</v>
      </c>
      <c r="O913" s="2">
        <f>IF(Данные6[[#This Row],[weighted_ext_score]]&gt;$O$1,MIN(Данные6[[#This Row],[Базовая сумма]]*$O$2,$C$2),IF(Данные6[[#This Row],[weighted_ext_score]]&lt;$O$3,Данные6[[#This Row],[Базовая сумма]]*$O$4,N913))</f>
        <v>0</v>
      </c>
      <c r="P91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3" s="2">
        <f>ABS(Данные6[[#This Row],[days_birth]])/365.2425</f>
        <v>63.856205123992964</v>
      </c>
      <c r="S91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3" s="2">
        <f>IF(Данные6[[#This Row],[ interest_rate]]&gt;$T$1,Данные6[[#This Row],[days_birth4]]*$T$2,Данные6[[#This Row],[days_birth4]])</f>
        <v>0</v>
      </c>
      <c r="U913" s="2">
        <f>IF(Данные6[[#This Row],[Проверка отказа]]="отказ",0,MAX(Данные6[[#This Row],[interest_rate]],$C$1))</f>
        <v>0</v>
      </c>
      <c r="V913" s="2">
        <f>MROUND(Данные6[[#This Row],[Минимум 20000]], 100)</f>
        <v>0</v>
      </c>
    </row>
    <row r="914" spans="1:22" x14ac:dyDescent="0.25">
      <c r="A914" s="2">
        <f>'1000_заявлений'!A908</f>
        <v>906</v>
      </c>
      <c r="B914" s="4">
        <f>VALUE(SUBSTITUTE('1000_заявлений'!B908, ".", ","))</f>
        <v>0.68684478056072695</v>
      </c>
      <c r="C914" s="4">
        <f>VALUE(SUBSTITUTE('1000_заявлений'!C908, ".", ","))</f>
        <v>0.322292351564401</v>
      </c>
      <c r="D914" s="4">
        <f>VALUE(SUBSTITUTE('1000_заявлений'!D908, ".", ","))</f>
        <v>0.17044613</v>
      </c>
      <c r="E914" s="4">
        <f>VALUE(SUBSTITUTE('1000_заявлений'!E908, ".", ","))</f>
        <v>0.56414489999999995</v>
      </c>
      <c r="F914" s="5">
        <f>VALUE(SUBSTITUTE('1000_заявлений'!F908, ".", ","))</f>
        <v>-4626</v>
      </c>
      <c r="G914" s="5">
        <f>VALUE(SUBSTITUTE('1000_заявлений'!G908, ".", ","))</f>
        <v>-11389</v>
      </c>
      <c r="H914" s="5">
        <f>VALUE(SUBSTITUTE('1000_заявлений'!H908, ".", ","))</f>
        <v>-3438</v>
      </c>
      <c r="I914" s="4">
        <f>VALUE(SUBSTITUTE('1000_заявлений'!I908, ".", ","))</f>
        <v>0.19472</v>
      </c>
      <c r="J914" s="4">
        <f>VALUE(SUBSTITUTE('1000_заявлений'!J908, ".", ","))</f>
        <v>2.8029246753719899</v>
      </c>
      <c r="K914" s="5">
        <f>VALUE(SUBSTITUTE('1000_заявлений'!K908, ".", ","))</f>
        <v>-3161</v>
      </c>
      <c r="L914" s="6">
        <f>VALUE(SUBSTITUTE('1000_заявлений'!L908, ".", ","))</f>
        <v>21906</v>
      </c>
      <c r="M914" s="2" t="str">
        <f>IF(Данные6[[#This Row],[proba]]&gt;$C$6, "отказ", "одобрение")</f>
        <v>отказ</v>
      </c>
      <c r="N914" s="7">
        <f>IF(Данные6[[#This Row],[proba]]&lt;$D$2,$C$2,IF(Данные6[[#This Row],[proba]]&lt;$D$3,$C$3,IF(Данные6[[#This Row],[proba]]&gt;$C$6,0,$C$4)))</f>
        <v>0</v>
      </c>
      <c r="O914" s="2">
        <f>IF(Данные6[[#This Row],[weighted_ext_score]]&gt;$O$1,MIN(Данные6[[#This Row],[Базовая сумма]]*$O$2,$C$2),IF(Данные6[[#This Row],[weighted_ext_score]]&lt;$O$3,Данные6[[#This Row],[Базовая сумма]]*$O$4,N914))</f>
        <v>0</v>
      </c>
      <c r="P91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4" s="2">
        <f>ABS(Данные6[[#This Row],[days_birth]])/365.2425</f>
        <v>31.182022902592113</v>
      </c>
      <c r="S91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4" s="2">
        <f>IF(Данные6[[#This Row],[ interest_rate]]&gt;$T$1,Данные6[[#This Row],[days_birth4]]*$T$2,Данные6[[#This Row],[days_birth4]])</f>
        <v>0</v>
      </c>
      <c r="U914" s="2">
        <f>IF(Данные6[[#This Row],[Проверка отказа]]="отказ",0,MAX(Данные6[[#This Row],[interest_rate]],$C$1))</f>
        <v>0</v>
      </c>
      <c r="V914" s="2">
        <f>MROUND(Данные6[[#This Row],[Минимум 20000]], 100)</f>
        <v>0</v>
      </c>
    </row>
    <row r="915" spans="1:22" x14ac:dyDescent="0.25">
      <c r="A915" s="2">
        <f>'1000_заявлений'!A909</f>
        <v>907</v>
      </c>
      <c r="B915" s="4">
        <f>VALUE(SUBSTITUTE('1000_заявлений'!B909, ".", ","))</f>
        <v>0.365508360269298</v>
      </c>
      <c r="C915" s="4">
        <f>VALUE(SUBSTITUTE('1000_заявлений'!C909, ".", ","))</f>
        <v>0.425593587592074</v>
      </c>
      <c r="D915" s="4">
        <f>VALUE(SUBSTITUTE('1000_заявлений'!D909, ".", ","))</f>
        <v>0.52629495000000004</v>
      </c>
      <c r="E915" s="4">
        <f>VALUE(SUBSTITUTE('1000_заявлений'!E909, ".", ","))</f>
        <v>0.72523910000000003</v>
      </c>
      <c r="F915" s="5">
        <f>VALUE(SUBSTITUTE('1000_заявлений'!F909, ".", ","))</f>
        <v>-6626</v>
      </c>
      <c r="G915" s="5">
        <f>VALUE(SUBSTITUTE('1000_заявлений'!G909, ".", ","))</f>
        <v>-21347</v>
      </c>
      <c r="H915" s="5">
        <f>VALUE(SUBSTITUTE('1000_заявлений'!H909, ".", ","))</f>
        <v>-4806</v>
      </c>
      <c r="I915" s="4">
        <f>VALUE(SUBSTITUTE('1000_заявлений'!I909, ".", ","))</f>
        <v>0.63307142857142795</v>
      </c>
      <c r="J915" s="4">
        <f>VALUE(SUBSTITUTE('1000_заявлений'!J909, ".", ","))</f>
        <v>3.0710736616718002</v>
      </c>
      <c r="K915" s="5">
        <f>VALUE(SUBSTITUTE('1000_заявлений'!K909, ".", ","))</f>
        <v>365243</v>
      </c>
      <c r="L915" s="6">
        <f>VALUE(SUBSTITUTE('1000_заявлений'!L909, ".", ","))</f>
        <v>39883.5</v>
      </c>
      <c r="M915" s="2" t="str">
        <f>IF(Данные6[[#This Row],[proba]]&gt;$C$6, "отказ", "одобрение")</f>
        <v>отказ</v>
      </c>
      <c r="N915" s="7">
        <f>IF(Данные6[[#This Row],[proba]]&lt;$D$2,$C$2,IF(Данные6[[#This Row],[proba]]&lt;$D$3,$C$3,IF(Данные6[[#This Row],[proba]]&gt;$C$6,0,$C$4)))</f>
        <v>0</v>
      </c>
      <c r="O915" s="2">
        <f>IF(Данные6[[#This Row],[weighted_ext_score]]&gt;$O$1,MIN(Данные6[[#This Row],[Базовая сумма]]*$O$2,$C$2),IF(Данные6[[#This Row],[weighted_ext_score]]&lt;$O$3,Данные6[[#This Row],[Базовая сумма]]*$O$4,N915))</f>
        <v>0</v>
      </c>
      <c r="P91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5" s="2">
        <f>ABS(Данные6[[#This Row],[days_birth]])/365.2425</f>
        <v>58.446100878183671</v>
      </c>
      <c r="S91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5" s="2">
        <f>IF(Данные6[[#This Row],[ interest_rate]]&gt;$T$1,Данные6[[#This Row],[days_birth4]]*$T$2,Данные6[[#This Row],[days_birth4]])</f>
        <v>0</v>
      </c>
      <c r="U915" s="2">
        <f>IF(Данные6[[#This Row],[Проверка отказа]]="отказ",0,MAX(Данные6[[#This Row],[interest_rate]],$C$1))</f>
        <v>0</v>
      </c>
      <c r="V915" s="2">
        <f>MROUND(Данные6[[#This Row],[Минимум 20000]], 100)</f>
        <v>0</v>
      </c>
    </row>
    <row r="916" spans="1:22" x14ac:dyDescent="0.25">
      <c r="A916" s="2">
        <f>'1000_заявлений'!A910</f>
        <v>908</v>
      </c>
      <c r="B916" s="4">
        <f>VALUE(SUBSTITUTE('1000_заявлений'!B910, ".", ","))</f>
        <v>0.169232842595194</v>
      </c>
      <c r="C916" s="4">
        <f>VALUE(SUBSTITUTE('1000_заявлений'!C910, ".", ","))</f>
        <v>0.66998291372083896</v>
      </c>
      <c r="D916" s="4">
        <f>VALUE(SUBSTITUTE('1000_заявлений'!D910, ".", ","))</f>
        <v>0.86589590000000005</v>
      </c>
      <c r="E916" s="4">
        <f>VALUE(SUBSTITUTE('1000_заявлений'!E910, ".", ","))</f>
        <v>0.48194712000000001</v>
      </c>
      <c r="F916" s="5">
        <f>VALUE(SUBSTITUTE('1000_заявлений'!F910, ".", ","))</f>
        <v>-7244</v>
      </c>
      <c r="G916" s="5">
        <f>VALUE(SUBSTITUTE('1000_заявлений'!G910, ".", ","))</f>
        <v>-22111</v>
      </c>
      <c r="H916" s="5">
        <f>VALUE(SUBSTITUTE('1000_заявлений'!H910, ".", ","))</f>
        <v>-4194</v>
      </c>
      <c r="I916" s="4">
        <f>VALUE(SUBSTITUTE('1000_заявлений'!I910, ".", ","))</f>
        <v>0.376857142857142</v>
      </c>
      <c r="J916" s="4">
        <f>VALUE(SUBSTITUTE('1000_заявлений'!J910, ".", ","))</f>
        <v>1.33733365687451</v>
      </c>
      <c r="K916" s="5">
        <f>VALUE(SUBSTITUTE('1000_заявлений'!K910, ".", ","))</f>
        <v>365243</v>
      </c>
      <c r="L916" s="6">
        <f>VALUE(SUBSTITUTE('1000_заявлений'!L910, ".", ","))</f>
        <v>23742</v>
      </c>
      <c r="M916" s="2" t="str">
        <f>IF(Данные6[[#This Row],[proba]]&gt;$C$6, "отказ", "одобрение")</f>
        <v>одобрение</v>
      </c>
      <c r="N916" s="7">
        <f>IF(Данные6[[#This Row],[proba]]&lt;$D$2,$C$2,IF(Данные6[[#This Row],[proba]]&lt;$D$3,$C$3,IF(Данные6[[#This Row],[proba]]&gt;$C$6,0,$C$4)))</f>
        <v>200000</v>
      </c>
      <c r="O916" s="2">
        <f>IF(Данные6[[#This Row],[weighted_ext_score]]&gt;$O$1,MIN(Данные6[[#This Row],[Базовая сумма]]*$O$2,$C$2),IF(Данные6[[#This Row],[weighted_ext_score]]&lt;$O$3,Данные6[[#This Row],[Базовая сумма]]*$O$4,N916))</f>
        <v>200000</v>
      </c>
      <c r="P91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91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916" s="2">
        <f>ABS(Данные6[[#This Row],[days_birth]])/365.2425</f>
        <v>60.537861831522889</v>
      </c>
      <c r="S91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916" s="2">
        <f>IF(Данные6[[#This Row],[ interest_rate]]&gt;$T$1,Данные6[[#This Row],[days_birth4]]*$T$2,Данные6[[#This Row],[days_birth4]])</f>
        <v>210000</v>
      </c>
      <c r="U916" s="2">
        <f>IF(Данные6[[#This Row],[Проверка отказа]]="отказ",0,MAX(Данные6[[#This Row],[interest_rate]],$C$1))</f>
        <v>210000</v>
      </c>
      <c r="V916" s="2">
        <f>MROUND(Данные6[[#This Row],[Минимум 20000]], 100)</f>
        <v>210000</v>
      </c>
    </row>
    <row r="917" spans="1:22" x14ac:dyDescent="0.25">
      <c r="A917" s="2">
        <f>'1000_заявлений'!A911</f>
        <v>909</v>
      </c>
      <c r="B917" s="4">
        <f>VALUE(SUBSTITUTE('1000_заявлений'!B911, ".", ","))</f>
        <v>0.18694776594429699</v>
      </c>
      <c r="C917" s="4">
        <f>VALUE(SUBSTITUTE('1000_заявлений'!C911, ".", ","))</f>
        <v>0.63174744569044905</v>
      </c>
      <c r="D917" s="4">
        <f>VALUE(SUBSTITUTE('1000_заявлений'!D911, ".", ","))</f>
        <v>0.84543794000000005</v>
      </c>
      <c r="E917" s="4">
        <f>VALUE(SUBSTITUTE('1000_заявлений'!E911, ".", ","))</f>
        <v>0.67812479999999997</v>
      </c>
      <c r="F917" s="5">
        <f>VALUE(SUBSTITUTE('1000_заявлений'!F911, ".", ","))</f>
        <v>-7193</v>
      </c>
      <c r="G917" s="5">
        <f>VALUE(SUBSTITUTE('1000_заявлений'!G911, ".", ","))</f>
        <v>-13160</v>
      </c>
      <c r="H917" s="5">
        <f>VALUE(SUBSTITUTE('1000_заявлений'!H911, ".", ","))</f>
        <v>-747</v>
      </c>
      <c r="I917" s="4">
        <f>VALUE(SUBSTITUTE('1000_заявлений'!I911, ".", ","))</f>
        <v>0.24663333333333301</v>
      </c>
      <c r="J917" s="4">
        <f>VALUE(SUBSTITUTE('1000_заявлений'!J911, ".", ","))</f>
        <v>3.0177511155492902</v>
      </c>
      <c r="K917" s="5">
        <f>VALUE(SUBSTITUTE('1000_заявлений'!K911, ".", ","))</f>
        <v>-2855</v>
      </c>
      <c r="L917" s="6">
        <f>VALUE(SUBSTITUTE('1000_заявлений'!L911, ".", ","))</f>
        <v>33295.5</v>
      </c>
      <c r="M917" s="2" t="str">
        <f>IF(Данные6[[#This Row],[proba]]&gt;$C$6, "отказ", "одобрение")</f>
        <v>одобрение</v>
      </c>
      <c r="N917" s="7">
        <f>IF(Данные6[[#This Row],[proba]]&lt;$D$2,$C$2,IF(Данные6[[#This Row],[proba]]&lt;$D$3,$C$3,IF(Данные6[[#This Row],[proba]]&gt;$C$6,0,$C$4)))</f>
        <v>200000</v>
      </c>
      <c r="O917" s="2">
        <f>IF(Данные6[[#This Row],[weighted_ext_score]]&gt;$O$1,MIN(Данные6[[#This Row],[Базовая сумма]]*$O$2,$C$2),IF(Данные6[[#This Row],[weighted_ext_score]]&lt;$O$3,Данные6[[#This Row],[Базовая сумма]]*$O$4,N917))</f>
        <v>200000</v>
      </c>
      <c r="P91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91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140000</v>
      </c>
      <c r="R917" s="2">
        <f>ABS(Данные6[[#This Row],[days_birth]])/365.2425</f>
        <v>36.030856211968761</v>
      </c>
      <c r="S91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140000</v>
      </c>
      <c r="T917" s="2">
        <f>IF(Данные6[[#This Row],[ interest_rate]]&gt;$T$1,Данные6[[#This Row],[days_birth4]]*$T$2,Данные6[[#This Row],[days_birth4]])</f>
        <v>140000</v>
      </c>
      <c r="U917" s="2">
        <f>IF(Данные6[[#This Row],[Проверка отказа]]="отказ",0,MAX(Данные6[[#This Row],[interest_rate]],$C$1))</f>
        <v>140000</v>
      </c>
      <c r="V917" s="2">
        <f>MROUND(Данные6[[#This Row],[Минимум 20000]], 100)</f>
        <v>140000</v>
      </c>
    </row>
    <row r="918" spans="1:22" x14ac:dyDescent="0.25">
      <c r="A918" s="2">
        <f>'1000_заявлений'!A912</f>
        <v>910</v>
      </c>
      <c r="B918" s="4">
        <f>VALUE(SUBSTITUTE('1000_заявлений'!B912, ".", ","))</f>
        <v>0.80914207440362396</v>
      </c>
      <c r="C918" s="4">
        <f>VALUE(SUBSTITUTE('1000_заявлений'!C912, ".", ","))</f>
        <v>0.30496962737337702</v>
      </c>
      <c r="D918" s="4">
        <f>VALUE(SUBSTITUTE('1000_заявлений'!D912, ".", ","))</f>
        <v>7.4460684999999999E-2</v>
      </c>
      <c r="E918" s="4">
        <f>VALUE(SUBSTITUTE('1000_заявлений'!E912, ".", ","))</f>
        <v>0.24214499</v>
      </c>
      <c r="F918" s="5">
        <f>VALUE(SUBSTITUTE('1000_заявлений'!F912, ".", ","))</f>
        <v>-7440</v>
      </c>
      <c r="G918" s="5">
        <f>VALUE(SUBSTITUTE('1000_заявлений'!G912, ".", ","))</f>
        <v>-15161</v>
      </c>
      <c r="H918" s="5">
        <f>VALUE(SUBSTITUTE('1000_заявлений'!H912, ".", ","))</f>
        <v>-3708</v>
      </c>
      <c r="I918" s="4">
        <f>VALUE(SUBSTITUTE('1000_заявлений'!I912, ".", ","))</f>
        <v>0.20028124999999999</v>
      </c>
      <c r="J918" s="4">
        <f>VALUE(SUBSTITUTE('1000_заявлений'!J912, ".", ","))</f>
        <v>2.1982668088070501</v>
      </c>
      <c r="K918" s="5">
        <f>VALUE(SUBSTITUTE('1000_заявлений'!K912, ".", ","))</f>
        <v>-3564</v>
      </c>
      <c r="L918" s="6">
        <f>VALUE(SUBSTITUTE('1000_заявлений'!L912, ".", ","))</f>
        <v>28840.5</v>
      </c>
      <c r="M918" s="2" t="str">
        <f>IF(Данные6[[#This Row],[proba]]&gt;$C$6, "отказ", "одобрение")</f>
        <v>отказ</v>
      </c>
      <c r="N918" s="7">
        <f>IF(Данные6[[#This Row],[proba]]&lt;$D$2,$C$2,IF(Данные6[[#This Row],[proba]]&lt;$D$3,$C$3,IF(Данные6[[#This Row],[proba]]&gt;$C$6,0,$C$4)))</f>
        <v>0</v>
      </c>
      <c r="O918" s="2">
        <f>IF(Данные6[[#This Row],[weighted_ext_score]]&gt;$O$1,MIN(Данные6[[#This Row],[Базовая сумма]]*$O$2,$C$2),IF(Данные6[[#This Row],[weighted_ext_score]]&lt;$O$3,Данные6[[#This Row],[Базовая сумма]]*$O$4,N918))</f>
        <v>0</v>
      </c>
      <c r="P91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8" s="2">
        <f>ABS(Данные6[[#This Row],[days_birth]])/365.2425</f>
        <v>41.509408132952764</v>
      </c>
      <c r="S91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8" s="2">
        <f>IF(Данные6[[#This Row],[ interest_rate]]&gt;$T$1,Данные6[[#This Row],[days_birth4]]*$T$2,Данные6[[#This Row],[days_birth4]])</f>
        <v>0</v>
      </c>
      <c r="U918" s="2">
        <f>IF(Данные6[[#This Row],[Проверка отказа]]="отказ",0,MAX(Данные6[[#This Row],[interest_rate]],$C$1))</f>
        <v>0</v>
      </c>
      <c r="V918" s="2">
        <f>MROUND(Данные6[[#This Row],[Минимум 20000]], 100)</f>
        <v>0</v>
      </c>
    </row>
    <row r="919" spans="1:22" x14ac:dyDescent="0.25">
      <c r="A919" s="2">
        <f>'1000_заявлений'!A913</f>
        <v>911</v>
      </c>
      <c r="B919" s="4">
        <f>VALUE(SUBSTITUTE('1000_заявлений'!B913, ".", ","))</f>
        <v>0.53131414720321801</v>
      </c>
      <c r="C919" s="4">
        <f>VALUE(SUBSTITUTE('1000_заявлений'!C913, ".", ","))</f>
        <v>0.40457986708985699</v>
      </c>
      <c r="D919" s="4">
        <f>VALUE(SUBSTITUTE('1000_заявлений'!D913, ".", ","))</f>
        <v>0.31236538000000003</v>
      </c>
      <c r="E919" s="4">
        <f>VALUE(SUBSTITUTE('1000_заявлений'!E913, ".", ","))</f>
        <v>0.62542220000000004</v>
      </c>
      <c r="F919" s="5">
        <f>VALUE(SUBSTITUTE('1000_заявлений'!F913, ".", ","))</f>
        <v>-6639</v>
      </c>
      <c r="G919" s="5">
        <f>VALUE(SUBSTITUTE('1000_заявлений'!G913, ".", ","))</f>
        <v>-12790</v>
      </c>
      <c r="H919" s="5">
        <f>VALUE(SUBSTITUTE('1000_заявлений'!H913, ".", ","))</f>
        <v>-2923</v>
      </c>
      <c r="I919" s="4">
        <f>VALUE(SUBSTITUTE('1000_заявлений'!I913, ".", ","))</f>
        <v>0.27006666666666601</v>
      </c>
      <c r="J919" s="4">
        <f>VALUE(SUBSTITUTE('1000_заявлений'!J913, ".", ","))</f>
        <v>6.5526323213506297</v>
      </c>
      <c r="K919" s="5">
        <f>VALUE(SUBSTITUTE('1000_заявлений'!K913, ".", ","))</f>
        <v>-635</v>
      </c>
      <c r="L919" s="6">
        <f>VALUE(SUBSTITUTE('1000_заявлений'!L913, ".", ","))</f>
        <v>36459</v>
      </c>
      <c r="M919" s="2" t="str">
        <f>IF(Данные6[[#This Row],[proba]]&gt;$C$6, "отказ", "одобрение")</f>
        <v>отказ</v>
      </c>
      <c r="N919" s="7">
        <f>IF(Данные6[[#This Row],[proba]]&lt;$D$2,$C$2,IF(Данные6[[#This Row],[proba]]&lt;$D$3,$C$3,IF(Данные6[[#This Row],[proba]]&gt;$C$6,0,$C$4)))</f>
        <v>0</v>
      </c>
      <c r="O919" s="2">
        <f>IF(Данные6[[#This Row],[weighted_ext_score]]&gt;$O$1,MIN(Данные6[[#This Row],[Базовая сумма]]*$O$2,$C$2),IF(Данные6[[#This Row],[weighted_ext_score]]&lt;$O$3,Данные6[[#This Row],[Базовая сумма]]*$O$4,N919))</f>
        <v>0</v>
      </c>
      <c r="P91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1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19" s="2">
        <f>ABS(Данные6[[#This Row],[days_birth]])/365.2425</f>
        <v>35.017830619383012</v>
      </c>
      <c r="S91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19" s="2">
        <f>IF(Данные6[[#This Row],[ interest_rate]]&gt;$T$1,Данные6[[#This Row],[days_birth4]]*$T$2,Данные6[[#This Row],[days_birth4]])</f>
        <v>0</v>
      </c>
      <c r="U919" s="2">
        <f>IF(Данные6[[#This Row],[Проверка отказа]]="отказ",0,MAX(Данные6[[#This Row],[interest_rate]],$C$1))</f>
        <v>0</v>
      </c>
      <c r="V919" s="2">
        <f>MROUND(Данные6[[#This Row],[Минимум 20000]], 100)</f>
        <v>0</v>
      </c>
    </row>
    <row r="920" spans="1:22" x14ac:dyDescent="0.25">
      <c r="A920" s="2">
        <f>'1000_заявлений'!A914</f>
        <v>912</v>
      </c>
      <c r="B920" s="4">
        <f>VALUE(SUBSTITUTE('1000_заявлений'!B914, ".", ","))</f>
        <v>0.41349504754708999</v>
      </c>
      <c r="C920" s="4">
        <f>VALUE(SUBSTITUTE('1000_заявлений'!C914, ".", ","))</f>
        <v>0.46063410721710701</v>
      </c>
      <c r="D920" s="4">
        <f>VALUE(SUBSTITUTE('1000_заявлений'!D914, ".", ","))</f>
        <v>0.60238636000000001</v>
      </c>
      <c r="E920" s="4">
        <f>VALUE(SUBSTITUTE('1000_заявлений'!E914, ".", ","))</f>
        <v>0.49229964999999998</v>
      </c>
      <c r="F920" s="5">
        <f>VALUE(SUBSTITUTE('1000_заявлений'!F914, ".", ","))</f>
        <v>-1828</v>
      </c>
      <c r="G920" s="5">
        <f>VALUE(SUBSTITUTE('1000_заявлений'!G914, ".", ","))</f>
        <v>-12140</v>
      </c>
      <c r="H920" s="5">
        <f>VALUE(SUBSTITUTE('1000_заявлений'!H914, ".", ","))</f>
        <v>-4254</v>
      </c>
      <c r="I920" s="4">
        <f>VALUE(SUBSTITUTE('1000_заявлений'!I914, ".", ","))</f>
        <v>0.15545</v>
      </c>
      <c r="J920" s="4">
        <f>VALUE(SUBSTITUTE('1000_заявлений'!J914, ".", ","))</f>
        <v>1.78867219981162</v>
      </c>
      <c r="K920" s="5">
        <f>VALUE(SUBSTITUTE('1000_заявлений'!K914, ".", ","))</f>
        <v>-2281</v>
      </c>
      <c r="L920" s="6">
        <f>VALUE(SUBSTITUTE('1000_заявлений'!L914, ".", ","))</f>
        <v>13990.5</v>
      </c>
      <c r="M920" s="2" t="str">
        <f>IF(Данные6[[#This Row],[proba]]&gt;$C$6, "отказ", "одобрение")</f>
        <v>отказ</v>
      </c>
      <c r="N920" s="7">
        <f>IF(Данные6[[#This Row],[proba]]&lt;$D$2,$C$2,IF(Данные6[[#This Row],[proba]]&lt;$D$3,$C$3,IF(Данные6[[#This Row],[proba]]&gt;$C$6,0,$C$4)))</f>
        <v>0</v>
      </c>
      <c r="O920" s="2">
        <f>IF(Данные6[[#This Row],[weighted_ext_score]]&gt;$O$1,MIN(Данные6[[#This Row],[Базовая сумма]]*$O$2,$C$2),IF(Данные6[[#This Row],[weighted_ext_score]]&lt;$O$3,Данные6[[#This Row],[Базовая сумма]]*$O$4,N920))</f>
        <v>0</v>
      </c>
      <c r="P92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0" s="2">
        <f>ABS(Данные6[[#This Row],[days_birth]])/365.2425</f>
        <v>33.238191064840485</v>
      </c>
      <c r="S92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0" s="2">
        <f>IF(Данные6[[#This Row],[ interest_rate]]&gt;$T$1,Данные6[[#This Row],[days_birth4]]*$T$2,Данные6[[#This Row],[days_birth4]])</f>
        <v>0</v>
      </c>
      <c r="U920" s="2">
        <f>IF(Данные6[[#This Row],[Проверка отказа]]="отказ",0,MAX(Данные6[[#This Row],[interest_rate]],$C$1))</f>
        <v>0</v>
      </c>
      <c r="V920" s="2">
        <f>MROUND(Данные6[[#This Row],[Минимум 20000]], 100)</f>
        <v>0</v>
      </c>
    </row>
    <row r="921" spans="1:22" x14ac:dyDescent="0.25">
      <c r="A921" s="2">
        <f>'1000_заявлений'!A915</f>
        <v>913</v>
      </c>
      <c r="B921" s="4">
        <f>VALUE(SUBSTITUTE('1000_заявлений'!B915, ".", ","))</f>
        <v>0.60028084699045303</v>
      </c>
      <c r="C921" s="4">
        <f>VALUE(SUBSTITUTE('1000_заявлений'!C915, ".", ","))</f>
        <v>0.27467317571880001</v>
      </c>
      <c r="D921" s="4">
        <f>VALUE(SUBSTITUTE('1000_заявлений'!D915, ".", ","))</f>
        <v>0.66424830000000001</v>
      </c>
      <c r="E921" s="4">
        <f>VALUE(SUBSTITUTE('1000_заявлений'!E915, ".", ","))</f>
        <v>0.10616477000000001</v>
      </c>
      <c r="F921" s="5">
        <f>VALUE(SUBSTITUTE('1000_заявлений'!F915, ".", ","))</f>
        <v>-7633</v>
      </c>
      <c r="G921" s="5">
        <f>VALUE(SUBSTITUTE('1000_заявлений'!G915, ".", ","))</f>
        <v>-16076</v>
      </c>
      <c r="H921" s="5">
        <f>VALUE(SUBSTITUTE('1000_заявлений'!H915, ".", ","))</f>
        <v>-4088</v>
      </c>
      <c r="I921" s="4">
        <f>VALUE(SUBSTITUTE('1000_заявлений'!I915, ".", ","))</f>
        <v>0.21240000000000001</v>
      </c>
      <c r="J921" s="4">
        <f>VALUE(SUBSTITUTE('1000_заявлений'!J915, ".", ","))</f>
        <v>2.8391717827317802</v>
      </c>
      <c r="K921" s="5">
        <f>VALUE(SUBSTITUTE('1000_заявлений'!K915, ".", ","))</f>
        <v>-553</v>
      </c>
      <c r="L921" s="6">
        <f>VALUE(SUBSTITUTE('1000_заявлений'!L915, ".", ","))</f>
        <v>23895</v>
      </c>
      <c r="M921" s="2" t="str">
        <f>IF(Данные6[[#This Row],[proba]]&gt;$C$6, "отказ", "одобрение")</f>
        <v>отказ</v>
      </c>
      <c r="N921" s="7">
        <f>IF(Данные6[[#This Row],[proba]]&lt;$D$2,$C$2,IF(Данные6[[#This Row],[proba]]&lt;$D$3,$C$3,IF(Данные6[[#This Row],[proba]]&gt;$C$6,0,$C$4)))</f>
        <v>0</v>
      </c>
      <c r="O921" s="2">
        <f>IF(Данные6[[#This Row],[weighted_ext_score]]&gt;$O$1,MIN(Данные6[[#This Row],[Базовая сумма]]*$O$2,$C$2),IF(Данные6[[#This Row],[weighted_ext_score]]&lt;$O$3,Данные6[[#This Row],[Базовая сумма]]*$O$4,N921))</f>
        <v>0</v>
      </c>
      <c r="P92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1" s="2">
        <f>ABS(Данные6[[#This Row],[days_birth]])/365.2425</f>
        <v>44.014593044347251</v>
      </c>
      <c r="S92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1" s="2">
        <f>IF(Данные6[[#This Row],[ interest_rate]]&gt;$T$1,Данные6[[#This Row],[days_birth4]]*$T$2,Данные6[[#This Row],[days_birth4]])</f>
        <v>0</v>
      </c>
      <c r="U921" s="2">
        <f>IF(Данные6[[#This Row],[Проверка отказа]]="отказ",0,MAX(Данные6[[#This Row],[interest_rate]],$C$1))</f>
        <v>0</v>
      </c>
      <c r="V921" s="2">
        <f>MROUND(Данные6[[#This Row],[Минимум 20000]], 100)</f>
        <v>0</v>
      </c>
    </row>
    <row r="922" spans="1:22" x14ac:dyDescent="0.25">
      <c r="A922" s="2">
        <f>'1000_заявлений'!A916</f>
        <v>914</v>
      </c>
      <c r="B922" s="4">
        <f>VALUE(SUBSTITUTE('1000_заявлений'!B916, ".", ","))</f>
        <v>0.513857643626213</v>
      </c>
      <c r="C922" s="4">
        <f>VALUE(SUBSTITUTE('1000_заявлений'!C916, ".", ","))</f>
        <v>0.28773338863305498</v>
      </c>
      <c r="D922" s="4">
        <f>VALUE(SUBSTITUTE('1000_заявлений'!D916, ".", ","))</f>
        <v>0.53527623000000002</v>
      </c>
      <c r="E922" s="4">
        <f>VALUE(SUBSTITUTE('1000_заявлений'!E916, ".", ","))</f>
        <v>0.63632935000000002</v>
      </c>
      <c r="F922" s="5">
        <f>VALUE(SUBSTITUTE('1000_заявлений'!F916, ".", ","))</f>
        <v>-644</v>
      </c>
      <c r="G922" s="5">
        <f>VALUE(SUBSTITUTE('1000_заявлений'!G916, ".", ","))</f>
        <v>-14411</v>
      </c>
      <c r="H922" s="5">
        <f>VALUE(SUBSTITUTE('1000_заявлений'!H916, ".", ","))</f>
        <v>-2198</v>
      </c>
      <c r="I922" s="4">
        <f>VALUE(SUBSTITUTE('1000_заявлений'!I916, ".", ","))</f>
        <v>0.27884999999999999</v>
      </c>
      <c r="J922" s="4">
        <f>VALUE(SUBSTITUTE('1000_заявлений'!J916, ".", ","))</f>
        <v>0.90505960993805201</v>
      </c>
      <c r="K922" s="5">
        <f>VALUE(SUBSTITUTE('1000_заявлений'!K916, ".", ","))</f>
        <v>-226</v>
      </c>
      <c r="L922" s="6">
        <f>VALUE(SUBSTITUTE('1000_заявлений'!L916, ".", ","))</f>
        <v>25096.5</v>
      </c>
      <c r="M922" s="2" t="str">
        <f>IF(Данные6[[#This Row],[proba]]&gt;$C$6, "отказ", "одобрение")</f>
        <v>отказ</v>
      </c>
      <c r="N922" s="7">
        <f>IF(Данные6[[#This Row],[proba]]&lt;$D$2,$C$2,IF(Данные6[[#This Row],[proba]]&lt;$D$3,$C$3,IF(Данные6[[#This Row],[proba]]&gt;$C$6,0,$C$4)))</f>
        <v>0</v>
      </c>
      <c r="O922" s="2">
        <f>IF(Данные6[[#This Row],[weighted_ext_score]]&gt;$O$1,MIN(Данные6[[#This Row],[Базовая сумма]]*$O$2,$C$2),IF(Данные6[[#This Row],[weighted_ext_score]]&lt;$O$3,Данные6[[#This Row],[Базовая сумма]]*$O$4,N922))</f>
        <v>0</v>
      </c>
      <c r="P92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2" s="2">
        <f>ABS(Данные6[[#This Row],[days_birth]])/365.2425</f>
        <v>39.455977877711383</v>
      </c>
      <c r="S92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2" s="2">
        <f>IF(Данные6[[#This Row],[ interest_rate]]&gt;$T$1,Данные6[[#This Row],[days_birth4]]*$T$2,Данные6[[#This Row],[days_birth4]])</f>
        <v>0</v>
      </c>
      <c r="U922" s="2">
        <f>IF(Данные6[[#This Row],[Проверка отказа]]="отказ",0,MAX(Данные6[[#This Row],[interest_rate]],$C$1))</f>
        <v>0</v>
      </c>
      <c r="V922" s="2">
        <f>MROUND(Данные6[[#This Row],[Минимум 20000]], 100)</f>
        <v>0</v>
      </c>
    </row>
    <row r="923" spans="1:22" x14ac:dyDescent="0.25">
      <c r="A923" s="2">
        <f>'1000_заявлений'!A917</f>
        <v>915</v>
      </c>
      <c r="B923" s="4">
        <f>VALUE(SUBSTITUTE('1000_заявлений'!B917, ".", ","))</f>
        <v>0.19997116812798599</v>
      </c>
      <c r="C923" s="4">
        <f>VALUE(SUBSTITUTE('1000_заявлений'!C917, ".", ","))</f>
        <v>0.49787024851731898</v>
      </c>
      <c r="D923" s="4">
        <f>VALUE(SUBSTITUTE('1000_заявлений'!D917, ".", ","))</f>
        <v>0.77136159999999998</v>
      </c>
      <c r="E923" s="4">
        <f>VALUE(SUBSTITUTE('1000_заявлений'!E917, ".", ","))</f>
        <v>0.67481774000000005</v>
      </c>
      <c r="F923" s="5">
        <f>VALUE(SUBSTITUTE('1000_заявлений'!F917, ".", ","))</f>
        <v>-7873</v>
      </c>
      <c r="G923" s="5">
        <f>VALUE(SUBSTITUTE('1000_заявлений'!G917, ".", ","))</f>
        <v>-20860</v>
      </c>
      <c r="H923" s="5">
        <f>VALUE(SUBSTITUTE('1000_заявлений'!H917, ".", ","))</f>
        <v>-4205</v>
      </c>
      <c r="I923" s="4">
        <f>VALUE(SUBSTITUTE('1000_заявлений'!I917, ".", ","))</f>
        <v>0.36695</v>
      </c>
      <c r="J923" s="4">
        <f>VALUE(SUBSTITUTE('1000_заявлений'!J917, ".", ","))</f>
        <v>1.8302979515786899</v>
      </c>
      <c r="K923" s="5">
        <f>VALUE(SUBSTITUTE('1000_заявлений'!K917, ".", ","))</f>
        <v>365243</v>
      </c>
      <c r="L923" s="6">
        <f>VALUE(SUBSTITUTE('1000_заявлений'!L917, ".", ","))</f>
        <v>33025.5</v>
      </c>
      <c r="M923" s="2" t="str">
        <f>IF(Данные6[[#This Row],[proba]]&gt;$C$6, "отказ", "одобрение")</f>
        <v>одобрение</v>
      </c>
      <c r="N923" s="7">
        <f>IF(Данные6[[#This Row],[proba]]&lt;$D$2,$C$2,IF(Данные6[[#This Row],[proba]]&lt;$D$3,$C$3,IF(Данные6[[#This Row],[proba]]&gt;$C$6,0,$C$4)))</f>
        <v>200000</v>
      </c>
      <c r="O923" s="2">
        <f>IF(Данные6[[#This Row],[weighted_ext_score]]&gt;$O$1,MIN(Данные6[[#This Row],[Базовая сумма]]*$O$2,$C$2),IF(Данные6[[#This Row],[weighted_ext_score]]&lt;$O$3,Данные6[[#This Row],[Базовая сумма]]*$O$4,N923))</f>
        <v>160000</v>
      </c>
      <c r="P92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92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923" s="2">
        <f>ABS(Данные6[[#This Row],[days_birth]])/365.2425</f>
        <v>57.112740165780266</v>
      </c>
      <c r="S92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923" s="2">
        <f>IF(Данные6[[#This Row],[ interest_rate]]&gt;$T$1,Данные6[[#This Row],[days_birth4]]*$T$2,Данные6[[#This Row],[days_birth4]])</f>
        <v>168000</v>
      </c>
      <c r="U923" s="2">
        <f>IF(Данные6[[#This Row],[Проверка отказа]]="отказ",0,MAX(Данные6[[#This Row],[interest_rate]],$C$1))</f>
        <v>168000</v>
      </c>
      <c r="V923" s="2">
        <f>MROUND(Данные6[[#This Row],[Минимум 20000]], 100)</f>
        <v>168000</v>
      </c>
    </row>
    <row r="924" spans="1:22" x14ac:dyDescent="0.25">
      <c r="A924" s="2">
        <f>'1000_заявлений'!A918</f>
        <v>916</v>
      </c>
      <c r="B924" s="4">
        <f>VALUE(SUBSTITUTE('1000_заявлений'!B918, ".", ","))</f>
        <v>0.84080172140993503</v>
      </c>
      <c r="C924" s="4">
        <f>VALUE(SUBSTITUTE('1000_заявлений'!C918, ".", ","))</f>
        <v>0.16831123364487899</v>
      </c>
      <c r="D924" s="4">
        <f>VALUE(SUBSTITUTE('1000_заявлений'!D918, ".", ","))</f>
        <v>0.20559815000000001</v>
      </c>
      <c r="E924" s="4">
        <f>VALUE(SUBSTITUTE('1000_заявлений'!E918, ".", ","))</f>
        <v>4.8468694E-2</v>
      </c>
      <c r="F924" s="5">
        <f>VALUE(SUBSTITUTE('1000_заявлений'!F918, ".", ","))</f>
        <v>-449</v>
      </c>
      <c r="G924" s="5">
        <f>VALUE(SUBSTITUTE('1000_заявлений'!G918, ".", ","))</f>
        <v>-11986</v>
      </c>
      <c r="H924" s="5">
        <f>VALUE(SUBSTITUTE('1000_заявлений'!H918, ".", ","))</f>
        <v>-1980</v>
      </c>
      <c r="I924" s="4">
        <f>VALUE(SUBSTITUTE('1000_заявлений'!I918, ".", ","))</f>
        <v>7.1428571428571397E-2</v>
      </c>
      <c r="J924" s="4">
        <f>VALUE(SUBSTITUTE('1000_заявлений'!J918, ".", ","))</f>
        <v>10.6209759779781</v>
      </c>
      <c r="K924" s="5">
        <f>VALUE(SUBSTITUTE('1000_заявлений'!K918, ".", ","))</f>
        <v>-1015</v>
      </c>
      <c r="L924" s="6">
        <f>VALUE(SUBSTITUTE('1000_заявлений'!L918, ".", ","))</f>
        <v>13500</v>
      </c>
      <c r="M924" s="2" t="str">
        <f>IF(Данные6[[#This Row],[proba]]&gt;$C$6, "отказ", "одобрение")</f>
        <v>отказ</v>
      </c>
      <c r="N924" s="7">
        <f>IF(Данные6[[#This Row],[proba]]&lt;$D$2,$C$2,IF(Данные6[[#This Row],[proba]]&lt;$D$3,$C$3,IF(Данные6[[#This Row],[proba]]&gt;$C$6,0,$C$4)))</f>
        <v>0</v>
      </c>
      <c r="O924" s="2">
        <f>IF(Данные6[[#This Row],[weighted_ext_score]]&gt;$O$1,MIN(Данные6[[#This Row],[Базовая сумма]]*$O$2,$C$2),IF(Данные6[[#This Row],[weighted_ext_score]]&lt;$O$3,Данные6[[#This Row],[Базовая сумма]]*$O$4,N924))</f>
        <v>0</v>
      </c>
      <c r="P92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4" s="2">
        <f>ABS(Данные6[[#This Row],[days_birth]])/365.2425</f>
        <v>32.816553385764252</v>
      </c>
      <c r="S92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4" s="2">
        <f>IF(Данные6[[#This Row],[ interest_rate]]&gt;$T$1,Данные6[[#This Row],[days_birth4]]*$T$2,Данные6[[#This Row],[days_birth4]])</f>
        <v>0</v>
      </c>
      <c r="U924" s="2">
        <f>IF(Данные6[[#This Row],[Проверка отказа]]="отказ",0,MAX(Данные6[[#This Row],[interest_rate]],$C$1))</f>
        <v>0</v>
      </c>
      <c r="V924" s="2">
        <f>MROUND(Данные6[[#This Row],[Минимум 20000]], 100)</f>
        <v>0</v>
      </c>
    </row>
    <row r="925" spans="1:22" x14ac:dyDescent="0.25">
      <c r="A925" s="2">
        <f>'1000_заявлений'!A919</f>
        <v>917</v>
      </c>
      <c r="B925" s="4">
        <f>VALUE(SUBSTITUTE('1000_заявлений'!B919, ".", ","))</f>
        <v>0.50840592293069198</v>
      </c>
      <c r="C925" s="4">
        <f>VALUE(SUBSTITUTE('1000_заявлений'!C919, ".", ","))</f>
        <v>0.40367757133406801</v>
      </c>
      <c r="D925" s="4">
        <f>VALUE(SUBSTITUTE('1000_заявлений'!D919, ".", ","))</f>
        <v>0.59545619999999999</v>
      </c>
      <c r="E925" s="4">
        <f>VALUE(SUBSTITUTE('1000_заявлений'!E919, ".", ","))</f>
        <v>0.28893437999999999</v>
      </c>
      <c r="F925" s="5">
        <f>VALUE(SUBSTITUTE('1000_заявлений'!F919, ".", ","))</f>
        <v>-441</v>
      </c>
      <c r="G925" s="5">
        <f>VALUE(SUBSTITUTE('1000_заявлений'!G919, ".", ","))</f>
        <v>-14162</v>
      </c>
      <c r="H925" s="5">
        <f>VALUE(SUBSTITUTE('1000_заявлений'!H919, ".", ","))</f>
        <v>-3828</v>
      </c>
      <c r="I925" s="4">
        <f>VALUE(SUBSTITUTE('1000_заявлений'!I919, ".", ","))</f>
        <v>0.16331999999999999</v>
      </c>
      <c r="J925" s="4">
        <f>VALUE(SUBSTITUTE('1000_заявлений'!J919, ".", ","))</f>
        <v>1.8025952600386499</v>
      </c>
      <c r="K925" s="5">
        <f>VALUE(SUBSTITUTE('1000_заявлений'!K919, ".", ","))</f>
        <v>-1202</v>
      </c>
      <c r="L925" s="6">
        <f>VALUE(SUBSTITUTE('1000_заявлений'!L919, ".", ","))</f>
        <v>36747</v>
      </c>
      <c r="M925" s="2" t="str">
        <f>IF(Данные6[[#This Row],[proba]]&gt;$C$6, "отказ", "одобрение")</f>
        <v>отказ</v>
      </c>
      <c r="N925" s="7">
        <f>IF(Данные6[[#This Row],[proba]]&lt;$D$2,$C$2,IF(Данные6[[#This Row],[proba]]&lt;$D$3,$C$3,IF(Данные6[[#This Row],[proba]]&gt;$C$6,0,$C$4)))</f>
        <v>0</v>
      </c>
      <c r="O925" s="2">
        <f>IF(Данные6[[#This Row],[weighted_ext_score]]&gt;$O$1,MIN(Данные6[[#This Row],[Базовая сумма]]*$O$2,$C$2),IF(Данные6[[#This Row],[weighted_ext_score]]&lt;$O$3,Данные6[[#This Row],[Базовая сумма]]*$O$4,N925))</f>
        <v>0</v>
      </c>
      <c r="P92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5" s="2">
        <f>ABS(Данные6[[#This Row],[days_birth]])/365.2425</f>
        <v>38.774239032971245</v>
      </c>
      <c r="S92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5" s="2">
        <f>IF(Данные6[[#This Row],[ interest_rate]]&gt;$T$1,Данные6[[#This Row],[days_birth4]]*$T$2,Данные6[[#This Row],[days_birth4]])</f>
        <v>0</v>
      </c>
      <c r="U925" s="2">
        <f>IF(Данные6[[#This Row],[Проверка отказа]]="отказ",0,MAX(Данные6[[#This Row],[interest_rate]],$C$1))</f>
        <v>0</v>
      </c>
      <c r="V925" s="2">
        <f>MROUND(Данные6[[#This Row],[Минимум 20000]], 100)</f>
        <v>0</v>
      </c>
    </row>
    <row r="926" spans="1:22" x14ac:dyDescent="0.25">
      <c r="A926" s="2">
        <f>'1000_заявлений'!A920</f>
        <v>918</v>
      </c>
      <c r="B926" s="4">
        <f>VALUE(SUBSTITUTE('1000_заявлений'!B920, ".", ","))</f>
        <v>0.42921921367034599</v>
      </c>
      <c r="C926" s="4">
        <f>VALUE(SUBSTITUTE('1000_заявлений'!C920, ".", ","))</f>
        <v>0.36948479614216201</v>
      </c>
      <c r="D926" s="4">
        <f>VALUE(SUBSTITUTE('1000_заявлений'!D920, ".", ","))</f>
        <v>0.47764915000000002</v>
      </c>
      <c r="E926" s="4">
        <f>VALUE(SUBSTITUTE('1000_заявлений'!E920, ".", ","))</f>
        <v>0.60650289999999996</v>
      </c>
      <c r="F926" s="5">
        <f>VALUE(SUBSTITUTE('1000_заявлений'!F920, ".", ","))</f>
        <v>-9412</v>
      </c>
      <c r="G926" s="5">
        <f>VALUE(SUBSTITUTE('1000_заявлений'!G920, ".", ","))</f>
        <v>-19502</v>
      </c>
      <c r="H926" s="5">
        <f>VALUE(SUBSTITUTE('1000_заявлений'!H920, ".", ","))</f>
        <v>-3013</v>
      </c>
      <c r="I926" s="4">
        <f>VALUE(SUBSTITUTE('1000_заявлений'!I920, ".", ","))</f>
        <v>0.17660000000000001</v>
      </c>
      <c r="J926" s="4">
        <f>VALUE(SUBSTITUTE('1000_заявлений'!J920, ".", ","))</f>
        <v>2.0106774466545501</v>
      </c>
      <c r="K926" s="5">
        <f>VALUE(SUBSTITUTE('1000_заявлений'!K920, ".", ","))</f>
        <v>-1600</v>
      </c>
      <c r="L926" s="6">
        <f>VALUE(SUBSTITUTE('1000_заявлений'!L920, ".", ","))</f>
        <v>19867.5</v>
      </c>
      <c r="M926" s="2" t="str">
        <f>IF(Данные6[[#This Row],[proba]]&gt;$C$6, "отказ", "одобрение")</f>
        <v>отказ</v>
      </c>
      <c r="N926" s="7">
        <f>IF(Данные6[[#This Row],[proba]]&lt;$D$2,$C$2,IF(Данные6[[#This Row],[proba]]&lt;$D$3,$C$3,IF(Данные6[[#This Row],[proba]]&gt;$C$6,0,$C$4)))</f>
        <v>0</v>
      </c>
      <c r="O926" s="2">
        <f>IF(Данные6[[#This Row],[weighted_ext_score]]&gt;$O$1,MIN(Данные6[[#This Row],[Базовая сумма]]*$O$2,$C$2),IF(Данные6[[#This Row],[weighted_ext_score]]&lt;$O$3,Данные6[[#This Row],[Базовая сумма]]*$O$4,N926))</f>
        <v>0</v>
      </c>
      <c r="P92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6" s="2">
        <f>ABS(Данные6[[#This Row],[days_birth]])/365.2425</f>
        <v>53.394662450289871</v>
      </c>
      <c r="S92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6" s="2">
        <f>IF(Данные6[[#This Row],[ interest_rate]]&gt;$T$1,Данные6[[#This Row],[days_birth4]]*$T$2,Данные6[[#This Row],[days_birth4]])</f>
        <v>0</v>
      </c>
      <c r="U926" s="2">
        <f>IF(Данные6[[#This Row],[Проверка отказа]]="отказ",0,MAX(Данные6[[#This Row],[interest_rate]],$C$1))</f>
        <v>0</v>
      </c>
      <c r="V926" s="2">
        <f>MROUND(Данные6[[#This Row],[Минимум 20000]], 100)</f>
        <v>0</v>
      </c>
    </row>
    <row r="927" spans="1:22" x14ac:dyDescent="0.25">
      <c r="A927" s="2">
        <f>'1000_заявлений'!A921</f>
        <v>919</v>
      </c>
      <c r="B927" s="4">
        <f>VALUE(SUBSTITUTE('1000_заявлений'!B921, ".", ","))</f>
        <v>0.19298977386834401</v>
      </c>
      <c r="C927" s="4">
        <f>VALUE(SUBSTITUTE('1000_заявлений'!C921, ".", ","))</f>
        <v>0.48719014157693502</v>
      </c>
      <c r="D927" s="4">
        <f>VALUE(SUBSTITUTE('1000_заявлений'!D921, ".", ","))</f>
        <v>0.77008706000000005</v>
      </c>
      <c r="E927" s="4">
        <f>VALUE(SUBSTITUTE('1000_заявлений'!E921, ".", ","))</f>
        <v>0.64331380000000005</v>
      </c>
      <c r="F927" s="5">
        <f>VALUE(SUBSTITUTE('1000_заявлений'!F921, ".", ","))</f>
        <v>-4304</v>
      </c>
      <c r="G927" s="5">
        <f>VALUE(SUBSTITUTE('1000_заявлений'!G921, ".", ","))</f>
        <v>-24050</v>
      </c>
      <c r="H927" s="5">
        <f>VALUE(SUBSTITUTE('1000_заявлений'!H921, ".", ","))</f>
        <v>-4323</v>
      </c>
      <c r="I927" s="4">
        <f>VALUE(SUBSTITUTE('1000_заявлений'!I921, ".", ","))</f>
        <v>0.38529999999999998</v>
      </c>
      <c r="J927" s="4">
        <f>VALUE(SUBSTITUTE('1000_заявлений'!J921, ".", ","))</f>
        <v>7.9268600541926304</v>
      </c>
      <c r="K927" s="5">
        <f>VALUE(SUBSTITUTE('1000_заявлений'!K921, ".", ","))</f>
        <v>365243</v>
      </c>
      <c r="L927" s="6">
        <f>VALUE(SUBSTITUTE('1000_заявлений'!L921, ".", ","))</f>
        <v>17338.5</v>
      </c>
      <c r="M927" s="2" t="str">
        <f>IF(Данные6[[#This Row],[proba]]&gt;$C$6, "отказ", "одобрение")</f>
        <v>одобрение</v>
      </c>
      <c r="N927" s="7">
        <f>IF(Данные6[[#This Row],[proba]]&lt;$D$2,$C$2,IF(Данные6[[#This Row],[proba]]&lt;$D$3,$C$3,IF(Данные6[[#This Row],[proba]]&gt;$C$6,0,$C$4)))</f>
        <v>200000</v>
      </c>
      <c r="O927" s="2">
        <f>IF(Данные6[[#This Row],[weighted_ext_score]]&gt;$O$1,MIN(Данные6[[#This Row],[Базовая сумма]]*$O$2,$C$2),IF(Данные6[[#This Row],[weighted_ext_score]]&lt;$O$3,Данные6[[#This Row],[Базовая сумма]]*$O$4,N927))</f>
        <v>160000</v>
      </c>
      <c r="P92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92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160000</v>
      </c>
      <c r="R927" s="2">
        <f>ABS(Данные6[[#This Row],[days_birth]])/365.2425</f>
        <v>65.846663518073612</v>
      </c>
      <c r="S92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168000</v>
      </c>
      <c r="T927" s="2">
        <f>IF(Данные6[[#This Row],[ interest_rate]]&gt;$T$1,Данные6[[#This Row],[days_birth4]]*$T$2,Данные6[[#This Row],[days_birth4]])</f>
        <v>168000</v>
      </c>
      <c r="U927" s="2">
        <f>IF(Данные6[[#This Row],[Проверка отказа]]="отказ",0,MAX(Данные6[[#This Row],[interest_rate]],$C$1))</f>
        <v>168000</v>
      </c>
      <c r="V927" s="2">
        <f>MROUND(Данные6[[#This Row],[Минимум 20000]], 100)</f>
        <v>168000</v>
      </c>
    </row>
    <row r="928" spans="1:22" x14ac:dyDescent="0.25">
      <c r="A928" s="2">
        <f>'1000_заявлений'!A922</f>
        <v>920</v>
      </c>
      <c r="B928" s="4">
        <f>VALUE(SUBSTITUTE('1000_заявлений'!B922, ".", ","))</f>
        <v>0.44082249557064301</v>
      </c>
      <c r="C928" s="4">
        <f>VALUE(SUBSTITUTE('1000_заявлений'!C922, ".", ","))</f>
        <v>0.31942751683783299</v>
      </c>
      <c r="D928" s="4">
        <f>VALUE(SUBSTITUTE('1000_заявлений'!D922, ".", ","))</f>
        <v>0.52089759999999996</v>
      </c>
      <c r="E928" s="4">
        <f>VALUE(SUBSTITUTE('1000_заявлений'!E922, ".", ","))</f>
        <v>0.40396454999999998</v>
      </c>
      <c r="F928" s="5">
        <f>VALUE(SUBSTITUTE('1000_заявлений'!F922, ".", ","))</f>
        <v>-1644</v>
      </c>
      <c r="G928" s="5">
        <f>VALUE(SUBSTITUTE('1000_заявлений'!G922, ".", ","))</f>
        <v>-22760</v>
      </c>
      <c r="H928" s="5">
        <f>VALUE(SUBSTITUTE('1000_заявлений'!H922, ".", ","))</f>
        <v>-4644</v>
      </c>
      <c r="I928" s="4">
        <f>VALUE(SUBSTITUTE('1000_заявлений'!I922, ".", ","))</f>
        <v>0.24643999999999999</v>
      </c>
      <c r="J928" s="4">
        <f>VALUE(SUBSTITUTE('1000_заявлений'!J922, ".", ","))</f>
        <v>5.5658559681603004</v>
      </c>
      <c r="K928" s="5">
        <f>VALUE(SUBSTITUTE('1000_заявлений'!K922, ".", ","))</f>
        <v>365243</v>
      </c>
      <c r="L928" s="6">
        <f>VALUE(SUBSTITUTE('1000_заявлений'!L922, ".", ","))</f>
        <v>27724.5</v>
      </c>
      <c r="M928" s="2" t="str">
        <f>IF(Данные6[[#This Row],[proba]]&gt;$C$6, "отказ", "одобрение")</f>
        <v>отказ</v>
      </c>
      <c r="N928" s="7">
        <f>IF(Данные6[[#This Row],[proba]]&lt;$D$2,$C$2,IF(Данные6[[#This Row],[proba]]&lt;$D$3,$C$3,IF(Данные6[[#This Row],[proba]]&gt;$C$6,0,$C$4)))</f>
        <v>0</v>
      </c>
      <c r="O928" s="2">
        <f>IF(Данные6[[#This Row],[weighted_ext_score]]&gt;$O$1,MIN(Данные6[[#This Row],[Базовая сумма]]*$O$2,$C$2),IF(Данные6[[#This Row],[weighted_ext_score]]&lt;$O$3,Данные6[[#This Row],[Базовая сумма]]*$O$4,N928))</f>
        <v>0</v>
      </c>
      <c r="P92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8" s="2">
        <f>ABS(Данные6[[#This Row],[days_birth]])/365.2425</f>
        <v>62.314763479058435</v>
      </c>
      <c r="S92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8" s="2">
        <f>IF(Данные6[[#This Row],[ interest_rate]]&gt;$T$1,Данные6[[#This Row],[days_birth4]]*$T$2,Данные6[[#This Row],[days_birth4]])</f>
        <v>0</v>
      </c>
      <c r="U928" s="2">
        <f>IF(Данные6[[#This Row],[Проверка отказа]]="отказ",0,MAX(Данные6[[#This Row],[interest_rate]],$C$1))</f>
        <v>0</v>
      </c>
      <c r="V928" s="2">
        <f>MROUND(Данные6[[#This Row],[Минимум 20000]], 100)</f>
        <v>0</v>
      </c>
    </row>
    <row r="929" spans="1:22" x14ac:dyDescent="0.25">
      <c r="A929" s="2">
        <f>'1000_заявлений'!A923</f>
        <v>921</v>
      </c>
      <c r="B929" s="4">
        <f>VALUE(SUBSTITUTE('1000_заявлений'!B923, ".", ","))</f>
        <v>0.41710270115995901</v>
      </c>
      <c r="C929" s="4">
        <f>VALUE(SUBSTITUTE('1000_заявлений'!C923, ".", ","))</f>
        <v>0.45988682412284199</v>
      </c>
      <c r="D929" s="4">
        <f>VALUE(SUBSTITUTE('1000_заявлений'!D923, ".", ","))</f>
        <v>0.4632753</v>
      </c>
      <c r="E929" s="4">
        <f>VALUE(SUBSTITUTE('1000_заявлений'!E923, ".", ","))</f>
        <v>0.57404906</v>
      </c>
      <c r="F929" s="5">
        <f>VALUE(SUBSTITUTE('1000_заявлений'!F923, ".", ","))</f>
        <v>-5765</v>
      </c>
      <c r="G929" s="5">
        <f>VALUE(SUBSTITUTE('1000_заявлений'!G923, ".", ","))</f>
        <v>-14590</v>
      </c>
      <c r="H929" s="5">
        <f>VALUE(SUBSTITUTE('1000_заявлений'!H923, ".", ","))</f>
        <v>-4152</v>
      </c>
      <c r="I929" s="4">
        <f>VALUE(SUBSTITUTE('1000_заявлений'!I923, ".", ","))</f>
        <v>9.9771428571428497E-2</v>
      </c>
      <c r="J929" s="4">
        <f>VALUE(SUBSTITUTE('1000_заявлений'!J923, ".", ","))</f>
        <v>1.6161409414402399</v>
      </c>
      <c r="K929" s="5">
        <f>VALUE(SUBSTITUTE('1000_заявлений'!K923, ".", ","))</f>
        <v>-855</v>
      </c>
      <c r="L929" s="6">
        <f>VALUE(SUBSTITUTE('1000_заявлений'!L923, ".", ","))</f>
        <v>15714</v>
      </c>
      <c r="M929" s="2" t="str">
        <f>IF(Данные6[[#This Row],[proba]]&gt;$C$6, "отказ", "одобрение")</f>
        <v>отказ</v>
      </c>
      <c r="N929" s="7">
        <f>IF(Данные6[[#This Row],[proba]]&lt;$D$2,$C$2,IF(Данные6[[#This Row],[proba]]&lt;$D$3,$C$3,IF(Данные6[[#This Row],[proba]]&gt;$C$6,0,$C$4)))</f>
        <v>0</v>
      </c>
      <c r="O929" s="2">
        <f>IF(Данные6[[#This Row],[weighted_ext_score]]&gt;$O$1,MIN(Данные6[[#This Row],[Базовая сумма]]*$O$2,$C$2),IF(Данные6[[#This Row],[weighted_ext_score]]&lt;$O$3,Данные6[[#This Row],[Базовая сумма]]*$O$4,N929))</f>
        <v>0</v>
      </c>
      <c r="P92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2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29" s="2">
        <f>ABS(Данные6[[#This Row],[days_birth]])/365.2425</f>
        <v>39.946063231962327</v>
      </c>
      <c r="S92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29" s="2">
        <f>IF(Данные6[[#This Row],[ interest_rate]]&gt;$T$1,Данные6[[#This Row],[days_birth4]]*$T$2,Данные6[[#This Row],[days_birth4]])</f>
        <v>0</v>
      </c>
      <c r="U929" s="2">
        <f>IF(Данные6[[#This Row],[Проверка отказа]]="отказ",0,MAX(Данные6[[#This Row],[interest_rate]],$C$1))</f>
        <v>0</v>
      </c>
      <c r="V929" s="2">
        <f>MROUND(Данные6[[#This Row],[Минимум 20000]], 100)</f>
        <v>0</v>
      </c>
    </row>
    <row r="930" spans="1:22" x14ac:dyDescent="0.25">
      <c r="A930" s="2">
        <f>'1000_заявлений'!A924</f>
        <v>922</v>
      </c>
      <c r="B930" s="4">
        <f>VALUE(SUBSTITUTE('1000_заявлений'!B924, ".", ","))</f>
        <v>0.55884483932529705</v>
      </c>
      <c r="C930" s="4">
        <f>VALUE(SUBSTITUTE('1000_заявлений'!C924, ".", ","))</f>
        <v>0.42196699261447101</v>
      </c>
      <c r="D930" s="4">
        <f>VALUE(SUBSTITUTE('1000_заявлений'!D924, ".", ","))</f>
        <v>0.55850659999999996</v>
      </c>
      <c r="E930" s="4">
        <f>VALUE(SUBSTITUTE('1000_заявлений'!E924, ".", ","))</f>
        <v>0.249114</v>
      </c>
      <c r="F930" s="5">
        <f>VALUE(SUBSTITUTE('1000_заявлений'!F924, ".", ","))</f>
        <v>-645</v>
      </c>
      <c r="G930" s="5">
        <f>VALUE(SUBSTITUTE('1000_заявлений'!G924, ".", ","))</f>
        <v>-17203</v>
      </c>
      <c r="H930" s="5">
        <f>VALUE(SUBSTITUTE('1000_заявлений'!H924, ".", ","))</f>
        <v>-750</v>
      </c>
      <c r="I930" s="4">
        <f>VALUE(SUBSTITUTE('1000_заявлений'!I924, ".", ","))</f>
        <v>0.26427499999999998</v>
      </c>
      <c r="J930" s="4">
        <f>VALUE(SUBSTITUTE('1000_заявлений'!J924, ".", ","))</f>
        <v>2.9393849171036099</v>
      </c>
      <c r="K930" s="5">
        <f>VALUE(SUBSTITUTE('1000_заявлений'!K924, ".", ","))</f>
        <v>-6266</v>
      </c>
      <c r="L930" s="6">
        <f>VALUE(SUBSTITUTE('1000_заявлений'!L924, ".", ","))</f>
        <v>47569.5</v>
      </c>
      <c r="M930" s="2" t="str">
        <f>IF(Данные6[[#This Row],[proba]]&gt;$C$6, "отказ", "одобрение")</f>
        <v>отказ</v>
      </c>
      <c r="N930" s="7">
        <f>IF(Данные6[[#This Row],[proba]]&lt;$D$2,$C$2,IF(Данные6[[#This Row],[proba]]&lt;$D$3,$C$3,IF(Данные6[[#This Row],[proba]]&gt;$C$6,0,$C$4)))</f>
        <v>0</v>
      </c>
      <c r="O930" s="2">
        <f>IF(Данные6[[#This Row],[weighted_ext_score]]&gt;$O$1,MIN(Данные6[[#This Row],[Базовая сумма]]*$O$2,$C$2),IF(Данные6[[#This Row],[weighted_ext_score]]&lt;$O$3,Данные6[[#This Row],[Базовая сумма]]*$O$4,N930))</f>
        <v>0</v>
      </c>
      <c r="P93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0" s="2">
        <f>ABS(Данные6[[#This Row],[days_birth]])/365.2425</f>
        <v>47.100214241223298</v>
      </c>
      <c r="S93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0" s="2">
        <f>IF(Данные6[[#This Row],[ interest_rate]]&gt;$T$1,Данные6[[#This Row],[days_birth4]]*$T$2,Данные6[[#This Row],[days_birth4]])</f>
        <v>0</v>
      </c>
      <c r="U930" s="2">
        <f>IF(Данные6[[#This Row],[Проверка отказа]]="отказ",0,MAX(Данные6[[#This Row],[interest_rate]],$C$1))</f>
        <v>0</v>
      </c>
      <c r="V930" s="2">
        <f>MROUND(Данные6[[#This Row],[Минимум 20000]], 100)</f>
        <v>0</v>
      </c>
    </row>
    <row r="931" spans="1:22" x14ac:dyDescent="0.25">
      <c r="A931" s="2">
        <f>'1000_заявлений'!A925</f>
        <v>923</v>
      </c>
      <c r="B931" s="4">
        <f>VALUE(SUBSTITUTE('1000_заявлений'!B925, ".", ","))</f>
        <v>0.45730660597956002</v>
      </c>
      <c r="C931" s="4">
        <f>VALUE(SUBSTITUTE('1000_заявлений'!C925, ".", ","))</f>
        <v>0.28830919505989</v>
      </c>
      <c r="D931" s="4">
        <f>VALUE(SUBSTITUTE('1000_заявлений'!D925, ".", ","))</f>
        <v>0.66263777000000001</v>
      </c>
      <c r="E931" s="4">
        <f>VALUE(SUBSTITUTE('1000_заявлений'!E925, ".", ","))</f>
        <v>0.14999802000000001</v>
      </c>
      <c r="F931" s="5">
        <f>VALUE(SUBSTITUTE('1000_заявлений'!F925, ".", ","))</f>
        <v>-10169</v>
      </c>
      <c r="G931" s="5">
        <f>VALUE(SUBSTITUTE('1000_заявлений'!G925, ".", ","))</f>
        <v>-21909</v>
      </c>
      <c r="H931" s="5">
        <f>VALUE(SUBSTITUTE('1000_заявлений'!H925, ".", ","))</f>
        <v>-4449</v>
      </c>
      <c r="I931" s="4">
        <f>VALUE(SUBSTITUTE('1000_заявлений'!I925, ".", ","))</f>
        <v>7.8129770992366399E-2</v>
      </c>
      <c r="J931" s="4">
        <f>VALUE(SUBSTITUTE('1000_заявлений'!J925, ".", ","))</f>
        <v>2.65349795947458</v>
      </c>
      <c r="K931" s="5">
        <f>VALUE(SUBSTITUTE('1000_заявлений'!K925, ".", ","))</f>
        <v>365243</v>
      </c>
      <c r="L931" s="6">
        <f>VALUE(SUBSTITUTE('1000_заявлений'!L925, ".", ","))</f>
        <v>9211.5</v>
      </c>
      <c r="M931" s="2" t="str">
        <f>IF(Данные6[[#This Row],[proba]]&gt;$C$6, "отказ", "одобрение")</f>
        <v>отказ</v>
      </c>
      <c r="N931" s="7">
        <f>IF(Данные6[[#This Row],[proba]]&lt;$D$2,$C$2,IF(Данные6[[#This Row],[proba]]&lt;$D$3,$C$3,IF(Данные6[[#This Row],[proba]]&gt;$C$6,0,$C$4)))</f>
        <v>0</v>
      </c>
      <c r="O931" s="2">
        <f>IF(Данные6[[#This Row],[weighted_ext_score]]&gt;$O$1,MIN(Данные6[[#This Row],[Базовая сумма]]*$O$2,$C$2),IF(Данные6[[#This Row],[weighted_ext_score]]&lt;$O$3,Данные6[[#This Row],[Базовая сумма]]*$O$4,N931))</f>
        <v>0</v>
      </c>
      <c r="P93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1" s="2">
        <f>ABS(Данные6[[#This Row],[days_birth]])/365.2425</f>
        <v>59.984804616111212</v>
      </c>
      <c r="S93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1" s="2">
        <f>IF(Данные6[[#This Row],[ interest_rate]]&gt;$T$1,Данные6[[#This Row],[days_birth4]]*$T$2,Данные6[[#This Row],[days_birth4]])</f>
        <v>0</v>
      </c>
      <c r="U931" s="2">
        <f>IF(Данные6[[#This Row],[Проверка отказа]]="отказ",0,MAX(Данные6[[#This Row],[interest_rate]],$C$1))</f>
        <v>0</v>
      </c>
      <c r="V931" s="2">
        <f>MROUND(Данные6[[#This Row],[Минимум 20000]], 100)</f>
        <v>0</v>
      </c>
    </row>
    <row r="932" spans="1:22" x14ac:dyDescent="0.25">
      <c r="A932" s="2">
        <f>'1000_заявлений'!A926</f>
        <v>924</v>
      </c>
      <c r="B932" s="4">
        <f>VALUE(SUBSTITUTE('1000_заявлений'!B926, ".", ","))</f>
        <v>0.256694614686649</v>
      </c>
      <c r="C932" s="4">
        <f>VALUE(SUBSTITUTE('1000_заявлений'!C926, ".", ","))</f>
        <v>0.56876048907717502</v>
      </c>
      <c r="D932" s="4">
        <f>VALUE(SUBSTITUTE('1000_заявлений'!D926, ".", ","))</f>
        <v>0.69562190000000002</v>
      </c>
      <c r="E932" s="4">
        <f>VALUE(SUBSTITUTE('1000_заявлений'!E926, ".", ","))</f>
        <v>0.5816344</v>
      </c>
      <c r="F932" s="5">
        <f>VALUE(SUBSTITUTE('1000_заявлений'!F926, ".", ","))</f>
        <v>-6412</v>
      </c>
      <c r="G932" s="5">
        <f>VALUE(SUBSTITUTE('1000_заявлений'!G926, ".", ","))</f>
        <v>-12786</v>
      </c>
      <c r="H932" s="5">
        <f>VALUE(SUBSTITUTE('1000_заявлений'!H926, ".", ","))</f>
        <v>-3829</v>
      </c>
      <c r="I932" s="4">
        <f>VALUE(SUBSTITUTE('1000_заявлений'!I926, ".", ","))</f>
        <v>0.11545</v>
      </c>
      <c r="J932" s="4">
        <f>VALUE(SUBSTITUTE('1000_заявлений'!J926, ".", ","))</f>
        <v>1.84608477819816</v>
      </c>
      <c r="K932" s="5">
        <f>VALUE(SUBSTITUTE('1000_заявлений'!K926, ".", ","))</f>
        <v>-2178</v>
      </c>
      <c r="L932" s="6">
        <f>VALUE(SUBSTITUTE('1000_заявлений'!L926, ".", ","))</f>
        <v>31171.5</v>
      </c>
      <c r="M932" s="2" t="str">
        <f>IF(Данные6[[#This Row],[proba]]&gt;$C$6, "отказ", "одобрение")</f>
        <v>одобрение</v>
      </c>
      <c r="N932" s="7">
        <f>IF(Данные6[[#This Row],[proba]]&lt;$D$2,$C$2,IF(Данные6[[#This Row],[proba]]&lt;$D$3,$C$3,IF(Данные6[[#This Row],[proba]]&gt;$C$6,0,$C$4)))</f>
        <v>50000</v>
      </c>
      <c r="O932" s="2">
        <f>IF(Данные6[[#This Row],[weighted_ext_score]]&gt;$O$1,MIN(Данные6[[#This Row],[Базовая сумма]]*$O$2,$C$2),IF(Данные6[[#This Row],[weighted_ext_score]]&lt;$O$3,Данные6[[#This Row],[Базовая сумма]]*$O$4,N932))</f>
        <v>50000</v>
      </c>
      <c r="P93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3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32" s="2">
        <f>ABS(Данные6[[#This Row],[days_birth]])/365.2425</f>
        <v>35.006878991355059</v>
      </c>
      <c r="S93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932" s="2">
        <f>IF(Данные6[[#This Row],[ interest_rate]]&gt;$T$1,Данные6[[#This Row],[days_birth4]]*$T$2,Данные6[[#This Row],[days_birth4]])</f>
        <v>35000</v>
      </c>
      <c r="U932" s="2">
        <f>IF(Данные6[[#This Row],[Проверка отказа]]="отказ",0,MAX(Данные6[[#This Row],[interest_rate]],$C$1))</f>
        <v>35000</v>
      </c>
      <c r="V932" s="2">
        <f>MROUND(Данные6[[#This Row],[Минимум 20000]], 100)</f>
        <v>35000</v>
      </c>
    </row>
    <row r="933" spans="1:22" x14ac:dyDescent="0.25">
      <c r="A933" s="2">
        <f>'1000_заявлений'!A927</f>
        <v>925</v>
      </c>
      <c r="B933" s="4">
        <f>VALUE(SUBSTITUTE('1000_заявлений'!B927, ".", ","))</f>
        <v>0.62838736408718199</v>
      </c>
      <c r="C933" s="4">
        <f>VALUE(SUBSTITUTE('1000_заявлений'!C927, ".", ","))</f>
        <v>0.26736584828165799</v>
      </c>
      <c r="D933" s="4">
        <f>VALUE(SUBSTITUTE('1000_заявлений'!D927, ".", ","))</f>
        <v>0.22009465</v>
      </c>
      <c r="E933" s="4">
        <f>VALUE(SUBSTITUTE('1000_заявлений'!E927, ".", ","))</f>
        <v>0.57884884000000003</v>
      </c>
      <c r="F933" s="5">
        <f>VALUE(SUBSTITUTE('1000_заявлений'!F927, ".", ","))</f>
        <v>-3082</v>
      </c>
      <c r="G933" s="5">
        <f>VALUE(SUBSTITUTE('1000_заявлений'!G927, ".", ","))</f>
        <v>-16093</v>
      </c>
      <c r="H933" s="5">
        <f>VALUE(SUBSTITUTE('1000_заявлений'!H927, ".", ","))</f>
        <v>-3169</v>
      </c>
      <c r="I933" s="4">
        <f>VALUE(SUBSTITUTE('1000_заявлений'!I927, ".", ","))</f>
        <v>0.19751666666666601</v>
      </c>
      <c r="J933" s="4">
        <f>VALUE(SUBSTITUTE('1000_заявлений'!J927, ".", ","))</f>
        <v>4.7066888349655596</v>
      </c>
      <c r="K933" s="5">
        <f>VALUE(SUBSTITUTE('1000_заявлений'!K927, ".", ","))</f>
        <v>-2843</v>
      </c>
      <c r="L933" s="6">
        <f>VALUE(SUBSTITUTE('1000_заявлений'!L927, ".", ","))</f>
        <v>53329.5</v>
      </c>
      <c r="M933" s="2" t="str">
        <f>IF(Данные6[[#This Row],[proba]]&gt;$C$6, "отказ", "одобрение")</f>
        <v>отказ</v>
      </c>
      <c r="N933" s="7">
        <f>IF(Данные6[[#This Row],[proba]]&lt;$D$2,$C$2,IF(Данные6[[#This Row],[proba]]&lt;$D$3,$C$3,IF(Данные6[[#This Row],[proba]]&gt;$C$6,0,$C$4)))</f>
        <v>0</v>
      </c>
      <c r="O933" s="2">
        <f>IF(Данные6[[#This Row],[weighted_ext_score]]&gt;$O$1,MIN(Данные6[[#This Row],[Базовая сумма]]*$O$2,$C$2),IF(Данные6[[#This Row],[weighted_ext_score]]&lt;$O$3,Данные6[[#This Row],[Базовая сумма]]*$O$4,N933))</f>
        <v>0</v>
      </c>
      <c r="P93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3" s="2">
        <f>ABS(Данные6[[#This Row],[days_birth]])/365.2425</f>
        <v>44.061137463466054</v>
      </c>
      <c r="S93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3" s="2">
        <f>IF(Данные6[[#This Row],[ interest_rate]]&gt;$T$1,Данные6[[#This Row],[days_birth4]]*$T$2,Данные6[[#This Row],[days_birth4]])</f>
        <v>0</v>
      </c>
      <c r="U933" s="2">
        <f>IF(Данные6[[#This Row],[Проверка отказа]]="отказ",0,MAX(Данные6[[#This Row],[interest_rate]],$C$1))</f>
        <v>0</v>
      </c>
      <c r="V933" s="2">
        <f>MROUND(Данные6[[#This Row],[Минимум 20000]], 100)</f>
        <v>0</v>
      </c>
    </row>
    <row r="934" spans="1:22" x14ac:dyDescent="0.25">
      <c r="A934" s="2">
        <f>'1000_заявлений'!A928</f>
        <v>926</v>
      </c>
      <c r="B934" s="4">
        <f>VALUE(SUBSTITUTE('1000_заявлений'!B928, ".", ","))</f>
        <v>0.62283557030654202</v>
      </c>
      <c r="C934" s="4">
        <f>VALUE(SUBSTITUTE('1000_заявлений'!C928, ".", ","))</f>
        <v>0.23678896752138001</v>
      </c>
      <c r="D934" s="4">
        <f>VALUE(SUBSTITUTE('1000_заявлений'!D928, ".", ","))</f>
        <v>0.53527623000000002</v>
      </c>
      <c r="E934" s="4">
        <f>VALUE(SUBSTITUTE('1000_заявлений'!E928, ".", ","))</f>
        <v>0.13140824000000001</v>
      </c>
      <c r="F934" s="5">
        <f>VALUE(SUBSTITUTE('1000_заявлений'!F928, ".", ","))</f>
        <v>-5537</v>
      </c>
      <c r="G934" s="5">
        <f>VALUE(SUBSTITUTE('1000_заявлений'!G928, ".", ","))</f>
        <v>-20516</v>
      </c>
      <c r="H934" s="5">
        <f>VALUE(SUBSTITUTE('1000_заявлений'!H928, ".", ","))</f>
        <v>-4067</v>
      </c>
      <c r="I934" s="4">
        <f>VALUE(SUBSTITUTE('1000_заявлений'!I928, ".", ","))</f>
        <v>0.32146666666666601</v>
      </c>
      <c r="J934" s="4">
        <f>VALUE(SUBSTITUTE('1000_заявлений'!J928, ".", ","))</f>
        <v>5.7856870335544599</v>
      </c>
      <c r="K934" s="5">
        <f>VALUE(SUBSTITUTE('1000_заявлений'!K928, ".", ","))</f>
        <v>365243</v>
      </c>
      <c r="L934" s="6">
        <f>VALUE(SUBSTITUTE('1000_заявлений'!L928, ".", ","))</f>
        <v>21699</v>
      </c>
      <c r="M934" s="2" t="str">
        <f>IF(Данные6[[#This Row],[proba]]&gt;$C$6, "отказ", "одобрение")</f>
        <v>отказ</v>
      </c>
      <c r="N934" s="7">
        <f>IF(Данные6[[#This Row],[proba]]&lt;$D$2,$C$2,IF(Данные6[[#This Row],[proba]]&lt;$D$3,$C$3,IF(Данные6[[#This Row],[proba]]&gt;$C$6,0,$C$4)))</f>
        <v>0</v>
      </c>
      <c r="O934" s="2">
        <f>IF(Данные6[[#This Row],[weighted_ext_score]]&gt;$O$1,MIN(Данные6[[#This Row],[Базовая сумма]]*$O$2,$C$2),IF(Данные6[[#This Row],[weighted_ext_score]]&lt;$O$3,Данные6[[#This Row],[Базовая сумма]]*$O$4,N934))</f>
        <v>0</v>
      </c>
      <c r="P93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4" s="2">
        <f>ABS(Данные6[[#This Row],[days_birth]])/365.2425</f>
        <v>56.170900155376223</v>
      </c>
      <c r="S93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4" s="2">
        <f>IF(Данные6[[#This Row],[ interest_rate]]&gt;$T$1,Данные6[[#This Row],[days_birth4]]*$T$2,Данные6[[#This Row],[days_birth4]])</f>
        <v>0</v>
      </c>
      <c r="U934" s="2">
        <f>IF(Данные6[[#This Row],[Проверка отказа]]="отказ",0,MAX(Данные6[[#This Row],[interest_rate]],$C$1))</f>
        <v>0</v>
      </c>
      <c r="V934" s="2">
        <f>MROUND(Данные6[[#This Row],[Минимум 20000]], 100)</f>
        <v>0</v>
      </c>
    </row>
    <row r="935" spans="1:22" x14ac:dyDescent="0.25">
      <c r="A935" s="2">
        <f>'1000_заявлений'!A929</f>
        <v>927</v>
      </c>
      <c r="B935" s="4">
        <f>VALUE(SUBSTITUTE('1000_заявлений'!B929, ".", ","))</f>
        <v>0.18914125458422201</v>
      </c>
      <c r="C935" s="4">
        <f>VALUE(SUBSTITUTE('1000_заявлений'!C929, ".", ","))</f>
        <v>0.66147827734402898</v>
      </c>
      <c r="D935" s="4">
        <f>VALUE(SUBSTITUTE('1000_заявлений'!D929, ".", ","))</f>
        <v>0.40314168</v>
      </c>
      <c r="E935" s="4">
        <f>VALUE(SUBSTITUTE('1000_заявлений'!E929, ".", ","))</f>
        <v>0.73443959999999997</v>
      </c>
      <c r="F935" s="5">
        <f>VALUE(SUBSTITUTE('1000_заявлений'!F929, ".", ","))</f>
        <v>-3944</v>
      </c>
      <c r="G935" s="5">
        <f>VALUE(SUBSTITUTE('1000_заявлений'!G929, ".", ","))</f>
        <v>-21642</v>
      </c>
      <c r="H935" s="5">
        <f>VALUE(SUBSTITUTE('1000_заявлений'!H929, ".", ","))</f>
        <v>-4675</v>
      </c>
      <c r="I935" s="4">
        <f>VALUE(SUBSTITUTE('1000_заявлений'!I929, ".", ","))</f>
        <v>0.14708888888888799</v>
      </c>
      <c r="J935" s="4">
        <f>VALUE(SUBSTITUTE('1000_заявлений'!J929, ".", ","))</f>
        <v>11.010295969665</v>
      </c>
      <c r="K935" s="5">
        <f>VALUE(SUBSTITUTE('1000_заявлений'!K929, ".", ","))</f>
        <v>365243</v>
      </c>
      <c r="L935" s="6">
        <f>VALUE(SUBSTITUTE('1000_заявлений'!L929, ".", ","))</f>
        <v>29785.5</v>
      </c>
      <c r="M935" s="2" t="str">
        <f>IF(Данные6[[#This Row],[proba]]&gt;$C$6, "отказ", "одобрение")</f>
        <v>одобрение</v>
      </c>
      <c r="N935" s="7">
        <f>IF(Данные6[[#This Row],[proba]]&lt;$D$2,$C$2,IF(Данные6[[#This Row],[proba]]&lt;$D$3,$C$3,IF(Данные6[[#This Row],[proba]]&gt;$C$6,0,$C$4)))</f>
        <v>200000</v>
      </c>
      <c r="O935" s="2">
        <f>IF(Данные6[[#This Row],[weighted_ext_score]]&gt;$O$1,MIN(Данные6[[#This Row],[Базовая сумма]]*$O$2,$C$2),IF(Данные6[[#This Row],[weighted_ext_score]]&lt;$O$3,Данные6[[#This Row],[Базовая сумма]]*$O$4,N935))</f>
        <v>200000</v>
      </c>
      <c r="P93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93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935" s="2">
        <f>ABS(Данные6[[#This Row],[days_birth]])/365.2425</f>
        <v>59.253783445245283</v>
      </c>
      <c r="S93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935" s="2">
        <f>IF(Данные6[[#This Row],[ interest_rate]]&gt;$T$1,Данные6[[#This Row],[days_birth4]]*$T$2,Данные6[[#This Row],[days_birth4]])</f>
        <v>210000</v>
      </c>
      <c r="U935" s="2">
        <f>IF(Данные6[[#This Row],[Проверка отказа]]="отказ",0,MAX(Данные6[[#This Row],[interest_rate]],$C$1))</f>
        <v>210000</v>
      </c>
      <c r="V935" s="2">
        <f>MROUND(Данные6[[#This Row],[Минимум 20000]], 100)</f>
        <v>210000</v>
      </c>
    </row>
    <row r="936" spans="1:22" x14ac:dyDescent="0.25">
      <c r="A936" s="2">
        <f>'1000_заявлений'!A930</f>
        <v>928</v>
      </c>
      <c r="B936" s="4">
        <f>VALUE(SUBSTITUTE('1000_заявлений'!B930, ".", ","))</f>
        <v>0.87990207831626199</v>
      </c>
      <c r="C936" s="4">
        <f>VALUE(SUBSTITUTE('1000_заявлений'!C930, ".", ","))</f>
        <v>9.9136039171246998E-2</v>
      </c>
      <c r="D936" s="4">
        <f>VALUE(SUBSTITUTE('1000_заявлений'!D930, ".", ","))</f>
        <v>6.2103037E-2</v>
      </c>
      <c r="E936" s="4">
        <f>VALUE(SUBSTITUTE('1000_заявлений'!E930, ".", ","))</f>
        <v>0.23637784000000001</v>
      </c>
      <c r="F936" s="5">
        <f>VALUE(SUBSTITUTE('1000_заявлений'!F930, ".", ","))</f>
        <v>-6392</v>
      </c>
      <c r="G936" s="5">
        <f>VALUE(SUBSTITUTE('1000_заявлений'!G930, ".", ","))</f>
        <v>-12931</v>
      </c>
      <c r="H936" s="5">
        <f>VALUE(SUBSTITUTE('1000_заявлений'!H930, ".", ","))</f>
        <v>-3866</v>
      </c>
      <c r="I936" s="4">
        <f>VALUE(SUBSTITUTE('1000_заявлений'!I930, ".", ","))</f>
        <v>0.24212500000000001</v>
      </c>
      <c r="J936" s="4">
        <f>VALUE(SUBSTITUTE('1000_заявлений'!J930, ".", ","))</f>
        <v>3.01996379475966</v>
      </c>
      <c r="K936" s="5">
        <f>VALUE(SUBSTITUTE('1000_заявлений'!K930, ".", ","))</f>
        <v>-1317</v>
      </c>
      <c r="L936" s="6">
        <f>VALUE(SUBSTITUTE('1000_заявлений'!L930, ".", ","))</f>
        <v>26149.5</v>
      </c>
      <c r="M936" s="2" t="str">
        <f>IF(Данные6[[#This Row],[proba]]&gt;$C$6, "отказ", "одобрение")</f>
        <v>отказ</v>
      </c>
      <c r="N936" s="7">
        <f>IF(Данные6[[#This Row],[proba]]&lt;$D$2,$C$2,IF(Данные6[[#This Row],[proba]]&lt;$D$3,$C$3,IF(Данные6[[#This Row],[proba]]&gt;$C$6,0,$C$4)))</f>
        <v>0</v>
      </c>
      <c r="O936" s="2">
        <f>IF(Данные6[[#This Row],[weighted_ext_score]]&gt;$O$1,MIN(Данные6[[#This Row],[Базовая сумма]]*$O$2,$C$2),IF(Данные6[[#This Row],[weighted_ext_score]]&lt;$O$3,Данные6[[#This Row],[Базовая сумма]]*$O$4,N936))</f>
        <v>0</v>
      </c>
      <c r="P93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6" s="2">
        <f>ABS(Данные6[[#This Row],[days_birth]])/365.2425</f>
        <v>35.40387550736839</v>
      </c>
      <c r="S93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6" s="2">
        <f>IF(Данные6[[#This Row],[ interest_rate]]&gt;$T$1,Данные6[[#This Row],[days_birth4]]*$T$2,Данные6[[#This Row],[days_birth4]])</f>
        <v>0</v>
      </c>
      <c r="U936" s="2">
        <f>IF(Данные6[[#This Row],[Проверка отказа]]="отказ",0,MAX(Данные6[[#This Row],[interest_rate]],$C$1))</f>
        <v>0</v>
      </c>
      <c r="V936" s="2">
        <f>MROUND(Данные6[[#This Row],[Минимум 20000]], 100)</f>
        <v>0</v>
      </c>
    </row>
    <row r="937" spans="1:22" x14ac:dyDescent="0.25">
      <c r="A937" s="2">
        <f>'1000_заявлений'!A931</f>
        <v>929</v>
      </c>
      <c r="B937" s="4">
        <f>VALUE(SUBSTITUTE('1000_заявлений'!B931, ".", ","))</f>
        <v>0.423853029151602</v>
      </c>
      <c r="C937" s="4">
        <f>VALUE(SUBSTITUTE('1000_заявлений'!C931, ".", ","))</f>
        <v>0.47563282675885799</v>
      </c>
      <c r="D937" s="4">
        <f>VALUE(SUBSTITUTE('1000_заявлений'!D931, ".", ","))</f>
        <v>0.78868079999999996</v>
      </c>
      <c r="E937" s="4">
        <f>VALUE(SUBSTITUTE('1000_заявлений'!E931, ".", ","))</f>
        <v>0.21826382</v>
      </c>
      <c r="F937" s="5">
        <f>VALUE(SUBSTITUTE('1000_заявлений'!F931, ".", ","))</f>
        <v>-3402</v>
      </c>
      <c r="G937" s="5">
        <f>VALUE(SUBSTITUTE('1000_заявлений'!G931, ".", ","))</f>
        <v>-12594</v>
      </c>
      <c r="H937" s="5">
        <f>VALUE(SUBSTITUTE('1000_заявлений'!H931, ".", ","))</f>
        <v>-2574</v>
      </c>
      <c r="I937" s="4">
        <f>VALUE(SUBSTITUTE('1000_заявлений'!I931, ".", ","))</f>
        <v>0.17923333333333299</v>
      </c>
      <c r="J937" s="4">
        <f>VALUE(SUBSTITUTE('1000_заявлений'!J931, ".", ","))</f>
        <v>2.1456547922621598</v>
      </c>
      <c r="K937" s="5">
        <f>VALUE(SUBSTITUTE('1000_заявлений'!K931, ".", ","))</f>
        <v>-2786</v>
      </c>
      <c r="L937" s="6">
        <f>VALUE(SUBSTITUTE('1000_заявлений'!L931, ".", ","))</f>
        <v>24196.5</v>
      </c>
      <c r="M937" s="2" t="str">
        <f>IF(Данные6[[#This Row],[proba]]&gt;$C$6, "отказ", "одобрение")</f>
        <v>отказ</v>
      </c>
      <c r="N937" s="7">
        <f>IF(Данные6[[#This Row],[proba]]&lt;$D$2,$C$2,IF(Данные6[[#This Row],[proba]]&lt;$D$3,$C$3,IF(Данные6[[#This Row],[proba]]&gt;$C$6,0,$C$4)))</f>
        <v>0</v>
      </c>
      <c r="O937" s="2">
        <f>IF(Данные6[[#This Row],[weighted_ext_score]]&gt;$O$1,MIN(Данные6[[#This Row],[Базовая сумма]]*$O$2,$C$2),IF(Данные6[[#This Row],[weighted_ext_score]]&lt;$O$3,Данные6[[#This Row],[Базовая сумма]]*$O$4,N937))</f>
        <v>0</v>
      </c>
      <c r="P93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7" s="2">
        <f>ABS(Данные6[[#This Row],[days_birth]])/365.2425</f>
        <v>34.481200846013266</v>
      </c>
      <c r="S93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7" s="2">
        <f>IF(Данные6[[#This Row],[ interest_rate]]&gt;$T$1,Данные6[[#This Row],[days_birth4]]*$T$2,Данные6[[#This Row],[days_birth4]])</f>
        <v>0</v>
      </c>
      <c r="U937" s="2">
        <f>IF(Данные6[[#This Row],[Проверка отказа]]="отказ",0,MAX(Данные6[[#This Row],[interest_rate]],$C$1))</f>
        <v>0</v>
      </c>
      <c r="V937" s="2">
        <f>MROUND(Данные6[[#This Row],[Минимум 20000]], 100)</f>
        <v>0</v>
      </c>
    </row>
    <row r="938" spans="1:22" x14ac:dyDescent="0.25">
      <c r="A938" s="2">
        <f>'1000_заявлений'!A932</f>
        <v>930</v>
      </c>
      <c r="B938" s="4">
        <f>VALUE(SUBSTITUTE('1000_заявлений'!B932, ".", ","))</f>
        <v>0.48008962246565201</v>
      </c>
      <c r="C938" s="4">
        <f>VALUE(SUBSTITUTE('1000_заявлений'!C932, ".", ","))</f>
        <v>0.35840778928000799</v>
      </c>
      <c r="D938" s="4">
        <f>VALUE(SUBSTITUTE('1000_заявлений'!D932, ".", ","))</f>
        <v>0.45432106</v>
      </c>
      <c r="E938" s="4">
        <f>VALUE(SUBSTITUTE('1000_заявлений'!E932, ".", ","))</f>
        <v>0.59836409999999995</v>
      </c>
      <c r="F938" s="5">
        <f>VALUE(SUBSTITUTE('1000_заявлений'!F932, ".", ","))</f>
        <v>-9727</v>
      </c>
      <c r="G938" s="5">
        <f>VALUE(SUBSTITUTE('1000_заявлений'!G932, ".", ","))</f>
        <v>-9764</v>
      </c>
      <c r="H938" s="5">
        <f>VALUE(SUBSTITUTE('1000_заявлений'!H932, ".", ","))</f>
        <v>-2454</v>
      </c>
      <c r="I938" s="4">
        <f>VALUE(SUBSTITUTE('1000_заявлений'!I932, ".", ","))</f>
        <v>7.8346666666666606E-2</v>
      </c>
      <c r="J938" s="4">
        <f>VALUE(SUBSTITUTE('1000_заявлений'!J932, ".", ","))</f>
        <v>2.49221644806947</v>
      </c>
      <c r="K938" s="5">
        <f>VALUE(SUBSTITUTE('1000_заявлений'!K932, ".", ","))</f>
        <v>-332</v>
      </c>
      <c r="L938" s="6">
        <f>VALUE(SUBSTITUTE('1000_заявлений'!L932, ".", ","))</f>
        <v>26442</v>
      </c>
      <c r="M938" s="2" t="str">
        <f>IF(Данные6[[#This Row],[proba]]&gt;$C$6, "отказ", "одобрение")</f>
        <v>отказ</v>
      </c>
      <c r="N938" s="7">
        <f>IF(Данные6[[#This Row],[proba]]&lt;$D$2,$C$2,IF(Данные6[[#This Row],[proba]]&lt;$D$3,$C$3,IF(Данные6[[#This Row],[proba]]&gt;$C$6,0,$C$4)))</f>
        <v>0</v>
      </c>
      <c r="O938" s="2">
        <f>IF(Данные6[[#This Row],[weighted_ext_score]]&gt;$O$1,MIN(Данные6[[#This Row],[Базовая сумма]]*$O$2,$C$2),IF(Данные6[[#This Row],[weighted_ext_score]]&lt;$O$3,Данные6[[#This Row],[Базовая сумма]]*$O$4,N938))</f>
        <v>0</v>
      </c>
      <c r="P93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8" s="2">
        <f>ABS(Данные6[[#This Row],[days_birth]])/365.2425</f>
        <v>26.732924016235788</v>
      </c>
      <c r="S93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8" s="2">
        <f>IF(Данные6[[#This Row],[ interest_rate]]&gt;$T$1,Данные6[[#This Row],[days_birth4]]*$T$2,Данные6[[#This Row],[days_birth4]])</f>
        <v>0</v>
      </c>
      <c r="U938" s="2">
        <f>IF(Данные6[[#This Row],[Проверка отказа]]="отказ",0,MAX(Данные6[[#This Row],[interest_rate]],$C$1))</f>
        <v>0</v>
      </c>
      <c r="V938" s="2">
        <f>MROUND(Данные6[[#This Row],[Минимум 20000]], 100)</f>
        <v>0</v>
      </c>
    </row>
    <row r="939" spans="1:22" x14ac:dyDescent="0.25">
      <c r="A939" s="2">
        <f>'1000_заявлений'!A933</f>
        <v>931</v>
      </c>
      <c r="B939" s="4">
        <f>VALUE(SUBSTITUTE('1000_заявлений'!B933, ".", ","))</f>
        <v>0.57900341967276703</v>
      </c>
      <c r="C939" s="4">
        <f>VALUE(SUBSTITUTE('1000_заявлений'!C933, ".", ","))</f>
        <v>0.37475695489648397</v>
      </c>
      <c r="D939" s="4">
        <f>VALUE(SUBSTITUTE('1000_заявлений'!D933, ".", ","))</f>
        <v>0.18195911000000001</v>
      </c>
      <c r="E939" s="4">
        <f>VALUE(SUBSTITUTE('1000_заявлений'!E933, ".", ","))</f>
        <v>0.43201286</v>
      </c>
      <c r="F939" s="5">
        <f>VALUE(SUBSTITUTE('1000_заявлений'!F933, ".", ","))</f>
        <v>-3227</v>
      </c>
      <c r="G939" s="5">
        <f>VALUE(SUBSTITUTE('1000_заявлений'!G933, ".", ","))</f>
        <v>-23381</v>
      </c>
      <c r="H939" s="5">
        <f>VALUE(SUBSTITUTE('1000_заявлений'!H933, ".", ","))</f>
        <v>-4557</v>
      </c>
      <c r="I939" s="4">
        <f>VALUE(SUBSTITUTE('1000_заявлений'!I933, ".", ","))</f>
        <v>0.18136666666666601</v>
      </c>
      <c r="J939" s="4">
        <f>VALUE(SUBSTITUTE('1000_заявлений'!J933, ".", ","))</f>
        <v>3.0585062826448302</v>
      </c>
      <c r="K939" s="5">
        <f>VALUE(SUBSTITUTE('1000_заявлений'!K933, ".", ","))</f>
        <v>365243</v>
      </c>
      <c r="L939" s="6">
        <f>VALUE(SUBSTITUTE('1000_заявлений'!L933, ".", ","))</f>
        <v>24484.5</v>
      </c>
      <c r="M939" s="2" t="str">
        <f>IF(Данные6[[#This Row],[proba]]&gt;$C$6, "отказ", "одобрение")</f>
        <v>отказ</v>
      </c>
      <c r="N939" s="7">
        <f>IF(Данные6[[#This Row],[proba]]&lt;$D$2,$C$2,IF(Данные6[[#This Row],[proba]]&lt;$D$3,$C$3,IF(Данные6[[#This Row],[proba]]&gt;$C$6,0,$C$4)))</f>
        <v>0</v>
      </c>
      <c r="O939" s="2">
        <f>IF(Данные6[[#This Row],[weighted_ext_score]]&gt;$O$1,MIN(Данные6[[#This Row],[Базовая сумма]]*$O$2,$C$2),IF(Данные6[[#This Row],[weighted_ext_score]]&lt;$O$3,Данные6[[#This Row],[Базовая сумма]]*$O$4,N939))</f>
        <v>0</v>
      </c>
      <c r="P93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3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39" s="2">
        <f>ABS(Данные6[[#This Row],[days_birth]])/365.2425</f>
        <v>64.015003730398291</v>
      </c>
      <c r="S93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39" s="2">
        <f>IF(Данные6[[#This Row],[ interest_rate]]&gt;$T$1,Данные6[[#This Row],[days_birth4]]*$T$2,Данные6[[#This Row],[days_birth4]])</f>
        <v>0</v>
      </c>
      <c r="U939" s="2">
        <f>IF(Данные6[[#This Row],[Проверка отказа]]="отказ",0,MAX(Данные6[[#This Row],[interest_rate]],$C$1))</f>
        <v>0</v>
      </c>
      <c r="V939" s="2">
        <f>MROUND(Данные6[[#This Row],[Минимум 20000]], 100)</f>
        <v>0</v>
      </c>
    </row>
    <row r="940" spans="1:22" x14ac:dyDescent="0.25">
      <c r="A940" s="2">
        <f>'1000_заявлений'!A934</f>
        <v>932</v>
      </c>
      <c r="B940" s="4">
        <f>VALUE(SUBSTITUTE('1000_заявлений'!B934, ".", ","))</f>
        <v>0.37999563779373202</v>
      </c>
      <c r="C940" s="4">
        <f>VALUE(SUBSTITUTE('1000_заявлений'!C934, ".", ","))</f>
        <v>0.54564523010404797</v>
      </c>
      <c r="D940" s="4">
        <f>VALUE(SUBSTITUTE('1000_заявлений'!D934, ".", ","))</f>
        <v>0.50287824999999997</v>
      </c>
      <c r="E940" s="4">
        <f>VALUE(SUBSTITUTE('1000_заявлений'!E934, ".", ","))</f>
        <v>0.36025511999999998</v>
      </c>
      <c r="F940" s="5">
        <f>VALUE(SUBSTITUTE('1000_заявлений'!F934, ".", ","))</f>
        <v>-3428</v>
      </c>
      <c r="G940" s="5">
        <f>VALUE(SUBSTITUTE('1000_заявлений'!G934, ".", ","))</f>
        <v>-22330</v>
      </c>
      <c r="H940" s="5">
        <f>VALUE(SUBSTITUTE('1000_заявлений'!H934, ".", ","))</f>
        <v>-4016</v>
      </c>
      <c r="I940" s="4">
        <f>VALUE(SUBSTITUTE('1000_заявлений'!I934, ".", ","))</f>
        <v>0.119181818181818</v>
      </c>
      <c r="J940" s="4">
        <f>VALUE(SUBSTITUTE('1000_заявлений'!J934, ".", ","))</f>
        <v>6.9751660922560497</v>
      </c>
      <c r="K940" s="5">
        <f>VALUE(SUBSTITUTE('1000_заявлений'!K934, ".", ","))</f>
        <v>-5110</v>
      </c>
      <c r="L940" s="6">
        <f>VALUE(SUBSTITUTE('1000_заявлений'!L934, ".", ","))</f>
        <v>11799</v>
      </c>
      <c r="M940" s="2" t="str">
        <f>IF(Данные6[[#This Row],[proba]]&gt;$C$6, "отказ", "одобрение")</f>
        <v>отказ</v>
      </c>
      <c r="N940" s="7">
        <f>IF(Данные6[[#This Row],[proba]]&lt;$D$2,$C$2,IF(Данные6[[#This Row],[proba]]&lt;$D$3,$C$3,IF(Данные6[[#This Row],[proba]]&gt;$C$6,0,$C$4)))</f>
        <v>0</v>
      </c>
      <c r="O940" s="2">
        <f>IF(Данные6[[#This Row],[weighted_ext_score]]&gt;$O$1,MIN(Данные6[[#This Row],[Базовая сумма]]*$O$2,$C$2),IF(Данные6[[#This Row],[weighted_ext_score]]&lt;$O$3,Данные6[[#This Row],[Базовая сумма]]*$O$4,N940))</f>
        <v>0</v>
      </c>
      <c r="P94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0" s="2">
        <f>ABS(Данные6[[#This Row],[days_birth]])/365.2425</f>
        <v>61.137463466053376</v>
      </c>
      <c r="S94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0" s="2">
        <f>IF(Данные6[[#This Row],[ interest_rate]]&gt;$T$1,Данные6[[#This Row],[days_birth4]]*$T$2,Данные6[[#This Row],[days_birth4]])</f>
        <v>0</v>
      </c>
      <c r="U940" s="2">
        <f>IF(Данные6[[#This Row],[Проверка отказа]]="отказ",0,MAX(Данные6[[#This Row],[interest_rate]],$C$1))</f>
        <v>0</v>
      </c>
      <c r="V940" s="2">
        <f>MROUND(Данные6[[#This Row],[Минимум 20000]], 100)</f>
        <v>0</v>
      </c>
    </row>
    <row r="941" spans="1:22" x14ac:dyDescent="0.25">
      <c r="A941" s="2">
        <f>'1000_заявлений'!A935</f>
        <v>933</v>
      </c>
      <c r="B941" s="4">
        <f>VALUE(SUBSTITUTE('1000_заявлений'!B935, ".", ","))</f>
        <v>0.36125570182569999</v>
      </c>
      <c r="C941" s="4">
        <f>VALUE(SUBSTITUTE('1000_заявлений'!C935, ".", ","))</f>
        <v>0.45367512927508402</v>
      </c>
      <c r="D941" s="4">
        <f>VALUE(SUBSTITUTE('1000_заявлений'!D935, ".", ","))</f>
        <v>0.62122630000000001</v>
      </c>
      <c r="E941" s="4">
        <f>VALUE(SUBSTITUTE('1000_заявлений'!E935, ".", ","))</f>
        <v>0.70596563999999995</v>
      </c>
      <c r="F941" s="5">
        <f>VALUE(SUBSTITUTE('1000_заявлений'!F935, ".", ","))</f>
        <v>-658</v>
      </c>
      <c r="G941" s="5">
        <f>VALUE(SUBSTITUTE('1000_заявлений'!G935, ".", ","))</f>
        <v>-17710</v>
      </c>
      <c r="H941" s="5">
        <f>VALUE(SUBSTITUTE('1000_заявлений'!H935, ".", ","))</f>
        <v>-1112</v>
      </c>
      <c r="I941" s="4">
        <f>VALUE(SUBSTITUTE('1000_заявлений'!I935, ".", ","))</f>
        <v>0.34960000000000002</v>
      </c>
      <c r="J941" s="4">
        <f>VALUE(SUBSTITUTE('1000_заявлений'!J935, ".", ","))</f>
        <v>1.0360080504014</v>
      </c>
      <c r="K941" s="5">
        <f>VALUE(SUBSTITUTE('1000_заявлений'!K935, ".", ","))</f>
        <v>-2953</v>
      </c>
      <c r="L941" s="6">
        <f>VALUE(SUBSTITUTE('1000_заявлений'!L935, ".", ","))</f>
        <v>31464</v>
      </c>
      <c r="M941" s="2" t="str">
        <f>IF(Данные6[[#This Row],[proba]]&gt;$C$6, "отказ", "одобрение")</f>
        <v>отказ</v>
      </c>
      <c r="N941" s="7">
        <f>IF(Данные6[[#This Row],[proba]]&lt;$D$2,$C$2,IF(Данные6[[#This Row],[proba]]&lt;$D$3,$C$3,IF(Данные6[[#This Row],[proba]]&gt;$C$6,0,$C$4)))</f>
        <v>0</v>
      </c>
      <c r="O941" s="2">
        <f>IF(Данные6[[#This Row],[weighted_ext_score]]&gt;$O$1,MIN(Данные6[[#This Row],[Базовая сумма]]*$O$2,$C$2),IF(Данные6[[#This Row],[weighted_ext_score]]&lt;$O$3,Данные6[[#This Row],[Базовая сумма]]*$O$4,N941))</f>
        <v>0</v>
      </c>
      <c r="P94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1" s="2">
        <f>ABS(Данные6[[#This Row],[days_birth]])/365.2425</f>
        <v>48.488333093766471</v>
      </c>
      <c r="S94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1" s="2">
        <f>IF(Данные6[[#This Row],[ interest_rate]]&gt;$T$1,Данные6[[#This Row],[days_birth4]]*$T$2,Данные6[[#This Row],[days_birth4]])</f>
        <v>0</v>
      </c>
      <c r="U941" s="2">
        <f>IF(Данные6[[#This Row],[Проверка отказа]]="отказ",0,MAX(Данные6[[#This Row],[interest_rate]],$C$1))</f>
        <v>0</v>
      </c>
      <c r="V941" s="2">
        <f>MROUND(Данные6[[#This Row],[Минимум 20000]], 100)</f>
        <v>0</v>
      </c>
    </row>
    <row r="942" spans="1:22" x14ac:dyDescent="0.25">
      <c r="A942" s="2">
        <f>'1000_заявлений'!A936</f>
        <v>934</v>
      </c>
      <c r="B942" s="4">
        <f>VALUE(SUBSTITUTE('1000_заявлений'!B936, ".", ","))</f>
        <v>0.76262493054956504</v>
      </c>
      <c r="C942" s="4">
        <f>VALUE(SUBSTITUTE('1000_заявлений'!C936, ".", ","))</f>
        <v>0.18617187767314999</v>
      </c>
      <c r="D942" s="4">
        <f>VALUE(SUBSTITUTE('1000_заявлений'!D936, ".", ","))</f>
        <v>0.39105499999999999</v>
      </c>
      <c r="E942" s="4">
        <f>VALUE(SUBSTITUTE('1000_заявлений'!E936, ".", ","))</f>
        <v>0.13792821999999999</v>
      </c>
      <c r="F942" s="5">
        <f>VALUE(SUBSTITUTE('1000_заявлений'!F936, ".", ","))</f>
        <v>-9729</v>
      </c>
      <c r="G942" s="5">
        <f>VALUE(SUBSTITUTE('1000_заявлений'!G936, ".", ","))</f>
        <v>-15385</v>
      </c>
      <c r="H942" s="5">
        <f>VALUE(SUBSTITUTE('1000_заявлений'!H936, ".", ","))</f>
        <v>-4296</v>
      </c>
      <c r="I942" s="4">
        <f>VALUE(SUBSTITUTE('1000_заявлений'!I936, ".", ","))</f>
        <v>0.25795454545454499</v>
      </c>
      <c r="J942" s="4">
        <f>VALUE(SUBSTITUTE('1000_заявлений'!J936, ".", ","))</f>
        <v>3.2308359537540801</v>
      </c>
      <c r="K942" s="5">
        <f>VALUE(SUBSTITUTE('1000_заявлений'!K936, ".", ","))</f>
        <v>-2284</v>
      </c>
      <c r="L942" s="6">
        <f>VALUE(SUBSTITUTE('1000_заявлений'!L936, ".", ","))</f>
        <v>25537.5</v>
      </c>
      <c r="M942" s="2" t="str">
        <f>IF(Данные6[[#This Row],[proba]]&gt;$C$6, "отказ", "одобрение")</f>
        <v>отказ</v>
      </c>
      <c r="N942" s="7">
        <f>IF(Данные6[[#This Row],[proba]]&lt;$D$2,$C$2,IF(Данные6[[#This Row],[proba]]&lt;$D$3,$C$3,IF(Данные6[[#This Row],[proba]]&gt;$C$6,0,$C$4)))</f>
        <v>0</v>
      </c>
      <c r="O942" s="2">
        <f>IF(Данные6[[#This Row],[weighted_ext_score]]&gt;$O$1,MIN(Данные6[[#This Row],[Базовая сумма]]*$O$2,$C$2),IF(Данные6[[#This Row],[weighted_ext_score]]&lt;$O$3,Данные6[[#This Row],[Базовая сумма]]*$O$4,N942))</f>
        <v>0</v>
      </c>
      <c r="P94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2" s="2">
        <f>ABS(Данные6[[#This Row],[days_birth]])/365.2425</f>
        <v>42.122699302518193</v>
      </c>
      <c r="S94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2" s="2">
        <f>IF(Данные6[[#This Row],[ interest_rate]]&gt;$T$1,Данные6[[#This Row],[days_birth4]]*$T$2,Данные6[[#This Row],[days_birth4]])</f>
        <v>0</v>
      </c>
      <c r="U942" s="2">
        <f>IF(Данные6[[#This Row],[Проверка отказа]]="отказ",0,MAX(Данные6[[#This Row],[interest_rate]],$C$1))</f>
        <v>0</v>
      </c>
      <c r="V942" s="2">
        <f>MROUND(Данные6[[#This Row],[Минимум 20000]], 100)</f>
        <v>0</v>
      </c>
    </row>
    <row r="943" spans="1:22" x14ac:dyDescent="0.25">
      <c r="A943" s="2">
        <f>'1000_заявлений'!A937</f>
        <v>935</v>
      </c>
      <c r="B943" s="4">
        <f>VALUE(SUBSTITUTE('1000_заявлений'!B937, ".", ","))</f>
        <v>0.557228257824678</v>
      </c>
      <c r="C943" s="4">
        <f>VALUE(SUBSTITUTE('1000_заявлений'!C937, ".", ","))</f>
        <v>0.27856186385437398</v>
      </c>
      <c r="D943" s="4">
        <f>VALUE(SUBSTITUTE('1000_заявлений'!D937, ".", ","))</f>
        <v>0.29708663000000002</v>
      </c>
      <c r="E943" s="4">
        <f>VALUE(SUBSTITUTE('1000_заявлений'!E937, ".", ","))</f>
        <v>0.52752169999999998</v>
      </c>
      <c r="F943" s="5">
        <f>VALUE(SUBSTITUTE('1000_заявлений'!F937, ".", ","))</f>
        <v>-5744</v>
      </c>
      <c r="G943" s="5">
        <f>VALUE(SUBSTITUTE('1000_заявлений'!G937, ".", ","))</f>
        <v>-21318</v>
      </c>
      <c r="H943" s="5">
        <f>VALUE(SUBSTITUTE('1000_заявлений'!H937, ".", ","))</f>
        <v>-4610</v>
      </c>
      <c r="I943" s="4">
        <f>VALUE(SUBSTITUTE('1000_заявлений'!I937, ".", ","))</f>
        <v>0.12824444444444399</v>
      </c>
      <c r="J943" s="4">
        <f>VALUE(SUBSTITUTE('1000_заявлений'!J937, ".", ","))</f>
        <v>4.5741332740013299</v>
      </c>
      <c r="K943" s="5">
        <f>VALUE(SUBSTITUTE('1000_заявлений'!K937, ".", ","))</f>
        <v>-13561</v>
      </c>
      <c r="L943" s="6">
        <f>VALUE(SUBSTITUTE('1000_заявлений'!L937, ".", ","))</f>
        <v>25969.5</v>
      </c>
      <c r="M943" s="2" t="str">
        <f>IF(Данные6[[#This Row],[proba]]&gt;$C$6, "отказ", "одобрение")</f>
        <v>отказ</v>
      </c>
      <c r="N943" s="7">
        <f>IF(Данные6[[#This Row],[proba]]&lt;$D$2,$C$2,IF(Данные6[[#This Row],[proba]]&lt;$D$3,$C$3,IF(Данные6[[#This Row],[proba]]&gt;$C$6,0,$C$4)))</f>
        <v>0</v>
      </c>
      <c r="O943" s="2">
        <f>IF(Данные6[[#This Row],[weighted_ext_score]]&gt;$O$1,MIN(Данные6[[#This Row],[Базовая сумма]]*$O$2,$C$2),IF(Данные6[[#This Row],[weighted_ext_score]]&lt;$O$3,Данные6[[#This Row],[Базовая сумма]]*$O$4,N943))</f>
        <v>0</v>
      </c>
      <c r="P94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3" s="2">
        <f>ABS(Данные6[[#This Row],[days_birth]])/365.2425</f>
        <v>58.366701574981008</v>
      </c>
      <c r="S94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3" s="2">
        <f>IF(Данные6[[#This Row],[ interest_rate]]&gt;$T$1,Данные6[[#This Row],[days_birth4]]*$T$2,Данные6[[#This Row],[days_birth4]])</f>
        <v>0</v>
      </c>
      <c r="U943" s="2">
        <f>IF(Данные6[[#This Row],[Проверка отказа]]="отказ",0,MAX(Данные6[[#This Row],[interest_rate]],$C$1))</f>
        <v>0</v>
      </c>
      <c r="V943" s="2">
        <f>MROUND(Данные6[[#This Row],[Минимум 20000]], 100)</f>
        <v>0</v>
      </c>
    </row>
    <row r="944" spans="1:22" x14ac:dyDescent="0.25">
      <c r="A944" s="2">
        <f>'1000_заявлений'!A938</f>
        <v>936</v>
      </c>
      <c r="B944" s="4">
        <f>VALUE(SUBSTITUTE('1000_заявлений'!B938, ".", ","))</f>
        <v>0.614475480157887</v>
      </c>
      <c r="C944" s="4">
        <f>VALUE(SUBSTITUTE('1000_заявлений'!C938, ".", ","))</f>
        <v>0.25946120992135002</v>
      </c>
      <c r="D944" s="4">
        <f>VALUE(SUBSTITUTE('1000_заявлений'!D938, ".", ","))</f>
        <v>0.47944896999999997</v>
      </c>
      <c r="E944" s="4">
        <f>VALUE(SUBSTITUTE('1000_заявлений'!E938, ".", ","))</f>
        <v>0.26531175000000001</v>
      </c>
      <c r="F944" s="5">
        <f>VALUE(SUBSTITUTE('1000_заявлений'!F938, ".", ","))</f>
        <v>-2234</v>
      </c>
      <c r="G944" s="5">
        <f>VALUE(SUBSTITUTE('1000_заявлений'!G938, ".", ","))</f>
        <v>-12916</v>
      </c>
      <c r="H944" s="5">
        <f>VALUE(SUBSTITUTE('1000_заявлений'!H938, ".", ","))</f>
        <v>-4743</v>
      </c>
      <c r="I944" s="4">
        <f>VALUE(SUBSTITUTE('1000_заявлений'!I938, ".", ","))</f>
        <v>0.15</v>
      </c>
      <c r="J944" s="4">
        <f>VALUE(SUBSTITUTE('1000_заявлений'!J938, ".", ","))</f>
        <v>10.6209759779781</v>
      </c>
      <c r="K944" s="5">
        <f>VALUE(SUBSTITUTE('1000_заявлений'!K938, ".", ","))</f>
        <v>-3601</v>
      </c>
      <c r="L944" s="6">
        <f>VALUE(SUBSTITUTE('1000_заявлений'!L938, ".", ","))</f>
        <v>13500</v>
      </c>
      <c r="M944" s="2" t="str">
        <f>IF(Данные6[[#This Row],[proba]]&gt;$C$6, "отказ", "одобрение")</f>
        <v>отказ</v>
      </c>
      <c r="N944" s="7">
        <f>IF(Данные6[[#This Row],[proba]]&lt;$D$2,$C$2,IF(Данные6[[#This Row],[proba]]&lt;$D$3,$C$3,IF(Данные6[[#This Row],[proba]]&gt;$C$6,0,$C$4)))</f>
        <v>0</v>
      </c>
      <c r="O944" s="2">
        <f>IF(Данные6[[#This Row],[weighted_ext_score]]&gt;$O$1,MIN(Данные6[[#This Row],[Базовая сумма]]*$O$2,$C$2),IF(Данные6[[#This Row],[weighted_ext_score]]&lt;$O$3,Данные6[[#This Row],[Базовая сумма]]*$O$4,N944))</f>
        <v>0</v>
      </c>
      <c r="P94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4" s="2">
        <f>ABS(Данные6[[#This Row],[days_birth]])/365.2425</f>
        <v>35.362806902263564</v>
      </c>
      <c r="S94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4" s="2">
        <f>IF(Данные6[[#This Row],[ interest_rate]]&gt;$T$1,Данные6[[#This Row],[days_birth4]]*$T$2,Данные6[[#This Row],[days_birth4]])</f>
        <v>0</v>
      </c>
      <c r="U944" s="2">
        <f>IF(Данные6[[#This Row],[Проверка отказа]]="отказ",0,MAX(Данные6[[#This Row],[interest_rate]],$C$1))</f>
        <v>0</v>
      </c>
      <c r="V944" s="2">
        <f>MROUND(Данные6[[#This Row],[Минимум 20000]], 100)</f>
        <v>0</v>
      </c>
    </row>
    <row r="945" spans="1:22" x14ac:dyDescent="0.25">
      <c r="A945" s="2">
        <f>'1000_заявлений'!A939</f>
        <v>937</v>
      </c>
      <c r="B945" s="4">
        <f>VALUE(SUBSTITUTE('1000_заявлений'!B939, ".", ","))</f>
        <v>0.33924964118016998</v>
      </c>
      <c r="C945" s="4">
        <f>VALUE(SUBSTITUTE('1000_заявлений'!C939, ".", ","))</f>
        <v>0.43125130305348303</v>
      </c>
      <c r="D945" s="4">
        <f>VALUE(SUBSTITUTE('1000_заявлений'!D939, ".", ","))</f>
        <v>0.71510309999999999</v>
      </c>
      <c r="E945" s="4">
        <f>VALUE(SUBSTITUTE('1000_заявлений'!E939, ".", ","))</f>
        <v>0.53216830000000004</v>
      </c>
      <c r="F945" s="5">
        <f>VALUE(SUBSTITUTE('1000_заявлений'!F939, ".", ","))</f>
        <v>-4038</v>
      </c>
      <c r="G945" s="5">
        <f>VALUE(SUBSTITUTE('1000_заявлений'!G939, ".", ","))</f>
        <v>-11989</v>
      </c>
      <c r="H945" s="5">
        <f>VALUE(SUBSTITUTE('1000_заявлений'!H939, ".", ","))</f>
        <v>-4048</v>
      </c>
      <c r="I945" s="4">
        <f>VALUE(SUBSTITUTE('1000_заявлений'!I939, ".", ","))</f>
        <v>0.219392857142857</v>
      </c>
      <c r="J945" s="4">
        <f>VALUE(SUBSTITUTE('1000_заявлений'!J939, ".", ","))</f>
        <v>5.5522780225683599</v>
      </c>
      <c r="K945" s="5">
        <f>VALUE(SUBSTITUTE('1000_заявлений'!K939, ".", ","))</f>
        <v>-3317</v>
      </c>
      <c r="L945" s="6">
        <f>VALUE(SUBSTITUTE('1000_заявлений'!L939, ".", ","))</f>
        <v>27643.5</v>
      </c>
      <c r="M945" s="2" t="str">
        <f>IF(Данные6[[#This Row],[proba]]&gt;$C$6, "отказ", "одобрение")</f>
        <v>отказ</v>
      </c>
      <c r="N945" s="7">
        <f>IF(Данные6[[#This Row],[proba]]&lt;$D$2,$C$2,IF(Данные6[[#This Row],[proba]]&lt;$D$3,$C$3,IF(Данные6[[#This Row],[proba]]&gt;$C$6,0,$C$4)))</f>
        <v>0</v>
      </c>
      <c r="O945" s="2">
        <f>IF(Данные6[[#This Row],[weighted_ext_score]]&gt;$O$1,MIN(Данные6[[#This Row],[Базовая сумма]]*$O$2,$C$2),IF(Данные6[[#This Row],[weighted_ext_score]]&lt;$O$3,Данные6[[#This Row],[Базовая сумма]]*$O$4,N945))</f>
        <v>0</v>
      </c>
      <c r="P94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5" s="2">
        <f>ABS(Данные6[[#This Row],[days_birth]])/365.2425</f>
        <v>32.824767106785217</v>
      </c>
      <c r="S94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5" s="2">
        <f>IF(Данные6[[#This Row],[ interest_rate]]&gt;$T$1,Данные6[[#This Row],[days_birth4]]*$T$2,Данные6[[#This Row],[days_birth4]])</f>
        <v>0</v>
      </c>
      <c r="U945" s="2">
        <f>IF(Данные6[[#This Row],[Проверка отказа]]="отказ",0,MAX(Данные6[[#This Row],[interest_rate]],$C$1))</f>
        <v>0</v>
      </c>
      <c r="V945" s="2">
        <f>MROUND(Данные6[[#This Row],[Минимум 20000]], 100)</f>
        <v>0</v>
      </c>
    </row>
    <row r="946" spans="1:22" x14ac:dyDescent="0.25">
      <c r="A946" s="2">
        <f>'1000_заявлений'!A940</f>
        <v>938</v>
      </c>
      <c r="B946" s="4">
        <f>VALUE(SUBSTITUTE('1000_заявлений'!B940, ".", ","))</f>
        <v>0.75199545436637605</v>
      </c>
      <c r="C946" s="4">
        <f>VALUE(SUBSTITUTE('1000_заявлений'!C940, ".", ","))</f>
        <v>0.17516623425262501</v>
      </c>
      <c r="D946" s="4">
        <f>VALUE(SUBSTITUTE('1000_заявлений'!D940, ".", ","))</f>
        <v>0.30467218000000001</v>
      </c>
      <c r="E946" s="4">
        <f>VALUE(SUBSTITUTE('1000_заявлений'!E940, ".", ","))</f>
        <v>0.20031261</v>
      </c>
      <c r="F946" s="5">
        <f>VALUE(SUBSTITUTE('1000_заявлений'!F940, ".", ","))</f>
        <v>-2024</v>
      </c>
      <c r="G946" s="5">
        <f>VALUE(SUBSTITUTE('1000_заявлений'!G940, ".", ","))</f>
        <v>-21533</v>
      </c>
      <c r="H946" s="5">
        <f>VALUE(SUBSTITUTE('1000_заявлений'!H940, ".", ","))</f>
        <v>-1189</v>
      </c>
      <c r="I946" s="4">
        <f>VALUE(SUBSTITUTE('1000_заявлений'!I940, ".", ","))</f>
        <v>0.29515999999999998</v>
      </c>
      <c r="J946" s="4">
        <f>VALUE(SUBSTITUTE('1000_заявлений'!J940, ".", ","))</f>
        <v>12.286346593134599</v>
      </c>
      <c r="K946" s="5">
        <f>VALUE(SUBSTITUTE('1000_заявлений'!K940, ".", ","))</f>
        <v>-2574</v>
      </c>
      <c r="L946" s="6">
        <f>VALUE(SUBSTITUTE('1000_заявлений'!L940, ".", ","))</f>
        <v>33205.5</v>
      </c>
      <c r="M946" s="2" t="str">
        <f>IF(Данные6[[#This Row],[proba]]&gt;$C$6, "отказ", "одобрение")</f>
        <v>отказ</v>
      </c>
      <c r="N946" s="7">
        <f>IF(Данные6[[#This Row],[proba]]&lt;$D$2,$C$2,IF(Данные6[[#This Row],[proba]]&lt;$D$3,$C$3,IF(Данные6[[#This Row],[proba]]&gt;$C$6,0,$C$4)))</f>
        <v>0</v>
      </c>
      <c r="O946" s="2">
        <f>IF(Данные6[[#This Row],[weighted_ext_score]]&gt;$O$1,MIN(Данные6[[#This Row],[Базовая сумма]]*$O$2,$C$2),IF(Данные6[[#This Row],[weighted_ext_score]]&lt;$O$3,Данные6[[#This Row],[Базовая сумма]]*$O$4,N946))</f>
        <v>0</v>
      </c>
      <c r="P94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6" s="2">
        <f>ABS(Данные6[[#This Row],[days_birth]])/365.2425</f>
        <v>58.955351581483534</v>
      </c>
      <c r="S94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6" s="2">
        <f>IF(Данные6[[#This Row],[ interest_rate]]&gt;$T$1,Данные6[[#This Row],[days_birth4]]*$T$2,Данные6[[#This Row],[days_birth4]])</f>
        <v>0</v>
      </c>
      <c r="U946" s="2">
        <f>IF(Данные6[[#This Row],[Проверка отказа]]="отказ",0,MAX(Данные6[[#This Row],[interest_rate]],$C$1))</f>
        <v>0</v>
      </c>
      <c r="V946" s="2">
        <f>MROUND(Данные6[[#This Row],[Минимум 20000]], 100)</f>
        <v>0</v>
      </c>
    </row>
    <row r="947" spans="1:22" x14ac:dyDescent="0.25">
      <c r="A947" s="2">
        <f>'1000_заявлений'!A941</f>
        <v>939</v>
      </c>
      <c r="B947" s="4">
        <f>VALUE(SUBSTITUTE('1000_заявлений'!B941, ".", ","))</f>
        <v>0.44019835036752503</v>
      </c>
      <c r="C947" s="4">
        <f>VALUE(SUBSTITUTE('1000_заявлений'!C941, ".", ","))</f>
        <v>0.37096821235267302</v>
      </c>
      <c r="D947" s="4">
        <f>VALUE(SUBSTITUTE('1000_заявлений'!D941, ".", ","))</f>
        <v>0.47225335000000002</v>
      </c>
      <c r="E947" s="4">
        <f>VALUE(SUBSTITUTE('1000_заявлений'!E941, ".", ","))</f>
        <v>0.61709210000000003</v>
      </c>
      <c r="F947" s="5">
        <f>VALUE(SUBSTITUTE('1000_заявлений'!F941, ".", ","))</f>
        <v>-7017</v>
      </c>
      <c r="G947" s="5">
        <f>VALUE(SUBSTITUTE('1000_заявлений'!G941, ".", ","))</f>
        <v>-13242</v>
      </c>
      <c r="H947" s="5">
        <f>VALUE(SUBSTITUTE('1000_заявлений'!H941, ".", ","))</f>
        <v>-4316</v>
      </c>
      <c r="I947" s="4">
        <f>VALUE(SUBSTITUTE('1000_заявлений'!I941, ".", ","))</f>
        <v>0.138075</v>
      </c>
      <c r="J947" s="4">
        <f>VALUE(SUBSTITUTE('1000_заявлений'!J941, ".", ","))</f>
        <v>2.7455367168485401</v>
      </c>
      <c r="K947" s="5">
        <f>VALUE(SUBSTITUTE('1000_заявлений'!K941, ".", ","))</f>
        <v>-783</v>
      </c>
      <c r="L947" s="6">
        <f>VALUE(SUBSTITUTE('1000_заявлений'!L941, ".", ","))</f>
        <v>24853.5</v>
      </c>
      <c r="M947" s="2" t="str">
        <f>IF(Данные6[[#This Row],[proba]]&gt;$C$6, "отказ", "одобрение")</f>
        <v>отказ</v>
      </c>
      <c r="N947" s="7">
        <f>IF(Данные6[[#This Row],[proba]]&lt;$D$2,$C$2,IF(Данные6[[#This Row],[proba]]&lt;$D$3,$C$3,IF(Данные6[[#This Row],[proba]]&gt;$C$6,0,$C$4)))</f>
        <v>0</v>
      </c>
      <c r="O947" s="2">
        <f>IF(Данные6[[#This Row],[weighted_ext_score]]&gt;$O$1,MIN(Данные6[[#This Row],[Базовая сумма]]*$O$2,$C$2),IF(Данные6[[#This Row],[weighted_ext_score]]&lt;$O$3,Данные6[[#This Row],[Базовая сумма]]*$O$4,N947))</f>
        <v>0</v>
      </c>
      <c r="P94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7" s="2">
        <f>ABS(Данные6[[#This Row],[days_birth]])/365.2425</f>
        <v>36.255364586541816</v>
      </c>
      <c r="S94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7" s="2">
        <f>IF(Данные6[[#This Row],[ interest_rate]]&gt;$T$1,Данные6[[#This Row],[days_birth4]]*$T$2,Данные6[[#This Row],[days_birth4]])</f>
        <v>0</v>
      </c>
      <c r="U947" s="2">
        <f>IF(Данные6[[#This Row],[Проверка отказа]]="отказ",0,MAX(Данные6[[#This Row],[interest_rate]],$C$1))</f>
        <v>0</v>
      </c>
      <c r="V947" s="2">
        <f>MROUND(Данные6[[#This Row],[Минимум 20000]], 100)</f>
        <v>0</v>
      </c>
    </row>
    <row r="948" spans="1:22" x14ac:dyDescent="0.25">
      <c r="A948" s="2">
        <f>'1000_заявлений'!A942</f>
        <v>940</v>
      </c>
      <c r="B948" s="4">
        <f>VALUE(SUBSTITUTE('1000_заявлений'!B942, ".", ","))</f>
        <v>0.33541657918381601</v>
      </c>
      <c r="C948" s="4">
        <f>VALUE(SUBSTITUTE('1000_заявлений'!C942, ".", ","))</f>
        <v>0.53775699126639298</v>
      </c>
      <c r="D948" s="4">
        <f>VALUE(SUBSTITUTE('1000_заявлений'!D942, ".", ","))</f>
        <v>0.46506920000000002</v>
      </c>
      <c r="E948" s="4">
        <f>VALUE(SUBSTITUTE('1000_заявлений'!E942, ".", ","))</f>
        <v>0.54216604999999995</v>
      </c>
      <c r="F948" s="5">
        <f>VALUE(SUBSTITUTE('1000_заявлений'!F942, ".", ","))</f>
        <v>-7255</v>
      </c>
      <c r="G948" s="5">
        <f>VALUE(SUBSTITUTE('1000_заявлений'!G942, ".", ","))</f>
        <v>-20071</v>
      </c>
      <c r="H948" s="5">
        <f>VALUE(SUBSTITUTE('1000_заявлений'!H942, ".", ","))</f>
        <v>-3442</v>
      </c>
      <c r="I948" s="4">
        <f>VALUE(SUBSTITUTE('1000_заявлений'!I942, ".", ","))</f>
        <v>9.3350000000000002E-2</v>
      </c>
      <c r="J948" s="4">
        <f>VALUE(SUBSTITUTE('1000_заявлений'!J942, ".", ","))</f>
        <v>6.5227781322739498</v>
      </c>
      <c r="K948" s="5">
        <f>VALUE(SUBSTITUTE('1000_заявлений'!K942, ".", ","))</f>
        <v>-7303</v>
      </c>
      <c r="L948" s="6">
        <f>VALUE(SUBSTITUTE('1000_заявлений'!L942, ".", ","))</f>
        <v>16803</v>
      </c>
      <c r="M948" s="2" t="str">
        <f>IF(Данные6[[#This Row],[proba]]&gt;$C$6, "отказ", "одобрение")</f>
        <v>отказ</v>
      </c>
      <c r="N948" s="7">
        <f>IF(Данные6[[#This Row],[proba]]&lt;$D$2,$C$2,IF(Данные6[[#This Row],[proba]]&lt;$D$3,$C$3,IF(Данные6[[#This Row],[proba]]&gt;$C$6,0,$C$4)))</f>
        <v>0</v>
      </c>
      <c r="O948" s="2">
        <f>IF(Данные6[[#This Row],[weighted_ext_score]]&gt;$O$1,MIN(Данные6[[#This Row],[Базовая сумма]]*$O$2,$C$2),IF(Данные6[[#This Row],[weighted_ext_score]]&lt;$O$3,Данные6[[#This Row],[Базовая сумма]]*$O$4,N948))</f>
        <v>0</v>
      </c>
      <c r="P94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8" s="2">
        <f>ABS(Данные6[[#This Row],[days_birth]])/365.2425</f>
        <v>54.952531537266339</v>
      </c>
      <c r="S94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8" s="2">
        <f>IF(Данные6[[#This Row],[ interest_rate]]&gt;$T$1,Данные6[[#This Row],[days_birth4]]*$T$2,Данные6[[#This Row],[days_birth4]])</f>
        <v>0</v>
      </c>
      <c r="U948" s="2">
        <f>IF(Данные6[[#This Row],[Проверка отказа]]="отказ",0,MAX(Данные6[[#This Row],[interest_rate]],$C$1))</f>
        <v>0</v>
      </c>
      <c r="V948" s="2">
        <f>MROUND(Данные6[[#This Row],[Минимум 20000]], 100)</f>
        <v>0</v>
      </c>
    </row>
    <row r="949" spans="1:22" x14ac:dyDescent="0.25">
      <c r="A949" s="2">
        <f>'1000_заявлений'!A943</f>
        <v>941</v>
      </c>
      <c r="B949" s="4">
        <f>VALUE(SUBSTITUTE('1000_заявлений'!B943, ".", ","))</f>
        <v>0.36466447626938397</v>
      </c>
      <c r="C949" s="4">
        <f>VALUE(SUBSTITUTE('1000_заявлений'!C943, ".", ","))</f>
        <v>0.34625161479890798</v>
      </c>
      <c r="D949" s="4">
        <f>VALUE(SUBSTITUTE('1000_заявлений'!D943, ".", ","))</f>
        <v>0.27213367999999999</v>
      </c>
      <c r="E949" s="4">
        <f>VALUE(SUBSTITUTE('1000_заявлений'!E943, ".", ","))</f>
        <v>0.76401936999999998</v>
      </c>
      <c r="F949" s="5">
        <f>VALUE(SUBSTITUTE('1000_заявлений'!F943, ".", ","))</f>
        <v>-10609</v>
      </c>
      <c r="G949" s="5">
        <f>VALUE(SUBSTITUTE('1000_заявлений'!G943, ".", ","))</f>
        <v>-23215</v>
      </c>
      <c r="H949" s="5">
        <f>VALUE(SUBSTITUTE('1000_заявлений'!H943, ".", ","))</f>
        <v>-1153</v>
      </c>
      <c r="I949" s="4">
        <f>VALUE(SUBSTITUTE('1000_заявлений'!I943, ".", ","))</f>
        <v>8.3333333333333301E-2</v>
      </c>
      <c r="J949" s="4">
        <f>VALUE(SUBSTITUTE('1000_заявлений'!J943, ".", ","))</f>
        <v>10.6209759779781</v>
      </c>
      <c r="K949" s="5">
        <f>VALUE(SUBSTITUTE('1000_заявлений'!K943, ".", ","))</f>
        <v>365243</v>
      </c>
      <c r="L949" s="6">
        <f>VALUE(SUBSTITUTE('1000_заявлений'!L943, ".", ","))</f>
        <v>11250</v>
      </c>
      <c r="M949" s="2" t="str">
        <f>IF(Данные6[[#This Row],[proba]]&gt;$C$6, "отказ", "одобрение")</f>
        <v>отказ</v>
      </c>
      <c r="N949" s="7">
        <f>IF(Данные6[[#This Row],[proba]]&lt;$D$2,$C$2,IF(Данные6[[#This Row],[proba]]&lt;$D$3,$C$3,IF(Данные6[[#This Row],[proba]]&gt;$C$6,0,$C$4)))</f>
        <v>0</v>
      </c>
      <c r="O949" s="2">
        <f>IF(Данные6[[#This Row],[weighted_ext_score]]&gt;$O$1,MIN(Данные6[[#This Row],[Базовая сумма]]*$O$2,$C$2),IF(Данные6[[#This Row],[weighted_ext_score]]&lt;$O$3,Данные6[[#This Row],[Базовая сумма]]*$O$4,N949))</f>
        <v>0</v>
      </c>
      <c r="P94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4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49" s="2">
        <f>ABS(Данные6[[#This Row],[days_birth]])/365.2425</f>
        <v>63.560511167238204</v>
      </c>
      <c r="S94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49" s="2">
        <f>IF(Данные6[[#This Row],[ interest_rate]]&gt;$T$1,Данные6[[#This Row],[days_birth4]]*$T$2,Данные6[[#This Row],[days_birth4]])</f>
        <v>0</v>
      </c>
      <c r="U949" s="2">
        <f>IF(Данные6[[#This Row],[Проверка отказа]]="отказ",0,MAX(Данные6[[#This Row],[interest_rate]],$C$1))</f>
        <v>0</v>
      </c>
      <c r="V949" s="2">
        <f>MROUND(Данные6[[#This Row],[Минимум 20000]], 100)</f>
        <v>0</v>
      </c>
    </row>
    <row r="950" spans="1:22" x14ac:dyDescent="0.25">
      <c r="A950" s="2">
        <f>'1000_заявлений'!A944</f>
        <v>942</v>
      </c>
      <c r="B950" s="4">
        <f>VALUE(SUBSTITUTE('1000_заявлений'!B944, ".", ","))</f>
        <v>0.20025753544045299</v>
      </c>
      <c r="C950" s="4">
        <f>VALUE(SUBSTITUTE('1000_заявлений'!C944, ".", ","))</f>
        <v>0.63634729104659304</v>
      </c>
      <c r="D950" s="4">
        <f>VALUE(SUBSTITUTE('1000_заявлений'!D944, ".", ","))</f>
        <v>0.70620510000000003</v>
      </c>
      <c r="E950" s="4">
        <f>VALUE(SUBSTITUTE('1000_заявлений'!E944, ".", ","))</f>
        <v>0.56645020000000001</v>
      </c>
      <c r="F950" s="5">
        <f>VALUE(SUBSTITUTE('1000_заявлений'!F944, ".", ","))</f>
        <v>-1053</v>
      </c>
      <c r="G950" s="5">
        <f>VALUE(SUBSTITUTE('1000_заявлений'!G944, ".", ","))</f>
        <v>-20485</v>
      </c>
      <c r="H950" s="5">
        <f>VALUE(SUBSTITUTE('1000_заявлений'!H944, ".", ","))</f>
        <v>-450</v>
      </c>
      <c r="I950" s="4">
        <f>VALUE(SUBSTITUTE('1000_заявлений'!I944, ".", ","))</f>
        <v>0.27548</v>
      </c>
      <c r="J950" s="4">
        <f>VALUE(SUBSTITUTE('1000_заявлений'!J944, ".", ","))</f>
        <v>8.3608445986760707</v>
      </c>
      <c r="K950" s="5">
        <f>VALUE(SUBSTITUTE('1000_заявлений'!K944, ".", ","))</f>
        <v>365243</v>
      </c>
      <c r="L950" s="6">
        <f>VALUE(SUBSTITUTE('1000_заявлений'!L944, ".", ","))</f>
        <v>30991.5</v>
      </c>
      <c r="M950" s="2" t="str">
        <f>IF(Данные6[[#This Row],[proba]]&gt;$C$6, "отказ", "одобрение")</f>
        <v>одобрение</v>
      </c>
      <c r="N950" s="7">
        <f>IF(Данные6[[#This Row],[proba]]&lt;$D$2,$C$2,IF(Данные6[[#This Row],[proba]]&lt;$D$3,$C$3,IF(Данные6[[#This Row],[proba]]&gt;$C$6,0,$C$4)))</f>
        <v>50000</v>
      </c>
      <c r="O950" s="2">
        <f>IF(Данные6[[#This Row],[weighted_ext_score]]&gt;$O$1,MIN(Данные6[[#This Row],[Базовая сумма]]*$O$2,$C$2),IF(Данные6[[#This Row],[weighted_ext_score]]&lt;$O$3,Данные6[[#This Row],[Базовая сумма]]*$O$4,N950))</f>
        <v>50000</v>
      </c>
      <c r="P95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5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50000</v>
      </c>
      <c r="R950" s="2">
        <f>ABS(Данные6[[#This Row],[days_birth]])/365.2425</f>
        <v>56.086025038159576</v>
      </c>
      <c r="S95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52500</v>
      </c>
      <c r="T950" s="2">
        <f>IF(Данные6[[#This Row],[ interest_rate]]&gt;$T$1,Данные6[[#This Row],[days_birth4]]*$T$2,Данные6[[#This Row],[days_birth4]])</f>
        <v>52500</v>
      </c>
      <c r="U950" s="2">
        <f>IF(Данные6[[#This Row],[Проверка отказа]]="отказ",0,MAX(Данные6[[#This Row],[interest_rate]],$C$1))</f>
        <v>52500</v>
      </c>
      <c r="V950" s="2">
        <f>MROUND(Данные6[[#This Row],[Минимум 20000]], 100)</f>
        <v>52500</v>
      </c>
    </row>
    <row r="951" spans="1:22" x14ac:dyDescent="0.25">
      <c r="A951" s="2">
        <f>'1000_заявлений'!A945</f>
        <v>943</v>
      </c>
      <c r="B951" s="4">
        <f>VALUE(SUBSTITUTE('1000_заявлений'!B945, ".", ","))</f>
        <v>0.35649677672911301</v>
      </c>
      <c r="C951" s="4">
        <f>VALUE(SUBSTITUTE('1000_заявлений'!C945, ".", ","))</f>
        <v>0.59432400823283005</v>
      </c>
      <c r="D951" s="4">
        <f>VALUE(SUBSTITUTE('1000_заявлений'!D945, ".", ","))</f>
        <v>0.70169579999999998</v>
      </c>
      <c r="E951" s="4">
        <f>VALUE(SUBSTITUTE('1000_заявлений'!E945, ".", ","))</f>
        <v>0.29994535</v>
      </c>
      <c r="F951" s="5">
        <f>VALUE(SUBSTITUTE('1000_заявлений'!F945, ".", ","))</f>
        <v>-210</v>
      </c>
      <c r="G951" s="5">
        <f>VALUE(SUBSTITUTE('1000_заявлений'!G945, ".", ","))</f>
        <v>-13506</v>
      </c>
      <c r="H951" s="5">
        <f>VALUE(SUBSTITUTE('1000_заявлений'!H945, ".", ","))</f>
        <v>-4537</v>
      </c>
      <c r="I951" s="4">
        <f>VALUE(SUBSTITUTE('1000_заявлений'!I945, ".", ","))</f>
        <v>0.164275</v>
      </c>
      <c r="J951" s="4">
        <f>VALUE(SUBSTITUTE('1000_заявлений'!J945, ".", ","))</f>
        <v>2.0206787686599799</v>
      </c>
      <c r="K951" s="5">
        <f>VALUE(SUBSTITUTE('1000_заявлений'!K945, ".", ","))</f>
        <v>-1663</v>
      </c>
      <c r="L951" s="6">
        <f>VALUE(SUBSTITUTE('1000_заявлений'!L945, ".", ","))</f>
        <v>29569.5</v>
      </c>
      <c r="M951" s="2" t="str">
        <f>IF(Данные6[[#This Row],[proba]]&gt;$C$6, "отказ", "одобрение")</f>
        <v>отказ</v>
      </c>
      <c r="N951" s="7">
        <f>IF(Данные6[[#This Row],[proba]]&lt;$D$2,$C$2,IF(Данные6[[#This Row],[proba]]&lt;$D$3,$C$3,IF(Данные6[[#This Row],[proba]]&gt;$C$6,0,$C$4)))</f>
        <v>0</v>
      </c>
      <c r="O951" s="2">
        <f>IF(Данные6[[#This Row],[weighted_ext_score]]&gt;$O$1,MIN(Данные6[[#This Row],[Базовая сумма]]*$O$2,$C$2),IF(Данные6[[#This Row],[weighted_ext_score]]&lt;$O$3,Данные6[[#This Row],[Базовая сумма]]*$O$4,N951))</f>
        <v>0</v>
      </c>
      <c r="P95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1" s="2">
        <f>ABS(Данные6[[#This Row],[days_birth]])/365.2425</f>
        <v>36.978172036386781</v>
      </c>
      <c r="S95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1" s="2">
        <f>IF(Данные6[[#This Row],[ interest_rate]]&gt;$T$1,Данные6[[#This Row],[days_birth4]]*$T$2,Данные6[[#This Row],[days_birth4]])</f>
        <v>0</v>
      </c>
      <c r="U951" s="2">
        <f>IF(Данные6[[#This Row],[Проверка отказа]]="отказ",0,MAX(Данные6[[#This Row],[interest_rate]],$C$1))</f>
        <v>0</v>
      </c>
      <c r="V951" s="2">
        <f>MROUND(Данные6[[#This Row],[Минимум 20000]], 100)</f>
        <v>0</v>
      </c>
    </row>
    <row r="952" spans="1:22" x14ac:dyDescent="0.25">
      <c r="A952" s="2">
        <f>'1000_заявлений'!A946</f>
        <v>944</v>
      </c>
      <c r="B952" s="4">
        <f>VALUE(SUBSTITUTE('1000_заявлений'!B946, ".", ","))</f>
        <v>0.201581159638546</v>
      </c>
      <c r="C952" s="4">
        <f>VALUE(SUBSTITUTE('1000_заявлений'!C946, ".", ","))</f>
        <v>0.69983896653195499</v>
      </c>
      <c r="D952" s="4">
        <f>VALUE(SUBSTITUTE('1000_заявлений'!D946, ".", ","))</f>
        <v>0.76363990000000004</v>
      </c>
      <c r="E952" s="4">
        <f>VALUE(SUBSTITUTE('1000_заявлений'!E946, ".", ","))</f>
        <v>0.58681333000000002</v>
      </c>
      <c r="F952" s="5">
        <f>VALUE(SUBSTITUTE('1000_заявлений'!F946, ".", ","))</f>
        <v>-2120</v>
      </c>
      <c r="G952" s="5">
        <f>VALUE(SUBSTITUTE('1000_заявлений'!G946, ".", ","))</f>
        <v>-10967</v>
      </c>
      <c r="H952" s="5">
        <f>VALUE(SUBSTITUTE('1000_заявлений'!H946, ".", ","))</f>
        <v>-3541</v>
      </c>
      <c r="I952" s="4">
        <f>VALUE(SUBSTITUTE('1000_заявлений'!I946, ".", ","))</f>
        <v>0.164028571428571</v>
      </c>
      <c r="J952" s="4">
        <f>VALUE(SUBSTITUTE('1000_заявлений'!J946, ".", ","))</f>
        <v>4.2561701074659899</v>
      </c>
      <c r="K952" s="5">
        <f>VALUE(SUBSTITUTE('1000_заявлений'!K946, ".", ","))</f>
        <v>-1228</v>
      </c>
      <c r="L952" s="6">
        <f>VALUE(SUBSTITUTE('1000_заявлений'!L946, ".", ","))</f>
        <v>25834.5</v>
      </c>
      <c r="M952" s="2" t="str">
        <f>IF(Данные6[[#This Row],[proba]]&gt;$C$6, "отказ", "одобрение")</f>
        <v>одобрение</v>
      </c>
      <c r="N952" s="7">
        <f>IF(Данные6[[#This Row],[proba]]&lt;$D$2,$C$2,IF(Данные6[[#This Row],[proba]]&lt;$D$3,$C$3,IF(Данные6[[#This Row],[proba]]&gt;$C$6,0,$C$4)))</f>
        <v>50000</v>
      </c>
      <c r="O952" s="2">
        <f>IF(Данные6[[#This Row],[weighted_ext_score]]&gt;$O$1,MIN(Данные6[[#This Row],[Базовая сумма]]*$O$2,$C$2),IF(Данные6[[#This Row],[weighted_ext_score]]&lt;$O$3,Данные6[[#This Row],[Базовая сумма]]*$O$4,N952))</f>
        <v>50000</v>
      </c>
      <c r="P95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5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52" s="2">
        <f>ABS(Данные6[[#This Row],[days_birth]])/365.2425</f>
        <v>30.026626145642961</v>
      </c>
      <c r="S95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952" s="2">
        <f>IF(Данные6[[#This Row],[ interest_rate]]&gt;$T$1,Данные6[[#This Row],[days_birth4]]*$T$2,Данные6[[#This Row],[days_birth4]])</f>
        <v>35000</v>
      </c>
      <c r="U952" s="2">
        <f>IF(Данные6[[#This Row],[Проверка отказа]]="отказ",0,MAX(Данные6[[#This Row],[interest_rate]],$C$1))</f>
        <v>35000</v>
      </c>
      <c r="V952" s="2">
        <f>MROUND(Данные6[[#This Row],[Минимум 20000]], 100)</f>
        <v>35000</v>
      </c>
    </row>
    <row r="953" spans="1:22" x14ac:dyDescent="0.25">
      <c r="A953" s="2">
        <f>'1000_заявлений'!A947</f>
        <v>945</v>
      </c>
      <c r="B953" s="4">
        <f>VALUE(SUBSTITUTE('1000_заявлений'!B947, ".", ","))</f>
        <v>0.77016118594391902</v>
      </c>
      <c r="C953" s="4">
        <f>VALUE(SUBSTITUTE('1000_заявлений'!C947, ".", ","))</f>
        <v>0.25397391445498901</v>
      </c>
      <c r="D953" s="4">
        <f>VALUE(SUBSTITUTE('1000_заявлений'!D947, ".", ","))</f>
        <v>0.12931429</v>
      </c>
      <c r="E953" s="4">
        <f>VALUE(SUBSTITUTE('1000_заявлений'!E947, ".", ","))</f>
        <v>0.30844285999999999</v>
      </c>
      <c r="F953" s="5">
        <f>VALUE(SUBSTITUTE('1000_заявлений'!F947, ".", ","))</f>
        <v>-5053</v>
      </c>
      <c r="G953" s="5">
        <f>VALUE(SUBSTITUTE('1000_заявлений'!G947, ".", ","))</f>
        <v>-14557</v>
      </c>
      <c r="H953" s="5">
        <f>VALUE(SUBSTITUTE('1000_заявлений'!H947, ".", ","))</f>
        <v>-5079</v>
      </c>
      <c r="I953" s="4">
        <f>VALUE(SUBSTITUTE('1000_заявлений'!I947, ".", ","))</f>
        <v>9.5920634920634906E-2</v>
      </c>
      <c r="J953" s="4">
        <f>VALUE(SUBSTITUTE('1000_заявлений'!J947, ".", ","))</f>
        <v>1.0780536447814799</v>
      </c>
      <c r="K953" s="5">
        <f>VALUE(SUBSTITUTE('1000_заявлений'!K947, ".", ","))</f>
        <v>-2517</v>
      </c>
      <c r="L953" s="6">
        <f>VALUE(SUBSTITUTE('1000_заявлений'!L947, ".", ","))</f>
        <v>27193.5</v>
      </c>
      <c r="M953" s="2" t="str">
        <f>IF(Данные6[[#This Row],[proba]]&gt;$C$6, "отказ", "одобрение")</f>
        <v>отказ</v>
      </c>
      <c r="N953" s="7">
        <f>IF(Данные6[[#This Row],[proba]]&lt;$D$2,$C$2,IF(Данные6[[#This Row],[proba]]&lt;$D$3,$C$3,IF(Данные6[[#This Row],[proba]]&gt;$C$6,0,$C$4)))</f>
        <v>0</v>
      </c>
      <c r="O953" s="2">
        <f>IF(Данные6[[#This Row],[weighted_ext_score]]&gt;$O$1,MIN(Данные6[[#This Row],[Базовая сумма]]*$O$2,$C$2),IF(Данные6[[#This Row],[weighted_ext_score]]&lt;$O$3,Данные6[[#This Row],[Базовая сумма]]*$O$4,N953))</f>
        <v>0</v>
      </c>
      <c r="P95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3" s="2">
        <f>ABS(Данные6[[#This Row],[days_birth]])/365.2425</f>
        <v>39.855712300731703</v>
      </c>
      <c r="S95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3" s="2">
        <f>IF(Данные6[[#This Row],[ interest_rate]]&gt;$T$1,Данные6[[#This Row],[days_birth4]]*$T$2,Данные6[[#This Row],[days_birth4]])</f>
        <v>0</v>
      </c>
      <c r="U953" s="2">
        <f>IF(Данные6[[#This Row],[Проверка отказа]]="отказ",0,MAX(Данные6[[#This Row],[interest_rate]],$C$1))</f>
        <v>0</v>
      </c>
      <c r="V953" s="2">
        <f>MROUND(Данные6[[#This Row],[Минимум 20000]], 100)</f>
        <v>0</v>
      </c>
    </row>
    <row r="954" spans="1:22" x14ac:dyDescent="0.25">
      <c r="A954" s="2">
        <f>'1000_заявлений'!A948</f>
        <v>946</v>
      </c>
      <c r="B954" s="4">
        <f>VALUE(SUBSTITUTE('1000_заявлений'!B948, ".", ","))</f>
        <v>0.248495891674296</v>
      </c>
      <c r="C954" s="4">
        <f>VALUE(SUBSTITUTE('1000_заявлений'!C948, ".", ","))</f>
        <v>0.63916561280059503</v>
      </c>
      <c r="D954" s="4">
        <f>VALUE(SUBSTITUTE('1000_заявлений'!D948, ".", ","))</f>
        <v>0.62122630000000001</v>
      </c>
      <c r="E954" s="4">
        <f>VALUE(SUBSTITUTE('1000_заявлений'!E948, ".", ","))</f>
        <v>0.61178213000000004</v>
      </c>
      <c r="F954" s="5">
        <f>VALUE(SUBSTITUTE('1000_заявлений'!F948, ".", ","))</f>
        <v>-8410</v>
      </c>
      <c r="G954" s="5">
        <f>VALUE(SUBSTITUTE('1000_заявлений'!G948, ".", ","))</f>
        <v>-21459</v>
      </c>
      <c r="H954" s="5">
        <f>VALUE(SUBSTITUTE('1000_заявлений'!H948, ".", ","))</f>
        <v>-4119</v>
      </c>
      <c r="I954" s="4">
        <f>VALUE(SUBSTITUTE('1000_заявлений'!I948, ".", ","))</f>
        <v>0.50900000000000001</v>
      </c>
      <c r="J954" s="4">
        <f>VALUE(SUBSTITUTE('1000_заявлений'!J948, ".", ","))</f>
        <v>2.9036947910837601</v>
      </c>
      <c r="K954" s="5">
        <f>VALUE(SUBSTITUTE('1000_заявлений'!K948, ".", ","))</f>
        <v>365243</v>
      </c>
      <c r="L954" s="6">
        <f>VALUE(SUBSTITUTE('1000_заявлений'!L948, ".", ","))</f>
        <v>32067</v>
      </c>
      <c r="M954" s="2" t="str">
        <f>IF(Данные6[[#This Row],[proba]]&gt;$C$6, "отказ", "одобрение")</f>
        <v>одобрение</v>
      </c>
      <c r="N954" s="7">
        <f>IF(Данные6[[#This Row],[proba]]&lt;$D$2,$C$2,IF(Данные6[[#This Row],[proba]]&lt;$D$3,$C$3,IF(Данные6[[#This Row],[proba]]&gt;$C$6,0,$C$4)))</f>
        <v>50000</v>
      </c>
      <c r="O954" s="2">
        <f>IF(Данные6[[#This Row],[weighted_ext_score]]&gt;$O$1,MIN(Данные6[[#This Row],[Базовая сумма]]*$O$2,$C$2),IF(Данные6[[#This Row],[weighted_ext_score]]&lt;$O$3,Данные6[[#This Row],[Базовая сумма]]*$O$4,N954))</f>
        <v>50000</v>
      </c>
      <c r="P95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5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954" s="2">
        <f>ABS(Данные6[[#This Row],[days_birth]])/365.2425</f>
        <v>58.752746462966385</v>
      </c>
      <c r="S95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954" s="2">
        <f>IF(Данные6[[#This Row],[ interest_rate]]&gt;$T$1,Данные6[[#This Row],[days_birth4]]*$T$2,Данные6[[#This Row],[days_birth4]])</f>
        <v>42000</v>
      </c>
      <c r="U954" s="2">
        <f>IF(Данные6[[#This Row],[Проверка отказа]]="отказ",0,MAX(Данные6[[#This Row],[interest_rate]],$C$1))</f>
        <v>42000</v>
      </c>
      <c r="V954" s="2">
        <f>MROUND(Данные6[[#This Row],[Минимум 20000]], 100)</f>
        <v>42000</v>
      </c>
    </row>
    <row r="955" spans="1:22" x14ac:dyDescent="0.25">
      <c r="A955" s="2">
        <f>'1000_заявлений'!A949</f>
        <v>947</v>
      </c>
      <c r="B955" s="4">
        <f>VALUE(SUBSTITUTE('1000_заявлений'!B949, ".", ","))</f>
        <v>0.76167498734415195</v>
      </c>
      <c r="C955" s="4">
        <f>VALUE(SUBSTITUTE('1000_заявлений'!C949, ".", ","))</f>
        <v>0.29570091280827998</v>
      </c>
      <c r="D955" s="4">
        <f>VALUE(SUBSTITUTE('1000_заявлений'!D949, ".", ","))</f>
        <v>0.20208660000000001</v>
      </c>
      <c r="E955" s="4">
        <f>VALUE(SUBSTITUTE('1000_заявлений'!E949, ".", ","))</f>
        <v>0.36788460000000001</v>
      </c>
      <c r="F955" s="5">
        <f>VALUE(SUBSTITUTE('1000_заявлений'!F949, ".", ","))</f>
        <v>-3934</v>
      </c>
      <c r="G955" s="5">
        <f>VALUE(SUBSTITUTE('1000_заявлений'!G949, ".", ","))</f>
        <v>-9173</v>
      </c>
      <c r="H955" s="5">
        <f>VALUE(SUBSTITUTE('1000_заявлений'!H949, ".", ","))</f>
        <v>-1711</v>
      </c>
      <c r="I955" s="4">
        <f>VALUE(SUBSTITUTE('1000_заявлений'!I949, ".", ","))</f>
        <v>0.14172000000000001</v>
      </c>
      <c r="J955" s="4">
        <f>VALUE(SUBSTITUTE('1000_заявлений'!J949, ".", ","))</f>
        <v>3.5631677749233499</v>
      </c>
      <c r="K955" s="5">
        <f>VALUE(SUBSTITUTE('1000_заявлений'!K949, ".", ","))</f>
        <v>-241</v>
      </c>
      <c r="L955" s="6">
        <f>VALUE(SUBSTITUTE('1000_заявлений'!L949, ".", ","))</f>
        <v>15943.5</v>
      </c>
      <c r="M955" s="2" t="str">
        <f>IF(Данные6[[#This Row],[proba]]&gt;$C$6, "отказ", "одобрение")</f>
        <v>отказ</v>
      </c>
      <c r="N955" s="7">
        <f>IF(Данные6[[#This Row],[proba]]&lt;$D$2,$C$2,IF(Данные6[[#This Row],[proba]]&lt;$D$3,$C$3,IF(Данные6[[#This Row],[proba]]&gt;$C$6,0,$C$4)))</f>
        <v>0</v>
      </c>
      <c r="O955" s="2">
        <f>IF(Данные6[[#This Row],[weighted_ext_score]]&gt;$O$1,MIN(Данные6[[#This Row],[Базовая сумма]]*$O$2,$C$2),IF(Данные6[[#This Row],[weighted_ext_score]]&lt;$O$3,Данные6[[#This Row],[Базовая сумма]]*$O$4,N955))</f>
        <v>0</v>
      </c>
      <c r="P95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5" s="2">
        <f>ABS(Данные6[[#This Row],[days_birth]])/365.2425</f>
        <v>25.11482097510558</v>
      </c>
      <c r="S95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5" s="2">
        <f>IF(Данные6[[#This Row],[ interest_rate]]&gt;$T$1,Данные6[[#This Row],[days_birth4]]*$T$2,Данные6[[#This Row],[days_birth4]])</f>
        <v>0</v>
      </c>
      <c r="U955" s="2">
        <f>IF(Данные6[[#This Row],[Проверка отказа]]="отказ",0,MAX(Данные6[[#This Row],[interest_rate]],$C$1))</f>
        <v>0</v>
      </c>
      <c r="V955" s="2">
        <f>MROUND(Данные6[[#This Row],[Минимум 20000]], 100)</f>
        <v>0</v>
      </c>
    </row>
    <row r="956" spans="1:22" x14ac:dyDescent="0.25">
      <c r="A956" s="2">
        <f>'1000_заявлений'!A950</f>
        <v>948</v>
      </c>
      <c r="B956" s="4">
        <f>VALUE(SUBSTITUTE('1000_заявлений'!B950, ".", ","))</f>
        <v>0.81134062607241797</v>
      </c>
      <c r="C956" s="4">
        <f>VALUE(SUBSTITUTE('1000_заявлений'!C950, ".", ","))</f>
        <v>0.15532410562412599</v>
      </c>
      <c r="D956" s="4">
        <f>VALUE(SUBSTITUTE('1000_заявлений'!D950, ".", ","))</f>
        <v>0.22133520000000001</v>
      </c>
      <c r="E956" s="4">
        <f>VALUE(SUBSTITUTE('1000_заявлений'!E950, ".", ","))</f>
        <v>0.23205961</v>
      </c>
      <c r="F956" s="5">
        <f>VALUE(SUBSTITUTE('1000_заявлений'!F950, ".", ","))</f>
        <v>-3982</v>
      </c>
      <c r="G956" s="5">
        <f>VALUE(SUBSTITUTE('1000_заявлений'!G950, ".", ","))</f>
        <v>-15965</v>
      </c>
      <c r="H956" s="5">
        <f>VALUE(SUBSTITUTE('1000_заявлений'!H950, ".", ","))</f>
        <v>-3987</v>
      </c>
      <c r="I956" s="4">
        <f>VALUE(SUBSTITUTE('1000_заявлений'!I950, ".", ","))</f>
        <v>0.24051428571428499</v>
      </c>
      <c r="J956" s="4">
        <f>VALUE(SUBSTITUTE('1000_заявлений'!J950, ".", ","))</f>
        <v>1.9522972394078399</v>
      </c>
      <c r="K956" s="5">
        <f>VALUE(SUBSTITUTE('1000_заявлений'!K950, ".", ","))</f>
        <v>-4008</v>
      </c>
      <c r="L956" s="6">
        <f>VALUE(SUBSTITUTE('1000_заявлений'!L950, ".", ","))</f>
        <v>37881</v>
      </c>
      <c r="M956" s="2" t="str">
        <f>IF(Данные6[[#This Row],[proba]]&gt;$C$6, "отказ", "одобрение")</f>
        <v>отказ</v>
      </c>
      <c r="N956" s="7">
        <f>IF(Данные6[[#This Row],[proba]]&lt;$D$2,$C$2,IF(Данные6[[#This Row],[proba]]&lt;$D$3,$C$3,IF(Данные6[[#This Row],[proba]]&gt;$C$6,0,$C$4)))</f>
        <v>0</v>
      </c>
      <c r="O956" s="2">
        <f>IF(Данные6[[#This Row],[weighted_ext_score]]&gt;$O$1,MIN(Данные6[[#This Row],[Базовая сумма]]*$O$2,$C$2),IF(Данные6[[#This Row],[weighted_ext_score]]&lt;$O$3,Данные6[[#This Row],[Базовая сумма]]*$O$4,N956))</f>
        <v>0</v>
      </c>
      <c r="P95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6" s="2">
        <f>ABS(Данные6[[#This Row],[days_birth]])/365.2425</f>
        <v>43.710685366571525</v>
      </c>
      <c r="S95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6" s="2">
        <f>IF(Данные6[[#This Row],[ interest_rate]]&gt;$T$1,Данные6[[#This Row],[days_birth4]]*$T$2,Данные6[[#This Row],[days_birth4]])</f>
        <v>0</v>
      </c>
      <c r="U956" s="2">
        <f>IF(Данные6[[#This Row],[Проверка отказа]]="отказ",0,MAX(Данные6[[#This Row],[interest_rate]],$C$1))</f>
        <v>0</v>
      </c>
      <c r="V956" s="2">
        <f>MROUND(Данные6[[#This Row],[Минимум 20000]], 100)</f>
        <v>0</v>
      </c>
    </row>
    <row r="957" spans="1:22" x14ac:dyDescent="0.25">
      <c r="A957" s="2">
        <f>'1000_заявлений'!A951</f>
        <v>949</v>
      </c>
      <c r="B957" s="4">
        <f>VALUE(SUBSTITUTE('1000_заявлений'!B951, ".", ","))</f>
        <v>0.571389326533145</v>
      </c>
      <c r="C957" s="4">
        <f>VALUE(SUBSTITUTE('1000_заявлений'!C951, ".", ","))</f>
        <v>0.42994955612486602</v>
      </c>
      <c r="D957" s="4">
        <f>VALUE(SUBSTITUTE('1000_заявлений'!D951, ".", ","))</f>
        <v>0.16146308000000001</v>
      </c>
      <c r="E957" s="4">
        <f>VALUE(SUBSTITUTE('1000_заявлений'!E951, ".", ","))</f>
        <v>0.63584346000000003</v>
      </c>
      <c r="F957" s="5">
        <f>VALUE(SUBSTITUTE('1000_заявлений'!F951, ".", ","))</f>
        <v>-4132</v>
      </c>
      <c r="G957" s="5">
        <f>VALUE(SUBSTITUTE('1000_заявлений'!G951, ".", ","))</f>
        <v>-18035</v>
      </c>
      <c r="H957" s="5">
        <f>VALUE(SUBSTITUTE('1000_заявлений'!H951, ".", ","))</f>
        <v>-1017</v>
      </c>
      <c r="I957" s="4">
        <f>VALUE(SUBSTITUTE('1000_заявлений'!I951, ".", ","))</f>
        <v>0.14371111111111101</v>
      </c>
      <c r="J957" s="4">
        <f>VALUE(SUBSTITUTE('1000_заявлений'!J951, ".", ","))</f>
        <v>3.7601691226670302</v>
      </c>
      <c r="K957" s="5">
        <f>VALUE(SUBSTITUTE('1000_заявлений'!K951, ".", ","))</f>
        <v>-2026</v>
      </c>
      <c r="L957" s="6">
        <f>VALUE(SUBSTITUTE('1000_заявлений'!L951, ".", ","))</f>
        <v>29101.5</v>
      </c>
      <c r="M957" s="2" t="str">
        <f>IF(Данные6[[#This Row],[proba]]&gt;$C$6, "отказ", "одобрение")</f>
        <v>отказ</v>
      </c>
      <c r="N957" s="7">
        <f>IF(Данные6[[#This Row],[proba]]&lt;$D$2,$C$2,IF(Данные6[[#This Row],[proba]]&lt;$D$3,$C$3,IF(Данные6[[#This Row],[proba]]&gt;$C$6,0,$C$4)))</f>
        <v>0</v>
      </c>
      <c r="O957" s="2">
        <f>IF(Данные6[[#This Row],[weighted_ext_score]]&gt;$O$1,MIN(Данные6[[#This Row],[Базовая сумма]]*$O$2,$C$2),IF(Данные6[[#This Row],[weighted_ext_score]]&lt;$O$3,Данные6[[#This Row],[Базовая сумма]]*$O$4,N957))</f>
        <v>0</v>
      </c>
      <c r="P95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7" s="2">
        <f>ABS(Данные6[[#This Row],[days_birth]])/365.2425</f>
        <v>49.378152871037734</v>
      </c>
      <c r="S95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7" s="2">
        <f>IF(Данные6[[#This Row],[ interest_rate]]&gt;$T$1,Данные6[[#This Row],[days_birth4]]*$T$2,Данные6[[#This Row],[days_birth4]])</f>
        <v>0</v>
      </c>
      <c r="U957" s="2">
        <f>IF(Данные6[[#This Row],[Проверка отказа]]="отказ",0,MAX(Данные6[[#This Row],[interest_rate]],$C$1))</f>
        <v>0</v>
      </c>
      <c r="V957" s="2">
        <f>MROUND(Данные6[[#This Row],[Минимум 20000]], 100)</f>
        <v>0</v>
      </c>
    </row>
    <row r="958" spans="1:22" x14ac:dyDescent="0.25">
      <c r="A958" s="2">
        <f>'1000_заявлений'!A952</f>
        <v>950</v>
      </c>
      <c r="B958" s="4">
        <f>VALUE(SUBSTITUTE('1000_заявлений'!B952, ".", ","))</f>
        <v>0.734143425038845</v>
      </c>
      <c r="C958" s="4">
        <f>VALUE(SUBSTITUTE('1000_заявлений'!C952, ".", ","))</f>
        <v>0.17897833967770699</v>
      </c>
      <c r="D958" s="4">
        <f>VALUE(SUBSTITUTE('1000_заявлений'!D952, ".", ","))</f>
        <v>5.2726525000000005E-4</v>
      </c>
      <c r="E958" s="4">
        <f>VALUE(SUBSTITUTE('1000_заявлений'!E952, ".", ","))</f>
        <v>0.55117260000000001</v>
      </c>
      <c r="F958" s="5">
        <f>VALUE(SUBSTITUTE('1000_заявлений'!F952, ".", ","))</f>
        <v>-771</v>
      </c>
      <c r="G958" s="5">
        <f>VALUE(SUBSTITUTE('1000_заявлений'!G952, ".", ","))</f>
        <v>-18915</v>
      </c>
      <c r="H958" s="5">
        <f>VALUE(SUBSTITUTE('1000_заявлений'!H952, ".", ","))</f>
        <v>-2470</v>
      </c>
      <c r="I958" s="4">
        <f>VALUE(SUBSTITUTE('1000_заявлений'!I952, ".", ","))</f>
        <v>0.18755714285714201</v>
      </c>
      <c r="J958" s="4">
        <f>VALUE(SUBSTITUTE('1000_заявлений'!J952, ".", ","))</f>
        <v>11.877728931461</v>
      </c>
      <c r="K958" s="5">
        <f>VALUE(SUBSTITUTE('1000_заявлений'!K952, ".", ","))</f>
        <v>-993</v>
      </c>
      <c r="L958" s="6">
        <f>VALUE(SUBSTITUTE('1000_заявлений'!L952, ".", ","))</f>
        <v>59080.5</v>
      </c>
      <c r="M958" s="2" t="str">
        <f>IF(Данные6[[#This Row],[proba]]&gt;$C$6, "отказ", "одобрение")</f>
        <v>отказ</v>
      </c>
      <c r="N958" s="7">
        <f>IF(Данные6[[#This Row],[proba]]&lt;$D$2,$C$2,IF(Данные6[[#This Row],[proba]]&lt;$D$3,$C$3,IF(Данные6[[#This Row],[proba]]&gt;$C$6,0,$C$4)))</f>
        <v>0</v>
      </c>
      <c r="O958" s="2">
        <f>IF(Данные6[[#This Row],[weighted_ext_score]]&gt;$O$1,MIN(Данные6[[#This Row],[Базовая сумма]]*$O$2,$C$2),IF(Данные6[[#This Row],[weighted_ext_score]]&lt;$O$3,Данные6[[#This Row],[Базовая сумма]]*$O$4,N958))</f>
        <v>0</v>
      </c>
      <c r="P95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5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58" s="2">
        <f>ABS(Данные6[[#This Row],[days_birth]])/365.2425</f>
        <v>51.78751103718762</v>
      </c>
      <c r="S95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58" s="2">
        <f>IF(Данные6[[#This Row],[ interest_rate]]&gt;$T$1,Данные6[[#This Row],[days_birth4]]*$T$2,Данные6[[#This Row],[days_birth4]])</f>
        <v>0</v>
      </c>
      <c r="U958" s="2">
        <f>IF(Данные6[[#This Row],[Проверка отказа]]="отказ",0,MAX(Данные6[[#This Row],[interest_rate]],$C$1))</f>
        <v>0</v>
      </c>
      <c r="V958" s="2">
        <f>MROUND(Данные6[[#This Row],[Минимум 20000]], 100)</f>
        <v>0</v>
      </c>
    </row>
    <row r="959" spans="1:22" x14ac:dyDescent="0.25">
      <c r="A959" s="2">
        <f>'1000_заявлений'!A953</f>
        <v>951</v>
      </c>
      <c r="B959" s="4">
        <f>VALUE(SUBSTITUTE('1000_заявлений'!B953, ".", ","))</f>
        <v>0.16438259549742301</v>
      </c>
      <c r="C959" s="4">
        <f>VALUE(SUBSTITUTE('1000_заявлений'!C953, ".", ","))</f>
        <v>0.68717968949959196</v>
      </c>
      <c r="D959" s="4">
        <f>VALUE(SUBSTITUTE('1000_заявлений'!D953, ".", ","))</f>
        <v>0.69409262999999999</v>
      </c>
      <c r="E959" s="4">
        <f>VALUE(SUBSTITUTE('1000_заявлений'!E953, ".", ","))</f>
        <v>0.54920815999999995</v>
      </c>
      <c r="F959" s="5">
        <f>VALUE(SUBSTITUTE('1000_заявлений'!F953, ".", ","))</f>
        <v>-6797</v>
      </c>
      <c r="G959" s="5">
        <f>VALUE(SUBSTITUTE('1000_заявлений'!G953, ".", ","))</f>
        <v>-20544</v>
      </c>
      <c r="H959" s="5">
        <f>VALUE(SUBSTITUTE('1000_заявлений'!H953, ".", ","))</f>
        <v>-3881</v>
      </c>
      <c r="I959" s="4">
        <f>VALUE(SUBSTITUTE('1000_заявлений'!I953, ".", ","))</f>
        <v>0.14663636363636301</v>
      </c>
      <c r="J959" s="4">
        <f>VALUE(SUBSTITUTE('1000_заявлений'!J953, ".", ","))</f>
        <v>10.887460851049999</v>
      </c>
      <c r="K959" s="5">
        <f>VALUE(SUBSTITUTE('1000_заявлений'!K953, ".", ","))</f>
        <v>-4159</v>
      </c>
      <c r="L959" s="6">
        <f>VALUE(SUBSTITUTE('1000_заявлений'!L953, ".", ","))</f>
        <v>36292.5</v>
      </c>
      <c r="M959" s="2" t="str">
        <f>IF(Данные6[[#This Row],[proba]]&gt;$C$6, "отказ", "одобрение")</f>
        <v>одобрение</v>
      </c>
      <c r="N959" s="7">
        <f>IF(Данные6[[#This Row],[proba]]&lt;$D$2,$C$2,IF(Данные6[[#This Row],[proba]]&lt;$D$3,$C$3,IF(Данные6[[#This Row],[proba]]&gt;$C$6,0,$C$4)))</f>
        <v>200000</v>
      </c>
      <c r="O959" s="2">
        <f>IF(Данные6[[#This Row],[weighted_ext_score]]&gt;$O$1,MIN(Данные6[[#This Row],[Базовая сумма]]*$O$2,$C$2),IF(Данные6[[#This Row],[weighted_ext_score]]&lt;$O$3,Данные6[[#This Row],[Базовая сумма]]*$O$4,N959))</f>
        <v>200000</v>
      </c>
      <c r="P95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95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240000</v>
      </c>
      <c r="R959" s="2">
        <f>ABS(Данные6[[#This Row],[days_birth]])/365.2425</f>
        <v>56.247561551571899</v>
      </c>
      <c r="S95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252000</v>
      </c>
      <c r="T959" s="2">
        <f>IF(Данные6[[#This Row],[ interest_rate]]&gt;$T$1,Данные6[[#This Row],[days_birth4]]*$T$2,Данные6[[#This Row],[days_birth4]])</f>
        <v>252000</v>
      </c>
      <c r="U959" s="2">
        <f>IF(Данные6[[#This Row],[Проверка отказа]]="отказ",0,MAX(Данные6[[#This Row],[interest_rate]],$C$1))</f>
        <v>252000</v>
      </c>
      <c r="V959" s="2">
        <f>MROUND(Данные6[[#This Row],[Минимум 20000]], 100)</f>
        <v>252000</v>
      </c>
    </row>
    <row r="960" spans="1:22" x14ac:dyDescent="0.25">
      <c r="A960" s="2">
        <f>'1000_заявлений'!A954</f>
        <v>952</v>
      </c>
      <c r="B960" s="4">
        <f>VALUE(SUBSTITUTE('1000_заявлений'!B954, ".", ","))</f>
        <v>0.77741765152329501</v>
      </c>
      <c r="C960" s="4">
        <f>VALUE(SUBSTITUTE('1000_заявлений'!C954, ".", ","))</f>
        <v>7.1142771043498001E-3</v>
      </c>
      <c r="D960" s="4">
        <f>VALUE(SUBSTITUTE('1000_заявлений'!D954, ".", ","))</f>
        <v>0.53527623000000002</v>
      </c>
      <c r="E960" s="4">
        <f>VALUE(SUBSTITUTE('1000_заявлений'!E954, ".", ","))</f>
        <v>2.1932133999999999E-2</v>
      </c>
      <c r="F960" s="5">
        <f>VALUE(SUBSTITUTE('1000_заявлений'!F954, ".", ","))</f>
        <v>-5797</v>
      </c>
      <c r="G960" s="5">
        <f>VALUE(SUBSTITUTE('1000_заявлений'!G954, ".", ","))</f>
        <v>-14001</v>
      </c>
      <c r="H960" s="5">
        <f>VALUE(SUBSTITUTE('1000_заявлений'!H954, ".", ","))</f>
        <v>-2598</v>
      </c>
      <c r="I960" s="4">
        <f>VALUE(SUBSTITUTE('1000_заявлений'!I954, ".", ","))</f>
        <v>0.107142857142857</v>
      </c>
      <c r="J960" s="4">
        <f>VALUE(SUBSTITUTE('1000_заявлений'!J954, ".", ","))</f>
        <v>10.6209759779781</v>
      </c>
      <c r="K960" s="5">
        <f>VALUE(SUBSTITUTE('1000_заявлений'!K954, ".", ","))</f>
        <v>-284</v>
      </c>
      <c r="L960" s="6">
        <f>VALUE(SUBSTITUTE('1000_заявлений'!L954, ".", ","))</f>
        <v>6750</v>
      </c>
      <c r="M960" s="2" t="str">
        <f>IF(Данные6[[#This Row],[proba]]&gt;$C$6, "отказ", "одобрение")</f>
        <v>отказ</v>
      </c>
      <c r="N960" s="7">
        <f>IF(Данные6[[#This Row],[proba]]&lt;$D$2,$C$2,IF(Данные6[[#This Row],[proba]]&lt;$D$3,$C$3,IF(Данные6[[#This Row],[proba]]&gt;$C$6,0,$C$4)))</f>
        <v>0</v>
      </c>
      <c r="O960" s="2">
        <f>IF(Данные6[[#This Row],[weighted_ext_score]]&gt;$O$1,MIN(Данные6[[#This Row],[Базовая сумма]]*$O$2,$C$2),IF(Данные6[[#This Row],[weighted_ext_score]]&lt;$O$3,Данные6[[#This Row],[Базовая сумма]]*$O$4,N960))</f>
        <v>0</v>
      </c>
      <c r="P96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0" s="2">
        <f>ABS(Данные6[[#This Row],[days_birth]])/365.2425</f>
        <v>38.333436004846092</v>
      </c>
      <c r="S96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0" s="2">
        <f>IF(Данные6[[#This Row],[ interest_rate]]&gt;$T$1,Данные6[[#This Row],[days_birth4]]*$T$2,Данные6[[#This Row],[days_birth4]])</f>
        <v>0</v>
      </c>
      <c r="U960" s="2">
        <f>IF(Данные6[[#This Row],[Проверка отказа]]="отказ",0,MAX(Данные6[[#This Row],[interest_rate]],$C$1))</f>
        <v>0</v>
      </c>
      <c r="V960" s="2">
        <f>MROUND(Данные6[[#This Row],[Минимум 20000]], 100)</f>
        <v>0</v>
      </c>
    </row>
    <row r="961" spans="1:22" x14ac:dyDescent="0.25">
      <c r="A961" s="2">
        <f>'1000_заявлений'!A955</f>
        <v>953</v>
      </c>
      <c r="B961" s="4">
        <f>VALUE(SUBSTITUTE('1000_заявлений'!B955, ".", ","))</f>
        <v>0.215085313860887</v>
      </c>
      <c r="C961" s="4">
        <f>VALUE(SUBSTITUTE('1000_заявлений'!C955, ".", ","))</f>
        <v>0.48430158085704</v>
      </c>
      <c r="D961" s="4">
        <f>VALUE(SUBSTITUTE('1000_заявлений'!D955, ".", ","))</f>
        <v>0.80274546000000002</v>
      </c>
      <c r="E961" s="4">
        <f>VALUE(SUBSTITUTE('1000_заявлений'!E955, ".", ","))</f>
        <v>0.59799619999999998</v>
      </c>
      <c r="F961" s="5">
        <f>VALUE(SUBSTITUTE('1000_заявлений'!F955, ".", ","))</f>
        <v>-4060</v>
      </c>
      <c r="G961" s="5">
        <f>VALUE(SUBSTITUTE('1000_заявлений'!G955, ".", ","))</f>
        <v>-16133</v>
      </c>
      <c r="H961" s="5">
        <f>VALUE(SUBSTITUTE('1000_заявлений'!H955, ".", ","))</f>
        <v>-4690</v>
      </c>
      <c r="I961" s="4">
        <f>VALUE(SUBSTITUTE('1000_заявлений'!I955, ".", ","))</f>
        <v>0.14485555555555499</v>
      </c>
      <c r="J961" s="4">
        <f>VALUE(SUBSTITUTE('1000_заявлений'!J955, ".", ","))</f>
        <v>1.30820115200311</v>
      </c>
      <c r="K961" s="5">
        <f>VALUE(SUBSTITUTE('1000_заявлений'!K955, ".", ","))</f>
        <v>-3904</v>
      </c>
      <c r="L961" s="6">
        <f>VALUE(SUBSTITUTE('1000_заявлений'!L955, ".", ","))</f>
        <v>58666.5</v>
      </c>
      <c r="M961" s="2" t="str">
        <f>IF(Данные6[[#This Row],[proba]]&gt;$C$6, "отказ", "одобрение")</f>
        <v>одобрение</v>
      </c>
      <c r="N961" s="7">
        <f>IF(Данные6[[#This Row],[proba]]&lt;$D$2,$C$2,IF(Данные6[[#This Row],[proba]]&lt;$D$3,$C$3,IF(Данные6[[#This Row],[proba]]&gt;$C$6,0,$C$4)))</f>
        <v>50000</v>
      </c>
      <c r="O961" s="2">
        <f>IF(Данные6[[#This Row],[weighted_ext_score]]&gt;$O$1,MIN(Данные6[[#This Row],[Базовая сумма]]*$O$2,$C$2),IF(Данные6[[#This Row],[weighted_ext_score]]&lt;$O$3,Данные6[[#This Row],[Базовая сумма]]*$O$4,N961))</f>
        <v>40000</v>
      </c>
      <c r="P96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6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961" s="2">
        <f>ABS(Данные6[[#This Row],[days_birth]])/365.2425</f>
        <v>44.170653743745596</v>
      </c>
      <c r="S96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961" s="2">
        <f>IF(Данные6[[#This Row],[ interest_rate]]&gt;$T$1,Данные6[[#This Row],[days_birth4]]*$T$2,Данные6[[#This Row],[days_birth4]])</f>
        <v>48000</v>
      </c>
      <c r="U961" s="2">
        <f>IF(Данные6[[#This Row],[Проверка отказа]]="отказ",0,MAX(Данные6[[#This Row],[interest_rate]],$C$1))</f>
        <v>48000</v>
      </c>
      <c r="V961" s="2">
        <f>MROUND(Данные6[[#This Row],[Минимум 20000]], 100)</f>
        <v>48000</v>
      </c>
    </row>
    <row r="962" spans="1:22" x14ac:dyDescent="0.25">
      <c r="A962" s="2">
        <f>'1000_заявлений'!A956</f>
        <v>954</v>
      </c>
      <c r="B962" s="4">
        <f>VALUE(SUBSTITUTE('1000_заявлений'!B956, ".", ","))</f>
        <v>0.19365350438288401</v>
      </c>
      <c r="C962" s="4">
        <f>VALUE(SUBSTITUTE('1000_заявлений'!C956, ".", ","))</f>
        <v>0.47508620558873399</v>
      </c>
      <c r="D962" s="4">
        <f>VALUE(SUBSTITUTE('1000_заявлений'!D956, ".", ","))</f>
        <v>0.76623370000000002</v>
      </c>
      <c r="E962" s="4">
        <f>VALUE(SUBSTITUTE('1000_заявлений'!E956, ".", ","))</f>
        <v>0.6102957</v>
      </c>
      <c r="F962" s="5">
        <f>VALUE(SUBSTITUTE('1000_заявлений'!F956, ".", ","))</f>
        <v>-12965</v>
      </c>
      <c r="G962" s="5">
        <f>VALUE(SUBSTITUTE('1000_заявлений'!G956, ".", ","))</f>
        <v>-19729</v>
      </c>
      <c r="H962" s="5">
        <f>VALUE(SUBSTITUTE('1000_заявлений'!H956, ".", ","))</f>
        <v>-3252</v>
      </c>
      <c r="I962" s="4">
        <f>VALUE(SUBSTITUTE('1000_заявлений'!I956, ".", ","))</f>
        <v>0.125</v>
      </c>
      <c r="J962" s="4">
        <f>VALUE(SUBSTITUTE('1000_заявлений'!J956, ".", ","))</f>
        <v>10.6209759779781</v>
      </c>
      <c r="K962" s="5">
        <f>VALUE(SUBSTITUTE('1000_заявлений'!K956, ".", ","))</f>
        <v>-2447</v>
      </c>
      <c r="L962" s="6">
        <f>VALUE(SUBSTITUTE('1000_заявлений'!L956, ".", ","))</f>
        <v>16875</v>
      </c>
      <c r="M962" s="2" t="str">
        <f>IF(Данные6[[#This Row],[proba]]&gt;$C$6, "отказ", "одобрение")</f>
        <v>одобрение</v>
      </c>
      <c r="N962" s="7">
        <f>IF(Данные6[[#This Row],[proba]]&lt;$D$2,$C$2,IF(Данные6[[#This Row],[proba]]&lt;$D$3,$C$3,IF(Данные6[[#This Row],[proba]]&gt;$C$6,0,$C$4)))</f>
        <v>200000</v>
      </c>
      <c r="O962" s="2">
        <f>IF(Данные6[[#This Row],[weighted_ext_score]]&gt;$O$1,MIN(Данные6[[#This Row],[Базовая сумма]]*$O$2,$C$2),IF(Данные6[[#This Row],[weighted_ext_score]]&lt;$O$3,Данные6[[#This Row],[Базовая сумма]]*$O$4,N962))</f>
        <v>160000</v>
      </c>
      <c r="P96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160000</v>
      </c>
      <c r="Q96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112000</v>
      </c>
      <c r="R962" s="2">
        <f>ABS(Данные6[[#This Row],[days_birth]])/365.2425</f>
        <v>54.016167340876265</v>
      </c>
      <c r="S96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117600</v>
      </c>
      <c r="T962" s="2">
        <f>IF(Данные6[[#This Row],[ interest_rate]]&gt;$T$1,Данные6[[#This Row],[days_birth4]]*$T$2,Данные6[[#This Row],[days_birth4]])</f>
        <v>117600</v>
      </c>
      <c r="U962" s="2">
        <f>IF(Данные6[[#This Row],[Проверка отказа]]="отказ",0,MAX(Данные6[[#This Row],[interest_rate]],$C$1))</f>
        <v>117600</v>
      </c>
      <c r="V962" s="2">
        <f>MROUND(Данные6[[#This Row],[Минимум 20000]], 100)</f>
        <v>117600</v>
      </c>
    </row>
    <row r="963" spans="1:22" x14ac:dyDescent="0.25">
      <c r="A963" s="2">
        <f>'1000_заявлений'!A957</f>
        <v>955</v>
      </c>
      <c r="B963" s="4">
        <f>VALUE(SUBSTITUTE('1000_заявлений'!B957, ".", ","))</f>
        <v>0.29690139377290697</v>
      </c>
      <c r="C963" s="4">
        <f>VALUE(SUBSTITUTE('1000_заявлений'!C957, ".", ","))</f>
        <v>0.56962794782489001</v>
      </c>
      <c r="D963" s="4">
        <f>VALUE(SUBSTITUTE('1000_заявлений'!D957, ".", ","))</f>
        <v>0.70018387000000004</v>
      </c>
      <c r="E963" s="4">
        <f>VALUE(SUBSTITUTE('1000_заявлений'!E957, ".", ","))</f>
        <v>0.56957303999999997</v>
      </c>
      <c r="F963" s="5">
        <f>VALUE(SUBSTITUTE('1000_заявлений'!F957, ".", ","))</f>
        <v>-2032</v>
      </c>
      <c r="G963" s="5">
        <f>VALUE(SUBSTITUTE('1000_заявлений'!G957, ".", ","))</f>
        <v>-12893</v>
      </c>
      <c r="H963" s="5">
        <f>VALUE(SUBSTITUTE('1000_заявлений'!H957, ".", ","))</f>
        <v>-671</v>
      </c>
      <c r="I963" s="4">
        <f>VALUE(SUBSTITUTE('1000_заявлений'!I957, ".", ","))</f>
        <v>0.19017999999999999</v>
      </c>
      <c r="J963" s="4">
        <f>VALUE(SUBSTITUTE('1000_заявлений'!J957, ".", ","))</f>
        <v>1.91687481425315</v>
      </c>
      <c r="K963" s="5">
        <f>VALUE(SUBSTITUTE('1000_заявлений'!K957, ".", ","))</f>
        <v>-878</v>
      </c>
      <c r="L963" s="6">
        <f>VALUE(SUBSTITUTE('1000_заявлений'!L957, ".", ","))</f>
        <v>42790.5</v>
      </c>
      <c r="M963" s="2" t="str">
        <f>IF(Данные6[[#This Row],[proba]]&gt;$C$6, "отказ", "одобрение")</f>
        <v>одобрение</v>
      </c>
      <c r="N963" s="7">
        <f>IF(Данные6[[#This Row],[proba]]&lt;$D$2,$C$2,IF(Данные6[[#This Row],[proba]]&lt;$D$3,$C$3,IF(Данные6[[#This Row],[proba]]&gt;$C$6,0,$C$4)))</f>
        <v>50000</v>
      </c>
      <c r="O963" s="2">
        <f>IF(Данные6[[#This Row],[weighted_ext_score]]&gt;$O$1,MIN(Данные6[[#This Row],[Базовая сумма]]*$O$2,$C$2),IF(Данные6[[#This Row],[weighted_ext_score]]&lt;$O$3,Данные6[[#This Row],[Базовая сумма]]*$O$4,N963))</f>
        <v>50000</v>
      </c>
      <c r="P96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6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63" s="2">
        <f>ABS(Данные6[[#This Row],[days_birth]])/365.2425</f>
        <v>35.299835041102831</v>
      </c>
      <c r="S96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963" s="2">
        <f>IF(Данные6[[#This Row],[ interest_rate]]&gt;$T$1,Данные6[[#This Row],[days_birth4]]*$T$2,Данные6[[#This Row],[days_birth4]])</f>
        <v>35000</v>
      </c>
      <c r="U963" s="2">
        <f>IF(Данные6[[#This Row],[Проверка отказа]]="отказ",0,MAX(Данные6[[#This Row],[interest_rate]],$C$1))</f>
        <v>35000</v>
      </c>
      <c r="V963" s="2">
        <f>MROUND(Данные6[[#This Row],[Минимум 20000]], 100)</f>
        <v>35000</v>
      </c>
    </row>
    <row r="964" spans="1:22" x14ac:dyDescent="0.25">
      <c r="A964" s="2">
        <f>'1000_заявлений'!A958</f>
        <v>956</v>
      </c>
      <c r="B964" s="4">
        <f>VALUE(SUBSTITUTE('1000_заявлений'!B958, ".", ","))</f>
        <v>0.74643126705979501</v>
      </c>
      <c r="C964" s="4">
        <f>VALUE(SUBSTITUTE('1000_заявлений'!C958, ".", ","))</f>
        <v>0.211141109279359</v>
      </c>
      <c r="D964" s="4">
        <f>VALUE(SUBSTITUTE('1000_заявлений'!D958, ".", ","))</f>
        <v>0.18520207999999999</v>
      </c>
      <c r="E964" s="4">
        <f>VALUE(SUBSTITUTE('1000_заявлений'!E958, ".", ","))</f>
        <v>0.44442095999999998</v>
      </c>
      <c r="F964" s="5">
        <f>VALUE(SUBSTITUTE('1000_заявлений'!F958, ".", ","))</f>
        <v>-5596</v>
      </c>
      <c r="G964" s="5">
        <f>VALUE(SUBSTITUTE('1000_заявлений'!G958, ".", ","))</f>
        <v>-14244</v>
      </c>
      <c r="H964" s="5">
        <f>VALUE(SUBSTITUTE('1000_заявлений'!H958, ".", ","))</f>
        <v>-4798</v>
      </c>
      <c r="I964" s="4">
        <f>VALUE(SUBSTITUTE('1000_заявлений'!I958, ".", ","))</f>
        <v>0.25551428571428503</v>
      </c>
      <c r="J964" s="4">
        <f>VALUE(SUBSTITUTE('1000_заявлений'!J958, ".", ","))</f>
        <v>1.93991024355859</v>
      </c>
      <c r="K964" s="5">
        <f>VALUE(SUBSTITUTE('1000_заявлений'!K958, ".", ","))</f>
        <v>-2410</v>
      </c>
      <c r="L964" s="6">
        <f>VALUE(SUBSTITUTE('1000_заявлений'!L958, ".", ","))</f>
        <v>40243.5</v>
      </c>
      <c r="M964" s="2" t="str">
        <f>IF(Данные6[[#This Row],[proba]]&gt;$C$6, "отказ", "одобрение")</f>
        <v>отказ</v>
      </c>
      <c r="N964" s="7">
        <f>IF(Данные6[[#This Row],[proba]]&lt;$D$2,$C$2,IF(Данные6[[#This Row],[proba]]&lt;$D$3,$C$3,IF(Данные6[[#This Row],[proba]]&gt;$C$6,0,$C$4)))</f>
        <v>0</v>
      </c>
      <c r="O964" s="2">
        <f>IF(Данные6[[#This Row],[weighted_ext_score]]&gt;$O$1,MIN(Данные6[[#This Row],[Базовая сумма]]*$O$2,$C$2),IF(Данные6[[#This Row],[weighted_ext_score]]&lt;$O$3,Данные6[[#This Row],[Базовая сумма]]*$O$4,N964))</f>
        <v>0</v>
      </c>
      <c r="P96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4" s="2">
        <f>ABS(Данные6[[#This Row],[days_birth]])/365.2425</f>
        <v>38.9987474075443</v>
      </c>
      <c r="S96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4" s="2">
        <f>IF(Данные6[[#This Row],[ interest_rate]]&gt;$T$1,Данные6[[#This Row],[days_birth4]]*$T$2,Данные6[[#This Row],[days_birth4]])</f>
        <v>0</v>
      </c>
      <c r="U964" s="2">
        <f>IF(Данные6[[#This Row],[Проверка отказа]]="отказ",0,MAX(Данные6[[#This Row],[interest_rate]],$C$1))</f>
        <v>0</v>
      </c>
      <c r="V964" s="2">
        <f>MROUND(Данные6[[#This Row],[Минимум 20000]], 100)</f>
        <v>0</v>
      </c>
    </row>
    <row r="965" spans="1:22" x14ac:dyDescent="0.25">
      <c r="A965" s="2">
        <f>'1000_заявлений'!A959</f>
        <v>957</v>
      </c>
      <c r="B965" s="4">
        <f>VALUE(SUBSTITUTE('1000_заявлений'!B959, ".", ","))</f>
        <v>0.420244435526197</v>
      </c>
      <c r="C965" s="4">
        <f>VALUE(SUBSTITUTE('1000_заявлений'!C959, ".", ","))</f>
        <v>0.33757375053048699</v>
      </c>
      <c r="D965" s="4">
        <f>VALUE(SUBSTITUTE('1000_заявлений'!D959, ".", ","))</f>
        <v>0.54423474999999999</v>
      </c>
      <c r="E965" s="4">
        <f>VALUE(SUBSTITUTE('1000_заявлений'!E959, ".", ","))</f>
        <v>0.43388650000000001</v>
      </c>
      <c r="F965" s="5">
        <f>VALUE(SUBSTITUTE('1000_заявлений'!F959, ".", ","))</f>
        <v>-10389</v>
      </c>
      <c r="G965" s="5">
        <f>VALUE(SUBSTITUTE('1000_заявлений'!G959, ".", ","))</f>
        <v>-22190</v>
      </c>
      <c r="H965" s="5">
        <f>VALUE(SUBSTITUTE('1000_заявлений'!H959, ".", ","))</f>
        <v>-4911</v>
      </c>
      <c r="I965" s="4">
        <f>VALUE(SUBSTITUTE('1000_заявлений'!I959, ".", ","))</f>
        <v>0.30249999999999999</v>
      </c>
      <c r="J965" s="4">
        <f>VALUE(SUBSTITUTE('1000_заявлений'!J959, ".", ","))</f>
        <v>2.7681660652494502</v>
      </c>
      <c r="K965" s="5">
        <f>VALUE(SUBSTITUTE('1000_заявлений'!K959, ".", ","))</f>
        <v>365243</v>
      </c>
      <c r="L965" s="6">
        <f>VALUE(SUBSTITUTE('1000_заявлений'!L959, ".", ","))</f>
        <v>29947.5</v>
      </c>
      <c r="M965" s="2" t="str">
        <f>IF(Данные6[[#This Row],[proba]]&gt;$C$6, "отказ", "одобрение")</f>
        <v>отказ</v>
      </c>
      <c r="N965" s="7">
        <f>IF(Данные6[[#This Row],[proba]]&lt;$D$2,$C$2,IF(Данные6[[#This Row],[proba]]&lt;$D$3,$C$3,IF(Данные6[[#This Row],[proba]]&gt;$C$6,0,$C$4)))</f>
        <v>0</v>
      </c>
      <c r="O965" s="2">
        <f>IF(Данные6[[#This Row],[weighted_ext_score]]&gt;$O$1,MIN(Данные6[[#This Row],[Базовая сумма]]*$O$2,$C$2),IF(Данные6[[#This Row],[weighted_ext_score]]&lt;$O$3,Данные6[[#This Row],[Базовая сумма]]*$O$4,N965))</f>
        <v>0</v>
      </c>
      <c r="P96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5" s="2">
        <f>ABS(Данные6[[#This Row],[days_birth]])/365.2425</f>
        <v>60.754156485074986</v>
      </c>
      <c r="S96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5" s="2">
        <f>IF(Данные6[[#This Row],[ interest_rate]]&gt;$T$1,Данные6[[#This Row],[days_birth4]]*$T$2,Данные6[[#This Row],[days_birth4]])</f>
        <v>0</v>
      </c>
      <c r="U965" s="2">
        <f>IF(Данные6[[#This Row],[Проверка отказа]]="отказ",0,MAX(Данные6[[#This Row],[interest_rate]],$C$1))</f>
        <v>0</v>
      </c>
      <c r="V965" s="2">
        <f>MROUND(Данные6[[#This Row],[Минимум 20000]], 100)</f>
        <v>0</v>
      </c>
    </row>
    <row r="966" spans="1:22" x14ac:dyDescent="0.25">
      <c r="A966" s="2">
        <f>'1000_заявлений'!A960</f>
        <v>958</v>
      </c>
      <c r="B966" s="4">
        <f>VALUE(SUBSTITUTE('1000_заявлений'!B960, ".", ","))</f>
        <v>0.20783752542667899</v>
      </c>
      <c r="C966" s="4">
        <f>VALUE(SUBSTITUTE('1000_заявлений'!C960, ".", ","))</f>
        <v>0.67631748614876197</v>
      </c>
      <c r="D966" s="4">
        <f>VALUE(SUBSTITUTE('1000_заявлений'!D960, ".", ","))</f>
        <v>0.73662269999999996</v>
      </c>
      <c r="E966" s="4">
        <f>VALUE(SUBSTITUTE('1000_заявлений'!E960, ".", ","))</f>
        <v>0.67754689999999995</v>
      </c>
      <c r="F966" s="5">
        <f>VALUE(SUBSTITUTE('1000_заявлений'!F960, ".", ","))</f>
        <v>-417</v>
      </c>
      <c r="G966" s="5">
        <f>VALUE(SUBSTITUTE('1000_заявлений'!G960, ".", ","))</f>
        <v>-18503</v>
      </c>
      <c r="H966" s="5">
        <f>VALUE(SUBSTITUTE('1000_заявлений'!H960, ".", ","))</f>
        <v>-2055</v>
      </c>
      <c r="I966" s="4">
        <f>VALUE(SUBSTITUTE('1000_заявлений'!I960, ".", ","))</f>
        <v>0.35313333333333302</v>
      </c>
      <c r="J966" s="4">
        <f>VALUE(SUBSTITUTE('1000_заявлений'!J960, ".", ","))</f>
        <v>4.9836780855953604</v>
      </c>
      <c r="K966" s="5">
        <f>VALUE(SUBSTITUTE('1000_заявлений'!K960, ".", ","))</f>
        <v>-368</v>
      </c>
      <c r="L966" s="6">
        <f>VALUE(SUBSTITUTE('1000_заявлений'!L960, ".", ","))</f>
        <v>23836.5</v>
      </c>
      <c r="M966" s="2" t="str">
        <f>IF(Данные6[[#This Row],[proba]]&gt;$C$6, "отказ", "одобрение")</f>
        <v>одобрение</v>
      </c>
      <c r="N966" s="7">
        <f>IF(Данные6[[#This Row],[proba]]&lt;$D$2,$C$2,IF(Данные6[[#This Row],[proba]]&lt;$D$3,$C$3,IF(Данные6[[#This Row],[proba]]&gt;$C$6,0,$C$4)))</f>
        <v>50000</v>
      </c>
      <c r="O966" s="2">
        <f>IF(Данные6[[#This Row],[weighted_ext_score]]&gt;$O$1,MIN(Данные6[[#This Row],[Базовая сумма]]*$O$2,$C$2),IF(Данные6[[#This Row],[weighted_ext_score]]&lt;$O$3,Данные6[[#This Row],[Базовая сумма]]*$O$4,N966))</f>
        <v>50000</v>
      </c>
      <c r="P96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6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66" s="2">
        <f>ABS(Данные6[[#This Row],[days_birth]])/365.2425</f>
        <v>50.659493350308352</v>
      </c>
      <c r="S96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36750</v>
      </c>
      <c r="T966" s="2">
        <f>IF(Данные6[[#This Row],[ interest_rate]]&gt;$T$1,Данные6[[#This Row],[days_birth4]]*$T$2,Данные6[[#This Row],[days_birth4]])</f>
        <v>36750</v>
      </c>
      <c r="U966" s="2">
        <f>IF(Данные6[[#This Row],[Проверка отказа]]="отказ",0,MAX(Данные6[[#This Row],[interest_rate]],$C$1))</f>
        <v>36750</v>
      </c>
      <c r="V966" s="2">
        <f>MROUND(Данные6[[#This Row],[Минимум 20000]], 100)</f>
        <v>36800</v>
      </c>
    </row>
    <row r="967" spans="1:22" x14ac:dyDescent="0.25">
      <c r="A967" s="2">
        <f>'1000_заявлений'!A961</f>
        <v>959</v>
      </c>
      <c r="B967" s="4">
        <f>VALUE(SUBSTITUTE('1000_заявлений'!B961, ".", ","))</f>
        <v>0.35604292500766099</v>
      </c>
      <c r="C967" s="4">
        <f>VALUE(SUBSTITUTE('1000_заявлений'!C961, ".", ","))</f>
        <v>0.412036310395481</v>
      </c>
      <c r="D967" s="4">
        <f>VALUE(SUBSTITUTE('1000_заявлений'!D961, ".", ","))</f>
        <v>0.52089759999999996</v>
      </c>
      <c r="E967" s="4">
        <f>VALUE(SUBSTITUTE('1000_заявлений'!E961, ".", ","))</f>
        <v>0.68946207000000004</v>
      </c>
      <c r="F967" s="5">
        <f>VALUE(SUBSTITUTE('1000_заявлений'!F961, ".", ","))</f>
        <v>-4152</v>
      </c>
      <c r="G967" s="5">
        <f>VALUE(SUBSTITUTE('1000_заявлений'!G961, ".", ","))</f>
        <v>-19736</v>
      </c>
      <c r="H967" s="5">
        <f>VALUE(SUBSTITUTE('1000_заявлений'!H961, ".", ","))</f>
        <v>-3253</v>
      </c>
      <c r="I967" s="4">
        <f>VALUE(SUBSTITUTE('1000_заявлений'!I961, ".", ","))</f>
        <v>0.17924000000000001</v>
      </c>
      <c r="J967" s="4">
        <f>VALUE(SUBSTITUTE('1000_заявлений'!J961, ".", ","))</f>
        <v>2.7673168070462899</v>
      </c>
      <c r="K967" s="5">
        <f>VALUE(SUBSTITUTE('1000_заявлений'!K961, ".", ","))</f>
        <v>-1665</v>
      </c>
      <c r="L967" s="6">
        <f>VALUE(SUBSTITUTE('1000_заявлений'!L961, ".", ","))</f>
        <v>20164.5</v>
      </c>
      <c r="M967" s="2" t="str">
        <f>IF(Данные6[[#This Row],[proba]]&gt;$C$6, "отказ", "одобрение")</f>
        <v>отказ</v>
      </c>
      <c r="N967" s="7">
        <f>IF(Данные6[[#This Row],[proba]]&lt;$D$2,$C$2,IF(Данные6[[#This Row],[proba]]&lt;$D$3,$C$3,IF(Данные6[[#This Row],[proba]]&gt;$C$6,0,$C$4)))</f>
        <v>0</v>
      </c>
      <c r="O967" s="2">
        <f>IF(Данные6[[#This Row],[weighted_ext_score]]&gt;$O$1,MIN(Данные6[[#This Row],[Базовая сумма]]*$O$2,$C$2),IF(Данные6[[#This Row],[weighted_ext_score]]&lt;$O$3,Данные6[[#This Row],[Базовая сумма]]*$O$4,N967))</f>
        <v>0</v>
      </c>
      <c r="P96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7" s="2">
        <f>ABS(Данные6[[#This Row],[days_birth]])/365.2425</f>
        <v>54.035332689925184</v>
      </c>
      <c r="S96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7" s="2">
        <f>IF(Данные6[[#This Row],[ interest_rate]]&gt;$T$1,Данные6[[#This Row],[days_birth4]]*$T$2,Данные6[[#This Row],[days_birth4]])</f>
        <v>0</v>
      </c>
      <c r="U967" s="2">
        <f>IF(Данные6[[#This Row],[Проверка отказа]]="отказ",0,MAX(Данные6[[#This Row],[interest_rate]],$C$1))</f>
        <v>0</v>
      </c>
      <c r="V967" s="2">
        <f>MROUND(Данные6[[#This Row],[Минимум 20000]], 100)</f>
        <v>0</v>
      </c>
    </row>
    <row r="968" spans="1:22" x14ac:dyDescent="0.25">
      <c r="A968" s="2">
        <f>'1000_заявлений'!A962</f>
        <v>960</v>
      </c>
      <c r="B968" s="4">
        <f>VALUE(SUBSTITUTE('1000_заявлений'!B962, ".", ","))</f>
        <v>0.52745300399445905</v>
      </c>
      <c r="C968" s="4">
        <f>VALUE(SUBSTITUTE('1000_заявлений'!C962, ".", ","))</f>
        <v>0.42227550492062499</v>
      </c>
      <c r="D968" s="4">
        <f>VALUE(SUBSTITUTE('1000_заявлений'!D962, ".", ","))</f>
        <v>0.22508686999999999</v>
      </c>
      <c r="E968" s="4">
        <f>VALUE(SUBSTITUTE('1000_заявлений'!E962, ".", ","))</f>
        <v>0.51668614000000002</v>
      </c>
      <c r="F968" s="5">
        <f>VALUE(SUBSTITUTE('1000_заявлений'!F962, ".", ","))</f>
        <v>-658</v>
      </c>
      <c r="G968" s="5">
        <f>VALUE(SUBSTITUTE('1000_заявлений'!G962, ".", ","))</f>
        <v>-17370</v>
      </c>
      <c r="H968" s="5">
        <f>VALUE(SUBSTITUTE('1000_заявлений'!H962, ".", ","))</f>
        <v>-669</v>
      </c>
      <c r="I968" s="4">
        <f>VALUE(SUBSTITUTE('1000_заявлений'!I962, ".", ","))</f>
        <v>0.13186666666666599</v>
      </c>
      <c r="J968" s="4">
        <f>VALUE(SUBSTITUTE('1000_заявлений'!J962, ".", ","))</f>
        <v>18.591808020228498</v>
      </c>
      <c r="K968" s="5">
        <f>VALUE(SUBSTITUTE('1000_заявлений'!K962, ".", ","))</f>
        <v>-1336</v>
      </c>
      <c r="L968" s="6">
        <f>VALUE(SUBSTITUTE('1000_заявлений'!L962, ".", ","))</f>
        <v>17802</v>
      </c>
      <c r="M968" s="2" t="str">
        <f>IF(Данные6[[#This Row],[proba]]&gt;$C$6, "отказ", "одобрение")</f>
        <v>отказ</v>
      </c>
      <c r="N968" s="7">
        <f>IF(Данные6[[#This Row],[proba]]&lt;$D$2,$C$2,IF(Данные6[[#This Row],[proba]]&lt;$D$3,$C$3,IF(Данные6[[#This Row],[proba]]&gt;$C$6,0,$C$4)))</f>
        <v>0</v>
      </c>
      <c r="O968" s="2">
        <f>IF(Данные6[[#This Row],[weighted_ext_score]]&gt;$O$1,MIN(Данные6[[#This Row],[Базовая сумма]]*$O$2,$C$2),IF(Данные6[[#This Row],[weighted_ext_score]]&lt;$O$3,Данные6[[#This Row],[Базовая сумма]]*$O$4,N968))</f>
        <v>0</v>
      </c>
      <c r="P96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6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68" s="2">
        <f>ABS(Данные6[[#This Row],[days_birth]])/365.2425</f>
        <v>47.557444711390374</v>
      </c>
      <c r="S96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68" s="2">
        <f>IF(Данные6[[#This Row],[ interest_rate]]&gt;$T$1,Данные6[[#This Row],[days_birth4]]*$T$2,Данные6[[#This Row],[days_birth4]])</f>
        <v>0</v>
      </c>
      <c r="U968" s="2">
        <f>IF(Данные6[[#This Row],[Проверка отказа]]="отказ",0,MAX(Данные6[[#This Row],[interest_rate]],$C$1))</f>
        <v>0</v>
      </c>
      <c r="V968" s="2">
        <f>MROUND(Данные6[[#This Row],[Минимум 20000]], 100)</f>
        <v>0</v>
      </c>
    </row>
    <row r="969" spans="1:22" x14ac:dyDescent="0.25">
      <c r="A969" s="2">
        <f>'1000_заявлений'!A963</f>
        <v>961</v>
      </c>
      <c r="B969" s="4">
        <f>VALUE(SUBSTITUTE('1000_заявлений'!B963, ".", ","))</f>
        <v>0.28833164380792597</v>
      </c>
      <c r="C969" s="4">
        <f>VALUE(SUBSTITUTE('1000_заявлений'!C963, ".", ","))</f>
        <v>0.58931327199824501</v>
      </c>
      <c r="D969" s="4">
        <f>VALUE(SUBSTITUTE('1000_заявлений'!D963, ".", ","))</f>
        <v>0.49566581999999998</v>
      </c>
      <c r="E969" s="4">
        <f>VALUE(SUBSTITUTE('1000_заявлений'!E963, ".", ","))</f>
        <v>0.65568850000000001</v>
      </c>
      <c r="F969" s="5">
        <f>VALUE(SUBSTITUTE('1000_заявлений'!F963, ".", ","))</f>
        <v>-6215</v>
      </c>
      <c r="G969" s="5">
        <f>VALUE(SUBSTITUTE('1000_заявлений'!G963, ".", ","))</f>
        <v>-12285</v>
      </c>
      <c r="H969" s="5">
        <f>VALUE(SUBSTITUTE('1000_заявлений'!H963, ".", ","))</f>
        <v>-4398</v>
      </c>
      <c r="I969" s="4">
        <f>VALUE(SUBSTITUTE('1000_заявлений'!I963, ".", ","))</f>
        <v>0.12404999999999999</v>
      </c>
      <c r="J969" s="4">
        <f>VALUE(SUBSTITUTE('1000_заявлений'!J963, ".", ","))</f>
        <v>8.4818147335443896</v>
      </c>
      <c r="K969" s="5">
        <f>VALUE(SUBSTITUTE('1000_заявлений'!K963, ".", ","))</f>
        <v>-3347</v>
      </c>
      <c r="L969" s="6">
        <f>VALUE(SUBSTITUTE('1000_заявлений'!L963, ".", ","))</f>
        <v>22329</v>
      </c>
      <c r="M969" s="2" t="str">
        <f>IF(Данные6[[#This Row],[proba]]&gt;$C$6, "отказ", "одобрение")</f>
        <v>одобрение</v>
      </c>
      <c r="N969" s="7">
        <f>IF(Данные6[[#This Row],[proba]]&lt;$D$2,$C$2,IF(Данные6[[#This Row],[proba]]&lt;$D$3,$C$3,IF(Данные6[[#This Row],[proba]]&gt;$C$6,0,$C$4)))</f>
        <v>50000</v>
      </c>
      <c r="O969" s="2">
        <f>IF(Данные6[[#This Row],[weighted_ext_score]]&gt;$O$1,MIN(Данные6[[#This Row],[Базовая сумма]]*$O$2,$C$2),IF(Данные6[[#This Row],[weighted_ext_score]]&lt;$O$3,Данные6[[#This Row],[Базовая сумма]]*$O$4,N969))</f>
        <v>50000</v>
      </c>
      <c r="P96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6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969" s="2">
        <f>ABS(Данные6[[#This Row],[days_birth]])/365.2425</f>
        <v>33.635187580853817</v>
      </c>
      <c r="S96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969" s="2">
        <f>IF(Данные6[[#This Row],[ interest_rate]]&gt;$T$1,Данные6[[#This Row],[days_birth4]]*$T$2,Данные6[[#This Row],[days_birth4]])</f>
        <v>60000</v>
      </c>
      <c r="U969" s="2">
        <f>IF(Данные6[[#This Row],[Проверка отказа]]="отказ",0,MAX(Данные6[[#This Row],[interest_rate]],$C$1))</f>
        <v>60000</v>
      </c>
      <c r="V969" s="2">
        <f>MROUND(Данные6[[#This Row],[Минимум 20000]], 100)</f>
        <v>60000</v>
      </c>
    </row>
    <row r="970" spans="1:22" x14ac:dyDescent="0.25">
      <c r="A970" s="2">
        <f>'1000_заявлений'!A964</f>
        <v>962</v>
      </c>
      <c r="B970" s="4">
        <f>VALUE(SUBSTITUTE('1000_заявлений'!B964, ".", ","))</f>
        <v>0.74466533651810096</v>
      </c>
      <c r="C970" s="4">
        <f>VALUE(SUBSTITUTE('1000_заявлений'!C964, ".", ","))</f>
        <v>0.18595038938839301</v>
      </c>
      <c r="D970" s="4">
        <f>VALUE(SUBSTITUTE('1000_заявлений'!D964, ".", ","))</f>
        <v>0.34252887999999998</v>
      </c>
      <c r="E970" s="4">
        <f>VALUE(SUBSTITUTE('1000_заявлений'!E964, ".", ","))</f>
        <v>0.19134984999999999</v>
      </c>
      <c r="F970" s="5">
        <f>VALUE(SUBSTITUTE('1000_заявлений'!F964, ".", ","))</f>
        <v>-3684</v>
      </c>
      <c r="G970" s="5">
        <f>VALUE(SUBSTITUTE('1000_заявлений'!G964, ".", ","))</f>
        <v>-15768</v>
      </c>
      <c r="H970" s="5">
        <f>VALUE(SUBSTITUTE('1000_заявлений'!H964, ".", ","))</f>
        <v>-5119</v>
      </c>
      <c r="I970" s="4">
        <f>VALUE(SUBSTITUTE('1000_заявлений'!I964, ".", ","))</f>
        <v>0.14548</v>
      </c>
      <c r="J970" s="4">
        <f>VALUE(SUBSTITUTE('1000_заявлений'!J964, ".", ","))</f>
        <v>2.0097603072646701</v>
      </c>
      <c r="K970" s="5">
        <f>VALUE(SUBSTITUTE('1000_заявлений'!K964, ".", ","))</f>
        <v>-3988</v>
      </c>
      <c r="L970" s="6">
        <f>VALUE(SUBSTITUTE('1000_заявлений'!L964, ".", ","))</f>
        <v>32733</v>
      </c>
      <c r="M970" s="2" t="str">
        <f>IF(Данные6[[#This Row],[proba]]&gt;$C$6, "отказ", "одобрение")</f>
        <v>отказ</v>
      </c>
      <c r="N970" s="7">
        <f>IF(Данные6[[#This Row],[proba]]&lt;$D$2,$C$2,IF(Данные6[[#This Row],[proba]]&lt;$D$3,$C$3,IF(Данные6[[#This Row],[proba]]&gt;$C$6,0,$C$4)))</f>
        <v>0</v>
      </c>
      <c r="O970" s="2">
        <f>IF(Данные6[[#This Row],[weighted_ext_score]]&gt;$O$1,MIN(Данные6[[#This Row],[Базовая сумма]]*$O$2,$C$2),IF(Данные6[[#This Row],[weighted_ext_score]]&lt;$O$3,Данные6[[#This Row],[Базовая сумма]]*$O$4,N970))</f>
        <v>0</v>
      </c>
      <c r="P97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0" s="2">
        <f>ABS(Данные6[[#This Row],[days_birth]])/365.2425</f>
        <v>43.17131768619479</v>
      </c>
      <c r="S97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0" s="2">
        <f>IF(Данные6[[#This Row],[ interest_rate]]&gt;$T$1,Данные6[[#This Row],[days_birth4]]*$T$2,Данные6[[#This Row],[days_birth4]])</f>
        <v>0</v>
      </c>
      <c r="U970" s="2">
        <f>IF(Данные6[[#This Row],[Проверка отказа]]="отказ",0,MAX(Данные6[[#This Row],[interest_rate]],$C$1))</f>
        <v>0</v>
      </c>
      <c r="V970" s="2">
        <f>MROUND(Данные6[[#This Row],[Минимум 20000]], 100)</f>
        <v>0</v>
      </c>
    </row>
    <row r="971" spans="1:22" x14ac:dyDescent="0.25">
      <c r="A971" s="2">
        <f>'1000_заявлений'!A965</f>
        <v>963</v>
      </c>
      <c r="B971" s="4">
        <f>VALUE(SUBSTITUTE('1000_заявлений'!B965, ".", ","))</f>
        <v>0.63066214654698205</v>
      </c>
      <c r="C971" s="4">
        <f>VALUE(SUBSTITUTE('1000_заявлений'!C965, ".", ","))</f>
        <v>0.28170314986283101</v>
      </c>
      <c r="D971" s="4">
        <f>VALUE(SUBSTITUTE('1000_заявлений'!D965, ".", ","))</f>
        <v>0.26504942999999997</v>
      </c>
      <c r="E971" s="4">
        <f>VALUE(SUBSTITUTE('1000_заявлений'!E965, ".", ","))</f>
        <v>0.57292580000000004</v>
      </c>
      <c r="F971" s="5">
        <f>VALUE(SUBSTITUTE('1000_заявлений'!F965, ".", ","))</f>
        <v>-5169</v>
      </c>
      <c r="G971" s="5">
        <f>VALUE(SUBSTITUTE('1000_заявлений'!G965, ".", ","))</f>
        <v>-11370</v>
      </c>
      <c r="H971" s="5">
        <f>VALUE(SUBSTITUTE('1000_заявлений'!H965, ".", ","))</f>
        <v>-3847</v>
      </c>
      <c r="I971" s="4">
        <f>VALUE(SUBSTITUTE('1000_заявлений'!I965, ".", ","))</f>
        <v>0.10636</v>
      </c>
      <c r="J971" s="4">
        <f>VALUE(SUBSTITUTE('1000_заявлений'!J965, ".", ","))</f>
        <v>1.9277550027685999</v>
      </c>
      <c r="K971" s="5">
        <f>VALUE(SUBSTITUTE('1000_заявлений'!K965, ".", ","))</f>
        <v>-1188</v>
      </c>
      <c r="L971" s="6">
        <f>VALUE(SUBSTITUTE('1000_заявлений'!L965, ".", ","))</f>
        <v>23931</v>
      </c>
      <c r="M971" s="2" t="str">
        <f>IF(Данные6[[#This Row],[proba]]&gt;$C$6, "отказ", "одобрение")</f>
        <v>отказ</v>
      </c>
      <c r="N971" s="7">
        <f>IF(Данные6[[#This Row],[proba]]&lt;$D$2,$C$2,IF(Данные6[[#This Row],[proba]]&lt;$D$3,$C$3,IF(Данные6[[#This Row],[proba]]&gt;$C$6,0,$C$4)))</f>
        <v>0</v>
      </c>
      <c r="O971" s="2">
        <f>IF(Данные6[[#This Row],[weighted_ext_score]]&gt;$O$1,MIN(Данные6[[#This Row],[Базовая сумма]]*$O$2,$C$2),IF(Данные6[[#This Row],[weighted_ext_score]]&lt;$O$3,Данные6[[#This Row],[Базовая сумма]]*$O$4,N971))</f>
        <v>0</v>
      </c>
      <c r="P97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1" s="2">
        <f>ABS(Данные6[[#This Row],[days_birth]])/365.2425</f>
        <v>31.13000266945933</v>
      </c>
      <c r="S97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1" s="2">
        <f>IF(Данные6[[#This Row],[ interest_rate]]&gt;$T$1,Данные6[[#This Row],[days_birth4]]*$T$2,Данные6[[#This Row],[days_birth4]])</f>
        <v>0</v>
      </c>
      <c r="U971" s="2">
        <f>IF(Данные6[[#This Row],[Проверка отказа]]="отказ",0,MAX(Данные6[[#This Row],[interest_rate]],$C$1))</f>
        <v>0</v>
      </c>
      <c r="V971" s="2">
        <f>MROUND(Данные6[[#This Row],[Минимум 20000]], 100)</f>
        <v>0</v>
      </c>
    </row>
    <row r="972" spans="1:22" x14ac:dyDescent="0.25">
      <c r="A972" s="2">
        <f>'1000_заявлений'!A966</f>
        <v>964</v>
      </c>
      <c r="B972" s="4">
        <f>VALUE(SUBSTITUTE('1000_заявлений'!B966, ".", ","))</f>
        <v>0.67581457335157302</v>
      </c>
      <c r="C972" s="4">
        <f>VALUE(SUBSTITUTE('1000_заявлений'!C966, ".", ","))</f>
        <v>0.26924038916217202</v>
      </c>
      <c r="D972" s="4">
        <f>VALUE(SUBSTITUTE('1000_заявлений'!D966, ".", ","))</f>
        <v>0.51008949999999997</v>
      </c>
      <c r="E972" s="4">
        <f>VALUE(SUBSTITUTE('1000_заявлений'!E966, ".", ","))</f>
        <v>0.13960338</v>
      </c>
      <c r="F972" s="5">
        <f>VALUE(SUBSTITUTE('1000_заявлений'!F966, ".", ","))</f>
        <v>-6748</v>
      </c>
      <c r="G972" s="5">
        <f>VALUE(SUBSTITUTE('1000_заявлений'!G966, ".", ","))</f>
        <v>-10874</v>
      </c>
      <c r="H972" s="5">
        <f>VALUE(SUBSTITUTE('1000_заявлений'!H966, ".", ","))</f>
        <v>-722</v>
      </c>
      <c r="I972" s="4">
        <f>VALUE(SUBSTITUTE('1000_заявлений'!I966, ".", ","))</f>
        <v>6.4285714285714196E-2</v>
      </c>
      <c r="J972" s="4">
        <f>VALUE(SUBSTITUTE('1000_заявлений'!J966, ".", ","))</f>
        <v>5.8519687623644598</v>
      </c>
      <c r="K972" s="5">
        <f>VALUE(SUBSTITUTE('1000_заявлений'!K966, ".", ","))</f>
        <v>-634</v>
      </c>
      <c r="L972" s="6">
        <f>VALUE(SUBSTITUTE('1000_заявлений'!L966, ".", ","))</f>
        <v>20250</v>
      </c>
      <c r="M972" s="2" t="str">
        <f>IF(Данные6[[#This Row],[proba]]&gt;$C$6, "отказ", "одобрение")</f>
        <v>отказ</v>
      </c>
      <c r="N972" s="7">
        <f>IF(Данные6[[#This Row],[proba]]&lt;$D$2,$C$2,IF(Данные6[[#This Row],[proba]]&lt;$D$3,$C$3,IF(Данные6[[#This Row],[proba]]&gt;$C$6,0,$C$4)))</f>
        <v>0</v>
      </c>
      <c r="O972" s="2">
        <f>IF(Данные6[[#This Row],[weighted_ext_score]]&gt;$O$1,MIN(Данные6[[#This Row],[Базовая сумма]]*$O$2,$C$2),IF(Данные6[[#This Row],[weighted_ext_score]]&lt;$O$3,Данные6[[#This Row],[Базовая сумма]]*$O$4,N972))</f>
        <v>0</v>
      </c>
      <c r="P97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2" s="2">
        <f>ABS(Данные6[[#This Row],[days_birth]])/365.2425</f>
        <v>29.77200079399303</v>
      </c>
      <c r="S97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2" s="2">
        <f>IF(Данные6[[#This Row],[ interest_rate]]&gt;$T$1,Данные6[[#This Row],[days_birth4]]*$T$2,Данные6[[#This Row],[days_birth4]])</f>
        <v>0</v>
      </c>
      <c r="U972" s="2">
        <f>IF(Данные6[[#This Row],[Проверка отказа]]="отказ",0,MAX(Данные6[[#This Row],[interest_rate]],$C$1))</f>
        <v>0</v>
      </c>
      <c r="V972" s="2">
        <f>MROUND(Данные6[[#This Row],[Минимум 20000]], 100)</f>
        <v>0</v>
      </c>
    </row>
    <row r="973" spans="1:22" x14ac:dyDescent="0.25">
      <c r="A973" s="2">
        <f>'1000_заявлений'!A967</f>
        <v>965</v>
      </c>
      <c r="B973" s="4">
        <f>VALUE(SUBSTITUTE('1000_заявлений'!B967, ".", ","))</f>
        <v>0.51107623019982495</v>
      </c>
      <c r="C973" s="4">
        <f>VALUE(SUBSTITUTE('1000_заявлений'!C967, ".", ","))</f>
        <v>0.42225861442884399</v>
      </c>
      <c r="D973" s="4">
        <f>VALUE(SUBSTITUTE('1000_заявлений'!D967, ".", ","))</f>
        <v>0.48665314999999998</v>
      </c>
      <c r="E973" s="4">
        <f>VALUE(SUBSTITUTE('1000_заявлений'!E967, ".", ","))</f>
        <v>0.42092025</v>
      </c>
      <c r="F973" s="5">
        <f>VALUE(SUBSTITUTE('1000_заявлений'!F967, ".", ","))</f>
        <v>-353</v>
      </c>
      <c r="G973" s="5">
        <f>VALUE(SUBSTITUTE('1000_заявлений'!G967, ".", ","))</f>
        <v>-11136</v>
      </c>
      <c r="H973" s="5">
        <f>VALUE(SUBSTITUTE('1000_заявлений'!H967, ".", ","))</f>
        <v>-2882</v>
      </c>
      <c r="I973" s="4">
        <f>VALUE(SUBSTITUTE('1000_заявлений'!I967, ".", ","))</f>
        <v>8.6973333333333305E-2</v>
      </c>
      <c r="J973" s="4">
        <f>VALUE(SUBSTITUTE('1000_заявлений'!J967, ".", ","))</f>
        <v>2.5680250504988602</v>
      </c>
      <c r="K973" s="5">
        <f>VALUE(SUBSTITUTE('1000_заявлений'!K967, ".", ","))</f>
        <v>-1654</v>
      </c>
      <c r="L973" s="6">
        <f>VALUE(SUBSTITUTE('1000_заявлений'!L967, ".", ","))</f>
        <v>29353.5</v>
      </c>
      <c r="M973" s="2" t="str">
        <f>IF(Данные6[[#This Row],[proba]]&gt;$C$6, "отказ", "одобрение")</f>
        <v>отказ</v>
      </c>
      <c r="N973" s="7">
        <f>IF(Данные6[[#This Row],[proba]]&lt;$D$2,$C$2,IF(Данные6[[#This Row],[proba]]&lt;$D$3,$C$3,IF(Данные6[[#This Row],[proba]]&gt;$C$6,0,$C$4)))</f>
        <v>0</v>
      </c>
      <c r="O973" s="2">
        <f>IF(Данные6[[#This Row],[weighted_ext_score]]&gt;$O$1,MIN(Данные6[[#This Row],[Базовая сумма]]*$O$2,$C$2),IF(Данные6[[#This Row],[weighted_ext_score]]&lt;$O$3,Данные6[[#This Row],[Базовая сумма]]*$O$4,N973))</f>
        <v>0</v>
      </c>
      <c r="P97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3" s="2">
        <f>ABS(Данные6[[#This Row],[days_birth]])/365.2425</f>
        <v>30.489332429824021</v>
      </c>
      <c r="S97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3" s="2">
        <f>IF(Данные6[[#This Row],[ interest_rate]]&gt;$T$1,Данные6[[#This Row],[days_birth4]]*$T$2,Данные6[[#This Row],[days_birth4]])</f>
        <v>0</v>
      </c>
      <c r="U973" s="2">
        <f>IF(Данные6[[#This Row],[Проверка отказа]]="отказ",0,MAX(Данные6[[#This Row],[interest_rate]],$C$1))</f>
        <v>0</v>
      </c>
      <c r="V973" s="2">
        <f>MROUND(Данные6[[#This Row],[Минимум 20000]], 100)</f>
        <v>0</v>
      </c>
    </row>
    <row r="974" spans="1:22" x14ac:dyDescent="0.25">
      <c r="A974" s="2">
        <f>'1000_заявлений'!A968</f>
        <v>966</v>
      </c>
      <c r="B974" s="4">
        <f>VALUE(SUBSTITUTE('1000_заявлений'!B968, ".", ","))</f>
        <v>0.77414755979234695</v>
      </c>
      <c r="C974" s="4">
        <f>VALUE(SUBSTITUTE('1000_заявлений'!C968, ".", ","))</f>
        <v>4.4607626754800699E-2</v>
      </c>
      <c r="D974" s="4">
        <f>VALUE(SUBSTITUTE('1000_заявлений'!D968, ".", ","))</f>
        <v>0.53527623000000002</v>
      </c>
      <c r="E974" s="4">
        <f>VALUE(SUBSTITUTE('1000_заявлений'!E968, ".", ","))</f>
        <v>0.1375179</v>
      </c>
      <c r="F974" s="5">
        <f>VALUE(SUBSTITUTE('1000_заявлений'!F968, ".", ","))</f>
        <v>0</v>
      </c>
      <c r="G974" s="5">
        <f>VALUE(SUBSTITUTE('1000_заявлений'!G968, ".", ","))</f>
        <v>-12590</v>
      </c>
      <c r="H974" s="5">
        <f>VALUE(SUBSTITUTE('1000_заявлений'!H968, ".", ","))</f>
        <v>-4002</v>
      </c>
      <c r="I974" s="4">
        <f>VALUE(SUBSTITUTE('1000_заявлений'!I968, ".", ","))</f>
        <v>0.183611111111111</v>
      </c>
      <c r="J974" s="4">
        <f>VALUE(SUBSTITUTE('1000_заявлений'!J968, ".", ","))</f>
        <v>3.6173841833722902</v>
      </c>
      <c r="K974" s="5">
        <f>VALUE(SUBSTITUTE('1000_заявлений'!K968, ".", ","))</f>
        <v>-117</v>
      </c>
      <c r="L974" s="6">
        <f>VALUE(SUBSTITUTE('1000_заявлений'!L968, ".", ","))</f>
        <v>14872.5</v>
      </c>
      <c r="M974" s="2" t="str">
        <f>IF(Данные6[[#This Row],[proba]]&gt;$C$6, "отказ", "одобрение")</f>
        <v>отказ</v>
      </c>
      <c r="N974" s="7">
        <f>IF(Данные6[[#This Row],[proba]]&lt;$D$2,$C$2,IF(Данные6[[#This Row],[proba]]&lt;$D$3,$C$3,IF(Данные6[[#This Row],[proba]]&gt;$C$6,0,$C$4)))</f>
        <v>0</v>
      </c>
      <c r="O974" s="2">
        <f>IF(Данные6[[#This Row],[weighted_ext_score]]&gt;$O$1,MIN(Данные6[[#This Row],[Базовая сумма]]*$O$2,$C$2),IF(Данные6[[#This Row],[weighted_ext_score]]&lt;$O$3,Данные6[[#This Row],[Базовая сумма]]*$O$4,N974))</f>
        <v>0</v>
      </c>
      <c r="P97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4" s="2">
        <f>ABS(Данные6[[#This Row],[days_birth]])/365.2425</f>
        <v>34.470249217985312</v>
      </c>
      <c r="S97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4" s="2">
        <f>IF(Данные6[[#This Row],[ interest_rate]]&gt;$T$1,Данные6[[#This Row],[days_birth4]]*$T$2,Данные6[[#This Row],[days_birth4]])</f>
        <v>0</v>
      </c>
      <c r="U974" s="2">
        <f>IF(Данные6[[#This Row],[Проверка отказа]]="отказ",0,MAX(Данные6[[#This Row],[interest_rate]],$C$1))</f>
        <v>0</v>
      </c>
      <c r="V974" s="2">
        <f>MROUND(Данные6[[#This Row],[Минимум 20000]], 100)</f>
        <v>0</v>
      </c>
    </row>
    <row r="975" spans="1:22" x14ac:dyDescent="0.25">
      <c r="A975" s="2">
        <f>'1000_заявлений'!A969</f>
        <v>967</v>
      </c>
      <c r="B975" s="4">
        <f>VALUE(SUBSTITUTE('1000_заявлений'!B969, ".", ","))</f>
        <v>0.53741759765721198</v>
      </c>
      <c r="C975" s="4">
        <f>VALUE(SUBSTITUTE('1000_заявлений'!C969, ".", ","))</f>
        <v>0.31033269235965699</v>
      </c>
      <c r="D975" s="4">
        <f>VALUE(SUBSTITUTE('1000_заявлений'!D969, ".", ","))</f>
        <v>0.57091652999999998</v>
      </c>
      <c r="E975" s="4">
        <f>VALUE(SUBSTITUTE('1000_заявлений'!E969, ".", ","))</f>
        <v>0.32015786000000002</v>
      </c>
      <c r="F975" s="5">
        <f>VALUE(SUBSTITUTE('1000_заявлений'!F969, ".", ","))</f>
        <v>-10571</v>
      </c>
      <c r="G975" s="5">
        <f>VALUE(SUBSTITUTE('1000_заявлений'!G969, ".", ","))</f>
        <v>-18027</v>
      </c>
      <c r="H975" s="5">
        <f>VALUE(SUBSTITUTE('1000_заявлений'!H969, ".", ","))</f>
        <v>-1500</v>
      </c>
      <c r="I975" s="4">
        <f>VALUE(SUBSTITUTE('1000_заявлений'!I969, ".", ","))</f>
        <v>0.21128571428571399</v>
      </c>
      <c r="J975" s="4">
        <f>VALUE(SUBSTITUTE('1000_заявлений'!J969, ".", ","))</f>
        <v>2.7750950317010799</v>
      </c>
      <c r="K975" s="5">
        <f>VALUE(SUBSTITUTE('1000_заявлений'!K969, ".", ","))</f>
        <v>-199</v>
      </c>
      <c r="L975" s="6">
        <f>VALUE(SUBSTITUTE('1000_заявлений'!L969, ".", ","))</f>
        <v>39933</v>
      </c>
      <c r="M975" s="2" t="str">
        <f>IF(Данные6[[#This Row],[proba]]&gt;$C$6, "отказ", "одобрение")</f>
        <v>отказ</v>
      </c>
      <c r="N975" s="7">
        <f>IF(Данные6[[#This Row],[proba]]&lt;$D$2,$C$2,IF(Данные6[[#This Row],[proba]]&lt;$D$3,$C$3,IF(Данные6[[#This Row],[proba]]&gt;$C$6,0,$C$4)))</f>
        <v>0</v>
      </c>
      <c r="O975" s="2">
        <f>IF(Данные6[[#This Row],[weighted_ext_score]]&gt;$O$1,MIN(Данные6[[#This Row],[Базовая сумма]]*$O$2,$C$2),IF(Данные6[[#This Row],[weighted_ext_score]]&lt;$O$3,Данные6[[#This Row],[Базовая сумма]]*$O$4,N975))</f>
        <v>0</v>
      </c>
      <c r="P97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5" s="2">
        <f>ABS(Данные6[[#This Row],[days_birth]])/365.2425</f>
        <v>49.356249614981827</v>
      </c>
      <c r="S97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5" s="2">
        <f>IF(Данные6[[#This Row],[ interest_rate]]&gt;$T$1,Данные6[[#This Row],[days_birth4]]*$T$2,Данные6[[#This Row],[days_birth4]])</f>
        <v>0</v>
      </c>
      <c r="U975" s="2">
        <f>IF(Данные6[[#This Row],[Проверка отказа]]="отказ",0,MAX(Данные6[[#This Row],[interest_rate]],$C$1))</f>
        <v>0</v>
      </c>
      <c r="V975" s="2">
        <f>MROUND(Данные6[[#This Row],[Минимум 20000]], 100)</f>
        <v>0</v>
      </c>
    </row>
    <row r="976" spans="1:22" x14ac:dyDescent="0.25">
      <c r="A976" s="2">
        <f>'1000_заявлений'!A970</f>
        <v>968</v>
      </c>
      <c r="B976" s="4">
        <f>VALUE(SUBSTITUTE('1000_заявлений'!B970, ".", ","))</f>
        <v>0.40606921176376098</v>
      </c>
      <c r="C976" s="4">
        <f>VALUE(SUBSTITUTE('1000_заявлений'!C970, ".", ","))</f>
        <v>0.54251289322705198</v>
      </c>
      <c r="D976" s="4">
        <f>VALUE(SUBSTITUTE('1000_заявлений'!D970, ".", ","))</f>
        <v>0.55494679999999996</v>
      </c>
      <c r="E976" s="4">
        <f>VALUE(SUBSTITUTE('1000_заявлений'!E970, ".", ","))</f>
        <v>0.55387589999999998</v>
      </c>
      <c r="F976" s="5">
        <f>VALUE(SUBSTITUTE('1000_заявлений'!F970, ".", ","))</f>
        <v>-225</v>
      </c>
      <c r="G976" s="5">
        <f>VALUE(SUBSTITUTE('1000_заявлений'!G970, ".", ","))</f>
        <v>-10878</v>
      </c>
      <c r="H976" s="5">
        <f>VALUE(SUBSTITUTE('1000_заявлений'!H970, ".", ","))</f>
        <v>-3424</v>
      </c>
      <c r="I976" s="4">
        <f>VALUE(SUBSTITUTE('1000_заявлений'!I970, ".", ","))</f>
        <v>0.2321</v>
      </c>
      <c r="J976" s="4">
        <f>VALUE(SUBSTITUTE('1000_заявлений'!J970, ".", ","))</f>
        <v>0.66233239007120703</v>
      </c>
      <c r="K976" s="5">
        <f>VALUE(SUBSTITUTE('1000_заявлений'!K970, ".", ","))</f>
        <v>-1912</v>
      </c>
      <c r="L976" s="6">
        <f>VALUE(SUBSTITUTE('1000_заявлений'!L970, ".", ","))</f>
        <v>31333.5</v>
      </c>
      <c r="M976" s="2" t="str">
        <f>IF(Данные6[[#This Row],[proba]]&gt;$C$6, "отказ", "одобрение")</f>
        <v>отказ</v>
      </c>
      <c r="N976" s="7">
        <f>IF(Данные6[[#This Row],[proba]]&lt;$D$2,$C$2,IF(Данные6[[#This Row],[proba]]&lt;$D$3,$C$3,IF(Данные6[[#This Row],[proba]]&gt;$C$6,0,$C$4)))</f>
        <v>0</v>
      </c>
      <c r="O976" s="2">
        <f>IF(Данные6[[#This Row],[weighted_ext_score]]&gt;$O$1,MIN(Данные6[[#This Row],[Базовая сумма]]*$O$2,$C$2),IF(Данные6[[#This Row],[weighted_ext_score]]&lt;$O$3,Данные6[[#This Row],[Базовая сумма]]*$O$4,N976))</f>
        <v>0</v>
      </c>
      <c r="P97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6" s="2">
        <f>ABS(Данные6[[#This Row],[days_birth]])/365.2425</f>
        <v>29.782952422020987</v>
      </c>
      <c r="S97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6" s="2">
        <f>IF(Данные6[[#This Row],[ interest_rate]]&gt;$T$1,Данные6[[#This Row],[days_birth4]]*$T$2,Данные6[[#This Row],[days_birth4]])</f>
        <v>0</v>
      </c>
      <c r="U976" s="2">
        <f>IF(Данные6[[#This Row],[Проверка отказа]]="отказ",0,MAX(Данные6[[#This Row],[interest_rate]],$C$1))</f>
        <v>0</v>
      </c>
      <c r="V976" s="2">
        <f>MROUND(Данные6[[#This Row],[Минимум 20000]], 100)</f>
        <v>0</v>
      </c>
    </row>
    <row r="977" spans="1:22" x14ac:dyDescent="0.25">
      <c r="A977" s="2">
        <f>'1000_заявлений'!A971</f>
        <v>969</v>
      </c>
      <c r="B977" s="4">
        <f>VALUE(SUBSTITUTE('1000_заявлений'!B971, ".", ","))</f>
        <v>0.83577088043446701</v>
      </c>
      <c r="C977" s="4">
        <f>VALUE(SUBSTITUTE('1000_заявлений'!C971, ".", ","))</f>
        <v>0.12054960137869</v>
      </c>
      <c r="D977" s="4">
        <f>VALUE(SUBSTITUTE('1000_заявлений'!D971, ".", ","))</f>
        <v>5.2036409999999998E-2</v>
      </c>
      <c r="E977" s="4">
        <f>VALUE(SUBSTITUTE('1000_заявлений'!E971, ".", ","))</f>
        <v>0.31361612999999999</v>
      </c>
      <c r="F977" s="5">
        <f>VALUE(SUBSTITUTE('1000_заявлений'!F971, ".", ","))</f>
        <v>-4593</v>
      </c>
      <c r="G977" s="5">
        <f>VALUE(SUBSTITUTE('1000_заявлений'!G971, ".", ","))</f>
        <v>-15730</v>
      </c>
      <c r="H977" s="5">
        <f>VALUE(SUBSTITUTE('1000_заявлений'!H971, ".", ","))</f>
        <v>-937</v>
      </c>
      <c r="I977" s="4">
        <f>VALUE(SUBSTITUTE('1000_заявлений'!I971, ".", ","))</f>
        <v>9.7866666666666602E-2</v>
      </c>
      <c r="J977" s="4">
        <f>VALUE(SUBSTITUTE('1000_заявлений'!J971, ".", ","))</f>
        <v>9.2239530794927092</v>
      </c>
      <c r="K977" s="5">
        <f>VALUE(SUBSTITUTE('1000_заявлений'!K971, ".", ","))</f>
        <v>-3941</v>
      </c>
      <c r="L977" s="6">
        <f>VALUE(SUBSTITUTE('1000_заявлений'!L971, ".", ","))</f>
        <v>13212</v>
      </c>
      <c r="M977" s="2" t="str">
        <f>IF(Данные6[[#This Row],[proba]]&gt;$C$6, "отказ", "одобрение")</f>
        <v>отказ</v>
      </c>
      <c r="N977" s="7">
        <f>IF(Данные6[[#This Row],[proba]]&lt;$D$2,$C$2,IF(Данные6[[#This Row],[proba]]&lt;$D$3,$C$3,IF(Данные6[[#This Row],[proba]]&gt;$C$6,0,$C$4)))</f>
        <v>0</v>
      </c>
      <c r="O977" s="2">
        <f>IF(Данные6[[#This Row],[weighted_ext_score]]&gt;$O$1,MIN(Данные6[[#This Row],[Базовая сумма]]*$O$2,$C$2),IF(Данные6[[#This Row],[weighted_ext_score]]&lt;$O$3,Данные6[[#This Row],[Базовая сумма]]*$O$4,N977))</f>
        <v>0</v>
      </c>
      <c r="P97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7" s="2">
        <f>ABS(Данные6[[#This Row],[days_birth]])/365.2425</f>
        <v>43.067277219929224</v>
      </c>
      <c r="S97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7" s="2">
        <f>IF(Данные6[[#This Row],[ interest_rate]]&gt;$T$1,Данные6[[#This Row],[days_birth4]]*$T$2,Данные6[[#This Row],[days_birth4]])</f>
        <v>0</v>
      </c>
      <c r="U977" s="2">
        <f>IF(Данные6[[#This Row],[Проверка отказа]]="отказ",0,MAX(Данные6[[#This Row],[interest_rate]],$C$1))</f>
        <v>0</v>
      </c>
      <c r="V977" s="2">
        <f>MROUND(Данные6[[#This Row],[Минимум 20000]], 100)</f>
        <v>0</v>
      </c>
    </row>
    <row r="978" spans="1:22" x14ac:dyDescent="0.25">
      <c r="A978" s="2">
        <f>'1000_заявлений'!A972</f>
        <v>970</v>
      </c>
      <c r="B978" s="4">
        <f>VALUE(SUBSTITUTE('1000_заявлений'!B972, ".", ","))</f>
        <v>0.57095081492608302</v>
      </c>
      <c r="C978" s="4">
        <f>VALUE(SUBSTITUTE('1000_заявлений'!C972, ".", ","))</f>
        <v>0.42170279896893198</v>
      </c>
      <c r="D978" s="4">
        <f>VALUE(SUBSTITUTE('1000_заявлений'!D972, ".", ","))</f>
        <v>0.38933879999999998</v>
      </c>
      <c r="E978" s="4">
        <f>VALUE(SUBSTITUTE('1000_заявлений'!E972, ".", ","))</f>
        <v>0.53968439999999995</v>
      </c>
      <c r="F978" s="5">
        <f>VALUE(SUBSTITUTE('1000_заявлений'!F972, ".", ","))</f>
        <v>-654</v>
      </c>
      <c r="G978" s="5">
        <f>VALUE(SUBSTITUTE('1000_заявлений'!G972, ".", ","))</f>
        <v>-14379</v>
      </c>
      <c r="H978" s="5">
        <f>VALUE(SUBSTITUTE('1000_заявлений'!H972, ".", ","))</f>
        <v>-640</v>
      </c>
      <c r="I978" s="4">
        <f>VALUE(SUBSTITUTE('1000_заявлений'!I972, ".", ","))</f>
        <v>0.241629629629629</v>
      </c>
      <c r="J978" s="4">
        <f>VALUE(SUBSTITUTE('1000_заявлений'!J972, ".", ","))</f>
        <v>0.42329162172192097</v>
      </c>
      <c r="K978" s="5">
        <f>VALUE(SUBSTITUTE('1000_заявлений'!K972, ".", ","))</f>
        <v>-7174</v>
      </c>
      <c r="L978" s="6">
        <f>VALUE(SUBSTITUTE('1000_заявлений'!L972, ".", ","))</f>
        <v>29358</v>
      </c>
      <c r="M978" s="2" t="str">
        <f>IF(Данные6[[#This Row],[proba]]&gt;$C$6, "отказ", "одобрение")</f>
        <v>отказ</v>
      </c>
      <c r="N978" s="7">
        <f>IF(Данные6[[#This Row],[proba]]&lt;$D$2,$C$2,IF(Данные6[[#This Row],[proba]]&lt;$D$3,$C$3,IF(Данные6[[#This Row],[proba]]&gt;$C$6,0,$C$4)))</f>
        <v>0</v>
      </c>
      <c r="O978" s="2">
        <f>IF(Данные6[[#This Row],[weighted_ext_score]]&gt;$O$1,MIN(Данные6[[#This Row],[Базовая сумма]]*$O$2,$C$2),IF(Данные6[[#This Row],[weighted_ext_score]]&lt;$O$3,Данные6[[#This Row],[Базовая сумма]]*$O$4,N978))</f>
        <v>0</v>
      </c>
      <c r="P97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7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78" s="2">
        <f>ABS(Данные6[[#This Row],[days_birth]])/365.2425</f>
        <v>39.368364853487748</v>
      </c>
      <c r="S97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78" s="2">
        <f>IF(Данные6[[#This Row],[ interest_rate]]&gt;$T$1,Данные6[[#This Row],[days_birth4]]*$T$2,Данные6[[#This Row],[days_birth4]])</f>
        <v>0</v>
      </c>
      <c r="U978" s="2">
        <f>IF(Данные6[[#This Row],[Проверка отказа]]="отказ",0,MAX(Данные6[[#This Row],[interest_rate]],$C$1))</f>
        <v>0</v>
      </c>
      <c r="V978" s="2">
        <f>MROUND(Данные6[[#This Row],[Минимум 20000]], 100)</f>
        <v>0</v>
      </c>
    </row>
    <row r="979" spans="1:22" x14ac:dyDescent="0.25">
      <c r="A979" s="2">
        <f>'1000_заявлений'!A973</f>
        <v>971</v>
      </c>
      <c r="B979" s="4">
        <f>VALUE(SUBSTITUTE('1000_заявлений'!B973, ".", ","))</f>
        <v>0.269364176505826</v>
      </c>
      <c r="C979" s="4">
        <f>VALUE(SUBSTITUTE('1000_заявлений'!C973, ".", ","))</f>
        <v>0.44805514848232397</v>
      </c>
      <c r="D979" s="4">
        <f>VALUE(SUBSTITUTE('1000_заявлений'!D973, ".", ","))</f>
        <v>0.70769936</v>
      </c>
      <c r="E979" s="4">
        <f>VALUE(SUBSTITUTE('1000_заявлений'!E973, ".", ","))</f>
        <v>0.59222660000000005</v>
      </c>
      <c r="F979" s="5">
        <f>VALUE(SUBSTITUTE('1000_заявлений'!F973, ".", ","))</f>
        <v>-3074</v>
      </c>
      <c r="G979" s="5">
        <f>VALUE(SUBSTITUTE('1000_заявлений'!G973, ".", ","))</f>
        <v>-12718</v>
      </c>
      <c r="H979" s="5">
        <f>VALUE(SUBSTITUTE('1000_заявлений'!H973, ".", ","))</f>
        <v>-4702</v>
      </c>
      <c r="I979" s="4">
        <f>VALUE(SUBSTITUTE('1000_заявлений'!I973, ".", ","))</f>
        <v>0.107636363636363</v>
      </c>
      <c r="J979" s="4">
        <f>VALUE(SUBSTITUTE('1000_заявлений'!J973, ".", ","))</f>
        <v>7.9620143797618903</v>
      </c>
      <c r="K979" s="5">
        <f>VALUE(SUBSTITUTE('1000_заявлений'!K973, ".", ","))</f>
        <v>-4756</v>
      </c>
      <c r="L979" s="6">
        <f>VALUE(SUBSTITUTE('1000_заявлений'!L973, ".", ","))</f>
        <v>26640</v>
      </c>
      <c r="M979" s="2" t="str">
        <f>IF(Данные6[[#This Row],[proba]]&gt;$C$6, "отказ", "одобрение")</f>
        <v>одобрение</v>
      </c>
      <c r="N979" s="7">
        <f>IF(Данные6[[#This Row],[proba]]&lt;$D$2,$C$2,IF(Данные6[[#This Row],[proba]]&lt;$D$3,$C$3,IF(Данные6[[#This Row],[proba]]&gt;$C$6,0,$C$4)))</f>
        <v>50000</v>
      </c>
      <c r="O979" s="2">
        <f>IF(Данные6[[#This Row],[weighted_ext_score]]&gt;$O$1,MIN(Данные6[[#This Row],[Базовая сумма]]*$O$2,$C$2),IF(Данные6[[#This Row],[weighted_ext_score]]&lt;$O$3,Данные6[[#This Row],[Базовая сумма]]*$O$4,N979))</f>
        <v>40000</v>
      </c>
      <c r="P97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7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48000</v>
      </c>
      <c r="R979" s="2">
        <f>ABS(Данные6[[#This Row],[days_birth]])/365.2425</f>
        <v>34.820701314879841</v>
      </c>
      <c r="S97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48000</v>
      </c>
      <c r="T979" s="2">
        <f>IF(Данные6[[#This Row],[ interest_rate]]&gt;$T$1,Данные6[[#This Row],[days_birth4]]*$T$2,Данные6[[#This Row],[days_birth4]])</f>
        <v>48000</v>
      </c>
      <c r="U979" s="2">
        <f>IF(Данные6[[#This Row],[Проверка отказа]]="отказ",0,MAX(Данные6[[#This Row],[interest_rate]],$C$1))</f>
        <v>48000</v>
      </c>
      <c r="V979" s="2">
        <f>MROUND(Данные6[[#This Row],[Минимум 20000]], 100)</f>
        <v>48000</v>
      </c>
    </row>
    <row r="980" spans="1:22" x14ac:dyDescent="0.25">
      <c r="A980" s="2">
        <f>'1000_заявлений'!A974</f>
        <v>972</v>
      </c>
      <c r="B980" s="4">
        <f>VALUE(SUBSTITUTE('1000_заявлений'!B974, ".", ","))</f>
        <v>0.30328795014071203</v>
      </c>
      <c r="C980" s="4">
        <f>VALUE(SUBSTITUTE('1000_заявлений'!C974, ".", ","))</f>
        <v>0.53242521234677098</v>
      </c>
      <c r="D980" s="4">
        <f>VALUE(SUBSTITUTE('1000_заявлений'!D974, ".", ","))</f>
        <v>0.49927201999999998</v>
      </c>
      <c r="E980" s="4">
        <f>VALUE(SUBSTITUTE('1000_заявлений'!E974, ".", ","))</f>
        <v>0.7389696</v>
      </c>
      <c r="F980" s="5">
        <f>VALUE(SUBSTITUTE('1000_заявлений'!F974, ".", ","))</f>
        <v>-8499</v>
      </c>
      <c r="G980" s="5">
        <f>VALUE(SUBSTITUTE('1000_заявлений'!G974, ".", ","))</f>
        <v>-10097</v>
      </c>
      <c r="H980" s="5">
        <f>VALUE(SUBSTITUTE('1000_заявлений'!H974, ".", ","))</f>
        <v>-2722</v>
      </c>
      <c r="I980" s="4">
        <f>VALUE(SUBSTITUTE('1000_заявлений'!I974, ".", ","))</f>
        <v>0.14285714285714199</v>
      </c>
      <c r="J980" s="4">
        <f>VALUE(SUBSTITUTE('1000_заявлений'!J974, ".", ","))</f>
        <v>10.6209759779781</v>
      </c>
      <c r="K980" s="5">
        <f>VALUE(SUBSTITUTE('1000_заявлений'!K974, ".", ","))</f>
        <v>-2651</v>
      </c>
      <c r="L980" s="6">
        <f>VALUE(SUBSTITUTE('1000_заявлений'!L974, ".", ","))</f>
        <v>11250</v>
      </c>
      <c r="M980" s="2" t="str">
        <f>IF(Данные6[[#This Row],[proba]]&gt;$C$6, "отказ", "одобрение")</f>
        <v>отказ</v>
      </c>
      <c r="N980" s="7">
        <f>IF(Данные6[[#This Row],[proba]]&lt;$D$2,$C$2,IF(Данные6[[#This Row],[proba]]&lt;$D$3,$C$3,IF(Данные6[[#This Row],[proba]]&gt;$C$6,0,$C$4)))</f>
        <v>0</v>
      </c>
      <c r="O980" s="2">
        <f>IF(Данные6[[#This Row],[weighted_ext_score]]&gt;$O$1,MIN(Данные6[[#This Row],[Базовая сумма]]*$O$2,$C$2),IF(Данные6[[#This Row],[weighted_ext_score]]&lt;$O$3,Данные6[[#This Row],[Базовая сумма]]*$O$4,N980))</f>
        <v>0</v>
      </c>
      <c r="P98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0" s="2">
        <f>ABS(Данные6[[#This Row],[days_birth]])/365.2425</f>
        <v>27.644647049562963</v>
      </c>
      <c r="S98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0" s="2">
        <f>IF(Данные6[[#This Row],[ interest_rate]]&gt;$T$1,Данные6[[#This Row],[days_birth4]]*$T$2,Данные6[[#This Row],[days_birth4]])</f>
        <v>0</v>
      </c>
      <c r="U980" s="2">
        <f>IF(Данные6[[#This Row],[Проверка отказа]]="отказ",0,MAX(Данные6[[#This Row],[interest_rate]],$C$1))</f>
        <v>0</v>
      </c>
      <c r="V980" s="2">
        <f>MROUND(Данные6[[#This Row],[Минимум 20000]], 100)</f>
        <v>0</v>
      </c>
    </row>
    <row r="981" spans="1:22" x14ac:dyDescent="0.25">
      <c r="A981" s="2">
        <f>'1000_заявлений'!A975</f>
        <v>973</v>
      </c>
      <c r="B981" s="4">
        <f>VALUE(SUBSTITUTE('1000_заявлений'!B975, ".", ","))</f>
        <v>0.53044577012455496</v>
      </c>
      <c r="C981" s="4">
        <f>VALUE(SUBSTITUTE('1000_заявлений'!C975, ".", ","))</f>
        <v>0.28092436932353099</v>
      </c>
      <c r="D981" s="4">
        <f>VALUE(SUBSTITUTE('1000_заявлений'!D975, ".", ","))</f>
        <v>0.70918910000000002</v>
      </c>
      <c r="E981" s="4">
        <f>VALUE(SUBSTITUTE('1000_заявлений'!E975, ".", ","))</f>
        <v>7.5329190000000004E-2</v>
      </c>
      <c r="F981" s="5">
        <f>VALUE(SUBSTITUTE('1000_заявлений'!F975, ".", ","))</f>
        <v>-10582</v>
      </c>
      <c r="G981" s="5">
        <f>VALUE(SUBSTITUTE('1000_заявлений'!G975, ".", ","))</f>
        <v>-21997</v>
      </c>
      <c r="H981" s="5">
        <f>VALUE(SUBSTITUTE('1000_заявлений'!H975, ".", ","))</f>
        <v>-4299</v>
      </c>
      <c r="I981" s="4">
        <f>VALUE(SUBSTITUTE('1000_заявлений'!I975, ".", ","))</f>
        <v>0.171133333333333</v>
      </c>
      <c r="J981" s="4">
        <f>VALUE(SUBSTITUTE('1000_заявлений'!J975, ".", ","))</f>
        <v>2.8559285513540802</v>
      </c>
      <c r="K981" s="5">
        <f>VALUE(SUBSTITUTE('1000_заявлений'!K975, ".", ","))</f>
        <v>-3323</v>
      </c>
      <c r="L981" s="6">
        <f>VALUE(SUBSTITUTE('1000_заявлений'!L975, ".", ","))</f>
        <v>23103</v>
      </c>
      <c r="M981" s="2" t="str">
        <f>IF(Данные6[[#This Row],[proba]]&gt;$C$6, "отказ", "одобрение")</f>
        <v>отказ</v>
      </c>
      <c r="N981" s="7">
        <f>IF(Данные6[[#This Row],[proba]]&lt;$D$2,$C$2,IF(Данные6[[#This Row],[proba]]&lt;$D$3,$C$3,IF(Данные6[[#This Row],[proba]]&gt;$C$6,0,$C$4)))</f>
        <v>0</v>
      </c>
      <c r="O981" s="2">
        <f>IF(Данные6[[#This Row],[weighted_ext_score]]&gt;$O$1,MIN(Данные6[[#This Row],[Базовая сумма]]*$O$2,$C$2),IF(Данные6[[#This Row],[weighted_ext_score]]&lt;$O$3,Данные6[[#This Row],[Базовая сумма]]*$O$4,N981))</f>
        <v>0</v>
      </c>
      <c r="P98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1" s="2">
        <f>ABS(Данные6[[#This Row],[days_birth]])/365.2425</f>
        <v>60.225740432726198</v>
      </c>
      <c r="S98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1" s="2">
        <f>IF(Данные6[[#This Row],[ interest_rate]]&gt;$T$1,Данные6[[#This Row],[days_birth4]]*$T$2,Данные6[[#This Row],[days_birth4]])</f>
        <v>0</v>
      </c>
      <c r="U981" s="2">
        <f>IF(Данные6[[#This Row],[Проверка отказа]]="отказ",0,MAX(Данные6[[#This Row],[interest_rate]],$C$1))</f>
        <v>0</v>
      </c>
      <c r="V981" s="2">
        <f>MROUND(Данные6[[#This Row],[Минимум 20000]], 100)</f>
        <v>0</v>
      </c>
    </row>
    <row r="982" spans="1:22" x14ac:dyDescent="0.25">
      <c r="A982" s="2">
        <f>'1000_заявлений'!A976</f>
        <v>974</v>
      </c>
      <c r="B982" s="4">
        <f>VALUE(SUBSTITUTE('1000_заявлений'!B976, ".", ","))</f>
        <v>0.33430162286987403</v>
      </c>
      <c r="C982" s="4">
        <f>VALUE(SUBSTITUTE('1000_заявлений'!C976, ".", ","))</f>
        <v>0.40173046408206198</v>
      </c>
      <c r="D982" s="4">
        <f>VALUE(SUBSTITUTE('1000_заявлений'!D976, ".", ","))</f>
        <v>0.7267112</v>
      </c>
      <c r="E982" s="4">
        <f>VALUE(SUBSTITUTE('1000_заявлений'!E976, ".", ","))</f>
        <v>0.42821795000000001</v>
      </c>
      <c r="F982" s="5">
        <f>VALUE(SUBSTITUTE('1000_заявлений'!F976, ".", ","))</f>
        <v>-8199</v>
      </c>
      <c r="G982" s="5">
        <f>VALUE(SUBSTITUTE('1000_заявлений'!G976, ".", ","))</f>
        <v>-20070</v>
      </c>
      <c r="H982" s="5">
        <f>VALUE(SUBSTITUTE('1000_заявлений'!H976, ".", ","))</f>
        <v>-3313</v>
      </c>
      <c r="I982" s="4">
        <f>VALUE(SUBSTITUTE('1000_заявлений'!I976, ".", ","))</f>
        <v>0.16619999999999999</v>
      </c>
      <c r="J982" s="4">
        <f>VALUE(SUBSTITUTE('1000_заявлений'!J976, ".", ","))</f>
        <v>4.6383977884151397</v>
      </c>
      <c r="K982" s="5">
        <f>VALUE(SUBSTITUTE('1000_заявлений'!K976, ".", ","))</f>
        <v>-12185</v>
      </c>
      <c r="L982" s="6">
        <f>VALUE(SUBSTITUTE('1000_заявлений'!L976, ".", ","))</f>
        <v>22437</v>
      </c>
      <c r="M982" s="2" t="str">
        <f>IF(Данные6[[#This Row],[proba]]&gt;$C$6, "отказ", "одобрение")</f>
        <v>отказ</v>
      </c>
      <c r="N982" s="7">
        <f>IF(Данные6[[#This Row],[proba]]&lt;$D$2,$C$2,IF(Данные6[[#This Row],[proba]]&lt;$D$3,$C$3,IF(Данные6[[#This Row],[proba]]&gt;$C$6,0,$C$4)))</f>
        <v>0</v>
      </c>
      <c r="O982" s="2">
        <f>IF(Данные6[[#This Row],[weighted_ext_score]]&gt;$O$1,MIN(Данные6[[#This Row],[Базовая сумма]]*$O$2,$C$2),IF(Данные6[[#This Row],[weighted_ext_score]]&lt;$O$3,Данные6[[#This Row],[Базовая сумма]]*$O$4,N982))</f>
        <v>0</v>
      </c>
      <c r="P98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2" s="2">
        <f>ABS(Данные6[[#This Row],[days_birth]])/365.2425</f>
        <v>54.94979363025935</v>
      </c>
      <c r="S98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2" s="2">
        <f>IF(Данные6[[#This Row],[ interest_rate]]&gt;$T$1,Данные6[[#This Row],[days_birth4]]*$T$2,Данные6[[#This Row],[days_birth4]])</f>
        <v>0</v>
      </c>
      <c r="U982" s="2">
        <f>IF(Данные6[[#This Row],[Проверка отказа]]="отказ",0,MAX(Данные6[[#This Row],[interest_rate]],$C$1))</f>
        <v>0</v>
      </c>
      <c r="V982" s="2">
        <f>MROUND(Данные6[[#This Row],[Минимум 20000]], 100)</f>
        <v>0</v>
      </c>
    </row>
    <row r="983" spans="1:22" x14ac:dyDescent="0.25">
      <c r="A983" s="2">
        <f>'1000_заявлений'!A977</f>
        <v>975</v>
      </c>
      <c r="B983" s="4">
        <f>VALUE(SUBSTITUTE('1000_заявлений'!B977, ".", ","))</f>
        <v>0.43570569259734598</v>
      </c>
      <c r="C983" s="4">
        <f>VALUE(SUBSTITUTE('1000_заявлений'!C977, ".", ","))</f>
        <v>0.32916385844097101</v>
      </c>
      <c r="D983" s="4">
        <f>VALUE(SUBSTITUTE('1000_заявлений'!D977, ".", ","))</f>
        <v>0.49746889999999999</v>
      </c>
      <c r="E983" s="4">
        <f>VALUE(SUBSTITUTE('1000_заявлений'!E977, ".", ","))</f>
        <v>0.46010202</v>
      </c>
      <c r="F983" s="5">
        <f>VALUE(SUBSTITUTE('1000_заявлений'!F977, ".", ","))</f>
        <v>-5338</v>
      </c>
      <c r="G983" s="5">
        <f>VALUE(SUBSTITUTE('1000_заявлений'!G977, ".", ","))</f>
        <v>-20915</v>
      </c>
      <c r="H983" s="5">
        <f>VALUE(SUBSTITUTE('1000_заявлений'!H977, ".", ","))</f>
        <v>-1064</v>
      </c>
      <c r="I983" s="4">
        <f>VALUE(SUBSTITUTE('1000_заявлений'!I977, ".", ","))</f>
        <v>8.2285714285714198E-2</v>
      </c>
      <c r="J983" s="4">
        <f>VALUE(SUBSTITUTE('1000_заявлений'!J977, ".", ","))</f>
        <v>4.2169178703376797</v>
      </c>
      <c r="K983" s="5">
        <f>VALUE(SUBSTITUTE('1000_заявлений'!K977, ".", ","))</f>
        <v>365243</v>
      </c>
      <c r="L983" s="6">
        <f>VALUE(SUBSTITUTE('1000_заявлений'!L977, ".", ","))</f>
        <v>10368</v>
      </c>
      <c r="M983" s="2" t="str">
        <f>IF(Данные6[[#This Row],[proba]]&gt;$C$6, "отказ", "одобрение")</f>
        <v>отказ</v>
      </c>
      <c r="N983" s="7">
        <f>IF(Данные6[[#This Row],[proba]]&lt;$D$2,$C$2,IF(Данные6[[#This Row],[proba]]&lt;$D$3,$C$3,IF(Данные6[[#This Row],[proba]]&gt;$C$6,0,$C$4)))</f>
        <v>0</v>
      </c>
      <c r="O983" s="2">
        <f>IF(Данные6[[#This Row],[weighted_ext_score]]&gt;$O$1,MIN(Данные6[[#This Row],[Базовая сумма]]*$O$2,$C$2),IF(Данные6[[#This Row],[weighted_ext_score]]&lt;$O$3,Данные6[[#This Row],[Базовая сумма]]*$O$4,N983))</f>
        <v>0</v>
      </c>
      <c r="P98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3" s="2">
        <f>ABS(Данные6[[#This Row],[days_birth]])/365.2425</f>
        <v>57.263325051164635</v>
      </c>
      <c r="S98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3" s="2">
        <f>IF(Данные6[[#This Row],[ interest_rate]]&gt;$T$1,Данные6[[#This Row],[days_birth4]]*$T$2,Данные6[[#This Row],[days_birth4]])</f>
        <v>0</v>
      </c>
      <c r="U983" s="2">
        <f>IF(Данные6[[#This Row],[Проверка отказа]]="отказ",0,MAX(Данные6[[#This Row],[interest_rate]],$C$1))</f>
        <v>0</v>
      </c>
      <c r="V983" s="2">
        <f>MROUND(Данные6[[#This Row],[Минимум 20000]], 100)</f>
        <v>0</v>
      </c>
    </row>
    <row r="984" spans="1:22" x14ac:dyDescent="0.25">
      <c r="A984" s="2">
        <f>'1000_заявлений'!A978</f>
        <v>976</v>
      </c>
      <c r="B984" s="4">
        <f>VALUE(SUBSTITUTE('1000_заявлений'!B978, ".", ","))</f>
        <v>0.57398867583357105</v>
      </c>
      <c r="C984" s="4">
        <f>VALUE(SUBSTITUTE('1000_заявлений'!C978, ".", ","))</f>
        <v>0.33914927610582202</v>
      </c>
      <c r="D984" s="4">
        <f>VALUE(SUBSTITUTE('1000_заявлений'!D978, ".", ","))</f>
        <v>0.75306740000000005</v>
      </c>
      <c r="E984" s="4">
        <f>VALUE(SUBSTITUTE('1000_заявлений'!E978, ".", ","))</f>
        <v>0.20590457000000001</v>
      </c>
      <c r="F984" s="5">
        <f>VALUE(SUBSTITUTE('1000_заявлений'!F978, ".", ","))</f>
        <v>-7675</v>
      </c>
      <c r="G984" s="5">
        <f>VALUE(SUBSTITUTE('1000_заявлений'!G978, ".", ","))</f>
        <v>-16120</v>
      </c>
      <c r="H984" s="5">
        <f>VALUE(SUBSTITUTE('1000_заявлений'!H978, ".", ","))</f>
        <v>-4377</v>
      </c>
      <c r="I984" s="4">
        <f>VALUE(SUBSTITUTE('1000_заявлений'!I978, ".", ","))</f>
        <v>0.60389999999999999</v>
      </c>
      <c r="J984" s="4">
        <f>VALUE(SUBSTITUTE('1000_заявлений'!J978, ".", ","))</f>
        <v>0.97751163654635698</v>
      </c>
      <c r="K984" s="5">
        <f>VALUE(SUBSTITUTE('1000_заявлений'!K978, ".", ","))</f>
        <v>-2897</v>
      </c>
      <c r="L984" s="6">
        <f>VALUE(SUBSTITUTE('1000_заявлений'!L978, ".", ","))</f>
        <v>54351</v>
      </c>
      <c r="M984" s="2" t="str">
        <f>IF(Данные6[[#This Row],[proba]]&gt;$C$6, "отказ", "одобрение")</f>
        <v>отказ</v>
      </c>
      <c r="N984" s="7">
        <f>IF(Данные6[[#This Row],[proba]]&lt;$D$2,$C$2,IF(Данные6[[#This Row],[proba]]&lt;$D$3,$C$3,IF(Данные6[[#This Row],[proba]]&gt;$C$6,0,$C$4)))</f>
        <v>0</v>
      </c>
      <c r="O984" s="2">
        <f>IF(Данные6[[#This Row],[weighted_ext_score]]&gt;$O$1,MIN(Данные6[[#This Row],[Базовая сумма]]*$O$2,$C$2),IF(Данные6[[#This Row],[weighted_ext_score]]&lt;$O$3,Данные6[[#This Row],[Базовая сумма]]*$O$4,N984))</f>
        <v>0</v>
      </c>
      <c r="P98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4" s="2">
        <f>ABS(Данные6[[#This Row],[days_birth]])/365.2425</f>
        <v>44.13506095265474</v>
      </c>
      <c r="S98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4" s="2">
        <f>IF(Данные6[[#This Row],[ interest_rate]]&gt;$T$1,Данные6[[#This Row],[days_birth4]]*$T$2,Данные6[[#This Row],[days_birth4]])</f>
        <v>0</v>
      </c>
      <c r="U984" s="2">
        <f>IF(Данные6[[#This Row],[Проверка отказа]]="отказ",0,MAX(Данные6[[#This Row],[interest_rate]],$C$1))</f>
        <v>0</v>
      </c>
      <c r="V984" s="2">
        <f>MROUND(Данные6[[#This Row],[Минимум 20000]], 100)</f>
        <v>0</v>
      </c>
    </row>
    <row r="985" spans="1:22" x14ac:dyDescent="0.25">
      <c r="A985" s="2">
        <f>'1000_заявлений'!A979</f>
        <v>977</v>
      </c>
      <c r="B985" s="4">
        <f>VALUE(SUBSTITUTE('1000_заявлений'!B979, ".", ","))</f>
        <v>0.53453555166239497</v>
      </c>
      <c r="C985" s="4">
        <f>VALUE(SUBSTITUTE('1000_заявлений'!C979, ".", ","))</f>
        <v>0.324750617588975</v>
      </c>
      <c r="D985" s="4">
        <f>VALUE(SUBSTITUTE('1000_заявлений'!D979, ".", ","))</f>
        <v>0.53527623000000002</v>
      </c>
      <c r="E985" s="4">
        <f>VALUE(SUBSTITUTE('1000_заявлений'!E979, ".", ","))</f>
        <v>0.49453520000000001</v>
      </c>
      <c r="F985" s="5">
        <f>VALUE(SUBSTITUTE('1000_заявлений'!F979, ".", ","))</f>
        <v>-3636</v>
      </c>
      <c r="G985" s="5">
        <f>VALUE(SUBSTITUTE('1000_заявлений'!G979, ".", ","))</f>
        <v>-13049</v>
      </c>
      <c r="H985" s="5">
        <f>VALUE(SUBSTITUTE('1000_заявлений'!H979, ".", ","))</f>
        <v>-2543</v>
      </c>
      <c r="I985" s="4">
        <f>VALUE(SUBSTITUTE('1000_заявлений'!I979, ".", ","))</f>
        <v>0.28087499999999999</v>
      </c>
      <c r="J985" s="4">
        <f>VALUE(SUBSTITUTE('1000_заявлений'!J979, ".", ","))</f>
        <v>2.4291033470041401</v>
      </c>
      <c r="K985" s="5">
        <f>VALUE(SUBSTITUTE('1000_заявлений'!K979, ".", ","))</f>
        <v>-3054</v>
      </c>
      <c r="L985" s="6">
        <f>VALUE(SUBSTITUTE('1000_заявлений'!L979, ".", ","))</f>
        <v>40446</v>
      </c>
      <c r="M985" s="2" t="str">
        <f>IF(Данные6[[#This Row],[proba]]&gt;$C$6, "отказ", "одобрение")</f>
        <v>отказ</v>
      </c>
      <c r="N985" s="7">
        <f>IF(Данные6[[#This Row],[proba]]&lt;$D$2,$C$2,IF(Данные6[[#This Row],[proba]]&lt;$D$3,$C$3,IF(Данные6[[#This Row],[proba]]&gt;$C$6,0,$C$4)))</f>
        <v>0</v>
      </c>
      <c r="O985" s="2">
        <f>IF(Данные6[[#This Row],[weighted_ext_score]]&gt;$O$1,MIN(Данные6[[#This Row],[Базовая сумма]]*$O$2,$C$2),IF(Данные6[[#This Row],[weighted_ext_score]]&lt;$O$3,Данные6[[#This Row],[Базовая сумма]]*$O$4,N985))</f>
        <v>0</v>
      </c>
      <c r="P98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5" s="2">
        <f>ABS(Данные6[[#This Row],[days_birth]])/365.2425</f>
        <v>35.726948534193035</v>
      </c>
      <c r="S98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5" s="2">
        <f>IF(Данные6[[#This Row],[ interest_rate]]&gt;$T$1,Данные6[[#This Row],[days_birth4]]*$T$2,Данные6[[#This Row],[days_birth4]])</f>
        <v>0</v>
      </c>
      <c r="U985" s="2">
        <f>IF(Данные6[[#This Row],[Проверка отказа]]="отказ",0,MAX(Данные6[[#This Row],[interest_rate]],$C$1))</f>
        <v>0</v>
      </c>
      <c r="V985" s="2">
        <f>MROUND(Данные6[[#This Row],[Минимум 20000]], 100)</f>
        <v>0</v>
      </c>
    </row>
    <row r="986" spans="1:22" x14ac:dyDescent="0.25">
      <c r="A986" s="2">
        <f>'1000_заявлений'!A980</f>
        <v>978</v>
      </c>
      <c r="B986" s="4">
        <f>VALUE(SUBSTITUTE('1000_заявлений'!B980, ".", ","))</f>
        <v>0.49282867203994501</v>
      </c>
      <c r="C986" s="4">
        <f>VALUE(SUBSTITUTE('1000_заявлений'!C980, ".", ","))</f>
        <v>0.31849949081529999</v>
      </c>
      <c r="D986" s="4">
        <f>VALUE(SUBSTITUTE('1000_заявлений'!D980, ".", ","))</f>
        <v>0.52089759999999996</v>
      </c>
      <c r="E986" s="4">
        <f>VALUE(SUBSTITUTE('1000_заявлений'!E980, ".", ","))</f>
        <v>0.4011036</v>
      </c>
      <c r="F986" s="5">
        <f>VALUE(SUBSTITUTE('1000_заявлений'!F980, ".", ","))</f>
        <v>-6792</v>
      </c>
      <c r="G986" s="5">
        <f>VALUE(SUBSTITUTE('1000_заявлений'!G980, ".", ","))</f>
        <v>-15118</v>
      </c>
      <c r="H986" s="5">
        <f>VALUE(SUBSTITUTE('1000_заявлений'!H980, ".", ","))</f>
        <v>-4379</v>
      </c>
      <c r="I986" s="4">
        <f>VALUE(SUBSTITUTE('1000_заявлений'!I980, ".", ","))</f>
        <v>0.1875</v>
      </c>
      <c r="J986" s="4">
        <f>VALUE(SUBSTITUTE('1000_заявлений'!J980, ".", ","))</f>
        <v>10.6209759779781</v>
      </c>
      <c r="K986" s="5">
        <f>VALUE(SUBSTITUTE('1000_заявлений'!K980, ".", ","))</f>
        <v>-6241</v>
      </c>
      <c r="L986" s="6">
        <f>VALUE(SUBSTITUTE('1000_заявлений'!L980, ".", ","))</f>
        <v>20250</v>
      </c>
      <c r="M986" s="2" t="str">
        <f>IF(Данные6[[#This Row],[proba]]&gt;$C$6, "отказ", "одобрение")</f>
        <v>отказ</v>
      </c>
      <c r="N986" s="7">
        <f>IF(Данные6[[#This Row],[proba]]&lt;$D$2,$C$2,IF(Данные6[[#This Row],[proba]]&lt;$D$3,$C$3,IF(Данные6[[#This Row],[proba]]&gt;$C$6,0,$C$4)))</f>
        <v>0</v>
      </c>
      <c r="O986" s="2">
        <f>IF(Данные6[[#This Row],[weighted_ext_score]]&gt;$O$1,MIN(Данные6[[#This Row],[Базовая сумма]]*$O$2,$C$2),IF(Данные6[[#This Row],[weighted_ext_score]]&lt;$O$3,Данные6[[#This Row],[Базовая сумма]]*$O$4,N986))</f>
        <v>0</v>
      </c>
      <c r="P98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6" s="2">
        <f>ABS(Данные6[[#This Row],[days_birth]])/365.2425</f>
        <v>41.391678131652256</v>
      </c>
      <c r="S98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6" s="2">
        <f>IF(Данные6[[#This Row],[ interest_rate]]&gt;$T$1,Данные6[[#This Row],[days_birth4]]*$T$2,Данные6[[#This Row],[days_birth4]])</f>
        <v>0</v>
      </c>
      <c r="U986" s="2">
        <f>IF(Данные6[[#This Row],[Проверка отказа]]="отказ",0,MAX(Данные6[[#This Row],[interest_rate]],$C$1))</f>
        <v>0</v>
      </c>
      <c r="V986" s="2">
        <f>MROUND(Данные6[[#This Row],[Минимум 20000]], 100)</f>
        <v>0</v>
      </c>
    </row>
    <row r="987" spans="1:22" x14ac:dyDescent="0.25">
      <c r="A987" s="2">
        <f>'1000_заявлений'!A981</f>
        <v>979</v>
      </c>
      <c r="B987" s="4">
        <f>VALUE(SUBSTITUTE('1000_заявлений'!B981, ".", ","))</f>
        <v>0.318331828503846</v>
      </c>
      <c r="C987" s="4">
        <f>VALUE(SUBSTITUTE('1000_заявлений'!C981, ".", ","))</f>
        <v>0.453268281974682</v>
      </c>
      <c r="D987" s="4">
        <f>VALUE(SUBSTITUTE('1000_заявлений'!D981, ".", ","))</f>
        <v>0.61952770000000001</v>
      </c>
      <c r="E987" s="4">
        <f>VALUE(SUBSTITUTE('1000_заявлений'!E981, ".", ","))</f>
        <v>0.70660526000000001</v>
      </c>
      <c r="F987" s="5">
        <f>VALUE(SUBSTITUTE('1000_заявлений'!F981, ".", ","))</f>
        <v>-5550</v>
      </c>
      <c r="G987" s="5">
        <f>VALUE(SUBSTITUTE('1000_заявлений'!G981, ".", ","))</f>
        <v>-11759</v>
      </c>
      <c r="H987" s="5">
        <f>VALUE(SUBSTITUTE('1000_заявлений'!H981, ".", ","))</f>
        <v>-4024</v>
      </c>
      <c r="I987" s="4">
        <f>VALUE(SUBSTITUTE('1000_заявлений'!I981, ".", ","))</f>
        <v>0.20841860465116199</v>
      </c>
      <c r="J987" s="4">
        <f>VALUE(SUBSTITUTE('1000_заявлений'!J981, ".", ","))</f>
        <v>1.55303519021243</v>
      </c>
      <c r="K987" s="5">
        <f>VALUE(SUBSTITUTE('1000_заявлений'!K981, ".", ","))</f>
        <v>-4598</v>
      </c>
      <c r="L987" s="6">
        <f>VALUE(SUBSTITUTE('1000_заявлений'!L981, ".", ","))</f>
        <v>40329</v>
      </c>
      <c r="M987" s="2" t="str">
        <f>IF(Данные6[[#This Row],[proba]]&gt;$C$6, "отказ", "одобрение")</f>
        <v>отказ</v>
      </c>
      <c r="N987" s="7">
        <f>IF(Данные6[[#This Row],[proba]]&lt;$D$2,$C$2,IF(Данные6[[#This Row],[proba]]&lt;$D$3,$C$3,IF(Данные6[[#This Row],[proba]]&gt;$C$6,0,$C$4)))</f>
        <v>0</v>
      </c>
      <c r="O987" s="2">
        <f>IF(Данные6[[#This Row],[weighted_ext_score]]&gt;$O$1,MIN(Данные6[[#This Row],[Базовая сумма]]*$O$2,$C$2),IF(Данные6[[#This Row],[weighted_ext_score]]&lt;$O$3,Данные6[[#This Row],[Базовая сумма]]*$O$4,N987))</f>
        <v>0</v>
      </c>
      <c r="P98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7" s="2">
        <f>ABS(Данные6[[#This Row],[days_birth]])/365.2425</f>
        <v>32.195048495177858</v>
      </c>
      <c r="S98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7" s="2">
        <f>IF(Данные6[[#This Row],[ interest_rate]]&gt;$T$1,Данные6[[#This Row],[days_birth4]]*$T$2,Данные6[[#This Row],[days_birth4]])</f>
        <v>0</v>
      </c>
      <c r="U987" s="2">
        <f>IF(Данные6[[#This Row],[Проверка отказа]]="отказ",0,MAX(Данные6[[#This Row],[interest_rate]],$C$1))</f>
        <v>0</v>
      </c>
      <c r="V987" s="2">
        <f>MROUND(Данные6[[#This Row],[Минимум 20000]], 100)</f>
        <v>0</v>
      </c>
    </row>
    <row r="988" spans="1:22" x14ac:dyDescent="0.25">
      <c r="A988" s="2">
        <f>'1000_заявлений'!A982</f>
        <v>980</v>
      </c>
      <c r="B988" s="4">
        <f>VALUE(SUBSTITUTE('1000_заявлений'!B982, ".", ","))</f>
        <v>0.56723639624299405</v>
      </c>
      <c r="C988" s="4">
        <f>VALUE(SUBSTITUTE('1000_заявлений'!C982, ".", ","))</f>
        <v>0.38123057184772602</v>
      </c>
      <c r="D988" s="4">
        <f>VALUE(SUBSTITUTE('1000_заявлений'!D982, ".", ","))</f>
        <v>0.67541329999999999</v>
      </c>
      <c r="E988" s="4">
        <f>VALUE(SUBSTITUTE('1000_заявлений'!E982, ".", ","))</f>
        <v>1.3159556000000001E-6</v>
      </c>
      <c r="F988" s="5">
        <f>VALUE(SUBSTITUTE('1000_заявлений'!F982, ".", ","))</f>
        <v>-1425</v>
      </c>
      <c r="G988" s="5">
        <f>VALUE(SUBSTITUTE('1000_заявлений'!G982, ".", ","))</f>
        <v>-12267</v>
      </c>
      <c r="H988" s="5">
        <f>VALUE(SUBSTITUTE('1000_заявлений'!H982, ".", ","))</f>
        <v>-1264</v>
      </c>
      <c r="I988" s="4">
        <f>VALUE(SUBSTITUTE('1000_заявлений'!I982, ".", ","))</f>
        <v>0.04</v>
      </c>
      <c r="J988" s="4">
        <f>VALUE(SUBSTITUTE('1000_заявлений'!J982, ".", ","))</f>
        <v>10.6209759779781</v>
      </c>
      <c r="K988" s="5">
        <f>VALUE(SUBSTITUTE('1000_заявлений'!K982, ".", ","))</f>
        <v>-4718</v>
      </c>
      <c r="L988" s="6">
        <f>VALUE(SUBSTITUTE('1000_заявлений'!L982, ".", ","))</f>
        <v>9000</v>
      </c>
      <c r="M988" s="2" t="str">
        <f>IF(Данные6[[#This Row],[proba]]&gt;$C$6, "отказ", "одобрение")</f>
        <v>отказ</v>
      </c>
      <c r="N988" s="7">
        <f>IF(Данные6[[#This Row],[proba]]&lt;$D$2,$C$2,IF(Данные6[[#This Row],[proba]]&lt;$D$3,$C$3,IF(Данные6[[#This Row],[proba]]&gt;$C$6,0,$C$4)))</f>
        <v>0</v>
      </c>
      <c r="O988" s="2">
        <f>IF(Данные6[[#This Row],[weighted_ext_score]]&gt;$O$1,MIN(Данные6[[#This Row],[Базовая сумма]]*$O$2,$C$2),IF(Данные6[[#This Row],[weighted_ext_score]]&lt;$O$3,Данные6[[#This Row],[Базовая сумма]]*$O$4,N988))</f>
        <v>0</v>
      </c>
      <c r="P98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8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88" s="2">
        <f>ABS(Данные6[[#This Row],[days_birth]])/365.2425</f>
        <v>33.585905254728026</v>
      </c>
      <c r="S98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88" s="2">
        <f>IF(Данные6[[#This Row],[ interest_rate]]&gt;$T$1,Данные6[[#This Row],[days_birth4]]*$T$2,Данные6[[#This Row],[days_birth4]])</f>
        <v>0</v>
      </c>
      <c r="U988" s="2">
        <f>IF(Данные6[[#This Row],[Проверка отказа]]="отказ",0,MAX(Данные6[[#This Row],[interest_rate]],$C$1))</f>
        <v>0</v>
      </c>
      <c r="V988" s="2">
        <f>MROUND(Данные6[[#This Row],[Минимум 20000]], 100)</f>
        <v>0</v>
      </c>
    </row>
    <row r="989" spans="1:22" x14ac:dyDescent="0.25">
      <c r="A989" s="2">
        <f>'1000_заявлений'!A983</f>
        <v>981</v>
      </c>
      <c r="B989" s="4">
        <f>VALUE(SUBSTITUTE('1000_заявлений'!B983, ".", ","))</f>
        <v>0.29445318781421198</v>
      </c>
      <c r="C989" s="4">
        <f>VALUE(SUBSTITUTE('1000_заявлений'!C983, ".", ","))</f>
        <v>0.42674180232387099</v>
      </c>
      <c r="D989" s="4">
        <f>VALUE(SUBSTITUTE('1000_заявлений'!D983, ".", ","))</f>
        <v>0.62461465999999999</v>
      </c>
      <c r="E989" s="4">
        <f>VALUE(SUBSTITUTE('1000_заявлений'!E983, ".", ","))</f>
        <v>0.61915679999999995</v>
      </c>
      <c r="F989" s="5">
        <f>VALUE(SUBSTITUTE('1000_заявлений'!F983, ".", ","))</f>
        <v>-9019</v>
      </c>
      <c r="G989" s="5">
        <f>VALUE(SUBSTITUTE('1000_заявлений'!G983, ".", ","))</f>
        <v>-18770</v>
      </c>
      <c r="H989" s="5">
        <f>VALUE(SUBSTITUTE('1000_заявлений'!H983, ".", ","))</f>
        <v>-2327</v>
      </c>
      <c r="I989" s="4">
        <f>VALUE(SUBSTITUTE('1000_заявлений'!I983, ".", ","))</f>
        <v>6.7382352941176393E-2</v>
      </c>
      <c r="J989" s="4">
        <f>VALUE(SUBSTITUTE('1000_заявлений'!J983, ".", ","))</f>
        <v>5.7501210113554801</v>
      </c>
      <c r="K989" s="5">
        <f>VALUE(SUBSTITUTE('1000_заявлений'!K983, ".", ","))</f>
        <v>-11167</v>
      </c>
      <c r="L989" s="6">
        <f>VALUE(SUBSTITUTE('1000_заявлений'!L983, ".", ","))</f>
        <v>10309.5</v>
      </c>
      <c r="M989" s="2" t="str">
        <f>IF(Данные6[[#This Row],[proba]]&gt;$C$6, "отказ", "одобрение")</f>
        <v>одобрение</v>
      </c>
      <c r="N989" s="7">
        <f>IF(Данные6[[#This Row],[proba]]&lt;$D$2,$C$2,IF(Данные6[[#This Row],[proba]]&lt;$D$3,$C$3,IF(Данные6[[#This Row],[proba]]&gt;$C$6,0,$C$4)))</f>
        <v>50000</v>
      </c>
      <c r="O989" s="2">
        <f>IF(Данные6[[#This Row],[weighted_ext_score]]&gt;$O$1,MIN(Данные6[[#This Row],[Базовая сумма]]*$O$2,$C$2),IF(Данные6[[#This Row],[weighted_ext_score]]&lt;$O$3,Данные6[[#This Row],[Базовая сумма]]*$O$4,N989))</f>
        <v>40000</v>
      </c>
      <c r="P98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48000</v>
      </c>
      <c r="Q98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57600</v>
      </c>
      <c r="R989" s="2">
        <f>ABS(Данные6[[#This Row],[days_birth]])/365.2425</f>
        <v>51.390514521174289</v>
      </c>
      <c r="S98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60480</v>
      </c>
      <c r="T989" s="2">
        <f>IF(Данные6[[#This Row],[ interest_rate]]&gt;$T$1,Данные6[[#This Row],[days_birth4]]*$T$2,Данные6[[#This Row],[days_birth4]])</f>
        <v>60480</v>
      </c>
      <c r="U989" s="2">
        <f>IF(Данные6[[#This Row],[Проверка отказа]]="отказ",0,MAX(Данные6[[#This Row],[interest_rate]],$C$1))</f>
        <v>60480</v>
      </c>
      <c r="V989" s="2">
        <f>MROUND(Данные6[[#This Row],[Минимум 20000]], 100)</f>
        <v>60500</v>
      </c>
    </row>
    <row r="990" spans="1:22" x14ac:dyDescent="0.25">
      <c r="A990" s="2">
        <f>'1000_заявлений'!A984</f>
        <v>982</v>
      </c>
      <c r="B990" s="4">
        <f>VALUE(SUBSTITUTE('1000_заявлений'!B984, ".", ","))</f>
        <v>0.29504088955656799</v>
      </c>
      <c r="C990" s="4">
        <f>VALUE(SUBSTITUTE('1000_заявлений'!C984, ".", ","))</f>
        <v>0.59865918365290505</v>
      </c>
      <c r="D990" s="4">
        <f>VALUE(SUBSTITUTE('1000_заявлений'!D984, ".", ","))</f>
        <v>0.54602320000000004</v>
      </c>
      <c r="E990" s="4">
        <f>VALUE(SUBSTITUTE('1000_заявлений'!E984, ".", ","))</f>
        <v>0.631656</v>
      </c>
      <c r="F990" s="5">
        <f>VALUE(SUBSTITUTE('1000_заявлений'!F984, ".", ","))</f>
        <v>-7789</v>
      </c>
      <c r="G990" s="5">
        <f>VALUE(SUBSTITUTE('1000_заявлений'!G984, ".", ","))</f>
        <v>-16988</v>
      </c>
      <c r="H990" s="5">
        <f>VALUE(SUBSTITUTE('1000_заявлений'!H984, ".", ","))</f>
        <v>-522</v>
      </c>
      <c r="I990" s="4">
        <f>VALUE(SUBSTITUTE('1000_заявлений'!I984, ".", ","))</f>
        <v>0.10943333333333299</v>
      </c>
      <c r="J990" s="4">
        <f>VALUE(SUBSTITUTE('1000_заявлений'!J984, ".", ","))</f>
        <v>1.53655613130669</v>
      </c>
      <c r="K990" s="5">
        <f>VALUE(SUBSTITUTE('1000_заявлений'!K984, ".", ","))</f>
        <v>-1174</v>
      </c>
      <c r="L990" s="6">
        <f>VALUE(SUBSTITUTE('1000_заявлений'!L984, ".", ","))</f>
        <v>29547</v>
      </c>
      <c r="M990" s="2" t="str">
        <f>IF(Данные6[[#This Row],[proba]]&gt;$C$6, "отказ", "одобрение")</f>
        <v>одобрение</v>
      </c>
      <c r="N990" s="7">
        <f>IF(Данные6[[#This Row],[proba]]&lt;$D$2,$C$2,IF(Данные6[[#This Row],[proba]]&lt;$D$3,$C$3,IF(Данные6[[#This Row],[proba]]&gt;$C$6,0,$C$4)))</f>
        <v>50000</v>
      </c>
      <c r="O990" s="2">
        <f>IF(Данные6[[#This Row],[weighted_ext_score]]&gt;$O$1,MIN(Данные6[[#This Row],[Базовая сумма]]*$O$2,$C$2),IF(Данные6[[#This Row],[weighted_ext_score]]&lt;$O$3,Данные6[[#This Row],[Базовая сумма]]*$O$4,N990))</f>
        <v>50000</v>
      </c>
      <c r="P99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9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35000</v>
      </c>
      <c r="R990" s="2">
        <f>ABS(Данные6[[#This Row],[days_birth]])/365.2425</f>
        <v>46.511564234720765</v>
      </c>
      <c r="S99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35000</v>
      </c>
      <c r="T990" s="2">
        <f>IF(Данные6[[#This Row],[ interest_rate]]&gt;$T$1,Данные6[[#This Row],[days_birth4]]*$T$2,Данные6[[#This Row],[days_birth4]])</f>
        <v>35000</v>
      </c>
      <c r="U990" s="2">
        <f>IF(Данные6[[#This Row],[Проверка отказа]]="отказ",0,MAX(Данные6[[#This Row],[interest_rate]],$C$1))</f>
        <v>35000</v>
      </c>
      <c r="V990" s="2">
        <f>MROUND(Данные6[[#This Row],[Минимум 20000]], 100)</f>
        <v>35000</v>
      </c>
    </row>
    <row r="991" spans="1:22" x14ac:dyDescent="0.25">
      <c r="A991" s="2">
        <f>'1000_заявлений'!A985</f>
        <v>983</v>
      </c>
      <c r="B991" s="4">
        <f>VALUE(SUBSTITUTE('1000_заявлений'!B985, ".", ","))</f>
        <v>0.70150081653135898</v>
      </c>
      <c r="C991" s="4">
        <f>VALUE(SUBSTITUTE('1000_заявлений'!C985, ".", ","))</f>
        <v>0.35145138157559702</v>
      </c>
      <c r="D991" s="4">
        <f>VALUE(SUBSTITUTE('1000_заявлений'!D985, ".", ","))</f>
        <v>5.2726525000000005E-4</v>
      </c>
      <c r="E991" s="4">
        <f>VALUE(SUBSTITUTE('1000_заявлений'!E985, ".", ","))</f>
        <v>0.50249474999999999</v>
      </c>
      <c r="F991" s="5">
        <f>VALUE(SUBSTITUTE('1000_заявлений'!F985, ".", ","))</f>
        <v>-11493</v>
      </c>
      <c r="G991" s="5">
        <f>VALUE(SUBSTITUTE('1000_заявлений'!G985, ".", ","))</f>
        <v>-20877</v>
      </c>
      <c r="H991" s="5">
        <f>VALUE(SUBSTITUTE('1000_заявлений'!H985, ".", ","))</f>
        <v>-4166</v>
      </c>
      <c r="I991" s="4">
        <f>VALUE(SUBSTITUTE('1000_заявлений'!I985, ".", ","))</f>
        <v>0.28396666666666598</v>
      </c>
      <c r="J991" s="4">
        <f>VALUE(SUBSTITUTE('1000_заявлений'!J985, ".", ","))</f>
        <v>6.5362579480558303</v>
      </c>
      <c r="K991" s="5">
        <f>VALUE(SUBSTITUTE('1000_заявлений'!K985, ".", ","))</f>
        <v>-8147</v>
      </c>
      <c r="L991" s="6">
        <f>VALUE(SUBSTITUTE('1000_заявлений'!L985, ".", ","))</f>
        <v>38335.5</v>
      </c>
      <c r="M991" s="2" t="str">
        <f>IF(Данные6[[#This Row],[proba]]&gt;$C$6, "отказ", "одобрение")</f>
        <v>отказ</v>
      </c>
      <c r="N991" s="7">
        <f>IF(Данные6[[#This Row],[proba]]&lt;$D$2,$C$2,IF(Данные6[[#This Row],[proba]]&lt;$D$3,$C$3,IF(Данные6[[#This Row],[proba]]&gt;$C$6,0,$C$4)))</f>
        <v>0</v>
      </c>
      <c r="O991" s="2">
        <f>IF(Данные6[[#This Row],[weighted_ext_score]]&gt;$O$1,MIN(Данные6[[#This Row],[Базовая сумма]]*$O$2,$C$2),IF(Данные6[[#This Row],[weighted_ext_score]]&lt;$O$3,Данные6[[#This Row],[Базовая сумма]]*$O$4,N991))</f>
        <v>0</v>
      </c>
      <c r="P99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1" s="2">
        <f>ABS(Данные6[[#This Row],[days_birth]])/365.2425</f>
        <v>57.159284584899076</v>
      </c>
      <c r="S99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1" s="2">
        <f>IF(Данные6[[#This Row],[ interest_rate]]&gt;$T$1,Данные6[[#This Row],[days_birth4]]*$T$2,Данные6[[#This Row],[days_birth4]])</f>
        <v>0</v>
      </c>
      <c r="U991" s="2">
        <f>IF(Данные6[[#This Row],[Проверка отказа]]="отказ",0,MAX(Данные6[[#This Row],[interest_rate]],$C$1))</f>
        <v>0</v>
      </c>
      <c r="V991" s="2">
        <f>MROUND(Данные6[[#This Row],[Минимум 20000]], 100)</f>
        <v>0</v>
      </c>
    </row>
    <row r="992" spans="1:22" x14ac:dyDescent="0.25">
      <c r="A992" s="2">
        <f>'1000_заявлений'!A986</f>
        <v>984</v>
      </c>
      <c r="B992" s="4">
        <f>VALUE(SUBSTITUTE('1000_заявлений'!B986, ".", ","))</f>
        <v>0.28581643678748803</v>
      </c>
      <c r="C992" s="4">
        <f>VALUE(SUBSTITUTE('1000_заявлений'!C986, ".", ","))</f>
        <v>0.61755654597021603</v>
      </c>
      <c r="D992" s="4">
        <f>VALUE(SUBSTITUTE('1000_заявлений'!D986, ".", ","))</f>
        <v>0.55672739999999998</v>
      </c>
      <c r="E992" s="4">
        <f>VALUE(SUBSTITUTE('1000_заявлений'!E986, ".", ","))</f>
        <v>0.65776389999999996</v>
      </c>
      <c r="F992" s="5">
        <f>VALUE(SUBSTITUTE('1000_заявлений'!F986, ".", ","))</f>
        <v>-6757</v>
      </c>
      <c r="G992" s="5">
        <f>VALUE(SUBSTITUTE('1000_заявлений'!G986, ".", ","))</f>
        <v>-13523</v>
      </c>
      <c r="H992" s="5">
        <f>VALUE(SUBSTITUTE('1000_заявлений'!H986, ".", ","))</f>
        <v>-3838</v>
      </c>
      <c r="I992" s="4">
        <f>VALUE(SUBSTITUTE('1000_заявлений'!I986, ".", ","))</f>
        <v>0.142666666666666</v>
      </c>
      <c r="J992" s="4">
        <f>VALUE(SUBSTITUTE('1000_заявлений'!J986, ".", ","))</f>
        <v>2.3883268377026399</v>
      </c>
      <c r="K992" s="5">
        <f>VALUE(SUBSTITUTE('1000_заявлений'!K986, ".", ","))</f>
        <v>-3697</v>
      </c>
      <c r="L992" s="6">
        <f>VALUE(SUBSTITUTE('1000_заявлений'!L986, ".", ","))</f>
        <v>9630</v>
      </c>
      <c r="M992" s="2" t="str">
        <f>IF(Данные6[[#This Row],[proba]]&gt;$C$6, "отказ", "одобрение")</f>
        <v>одобрение</v>
      </c>
      <c r="N992" s="7">
        <f>IF(Данные6[[#This Row],[proba]]&lt;$D$2,$C$2,IF(Данные6[[#This Row],[proba]]&lt;$D$3,$C$3,IF(Данные6[[#This Row],[proba]]&gt;$C$6,0,$C$4)))</f>
        <v>50000</v>
      </c>
      <c r="O992" s="2">
        <f>IF(Данные6[[#This Row],[weighted_ext_score]]&gt;$O$1,MIN(Данные6[[#This Row],[Базовая сумма]]*$O$2,$C$2),IF(Данные6[[#This Row],[weighted_ext_score]]&lt;$O$3,Данные6[[#This Row],[Базовая сумма]]*$O$4,N992))</f>
        <v>50000</v>
      </c>
      <c r="P99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50000</v>
      </c>
      <c r="Q99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60000</v>
      </c>
      <c r="R992" s="2">
        <f>ABS(Данные6[[#This Row],[days_birth]])/365.2425</f>
        <v>37.02471645550559</v>
      </c>
      <c r="S99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60000</v>
      </c>
      <c r="T992" s="2">
        <f>IF(Данные6[[#This Row],[ interest_rate]]&gt;$T$1,Данные6[[#This Row],[days_birth4]]*$T$2,Данные6[[#This Row],[days_birth4]])</f>
        <v>60000</v>
      </c>
      <c r="U992" s="2">
        <f>IF(Данные6[[#This Row],[Проверка отказа]]="отказ",0,MAX(Данные6[[#This Row],[interest_rate]],$C$1))</f>
        <v>60000</v>
      </c>
      <c r="V992" s="2">
        <f>MROUND(Данные6[[#This Row],[Минимум 20000]], 100)</f>
        <v>60000</v>
      </c>
    </row>
    <row r="993" spans="1:22" x14ac:dyDescent="0.25">
      <c r="A993" s="2">
        <f>'1000_заявлений'!A987</f>
        <v>985</v>
      </c>
      <c r="B993" s="4">
        <f>VALUE(SUBSTITUTE('1000_заявлений'!B987, ".", ","))</f>
        <v>0.39952438895555198</v>
      </c>
      <c r="C993" s="4">
        <f>VALUE(SUBSTITUTE('1000_заявлений'!C987, ".", ","))</f>
        <v>0.50089633166122305</v>
      </c>
      <c r="D993" s="4">
        <f>VALUE(SUBSTITUTE('1000_заявлений'!D987, ".", ","))</f>
        <v>0.41184854999999998</v>
      </c>
      <c r="E993" s="4">
        <f>VALUE(SUBSTITUTE('1000_заявлений'!E987, ".", ","))</f>
        <v>0.73661757000000005</v>
      </c>
      <c r="F993" s="5">
        <f>VALUE(SUBSTITUTE('1000_заявлений'!F987, ".", ","))</f>
        <v>-6109</v>
      </c>
      <c r="G993" s="5">
        <f>VALUE(SUBSTITUTE('1000_заявлений'!G987, ".", ","))</f>
        <v>-11568</v>
      </c>
      <c r="H993" s="5">
        <f>VALUE(SUBSTITUTE('1000_заявлений'!H987, ".", ","))</f>
        <v>-585</v>
      </c>
      <c r="I993" s="4">
        <f>VALUE(SUBSTITUTE('1000_заявлений'!I987, ".", ","))</f>
        <v>0.16550000000000001</v>
      </c>
      <c r="J993" s="4">
        <f>VALUE(SUBSTITUTE('1000_заявлений'!J987, ".", ","))</f>
        <v>4.2374892445733199</v>
      </c>
      <c r="K993" s="5">
        <f>VALUE(SUBSTITUTE('1000_заявлений'!K987, ".", ","))</f>
        <v>-2067</v>
      </c>
      <c r="L993" s="6">
        <f>VALUE(SUBSTITUTE('1000_заявлений'!L987, ".", ","))</f>
        <v>31279.5</v>
      </c>
      <c r="M993" s="2" t="str">
        <f>IF(Данные6[[#This Row],[proba]]&gt;$C$6, "отказ", "одобрение")</f>
        <v>отказ</v>
      </c>
      <c r="N993" s="7">
        <f>IF(Данные6[[#This Row],[proba]]&lt;$D$2,$C$2,IF(Данные6[[#This Row],[proba]]&lt;$D$3,$C$3,IF(Данные6[[#This Row],[proba]]&gt;$C$6,0,$C$4)))</f>
        <v>0</v>
      </c>
      <c r="O993" s="2">
        <f>IF(Данные6[[#This Row],[weighted_ext_score]]&gt;$O$1,MIN(Данные6[[#This Row],[Базовая сумма]]*$O$2,$C$2),IF(Данные6[[#This Row],[weighted_ext_score]]&lt;$O$3,Данные6[[#This Row],[Базовая сумма]]*$O$4,N993))</f>
        <v>0</v>
      </c>
      <c r="P99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3" s="2">
        <f>ABS(Данные6[[#This Row],[days_birth]])/365.2425</f>
        <v>31.672108256843057</v>
      </c>
      <c r="S99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3" s="2">
        <f>IF(Данные6[[#This Row],[ interest_rate]]&gt;$T$1,Данные6[[#This Row],[days_birth4]]*$T$2,Данные6[[#This Row],[days_birth4]])</f>
        <v>0</v>
      </c>
      <c r="U993" s="2">
        <f>IF(Данные6[[#This Row],[Проверка отказа]]="отказ",0,MAX(Данные6[[#This Row],[interest_rate]],$C$1))</f>
        <v>0</v>
      </c>
      <c r="V993" s="2">
        <f>MROUND(Данные6[[#This Row],[Минимум 20000]], 100)</f>
        <v>0</v>
      </c>
    </row>
    <row r="994" spans="1:22" x14ac:dyDescent="0.25">
      <c r="A994" s="2">
        <f>'1000_заявлений'!A988</f>
        <v>986</v>
      </c>
      <c r="B994" s="4">
        <f>VALUE(SUBSTITUTE('1000_заявлений'!B988, ".", ","))</f>
        <v>0.28953574587645098</v>
      </c>
      <c r="C994" s="4">
        <f>VALUE(SUBSTITUTE('1000_заявлений'!C988, ".", ","))</f>
        <v>0.37740121679696598</v>
      </c>
      <c r="D994" s="4">
        <f>VALUE(SUBSTITUTE('1000_заявлений'!D988, ".", ","))</f>
        <v>0.56206049999999996</v>
      </c>
      <c r="E994" s="4">
        <f>VALUE(SUBSTITUTE('1000_заявлений'!E988, ".", ","))</f>
        <v>0.53679304999999999</v>
      </c>
      <c r="F994" s="5">
        <f>VALUE(SUBSTITUTE('1000_заявлений'!F988, ".", ","))</f>
        <v>-296</v>
      </c>
      <c r="G994" s="5">
        <f>VALUE(SUBSTITUTE('1000_заявлений'!G988, ".", ","))</f>
        <v>-24531</v>
      </c>
      <c r="H994" s="5">
        <f>VALUE(SUBSTITUTE('1000_заявлений'!H988, ".", ","))</f>
        <v>-5651</v>
      </c>
      <c r="I994" s="4">
        <f>VALUE(SUBSTITUTE('1000_заявлений'!I988, ".", ","))</f>
        <v>0.122</v>
      </c>
      <c r="J994" s="4">
        <f>VALUE(SUBSTITUTE('1000_заявлений'!J988, ".", ","))</f>
        <v>6.6939275910995599</v>
      </c>
      <c r="K994" s="5">
        <f>VALUE(SUBSTITUTE('1000_заявлений'!K988, ".", ","))</f>
        <v>365243</v>
      </c>
      <c r="L994" s="6">
        <f>VALUE(SUBSTITUTE('1000_заявлений'!L988, ".", ","))</f>
        <v>24705</v>
      </c>
      <c r="M994" s="2" t="str">
        <f>IF(Данные6[[#This Row],[proba]]&gt;$C$6, "отказ", "одобрение")</f>
        <v>одобрение</v>
      </c>
      <c r="N994" s="7">
        <f>IF(Данные6[[#This Row],[proba]]&lt;$D$2,$C$2,IF(Данные6[[#This Row],[proba]]&lt;$D$3,$C$3,IF(Данные6[[#This Row],[proba]]&gt;$C$6,0,$C$4)))</f>
        <v>50000</v>
      </c>
      <c r="O994" s="2">
        <f>IF(Данные6[[#This Row],[weighted_ext_score]]&gt;$O$1,MIN(Данные6[[#This Row],[Базовая сумма]]*$O$2,$C$2),IF(Данные6[[#This Row],[weighted_ext_score]]&lt;$O$3,Данные6[[#This Row],[Базовая сумма]]*$O$4,N994))</f>
        <v>40000</v>
      </c>
      <c r="P99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99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40000</v>
      </c>
      <c r="R994" s="2">
        <f>ABS(Данные6[[#This Row],[days_birth]])/365.2425</f>
        <v>67.163596788435086</v>
      </c>
      <c r="S99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42000</v>
      </c>
      <c r="T994" s="2">
        <f>IF(Данные6[[#This Row],[ interest_rate]]&gt;$T$1,Данные6[[#This Row],[days_birth4]]*$T$2,Данные6[[#This Row],[days_birth4]])</f>
        <v>42000</v>
      </c>
      <c r="U994" s="2">
        <f>IF(Данные6[[#This Row],[Проверка отказа]]="отказ",0,MAX(Данные6[[#This Row],[interest_rate]],$C$1))</f>
        <v>42000</v>
      </c>
      <c r="V994" s="2">
        <f>MROUND(Данные6[[#This Row],[Минимум 20000]], 100)</f>
        <v>42000</v>
      </c>
    </row>
    <row r="995" spans="1:22" x14ac:dyDescent="0.25">
      <c r="A995" s="2">
        <f>'1000_заявлений'!A989</f>
        <v>987</v>
      </c>
      <c r="B995" s="4">
        <f>VALUE(SUBSTITUTE('1000_заявлений'!B989, ".", ","))</f>
        <v>0.54741422296549502</v>
      </c>
      <c r="C995" s="4">
        <f>VALUE(SUBSTITUTE('1000_заявлений'!C989, ".", ","))</f>
        <v>0.27249898573110198</v>
      </c>
      <c r="D995" s="4">
        <f>VALUE(SUBSTITUTE('1000_заявлений'!D989, ".", ","))</f>
        <v>0.57091652999999998</v>
      </c>
      <c r="E995" s="4">
        <f>VALUE(SUBSTITUTE('1000_заявлений'!E989, ".", ","))</f>
        <v>0.20352282999999999</v>
      </c>
      <c r="F995" s="5">
        <f>VALUE(SUBSTITUTE('1000_заявлений'!F989, ".", ","))</f>
        <v>-3038</v>
      </c>
      <c r="G995" s="5">
        <f>VALUE(SUBSTITUTE('1000_заявлений'!G989, ".", ","))</f>
        <v>-22092</v>
      </c>
      <c r="H995" s="5">
        <f>VALUE(SUBSTITUTE('1000_заявлений'!H989, ".", ","))</f>
        <v>-4677</v>
      </c>
      <c r="I995" s="4">
        <f>VALUE(SUBSTITUTE('1000_заявлений'!I989, ".", ","))</f>
        <v>0.28275</v>
      </c>
      <c r="J995" s="4">
        <f>VALUE(SUBSTITUTE('1000_заявлений'!J989, ".", ","))</f>
        <v>4.6197886003463697</v>
      </c>
      <c r="K995" s="5">
        <f>VALUE(SUBSTITUTE('1000_заявлений'!K989, ".", ","))</f>
        <v>365243</v>
      </c>
      <c r="L995" s="6">
        <f>VALUE(SUBSTITUTE('1000_заявлений'!L989, ".", ","))</f>
        <v>15268.5</v>
      </c>
      <c r="M995" s="2" t="str">
        <f>IF(Данные6[[#This Row],[proba]]&gt;$C$6, "отказ", "одобрение")</f>
        <v>отказ</v>
      </c>
      <c r="N995" s="7">
        <f>IF(Данные6[[#This Row],[proba]]&lt;$D$2,$C$2,IF(Данные6[[#This Row],[proba]]&lt;$D$3,$C$3,IF(Данные6[[#This Row],[proba]]&gt;$C$6,0,$C$4)))</f>
        <v>0</v>
      </c>
      <c r="O995" s="2">
        <f>IF(Данные6[[#This Row],[weighted_ext_score]]&gt;$O$1,MIN(Данные6[[#This Row],[Базовая сумма]]*$O$2,$C$2),IF(Данные6[[#This Row],[weighted_ext_score]]&lt;$O$3,Данные6[[#This Row],[Базовая сумма]]*$O$4,N995))</f>
        <v>0</v>
      </c>
      <c r="P99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5" s="2">
        <f>ABS(Данные6[[#This Row],[days_birth]])/365.2425</f>
        <v>60.48584159839011</v>
      </c>
      <c r="S99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5" s="2">
        <f>IF(Данные6[[#This Row],[ interest_rate]]&gt;$T$1,Данные6[[#This Row],[days_birth4]]*$T$2,Данные6[[#This Row],[days_birth4]])</f>
        <v>0</v>
      </c>
      <c r="U995" s="2">
        <f>IF(Данные6[[#This Row],[Проверка отказа]]="отказ",0,MAX(Данные6[[#This Row],[interest_rate]],$C$1))</f>
        <v>0</v>
      </c>
      <c r="V995" s="2">
        <f>MROUND(Данные6[[#This Row],[Минимум 20000]], 100)</f>
        <v>0</v>
      </c>
    </row>
    <row r="996" spans="1:22" x14ac:dyDescent="0.25">
      <c r="A996" s="2">
        <f>'1000_заявлений'!A990</f>
        <v>988</v>
      </c>
      <c r="B996" s="4">
        <f>VALUE(SUBSTITUTE('1000_заявлений'!B990, ".", ","))</f>
        <v>0.487213355881498</v>
      </c>
      <c r="C996" s="4">
        <f>VALUE(SUBSTITUTE('1000_заявлений'!C990, ".", ","))</f>
        <v>0.35720470183244601</v>
      </c>
      <c r="D996" s="4">
        <f>VALUE(SUBSTITUTE('1000_заявлений'!D990, ".", ","))</f>
        <v>0.44361531999999998</v>
      </c>
      <c r="E996" s="4">
        <f>VALUE(SUBSTITUTE('1000_заявлений'!E990, ".", ","))</f>
        <v>0.60659160000000001</v>
      </c>
      <c r="F996" s="5">
        <f>VALUE(SUBSTITUTE('1000_заявлений'!F990, ".", ","))</f>
        <v>-9657</v>
      </c>
      <c r="G996" s="5">
        <f>VALUE(SUBSTITUTE('1000_заявлений'!G990, ".", ","))</f>
        <v>-19783</v>
      </c>
      <c r="H996" s="5">
        <f>VALUE(SUBSTITUTE('1000_заявлений'!H990, ".", ","))</f>
        <v>-3327</v>
      </c>
      <c r="I996" s="4">
        <f>VALUE(SUBSTITUTE('1000_заявлений'!I990, ".", ","))</f>
        <v>0.38708695652173902</v>
      </c>
      <c r="J996" s="4">
        <f>VALUE(SUBSTITUTE('1000_заявлений'!J990, ".", ","))</f>
        <v>3.0766120269214401</v>
      </c>
      <c r="K996" s="5">
        <f>VALUE(SUBSTITUTE('1000_заявлений'!K990, ".", ","))</f>
        <v>-1923</v>
      </c>
      <c r="L996" s="6">
        <f>VALUE(SUBSTITUTE('1000_заявлений'!L990, ".", ","))</f>
        <v>40063.5</v>
      </c>
      <c r="M996" s="2" t="str">
        <f>IF(Данные6[[#This Row],[proba]]&gt;$C$6, "отказ", "одобрение")</f>
        <v>отказ</v>
      </c>
      <c r="N996" s="7">
        <f>IF(Данные6[[#This Row],[proba]]&lt;$D$2,$C$2,IF(Данные6[[#This Row],[proba]]&lt;$D$3,$C$3,IF(Данные6[[#This Row],[proba]]&gt;$C$6,0,$C$4)))</f>
        <v>0</v>
      </c>
      <c r="O996" s="2">
        <f>IF(Данные6[[#This Row],[weighted_ext_score]]&gt;$O$1,MIN(Данные6[[#This Row],[Базовая сумма]]*$O$2,$C$2),IF(Данные6[[#This Row],[weighted_ext_score]]&lt;$O$3,Данные6[[#This Row],[Базовая сумма]]*$O$4,N996))</f>
        <v>0</v>
      </c>
      <c r="P99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6" s="2">
        <f>ABS(Данные6[[#This Row],[days_birth]])/365.2425</f>
        <v>54.164014319253646</v>
      </c>
      <c r="S99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6" s="2">
        <f>IF(Данные6[[#This Row],[ interest_rate]]&gt;$T$1,Данные6[[#This Row],[days_birth4]]*$T$2,Данные6[[#This Row],[days_birth4]])</f>
        <v>0</v>
      </c>
      <c r="U996" s="2">
        <f>IF(Данные6[[#This Row],[Проверка отказа]]="отказ",0,MAX(Данные6[[#This Row],[interest_rate]],$C$1))</f>
        <v>0</v>
      </c>
      <c r="V996" s="2">
        <f>MROUND(Данные6[[#This Row],[Минимум 20000]], 100)</f>
        <v>0</v>
      </c>
    </row>
    <row r="997" spans="1:22" x14ac:dyDescent="0.25">
      <c r="A997" s="2">
        <f>'1000_заявлений'!A991</f>
        <v>989</v>
      </c>
      <c r="B997" s="4">
        <f>VALUE(SUBSTITUTE('1000_заявлений'!B991, ".", ","))</f>
        <v>0.46534048174618697</v>
      </c>
      <c r="C997" s="4">
        <f>VALUE(SUBSTITUTE('1000_заявлений'!C991, ".", ","))</f>
        <v>0.47473947533475902</v>
      </c>
      <c r="D997" s="4">
        <f>VALUE(SUBSTITUTE('1000_заявлений'!D991, ".", ","))</f>
        <v>0.32647520000000002</v>
      </c>
      <c r="E997" s="4">
        <f>VALUE(SUBSTITUTE('1000_заявлений'!E991, ".", ","))</f>
        <v>0.65173329999999996</v>
      </c>
      <c r="F997" s="5">
        <f>VALUE(SUBSTITUTE('1000_заявлений'!F991, ".", ","))</f>
        <v>-4611</v>
      </c>
      <c r="G997" s="5">
        <f>VALUE(SUBSTITUTE('1000_заявлений'!G991, ".", ","))</f>
        <v>-10751</v>
      </c>
      <c r="H997" s="5">
        <f>VALUE(SUBSTITUTE('1000_заявлений'!H991, ".", ","))</f>
        <v>-3383</v>
      </c>
      <c r="I997" s="4">
        <f>VALUE(SUBSTITUTE('1000_заявлений'!I991, ".", ","))</f>
        <v>0.10908</v>
      </c>
      <c r="J997" s="4">
        <f>VALUE(SUBSTITUTE('1000_заявлений'!J991, ".", ","))</f>
        <v>4.3909201370607498</v>
      </c>
      <c r="K997" s="5">
        <f>VALUE(SUBSTITUTE('1000_заявлений'!K991, ".", ","))</f>
        <v>-546</v>
      </c>
      <c r="L997" s="6">
        <f>VALUE(SUBSTITUTE('1000_заявлений'!L991, ".", ","))</f>
        <v>24543</v>
      </c>
      <c r="M997" s="2" t="str">
        <f>IF(Данные6[[#This Row],[proba]]&gt;$C$6, "отказ", "одобрение")</f>
        <v>отказ</v>
      </c>
      <c r="N997" s="7">
        <f>IF(Данные6[[#This Row],[proba]]&lt;$D$2,$C$2,IF(Данные6[[#This Row],[proba]]&lt;$D$3,$C$3,IF(Данные6[[#This Row],[proba]]&gt;$C$6,0,$C$4)))</f>
        <v>0</v>
      </c>
      <c r="O997" s="2">
        <f>IF(Данные6[[#This Row],[weighted_ext_score]]&gt;$O$1,MIN(Данные6[[#This Row],[Базовая сумма]]*$O$2,$C$2),IF(Данные6[[#This Row],[weighted_ext_score]]&lt;$O$3,Данные6[[#This Row],[Базовая сумма]]*$O$4,N997))</f>
        <v>0</v>
      </c>
      <c r="P99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7" s="2">
        <f>ABS(Данные6[[#This Row],[days_birth]])/365.2425</f>
        <v>29.435238232133447</v>
      </c>
      <c r="S99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7" s="2">
        <f>IF(Данные6[[#This Row],[ interest_rate]]&gt;$T$1,Данные6[[#This Row],[days_birth4]]*$T$2,Данные6[[#This Row],[days_birth4]])</f>
        <v>0</v>
      </c>
      <c r="U997" s="2">
        <f>IF(Данные6[[#This Row],[Проверка отказа]]="отказ",0,MAX(Данные6[[#This Row],[interest_rate]],$C$1))</f>
        <v>0</v>
      </c>
      <c r="V997" s="2">
        <f>MROUND(Данные6[[#This Row],[Минимум 20000]], 100)</f>
        <v>0</v>
      </c>
    </row>
    <row r="998" spans="1:22" x14ac:dyDescent="0.25">
      <c r="A998" s="2">
        <f>'1000_заявлений'!A992</f>
        <v>990</v>
      </c>
      <c r="B998" s="4">
        <f>VALUE(SUBSTITUTE('1000_заявлений'!B992, ".", ","))</f>
        <v>0.38400614814825301</v>
      </c>
      <c r="C998" s="4">
        <f>VALUE(SUBSTITUTE('1000_заявлений'!C992, ".", ","))</f>
        <v>0.48616273387541098</v>
      </c>
      <c r="D998" s="4">
        <f>VALUE(SUBSTITUTE('1000_заявлений'!D992, ".", ","))</f>
        <v>0.62967426000000004</v>
      </c>
      <c r="E998" s="4">
        <f>VALUE(SUBSTITUTE('1000_заявлений'!E992, ".", ","))</f>
        <v>0.43676232999999998</v>
      </c>
      <c r="F998" s="5">
        <f>VALUE(SUBSTITUTE('1000_заявлений'!F992, ".", ","))</f>
        <v>-3842</v>
      </c>
      <c r="G998" s="5">
        <f>VALUE(SUBSTITUTE('1000_заявлений'!G992, ".", ","))</f>
        <v>-10538</v>
      </c>
      <c r="H998" s="5">
        <f>VALUE(SUBSTITUTE('1000_заявлений'!H992, ".", ","))</f>
        <v>-3187</v>
      </c>
      <c r="I998" s="4">
        <f>VALUE(SUBSTITUTE('1000_заявлений'!I992, ".", ","))</f>
        <v>0.16905405405405399</v>
      </c>
      <c r="J998" s="4">
        <f>VALUE(SUBSTITUTE('1000_заявлений'!J992, ".", ","))</f>
        <v>7.92413870877024</v>
      </c>
      <c r="K998" s="5">
        <f>VALUE(SUBSTITUTE('1000_заявлений'!K992, ".", ","))</f>
        <v>-1177</v>
      </c>
      <c r="L998" s="6">
        <f>VALUE(SUBSTITUTE('1000_заявлений'!L992, ".", ","))</f>
        <v>28147.5</v>
      </c>
      <c r="M998" s="2" t="str">
        <f>IF(Данные6[[#This Row],[proba]]&gt;$C$6, "отказ", "одобрение")</f>
        <v>отказ</v>
      </c>
      <c r="N998" s="7">
        <f>IF(Данные6[[#This Row],[proba]]&lt;$D$2,$C$2,IF(Данные6[[#This Row],[proba]]&lt;$D$3,$C$3,IF(Данные6[[#This Row],[proba]]&gt;$C$6,0,$C$4)))</f>
        <v>0</v>
      </c>
      <c r="O998" s="2">
        <f>IF(Данные6[[#This Row],[weighted_ext_score]]&gt;$O$1,MIN(Данные6[[#This Row],[Базовая сумма]]*$O$2,$C$2),IF(Данные6[[#This Row],[weighted_ext_score]]&lt;$O$3,Данные6[[#This Row],[Базовая сумма]]*$O$4,N998))</f>
        <v>0</v>
      </c>
      <c r="P998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8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8" s="2">
        <f>ABS(Данные6[[#This Row],[days_birth]])/365.2425</f>
        <v>28.852064039644894</v>
      </c>
      <c r="S998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8" s="2">
        <f>IF(Данные6[[#This Row],[ interest_rate]]&gt;$T$1,Данные6[[#This Row],[days_birth4]]*$T$2,Данные6[[#This Row],[days_birth4]])</f>
        <v>0</v>
      </c>
      <c r="U998" s="2">
        <f>IF(Данные6[[#This Row],[Проверка отказа]]="отказ",0,MAX(Данные6[[#This Row],[interest_rate]],$C$1))</f>
        <v>0</v>
      </c>
      <c r="V998" s="2">
        <f>MROUND(Данные6[[#This Row],[Минимум 20000]], 100)</f>
        <v>0</v>
      </c>
    </row>
    <row r="999" spans="1:22" x14ac:dyDescent="0.25">
      <c r="A999" s="2">
        <f>'1000_заявлений'!A993</f>
        <v>991</v>
      </c>
      <c r="B999" s="4">
        <f>VALUE(SUBSTITUTE('1000_заявлений'!B993, ".", ","))</f>
        <v>0.57115532851143502</v>
      </c>
      <c r="C999" s="4">
        <f>VALUE(SUBSTITUTE('1000_заявлений'!C993, ".", ","))</f>
        <v>0.33812382110358002</v>
      </c>
      <c r="D999" s="4">
        <f>VALUE(SUBSTITUTE('1000_заявлений'!D993, ".", ","))</f>
        <v>0.17982176</v>
      </c>
      <c r="E999" s="4">
        <f>VALUE(SUBSTITUTE('1000_заявлений'!E993, ".", ","))</f>
        <v>0.66957529999999998</v>
      </c>
      <c r="F999" s="5">
        <f>VALUE(SUBSTITUTE('1000_заявлений'!F993, ".", ","))</f>
        <v>-5879</v>
      </c>
      <c r="G999" s="5">
        <f>VALUE(SUBSTITUTE('1000_заявлений'!G993, ".", ","))</f>
        <v>-12642</v>
      </c>
      <c r="H999" s="5">
        <f>VALUE(SUBSTITUTE('1000_заявлений'!H993, ".", ","))</f>
        <v>-4596</v>
      </c>
      <c r="I999" s="4">
        <f>VALUE(SUBSTITUTE('1000_заявлений'!I993, ".", ","))</f>
        <v>0.14730909090909</v>
      </c>
      <c r="J999" s="4">
        <f>VALUE(SUBSTITUTE('1000_заявлений'!J993, ".", ","))</f>
        <v>6.5526323213506297</v>
      </c>
      <c r="K999" s="5">
        <f>VALUE(SUBSTITUTE('1000_заявлений'!K993, ".", ","))</f>
        <v>-1490</v>
      </c>
      <c r="L999" s="6">
        <f>VALUE(SUBSTITUTE('1000_заявлений'!L993, ".", ","))</f>
        <v>36459</v>
      </c>
      <c r="M999" s="2" t="str">
        <f>IF(Данные6[[#This Row],[proba]]&gt;$C$6, "отказ", "одобрение")</f>
        <v>отказ</v>
      </c>
      <c r="N999" s="7">
        <f>IF(Данные6[[#This Row],[proba]]&lt;$D$2,$C$2,IF(Данные6[[#This Row],[proba]]&lt;$D$3,$C$3,IF(Данные6[[#This Row],[proba]]&gt;$C$6,0,$C$4)))</f>
        <v>0</v>
      </c>
      <c r="O999" s="2">
        <f>IF(Данные6[[#This Row],[weighted_ext_score]]&gt;$O$1,MIN(Данные6[[#This Row],[Базовая сумма]]*$O$2,$C$2),IF(Данные6[[#This Row],[weighted_ext_score]]&lt;$O$3,Данные6[[#This Row],[Базовая сумма]]*$O$4,N999))</f>
        <v>0</v>
      </c>
      <c r="P999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999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999" s="2">
        <f>ABS(Данные6[[#This Row],[days_birth]])/365.2425</f>
        <v>34.612620382348716</v>
      </c>
      <c r="S999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999" s="2">
        <f>IF(Данные6[[#This Row],[ interest_rate]]&gt;$T$1,Данные6[[#This Row],[days_birth4]]*$T$2,Данные6[[#This Row],[days_birth4]])</f>
        <v>0</v>
      </c>
      <c r="U999" s="2">
        <f>IF(Данные6[[#This Row],[Проверка отказа]]="отказ",0,MAX(Данные6[[#This Row],[interest_rate]],$C$1))</f>
        <v>0</v>
      </c>
      <c r="V999" s="2">
        <f>MROUND(Данные6[[#This Row],[Минимум 20000]], 100)</f>
        <v>0</v>
      </c>
    </row>
    <row r="1000" spans="1:22" x14ac:dyDescent="0.25">
      <c r="A1000" s="2">
        <f>'1000_заявлений'!A994</f>
        <v>992</v>
      </c>
      <c r="B1000" s="4">
        <f>VALUE(SUBSTITUTE('1000_заявлений'!B994, ".", ","))</f>
        <v>0.52757055702862599</v>
      </c>
      <c r="C1000" s="4">
        <f>VALUE(SUBSTITUTE('1000_заявлений'!C994, ".", ","))</f>
        <v>0.520792770389925</v>
      </c>
      <c r="D1000" s="4">
        <f>VALUE(SUBSTITUTE('1000_заявлений'!D994, ".", ","))</f>
        <v>0.35069584999999998</v>
      </c>
      <c r="E1000" s="4">
        <f>VALUE(SUBSTITUTE('1000_заявлений'!E994, ".", ","))</f>
        <v>0.49299925999999999</v>
      </c>
      <c r="F1000" s="5">
        <f>VALUE(SUBSTITUTE('1000_заявлений'!F994, ".", ","))</f>
        <v>-3924</v>
      </c>
      <c r="G1000" s="5">
        <f>VALUE(SUBSTITUTE('1000_заявлений'!G994, ".", ","))</f>
        <v>-16448</v>
      </c>
      <c r="H1000" s="5">
        <f>VALUE(SUBSTITUTE('1000_заявлений'!H994, ".", ","))</f>
        <v>-4</v>
      </c>
      <c r="I1000" s="4">
        <f>VALUE(SUBSTITUTE('1000_заявлений'!I994, ".", ","))</f>
        <v>0.24948571428571401</v>
      </c>
      <c r="J1000" s="4">
        <f>VALUE(SUBSTITUTE('1000_заявлений'!J994, ".", ","))</f>
        <v>3.0223822116023502</v>
      </c>
      <c r="K1000" s="5">
        <f>VALUE(SUBSTITUTE('1000_заявлений'!K994, ".", ","))</f>
        <v>-696</v>
      </c>
      <c r="L1000" s="6">
        <f>VALUE(SUBSTITUTE('1000_заявлений'!L994, ".", ","))</f>
        <v>39294</v>
      </c>
      <c r="M1000" s="2" t="str">
        <f>IF(Данные6[[#This Row],[proba]]&gt;$C$6, "отказ", "одобрение")</f>
        <v>отказ</v>
      </c>
      <c r="N1000" s="7">
        <f>IF(Данные6[[#This Row],[proba]]&lt;$D$2,$C$2,IF(Данные6[[#This Row],[proba]]&lt;$D$3,$C$3,IF(Данные6[[#This Row],[proba]]&gt;$C$6,0,$C$4)))</f>
        <v>0</v>
      </c>
      <c r="O1000" s="2">
        <f>IF(Данные6[[#This Row],[weighted_ext_score]]&gt;$O$1,MIN(Данные6[[#This Row],[Базовая сумма]]*$O$2,$C$2),IF(Данные6[[#This Row],[weighted_ext_score]]&lt;$O$3,Данные6[[#This Row],[Базовая сумма]]*$O$4,N1000))</f>
        <v>0</v>
      </c>
      <c r="P1000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0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0" s="2">
        <f>ABS(Данные6[[#This Row],[days_birth]])/365.2425</f>
        <v>45.033094450946976</v>
      </c>
      <c r="S1000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0" s="2">
        <f>IF(Данные6[[#This Row],[ interest_rate]]&gt;$T$1,Данные6[[#This Row],[days_birth4]]*$T$2,Данные6[[#This Row],[days_birth4]])</f>
        <v>0</v>
      </c>
      <c r="U1000" s="2">
        <f>IF(Данные6[[#This Row],[Проверка отказа]]="отказ",0,MAX(Данные6[[#This Row],[interest_rate]],$C$1))</f>
        <v>0</v>
      </c>
      <c r="V1000" s="2">
        <f>MROUND(Данные6[[#This Row],[Минимум 20000]], 100)</f>
        <v>0</v>
      </c>
    </row>
    <row r="1001" spans="1:22" x14ac:dyDescent="0.25">
      <c r="A1001" s="2">
        <f>'1000_заявлений'!A995</f>
        <v>993</v>
      </c>
      <c r="B1001" s="4">
        <f>VALUE(SUBSTITUTE('1000_заявлений'!B995, ".", ","))</f>
        <v>0.57474281653089099</v>
      </c>
      <c r="C1001" s="4">
        <f>VALUE(SUBSTITUTE('1000_заявлений'!C995, ".", ","))</f>
        <v>0.39085349474252101</v>
      </c>
      <c r="D1001" s="4">
        <f>VALUE(SUBSTITUTE('1000_заявлений'!D995, ".", ","))</f>
        <v>0.35233998</v>
      </c>
      <c r="E1001" s="4">
        <f>VALUE(SUBSTITUTE('1000_заявлений'!E995, ".", ","))</f>
        <v>0.43423566000000002</v>
      </c>
      <c r="F1001" s="5">
        <f>VALUE(SUBSTITUTE('1000_заявлений'!F995, ".", ","))</f>
        <v>-930</v>
      </c>
      <c r="G1001" s="5">
        <f>VALUE(SUBSTITUTE('1000_заявлений'!G995, ".", ","))</f>
        <v>-13793</v>
      </c>
      <c r="H1001" s="5">
        <f>VALUE(SUBSTITUTE('1000_заявлений'!H995, ".", ","))</f>
        <v>-5016</v>
      </c>
      <c r="I1001" s="4">
        <f>VALUE(SUBSTITUTE('1000_заявлений'!I995, ".", ","))</f>
        <v>0.16139999999999999</v>
      </c>
      <c r="J1001" s="4">
        <f>VALUE(SUBSTITUTE('1000_заявлений'!J995, ".", ","))</f>
        <v>0.86138411279095195</v>
      </c>
      <c r="K1001" s="5">
        <f>VALUE(SUBSTITUTE('1000_заявлений'!K995, ".", ","))</f>
        <v>-2645</v>
      </c>
      <c r="L1001" s="6">
        <f>VALUE(SUBSTITUTE('1000_заявлений'!L995, ".", ","))</f>
        <v>47209.5</v>
      </c>
      <c r="M1001" s="2" t="str">
        <f>IF(Данные6[[#This Row],[proba]]&gt;$C$6, "отказ", "одобрение")</f>
        <v>отказ</v>
      </c>
      <c r="N1001" s="7">
        <f>IF(Данные6[[#This Row],[proba]]&lt;$D$2,$C$2,IF(Данные6[[#This Row],[proba]]&lt;$D$3,$C$3,IF(Данные6[[#This Row],[proba]]&gt;$C$6,0,$C$4)))</f>
        <v>0</v>
      </c>
      <c r="O1001" s="2">
        <f>IF(Данные6[[#This Row],[weighted_ext_score]]&gt;$O$1,MIN(Данные6[[#This Row],[Базовая сумма]]*$O$2,$C$2),IF(Данные6[[#This Row],[weighted_ext_score]]&lt;$O$3,Данные6[[#This Row],[Базовая сумма]]*$O$4,N1001))</f>
        <v>0</v>
      </c>
      <c r="P1001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1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1" s="2">
        <f>ABS(Данные6[[#This Row],[days_birth]])/365.2425</f>
        <v>37.763951347392485</v>
      </c>
      <c r="S1001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1" s="2">
        <f>IF(Данные6[[#This Row],[ interest_rate]]&gt;$T$1,Данные6[[#This Row],[days_birth4]]*$T$2,Данные6[[#This Row],[days_birth4]])</f>
        <v>0</v>
      </c>
      <c r="U1001" s="2">
        <f>IF(Данные6[[#This Row],[Проверка отказа]]="отказ",0,MAX(Данные6[[#This Row],[interest_rate]],$C$1))</f>
        <v>0</v>
      </c>
      <c r="V1001" s="2">
        <f>MROUND(Данные6[[#This Row],[Минимум 20000]], 100)</f>
        <v>0</v>
      </c>
    </row>
    <row r="1002" spans="1:22" x14ac:dyDescent="0.25">
      <c r="A1002" s="2">
        <f>'1000_заявлений'!A996</f>
        <v>994</v>
      </c>
      <c r="B1002" s="4">
        <f>VALUE(SUBSTITUTE('1000_заявлений'!B996, ".", ","))</f>
        <v>0.71048953794050496</v>
      </c>
      <c r="C1002" s="4">
        <f>VALUE(SUBSTITUTE('1000_заявлений'!C996, ".", ","))</f>
        <v>0.20072965879767701</v>
      </c>
      <c r="D1002" s="4">
        <f>VALUE(SUBSTITUTE('1000_заявлений'!D996, ".", ","))</f>
        <v>0.53527623000000002</v>
      </c>
      <c r="E1002" s="4">
        <f>VALUE(SUBSTITUTE('1000_заявлений'!E996, ".", ","))</f>
        <v>0.17019061999999999</v>
      </c>
      <c r="F1002" s="5">
        <f>VALUE(SUBSTITUTE('1000_заявлений'!F996, ".", ","))</f>
        <v>-3872</v>
      </c>
      <c r="G1002" s="5">
        <f>VALUE(SUBSTITUTE('1000_заявлений'!G996, ".", ","))</f>
        <v>-11950</v>
      </c>
      <c r="H1002" s="5">
        <f>VALUE(SUBSTITUTE('1000_заявлений'!H996, ".", ","))</f>
        <v>-4593</v>
      </c>
      <c r="I1002" s="4">
        <f>VALUE(SUBSTITUTE('1000_заявлений'!I996, ".", ","))</f>
        <v>0.23910771344103601</v>
      </c>
      <c r="J1002" s="4">
        <f>VALUE(SUBSTITUTE('1000_заявлений'!J996, ".", ","))</f>
        <v>0.34912527522254999</v>
      </c>
      <c r="K1002" s="5">
        <f>VALUE(SUBSTITUTE('1000_заявлений'!K996, ".", ","))</f>
        <v>-2270</v>
      </c>
      <c r="L1002" s="6">
        <f>VALUE(SUBSTITUTE('1000_заявлений'!L996, ".", ","))</f>
        <v>36031.5</v>
      </c>
      <c r="M1002" s="2" t="str">
        <f>IF(Данные6[[#This Row],[proba]]&gt;$C$6, "отказ", "одобрение")</f>
        <v>отказ</v>
      </c>
      <c r="N1002" s="7">
        <f>IF(Данные6[[#This Row],[proba]]&lt;$D$2,$C$2,IF(Данные6[[#This Row],[proba]]&lt;$D$3,$C$3,IF(Данные6[[#This Row],[proba]]&gt;$C$6,0,$C$4)))</f>
        <v>0</v>
      </c>
      <c r="O1002" s="2">
        <f>IF(Данные6[[#This Row],[weighted_ext_score]]&gt;$O$1,MIN(Данные6[[#This Row],[Базовая сумма]]*$O$2,$C$2),IF(Данные6[[#This Row],[weighted_ext_score]]&lt;$O$3,Данные6[[#This Row],[Базовая сумма]]*$O$4,N1002))</f>
        <v>0</v>
      </c>
      <c r="P1002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2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2" s="2">
        <f>ABS(Данные6[[#This Row],[days_birth]])/365.2425</f>
        <v>32.717988733512662</v>
      </c>
      <c r="S1002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2" s="2">
        <f>IF(Данные6[[#This Row],[ interest_rate]]&gt;$T$1,Данные6[[#This Row],[days_birth4]]*$T$2,Данные6[[#This Row],[days_birth4]])</f>
        <v>0</v>
      </c>
      <c r="U1002" s="2">
        <f>IF(Данные6[[#This Row],[Проверка отказа]]="отказ",0,MAX(Данные6[[#This Row],[interest_rate]],$C$1))</f>
        <v>0</v>
      </c>
      <c r="V1002" s="2">
        <f>MROUND(Данные6[[#This Row],[Минимум 20000]], 100)</f>
        <v>0</v>
      </c>
    </row>
    <row r="1003" spans="1:22" x14ac:dyDescent="0.25">
      <c r="A1003" s="2">
        <f>'1000_заявлений'!A997</f>
        <v>995</v>
      </c>
      <c r="B1003" s="4">
        <f>VALUE(SUBSTITUTE('1000_заявлений'!B997, ".", ","))</f>
        <v>0.42081858743795397</v>
      </c>
      <c r="C1003" s="4">
        <f>VALUE(SUBSTITUTE('1000_заявлений'!C997, ".", ","))</f>
        <v>0.30465844448910601</v>
      </c>
      <c r="D1003" s="4">
        <f>VALUE(SUBSTITUTE('1000_заявлений'!D997, ".", ","))</f>
        <v>0.38591468000000001</v>
      </c>
      <c r="E1003" s="4">
        <f>VALUE(SUBSTITUTE('1000_заявлений'!E997, ".", ","))</f>
        <v>0.50893383999999997</v>
      </c>
      <c r="F1003" s="5">
        <f>VALUE(SUBSTITUTE('1000_заявлений'!F997, ".", ","))</f>
        <v>-6142</v>
      </c>
      <c r="G1003" s="5">
        <f>VALUE(SUBSTITUTE('1000_заявлений'!G997, ".", ","))</f>
        <v>-20668</v>
      </c>
      <c r="H1003" s="5">
        <f>VALUE(SUBSTITUTE('1000_заявлений'!H997, ".", ","))</f>
        <v>-4173</v>
      </c>
      <c r="I1003" s="4">
        <f>VALUE(SUBSTITUTE('1000_заявлений'!I997, ".", ","))</f>
        <v>5.5555555555555497E-2</v>
      </c>
      <c r="J1003" s="4">
        <f>VALUE(SUBSTITUTE('1000_заявлений'!J997, ".", ","))</f>
        <v>10.6209759779781</v>
      </c>
      <c r="K1003" s="5">
        <f>VALUE(SUBSTITUTE('1000_заявлений'!K997, ".", ","))</f>
        <v>365243</v>
      </c>
      <c r="L1003" s="6">
        <f>VALUE(SUBSTITUTE('1000_заявлений'!L997, ".", ","))</f>
        <v>6750</v>
      </c>
      <c r="M1003" s="2" t="str">
        <f>IF(Данные6[[#This Row],[proba]]&gt;$C$6, "отказ", "одобрение")</f>
        <v>отказ</v>
      </c>
      <c r="N1003" s="7">
        <f>IF(Данные6[[#This Row],[proba]]&lt;$D$2,$C$2,IF(Данные6[[#This Row],[proba]]&lt;$D$3,$C$3,IF(Данные6[[#This Row],[proba]]&gt;$C$6,0,$C$4)))</f>
        <v>0</v>
      </c>
      <c r="O1003" s="2">
        <f>IF(Данные6[[#This Row],[weighted_ext_score]]&gt;$O$1,MIN(Данные6[[#This Row],[Базовая сумма]]*$O$2,$C$2),IF(Данные6[[#This Row],[weighted_ext_score]]&lt;$O$3,Данные6[[#This Row],[Базовая сумма]]*$O$4,N1003))</f>
        <v>0</v>
      </c>
      <c r="P1003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3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3" s="2">
        <f>ABS(Данные6[[#This Row],[days_birth]])/365.2425</f>
        <v>56.587062020438474</v>
      </c>
      <c r="S1003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3" s="2">
        <f>IF(Данные6[[#This Row],[ interest_rate]]&gt;$T$1,Данные6[[#This Row],[days_birth4]]*$T$2,Данные6[[#This Row],[days_birth4]])</f>
        <v>0</v>
      </c>
      <c r="U1003" s="2">
        <f>IF(Данные6[[#This Row],[Проверка отказа]]="отказ",0,MAX(Данные6[[#This Row],[interest_rate]],$C$1))</f>
        <v>0</v>
      </c>
      <c r="V1003" s="2">
        <f>MROUND(Данные6[[#This Row],[Минимум 20000]], 100)</f>
        <v>0</v>
      </c>
    </row>
    <row r="1004" spans="1:22" x14ac:dyDescent="0.25">
      <c r="A1004" s="2">
        <f>'1000_заявлений'!A998</f>
        <v>996</v>
      </c>
      <c r="B1004" s="4">
        <f>VALUE(SUBSTITUTE('1000_заявлений'!B998, ".", ","))</f>
        <v>0.16041900659984701</v>
      </c>
      <c r="C1004" s="4">
        <f>VALUE(SUBSTITUTE('1000_заявлений'!C998, ".", ","))</f>
        <v>0.50177125829923497</v>
      </c>
      <c r="D1004" s="4">
        <f>VALUE(SUBSTITUTE('1000_заявлений'!D998, ".", ","))</f>
        <v>0.76880760000000004</v>
      </c>
      <c r="E1004" s="4">
        <f>VALUE(SUBSTITUTE('1000_заявлений'!E998, ".", ","))</f>
        <v>0.68969150000000001</v>
      </c>
      <c r="F1004" s="5">
        <f>VALUE(SUBSTITUTE('1000_заявлений'!F998, ".", ","))</f>
        <v>-149</v>
      </c>
      <c r="G1004" s="5">
        <f>VALUE(SUBSTITUTE('1000_заявлений'!G998, ".", ","))</f>
        <v>-22652</v>
      </c>
      <c r="H1004" s="5">
        <f>VALUE(SUBSTITUTE('1000_заявлений'!H998, ".", ","))</f>
        <v>-3972</v>
      </c>
      <c r="I1004" s="4">
        <f>VALUE(SUBSTITUTE('1000_заявлений'!I998, ".", ","))</f>
        <v>0.18217142857142801</v>
      </c>
      <c r="J1004" s="4">
        <f>VALUE(SUBSTITUTE('1000_заявлений'!J998, ".", ","))</f>
        <v>4.8594003208817602</v>
      </c>
      <c r="K1004" s="5">
        <f>VALUE(SUBSTITUTE('1000_заявлений'!K998, ".", ","))</f>
        <v>365243</v>
      </c>
      <c r="L1004" s="6">
        <f>VALUE(SUBSTITUTE('1000_заявлений'!L998, ".", ","))</f>
        <v>28692</v>
      </c>
      <c r="M1004" s="2" t="str">
        <f>IF(Данные6[[#This Row],[proba]]&gt;$C$6, "отказ", "одобрение")</f>
        <v>одобрение</v>
      </c>
      <c r="N1004" s="7">
        <f>IF(Данные6[[#This Row],[proba]]&lt;$D$2,$C$2,IF(Данные6[[#This Row],[proba]]&lt;$D$3,$C$3,IF(Данные6[[#This Row],[proba]]&gt;$C$6,0,$C$4)))</f>
        <v>200000</v>
      </c>
      <c r="O1004" s="2">
        <f>IF(Данные6[[#This Row],[weighted_ext_score]]&gt;$O$1,MIN(Данные6[[#This Row],[Базовая сумма]]*$O$2,$C$2),IF(Данные6[[#This Row],[weighted_ext_score]]&lt;$O$3,Данные6[[#This Row],[Базовая сумма]]*$O$4,N1004))</f>
        <v>200000</v>
      </c>
      <c r="P1004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200000</v>
      </c>
      <c r="Q1004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200000</v>
      </c>
      <c r="R1004" s="2">
        <f>ABS(Данные6[[#This Row],[days_birth]])/365.2425</f>
        <v>62.019069522303674</v>
      </c>
      <c r="S1004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210000</v>
      </c>
      <c r="T1004" s="2">
        <f>IF(Данные6[[#This Row],[ interest_rate]]&gt;$T$1,Данные6[[#This Row],[days_birth4]]*$T$2,Данные6[[#This Row],[days_birth4]])</f>
        <v>210000</v>
      </c>
      <c r="U1004" s="2">
        <f>IF(Данные6[[#This Row],[Проверка отказа]]="отказ",0,MAX(Данные6[[#This Row],[interest_rate]],$C$1))</f>
        <v>210000</v>
      </c>
      <c r="V1004" s="2">
        <f>MROUND(Данные6[[#This Row],[Минимум 20000]], 100)</f>
        <v>210000</v>
      </c>
    </row>
    <row r="1005" spans="1:22" x14ac:dyDescent="0.25">
      <c r="A1005" s="2">
        <f>'1000_заявлений'!A999</f>
        <v>997</v>
      </c>
      <c r="B1005" s="4">
        <f>VALUE(SUBSTITUTE('1000_заявлений'!B999, ".", ","))</f>
        <v>0.60763758054476003</v>
      </c>
      <c r="C1005" s="4">
        <f>VALUE(SUBSTITUTE('1000_заявлений'!C999, ".", ","))</f>
        <v>0.30372480066110202</v>
      </c>
      <c r="D1005" s="4">
        <f>VALUE(SUBSTITUTE('1000_заявлений'!D999, ".", ","))</f>
        <v>0.33125088000000003</v>
      </c>
      <c r="E1005" s="4">
        <f>VALUE(SUBSTITUTE('1000_заявлений'!E999, ".", ","))</f>
        <v>0.56700324999999996</v>
      </c>
      <c r="F1005" s="5">
        <f>VALUE(SUBSTITUTE('1000_заявлений'!F999, ".", ","))</f>
        <v>-2429</v>
      </c>
      <c r="G1005" s="5">
        <f>VALUE(SUBSTITUTE('1000_заявлений'!G999, ".", ","))</f>
        <v>-14499</v>
      </c>
      <c r="H1005" s="5">
        <f>VALUE(SUBSTITUTE('1000_заявлений'!H999, ".", ","))</f>
        <v>-2447</v>
      </c>
      <c r="I1005" s="4">
        <f>VALUE(SUBSTITUTE('1000_заявлений'!I999, ".", ","))</f>
        <v>0.29213333333333302</v>
      </c>
      <c r="J1005" s="4">
        <f>VALUE(SUBSTITUTE('1000_заявлений'!J999, ".", ","))</f>
        <v>5.3087118171985601</v>
      </c>
      <c r="K1005" s="5">
        <f>VALUE(SUBSTITUTE('1000_заявлений'!K999, ".", ","))</f>
        <v>-2482</v>
      </c>
      <c r="L1005" s="6">
        <f>VALUE(SUBSTITUTE('1000_заявлений'!L999, ".", ","))</f>
        <v>39438</v>
      </c>
      <c r="M1005" s="2" t="str">
        <f>IF(Данные6[[#This Row],[proba]]&gt;$C$6, "отказ", "одобрение")</f>
        <v>отказ</v>
      </c>
      <c r="N1005" s="7">
        <f>IF(Данные6[[#This Row],[proba]]&lt;$D$2,$C$2,IF(Данные6[[#This Row],[proba]]&lt;$D$3,$C$3,IF(Данные6[[#This Row],[proba]]&gt;$C$6,0,$C$4)))</f>
        <v>0</v>
      </c>
      <c r="O1005" s="2">
        <f>IF(Данные6[[#This Row],[weighted_ext_score]]&gt;$O$1,MIN(Данные6[[#This Row],[Базовая сумма]]*$O$2,$C$2),IF(Данные6[[#This Row],[weighted_ext_score]]&lt;$O$3,Данные6[[#This Row],[Базовая сумма]]*$O$4,N1005))</f>
        <v>0</v>
      </c>
      <c r="P1005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5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5" s="2">
        <f>ABS(Данные6[[#This Row],[days_birth]])/365.2425</f>
        <v>39.696913694326369</v>
      </c>
      <c r="S1005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5" s="2">
        <f>IF(Данные6[[#This Row],[ interest_rate]]&gt;$T$1,Данные6[[#This Row],[days_birth4]]*$T$2,Данные6[[#This Row],[days_birth4]])</f>
        <v>0</v>
      </c>
      <c r="U1005" s="2">
        <f>IF(Данные6[[#This Row],[Проверка отказа]]="отказ",0,MAX(Данные6[[#This Row],[interest_rate]],$C$1))</f>
        <v>0</v>
      </c>
      <c r="V1005" s="2">
        <f>MROUND(Данные6[[#This Row],[Минимум 20000]], 100)</f>
        <v>0</v>
      </c>
    </row>
    <row r="1006" spans="1:22" x14ac:dyDescent="0.25">
      <c r="A1006" s="2">
        <f>'1000_заявлений'!A1000</f>
        <v>998</v>
      </c>
      <c r="B1006" s="4">
        <f>VALUE(SUBSTITUTE('1000_заявлений'!B1000, ".", ","))</f>
        <v>0.51943478026162504</v>
      </c>
      <c r="C1006" s="4">
        <f>VALUE(SUBSTITUTE('1000_заявлений'!C1000, ".", ","))</f>
        <v>0.44434434925111599</v>
      </c>
      <c r="D1006" s="4">
        <f>VALUE(SUBSTITUTE('1000_заявлений'!D1000, ".", ","))</f>
        <v>0.40835884</v>
      </c>
      <c r="E1006" s="4">
        <f>VALUE(SUBSTITUTE('1000_заявлений'!E1000, ".", ","))</f>
        <v>0.45826653000000001</v>
      </c>
      <c r="F1006" s="5">
        <f>VALUE(SUBSTITUTE('1000_заявлений'!F1000, ".", ","))</f>
        <v>-4290</v>
      </c>
      <c r="G1006" s="5">
        <f>VALUE(SUBSTITUTE('1000_заявлений'!G1000, ".", ","))</f>
        <v>-10396</v>
      </c>
      <c r="H1006" s="5">
        <f>VALUE(SUBSTITUTE('1000_заявлений'!H1000, ".", ","))</f>
        <v>-3057</v>
      </c>
      <c r="I1006" s="4">
        <f>VALUE(SUBSTITUTE('1000_заявлений'!I1000, ".", ","))</f>
        <v>0.17977083333333299</v>
      </c>
      <c r="J1006" s="4">
        <f>VALUE(SUBSTITUTE('1000_заявлений'!J1000, ".", ","))</f>
        <v>6.5374008396181704</v>
      </c>
      <c r="K1006" s="5">
        <f>VALUE(SUBSTITUTE('1000_заявлений'!K1000, ".", ","))</f>
        <v>-204</v>
      </c>
      <c r="L1006" s="6">
        <f>VALUE(SUBSTITUTE('1000_заявлений'!L1000, ".", ","))</f>
        <v>38830.5</v>
      </c>
      <c r="M1006" s="2" t="str">
        <f>IF(Данные6[[#This Row],[proba]]&gt;$C$6, "отказ", "одобрение")</f>
        <v>отказ</v>
      </c>
      <c r="N1006" s="7">
        <f>IF(Данные6[[#This Row],[proba]]&lt;$D$2,$C$2,IF(Данные6[[#This Row],[proba]]&lt;$D$3,$C$3,IF(Данные6[[#This Row],[proba]]&gt;$C$6,0,$C$4)))</f>
        <v>0</v>
      </c>
      <c r="O1006" s="2">
        <f>IF(Данные6[[#This Row],[weighted_ext_score]]&gt;$O$1,MIN(Данные6[[#This Row],[Базовая сумма]]*$O$2,$C$2),IF(Данные6[[#This Row],[weighted_ext_score]]&lt;$O$3,Данные6[[#This Row],[Базовая сумма]]*$O$4,N1006))</f>
        <v>0</v>
      </c>
      <c r="P1006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0</v>
      </c>
      <c r="Q1006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0</v>
      </c>
      <c r="R1006" s="2">
        <f>ABS(Данные6[[#This Row],[days_birth]])/365.2425</f>
        <v>28.463281244652524</v>
      </c>
      <c r="S1006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0</v>
      </c>
      <c r="T1006" s="2">
        <f>IF(Данные6[[#This Row],[ interest_rate]]&gt;$T$1,Данные6[[#This Row],[days_birth4]]*$T$2,Данные6[[#This Row],[days_birth4]])</f>
        <v>0</v>
      </c>
      <c r="U1006" s="2">
        <f>IF(Данные6[[#This Row],[Проверка отказа]]="отказ",0,MAX(Данные6[[#This Row],[interest_rate]],$C$1))</f>
        <v>0</v>
      </c>
      <c r="V1006" s="2">
        <f>MROUND(Данные6[[#This Row],[Минимум 20000]], 100)</f>
        <v>0</v>
      </c>
    </row>
    <row r="1007" spans="1:22" x14ac:dyDescent="0.25">
      <c r="A1007" s="2">
        <f>'1000_заявлений'!A1001</f>
        <v>999</v>
      </c>
      <c r="B1007" s="4">
        <f>VALUE(SUBSTITUTE('1000_заявлений'!B1001, ".", ","))</f>
        <v>0.226964647423365</v>
      </c>
      <c r="C1007" s="4">
        <f>VALUE(SUBSTITUTE('1000_заявлений'!C1001, ".", ","))</f>
        <v>0.407496030442979</v>
      </c>
      <c r="D1007" s="4">
        <f>VALUE(SUBSTITUTE('1000_заявлений'!D1001, ".", ","))</f>
        <v>0.76880760000000004</v>
      </c>
      <c r="E1007" s="4">
        <f>VALUE(SUBSTITUTE('1000_заявлений'!E1001, ".", ","))</f>
        <v>0.39905664000000002</v>
      </c>
      <c r="F1007" s="5">
        <f>VALUE(SUBSTITUTE('1000_заявлений'!F1001, ".", ","))</f>
        <v>-11581</v>
      </c>
      <c r="G1007" s="5">
        <f>VALUE(SUBSTITUTE('1000_заявлений'!G1001, ".", ","))</f>
        <v>-24822</v>
      </c>
      <c r="H1007" s="5">
        <f>VALUE(SUBSTITUTE('1000_заявлений'!H1001, ".", ","))</f>
        <v>-4058</v>
      </c>
      <c r="I1007" s="4">
        <f>VALUE(SUBSTITUTE('1000_заявлений'!I1001, ".", ","))</f>
        <v>0.19735</v>
      </c>
      <c r="J1007" s="4">
        <f>VALUE(SUBSTITUTE('1000_заявлений'!J1001, ".", ","))</f>
        <v>20.372515475944802</v>
      </c>
      <c r="K1007" s="5">
        <f>VALUE(SUBSTITUTE('1000_заявлений'!K1001, ".", ","))</f>
        <v>-1595</v>
      </c>
      <c r="L1007" s="6">
        <f>VALUE(SUBSTITUTE('1000_заявлений'!L1001, ".", ","))</f>
        <v>17761.5</v>
      </c>
      <c r="M1007" s="2" t="str">
        <f>IF(Данные6[[#This Row],[proba]]&gt;$C$6, "отказ", "одобрение")</f>
        <v>одобрение</v>
      </c>
      <c r="N1007" s="7">
        <f>IF(Данные6[[#This Row],[proba]]&lt;$D$2,$C$2,IF(Данные6[[#This Row],[proba]]&lt;$D$3,$C$3,IF(Данные6[[#This Row],[proba]]&gt;$C$6,0,$C$4)))</f>
        <v>50000</v>
      </c>
      <c r="O1007" s="2">
        <f>IF(Данные6[[#This Row],[weighted_ext_score]]&gt;$O$1,MIN(Данные6[[#This Row],[Базовая сумма]]*$O$2,$C$2),IF(Данные6[[#This Row],[weighted_ext_score]]&lt;$O$3,Данные6[[#This Row],[Базовая сумма]]*$O$4,N1007))</f>
        <v>40000</v>
      </c>
      <c r="P1007" s="2">
        <f>IF(Данные6[[#This Row],[ annuity_to_income_proportion]]&gt;$P$1,Данные6[[#This Row],[weighted_ext_score2]]*$P$2,IF(Данные6[[#This Row],[ annuity_to_income_proportion]]&lt;$P$3,MIN(Данные6[[#This Row],[weighted_ext_score2]]*$P$4,$C$2),Данные6[[#This Row],[weighted_ext_score2]]))</f>
        <v>40000</v>
      </c>
      <c r="Q1007" s="2">
        <f>IF(Данные6[[#This Row],[days_employed]]&lt;$Q$1,MIN(Данные6[[#This Row],[annuity_to_income]]*$Q$2,$C$2),IF(Данные6[[#This Row],[days_employed]]&lt;$Q$3,Данные6[[#This Row],[annuity_to_income]]*$Q$4,IF(Данные6[[#This Row],[days_employed]]=$Q$5,Данные6[[#This Row],[annuity_to_income]]*$Q$6,Данные6[[#This Row],[annuity_to_income]])))</f>
        <v>28000</v>
      </c>
      <c r="R1007" s="2">
        <f>ABS(Данные6[[#This Row],[days_birth]])/365.2425</f>
        <v>67.960327727468737</v>
      </c>
      <c r="S1007" s="2">
        <f>IF(Данные6[[#This Row],[age_years]]&lt;$S$1,Данные6[[#This Row],[days_employed3]]*$S$2,IF(Данные6[[#This Row],[age_years]]&gt;$S$3,MIN(Данные6[[#This Row],[days_employed3]]*$S$4,$C$2),Данные6[[#This Row],[days_employed3]]))</f>
        <v>29400</v>
      </c>
      <c r="T1007" s="2">
        <f>IF(Данные6[[#This Row],[ interest_rate]]&gt;$T$1,Данные6[[#This Row],[days_birth4]]*$T$2,Данные6[[#This Row],[days_birth4]])</f>
        <v>23520</v>
      </c>
      <c r="U1007" s="2">
        <f>IF(Данные6[[#This Row],[Проверка отказа]]="отказ",0,MAX(Данные6[[#This Row],[interest_rate]],$C$1))</f>
        <v>23520</v>
      </c>
      <c r="V1007" s="2">
        <f>MROUND(Данные6[[#This Row],[Минимум 20000]], 100)</f>
        <v>23500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1CF4B-1224-4A78-8AAB-E38902001D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1000_заявлений</vt:lpstr>
      <vt:lpstr>Расчет суммы займов 1</vt:lpstr>
      <vt:lpstr>Расчет суммы займов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 Шаринский</cp:lastModifiedBy>
  <dcterms:created xsi:type="dcterms:W3CDTF">2015-06-05T18:19:34Z</dcterms:created>
  <dcterms:modified xsi:type="dcterms:W3CDTF">2026-04-19T11:59:59Z</dcterms:modified>
</cp:coreProperties>
</file>